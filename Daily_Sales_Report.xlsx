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Instructions" sheetId="1" state="visible" r:id="rId3"/>
    <sheet name="Dashboard" sheetId="2" state="visible" r:id="rId4"/>
    <sheet name="Sales Data" sheetId="3" state="visible" r:id="rId5"/>
    <sheet name="Calc" sheetId="4" state="visible" r:id="rId6"/>
  </sheets>
  <definedNames>
    <definedName function="false" hidden="false" localSheetId="1" name="_xlnm.Print_Area" vbProcedure="false">Dashboard!$A$1:$Q$80</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18" authorId="0">
      <text>
        <r>
          <rPr>
            <sz val="10"/>
            <rFont val="Arial"/>
            <family val="2"/>
          </rPr>
          <t xml:space="preserve">Paste today's SenSource visitor traffic count here.</t>
        </r>
      </text>
    </comment>
    <comment ref="C19" authorId="0">
      <text>
        <r>
          <rPr>
            <sz val="10"/>
            <rFont val="Arial"/>
            <family val="2"/>
          </rPr>
          <t xml:space="preserve">Paste today's total POS receipt / transaction count here.</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A3" authorId="0">
      <text>
        <r>
          <rPr>
            <sz val="10"/>
            <rFont val="Arial"/>
            <family val="2"/>
          </rPr>
          <t xml:space="preserve">Example row - overwrite with your pasted data.</t>
        </r>
      </text>
    </comment>
  </commentList>
</comments>
</file>

<file path=xl/sharedStrings.xml><?xml version="1.0" encoding="utf-8"?>
<sst xmlns="http://schemas.openxmlformats.org/spreadsheetml/2006/main" count="86" uniqueCount="75">
  <si>
    <t xml:space="preserve">Daily Sales Report - How to Use This Workbook</t>
  </si>
  <si>
    <t xml:space="preserve">1.</t>
  </si>
  <si>
    <t xml:space="preserve">Go to the "Sales Data" tab. Copy the exported item-sold rows from your POS report (Creation Time through In Store Price columns - same layout as the SKU export) and paste them starting at cell A3, overwriting the yellow example row. Paste values only into columns A:K - do not touch columns M:R, they calculate automatically.</t>
  </si>
  <si>
    <t xml:space="preserve">2.</t>
  </si>
  <si>
    <t xml:space="preserve">Rows with Gender = "U" are accessories. They are automatically excluded from the Top 3 Sellers ranking and the Hourly Units/Revenue charts, but ARE included in "All Items" totals and the traffic-based conversion metrics (see assumption note on Dashboard).</t>
  </si>
  <si>
    <t xml:space="preserve">3.</t>
  </si>
  <si>
    <t xml:space="preserve">Go to the "Dashboard" tab. In the yellow "Traffic &amp; Conversion" boxes, paste today's SenSource visitor traffic count and your POS total receipt (transaction) count.</t>
  </si>
  <si>
    <t xml:space="preserve">4.</t>
  </si>
  <si>
    <t xml:space="preserve">Everything else on the Dashboard - KPIs, the Top 3 Sellers chart, the Units/Revenue by Hour charts, and the category mix chart - recalculates automatically.</t>
  </si>
  <si>
    <t xml:space="preserve">5.</t>
  </si>
  <si>
    <t xml:space="preserve">The "Calc" tab is a backend worksheet that builds the hour-by-hour breakdown feeding the charts. You shouldn't need to edit it, but nothing is locked if you want to inspect the formulas.</t>
  </si>
  <si>
    <t xml:space="preserve">Color key:</t>
  </si>
  <si>
    <t xml:space="preserve">Yellow fill = paste/edit your data here.</t>
  </si>
  <si>
    <t xml:space="preserve">Blue bold text = a manual input or assumption.</t>
  </si>
  <si>
    <t xml:space="preserve">Black text = calculated automatically - do not overwrite.</t>
  </si>
  <si>
    <t xml:space="preserve">Assumption: "Creation Time" must paste in as a real date/time value (this is the default when copying cell ranges between Excel workbooks). If it pastes as plain text, the Hour column on the Sales Data tab will show blank and the hourly charts will read zero - reformat column A as Date/Time if that happens.</t>
  </si>
  <si>
    <t xml:space="preserve">Daily Sales Report</t>
  </si>
  <si>
    <t xml:space="preserve">Store ID:</t>
  </si>
  <si>
    <t xml:space="preserve">Report Date:</t>
  </si>
  <si>
    <t xml:space="preserve">KEY METRICS</t>
  </si>
  <si>
    <t xml:space="preserve">Total Units Sold (Excl. Accessories)</t>
  </si>
  <si>
    <t xml:space="preserve">Total Revenue (Excl. Accessories)</t>
  </si>
  <si>
    <t xml:space="preserve">Total Units Sold (All Items, incl. Accessories)</t>
  </si>
  <si>
    <t xml:space="preserve">Total Revenue (All Items, incl. Accessories)</t>
  </si>
  <si>
    <t xml:space="preserve">Average Item Price (All Items)</t>
  </si>
  <si>
    <t xml:space="preserve">Avg Units Sold per Hour</t>
  </si>
  <si>
    <t xml:space="preserve">Avg Revenue per Hour</t>
  </si>
  <si>
    <t xml:space="preserve">Peak Hour (by Units)</t>
  </si>
  <si>
    <t xml:space="preserve">Peak Hour (by Revenue)</t>
  </si>
  <si>
    <t xml:space="preserve">Items Now Out of Stock (Restock Needed)</t>
  </si>
  <si>
    <t xml:space="preserve">TRAFFIC &amp; CONVERSION (paste from SenSource / POS)</t>
  </si>
  <si>
    <t xml:space="preserve">Daily Store Traffic (Visitors)</t>
  </si>
  <si>
    <t xml:space="preserve">Total Sales Receipts (Transactions)</t>
  </si>
  <si>
    <t xml:space="preserve">Conversion Rate (Receipts / Traffic)</t>
  </si>
  <si>
    <t xml:space="preserve">Average Transaction Value (Revenue / Receipts)</t>
  </si>
  <si>
    <t xml:space="preserve">Units per Transaction (Units / Receipts)</t>
  </si>
  <si>
    <t xml:space="preserve">Assumption: conversion metrics use revenue/units for ALL items (accessories included), since a receipt can include an accessory-only purchase. Top 3 Sellers and the hourly charts below exclude accessories (Gender = U) per the report spec.</t>
  </si>
  <si>
    <t xml:space="preserve">TOP 3 SELLERS (Excl. Accessories)</t>
  </si>
  <si>
    <t xml:space="preserve">Rank</t>
  </si>
  <si>
    <t xml:space="preserve">Model Name</t>
  </si>
  <si>
    <t xml:space="preserve">Units Sold</t>
  </si>
  <si>
    <t xml:space="preserve">Revenue</t>
  </si>
  <si>
    <t xml:space="preserve">SALES MIX BY CATEGORY (All Items)</t>
  </si>
  <si>
    <t xml:space="preserve">Category</t>
  </si>
  <si>
    <t xml:space="preserve">Units</t>
  </si>
  <si>
    <t xml:space="preserve">Men's (M)</t>
  </si>
  <si>
    <t xml:space="preserve">Women's (W)</t>
  </si>
  <si>
    <t xml:space="preserve">Accessories/Unisex (U)</t>
  </si>
  <si>
    <t xml:space="preserve">PASTE your daily item-sold export into columns A:K starting at row 3 (overwrite the example row below). Do not edit columns M:R - they calculate automatically.</t>
  </si>
  <si>
    <t xml:space="preserve">Creation Time</t>
  </si>
  <si>
    <t xml:space="preserve">Store ID</t>
  </si>
  <si>
    <t xml:space="preserve">Gender</t>
  </si>
  <si>
    <t xml:space="preserve">Clothing Category</t>
  </si>
  <si>
    <t xml:space="preserve">Color</t>
  </si>
  <si>
    <t xml:space="preserve">Size</t>
  </si>
  <si>
    <t xml:space="preserve">SKU</t>
  </si>
  <si>
    <t xml:space="preserve">Quantity Sold</t>
  </si>
  <si>
    <t xml:space="preserve">On Hand Quantity (Real Time)</t>
  </si>
  <si>
    <t xml:space="preserve">In Store Price</t>
  </si>
  <si>
    <t xml:space="preserve">Hour</t>
  </si>
  <si>
    <t xml:space="preserve">Line Revenue</t>
  </si>
  <si>
    <t xml:space="preserve">Model Total Qty</t>
  </si>
  <si>
    <t xml:space="preserve">Model Total Revenue</t>
  </si>
  <si>
    <t xml:space="preserve">First Occ.</t>
  </si>
  <si>
    <t xml:space="preserve">Rank Key</t>
  </si>
  <si>
    <t xml:space="preserve">2026-08-29 12:56:44</t>
  </si>
  <si>
    <t xml:space="preserve">X206</t>
  </si>
  <si>
    <t xml:space="preserve">M</t>
  </si>
  <si>
    <t xml:space="preserve">Mionn Insulated Jacket Men's</t>
  </si>
  <si>
    <t xml:space="preserve">Black</t>
  </si>
  <si>
    <t xml:space="preserve">X000009116004</t>
  </si>
  <si>
    <t xml:space="preserve">Backend Calculations - Hourly Sales Breakdown (Accessories Excluded)</t>
  </si>
  <si>
    <t xml:space="preserve">Hour (24h)</t>
  </si>
  <si>
    <t xml:space="preserve">Hour Label</t>
  </si>
  <si>
    <t xml:space="preserve">Operating Hours (hours with &gt;= 1 sale)</t>
  </si>
</sst>
</file>

<file path=xl/styles.xml><?xml version="1.0" encoding="utf-8"?>
<styleSheet xmlns="http://schemas.openxmlformats.org/spreadsheetml/2006/main">
  <numFmts count="8">
    <numFmt numFmtId="164" formatCode="General"/>
    <numFmt numFmtId="165" formatCode="#,##0"/>
    <numFmt numFmtId="166" formatCode="\$#,##0.00"/>
    <numFmt numFmtId="167" formatCode="0.00"/>
    <numFmt numFmtId="168" formatCode="0.0%"/>
    <numFmt numFmtId="169" formatCode="\$#,##0"/>
    <numFmt numFmtId="170" formatCode="mmm\ d&quot;, &quot;yyyy\ h:mm:ss\ AM/PM"/>
    <numFmt numFmtId="171" formatCode="General"/>
  </numFmts>
  <fonts count="21">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b val="true"/>
      <sz val="10"/>
      <name val="Arial"/>
      <family val="0"/>
      <charset val="1"/>
    </font>
    <font>
      <sz val="10"/>
      <name val="Arial"/>
      <family val="0"/>
      <charset val="1"/>
    </font>
    <font>
      <i val="true"/>
      <sz val="8"/>
      <color rgb="FF666666"/>
      <name val="Arial"/>
      <family val="0"/>
      <charset val="1"/>
    </font>
    <font>
      <b val="true"/>
      <sz val="10"/>
      <color rgb="FF000000"/>
      <name val="Arial"/>
      <family val="0"/>
      <charset val="1"/>
    </font>
    <font>
      <sz val="11"/>
      <color rgb="FF000000"/>
      <name val="Arial"/>
      <family val="0"/>
      <charset val="1"/>
    </font>
    <font>
      <b val="true"/>
      <sz val="12"/>
      <color rgb="FFFFFFFF"/>
      <name val="Arial"/>
      <family val="0"/>
      <charset val="1"/>
    </font>
    <font>
      <b val="true"/>
      <sz val="11"/>
      <color rgb="FF1F2A44"/>
      <name val="Arial"/>
      <family val="0"/>
      <charset val="1"/>
    </font>
    <font>
      <b val="true"/>
      <sz val="11"/>
      <color rgb="FF0000FF"/>
      <name val="Arial"/>
      <family val="0"/>
      <charset val="1"/>
    </font>
    <font>
      <b val="true"/>
      <sz val="10"/>
      <color rgb="FFFFFFFF"/>
      <name val="Arial"/>
      <family val="0"/>
      <charset val="1"/>
    </font>
    <font>
      <sz val="10"/>
      <name val="Arial"/>
      <family val="2"/>
    </font>
    <font>
      <b val="true"/>
      <sz val="18"/>
      <color rgb="FF000000"/>
      <name val="Calibri"/>
      <family val="2"/>
    </font>
    <font>
      <sz val="10"/>
      <color rgb="FF000000"/>
      <name val="Calibri"/>
      <family val="2"/>
    </font>
    <font>
      <b val="true"/>
      <sz val="10"/>
      <color rgb="FF000000"/>
      <name val="Calibri"/>
      <family val="2"/>
    </font>
    <font>
      <b val="true"/>
      <i val="true"/>
      <sz val="9"/>
      <color rgb="FF000000"/>
      <name val="Arial"/>
      <family val="0"/>
      <charset val="1"/>
    </font>
    <font>
      <sz val="10"/>
      <color rgb="FF7F6000"/>
      <name val="Arial"/>
      <family val="0"/>
      <charset val="1"/>
    </font>
    <font>
      <sz val="9"/>
      <color rgb="FF595959"/>
      <name val="Arial"/>
      <family val="0"/>
      <charset val="1"/>
    </font>
  </fonts>
  <fills count="6">
    <fill>
      <patternFill patternType="none"/>
    </fill>
    <fill>
      <patternFill patternType="gray125"/>
    </fill>
    <fill>
      <patternFill patternType="solid">
        <fgColor rgb="FF1F2A44"/>
        <bgColor rgb="FF404040"/>
      </patternFill>
    </fill>
    <fill>
      <patternFill patternType="solid">
        <fgColor rgb="FFF2F2F2"/>
        <bgColor rgb="FFF9F9F9"/>
      </patternFill>
    </fill>
    <fill>
      <patternFill patternType="solid">
        <fgColor rgb="FFFFFF00"/>
        <bgColor rgb="FFFFFF00"/>
      </patternFill>
    </fill>
    <fill>
      <patternFill patternType="solid">
        <fgColor rgb="FF404040"/>
        <bgColor rgb="FF3333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general" vertical="center" textRotation="0" wrapText="false" indent="1" shrinkToFit="false"/>
      <protection locked="true" hidden="false"/>
    </xf>
    <xf numFmtId="164" fontId="8" fillId="3" borderId="0" xfId="0" applyFont="true" applyBorder="true" applyAlignment="true" applyProtection="false">
      <alignment horizontal="general" vertical="bottom" textRotation="0" wrapText="false" indent="1" shrinkToFit="false"/>
      <protection locked="true" hidden="false"/>
    </xf>
    <xf numFmtId="165" fontId="11"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false" indent="1"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6" fontId="11" fillId="3"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5" fontId="12" fillId="4" borderId="1" xfId="0" applyFont="true" applyBorder="true" applyAlignment="false" applyProtection="false">
      <alignment horizontal="general" vertical="bottom" textRotation="0" wrapText="fals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13" fillId="5" borderId="0" xfId="0" applyFont="true" applyBorder="fals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9" fontId="9" fillId="3" borderId="1" xfId="0" applyFont="true" applyBorder="true" applyAlignment="false" applyProtection="false">
      <alignment horizontal="general" vertical="bottom" textRotation="0" wrapText="false" indent="0" shrinkToFit="false"/>
      <protection locked="true" hidden="false"/>
    </xf>
    <xf numFmtId="164" fontId="8" fillId="4" borderId="0" xfId="0" applyFont="true" applyBorder="true" applyAlignment="true" applyProtection="false">
      <alignment horizontal="general" vertical="center" textRotation="0" wrapText="true" indent="1"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70" fontId="19" fillId="4" borderId="1" xfId="0" applyFont="true" applyBorder="true" applyAlignment="false" applyProtection="false">
      <alignment horizontal="general" vertical="bottom" textRotation="0" wrapText="false" indent="0" shrinkToFit="false"/>
      <protection locked="true" hidden="false"/>
    </xf>
    <xf numFmtId="164" fontId="19" fillId="4" borderId="1" xfId="0" applyFont="true" applyBorder="true" applyAlignment="false" applyProtection="false">
      <alignment horizontal="general" vertical="bottom" textRotation="0" wrapText="false" indent="0" shrinkToFit="false"/>
      <protection locked="true" hidden="false"/>
    </xf>
    <xf numFmtId="169" fontId="19" fillId="4" borderId="1" xfId="0" applyFont="true" applyBorder="true" applyAlignment="false" applyProtection="false">
      <alignment horizontal="general" vertical="bottom" textRotation="0" wrapText="false" indent="0" shrinkToFit="false"/>
      <protection locked="true" hidden="false"/>
    </xf>
    <xf numFmtId="171" fontId="20" fillId="0" borderId="0" xfId="0" applyFont="true" applyBorder="false" applyAlignment="false" applyProtection="false">
      <alignment horizontal="general" vertical="bottom" textRotation="0" wrapText="false" indent="0" shrinkToFit="false"/>
      <protection locked="true" hidden="false"/>
    </xf>
    <xf numFmtId="169" fontId="20"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9" fontId="0" fillId="3" borderId="1" xfId="0" applyFont="false" applyBorder="tru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78787"/>
      <rgbColor rgb="FF9999FF"/>
      <rgbColor rgb="FFC0504D"/>
      <rgbColor rgb="FFF9F9F9"/>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BBB59"/>
      <rgbColor rgb="FFFFCC00"/>
      <rgbColor rgb="FFFF9900"/>
      <rgbColor rgb="FFFF6600"/>
      <rgbColor rgb="FF666666"/>
      <rgbColor rgb="FF969696"/>
      <rgbColor rgb="FF1F2A44"/>
      <rgbColor rgb="FF339966"/>
      <rgbColor rgb="FF003300"/>
      <rgbColor rgb="FF333300"/>
      <rgbColor rgb="FF993300"/>
      <rgbColor rgb="FF993366"/>
      <rgbColor rgb="FF59595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3 Sellers - Units Sold (Excl. Accessories)</a:t>
            </a:r>
          </a:p>
        </c:rich>
      </c:tx>
      <c:overlay val="0"/>
      <c:spPr>
        <a:noFill/>
        <a:ln w="0">
          <a:noFill/>
        </a:ln>
      </c:spPr>
    </c:title>
    <c:autoTitleDeleted val="0"/>
    <c:plotArea>
      <c:barChart>
        <c:barDir val="col"/>
        <c:grouping val="clustered"/>
        <c:varyColors val="0"/>
        <c:ser>
          <c:idx val="0"/>
          <c:order val="0"/>
          <c:tx>
            <c:strRef>
              <c:f>Dashboard!C26</c:f>
              <c:strCache>
                <c:ptCount val="1"/>
                <c:pt idx="0">
                  <c:v>Units Sold</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Dashboard!$B$27:$B$29</c:f>
              <c:strCache>
                <c:ptCount val="3"/>
                <c:pt idx="0">
                  <c:v>Mionn Insulated Jacket Men's</c:v>
                </c:pt>
                <c:pt idx="1">
                  <c:v>N/A</c:v>
                </c:pt>
                <c:pt idx="2">
                  <c:v>N/A</c:v>
                </c:pt>
              </c:strCache>
            </c:strRef>
          </c:cat>
          <c:val>
            <c:numRef>
              <c:f>Dashboard!$C$27:$C$29</c:f>
              <c:numCache>
                <c:formatCode>#,##0</c:formatCode>
                <c:ptCount val="3"/>
                <c:pt idx="0">
                  <c:v>1</c:v>
                </c:pt>
                <c:pt idx="1">
                  <c:v>0</c:v>
                </c:pt>
                <c:pt idx="2">
                  <c:v>0</c:v>
                </c:pt>
              </c:numCache>
            </c:numRef>
          </c:val>
        </c:ser>
        <c:gapWidth val="150"/>
        <c:overlap val="0"/>
        <c:axId val="20394360"/>
        <c:axId val="64094443"/>
      </c:barChart>
      <c:catAx>
        <c:axId val="2039436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Model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094443"/>
        <c:crosses val="autoZero"/>
        <c:auto val="1"/>
        <c:lblAlgn val="ctr"/>
        <c:lblOffset val="100"/>
        <c:noMultiLvlLbl val="0"/>
      </c:catAx>
      <c:valAx>
        <c:axId val="6409444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Units Sold</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39436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Units Sold by Hour (Excl. Accessories)</a:t>
            </a:r>
          </a:p>
        </c:rich>
      </c:tx>
      <c:overlay val="0"/>
      <c:spPr>
        <a:noFill/>
        <a:ln w="0">
          <a:noFill/>
        </a:ln>
      </c:spPr>
    </c:title>
    <c:autoTitleDeleted val="0"/>
    <c:plotArea>
      <c:barChart>
        <c:barDir val="col"/>
        <c:grouping val="clustered"/>
        <c:varyColors val="0"/>
        <c:ser>
          <c:idx val="0"/>
          <c:order val="0"/>
          <c:tx>
            <c:strRef>
              <c:f>Calc!C2</c:f>
              <c:strCache>
                <c:ptCount val="1"/>
                <c:pt idx="0">
                  <c:v>Units Sold</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Calc!$B$3:$B$26</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Calc!$C$3:$C$26</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1</c:v>
                </c:pt>
                <c:pt idx="13">
                  <c:v>0</c:v>
                </c:pt>
                <c:pt idx="14">
                  <c:v>0</c:v>
                </c:pt>
                <c:pt idx="15">
                  <c:v>0</c:v>
                </c:pt>
                <c:pt idx="16">
                  <c:v>0</c:v>
                </c:pt>
                <c:pt idx="17">
                  <c:v>0</c:v>
                </c:pt>
                <c:pt idx="18">
                  <c:v>0</c:v>
                </c:pt>
                <c:pt idx="19">
                  <c:v>0</c:v>
                </c:pt>
                <c:pt idx="20">
                  <c:v>0</c:v>
                </c:pt>
                <c:pt idx="21">
                  <c:v>0</c:v>
                </c:pt>
                <c:pt idx="22">
                  <c:v>0</c:v>
                </c:pt>
                <c:pt idx="23">
                  <c:v>0</c:v>
                </c:pt>
              </c:numCache>
            </c:numRef>
          </c:val>
        </c:ser>
        <c:gapWidth val="150"/>
        <c:overlap val="0"/>
        <c:axId val="7526301"/>
        <c:axId val="72759176"/>
      </c:barChart>
      <c:catAx>
        <c:axId val="752630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Hour of Day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759176"/>
        <c:crosses val="autoZero"/>
        <c:auto val="1"/>
        <c:lblAlgn val="ctr"/>
        <c:lblOffset val="100"/>
        <c:noMultiLvlLbl val="0"/>
      </c:catAx>
      <c:valAx>
        <c:axId val="7275917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Units Sold</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2630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Revenue by Hour (Excl. Accessories)</a:t>
            </a:r>
          </a:p>
        </c:rich>
      </c:tx>
      <c:overlay val="0"/>
      <c:spPr>
        <a:noFill/>
        <a:ln w="0">
          <a:noFill/>
        </a:ln>
      </c:spPr>
    </c:title>
    <c:autoTitleDeleted val="0"/>
    <c:plotArea>
      <c:barChart>
        <c:barDir val="col"/>
        <c:grouping val="clustered"/>
        <c:varyColors val="0"/>
        <c:ser>
          <c:idx val="0"/>
          <c:order val="0"/>
          <c:tx>
            <c:strRef>
              <c:f>Calc!D2</c:f>
              <c:strCache>
                <c:ptCount val="1"/>
                <c:pt idx="0">
                  <c:v>Revenue</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Calc!$B$3:$B$26</c:f>
              <c:strCache>
                <c:ptCount val="24"/>
                <c:pt idx="0">
                  <c:v>12 AM</c:v>
                </c:pt>
                <c:pt idx="1">
                  <c:v>1 AM</c:v>
                </c:pt>
                <c:pt idx="2">
                  <c:v>2 AM</c:v>
                </c:pt>
                <c:pt idx="3">
                  <c:v>3 AM</c:v>
                </c:pt>
                <c:pt idx="4">
                  <c:v>4 AM</c:v>
                </c:pt>
                <c:pt idx="5">
                  <c:v>5 AM</c:v>
                </c:pt>
                <c:pt idx="6">
                  <c:v>6 AM</c:v>
                </c:pt>
                <c:pt idx="7">
                  <c:v>7 AM</c:v>
                </c:pt>
                <c:pt idx="8">
                  <c:v>8 AM</c:v>
                </c:pt>
                <c:pt idx="9">
                  <c:v>9 AM</c:v>
                </c:pt>
                <c:pt idx="10">
                  <c:v>10 AM</c:v>
                </c:pt>
                <c:pt idx="11">
                  <c:v>11 AM</c:v>
                </c:pt>
                <c:pt idx="12">
                  <c:v>12 PM</c:v>
                </c:pt>
                <c:pt idx="13">
                  <c:v>1 PM</c:v>
                </c:pt>
                <c:pt idx="14">
                  <c:v>2 PM</c:v>
                </c:pt>
                <c:pt idx="15">
                  <c:v>3 PM</c:v>
                </c:pt>
                <c:pt idx="16">
                  <c:v>4 PM</c:v>
                </c:pt>
                <c:pt idx="17">
                  <c:v>5 PM</c:v>
                </c:pt>
                <c:pt idx="18">
                  <c:v>6 PM</c:v>
                </c:pt>
                <c:pt idx="19">
                  <c:v>7 PM</c:v>
                </c:pt>
                <c:pt idx="20">
                  <c:v>8 PM</c:v>
                </c:pt>
                <c:pt idx="21">
                  <c:v>9 PM</c:v>
                </c:pt>
                <c:pt idx="22">
                  <c:v>10 PM</c:v>
                </c:pt>
                <c:pt idx="23">
                  <c:v>11 PM</c:v>
                </c:pt>
              </c:strCache>
            </c:strRef>
          </c:cat>
          <c:val>
            <c:numRef>
              <c:f>Calc!$D$3:$D$26</c:f>
              <c:numCache>
                <c:formatCode>\$#,##0</c:formatCode>
                <c:ptCount val="24"/>
                <c:pt idx="0">
                  <c:v>0</c:v>
                </c:pt>
                <c:pt idx="1">
                  <c:v>0</c:v>
                </c:pt>
                <c:pt idx="2">
                  <c:v>0</c:v>
                </c:pt>
                <c:pt idx="3">
                  <c:v>0</c:v>
                </c:pt>
                <c:pt idx="4">
                  <c:v>0</c:v>
                </c:pt>
                <c:pt idx="5">
                  <c:v>0</c:v>
                </c:pt>
                <c:pt idx="6">
                  <c:v>0</c:v>
                </c:pt>
                <c:pt idx="7">
                  <c:v>0</c:v>
                </c:pt>
                <c:pt idx="8">
                  <c:v>0</c:v>
                </c:pt>
                <c:pt idx="9">
                  <c:v>0</c:v>
                </c:pt>
                <c:pt idx="10">
                  <c:v>0</c:v>
                </c:pt>
                <c:pt idx="11">
                  <c:v>0</c:v>
                </c:pt>
                <c:pt idx="12">
                  <c:v>560</c:v>
                </c:pt>
                <c:pt idx="13">
                  <c:v>0</c:v>
                </c:pt>
                <c:pt idx="14">
                  <c:v>0</c:v>
                </c:pt>
                <c:pt idx="15">
                  <c:v>0</c:v>
                </c:pt>
                <c:pt idx="16">
                  <c:v>0</c:v>
                </c:pt>
                <c:pt idx="17">
                  <c:v>0</c:v>
                </c:pt>
                <c:pt idx="18">
                  <c:v>0</c:v>
                </c:pt>
                <c:pt idx="19">
                  <c:v>0</c:v>
                </c:pt>
                <c:pt idx="20">
                  <c:v>0</c:v>
                </c:pt>
                <c:pt idx="21">
                  <c:v>0</c:v>
                </c:pt>
                <c:pt idx="22">
                  <c:v>0</c:v>
                </c:pt>
                <c:pt idx="23">
                  <c:v>0</c:v>
                </c:pt>
              </c:numCache>
            </c:numRef>
          </c:val>
        </c:ser>
        <c:gapWidth val="150"/>
        <c:overlap val="0"/>
        <c:axId val="57546442"/>
        <c:axId val="11279145"/>
      </c:barChart>
      <c:catAx>
        <c:axId val="5754644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Hour of Day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279145"/>
        <c:crosses val="autoZero"/>
        <c:auto val="1"/>
        <c:lblAlgn val="ctr"/>
        <c:lblOffset val="100"/>
        <c:noMultiLvlLbl val="0"/>
      </c:catAx>
      <c:valAx>
        <c:axId val="1127914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Revenue ($)</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54644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Units Sold Mix by Category</a:t>
            </a:r>
          </a:p>
        </c:rich>
      </c:tx>
      <c:overlay val="0"/>
      <c:spPr>
        <a:noFill/>
        <a:ln w="0">
          <a:noFill/>
        </a:ln>
      </c:spPr>
    </c:title>
    <c:autoTitleDeleted val="0"/>
    <c:plotArea>
      <c:pieChart>
        <c:varyColors val="1"/>
        <c:ser>
          <c:idx val="0"/>
          <c:order val="0"/>
          <c:tx>
            <c:strRef>
              <c:f>Dashboard!B32</c:f>
              <c:strCache>
                <c:ptCount val="1"/>
                <c:pt idx="0">
                  <c:v>Units</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Dashboard!$A$33:$A$35</c:f>
              <c:strCache>
                <c:ptCount val="3"/>
                <c:pt idx="0">
                  <c:v>Men's (M)</c:v>
                </c:pt>
                <c:pt idx="1">
                  <c:v>Women's (W)</c:v>
                </c:pt>
                <c:pt idx="2">
                  <c:v>Accessories/Unisex (U)</c:v>
                </c:pt>
              </c:strCache>
            </c:strRef>
          </c:cat>
          <c:val>
            <c:numRef>
              <c:f>Dashboard!$B$33:$B$35</c:f>
              <c:numCache>
                <c:formatCode>#,##0</c:formatCode>
                <c:ptCount val="3"/>
                <c:pt idx="0">
                  <c:v>1</c:v>
                </c:pt>
                <c:pt idx="1">
                  <c:v>0</c:v>
                </c:pt>
                <c:pt idx="2">
                  <c:v>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4</xdr:row>
      <xdr:rowOff>0</xdr:rowOff>
    </xdr:from>
    <xdr:to>
      <xdr:col>13</xdr:col>
      <xdr:colOff>425520</xdr:colOff>
      <xdr:row>18</xdr:row>
      <xdr:rowOff>98280</xdr:rowOff>
    </xdr:to>
    <xdr:graphicFrame>
      <xdr:nvGraphicFramePr>
        <xdr:cNvPr id="0" name="Chart 1"/>
        <xdr:cNvGraphicFramePr/>
      </xdr:nvGraphicFramePr>
      <xdr:xfrm>
        <a:off x="9779040" y="95256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22</xdr:row>
      <xdr:rowOff>0</xdr:rowOff>
    </xdr:from>
    <xdr:to>
      <xdr:col>13</xdr:col>
      <xdr:colOff>425520</xdr:colOff>
      <xdr:row>35</xdr:row>
      <xdr:rowOff>126720</xdr:rowOff>
    </xdr:to>
    <xdr:graphicFrame>
      <xdr:nvGraphicFramePr>
        <xdr:cNvPr id="1" name="Chart 2"/>
        <xdr:cNvGraphicFramePr/>
      </xdr:nvGraphicFramePr>
      <xdr:xfrm>
        <a:off x="9779040" y="4495680"/>
        <a:ext cx="575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40</xdr:row>
      <xdr:rowOff>0</xdr:rowOff>
    </xdr:from>
    <xdr:to>
      <xdr:col>13</xdr:col>
      <xdr:colOff>425520</xdr:colOff>
      <xdr:row>55</xdr:row>
      <xdr:rowOff>22320</xdr:rowOff>
    </xdr:to>
    <xdr:graphicFrame>
      <xdr:nvGraphicFramePr>
        <xdr:cNvPr id="2" name="Chart 3"/>
        <xdr:cNvGraphicFramePr/>
      </xdr:nvGraphicFramePr>
      <xdr:xfrm>
        <a:off x="9779040" y="8201160"/>
        <a:ext cx="5759640" cy="287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0</xdr:colOff>
      <xdr:row>58</xdr:row>
      <xdr:rowOff>0</xdr:rowOff>
    </xdr:from>
    <xdr:to>
      <xdr:col>13</xdr:col>
      <xdr:colOff>425520</xdr:colOff>
      <xdr:row>73</xdr:row>
      <xdr:rowOff>22320</xdr:rowOff>
    </xdr:to>
    <xdr:graphicFrame>
      <xdr:nvGraphicFramePr>
        <xdr:cNvPr id="3" name="Chart 4"/>
        <xdr:cNvGraphicFramePr/>
      </xdr:nvGraphicFramePr>
      <xdr:xfrm>
        <a:off x="9779040" y="11630160"/>
        <a:ext cx="5759640" cy="287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00"/>
  </cols>
  <sheetData>
    <row r="1" customFormat="false" ht="27.75" hidden="false" customHeight="true" outlineLevel="0" collapsed="false">
      <c r="A1" s="1" t="s">
        <v>0</v>
      </c>
      <c r="B1" s="1"/>
    </row>
    <row r="3" customFormat="false" ht="31.5" hidden="false" customHeight="true" outlineLevel="0" collapsed="false">
      <c r="A3" s="2" t="s">
        <v>1</v>
      </c>
      <c r="B3" s="3" t="s">
        <v>2</v>
      </c>
    </row>
    <row r="4" customFormat="false" ht="31.5" hidden="false" customHeight="true" outlineLevel="0" collapsed="false">
      <c r="A4" s="2" t="s">
        <v>3</v>
      </c>
      <c r="B4" s="3" t="s">
        <v>4</v>
      </c>
    </row>
    <row r="5" customFormat="false" ht="31.5" hidden="false" customHeight="true" outlineLevel="0" collapsed="false">
      <c r="A5" s="2" t="s">
        <v>5</v>
      </c>
      <c r="B5" s="3" t="s">
        <v>6</v>
      </c>
    </row>
    <row r="6" customFormat="false" ht="31.5" hidden="false" customHeight="true" outlineLevel="0" collapsed="false">
      <c r="A6" s="2" t="s">
        <v>7</v>
      </c>
      <c r="B6" s="3" t="s">
        <v>8</v>
      </c>
    </row>
    <row r="7" customFormat="false" ht="31.5" hidden="false" customHeight="true" outlineLevel="0" collapsed="false">
      <c r="A7" s="2" t="s">
        <v>9</v>
      </c>
      <c r="B7" s="3" t="s">
        <v>10</v>
      </c>
    </row>
    <row r="8" customFormat="false" ht="15.75" hidden="false" customHeight="true" outlineLevel="0" collapsed="false">
      <c r="A8" s="2"/>
      <c r="B8" s="3"/>
    </row>
    <row r="9" customFormat="false" ht="15.75" hidden="false" customHeight="true" outlineLevel="0" collapsed="false">
      <c r="A9" s="2" t="s">
        <v>11</v>
      </c>
      <c r="B9" s="3"/>
    </row>
    <row r="10" customFormat="false" ht="31.5" hidden="false" customHeight="true" outlineLevel="0" collapsed="false">
      <c r="A10" s="2"/>
      <c r="B10" s="3" t="s">
        <v>12</v>
      </c>
    </row>
    <row r="11" customFormat="false" ht="31.5" hidden="false" customHeight="true" outlineLevel="0" collapsed="false">
      <c r="A11" s="2"/>
      <c r="B11" s="3" t="s">
        <v>13</v>
      </c>
    </row>
    <row r="12" customFormat="false" ht="31.5" hidden="false" customHeight="true" outlineLevel="0" collapsed="false">
      <c r="A12" s="2"/>
      <c r="B12" s="3" t="s">
        <v>14</v>
      </c>
    </row>
    <row r="14" customFormat="false" ht="43.5" hidden="false" customHeight="true" outlineLevel="0" collapsed="false">
      <c r="A14" s="4" t="s">
        <v>15</v>
      </c>
      <c r="B14" s="4"/>
    </row>
  </sheetData>
  <mergeCells count="2">
    <mergeCell ref="A1:B1"/>
    <mergeCell ref="A14:B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5"/>
  <sheetViews>
    <sheetView showFormulas="false" showGridLines="fals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6" min="2" style="0" width="14"/>
    <col collapsed="false" customWidth="true" hidden="false" outlineLevel="0" max="17" min="7" style="0" width="10"/>
  </cols>
  <sheetData>
    <row r="1" customFormat="false" ht="30" hidden="false" customHeight="true" outlineLevel="0" collapsed="false">
      <c r="A1" s="1" t="s">
        <v>16</v>
      </c>
      <c r="B1" s="1"/>
      <c r="C1" s="1"/>
      <c r="D1" s="1"/>
      <c r="E1" s="1"/>
      <c r="F1" s="1"/>
    </row>
    <row r="3" customFormat="false" ht="15" hidden="false" customHeight="false" outlineLevel="0" collapsed="false">
      <c r="A3" s="5" t="s">
        <v>17</v>
      </c>
      <c r="B3" s="6" t="str">
        <f aca="false">IF('Sales Data'!B3="","",'Sales Data'!B3)</f>
        <v>X206</v>
      </c>
      <c r="D3" s="5" t="s">
        <v>18</v>
      </c>
      <c r="E3" s="6" t="str">
        <f aca="false">IFERROR(TEXT('Sales Data'!A3,"mmmm d, yyyy"),"")</f>
        <v>August 29, 2026</v>
      </c>
    </row>
    <row r="5" customFormat="false" ht="19.5" hidden="false" customHeight="true" outlineLevel="0" collapsed="false">
      <c r="A5" s="7" t="s">
        <v>19</v>
      </c>
      <c r="B5" s="7"/>
      <c r="C5" s="7"/>
      <c r="D5" s="7"/>
      <c r="E5" s="7"/>
      <c r="F5" s="7"/>
    </row>
    <row r="6" customFormat="false" ht="15" hidden="false" customHeight="false" outlineLevel="0" collapsed="false">
      <c r="A6" s="8" t="s">
        <v>20</v>
      </c>
      <c r="B6" s="8"/>
      <c r="C6" s="9" t="n">
        <f aca="false">Calc!C29</f>
        <v>1</v>
      </c>
    </row>
    <row r="7" customFormat="false" ht="15" hidden="false" customHeight="false" outlineLevel="0" collapsed="false">
      <c r="A7" s="10" t="s">
        <v>21</v>
      </c>
      <c r="B7" s="10"/>
      <c r="C7" s="11" t="n">
        <f aca="false">Calc!C30</f>
        <v>560</v>
      </c>
    </row>
    <row r="8" customFormat="false" ht="15" hidden="false" customHeight="false" outlineLevel="0" collapsed="false">
      <c r="A8" s="8" t="s">
        <v>22</v>
      </c>
      <c r="B8" s="8"/>
      <c r="C8" s="9" t="n">
        <f aca="false">SUM('Sales Data'!I3:I302)</f>
        <v>1</v>
      </c>
    </row>
    <row r="9" customFormat="false" ht="15" hidden="false" customHeight="false" outlineLevel="0" collapsed="false">
      <c r="A9" s="10" t="s">
        <v>23</v>
      </c>
      <c r="B9" s="10"/>
      <c r="C9" s="11" t="n">
        <f aca="false">SUM('Sales Data'!N3:N302)</f>
        <v>560</v>
      </c>
    </row>
    <row r="10" customFormat="false" ht="15" hidden="false" customHeight="false" outlineLevel="0" collapsed="false">
      <c r="A10" s="8" t="s">
        <v>24</v>
      </c>
      <c r="B10" s="8"/>
      <c r="C10" s="12" t="n">
        <f aca="false">IFERROR(C9/C8,0)</f>
        <v>560</v>
      </c>
    </row>
    <row r="11" customFormat="false" ht="15" hidden="false" customHeight="false" outlineLevel="0" collapsed="false">
      <c r="A11" s="10" t="s">
        <v>25</v>
      </c>
      <c r="B11" s="10"/>
      <c r="C11" s="13" t="n">
        <f aca="false">Calc!C31</f>
        <v>1</v>
      </c>
    </row>
    <row r="12" customFormat="false" ht="15" hidden="false" customHeight="false" outlineLevel="0" collapsed="false">
      <c r="A12" s="8" t="s">
        <v>26</v>
      </c>
      <c r="B12" s="8"/>
      <c r="C12" s="12" t="n">
        <f aca="false">Calc!C32</f>
        <v>560</v>
      </c>
    </row>
    <row r="13" customFormat="false" ht="15" hidden="false" customHeight="false" outlineLevel="0" collapsed="false">
      <c r="A13" s="10" t="s">
        <v>27</v>
      </c>
      <c r="B13" s="10"/>
      <c r="C13" s="14" t="str">
        <f aca="false">Calc!C33</f>
        <v>12 PM</v>
      </c>
    </row>
    <row r="14" customFormat="false" ht="15" hidden="false" customHeight="false" outlineLevel="0" collapsed="false">
      <c r="A14" s="8" t="s">
        <v>28</v>
      </c>
      <c r="B14" s="8"/>
      <c r="C14" s="15" t="str">
        <f aca="false">Calc!C34</f>
        <v>12 PM</v>
      </c>
    </row>
    <row r="15" customFormat="false" ht="15" hidden="false" customHeight="false" outlineLevel="0" collapsed="false">
      <c r="A15" s="10" t="s">
        <v>29</v>
      </c>
      <c r="B15" s="10"/>
      <c r="C15" s="16" t="n">
        <f aca="false">COUNTIFS('Sales Data'!J3:J302,0,'Sales Data'!C3:C302,"&lt;&gt;U")</f>
        <v>0</v>
      </c>
    </row>
    <row r="17" customFormat="false" ht="19.5" hidden="false" customHeight="true" outlineLevel="0" collapsed="false">
      <c r="A17" s="7" t="s">
        <v>30</v>
      </c>
      <c r="B17" s="7"/>
      <c r="C17" s="7"/>
      <c r="D17" s="7"/>
      <c r="E17" s="7"/>
      <c r="F17" s="7"/>
    </row>
    <row r="18" customFormat="false" ht="15" hidden="false" customHeight="false" outlineLevel="0" collapsed="false">
      <c r="A18" s="17" t="s">
        <v>31</v>
      </c>
      <c r="B18" s="17"/>
      <c r="C18" s="18" t="n">
        <v>0</v>
      </c>
    </row>
    <row r="19" customFormat="false" ht="15" hidden="false" customHeight="false" outlineLevel="0" collapsed="false">
      <c r="A19" s="17" t="s">
        <v>32</v>
      </c>
      <c r="B19" s="17"/>
      <c r="C19" s="18" t="n">
        <v>0</v>
      </c>
    </row>
    <row r="20" customFormat="false" ht="15" hidden="false" customHeight="false" outlineLevel="0" collapsed="false">
      <c r="A20" s="17" t="s">
        <v>33</v>
      </c>
      <c r="B20" s="17"/>
      <c r="C20" s="19" t="n">
        <f aca="false">IFERROR(C19/C18,0)</f>
        <v>0</v>
      </c>
    </row>
    <row r="21" customFormat="false" ht="15" hidden="false" customHeight="false" outlineLevel="0" collapsed="false">
      <c r="A21" s="17" t="s">
        <v>34</v>
      </c>
      <c r="B21" s="17"/>
      <c r="C21" s="11" t="n">
        <f aca="false">IFERROR(C9/C19,0)</f>
        <v>0</v>
      </c>
    </row>
    <row r="22" customFormat="false" ht="15" hidden="false" customHeight="false" outlineLevel="0" collapsed="false">
      <c r="A22" s="17" t="s">
        <v>35</v>
      </c>
      <c r="B22" s="17"/>
      <c r="C22" s="13" t="n">
        <f aca="false">IFERROR(C8/C19,0)</f>
        <v>0</v>
      </c>
    </row>
    <row r="23" customFormat="false" ht="27.75" hidden="false" customHeight="true" outlineLevel="0" collapsed="false">
      <c r="A23" s="4" t="s">
        <v>36</v>
      </c>
      <c r="B23" s="4"/>
      <c r="C23" s="4"/>
      <c r="D23" s="4"/>
      <c r="E23" s="4"/>
      <c r="F23" s="4"/>
    </row>
    <row r="25" customFormat="false" ht="19.5" hidden="false" customHeight="true" outlineLevel="0" collapsed="false">
      <c r="A25" s="7" t="s">
        <v>37</v>
      </c>
      <c r="B25" s="7"/>
      <c r="C25" s="7"/>
      <c r="D25" s="7"/>
    </row>
    <row r="26" customFormat="false" ht="15" hidden="false" customHeight="false" outlineLevel="0" collapsed="false">
      <c r="A26" s="20" t="s">
        <v>38</v>
      </c>
      <c r="B26" s="20" t="s">
        <v>39</v>
      </c>
      <c r="C26" s="20" t="s">
        <v>40</v>
      </c>
      <c r="D26" s="20" t="s">
        <v>41</v>
      </c>
    </row>
    <row r="27" customFormat="false" ht="15" hidden="false" customHeight="false" outlineLevel="0" collapsed="false">
      <c r="A27" s="21" t="n">
        <v>1</v>
      </c>
      <c r="B27" s="21" t="str">
        <f aca="false">IFERROR(INDEX('Sales Data'!$E$3:$E$302,MATCH(LARGE('Sales Data'!$R$3:$R$302,1),'Sales Data'!$R$3:$R$302,0)),"N/A")</f>
        <v>Mionn Insulated Jacket Men's</v>
      </c>
      <c r="C27" s="22" t="n">
        <f aca="false">IFERROR(INDEX('Sales Data'!$O$3:$O$302,MATCH(LARGE('Sales Data'!$R$3:$R$302,1),'Sales Data'!$R$3:$R$302,0)),0)</f>
        <v>1</v>
      </c>
      <c r="D27" s="23" t="n">
        <f aca="false">IFERROR(INDEX('Sales Data'!$P$3:$P$302,MATCH(LARGE('Sales Data'!$R$3:$R$302,1),'Sales Data'!$R$3:$R$302,0)),0)</f>
        <v>560</v>
      </c>
    </row>
    <row r="28" customFormat="false" ht="15" hidden="false" customHeight="false" outlineLevel="0" collapsed="false">
      <c r="A28" s="24" t="n">
        <v>2</v>
      </c>
      <c r="B28" s="24" t="str">
        <f aca="false">IFERROR(INDEX('Sales Data'!$E$3:$E$302,MATCH(LARGE('Sales Data'!$R$3:$R$302,2),'Sales Data'!$R$3:$R$302,0)),"N/A")</f>
        <v>N/A</v>
      </c>
      <c r="C28" s="25" t="n">
        <f aca="false">IFERROR(INDEX('Sales Data'!$O$3:$O$302,MATCH(LARGE('Sales Data'!$R$3:$R$302,2),'Sales Data'!$R$3:$R$302,0)),0)</f>
        <v>0</v>
      </c>
      <c r="D28" s="26" t="n">
        <f aca="false">IFERROR(INDEX('Sales Data'!$P$3:$P$302,MATCH(LARGE('Sales Data'!$R$3:$R$302,2),'Sales Data'!$R$3:$R$302,0)),0)</f>
        <v>0</v>
      </c>
    </row>
    <row r="29" customFormat="false" ht="15" hidden="false" customHeight="false" outlineLevel="0" collapsed="false">
      <c r="A29" s="21" t="n">
        <v>3</v>
      </c>
      <c r="B29" s="21" t="str">
        <f aca="false">IFERROR(INDEX('Sales Data'!$E$3:$E$302,MATCH(LARGE('Sales Data'!$R$3:$R$302,3),'Sales Data'!$R$3:$R$302,0)),"N/A")</f>
        <v>N/A</v>
      </c>
      <c r="C29" s="22" t="n">
        <f aca="false">IFERROR(INDEX('Sales Data'!$O$3:$O$302,MATCH(LARGE('Sales Data'!$R$3:$R$302,3),'Sales Data'!$R$3:$R$302,0)),0)</f>
        <v>0</v>
      </c>
      <c r="D29" s="23" t="n">
        <f aca="false">IFERROR(INDEX('Sales Data'!$P$3:$P$302,MATCH(LARGE('Sales Data'!$R$3:$R$302,3),'Sales Data'!$R$3:$R$302,0)),0)</f>
        <v>0</v>
      </c>
    </row>
    <row r="31" customFormat="false" ht="19.5" hidden="false" customHeight="true" outlineLevel="0" collapsed="false">
      <c r="A31" s="7" t="s">
        <v>42</v>
      </c>
      <c r="B31" s="7"/>
      <c r="C31" s="7"/>
      <c r="D31" s="7"/>
    </row>
    <row r="32" customFormat="false" ht="15" hidden="false" customHeight="false" outlineLevel="0" collapsed="false">
      <c r="A32" s="20" t="s">
        <v>43</v>
      </c>
      <c r="B32" s="20" t="s">
        <v>44</v>
      </c>
      <c r="C32" s="20" t="s">
        <v>41</v>
      </c>
    </row>
    <row r="33" customFormat="false" ht="15" hidden="false" customHeight="false" outlineLevel="0" collapsed="false">
      <c r="A33" s="21" t="s">
        <v>45</v>
      </c>
      <c r="B33" s="22" t="n">
        <f aca="false">SUMIFS('Sales Data'!$I$3:$I$302,'Sales Data'!$C$3:$C$302,"M")</f>
        <v>1</v>
      </c>
      <c r="C33" s="23" t="n">
        <f aca="false">SUMIFS('Sales Data'!$N$3:$N$302,'Sales Data'!$C$3:$C$302,"M")</f>
        <v>560</v>
      </c>
    </row>
    <row r="34" customFormat="false" ht="15" hidden="false" customHeight="false" outlineLevel="0" collapsed="false">
      <c r="A34" s="24" t="s">
        <v>46</v>
      </c>
      <c r="B34" s="25" t="n">
        <f aca="false">SUMIFS('Sales Data'!$I$3:$I$302,'Sales Data'!$C$3:$C$302,"W")</f>
        <v>0</v>
      </c>
      <c r="C34" s="26" t="n">
        <f aca="false">SUMIFS('Sales Data'!$N$3:$N$302,'Sales Data'!$C$3:$C$302,"W")</f>
        <v>0</v>
      </c>
    </row>
    <row r="35" customFormat="false" ht="15" hidden="false" customHeight="false" outlineLevel="0" collapsed="false">
      <c r="A35" s="21" t="s">
        <v>47</v>
      </c>
      <c r="B35" s="22" t="n">
        <f aca="false">SUMIFS('Sales Data'!$I$3:$I$302,'Sales Data'!$C$3:$C$302,"U")</f>
        <v>0</v>
      </c>
      <c r="C35" s="23" t="n">
        <f aca="false">SUMIFS('Sales Data'!$N$3:$N$302,'Sales Data'!$C$3:$C$302,"U")</f>
        <v>0</v>
      </c>
    </row>
  </sheetData>
  <mergeCells count="21">
    <mergeCell ref="A1:F1"/>
    <mergeCell ref="A5:F5"/>
    <mergeCell ref="A6:B6"/>
    <mergeCell ref="A7:B7"/>
    <mergeCell ref="A8:B8"/>
    <mergeCell ref="A9:B9"/>
    <mergeCell ref="A10:B10"/>
    <mergeCell ref="A11:B11"/>
    <mergeCell ref="A12:B12"/>
    <mergeCell ref="A13:B13"/>
    <mergeCell ref="A14:B14"/>
    <mergeCell ref="A15:B15"/>
    <mergeCell ref="A17:F17"/>
    <mergeCell ref="A18:B18"/>
    <mergeCell ref="A19:B19"/>
    <mergeCell ref="A20:B20"/>
    <mergeCell ref="A21:B21"/>
    <mergeCell ref="A22:B22"/>
    <mergeCell ref="A23:F23"/>
    <mergeCell ref="A25:D25"/>
    <mergeCell ref="A31:D3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3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8"/>
    <col collapsed="false" customWidth="true" hidden="false" outlineLevel="0" max="4" min="4" style="0" width="16"/>
    <col collapsed="false" customWidth="true" hidden="false" outlineLevel="0" max="5" min="5" style="0" width="30"/>
    <col collapsed="false" customWidth="true" hidden="false" outlineLevel="0" max="6" min="6" style="0" width="16"/>
    <col collapsed="false" customWidth="true" hidden="false" outlineLevel="0" max="7" min="7" style="0" width="8"/>
    <col collapsed="false" customWidth="true" hidden="false" outlineLevel="0" max="8" min="8" style="0" width="16"/>
    <col collapsed="false" customWidth="true" hidden="false" outlineLevel="0" max="9" min="9" style="0" width="12"/>
    <col collapsed="false" customWidth="true" hidden="false" outlineLevel="0" max="10" min="10" style="0" width="14"/>
    <col collapsed="false" customWidth="true" hidden="false" outlineLevel="0" max="11" min="11" style="0" width="13"/>
    <col collapsed="false" customWidth="true" hidden="false" outlineLevel="0" max="13" min="13" style="0" width="6"/>
    <col collapsed="false" customWidth="true" hidden="false" outlineLevel="0" max="14" min="14" style="0" width="12"/>
    <col collapsed="false" customWidth="true" hidden="false" outlineLevel="0" max="15" min="15" style="0" width="13"/>
    <col collapsed="false" customWidth="true" hidden="false" outlineLevel="0" max="16" min="16" style="0" width="15"/>
    <col collapsed="false" customWidth="true" hidden="false" outlineLevel="0" max="17" min="17" style="0" width="9"/>
    <col collapsed="false" customWidth="true" hidden="false" outlineLevel="0" max="18" min="18" style="0" width="12"/>
  </cols>
  <sheetData>
    <row r="1" customFormat="false" ht="30" hidden="false" customHeight="true" outlineLevel="0" collapsed="false">
      <c r="A1" s="27" t="s">
        <v>48</v>
      </c>
      <c r="B1" s="27"/>
      <c r="C1" s="27"/>
      <c r="D1" s="27"/>
      <c r="E1" s="27"/>
      <c r="F1" s="27"/>
      <c r="G1" s="27"/>
      <c r="H1" s="27"/>
      <c r="I1" s="27"/>
      <c r="J1" s="27"/>
      <c r="K1" s="27"/>
    </row>
    <row r="2" customFormat="false" ht="30" hidden="false" customHeight="true" outlineLevel="0" collapsed="false">
      <c r="A2" s="28" t="s">
        <v>49</v>
      </c>
      <c r="B2" s="28" t="s">
        <v>50</v>
      </c>
      <c r="C2" s="28" t="s">
        <v>51</v>
      </c>
      <c r="D2" s="28" t="s">
        <v>52</v>
      </c>
      <c r="E2" s="28" t="s">
        <v>39</v>
      </c>
      <c r="F2" s="28" t="s">
        <v>53</v>
      </c>
      <c r="G2" s="28" t="s">
        <v>54</v>
      </c>
      <c r="H2" s="28" t="s">
        <v>55</v>
      </c>
      <c r="I2" s="28" t="s">
        <v>56</v>
      </c>
      <c r="J2" s="28" t="s">
        <v>57</v>
      </c>
      <c r="K2" s="28" t="s">
        <v>58</v>
      </c>
      <c r="M2" s="29" t="s">
        <v>59</v>
      </c>
      <c r="N2" s="29" t="s">
        <v>60</v>
      </c>
      <c r="O2" s="29" t="s">
        <v>61</v>
      </c>
      <c r="P2" s="29" t="s">
        <v>62</v>
      </c>
      <c r="Q2" s="29" t="s">
        <v>63</v>
      </c>
      <c r="R2" s="29" t="s">
        <v>64</v>
      </c>
    </row>
    <row r="3" customFormat="false" ht="15" hidden="false" customHeight="false" outlineLevel="0" collapsed="false">
      <c r="A3" s="30" t="s">
        <v>65</v>
      </c>
      <c r="B3" s="31" t="s">
        <v>66</v>
      </c>
      <c r="C3" s="31" t="s">
        <v>67</v>
      </c>
      <c r="D3" s="31"/>
      <c r="E3" s="31" t="s">
        <v>68</v>
      </c>
      <c r="F3" s="31" t="s">
        <v>69</v>
      </c>
      <c r="G3" s="31" t="s">
        <v>67</v>
      </c>
      <c r="H3" s="31" t="s">
        <v>70</v>
      </c>
      <c r="I3" s="31" t="n">
        <v>1</v>
      </c>
      <c r="J3" s="31" t="n">
        <v>1</v>
      </c>
      <c r="K3" s="32" t="n">
        <v>560</v>
      </c>
      <c r="M3" s="33" t="n">
        <f aca="false">IF($A3="","",HOUR($A3))</f>
        <v>12</v>
      </c>
      <c r="N3" s="34" t="n">
        <f aca="false">IF($A3="","",$I3*$K3)</f>
        <v>560</v>
      </c>
      <c r="O3" s="33" t="n">
        <f aca="false">IF(OR($A3="",$C3="U"),"",SUMIFS($I$3:$I$302,$E$3:$E$302,$E3,$C$3:$C$302,"&lt;&gt;U"))</f>
        <v>1</v>
      </c>
      <c r="P3" s="33" t="n">
        <f aca="false">IF(OR($A3="",$C3="U"),"",SUMIFS($N$3:$N$302,$E$3:$E$302,$E3,$C$3:$C$302,"&lt;&gt;U"))</f>
        <v>560</v>
      </c>
      <c r="Q3" s="33" t="n">
        <f aca="false">IF(OR($A3="",$C3="U"),"",IF(COUNTIFS($E$3:$E3,$E3,$C$3:$C3,"&lt;&gt;U")=1,1,0))</f>
        <v>1</v>
      </c>
      <c r="R3" s="33" t="n">
        <f aca="false">IF($Q3=1,$O3-ROW()/100000,"")</f>
        <v>0.99997</v>
      </c>
    </row>
    <row r="4" customFormat="false" ht="15" hidden="false" customHeight="false" outlineLevel="0" collapsed="false">
      <c r="M4" s="33" t="str">
        <f aca="false">IF($A4="","",HOUR($A4))</f>
        <v/>
      </c>
      <c r="N4" s="34" t="str">
        <f aca="false">IF($A4="","",$I4*$K4)</f>
        <v/>
      </c>
      <c r="O4" s="33" t="str">
        <f aca="false">IF(OR($A4="",$C4="U"),"",SUMIFS($I$3:$I$302,$E$3:$E$302,$E4,$C$3:$C$302,"&lt;&gt;U"))</f>
        <v/>
      </c>
      <c r="P4" s="33" t="str">
        <f aca="false">IF(OR($A4="",$C4="U"),"",SUMIFS($N$3:$N$302,$E$3:$E$302,$E4,$C$3:$C$302,"&lt;&gt;U"))</f>
        <v/>
      </c>
      <c r="Q4" s="33" t="str">
        <f aca="false">IF(OR($A4="",$C4="U"),"",IF(COUNTIFS($E$3:$E4,$E4,$C$3:$C4,"&lt;&gt;U")=1,1,0))</f>
        <v/>
      </c>
      <c r="R4" s="33" t="str">
        <f aca="false">IF($Q4=1,$O4-ROW()/100000,"")</f>
        <v/>
      </c>
    </row>
    <row r="5" customFormat="false" ht="15" hidden="false" customHeight="false" outlineLevel="0" collapsed="false">
      <c r="M5" s="33" t="str">
        <f aca="false">IF($A5="","",HOUR($A5))</f>
        <v/>
      </c>
      <c r="N5" s="34" t="str">
        <f aca="false">IF($A5="","",$I5*$K5)</f>
        <v/>
      </c>
      <c r="O5" s="33" t="str">
        <f aca="false">IF(OR($A5="",$C5="U"),"",SUMIFS($I$3:$I$302,$E$3:$E$302,$E5,$C$3:$C$302,"&lt;&gt;U"))</f>
        <v/>
      </c>
      <c r="P5" s="33" t="str">
        <f aca="false">IF(OR($A5="",$C5="U"),"",SUMIFS($N$3:$N$302,$E$3:$E$302,$E5,$C$3:$C$302,"&lt;&gt;U"))</f>
        <v/>
      </c>
      <c r="Q5" s="33" t="str">
        <f aca="false">IF(OR($A5="",$C5="U"),"",IF(COUNTIFS($E$3:$E5,$E5,$C$3:$C5,"&lt;&gt;U")=1,1,0))</f>
        <v/>
      </c>
      <c r="R5" s="33" t="str">
        <f aca="false">IF($Q5=1,$O5-ROW()/100000,"")</f>
        <v/>
      </c>
    </row>
    <row r="6" customFormat="false" ht="15" hidden="false" customHeight="false" outlineLevel="0" collapsed="false">
      <c r="M6" s="33" t="str">
        <f aca="false">IF($A6="","",HOUR($A6))</f>
        <v/>
      </c>
      <c r="N6" s="34" t="str">
        <f aca="false">IF($A6="","",$I6*$K6)</f>
        <v/>
      </c>
      <c r="O6" s="33" t="str">
        <f aca="false">IF(OR($A6="",$C6="U"),"",SUMIFS($I$3:$I$302,$E$3:$E$302,$E6,$C$3:$C$302,"&lt;&gt;U"))</f>
        <v/>
      </c>
      <c r="P6" s="33" t="str">
        <f aca="false">IF(OR($A6="",$C6="U"),"",SUMIFS($N$3:$N$302,$E$3:$E$302,$E6,$C$3:$C$302,"&lt;&gt;U"))</f>
        <v/>
      </c>
      <c r="Q6" s="33" t="str">
        <f aca="false">IF(OR($A6="",$C6="U"),"",IF(COUNTIFS($E$3:$E6,$E6,$C$3:$C6,"&lt;&gt;U")=1,1,0))</f>
        <v/>
      </c>
      <c r="R6" s="33" t="str">
        <f aca="false">IF($Q6=1,$O6-ROW()/100000,"")</f>
        <v/>
      </c>
    </row>
    <row r="7" customFormat="false" ht="15" hidden="false" customHeight="false" outlineLevel="0" collapsed="false">
      <c r="M7" s="33" t="str">
        <f aca="false">IF($A7="","",HOUR($A7))</f>
        <v/>
      </c>
      <c r="N7" s="34" t="str">
        <f aca="false">IF($A7="","",$I7*$K7)</f>
        <v/>
      </c>
      <c r="O7" s="33" t="str">
        <f aca="false">IF(OR($A7="",$C7="U"),"",SUMIFS($I$3:$I$302,$E$3:$E$302,$E7,$C$3:$C$302,"&lt;&gt;U"))</f>
        <v/>
      </c>
      <c r="P7" s="33" t="str">
        <f aca="false">IF(OR($A7="",$C7="U"),"",SUMIFS($N$3:$N$302,$E$3:$E$302,$E7,$C$3:$C$302,"&lt;&gt;U"))</f>
        <v/>
      </c>
      <c r="Q7" s="33" t="str">
        <f aca="false">IF(OR($A7="",$C7="U"),"",IF(COUNTIFS($E$3:$E7,$E7,$C$3:$C7,"&lt;&gt;U")=1,1,0))</f>
        <v/>
      </c>
      <c r="R7" s="33" t="str">
        <f aca="false">IF($Q7=1,$O7-ROW()/100000,"")</f>
        <v/>
      </c>
    </row>
    <row r="8" customFormat="false" ht="15" hidden="false" customHeight="false" outlineLevel="0" collapsed="false">
      <c r="M8" s="33" t="str">
        <f aca="false">IF($A8="","",HOUR($A8))</f>
        <v/>
      </c>
      <c r="N8" s="34" t="str">
        <f aca="false">IF($A8="","",$I8*$K8)</f>
        <v/>
      </c>
      <c r="O8" s="33" t="str">
        <f aca="false">IF(OR($A8="",$C8="U"),"",SUMIFS($I$3:$I$302,$E$3:$E$302,$E8,$C$3:$C$302,"&lt;&gt;U"))</f>
        <v/>
      </c>
      <c r="P8" s="33" t="str">
        <f aca="false">IF(OR($A8="",$C8="U"),"",SUMIFS($N$3:$N$302,$E$3:$E$302,$E8,$C$3:$C$302,"&lt;&gt;U"))</f>
        <v/>
      </c>
      <c r="Q8" s="33" t="str">
        <f aca="false">IF(OR($A8="",$C8="U"),"",IF(COUNTIFS($E$3:$E8,$E8,$C$3:$C8,"&lt;&gt;U")=1,1,0))</f>
        <v/>
      </c>
      <c r="R8" s="33" t="str">
        <f aca="false">IF($Q8=1,$O8-ROW()/100000,"")</f>
        <v/>
      </c>
    </row>
    <row r="9" customFormat="false" ht="15" hidden="false" customHeight="false" outlineLevel="0" collapsed="false">
      <c r="M9" s="33" t="str">
        <f aca="false">IF($A9="","",HOUR($A9))</f>
        <v/>
      </c>
      <c r="N9" s="34" t="str">
        <f aca="false">IF($A9="","",$I9*$K9)</f>
        <v/>
      </c>
      <c r="O9" s="33" t="str">
        <f aca="false">IF(OR($A9="",$C9="U"),"",SUMIFS($I$3:$I$302,$E$3:$E$302,$E9,$C$3:$C$302,"&lt;&gt;U"))</f>
        <v/>
      </c>
      <c r="P9" s="33" t="str">
        <f aca="false">IF(OR($A9="",$C9="U"),"",SUMIFS($N$3:$N$302,$E$3:$E$302,$E9,$C$3:$C$302,"&lt;&gt;U"))</f>
        <v/>
      </c>
      <c r="Q9" s="33" t="str">
        <f aca="false">IF(OR($A9="",$C9="U"),"",IF(COUNTIFS($E$3:$E9,$E9,$C$3:$C9,"&lt;&gt;U")=1,1,0))</f>
        <v/>
      </c>
      <c r="R9" s="33" t="str">
        <f aca="false">IF($Q9=1,$O9-ROW()/100000,"")</f>
        <v/>
      </c>
    </row>
    <row r="10" customFormat="false" ht="15" hidden="false" customHeight="false" outlineLevel="0" collapsed="false">
      <c r="M10" s="33" t="str">
        <f aca="false">IF($A10="","",HOUR($A10))</f>
        <v/>
      </c>
      <c r="N10" s="34" t="str">
        <f aca="false">IF($A10="","",$I10*$K10)</f>
        <v/>
      </c>
      <c r="O10" s="33" t="str">
        <f aca="false">IF(OR($A10="",$C10="U"),"",SUMIFS($I$3:$I$302,$E$3:$E$302,$E10,$C$3:$C$302,"&lt;&gt;U"))</f>
        <v/>
      </c>
      <c r="P10" s="33" t="str">
        <f aca="false">IF(OR($A10="",$C10="U"),"",SUMIFS($N$3:$N$302,$E$3:$E$302,$E10,$C$3:$C$302,"&lt;&gt;U"))</f>
        <v/>
      </c>
      <c r="Q10" s="33" t="str">
        <f aca="false">IF(OR($A10="",$C10="U"),"",IF(COUNTIFS($E$3:$E10,$E10,$C$3:$C10,"&lt;&gt;U")=1,1,0))</f>
        <v/>
      </c>
      <c r="R10" s="33" t="str">
        <f aca="false">IF($Q10=1,$O10-ROW()/100000,"")</f>
        <v/>
      </c>
    </row>
    <row r="11" customFormat="false" ht="15" hidden="false" customHeight="false" outlineLevel="0" collapsed="false">
      <c r="M11" s="33" t="str">
        <f aca="false">IF($A11="","",HOUR($A11))</f>
        <v/>
      </c>
      <c r="N11" s="34" t="str">
        <f aca="false">IF($A11="","",$I11*$K11)</f>
        <v/>
      </c>
      <c r="O11" s="33" t="str">
        <f aca="false">IF(OR($A11="",$C11="U"),"",SUMIFS($I$3:$I$302,$E$3:$E$302,$E11,$C$3:$C$302,"&lt;&gt;U"))</f>
        <v/>
      </c>
      <c r="P11" s="33" t="str">
        <f aca="false">IF(OR($A11="",$C11="U"),"",SUMIFS($N$3:$N$302,$E$3:$E$302,$E11,$C$3:$C$302,"&lt;&gt;U"))</f>
        <v/>
      </c>
      <c r="Q11" s="33" t="str">
        <f aca="false">IF(OR($A11="",$C11="U"),"",IF(COUNTIFS($E$3:$E11,$E11,$C$3:$C11,"&lt;&gt;U")=1,1,0))</f>
        <v/>
      </c>
      <c r="R11" s="33" t="str">
        <f aca="false">IF($Q11=1,$O11-ROW()/100000,"")</f>
        <v/>
      </c>
    </row>
    <row r="12" customFormat="false" ht="15" hidden="false" customHeight="false" outlineLevel="0" collapsed="false">
      <c r="M12" s="33" t="str">
        <f aca="false">IF($A12="","",HOUR($A12))</f>
        <v/>
      </c>
      <c r="N12" s="34" t="str">
        <f aca="false">IF($A12="","",$I12*$K12)</f>
        <v/>
      </c>
      <c r="O12" s="33" t="str">
        <f aca="false">IF(OR($A12="",$C12="U"),"",SUMIFS($I$3:$I$302,$E$3:$E$302,$E12,$C$3:$C$302,"&lt;&gt;U"))</f>
        <v/>
      </c>
      <c r="P12" s="33" t="str">
        <f aca="false">IF(OR($A12="",$C12="U"),"",SUMIFS($N$3:$N$302,$E$3:$E$302,$E12,$C$3:$C$302,"&lt;&gt;U"))</f>
        <v/>
      </c>
      <c r="Q12" s="33" t="str">
        <f aca="false">IF(OR($A12="",$C12="U"),"",IF(COUNTIFS($E$3:$E12,$E12,$C$3:$C12,"&lt;&gt;U")=1,1,0))</f>
        <v/>
      </c>
      <c r="R12" s="33" t="str">
        <f aca="false">IF($Q12=1,$O12-ROW()/100000,"")</f>
        <v/>
      </c>
    </row>
    <row r="13" customFormat="false" ht="15" hidden="false" customHeight="false" outlineLevel="0" collapsed="false">
      <c r="M13" s="33" t="str">
        <f aca="false">IF($A13="","",HOUR($A13))</f>
        <v/>
      </c>
      <c r="N13" s="34" t="str">
        <f aca="false">IF($A13="","",$I13*$K13)</f>
        <v/>
      </c>
      <c r="O13" s="33" t="str">
        <f aca="false">IF(OR($A13="",$C13="U"),"",SUMIFS($I$3:$I$302,$E$3:$E$302,$E13,$C$3:$C$302,"&lt;&gt;U"))</f>
        <v/>
      </c>
      <c r="P13" s="33" t="str">
        <f aca="false">IF(OR($A13="",$C13="U"),"",SUMIFS($N$3:$N$302,$E$3:$E$302,$E13,$C$3:$C$302,"&lt;&gt;U"))</f>
        <v/>
      </c>
      <c r="Q13" s="33" t="str">
        <f aca="false">IF(OR($A13="",$C13="U"),"",IF(COUNTIFS($E$3:$E13,$E13,$C$3:$C13,"&lt;&gt;U")=1,1,0))</f>
        <v/>
      </c>
      <c r="R13" s="33" t="str">
        <f aca="false">IF($Q13=1,$O13-ROW()/100000,"")</f>
        <v/>
      </c>
    </row>
    <row r="14" customFormat="false" ht="15" hidden="false" customHeight="false" outlineLevel="0" collapsed="false">
      <c r="M14" s="33" t="str">
        <f aca="false">IF($A14="","",HOUR($A14))</f>
        <v/>
      </c>
      <c r="N14" s="34" t="str">
        <f aca="false">IF($A14="","",$I14*$K14)</f>
        <v/>
      </c>
      <c r="O14" s="33" t="str">
        <f aca="false">IF(OR($A14="",$C14="U"),"",SUMIFS($I$3:$I$302,$E$3:$E$302,$E14,$C$3:$C$302,"&lt;&gt;U"))</f>
        <v/>
      </c>
      <c r="P14" s="33" t="str">
        <f aca="false">IF(OR($A14="",$C14="U"),"",SUMIFS($N$3:$N$302,$E$3:$E$302,$E14,$C$3:$C$302,"&lt;&gt;U"))</f>
        <v/>
      </c>
      <c r="Q14" s="33" t="str">
        <f aca="false">IF(OR($A14="",$C14="U"),"",IF(COUNTIFS($E$3:$E14,$E14,$C$3:$C14,"&lt;&gt;U")=1,1,0))</f>
        <v/>
      </c>
      <c r="R14" s="33" t="str">
        <f aca="false">IF($Q14=1,$O14-ROW()/100000,"")</f>
        <v/>
      </c>
    </row>
    <row r="15" customFormat="false" ht="15" hidden="false" customHeight="false" outlineLevel="0" collapsed="false">
      <c r="M15" s="33" t="str">
        <f aca="false">IF($A15="","",HOUR($A15))</f>
        <v/>
      </c>
      <c r="N15" s="34" t="str">
        <f aca="false">IF($A15="","",$I15*$K15)</f>
        <v/>
      </c>
      <c r="O15" s="33" t="str">
        <f aca="false">IF(OR($A15="",$C15="U"),"",SUMIFS($I$3:$I$302,$E$3:$E$302,$E15,$C$3:$C$302,"&lt;&gt;U"))</f>
        <v/>
      </c>
      <c r="P15" s="33" t="str">
        <f aca="false">IF(OR($A15="",$C15="U"),"",SUMIFS($N$3:$N$302,$E$3:$E$302,$E15,$C$3:$C$302,"&lt;&gt;U"))</f>
        <v/>
      </c>
      <c r="Q15" s="33" t="str">
        <f aca="false">IF(OR($A15="",$C15="U"),"",IF(COUNTIFS($E$3:$E15,$E15,$C$3:$C15,"&lt;&gt;U")=1,1,0))</f>
        <v/>
      </c>
      <c r="R15" s="33" t="str">
        <f aca="false">IF($Q15=1,$O15-ROW()/100000,"")</f>
        <v/>
      </c>
    </row>
    <row r="16" customFormat="false" ht="15" hidden="false" customHeight="false" outlineLevel="0" collapsed="false">
      <c r="M16" s="33" t="str">
        <f aca="false">IF($A16="","",HOUR($A16))</f>
        <v/>
      </c>
      <c r="N16" s="34" t="str">
        <f aca="false">IF($A16="","",$I16*$K16)</f>
        <v/>
      </c>
      <c r="O16" s="33" t="str">
        <f aca="false">IF(OR($A16="",$C16="U"),"",SUMIFS($I$3:$I$302,$E$3:$E$302,$E16,$C$3:$C$302,"&lt;&gt;U"))</f>
        <v/>
      </c>
      <c r="P16" s="33" t="str">
        <f aca="false">IF(OR($A16="",$C16="U"),"",SUMIFS($N$3:$N$302,$E$3:$E$302,$E16,$C$3:$C$302,"&lt;&gt;U"))</f>
        <v/>
      </c>
      <c r="Q16" s="33" t="str">
        <f aca="false">IF(OR($A16="",$C16="U"),"",IF(COUNTIFS($E$3:$E16,$E16,$C$3:$C16,"&lt;&gt;U")=1,1,0))</f>
        <v/>
      </c>
      <c r="R16" s="33" t="str">
        <f aca="false">IF($Q16=1,$O16-ROW()/100000,"")</f>
        <v/>
      </c>
    </row>
    <row r="17" customFormat="false" ht="15" hidden="false" customHeight="false" outlineLevel="0" collapsed="false">
      <c r="M17" s="33" t="str">
        <f aca="false">IF($A17="","",HOUR($A17))</f>
        <v/>
      </c>
      <c r="N17" s="34" t="str">
        <f aca="false">IF($A17="","",$I17*$K17)</f>
        <v/>
      </c>
      <c r="O17" s="33" t="str">
        <f aca="false">IF(OR($A17="",$C17="U"),"",SUMIFS($I$3:$I$302,$E$3:$E$302,$E17,$C$3:$C$302,"&lt;&gt;U"))</f>
        <v/>
      </c>
      <c r="P17" s="33" t="str">
        <f aca="false">IF(OR($A17="",$C17="U"),"",SUMIFS($N$3:$N$302,$E$3:$E$302,$E17,$C$3:$C$302,"&lt;&gt;U"))</f>
        <v/>
      </c>
      <c r="Q17" s="33" t="str">
        <f aca="false">IF(OR($A17="",$C17="U"),"",IF(COUNTIFS($E$3:$E17,$E17,$C$3:$C17,"&lt;&gt;U")=1,1,0))</f>
        <v/>
      </c>
      <c r="R17" s="33" t="str">
        <f aca="false">IF($Q17=1,$O17-ROW()/100000,"")</f>
        <v/>
      </c>
    </row>
    <row r="18" customFormat="false" ht="15" hidden="false" customHeight="false" outlineLevel="0" collapsed="false">
      <c r="M18" s="33" t="str">
        <f aca="false">IF($A18="","",HOUR($A18))</f>
        <v/>
      </c>
      <c r="N18" s="34" t="str">
        <f aca="false">IF($A18="","",$I18*$K18)</f>
        <v/>
      </c>
      <c r="O18" s="33" t="str">
        <f aca="false">IF(OR($A18="",$C18="U"),"",SUMIFS($I$3:$I$302,$E$3:$E$302,$E18,$C$3:$C$302,"&lt;&gt;U"))</f>
        <v/>
      </c>
      <c r="P18" s="33" t="str">
        <f aca="false">IF(OR($A18="",$C18="U"),"",SUMIFS($N$3:$N$302,$E$3:$E$302,$E18,$C$3:$C$302,"&lt;&gt;U"))</f>
        <v/>
      </c>
      <c r="Q18" s="33" t="str">
        <f aca="false">IF(OR($A18="",$C18="U"),"",IF(COUNTIFS($E$3:$E18,$E18,$C$3:$C18,"&lt;&gt;U")=1,1,0))</f>
        <v/>
      </c>
      <c r="R18" s="33" t="str">
        <f aca="false">IF($Q18=1,$O18-ROW()/100000,"")</f>
        <v/>
      </c>
    </row>
    <row r="19" customFormat="false" ht="15" hidden="false" customHeight="false" outlineLevel="0" collapsed="false">
      <c r="M19" s="33" t="str">
        <f aca="false">IF($A19="","",HOUR($A19))</f>
        <v/>
      </c>
      <c r="N19" s="34" t="str">
        <f aca="false">IF($A19="","",$I19*$K19)</f>
        <v/>
      </c>
      <c r="O19" s="33" t="str">
        <f aca="false">IF(OR($A19="",$C19="U"),"",SUMIFS($I$3:$I$302,$E$3:$E$302,$E19,$C$3:$C$302,"&lt;&gt;U"))</f>
        <v/>
      </c>
      <c r="P19" s="33" t="str">
        <f aca="false">IF(OR($A19="",$C19="U"),"",SUMIFS($N$3:$N$302,$E$3:$E$302,$E19,$C$3:$C$302,"&lt;&gt;U"))</f>
        <v/>
      </c>
      <c r="Q19" s="33" t="str">
        <f aca="false">IF(OR($A19="",$C19="U"),"",IF(COUNTIFS($E$3:$E19,$E19,$C$3:$C19,"&lt;&gt;U")=1,1,0))</f>
        <v/>
      </c>
      <c r="R19" s="33" t="str">
        <f aca="false">IF($Q19=1,$O19-ROW()/100000,"")</f>
        <v/>
      </c>
    </row>
    <row r="20" customFormat="false" ht="15" hidden="false" customHeight="false" outlineLevel="0" collapsed="false">
      <c r="M20" s="33" t="str">
        <f aca="false">IF($A20="","",HOUR($A20))</f>
        <v/>
      </c>
      <c r="N20" s="34" t="str">
        <f aca="false">IF($A20="","",$I20*$K20)</f>
        <v/>
      </c>
      <c r="O20" s="33" t="str">
        <f aca="false">IF(OR($A20="",$C20="U"),"",SUMIFS($I$3:$I$302,$E$3:$E$302,$E20,$C$3:$C$302,"&lt;&gt;U"))</f>
        <v/>
      </c>
      <c r="P20" s="33" t="str">
        <f aca="false">IF(OR($A20="",$C20="U"),"",SUMIFS($N$3:$N$302,$E$3:$E$302,$E20,$C$3:$C$302,"&lt;&gt;U"))</f>
        <v/>
      </c>
      <c r="Q20" s="33" t="str">
        <f aca="false">IF(OR($A20="",$C20="U"),"",IF(COUNTIFS($E$3:$E20,$E20,$C$3:$C20,"&lt;&gt;U")=1,1,0))</f>
        <v/>
      </c>
      <c r="R20" s="33" t="str">
        <f aca="false">IF($Q20=1,$O20-ROW()/100000,"")</f>
        <v/>
      </c>
    </row>
    <row r="21" customFormat="false" ht="15" hidden="false" customHeight="false" outlineLevel="0" collapsed="false">
      <c r="M21" s="33" t="str">
        <f aca="false">IF($A21="","",HOUR($A21))</f>
        <v/>
      </c>
      <c r="N21" s="34" t="str">
        <f aca="false">IF($A21="","",$I21*$K21)</f>
        <v/>
      </c>
      <c r="O21" s="33" t="str">
        <f aca="false">IF(OR($A21="",$C21="U"),"",SUMIFS($I$3:$I$302,$E$3:$E$302,$E21,$C$3:$C$302,"&lt;&gt;U"))</f>
        <v/>
      </c>
      <c r="P21" s="33" t="str">
        <f aca="false">IF(OR($A21="",$C21="U"),"",SUMIFS($N$3:$N$302,$E$3:$E$302,$E21,$C$3:$C$302,"&lt;&gt;U"))</f>
        <v/>
      </c>
      <c r="Q21" s="33" t="str">
        <f aca="false">IF(OR($A21="",$C21="U"),"",IF(COUNTIFS($E$3:$E21,$E21,$C$3:$C21,"&lt;&gt;U")=1,1,0))</f>
        <v/>
      </c>
      <c r="R21" s="33" t="str">
        <f aca="false">IF($Q21=1,$O21-ROW()/100000,"")</f>
        <v/>
      </c>
    </row>
    <row r="22" customFormat="false" ht="15" hidden="false" customHeight="false" outlineLevel="0" collapsed="false">
      <c r="M22" s="33" t="str">
        <f aca="false">IF($A22="","",HOUR($A22))</f>
        <v/>
      </c>
      <c r="N22" s="34" t="str">
        <f aca="false">IF($A22="","",$I22*$K22)</f>
        <v/>
      </c>
      <c r="O22" s="33" t="str">
        <f aca="false">IF(OR($A22="",$C22="U"),"",SUMIFS($I$3:$I$302,$E$3:$E$302,$E22,$C$3:$C$302,"&lt;&gt;U"))</f>
        <v/>
      </c>
      <c r="P22" s="33" t="str">
        <f aca="false">IF(OR($A22="",$C22="U"),"",SUMIFS($N$3:$N$302,$E$3:$E$302,$E22,$C$3:$C$302,"&lt;&gt;U"))</f>
        <v/>
      </c>
      <c r="Q22" s="33" t="str">
        <f aca="false">IF(OR($A22="",$C22="U"),"",IF(COUNTIFS($E$3:$E22,$E22,$C$3:$C22,"&lt;&gt;U")=1,1,0))</f>
        <v/>
      </c>
      <c r="R22" s="33" t="str">
        <f aca="false">IF($Q22=1,$O22-ROW()/100000,"")</f>
        <v/>
      </c>
    </row>
    <row r="23" customFormat="false" ht="15" hidden="false" customHeight="false" outlineLevel="0" collapsed="false">
      <c r="M23" s="33" t="str">
        <f aca="false">IF($A23="","",HOUR($A23))</f>
        <v/>
      </c>
      <c r="N23" s="34" t="str">
        <f aca="false">IF($A23="","",$I23*$K23)</f>
        <v/>
      </c>
      <c r="O23" s="33" t="str">
        <f aca="false">IF(OR($A23="",$C23="U"),"",SUMIFS($I$3:$I$302,$E$3:$E$302,$E23,$C$3:$C$302,"&lt;&gt;U"))</f>
        <v/>
      </c>
      <c r="P23" s="33" t="str">
        <f aca="false">IF(OR($A23="",$C23="U"),"",SUMIFS($N$3:$N$302,$E$3:$E$302,$E23,$C$3:$C$302,"&lt;&gt;U"))</f>
        <v/>
      </c>
      <c r="Q23" s="33" t="str">
        <f aca="false">IF(OR($A23="",$C23="U"),"",IF(COUNTIFS($E$3:$E23,$E23,$C$3:$C23,"&lt;&gt;U")=1,1,0))</f>
        <v/>
      </c>
      <c r="R23" s="33" t="str">
        <f aca="false">IF($Q23=1,$O23-ROW()/100000,"")</f>
        <v/>
      </c>
    </row>
    <row r="24" customFormat="false" ht="15" hidden="false" customHeight="false" outlineLevel="0" collapsed="false">
      <c r="M24" s="33" t="str">
        <f aca="false">IF($A24="","",HOUR($A24))</f>
        <v/>
      </c>
      <c r="N24" s="34" t="str">
        <f aca="false">IF($A24="","",$I24*$K24)</f>
        <v/>
      </c>
      <c r="O24" s="33" t="str">
        <f aca="false">IF(OR($A24="",$C24="U"),"",SUMIFS($I$3:$I$302,$E$3:$E$302,$E24,$C$3:$C$302,"&lt;&gt;U"))</f>
        <v/>
      </c>
      <c r="P24" s="33" t="str">
        <f aca="false">IF(OR($A24="",$C24="U"),"",SUMIFS($N$3:$N$302,$E$3:$E$302,$E24,$C$3:$C$302,"&lt;&gt;U"))</f>
        <v/>
      </c>
      <c r="Q24" s="33" t="str">
        <f aca="false">IF(OR($A24="",$C24="U"),"",IF(COUNTIFS($E$3:$E24,$E24,$C$3:$C24,"&lt;&gt;U")=1,1,0))</f>
        <v/>
      </c>
      <c r="R24" s="33" t="str">
        <f aca="false">IF($Q24=1,$O24-ROW()/100000,"")</f>
        <v/>
      </c>
    </row>
    <row r="25" customFormat="false" ht="15" hidden="false" customHeight="false" outlineLevel="0" collapsed="false">
      <c r="M25" s="33" t="str">
        <f aca="false">IF($A25="","",HOUR($A25))</f>
        <v/>
      </c>
      <c r="N25" s="34" t="str">
        <f aca="false">IF($A25="","",$I25*$K25)</f>
        <v/>
      </c>
      <c r="O25" s="33" t="str">
        <f aca="false">IF(OR($A25="",$C25="U"),"",SUMIFS($I$3:$I$302,$E$3:$E$302,$E25,$C$3:$C$302,"&lt;&gt;U"))</f>
        <v/>
      </c>
      <c r="P25" s="33" t="str">
        <f aca="false">IF(OR($A25="",$C25="U"),"",SUMIFS($N$3:$N$302,$E$3:$E$302,$E25,$C$3:$C$302,"&lt;&gt;U"))</f>
        <v/>
      </c>
      <c r="Q25" s="33" t="str">
        <f aca="false">IF(OR($A25="",$C25="U"),"",IF(COUNTIFS($E$3:$E25,$E25,$C$3:$C25,"&lt;&gt;U")=1,1,0))</f>
        <v/>
      </c>
      <c r="R25" s="33" t="str">
        <f aca="false">IF($Q25=1,$O25-ROW()/100000,"")</f>
        <v/>
      </c>
    </row>
    <row r="26" customFormat="false" ht="15" hidden="false" customHeight="false" outlineLevel="0" collapsed="false">
      <c r="M26" s="33" t="str">
        <f aca="false">IF($A26="","",HOUR($A26))</f>
        <v/>
      </c>
      <c r="N26" s="34" t="str">
        <f aca="false">IF($A26="","",$I26*$K26)</f>
        <v/>
      </c>
      <c r="O26" s="33" t="str">
        <f aca="false">IF(OR($A26="",$C26="U"),"",SUMIFS($I$3:$I$302,$E$3:$E$302,$E26,$C$3:$C$302,"&lt;&gt;U"))</f>
        <v/>
      </c>
      <c r="P26" s="33" t="str">
        <f aca="false">IF(OR($A26="",$C26="U"),"",SUMIFS($N$3:$N$302,$E$3:$E$302,$E26,$C$3:$C$302,"&lt;&gt;U"))</f>
        <v/>
      </c>
      <c r="Q26" s="33" t="str">
        <f aca="false">IF(OR($A26="",$C26="U"),"",IF(COUNTIFS($E$3:$E26,$E26,$C$3:$C26,"&lt;&gt;U")=1,1,0))</f>
        <v/>
      </c>
      <c r="R26" s="33" t="str">
        <f aca="false">IF($Q26=1,$O26-ROW()/100000,"")</f>
        <v/>
      </c>
    </row>
    <row r="27" customFormat="false" ht="15" hidden="false" customHeight="false" outlineLevel="0" collapsed="false">
      <c r="M27" s="33" t="str">
        <f aca="false">IF($A27="","",HOUR($A27))</f>
        <v/>
      </c>
      <c r="N27" s="34" t="str">
        <f aca="false">IF($A27="","",$I27*$K27)</f>
        <v/>
      </c>
      <c r="O27" s="33" t="str">
        <f aca="false">IF(OR($A27="",$C27="U"),"",SUMIFS($I$3:$I$302,$E$3:$E$302,$E27,$C$3:$C$302,"&lt;&gt;U"))</f>
        <v/>
      </c>
      <c r="P27" s="33" t="str">
        <f aca="false">IF(OR($A27="",$C27="U"),"",SUMIFS($N$3:$N$302,$E$3:$E$302,$E27,$C$3:$C$302,"&lt;&gt;U"))</f>
        <v/>
      </c>
      <c r="Q27" s="33" t="str">
        <f aca="false">IF(OR($A27="",$C27="U"),"",IF(COUNTIFS($E$3:$E27,$E27,$C$3:$C27,"&lt;&gt;U")=1,1,0))</f>
        <v/>
      </c>
      <c r="R27" s="33" t="str">
        <f aca="false">IF($Q27=1,$O27-ROW()/100000,"")</f>
        <v/>
      </c>
    </row>
    <row r="28" customFormat="false" ht="15" hidden="false" customHeight="false" outlineLevel="0" collapsed="false">
      <c r="M28" s="33" t="str">
        <f aca="false">IF($A28="","",HOUR($A28))</f>
        <v/>
      </c>
      <c r="N28" s="34" t="str">
        <f aca="false">IF($A28="","",$I28*$K28)</f>
        <v/>
      </c>
      <c r="O28" s="33" t="str">
        <f aca="false">IF(OR($A28="",$C28="U"),"",SUMIFS($I$3:$I$302,$E$3:$E$302,$E28,$C$3:$C$302,"&lt;&gt;U"))</f>
        <v/>
      </c>
      <c r="P28" s="33" t="str">
        <f aca="false">IF(OR($A28="",$C28="U"),"",SUMIFS($N$3:$N$302,$E$3:$E$302,$E28,$C$3:$C$302,"&lt;&gt;U"))</f>
        <v/>
      </c>
      <c r="Q28" s="33" t="str">
        <f aca="false">IF(OR($A28="",$C28="U"),"",IF(COUNTIFS($E$3:$E28,$E28,$C$3:$C28,"&lt;&gt;U")=1,1,0))</f>
        <v/>
      </c>
      <c r="R28" s="33" t="str">
        <f aca="false">IF($Q28=1,$O28-ROW()/100000,"")</f>
        <v/>
      </c>
    </row>
    <row r="29" customFormat="false" ht="15" hidden="false" customHeight="false" outlineLevel="0" collapsed="false">
      <c r="M29" s="33" t="str">
        <f aca="false">IF($A29="","",HOUR($A29))</f>
        <v/>
      </c>
      <c r="N29" s="34" t="str">
        <f aca="false">IF($A29="","",$I29*$K29)</f>
        <v/>
      </c>
      <c r="O29" s="33" t="str">
        <f aca="false">IF(OR($A29="",$C29="U"),"",SUMIFS($I$3:$I$302,$E$3:$E$302,$E29,$C$3:$C$302,"&lt;&gt;U"))</f>
        <v/>
      </c>
      <c r="P29" s="33" t="str">
        <f aca="false">IF(OR($A29="",$C29="U"),"",SUMIFS($N$3:$N$302,$E$3:$E$302,$E29,$C$3:$C$302,"&lt;&gt;U"))</f>
        <v/>
      </c>
      <c r="Q29" s="33" t="str">
        <f aca="false">IF(OR($A29="",$C29="U"),"",IF(COUNTIFS($E$3:$E29,$E29,$C$3:$C29,"&lt;&gt;U")=1,1,0))</f>
        <v/>
      </c>
      <c r="R29" s="33" t="str">
        <f aca="false">IF($Q29=1,$O29-ROW()/100000,"")</f>
        <v/>
      </c>
    </row>
    <row r="30" customFormat="false" ht="15" hidden="false" customHeight="false" outlineLevel="0" collapsed="false">
      <c r="M30" s="33" t="str">
        <f aca="false">IF($A30="","",HOUR($A30))</f>
        <v/>
      </c>
      <c r="N30" s="34" t="str">
        <f aca="false">IF($A30="","",$I30*$K30)</f>
        <v/>
      </c>
      <c r="O30" s="33" t="str">
        <f aca="false">IF(OR($A30="",$C30="U"),"",SUMIFS($I$3:$I$302,$E$3:$E$302,$E30,$C$3:$C$302,"&lt;&gt;U"))</f>
        <v/>
      </c>
      <c r="P30" s="33" t="str">
        <f aca="false">IF(OR($A30="",$C30="U"),"",SUMIFS($N$3:$N$302,$E$3:$E$302,$E30,$C$3:$C$302,"&lt;&gt;U"))</f>
        <v/>
      </c>
      <c r="Q30" s="33" t="str">
        <f aca="false">IF(OR($A30="",$C30="U"),"",IF(COUNTIFS($E$3:$E30,$E30,$C$3:$C30,"&lt;&gt;U")=1,1,0))</f>
        <v/>
      </c>
      <c r="R30" s="33" t="str">
        <f aca="false">IF($Q30=1,$O30-ROW()/100000,"")</f>
        <v/>
      </c>
    </row>
    <row r="31" customFormat="false" ht="15" hidden="false" customHeight="false" outlineLevel="0" collapsed="false">
      <c r="M31" s="33" t="str">
        <f aca="false">IF($A31="","",HOUR($A31))</f>
        <v/>
      </c>
      <c r="N31" s="34" t="str">
        <f aca="false">IF($A31="","",$I31*$K31)</f>
        <v/>
      </c>
      <c r="O31" s="33" t="str">
        <f aca="false">IF(OR($A31="",$C31="U"),"",SUMIFS($I$3:$I$302,$E$3:$E$302,$E31,$C$3:$C$302,"&lt;&gt;U"))</f>
        <v/>
      </c>
      <c r="P31" s="33" t="str">
        <f aca="false">IF(OR($A31="",$C31="U"),"",SUMIFS($N$3:$N$302,$E$3:$E$302,$E31,$C$3:$C$302,"&lt;&gt;U"))</f>
        <v/>
      </c>
      <c r="Q31" s="33" t="str">
        <f aca="false">IF(OR($A31="",$C31="U"),"",IF(COUNTIFS($E$3:$E31,$E31,$C$3:$C31,"&lt;&gt;U")=1,1,0))</f>
        <v/>
      </c>
      <c r="R31" s="33" t="str">
        <f aca="false">IF($Q31=1,$O31-ROW()/100000,"")</f>
        <v/>
      </c>
    </row>
    <row r="32" customFormat="false" ht="15" hidden="false" customHeight="false" outlineLevel="0" collapsed="false">
      <c r="M32" s="33" t="str">
        <f aca="false">IF($A32="","",HOUR($A32))</f>
        <v/>
      </c>
      <c r="N32" s="34" t="str">
        <f aca="false">IF($A32="","",$I32*$K32)</f>
        <v/>
      </c>
      <c r="O32" s="33" t="str">
        <f aca="false">IF(OR($A32="",$C32="U"),"",SUMIFS($I$3:$I$302,$E$3:$E$302,$E32,$C$3:$C$302,"&lt;&gt;U"))</f>
        <v/>
      </c>
      <c r="P32" s="33" t="str">
        <f aca="false">IF(OR($A32="",$C32="U"),"",SUMIFS($N$3:$N$302,$E$3:$E$302,$E32,$C$3:$C$302,"&lt;&gt;U"))</f>
        <v/>
      </c>
      <c r="Q32" s="33" t="str">
        <f aca="false">IF(OR($A32="",$C32="U"),"",IF(COUNTIFS($E$3:$E32,$E32,$C$3:$C32,"&lt;&gt;U")=1,1,0))</f>
        <v/>
      </c>
      <c r="R32" s="33" t="str">
        <f aca="false">IF($Q32=1,$O32-ROW()/100000,"")</f>
        <v/>
      </c>
    </row>
    <row r="33" customFormat="false" ht="15" hidden="false" customHeight="false" outlineLevel="0" collapsed="false">
      <c r="M33" s="33" t="str">
        <f aca="false">IF($A33="","",HOUR($A33))</f>
        <v/>
      </c>
      <c r="N33" s="34" t="str">
        <f aca="false">IF($A33="","",$I33*$K33)</f>
        <v/>
      </c>
      <c r="O33" s="33" t="str">
        <f aca="false">IF(OR($A33="",$C33="U"),"",SUMIFS($I$3:$I$302,$E$3:$E$302,$E33,$C$3:$C$302,"&lt;&gt;U"))</f>
        <v/>
      </c>
      <c r="P33" s="33" t="str">
        <f aca="false">IF(OR($A33="",$C33="U"),"",SUMIFS($N$3:$N$302,$E$3:$E$302,$E33,$C$3:$C$302,"&lt;&gt;U"))</f>
        <v/>
      </c>
      <c r="Q33" s="33" t="str">
        <f aca="false">IF(OR($A33="",$C33="U"),"",IF(COUNTIFS($E$3:$E33,$E33,$C$3:$C33,"&lt;&gt;U")=1,1,0))</f>
        <v/>
      </c>
      <c r="R33" s="33" t="str">
        <f aca="false">IF($Q33=1,$O33-ROW()/100000,"")</f>
        <v/>
      </c>
    </row>
    <row r="34" customFormat="false" ht="15" hidden="false" customHeight="false" outlineLevel="0" collapsed="false">
      <c r="M34" s="33" t="str">
        <f aca="false">IF($A34="","",HOUR($A34))</f>
        <v/>
      </c>
      <c r="N34" s="34" t="str">
        <f aca="false">IF($A34="","",$I34*$K34)</f>
        <v/>
      </c>
      <c r="O34" s="33" t="str">
        <f aca="false">IF(OR($A34="",$C34="U"),"",SUMIFS($I$3:$I$302,$E$3:$E$302,$E34,$C$3:$C$302,"&lt;&gt;U"))</f>
        <v/>
      </c>
      <c r="P34" s="33" t="str">
        <f aca="false">IF(OR($A34="",$C34="U"),"",SUMIFS($N$3:$N$302,$E$3:$E$302,$E34,$C$3:$C$302,"&lt;&gt;U"))</f>
        <v/>
      </c>
      <c r="Q34" s="33" t="str">
        <f aca="false">IF(OR($A34="",$C34="U"),"",IF(COUNTIFS($E$3:$E34,$E34,$C$3:$C34,"&lt;&gt;U")=1,1,0))</f>
        <v/>
      </c>
      <c r="R34" s="33" t="str">
        <f aca="false">IF($Q34=1,$O34-ROW()/100000,"")</f>
        <v/>
      </c>
    </row>
    <row r="35" customFormat="false" ht="15" hidden="false" customHeight="false" outlineLevel="0" collapsed="false">
      <c r="M35" s="33" t="str">
        <f aca="false">IF($A35="","",HOUR($A35))</f>
        <v/>
      </c>
      <c r="N35" s="34" t="str">
        <f aca="false">IF($A35="","",$I35*$K35)</f>
        <v/>
      </c>
      <c r="O35" s="33" t="str">
        <f aca="false">IF(OR($A35="",$C35="U"),"",SUMIFS($I$3:$I$302,$E$3:$E$302,$E35,$C$3:$C$302,"&lt;&gt;U"))</f>
        <v/>
      </c>
      <c r="P35" s="33" t="str">
        <f aca="false">IF(OR($A35="",$C35="U"),"",SUMIFS($N$3:$N$302,$E$3:$E$302,$E35,$C$3:$C$302,"&lt;&gt;U"))</f>
        <v/>
      </c>
      <c r="Q35" s="33" t="str">
        <f aca="false">IF(OR($A35="",$C35="U"),"",IF(COUNTIFS($E$3:$E35,$E35,$C$3:$C35,"&lt;&gt;U")=1,1,0))</f>
        <v/>
      </c>
      <c r="R35" s="33" t="str">
        <f aca="false">IF($Q35=1,$O35-ROW()/100000,"")</f>
        <v/>
      </c>
    </row>
    <row r="36" customFormat="false" ht="15" hidden="false" customHeight="false" outlineLevel="0" collapsed="false">
      <c r="M36" s="33" t="str">
        <f aca="false">IF($A36="","",HOUR($A36))</f>
        <v/>
      </c>
      <c r="N36" s="34" t="str">
        <f aca="false">IF($A36="","",$I36*$K36)</f>
        <v/>
      </c>
      <c r="O36" s="33" t="str">
        <f aca="false">IF(OR($A36="",$C36="U"),"",SUMIFS($I$3:$I$302,$E$3:$E$302,$E36,$C$3:$C$302,"&lt;&gt;U"))</f>
        <v/>
      </c>
      <c r="P36" s="33" t="str">
        <f aca="false">IF(OR($A36="",$C36="U"),"",SUMIFS($N$3:$N$302,$E$3:$E$302,$E36,$C$3:$C$302,"&lt;&gt;U"))</f>
        <v/>
      </c>
      <c r="Q36" s="33" t="str">
        <f aca="false">IF(OR($A36="",$C36="U"),"",IF(COUNTIFS($E$3:$E36,$E36,$C$3:$C36,"&lt;&gt;U")=1,1,0))</f>
        <v/>
      </c>
      <c r="R36" s="33" t="str">
        <f aca="false">IF($Q36=1,$O36-ROW()/100000,"")</f>
        <v/>
      </c>
    </row>
    <row r="37" customFormat="false" ht="15" hidden="false" customHeight="false" outlineLevel="0" collapsed="false">
      <c r="M37" s="33" t="str">
        <f aca="false">IF($A37="","",HOUR($A37))</f>
        <v/>
      </c>
      <c r="N37" s="34" t="str">
        <f aca="false">IF($A37="","",$I37*$K37)</f>
        <v/>
      </c>
      <c r="O37" s="33" t="str">
        <f aca="false">IF(OR($A37="",$C37="U"),"",SUMIFS($I$3:$I$302,$E$3:$E$302,$E37,$C$3:$C$302,"&lt;&gt;U"))</f>
        <v/>
      </c>
      <c r="P37" s="33" t="str">
        <f aca="false">IF(OR($A37="",$C37="U"),"",SUMIFS($N$3:$N$302,$E$3:$E$302,$E37,$C$3:$C$302,"&lt;&gt;U"))</f>
        <v/>
      </c>
      <c r="Q37" s="33" t="str">
        <f aca="false">IF(OR($A37="",$C37="U"),"",IF(COUNTIFS($E$3:$E37,$E37,$C$3:$C37,"&lt;&gt;U")=1,1,0))</f>
        <v/>
      </c>
      <c r="R37" s="33" t="str">
        <f aca="false">IF($Q37=1,$O37-ROW()/100000,"")</f>
        <v/>
      </c>
    </row>
    <row r="38" customFormat="false" ht="15" hidden="false" customHeight="false" outlineLevel="0" collapsed="false">
      <c r="M38" s="33" t="str">
        <f aca="false">IF($A38="","",HOUR($A38))</f>
        <v/>
      </c>
      <c r="N38" s="34" t="str">
        <f aca="false">IF($A38="","",$I38*$K38)</f>
        <v/>
      </c>
      <c r="O38" s="33" t="str">
        <f aca="false">IF(OR($A38="",$C38="U"),"",SUMIFS($I$3:$I$302,$E$3:$E$302,$E38,$C$3:$C$302,"&lt;&gt;U"))</f>
        <v/>
      </c>
      <c r="P38" s="33" t="str">
        <f aca="false">IF(OR($A38="",$C38="U"),"",SUMIFS($N$3:$N$302,$E$3:$E$302,$E38,$C$3:$C$302,"&lt;&gt;U"))</f>
        <v/>
      </c>
      <c r="Q38" s="33" t="str">
        <f aca="false">IF(OR($A38="",$C38="U"),"",IF(COUNTIFS($E$3:$E38,$E38,$C$3:$C38,"&lt;&gt;U")=1,1,0))</f>
        <v/>
      </c>
      <c r="R38" s="33" t="str">
        <f aca="false">IF($Q38=1,$O38-ROW()/100000,"")</f>
        <v/>
      </c>
    </row>
    <row r="39" customFormat="false" ht="15" hidden="false" customHeight="false" outlineLevel="0" collapsed="false">
      <c r="M39" s="33" t="str">
        <f aca="false">IF($A39="","",HOUR($A39))</f>
        <v/>
      </c>
      <c r="N39" s="34" t="str">
        <f aca="false">IF($A39="","",$I39*$K39)</f>
        <v/>
      </c>
      <c r="O39" s="33" t="str">
        <f aca="false">IF(OR($A39="",$C39="U"),"",SUMIFS($I$3:$I$302,$E$3:$E$302,$E39,$C$3:$C$302,"&lt;&gt;U"))</f>
        <v/>
      </c>
      <c r="P39" s="33" t="str">
        <f aca="false">IF(OR($A39="",$C39="U"),"",SUMIFS($N$3:$N$302,$E$3:$E$302,$E39,$C$3:$C$302,"&lt;&gt;U"))</f>
        <v/>
      </c>
      <c r="Q39" s="33" t="str">
        <f aca="false">IF(OR($A39="",$C39="U"),"",IF(COUNTIFS($E$3:$E39,$E39,$C$3:$C39,"&lt;&gt;U")=1,1,0))</f>
        <v/>
      </c>
      <c r="R39" s="33" t="str">
        <f aca="false">IF($Q39=1,$O39-ROW()/100000,"")</f>
        <v/>
      </c>
    </row>
    <row r="40" customFormat="false" ht="15" hidden="false" customHeight="false" outlineLevel="0" collapsed="false">
      <c r="M40" s="33" t="str">
        <f aca="false">IF($A40="","",HOUR($A40))</f>
        <v/>
      </c>
      <c r="N40" s="34" t="str">
        <f aca="false">IF($A40="","",$I40*$K40)</f>
        <v/>
      </c>
      <c r="O40" s="33" t="str">
        <f aca="false">IF(OR($A40="",$C40="U"),"",SUMIFS($I$3:$I$302,$E$3:$E$302,$E40,$C$3:$C$302,"&lt;&gt;U"))</f>
        <v/>
      </c>
      <c r="P40" s="33" t="str">
        <f aca="false">IF(OR($A40="",$C40="U"),"",SUMIFS($N$3:$N$302,$E$3:$E$302,$E40,$C$3:$C$302,"&lt;&gt;U"))</f>
        <v/>
      </c>
      <c r="Q40" s="33" t="str">
        <f aca="false">IF(OR($A40="",$C40="U"),"",IF(COUNTIFS($E$3:$E40,$E40,$C$3:$C40,"&lt;&gt;U")=1,1,0))</f>
        <v/>
      </c>
      <c r="R40" s="33" t="str">
        <f aca="false">IF($Q40=1,$O40-ROW()/100000,"")</f>
        <v/>
      </c>
    </row>
    <row r="41" customFormat="false" ht="15" hidden="false" customHeight="false" outlineLevel="0" collapsed="false">
      <c r="M41" s="33" t="str">
        <f aca="false">IF($A41="","",HOUR($A41))</f>
        <v/>
      </c>
      <c r="N41" s="34" t="str">
        <f aca="false">IF($A41="","",$I41*$K41)</f>
        <v/>
      </c>
      <c r="O41" s="33" t="str">
        <f aca="false">IF(OR($A41="",$C41="U"),"",SUMIFS($I$3:$I$302,$E$3:$E$302,$E41,$C$3:$C$302,"&lt;&gt;U"))</f>
        <v/>
      </c>
      <c r="P41" s="33" t="str">
        <f aca="false">IF(OR($A41="",$C41="U"),"",SUMIFS($N$3:$N$302,$E$3:$E$302,$E41,$C$3:$C$302,"&lt;&gt;U"))</f>
        <v/>
      </c>
      <c r="Q41" s="33" t="str">
        <f aca="false">IF(OR($A41="",$C41="U"),"",IF(COUNTIFS($E$3:$E41,$E41,$C$3:$C41,"&lt;&gt;U")=1,1,0))</f>
        <v/>
      </c>
      <c r="R41" s="33" t="str">
        <f aca="false">IF($Q41=1,$O41-ROW()/100000,"")</f>
        <v/>
      </c>
    </row>
    <row r="42" customFormat="false" ht="15" hidden="false" customHeight="false" outlineLevel="0" collapsed="false">
      <c r="M42" s="33" t="str">
        <f aca="false">IF($A42="","",HOUR($A42))</f>
        <v/>
      </c>
      <c r="N42" s="34" t="str">
        <f aca="false">IF($A42="","",$I42*$K42)</f>
        <v/>
      </c>
      <c r="O42" s="33" t="str">
        <f aca="false">IF(OR($A42="",$C42="U"),"",SUMIFS($I$3:$I$302,$E$3:$E$302,$E42,$C$3:$C$302,"&lt;&gt;U"))</f>
        <v/>
      </c>
      <c r="P42" s="33" t="str">
        <f aca="false">IF(OR($A42="",$C42="U"),"",SUMIFS($N$3:$N$302,$E$3:$E$302,$E42,$C$3:$C$302,"&lt;&gt;U"))</f>
        <v/>
      </c>
      <c r="Q42" s="33" t="str">
        <f aca="false">IF(OR($A42="",$C42="U"),"",IF(COUNTIFS($E$3:$E42,$E42,$C$3:$C42,"&lt;&gt;U")=1,1,0))</f>
        <v/>
      </c>
      <c r="R42" s="33" t="str">
        <f aca="false">IF($Q42=1,$O42-ROW()/100000,"")</f>
        <v/>
      </c>
    </row>
    <row r="43" customFormat="false" ht="15" hidden="false" customHeight="false" outlineLevel="0" collapsed="false">
      <c r="M43" s="33" t="str">
        <f aca="false">IF($A43="","",HOUR($A43))</f>
        <v/>
      </c>
      <c r="N43" s="34" t="str">
        <f aca="false">IF($A43="","",$I43*$K43)</f>
        <v/>
      </c>
      <c r="O43" s="33" t="str">
        <f aca="false">IF(OR($A43="",$C43="U"),"",SUMIFS($I$3:$I$302,$E$3:$E$302,$E43,$C$3:$C$302,"&lt;&gt;U"))</f>
        <v/>
      </c>
      <c r="P43" s="33" t="str">
        <f aca="false">IF(OR($A43="",$C43="U"),"",SUMIFS($N$3:$N$302,$E$3:$E$302,$E43,$C$3:$C$302,"&lt;&gt;U"))</f>
        <v/>
      </c>
      <c r="Q43" s="33" t="str">
        <f aca="false">IF(OR($A43="",$C43="U"),"",IF(COUNTIFS($E$3:$E43,$E43,$C$3:$C43,"&lt;&gt;U")=1,1,0))</f>
        <v/>
      </c>
      <c r="R43" s="33" t="str">
        <f aca="false">IF($Q43=1,$O43-ROW()/100000,"")</f>
        <v/>
      </c>
    </row>
    <row r="44" customFormat="false" ht="15" hidden="false" customHeight="false" outlineLevel="0" collapsed="false">
      <c r="M44" s="33" t="str">
        <f aca="false">IF($A44="","",HOUR($A44))</f>
        <v/>
      </c>
      <c r="N44" s="34" t="str">
        <f aca="false">IF($A44="","",$I44*$K44)</f>
        <v/>
      </c>
      <c r="O44" s="33" t="str">
        <f aca="false">IF(OR($A44="",$C44="U"),"",SUMIFS($I$3:$I$302,$E$3:$E$302,$E44,$C$3:$C$302,"&lt;&gt;U"))</f>
        <v/>
      </c>
      <c r="P44" s="33" t="str">
        <f aca="false">IF(OR($A44="",$C44="U"),"",SUMIFS($N$3:$N$302,$E$3:$E$302,$E44,$C$3:$C$302,"&lt;&gt;U"))</f>
        <v/>
      </c>
      <c r="Q44" s="33" t="str">
        <f aca="false">IF(OR($A44="",$C44="U"),"",IF(COUNTIFS($E$3:$E44,$E44,$C$3:$C44,"&lt;&gt;U")=1,1,0))</f>
        <v/>
      </c>
      <c r="R44" s="33" t="str">
        <f aca="false">IF($Q44=1,$O44-ROW()/100000,"")</f>
        <v/>
      </c>
    </row>
    <row r="45" customFormat="false" ht="15" hidden="false" customHeight="false" outlineLevel="0" collapsed="false">
      <c r="M45" s="33" t="str">
        <f aca="false">IF($A45="","",HOUR($A45))</f>
        <v/>
      </c>
      <c r="N45" s="34" t="str">
        <f aca="false">IF($A45="","",$I45*$K45)</f>
        <v/>
      </c>
      <c r="O45" s="33" t="str">
        <f aca="false">IF(OR($A45="",$C45="U"),"",SUMIFS($I$3:$I$302,$E$3:$E$302,$E45,$C$3:$C$302,"&lt;&gt;U"))</f>
        <v/>
      </c>
      <c r="P45" s="33" t="str">
        <f aca="false">IF(OR($A45="",$C45="U"),"",SUMIFS($N$3:$N$302,$E$3:$E$302,$E45,$C$3:$C$302,"&lt;&gt;U"))</f>
        <v/>
      </c>
      <c r="Q45" s="33" t="str">
        <f aca="false">IF(OR($A45="",$C45="U"),"",IF(COUNTIFS($E$3:$E45,$E45,$C$3:$C45,"&lt;&gt;U")=1,1,0))</f>
        <v/>
      </c>
      <c r="R45" s="33" t="str">
        <f aca="false">IF($Q45=1,$O45-ROW()/100000,"")</f>
        <v/>
      </c>
    </row>
    <row r="46" customFormat="false" ht="15" hidden="false" customHeight="false" outlineLevel="0" collapsed="false">
      <c r="M46" s="33" t="str">
        <f aca="false">IF($A46="","",HOUR($A46))</f>
        <v/>
      </c>
      <c r="N46" s="34" t="str">
        <f aca="false">IF($A46="","",$I46*$K46)</f>
        <v/>
      </c>
      <c r="O46" s="33" t="str">
        <f aca="false">IF(OR($A46="",$C46="U"),"",SUMIFS($I$3:$I$302,$E$3:$E$302,$E46,$C$3:$C$302,"&lt;&gt;U"))</f>
        <v/>
      </c>
      <c r="P46" s="33" t="str">
        <f aca="false">IF(OR($A46="",$C46="U"),"",SUMIFS($N$3:$N$302,$E$3:$E$302,$E46,$C$3:$C$302,"&lt;&gt;U"))</f>
        <v/>
      </c>
      <c r="Q46" s="33" t="str">
        <f aca="false">IF(OR($A46="",$C46="U"),"",IF(COUNTIFS($E$3:$E46,$E46,$C$3:$C46,"&lt;&gt;U")=1,1,0))</f>
        <v/>
      </c>
      <c r="R46" s="33" t="str">
        <f aca="false">IF($Q46=1,$O46-ROW()/100000,"")</f>
        <v/>
      </c>
    </row>
    <row r="47" customFormat="false" ht="15" hidden="false" customHeight="false" outlineLevel="0" collapsed="false">
      <c r="M47" s="33" t="str">
        <f aca="false">IF($A47="","",HOUR($A47))</f>
        <v/>
      </c>
      <c r="N47" s="34" t="str">
        <f aca="false">IF($A47="","",$I47*$K47)</f>
        <v/>
      </c>
      <c r="O47" s="33" t="str">
        <f aca="false">IF(OR($A47="",$C47="U"),"",SUMIFS($I$3:$I$302,$E$3:$E$302,$E47,$C$3:$C$302,"&lt;&gt;U"))</f>
        <v/>
      </c>
      <c r="P47" s="33" t="str">
        <f aca="false">IF(OR($A47="",$C47="U"),"",SUMIFS($N$3:$N$302,$E$3:$E$302,$E47,$C$3:$C$302,"&lt;&gt;U"))</f>
        <v/>
      </c>
      <c r="Q47" s="33" t="str">
        <f aca="false">IF(OR($A47="",$C47="U"),"",IF(COUNTIFS($E$3:$E47,$E47,$C$3:$C47,"&lt;&gt;U")=1,1,0))</f>
        <v/>
      </c>
      <c r="R47" s="33" t="str">
        <f aca="false">IF($Q47=1,$O47-ROW()/100000,"")</f>
        <v/>
      </c>
    </row>
    <row r="48" customFormat="false" ht="15" hidden="false" customHeight="false" outlineLevel="0" collapsed="false">
      <c r="M48" s="33" t="str">
        <f aca="false">IF($A48="","",HOUR($A48))</f>
        <v/>
      </c>
      <c r="N48" s="34" t="str">
        <f aca="false">IF($A48="","",$I48*$K48)</f>
        <v/>
      </c>
      <c r="O48" s="33" t="str">
        <f aca="false">IF(OR($A48="",$C48="U"),"",SUMIFS($I$3:$I$302,$E$3:$E$302,$E48,$C$3:$C$302,"&lt;&gt;U"))</f>
        <v/>
      </c>
      <c r="P48" s="33" t="str">
        <f aca="false">IF(OR($A48="",$C48="U"),"",SUMIFS($N$3:$N$302,$E$3:$E$302,$E48,$C$3:$C$302,"&lt;&gt;U"))</f>
        <v/>
      </c>
      <c r="Q48" s="33" t="str">
        <f aca="false">IF(OR($A48="",$C48="U"),"",IF(COUNTIFS($E$3:$E48,$E48,$C$3:$C48,"&lt;&gt;U")=1,1,0))</f>
        <v/>
      </c>
      <c r="R48" s="33" t="str">
        <f aca="false">IF($Q48=1,$O48-ROW()/100000,"")</f>
        <v/>
      </c>
    </row>
    <row r="49" customFormat="false" ht="15" hidden="false" customHeight="false" outlineLevel="0" collapsed="false">
      <c r="M49" s="33" t="str">
        <f aca="false">IF($A49="","",HOUR($A49))</f>
        <v/>
      </c>
      <c r="N49" s="34" t="str">
        <f aca="false">IF($A49="","",$I49*$K49)</f>
        <v/>
      </c>
      <c r="O49" s="33" t="str">
        <f aca="false">IF(OR($A49="",$C49="U"),"",SUMIFS($I$3:$I$302,$E$3:$E$302,$E49,$C$3:$C$302,"&lt;&gt;U"))</f>
        <v/>
      </c>
      <c r="P49" s="33" t="str">
        <f aca="false">IF(OR($A49="",$C49="U"),"",SUMIFS($N$3:$N$302,$E$3:$E$302,$E49,$C$3:$C$302,"&lt;&gt;U"))</f>
        <v/>
      </c>
      <c r="Q49" s="33" t="str">
        <f aca="false">IF(OR($A49="",$C49="U"),"",IF(COUNTIFS($E$3:$E49,$E49,$C$3:$C49,"&lt;&gt;U")=1,1,0))</f>
        <v/>
      </c>
      <c r="R49" s="33" t="str">
        <f aca="false">IF($Q49=1,$O49-ROW()/100000,"")</f>
        <v/>
      </c>
    </row>
    <row r="50" customFormat="false" ht="15" hidden="false" customHeight="false" outlineLevel="0" collapsed="false">
      <c r="M50" s="33" t="str">
        <f aca="false">IF($A50="","",HOUR($A50))</f>
        <v/>
      </c>
      <c r="N50" s="34" t="str">
        <f aca="false">IF($A50="","",$I50*$K50)</f>
        <v/>
      </c>
      <c r="O50" s="33" t="str">
        <f aca="false">IF(OR($A50="",$C50="U"),"",SUMIFS($I$3:$I$302,$E$3:$E$302,$E50,$C$3:$C$302,"&lt;&gt;U"))</f>
        <v/>
      </c>
      <c r="P50" s="33" t="str">
        <f aca="false">IF(OR($A50="",$C50="U"),"",SUMIFS($N$3:$N$302,$E$3:$E$302,$E50,$C$3:$C$302,"&lt;&gt;U"))</f>
        <v/>
      </c>
      <c r="Q50" s="33" t="str">
        <f aca="false">IF(OR($A50="",$C50="U"),"",IF(COUNTIFS($E$3:$E50,$E50,$C$3:$C50,"&lt;&gt;U")=1,1,0))</f>
        <v/>
      </c>
      <c r="R50" s="33" t="str">
        <f aca="false">IF($Q50=1,$O50-ROW()/100000,"")</f>
        <v/>
      </c>
    </row>
    <row r="51" customFormat="false" ht="15" hidden="false" customHeight="false" outlineLevel="0" collapsed="false">
      <c r="M51" s="33" t="str">
        <f aca="false">IF($A51="","",HOUR($A51))</f>
        <v/>
      </c>
      <c r="N51" s="34" t="str">
        <f aca="false">IF($A51="","",$I51*$K51)</f>
        <v/>
      </c>
      <c r="O51" s="33" t="str">
        <f aca="false">IF(OR($A51="",$C51="U"),"",SUMIFS($I$3:$I$302,$E$3:$E$302,$E51,$C$3:$C$302,"&lt;&gt;U"))</f>
        <v/>
      </c>
      <c r="P51" s="33" t="str">
        <f aca="false">IF(OR($A51="",$C51="U"),"",SUMIFS($N$3:$N$302,$E$3:$E$302,$E51,$C$3:$C$302,"&lt;&gt;U"))</f>
        <v/>
      </c>
      <c r="Q51" s="33" t="str">
        <f aca="false">IF(OR($A51="",$C51="U"),"",IF(COUNTIFS($E$3:$E51,$E51,$C$3:$C51,"&lt;&gt;U")=1,1,0))</f>
        <v/>
      </c>
      <c r="R51" s="33" t="str">
        <f aca="false">IF($Q51=1,$O51-ROW()/100000,"")</f>
        <v/>
      </c>
    </row>
    <row r="52" customFormat="false" ht="15" hidden="false" customHeight="false" outlineLevel="0" collapsed="false">
      <c r="M52" s="33" t="str">
        <f aca="false">IF($A52="","",HOUR($A52))</f>
        <v/>
      </c>
      <c r="N52" s="34" t="str">
        <f aca="false">IF($A52="","",$I52*$K52)</f>
        <v/>
      </c>
      <c r="O52" s="33" t="str">
        <f aca="false">IF(OR($A52="",$C52="U"),"",SUMIFS($I$3:$I$302,$E$3:$E$302,$E52,$C$3:$C$302,"&lt;&gt;U"))</f>
        <v/>
      </c>
      <c r="P52" s="33" t="str">
        <f aca="false">IF(OR($A52="",$C52="U"),"",SUMIFS($N$3:$N$302,$E$3:$E$302,$E52,$C$3:$C$302,"&lt;&gt;U"))</f>
        <v/>
      </c>
      <c r="Q52" s="33" t="str">
        <f aca="false">IF(OR($A52="",$C52="U"),"",IF(COUNTIFS($E$3:$E52,$E52,$C$3:$C52,"&lt;&gt;U")=1,1,0))</f>
        <v/>
      </c>
      <c r="R52" s="33" t="str">
        <f aca="false">IF($Q52=1,$O52-ROW()/100000,"")</f>
        <v/>
      </c>
    </row>
    <row r="53" customFormat="false" ht="15" hidden="false" customHeight="false" outlineLevel="0" collapsed="false">
      <c r="M53" s="33" t="str">
        <f aca="false">IF($A53="","",HOUR($A53))</f>
        <v/>
      </c>
      <c r="N53" s="34" t="str">
        <f aca="false">IF($A53="","",$I53*$K53)</f>
        <v/>
      </c>
      <c r="O53" s="33" t="str">
        <f aca="false">IF(OR($A53="",$C53="U"),"",SUMIFS($I$3:$I$302,$E$3:$E$302,$E53,$C$3:$C$302,"&lt;&gt;U"))</f>
        <v/>
      </c>
      <c r="P53" s="33" t="str">
        <f aca="false">IF(OR($A53="",$C53="U"),"",SUMIFS($N$3:$N$302,$E$3:$E$302,$E53,$C$3:$C$302,"&lt;&gt;U"))</f>
        <v/>
      </c>
      <c r="Q53" s="33" t="str">
        <f aca="false">IF(OR($A53="",$C53="U"),"",IF(COUNTIFS($E$3:$E53,$E53,$C$3:$C53,"&lt;&gt;U")=1,1,0))</f>
        <v/>
      </c>
      <c r="R53" s="33" t="str">
        <f aca="false">IF($Q53=1,$O53-ROW()/100000,"")</f>
        <v/>
      </c>
    </row>
    <row r="54" customFormat="false" ht="15" hidden="false" customHeight="false" outlineLevel="0" collapsed="false">
      <c r="M54" s="33" t="str">
        <f aca="false">IF($A54="","",HOUR($A54))</f>
        <v/>
      </c>
      <c r="N54" s="34" t="str">
        <f aca="false">IF($A54="","",$I54*$K54)</f>
        <v/>
      </c>
      <c r="O54" s="33" t="str">
        <f aca="false">IF(OR($A54="",$C54="U"),"",SUMIFS($I$3:$I$302,$E$3:$E$302,$E54,$C$3:$C$302,"&lt;&gt;U"))</f>
        <v/>
      </c>
      <c r="P54" s="33" t="str">
        <f aca="false">IF(OR($A54="",$C54="U"),"",SUMIFS($N$3:$N$302,$E$3:$E$302,$E54,$C$3:$C$302,"&lt;&gt;U"))</f>
        <v/>
      </c>
      <c r="Q54" s="33" t="str">
        <f aca="false">IF(OR($A54="",$C54="U"),"",IF(COUNTIFS($E$3:$E54,$E54,$C$3:$C54,"&lt;&gt;U")=1,1,0))</f>
        <v/>
      </c>
      <c r="R54" s="33" t="str">
        <f aca="false">IF($Q54=1,$O54-ROW()/100000,"")</f>
        <v/>
      </c>
    </row>
    <row r="55" customFormat="false" ht="15" hidden="false" customHeight="false" outlineLevel="0" collapsed="false">
      <c r="M55" s="33" t="str">
        <f aca="false">IF($A55="","",HOUR($A55))</f>
        <v/>
      </c>
      <c r="N55" s="34" t="str">
        <f aca="false">IF($A55="","",$I55*$K55)</f>
        <v/>
      </c>
      <c r="O55" s="33" t="str">
        <f aca="false">IF(OR($A55="",$C55="U"),"",SUMIFS($I$3:$I$302,$E$3:$E$302,$E55,$C$3:$C$302,"&lt;&gt;U"))</f>
        <v/>
      </c>
      <c r="P55" s="33" t="str">
        <f aca="false">IF(OR($A55="",$C55="U"),"",SUMIFS($N$3:$N$302,$E$3:$E$302,$E55,$C$3:$C$302,"&lt;&gt;U"))</f>
        <v/>
      </c>
      <c r="Q55" s="33" t="str">
        <f aca="false">IF(OR($A55="",$C55="U"),"",IF(COUNTIFS($E$3:$E55,$E55,$C$3:$C55,"&lt;&gt;U")=1,1,0))</f>
        <v/>
      </c>
      <c r="R55" s="33" t="str">
        <f aca="false">IF($Q55=1,$O55-ROW()/100000,"")</f>
        <v/>
      </c>
    </row>
    <row r="56" customFormat="false" ht="15" hidden="false" customHeight="false" outlineLevel="0" collapsed="false">
      <c r="M56" s="33" t="str">
        <f aca="false">IF($A56="","",HOUR($A56))</f>
        <v/>
      </c>
      <c r="N56" s="34" t="str">
        <f aca="false">IF($A56="","",$I56*$K56)</f>
        <v/>
      </c>
      <c r="O56" s="33" t="str">
        <f aca="false">IF(OR($A56="",$C56="U"),"",SUMIFS($I$3:$I$302,$E$3:$E$302,$E56,$C$3:$C$302,"&lt;&gt;U"))</f>
        <v/>
      </c>
      <c r="P56" s="33" t="str">
        <f aca="false">IF(OR($A56="",$C56="U"),"",SUMIFS($N$3:$N$302,$E$3:$E$302,$E56,$C$3:$C$302,"&lt;&gt;U"))</f>
        <v/>
      </c>
      <c r="Q56" s="33" t="str">
        <f aca="false">IF(OR($A56="",$C56="U"),"",IF(COUNTIFS($E$3:$E56,$E56,$C$3:$C56,"&lt;&gt;U")=1,1,0))</f>
        <v/>
      </c>
      <c r="R56" s="33" t="str">
        <f aca="false">IF($Q56=1,$O56-ROW()/100000,"")</f>
        <v/>
      </c>
    </row>
    <row r="57" customFormat="false" ht="15" hidden="false" customHeight="false" outlineLevel="0" collapsed="false">
      <c r="M57" s="33" t="str">
        <f aca="false">IF($A57="","",HOUR($A57))</f>
        <v/>
      </c>
      <c r="N57" s="34" t="str">
        <f aca="false">IF($A57="","",$I57*$K57)</f>
        <v/>
      </c>
      <c r="O57" s="33" t="str">
        <f aca="false">IF(OR($A57="",$C57="U"),"",SUMIFS($I$3:$I$302,$E$3:$E$302,$E57,$C$3:$C$302,"&lt;&gt;U"))</f>
        <v/>
      </c>
      <c r="P57" s="33" t="str">
        <f aca="false">IF(OR($A57="",$C57="U"),"",SUMIFS($N$3:$N$302,$E$3:$E$302,$E57,$C$3:$C$302,"&lt;&gt;U"))</f>
        <v/>
      </c>
      <c r="Q57" s="33" t="str">
        <f aca="false">IF(OR($A57="",$C57="U"),"",IF(COUNTIFS($E$3:$E57,$E57,$C$3:$C57,"&lt;&gt;U")=1,1,0))</f>
        <v/>
      </c>
      <c r="R57" s="33" t="str">
        <f aca="false">IF($Q57=1,$O57-ROW()/100000,"")</f>
        <v/>
      </c>
    </row>
    <row r="58" customFormat="false" ht="15" hidden="false" customHeight="false" outlineLevel="0" collapsed="false">
      <c r="M58" s="33" t="str">
        <f aca="false">IF($A58="","",HOUR($A58))</f>
        <v/>
      </c>
      <c r="N58" s="34" t="str">
        <f aca="false">IF($A58="","",$I58*$K58)</f>
        <v/>
      </c>
      <c r="O58" s="33" t="str">
        <f aca="false">IF(OR($A58="",$C58="U"),"",SUMIFS($I$3:$I$302,$E$3:$E$302,$E58,$C$3:$C$302,"&lt;&gt;U"))</f>
        <v/>
      </c>
      <c r="P58" s="33" t="str">
        <f aca="false">IF(OR($A58="",$C58="U"),"",SUMIFS($N$3:$N$302,$E$3:$E$302,$E58,$C$3:$C$302,"&lt;&gt;U"))</f>
        <v/>
      </c>
      <c r="Q58" s="33" t="str">
        <f aca="false">IF(OR($A58="",$C58="U"),"",IF(COUNTIFS($E$3:$E58,$E58,$C$3:$C58,"&lt;&gt;U")=1,1,0))</f>
        <v/>
      </c>
      <c r="R58" s="33" t="str">
        <f aca="false">IF($Q58=1,$O58-ROW()/100000,"")</f>
        <v/>
      </c>
    </row>
    <row r="59" customFormat="false" ht="15" hidden="false" customHeight="false" outlineLevel="0" collapsed="false">
      <c r="M59" s="33" t="str">
        <f aca="false">IF($A59="","",HOUR($A59))</f>
        <v/>
      </c>
      <c r="N59" s="34" t="str">
        <f aca="false">IF($A59="","",$I59*$K59)</f>
        <v/>
      </c>
      <c r="O59" s="33" t="str">
        <f aca="false">IF(OR($A59="",$C59="U"),"",SUMIFS($I$3:$I$302,$E$3:$E$302,$E59,$C$3:$C$302,"&lt;&gt;U"))</f>
        <v/>
      </c>
      <c r="P59" s="33" t="str">
        <f aca="false">IF(OR($A59="",$C59="U"),"",SUMIFS($N$3:$N$302,$E$3:$E$302,$E59,$C$3:$C$302,"&lt;&gt;U"))</f>
        <v/>
      </c>
      <c r="Q59" s="33" t="str">
        <f aca="false">IF(OR($A59="",$C59="U"),"",IF(COUNTIFS($E$3:$E59,$E59,$C$3:$C59,"&lt;&gt;U")=1,1,0))</f>
        <v/>
      </c>
      <c r="R59" s="33" t="str">
        <f aca="false">IF($Q59=1,$O59-ROW()/100000,"")</f>
        <v/>
      </c>
    </row>
    <row r="60" customFormat="false" ht="15" hidden="false" customHeight="false" outlineLevel="0" collapsed="false">
      <c r="M60" s="33" t="str">
        <f aca="false">IF($A60="","",HOUR($A60))</f>
        <v/>
      </c>
      <c r="N60" s="34" t="str">
        <f aca="false">IF($A60="","",$I60*$K60)</f>
        <v/>
      </c>
      <c r="O60" s="33" t="str">
        <f aca="false">IF(OR($A60="",$C60="U"),"",SUMIFS($I$3:$I$302,$E$3:$E$302,$E60,$C$3:$C$302,"&lt;&gt;U"))</f>
        <v/>
      </c>
      <c r="P60" s="33" t="str">
        <f aca="false">IF(OR($A60="",$C60="U"),"",SUMIFS($N$3:$N$302,$E$3:$E$302,$E60,$C$3:$C$302,"&lt;&gt;U"))</f>
        <v/>
      </c>
      <c r="Q60" s="33" t="str">
        <f aca="false">IF(OR($A60="",$C60="U"),"",IF(COUNTIFS($E$3:$E60,$E60,$C$3:$C60,"&lt;&gt;U")=1,1,0))</f>
        <v/>
      </c>
      <c r="R60" s="33" t="str">
        <f aca="false">IF($Q60=1,$O60-ROW()/100000,"")</f>
        <v/>
      </c>
    </row>
    <row r="61" customFormat="false" ht="15" hidden="false" customHeight="false" outlineLevel="0" collapsed="false">
      <c r="M61" s="33" t="str">
        <f aca="false">IF($A61="","",HOUR($A61))</f>
        <v/>
      </c>
      <c r="N61" s="34" t="str">
        <f aca="false">IF($A61="","",$I61*$K61)</f>
        <v/>
      </c>
      <c r="O61" s="33" t="str">
        <f aca="false">IF(OR($A61="",$C61="U"),"",SUMIFS($I$3:$I$302,$E$3:$E$302,$E61,$C$3:$C$302,"&lt;&gt;U"))</f>
        <v/>
      </c>
      <c r="P61" s="33" t="str">
        <f aca="false">IF(OR($A61="",$C61="U"),"",SUMIFS($N$3:$N$302,$E$3:$E$302,$E61,$C$3:$C$302,"&lt;&gt;U"))</f>
        <v/>
      </c>
      <c r="Q61" s="33" t="str">
        <f aca="false">IF(OR($A61="",$C61="U"),"",IF(COUNTIFS($E$3:$E61,$E61,$C$3:$C61,"&lt;&gt;U")=1,1,0))</f>
        <v/>
      </c>
      <c r="R61" s="33" t="str">
        <f aca="false">IF($Q61=1,$O61-ROW()/100000,"")</f>
        <v/>
      </c>
    </row>
    <row r="62" customFormat="false" ht="15" hidden="false" customHeight="false" outlineLevel="0" collapsed="false">
      <c r="M62" s="33" t="str">
        <f aca="false">IF($A62="","",HOUR($A62))</f>
        <v/>
      </c>
      <c r="N62" s="34" t="str">
        <f aca="false">IF($A62="","",$I62*$K62)</f>
        <v/>
      </c>
      <c r="O62" s="33" t="str">
        <f aca="false">IF(OR($A62="",$C62="U"),"",SUMIFS($I$3:$I$302,$E$3:$E$302,$E62,$C$3:$C$302,"&lt;&gt;U"))</f>
        <v/>
      </c>
      <c r="P62" s="33" t="str">
        <f aca="false">IF(OR($A62="",$C62="U"),"",SUMIFS($N$3:$N$302,$E$3:$E$302,$E62,$C$3:$C$302,"&lt;&gt;U"))</f>
        <v/>
      </c>
      <c r="Q62" s="33" t="str">
        <f aca="false">IF(OR($A62="",$C62="U"),"",IF(COUNTIFS($E$3:$E62,$E62,$C$3:$C62,"&lt;&gt;U")=1,1,0))</f>
        <v/>
      </c>
      <c r="R62" s="33" t="str">
        <f aca="false">IF($Q62=1,$O62-ROW()/100000,"")</f>
        <v/>
      </c>
    </row>
    <row r="63" customFormat="false" ht="15" hidden="false" customHeight="false" outlineLevel="0" collapsed="false">
      <c r="M63" s="33" t="str">
        <f aca="false">IF($A63="","",HOUR($A63))</f>
        <v/>
      </c>
      <c r="N63" s="34" t="str">
        <f aca="false">IF($A63="","",$I63*$K63)</f>
        <v/>
      </c>
      <c r="O63" s="33" t="str">
        <f aca="false">IF(OR($A63="",$C63="U"),"",SUMIFS($I$3:$I$302,$E$3:$E$302,$E63,$C$3:$C$302,"&lt;&gt;U"))</f>
        <v/>
      </c>
      <c r="P63" s="33" t="str">
        <f aca="false">IF(OR($A63="",$C63="U"),"",SUMIFS($N$3:$N$302,$E$3:$E$302,$E63,$C$3:$C$302,"&lt;&gt;U"))</f>
        <v/>
      </c>
      <c r="Q63" s="33" t="str">
        <f aca="false">IF(OR($A63="",$C63="U"),"",IF(COUNTIFS($E$3:$E63,$E63,$C$3:$C63,"&lt;&gt;U")=1,1,0))</f>
        <v/>
      </c>
      <c r="R63" s="33" t="str">
        <f aca="false">IF($Q63=1,$O63-ROW()/100000,"")</f>
        <v/>
      </c>
    </row>
    <row r="64" customFormat="false" ht="15" hidden="false" customHeight="false" outlineLevel="0" collapsed="false">
      <c r="M64" s="33" t="str">
        <f aca="false">IF($A64="","",HOUR($A64))</f>
        <v/>
      </c>
      <c r="N64" s="34" t="str">
        <f aca="false">IF($A64="","",$I64*$K64)</f>
        <v/>
      </c>
      <c r="O64" s="33" t="str">
        <f aca="false">IF(OR($A64="",$C64="U"),"",SUMIFS($I$3:$I$302,$E$3:$E$302,$E64,$C$3:$C$302,"&lt;&gt;U"))</f>
        <v/>
      </c>
      <c r="P64" s="33" t="str">
        <f aca="false">IF(OR($A64="",$C64="U"),"",SUMIFS($N$3:$N$302,$E$3:$E$302,$E64,$C$3:$C$302,"&lt;&gt;U"))</f>
        <v/>
      </c>
      <c r="Q64" s="33" t="str">
        <f aca="false">IF(OR($A64="",$C64="U"),"",IF(COUNTIFS($E$3:$E64,$E64,$C$3:$C64,"&lt;&gt;U")=1,1,0))</f>
        <v/>
      </c>
      <c r="R64" s="33" t="str">
        <f aca="false">IF($Q64=1,$O64-ROW()/100000,"")</f>
        <v/>
      </c>
    </row>
    <row r="65" customFormat="false" ht="15" hidden="false" customHeight="false" outlineLevel="0" collapsed="false">
      <c r="M65" s="33" t="str">
        <f aca="false">IF($A65="","",HOUR($A65))</f>
        <v/>
      </c>
      <c r="N65" s="34" t="str">
        <f aca="false">IF($A65="","",$I65*$K65)</f>
        <v/>
      </c>
      <c r="O65" s="33" t="str">
        <f aca="false">IF(OR($A65="",$C65="U"),"",SUMIFS($I$3:$I$302,$E$3:$E$302,$E65,$C$3:$C$302,"&lt;&gt;U"))</f>
        <v/>
      </c>
      <c r="P65" s="33" t="str">
        <f aca="false">IF(OR($A65="",$C65="U"),"",SUMIFS($N$3:$N$302,$E$3:$E$302,$E65,$C$3:$C$302,"&lt;&gt;U"))</f>
        <v/>
      </c>
      <c r="Q65" s="33" t="str">
        <f aca="false">IF(OR($A65="",$C65="U"),"",IF(COUNTIFS($E$3:$E65,$E65,$C$3:$C65,"&lt;&gt;U")=1,1,0))</f>
        <v/>
      </c>
      <c r="R65" s="33" t="str">
        <f aca="false">IF($Q65=1,$O65-ROW()/100000,"")</f>
        <v/>
      </c>
    </row>
    <row r="66" customFormat="false" ht="15" hidden="false" customHeight="false" outlineLevel="0" collapsed="false">
      <c r="M66" s="33" t="str">
        <f aca="false">IF($A66="","",HOUR($A66))</f>
        <v/>
      </c>
      <c r="N66" s="34" t="str">
        <f aca="false">IF($A66="","",$I66*$K66)</f>
        <v/>
      </c>
      <c r="O66" s="33" t="str">
        <f aca="false">IF(OR($A66="",$C66="U"),"",SUMIFS($I$3:$I$302,$E$3:$E$302,$E66,$C$3:$C$302,"&lt;&gt;U"))</f>
        <v/>
      </c>
      <c r="P66" s="33" t="str">
        <f aca="false">IF(OR($A66="",$C66="U"),"",SUMIFS($N$3:$N$302,$E$3:$E$302,$E66,$C$3:$C$302,"&lt;&gt;U"))</f>
        <v/>
      </c>
      <c r="Q66" s="33" t="str">
        <f aca="false">IF(OR($A66="",$C66="U"),"",IF(COUNTIFS($E$3:$E66,$E66,$C$3:$C66,"&lt;&gt;U")=1,1,0))</f>
        <v/>
      </c>
      <c r="R66" s="33" t="str">
        <f aca="false">IF($Q66=1,$O66-ROW()/100000,"")</f>
        <v/>
      </c>
    </row>
    <row r="67" customFormat="false" ht="15" hidden="false" customHeight="false" outlineLevel="0" collapsed="false">
      <c r="M67" s="33" t="str">
        <f aca="false">IF($A67="","",HOUR($A67))</f>
        <v/>
      </c>
      <c r="N67" s="34" t="str">
        <f aca="false">IF($A67="","",$I67*$K67)</f>
        <v/>
      </c>
      <c r="O67" s="33" t="str">
        <f aca="false">IF(OR($A67="",$C67="U"),"",SUMIFS($I$3:$I$302,$E$3:$E$302,$E67,$C$3:$C$302,"&lt;&gt;U"))</f>
        <v/>
      </c>
      <c r="P67" s="33" t="str">
        <f aca="false">IF(OR($A67="",$C67="U"),"",SUMIFS($N$3:$N$302,$E$3:$E$302,$E67,$C$3:$C$302,"&lt;&gt;U"))</f>
        <v/>
      </c>
      <c r="Q67" s="33" t="str">
        <f aca="false">IF(OR($A67="",$C67="U"),"",IF(COUNTIFS($E$3:$E67,$E67,$C$3:$C67,"&lt;&gt;U")=1,1,0))</f>
        <v/>
      </c>
      <c r="R67" s="33" t="str">
        <f aca="false">IF($Q67=1,$O67-ROW()/100000,"")</f>
        <v/>
      </c>
    </row>
    <row r="68" customFormat="false" ht="15" hidden="false" customHeight="false" outlineLevel="0" collapsed="false">
      <c r="M68" s="33" t="str">
        <f aca="false">IF($A68="","",HOUR($A68))</f>
        <v/>
      </c>
      <c r="N68" s="34" t="str">
        <f aca="false">IF($A68="","",$I68*$K68)</f>
        <v/>
      </c>
      <c r="O68" s="33" t="str">
        <f aca="false">IF(OR($A68="",$C68="U"),"",SUMIFS($I$3:$I$302,$E$3:$E$302,$E68,$C$3:$C$302,"&lt;&gt;U"))</f>
        <v/>
      </c>
      <c r="P68" s="33" t="str">
        <f aca="false">IF(OR($A68="",$C68="U"),"",SUMIFS($N$3:$N$302,$E$3:$E$302,$E68,$C$3:$C$302,"&lt;&gt;U"))</f>
        <v/>
      </c>
      <c r="Q68" s="33" t="str">
        <f aca="false">IF(OR($A68="",$C68="U"),"",IF(COUNTIFS($E$3:$E68,$E68,$C$3:$C68,"&lt;&gt;U")=1,1,0))</f>
        <v/>
      </c>
      <c r="R68" s="33" t="str">
        <f aca="false">IF($Q68=1,$O68-ROW()/100000,"")</f>
        <v/>
      </c>
    </row>
    <row r="69" customFormat="false" ht="15" hidden="false" customHeight="false" outlineLevel="0" collapsed="false">
      <c r="M69" s="33" t="str">
        <f aca="false">IF($A69="","",HOUR($A69))</f>
        <v/>
      </c>
      <c r="N69" s="34" t="str">
        <f aca="false">IF($A69="","",$I69*$K69)</f>
        <v/>
      </c>
      <c r="O69" s="33" t="str">
        <f aca="false">IF(OR($A69="",$C69="U"),"",SUMIFS($I$3:$I$302,$E$3:$E$302,$E69,$C$3:$C$302,"&lt;&gt;U"))</f>
        <v/>
      </c>
      <c r="P69" s="33" t="str">
        <f aca="false">IF(OR($A69="",$C69="U"),"",SUMIFS($N$3:$N$302,$E$3:$E$302,$E69,$C$3:$C$302,"&lt;&gt;U"))</f>
        <v/>
      </c>
      <c r="Q69" s="33" t="str">
        <f aca="false">IF(OR($A69="",$C69="U"),"",IF(COUNTIFS($E$3:$E69,$E69,$C$3:$C69,"&lt;&gt;U")=1,1,0))</f>
        <v/>
      </c>
      <c r="R69" s="33" t="str">
        <f aca="false">IF($Q69=1,$O69-ROW()/100000,"")</f>
        <v/>
      </c>
    </row>
    <row r="70" customFormat="false" ht="15" hidden="false" customHeight="false" outlineLevel="0" collapsed="false">
      <c r="M70" s="33" t="str">
        <f aca="false">IF($A70="","",HOUR($A70))</f>
        <v/>
      </c>
      <c r="N70" s="34" t="str">
        <f aca="false">IF($A70="","",$I70*$K70)</f>
        <v/>
      </c>
      <c r="O70" s="33" t="str">
        <f aca="false">IF(OR($A70="",$C70="U"),"",SUMIFS($I$3:$I$302,$E$3:$E$302,$E70,$C$3:$C$302,"&lt;&gt;U"))</f>
        <v/>
      </c>
      <c r="P70" s="33" t="str">
        <f aca="false">IF(OR($A70="",$C70="U"),"",SUMIFS($N$3:$N$302,$E$3:$E$302,$E70,$C$3:$C$302,"&lt;&gt;U"))</f>
        <v/>
      </c>
      <c r="Q70" s="33" t="str">
        <f aca="false">IF(OR($A70="",$C70="U"),"",IF(COUNTIFS($E$3:$E70,$E70,$C$3:$C70,"&lt;&gt;U")=1,1,0))</f>
        <v/>
      </c>
      <c r="R70" s="33" t="str">
        <f aca="false">IF($Q70=1,$O70-ROW()/100000,"")</f>
        <v/>
      </c>
    </row>
    <row r="71" customFormat="false" ht="15" hidden="false" customHeight="false" outlineLevel="0" collapsed="false">
      <c r="M71" s="33" t="str">
        <f aca="false">IF($A71="","",HOUR($A71))</f>
        <v/>
      </c>
      <c r="N71" s="34" t="str">
        <f aca="false">IF($A71="","",$I71*$K71)</f>
        <v/>
      </c>
      <c r="O71" s="33" t="str">
        <f aca="false">IF(OR($A71="",$C71="U"),"",SUMIFS($I$3:$I$302,$E$3:$E$302,$E71,$C$3:$C$302,"&lt;&gt;U"))</f>
        <v/>
      </c>
      <c r="P71" s="33" t="str">
        <f aca="false">IF(OR($A71="",$C71="U"),"",SUMIFS($N$3:$N$302,$E$3:$E$302,$E71,$C$3:$C$302,"&lt;&gt;U"))</f>
        <v/>
      </c>
      <c r="Q71" s="33" t="str">
        <f aca="false">IF(OR($A71="",$C71="U"),"",IF(COUNTIFS($E$3:$E71,$E71,$C$3:$C71,"&lt;&gt;U")=1,1,0))</f>
        <v/>
      </c>
      <c r="R71" s="33" t="str">
        <f aca="false">IF($Q71=1,$O71-ROW()/100000,"")</f>
        <v/>
      </c>
    </row>
    <row r="72" customFormat="false" ht="15" hidden="false" customHeight="false" outlineLevel="0" collapsed="false">
      <c r="M72" s="33" t="str">
        <f aca="false">IF($A72="","",HOUR($A72))</f>
        <v/>
      </c>
      <c r="N72" s="34" t="str">
        <f aca="false">IF($A72="","",$I72*$K72)</f>
        <v/>
      </c>
      <c r="O72" s="33" t="str">
        <f aca="false">IF(OR($A72="",$C72="U"),"",SUMIFS($I$3:$I$302,$E$3:$E$302,$E72,$C$3:$C$302,"&lt;&gt;U"))</f>
        <v/>
      </c>
      <c r="P72" s="33" t="str">
        <f aca="false">IF(OR($A72="",$C72="U"),"",SUMIFS($N$3:$N$302,$E$3:$E$302,$E72,$C$3:$C$302,"&lt;&gt;U"))</f>
        <v/>
      </c>
      <c r="Q72" s="33" t="str">
        <f aca="false">IF(OR($A72="",$C72="U"),"",IF(COUNTIFS($E$3:$E72,$E72,$C$3:$C72,"&lt;&gt;U")=1,1,0))</f>
        <v/>
      </c>
      <c r="R72" s="33" t="str">
        <f aca="false">IF($Q72=1,$O72-ROW()/100000,"")</f>
        <v/>
      </c>
    </row>
    <row r="73" customFormat="false" ht="15" hidden="false" customHeight="false" outlineLevel="0" collapsed="false">
      <c r="M73" s="33" t="str">
        <f aca="false">IF($A73="","",HOUR($A73))</f>
        <v/>
      </c>
      <c r="N73" s="34" t="str">
        <f aca="false">IF($A73="","",$I73*$K73)</f>
        <v/>
      </c>
      <c r="O73" s="33" t="str">
        <f aca="false">IF(OR($A73="",$C73="U"),"",SUMIFS($I$3:$I$302,$E$3:$E$302,$E73,$C$3:$C$302,"&lt;&gt;U"))</f>
        <v/>
      </c>
      <c r="P73" s="33" t="str">
        <f aca="false">IF(OR($A73="",$C73="U"),"",SUMIFS($N$3:$N$302,$E$3:$E$302,$E73,$C$3:$C$302,"&lt;&gt;U"))</f>
        <v/>
      </c>
      <c r="Q73" s="33" t="str">
        <f aca="false">IF(OR($A73="",$C73="U"),"",IF(COUNTIFS($E$3:$E73,$E73,$C$3:$C73,"&lt;&gt;U")=1,1,0))</f>
        <v/>
      </c>
      <c r="R73" s="33" t="str">
        <f aca="false">IF($Q73=1,$O73-ROW()/100000,"")</f>
        <v/>
      </c>
    </row>
    <row r="74" customFormat="false" ht="15" hidden="false" customHeight="false" outlineLevel="0" collapsed="false">
      <c r="M74" s="33" t="str">
        <f aca="false">IF($A74="","",HOUR($A74))</f>
        <v/>
      </c>
      <c r="N74" s="34" t="str">
        <f aca="false">IF($A74="","",$I74*$K74)</f>
        <v/>
      </c>
      <c r="O74" s="33" t="str">
        <f aca="false">IF(OR($A74="",$C74="U"),"",SUMIFS($I$3:$I$302,$E$3:$E$302,$E74,$C$3:$C$302,"&lt;&gt;U"))</f>
        <v/>
      </c>
      <c r="P74" s="33" t="str">
        <f aca="false">IF(OR($A74="",$C74="U"),"",SUMIFS($N$3:$N$302,$E$3:$E$302,$E74,$C$3:$C$302,"&lt;&gt;U"))</f>
        <v/>
      </c>
      <c r="Q74" s="33" t="str">
        <f aca="false">IF(OR($A74="",$C74="U"),"",IF(COUNTIFS($E$3:$E74,$E74,$C$3:$C74,"&lt;&gt;U")=1,1,0))</f>
        <v/>
      </c>
      <c r="R74" s="33" t="str">
        <f aca="false">IF($Q74=1,$O74-ROW()/100000,"")</f>
        <v/>
      </c>
    </row>
    <row r="75" customFormat="false" ht="15" hidden="false" customHeight="false" outlineLevel="0" collapsed="false">
      <c r="M75" s="33" t="str">
        <f aca="false">IF($A75="","",HOUR($A75))</f>
        <v/>
      </c>
      <c r="N75" s="34" t="str">
        <f aca="false">IF($A75="","",$I75*$K75)</f>
        <v/>
      </c>
      <c r="O75" s="33" t="str">
        <f aca="false">IF(OR($A75="",$C75="U"),"",SUMIFS($I$3:$I$302,$E$3:$E$302,$E75,$C$3:$C$302,"&lt;&gt;U"))</f>
        <v/>
      </c>
      <c r="P75" s="33" t="str">
        <f aca="false">IF(OR($A75="",$C75="U"),"",SUMIFS($N$3:$N$302,$E$3:$E$302,$E75,$C$3:$C$302,"&lt;&gt;U"))</f>
        <v/>
      </c>
      <c r="Q75" s="33" t="str">
        <f aca="false">IF(OR($A75="",$C75="U"),"",IF(COUNTIFS($E$3:$E75,$E75,$C$3:$C75,"&lt;&gt;U")=1,1,0))</f>
        <v/>
      </c>
      <c r="R75" s="33" t="str">
        <f aca="false">IF($Q75=1,$O75-ROW()/100000,"")</f>
        <v/>
      </c>
    </row>
    <row r="76" customFormat="false" ht="15" hidden="false" customHeight="false" outlineLevel="0" collapsed="false">
      <c r="M76" s="33" t="str">
        <f aca="false">IF($A76="","",HOUR($A76))</f>
        <v/>
      </c>
      <c r="N76" s="34" t="str">
        <f aca="false">IF($A76="","",$I76*$K76)</f>
        <v/>
      </c>
      <c r="O76" s="33" t="str">
        <f aca="false">IF(OR($A76="",$C76="U"),"",SUMIFS($I$3:$I$302,$E$3:$E$302,$E76,$C$3:$C$302,"&lt;&gt;U"))</f>
        <v/>
      </c>
      <c r="P76" s="33" t="str">
        <f aca="false">IF(OR($A76="",$C76="U"),"",SUMIFS($N$3:$N$302,$E$3:$E$302,$E76,$C$3:$C$302,"&lt;&gt;U"))</f>
        <v/>
      </c>
      <c r="Q76" s="33" t="str">
        <f aca="false">IF(OR($A76="",$C76="U"),"",IF(COUNTIFS($E$3:$E76,$E76,$C$3:$C76,"&lt;&gt;U")=1,1,0))</f>
        <v/>
      </c>
      <c r="R76" s="33" t="str">
        <f aca="false">IF($Q76=1,$O76-ROW()/100000,"")</f>
        <v/>
      </c>
    </row>
    <row r="77" customFormat="false" ht="15" hidden="false" customHeight="false" outlineLevel="0" collapsed="false">
      <c r="M77" s="33" t="str">
        <f aca="false">IF($A77="","",HOUR($A77))</f>
        <v/>
      </c>
      <c r="N77" s="34" t="str">
        <f aca="false">IF($A77="","",$I77*$K77)</f>
        <v/>
      </c>
      <c r="O77" s="33" t="str">
        <f aca="false">IF(OR($A77="",$C77="U"),"",SUMIFS($I$3:$I$302,$E$3:$E$302,$E77,$C$3:$C$302,"&lt;&gt;U"))</f>
        <v/>
      </c>
      <c r="P77" s="33" t="str">
        <f aca="false">IF(OR($A77="",$C77="U"),"",SUMIFS($N$3:$N$302,$E$3:$E$302,$E77,$C$3:$C$302,"&lt;&gt;U"))</f>
        <v/>
      </c>
      <c r="Q77" s="33" t="str">
        <f aca="false">IF(OR($A77="",$C77="U"),"",IF(COUNTIFS($E$3:$E77,$E77,$C$3:$C77,"&lt;&gt;U")=1,1,0))</f>
        <v/>
      </c>
      <c r="R77" s="33" t="str">
        <f aca="false">IF($Q77=1,$O77-ROW()/100000,"")</f>
        <v/>
      </c>
    </row>
    <row r="78" customFormat="false" ht="15" hidden="false" customHeight="false" outlineLevel="0" collapsed="false">
      <c r="M78" s="33" t="str">
        <f aca="false">IF($A78="","",HOUR($A78))</f>
        <v/>
      </c>
      <c r="N78" s="34" t="str">
        <f aca="false">IF($A78="","",$I78*$K78)</f>
        <v/>
      </c>
      <c r="O78" s="33" t="str">
        <f aca="false">IF(OR($A78="",$C78="U"),"",SUMIFS($I$3:$I$302,$E$3:$E$302,$E78,$C$3:$C$302,"&lt;&gt;U"))</f>
        <v/>
      </c>
      <c r="P78" s="33" t="str">
        <f aca="false">IF(OR($A78="",$C78="U"),"",SUMIFS($N$3:$N$302,$E$3:$E$302,$E78,$C$3:$C$302,"&lt;&gt;U"))</f>
        <v/>
      </c>
      <c r="Q78" s="33" t="str">
        <f aca="false">IF(OR($A78="",$C78="U"),"",IF(COUNTIFS($E$3:$E78,$E78,$C$3:$C78,"&lt;&gt;U")=1,1,0))</f>
        <v/>
      </c>
      <c r="R78" s="33" t="str">
        <f aca="false">IF($Q78=1,$O78-ROW()/100000,"")</f>
        <v/>
      </c>
    </row>
    <row r="79" customFormat="false" ht="15" hidden="false" customHeight="false" outlineLevel="0" collapsed="false">
      <c r="M79" s="33" t="str">
        <f aca="false">IF($A79="","",HOUR($A79))</f>
        <v/>
      </c>
      <c r="N79" s="34" t="str">
        <f aca="false">IF($A79="","",$I79*$K79)</f>
        <v/>
      </c>
      <c r="O79" s="33" t="str">
        <f aca="false">IF(OR($A79="",$C79="U"),"",SUMIFS($I$3:$I$302,$E$3:$E$302,$E79,$C$3:$C$302,"&lt;&gt;U"))</f>
        <v/>
      </c>
      <c r="P79" s="33" t="str">
        <f aca="false">IF(OR($A79="",$C79="U"),"",SUMIFS($N$3:$N$302,$E$3:$E$302,$E79,$C$3:$C$302,"&lt;&gt;U"))</f>
        <v/>
      </c>
      <c r="Q79" s="33" t="str">
        <f aca="false">IF(OR($A79="",$C79="U"),"",IF(COUNTIFS($E$3:$E79,$E79,$C$3:$C79,"&lt;&gt;U")=1,1,0))</f>
        <v/>
      </c>
      <c r="R79" s="33" t="str">
        <f aca="false">IF($Q79=1,$O79-ROW()/100000,"")</f>
        <v/>
      </c>
    </row>
    <row r="80" customFormat="false" ht="15" hidden="false" customHeight="false" outlineLevel="0" collapsed="false">
      <c r="M80" s="33" t="str">
        <f aca="false">IF($A80="","",HOUR($A80))</f>
        <v/>
      </c>
      <c r="N80" s="34" t="str">
        <f aca="false">IF($A80="","",$I80*$K80)</f>
        <v/>
      </c>
      <c r="O80" s="33" t="str">
        <f aca="false">IF(OR($A80="",$C80="U"),"",SUMIFS($I$3:$I$302,$E$3:$E$302,$E80,$C$3:$C$302,"&lt;&gt;U"))</f>
        <v/>
      </c>
      <c r="P80" s="33" t="str">
        <f aca="false">IF(OR($A80="",$C80="U"),"",SUMIFS($N$3:$N$302,$E$3:$E$302,$E80,$C$3:$C$302,"&lt;&gt;U"))</f>
        <v/>
      </c>
      <c r="Q80" s="33" t="str">
        <f aca="false">IF(OR($A80="",$C80="U"),"",IF(COUNTIFS($E$3:$E80,$E80,$C$3:$C80,"&lt;&gt;U")=1,1,0))</f>
        <v/>
      </c>
      <c r="R80" s="33" t="str">
        <f aca="false">IF($Q80=1,$O80-ROW()/100000,"")</f>
        <v/>
      </c>
    </row>
    <row r="81" customFormat="false" ht="15" hidden="false" customHeight="false" outlineLevel="0" collapsed="false">
      <c r="M81" s="33" t="str">
        <f aca="false">IF($A81="","",HOUR($A81))</f>
        <v/>
      </c>
      <c r="N81" s="34" t="str">
        <f aca="false">IF($A81="","",$I81*$K81)</f>
        <v/>
      </c>
      <c r="O81" s="33" t="str">
        <f aca="false">IF(OR($A81="",$C81="U"),"",SUMIFS($I$3:$I$302,$E$3:$E$302,$E81,$C$3:$C$302,"&lt;&gt;U"))</f>
        <v/>
      </c>
      <c r="P81" s="33" t="str">
        <f aca="false">IF(OR($A81="",$C81="U"),"",SUMIFS($N$3:$N$302,$E$3:$E$302,$E81,$C$3:$C$302,"&lt;&gt;U"))</f>
        <v/>
      </c>
      <c r="Q81" s="33" t="str">
        <f aca="false">IF(OR($A81="",$C81="U"),"",IF(COUNTIFS($E$3:$E81,$E81,$C$3:$C81,"&lt;&gt;U")=1,1,0))</f>
        <v/>
      </c>
      <c r="R81" s="33" t="str">
        <f aca="false">IF($Q81=1,$O81-ROW()/100000,"")</f>
        <v/>
      </c>
    </row>
    <row r="82" customFormat="false" ht="15" hidden="false" customHeight="false" outlineLevel="0" collapsed="false">
      <c r="M82" s="33" t="str">
        <f aca="false">IF($A82="","",HOUR($A82))</f>
        <v/>
      </c>
      <c r="N82" s="34" t="str">
        <f aca="false">IF($A82="","",$I82*$K82)</f>
        <v/>
      </c>
      <c r="O82" s="33" t="str">
        <f aca="false">IF(OR($A82="",$C82="U"),"",SUMIFS($I$3:$I$302,$E$3:$E$302,$E82,$C$3:$C$302,"&lt;&gt;U"))</f>
        <v/>
      </c>
      <c r="P82" s="33" t="str">
        <f aca="false">IF(OR($A82="",$C82="U"),"",SUMIFS($N$3:$N$302,$E$3:$E$302,$E82,$C$3:$C$302,"&lt;&gt;U"))</f>
        <v/>
      </c>
      <c r="Q82" s="33" t="str">
        <f aca="false">IF(OR($A82="",$C82="U"),"",IF(COUNTIFS($E$3:$E82,$E82,$C$3:$C82,"&lt;&gt;U")=1,1,0))</f>
        <v/>
      </c>
      <c r="R82" s="33" t="str">
        <f aca="false">IF($Q82=1,$O82-ROW()/100000,"")</f>
        <v/>
      </c>
    </row>
    <row r="83" customFormat="false" ht="15" hidden="false" customHeight="false" outlineLevel="0" collapsed="false">
      <c r="M83" s="33" t="str">
        <f aca="false">IF($A83="","",HOUR($A83))</f>
        <v/>
      </c>
      <c r="N83" s="34" t="str">
        <f aca="false">IF($A83="","",$I83*$K83)</f>
        <v/>
      </c>
      <c r="O83" s="33" t="str">
        <f aca="false">IF(OR($A83="",$C83="U"),"",SUMIFS($I$3:$I$302,$E$3:$E$302,$E83,$C$3:$C$302,"&lt;&gt;U"))</f>
        <v/>
      </c>
      <c r="P83" s="33" t="str">
        <f aca="false">IF(OR($A83="",$C83="U"),"",SUMIFS($N$3:$N$302,$E$3:$E$302,$E83,$C$3:$C$302,"&lt;&gt;U"))</f>
        <v/>
      </c>
      <c r="Q83" s="33" t="str">
        <f aca="false">IF(OR($A83="",$C83="U"),"",IF(COUNTIFS($E$3:$E83,$E83,$C$3:$C83,"&lt;&gt;U")=1,1,0))</f>
        <v/>
      </c>
      <c r="R83" s="33" t="str">
        <f aca="false">IF($Q83=1,$O83-ROW()/100000,"")</f>
        <v/>
      </c>
    </row>
    <row r="84" customFormat="false" ht="15" hidden="false" customHeight="false" outlineLevel="0" collapsed="false">
      <c r="M84" s="33" t="str">
        <f aca="false">IF($A84="","",HOUR($A84))</f>
        <v/>
      </c>
      <c r="N84" s="34" t="str">
        <f aca="false">IF($A84="","",$I84*$K84)</f>
        <v/>
      </c>
      <c r="O84" s="33" t="str">
        <f aca="false">IF(OR($A84="",$C84="U"),"",SUMIFS($I$3:$I$302,$E$3:$E$302,$E84,$C$3:$C$302,"&lt;&gt;U"))</f>
        <v/>
      </c>
      <c r="P84" s="33" t="str">
        <f aca="false">IF(OR($A84="",$C84="U"),"",SUMIFS($N$3:$N$302,$E$3:$E$302,$E84,$C$3:$C$302,"&lt;&gt;U"))</f>
        <v/>
      </c>
      <c r="Q84" s="33" t="str">
        <f aca="false">IF(OR($A84="",$C84="U"),"",IF(COUNTIFS($E$3:$E84,$E84,$C$3:$C84,"&lt;&gt;U")=1,1,0))</f>
        <v/>
      </c>
      <c r="R84" s="33" t="str">
        <f aca="false">IF($Q84=1,$O84-ROW()/100000,"")</f>
        <v/>
      </c>
    </row>
    <row r="85" customFormat="false" ht="15" hidden="false" customHeight="false" outlineLevel="0" collapsed="false">
      <c r="M85" s="33" t="str">
        <f aca="false">IF($A85="","",HOUR($A85))</f>
        <v/>
      </c>
      <c r="N85" s="34" t="str">
        <f aca="false">IF($A85="","",$I85*$K85)</f>
        <v/>
      </c>
      <c r="O85" s="33" t="str">
        <f aca="false">IF(OR($A85="",$C85="U"),"",SUMIFS($I$3:$I$302,$E$3:$E$302,$E85,$C$3:$C$302,"&lt;&gt;U"))</f>
        <v/>
      </c>
      <c r="P85" s="33" t="str">
        <f aca="false">IF(OR($A85="",$C85="U"),"",SUMIFS($N$3:$N$302,$E$3:$E$302,$E85,$C$3:$C$302,"&lt;&gt;U"))</f>
        <v/>
      </c>
      <c r="Q85" s="33" t="str">
        <f aca="false">IF(OR($A85="",$C85="U"),"",IF(COUNTIFS($E$3:$E85,$E85,$C$3:$C85,"&lt;&gt;U")=1,1,0))</f>
        <v/>
      </c>
      <c r="R85" s="33" t="str">
        <f aca="false">IF($Q85=1,$O85-ROW()/100000,"")</f>
        <v/>
      </c>
    </row>
    <row r="86" customFormat="false" ht="15" hidden="false" customHeight="false" outlineLevel="0" collapsed="false">
      <c r="M86" s="33" t="str">
        <f aca="false">IF($A86="","",HOUR($A86))</f>
        <v/>
      </c>
      <c r="N86" s="34" t="str">
        <f aca="false">IF($A86="","",$I86*$K86)</f>
        <v/>
      </c>
      <c r="O86" s="33" t="str">
        <f aca="false">IF(OR($A86="",$C86="U"),"",SUMIFS($I$3:$I$302,$E$3:$E$302,$E86,$C$3:$C$302,"&lt;&gt;U"))</f>
        <v/>
      </c>
      <c r="P86" s="33" t="str">
        <f aca="false">IF(OR($A86="",$C86="U"),"",SUMIFS($N$3:$N$302,$E$3:$E$302,$E86,$C$3:$C$302,"&lt;&gt;U"))</f>
        <v/>
      </c>
      <c r="Q86" s="33" t="str">
        <f aca="false">IF(OR($A86="",$C86="U"),"",IF(COUNTIFS($E$3:$E86,$E86,$C$3:$C86,"&lt;&gt;U")=1,1,0))</f>
        <v/>
      </c>
      <c r="R86" s="33" t="str">
        <f aca="false">IF($Q86=1,$O86-ROW()/100000,"")</f>
        <v/>
      </c>
    </row>
    <row r="87" customFormat="false" ht="15" hidden="false" customHeight="false" outlineLevel="0" collapsed="false">
      <c r="M87" s="33" t="str">
        <f aca="false">IF($A87="","",HOUR($A87))</f>
        <v/>
      </c>
      <c r="N87" s="34" t="str">
        <f aca="false">IF($A87="","",$I87*$K87)</f>
        <v/>
      </c>
      <c r="O87" s="33" t="str">
        <f aca="false">IF(OR($A87="",$C87="U"),"",SUMIFS($I$3:$I$302,$E$3:$E$302,$E87,$C$3:$C$302,"&lt;&gt;U"))</f>
        <v/>
      </c>
      <c r="P87" s="33" t="str">
        <f aca="false">IF(OR($A87="",$C87="U"),"",SUMIFS($N$3:$N$302,$E$3:$E$302,$E87,$C$3:$C$302,"&lt;&gt;U"))</f>
        <v/>
      </c>
      <c r="Q87" s="33" t="str">
        <f aca="false">IF(OR($A87="",$C87="U"),"",IF(COUNTIFS($E$3:$E87,$E87,$C$3:$C87,"&lt;&gt;U")=1,1,0))</f>
        <v/>
      </c>
      <c r="R87" s="33" t="str">
        <f aca="false">IF($Q87=1,$O87-ROW()/100000,"")</f>
        <v/>
      </c>
    </row>
    <row r="88" customFormat="false" ht="15" hidden="false" customHeight="false" outlineLevel="0" collapsed="false">
      <c r="M88" s="33" t="str">
        <f aca="false">IF($A88="","",HOUR($A88))</f>
        <v/>
      </c>
      <c r="N88" s="34" t="str">
        <f aca="false">IF($A88="","",$I88*$K88)</f>
        <v/>
      </c>
      <c r="O88" s="33" t="str">
        <f aca="false">IF(OR($A88="",$C88="U"),"",SUMIFS($I$3:$I$302,$E$3:$E$302,$E88,$C$3:$C$302,"&lt;&gt;U"))</f>
        <v/>
      </c>
      <c r="P88" s="33" t="str">
        <f aca="false">IF(OR($A88="",$C88="U"),"",SUMIFS($N$3:$N$302,$E$3:$E$302,$E88,$C$3:$C$302,"&lt;&gt;U"))</f>
        <v/>
      </c>
      <c r="Q88" s="33" t="str">
        <f aca="false">IF(OR($A88="",$C88="U"),"",IF(COUNTIFS($E$3:$E88,$E88,$C$3:$C88,"&lt;&gt;U")=1,1,0))</f>
        <v/>
      </c>
      <c r="R88" s="33" t="str">
        <f aca="false">IF($Q88=1,$O88-ROW()/100000,"")</f>
        <v/>
      </c>
    </row>
    <row r="89" customFormat="false" ht="15" hidden="false" customHeight="false" outlineLevel="0" collapsed="false">
      <c r="M89" s="33" t="str">
        <f aca="false">IF($A89="","",HOUR($A89))</f>
        <v/>
      </c>
      <c r="N89" s="34" t="str">
        <f aca="false">IF($A89="","",$I89*$K89)</f>
        <v/>
      </c>
      <c r="O89" s="33" t="str">
        <f aca="false">IF(OR($A89="",$C89="U"),"",SUMIFS($I$3:$I$302,$E$3:$E$302,$E89,$C$3:$C$302,"&lt;&gt;U"))</f>
        <v/>
      </c>
      <c r="P89" s="33" t="str">
        <f aca="false">IF(OR($A89="",$C89="U"),"",SUMIFS($N$3:$N$302,$E$3:$E$302,$E89,$C$3:$C$302,"&lt;&gt;U"))</f>
        <v/>
      </c>
      <c r="Q89" s="33" t="str">
        <f aca="false">IF(OR($A89="",$C89="U"),"",IF(COUNTIFS($E$3:$E89,$E89,$C$3:$C89,"&lt;&gt;U")=1,1,0))</f>
        <v/>
      </c>
      <c r="R89" s="33" t="str">
        <f aca="false">IF($Q89=1,$O89-ROW()/100000,"")</f>
        <v/>
      </c>
    </row>
    <row r="90" customFormat="false" ht="15" hidden="false" customHeight="false" outlineLevel="0" collapsed="false">
      <c r="M90" s="33" t="str">
        <f aca="false">IF($A90="","",HOUR($A90))</f>
        <v/>
      </c>
      <c r="N90" s="34" t="str">
        <f aca="false">IF($A90="","",$I90*$K90)</f>
        <v/>
      </c>
      <c r="O90" s="33" t="str">
        <f aca="false">IF(OR($A90="",$C90="U"),"",SUMIFS($I$3:$I$302,$E$3:$E$302,$E90,$C$3:$C$302,"&lt;&gt;U"))</f>
        <v/>
      </c>
      <c r="P90" s="33" t="str">
        <f aca="false">IF(OR($A90="",$C90="U"),"",SUMIFS($N$3:$N$302,$E$3:$E$302,$E90,$C$3:$C$302,"&lt;&gt;U"))</f>
        <v/>
      </c>
      <c r="Q90" s="33" t="str">
        <f aca="false">IF(OR($A90="",$C90="U"),"",IF(COUNTIFS($E$3:$E90,$E90,$C$3:$C90,"&lt;&gt;U")=1,1,0))</f>
        <v/>
      </c>
      <c r="R90" s="33" t="str">
        <f aca="false">IF($Q90=1,$O90-ROW()/100000,"")</f>
        <v/>
      </c>
    </row>
    <row r="91" customFormat="false" ht="15" hidden="false" customHeight="false" outlineLevel="0" collapsed="false">
      <c r="M91" s="33" t="str">
        <f aca="false">IF($A91="","",HOUR($A91))</f>
        <v/>
      </c>
      <c r="N91" s="34" t="str">
        <f aca="false">IF($A91="","",$I91*$K91)</f>
        <v/>
      </c>
      <c r="O91" s="33" t="str">
        <f aca="false">IF(OR($A91="",$C91="U"),"",SUMIFS($I$3:$I$302,$E$3:$E$302,$E91,$C$3:$C$302,"&lt;&gt;U"))</f>
        <v/>
      </c>
      <c r="P91" s="33" t="str">
        <f aca="false">IF(OR($A91="",$C91="U"),"",SUMIFS($N$3:$N$302,$E$3:$E$302,$E91,$C$3:$C$302,"&lt;&gt;U"))</f>
        <v/>
      </c>
      <c r="Q91" s="33" t="str">
        <f aca="false">IF(OR($A91="",$C91="U"),"",IF(COUNTIFS($E$3:$E91,$E91,$C$3:$C91,"&lt;&gt;U")=1,1,0))</f>
        <v/>
      </c>
      <c r="R91" s="33" t="str">
        <f aca="false">IF($Q91=1,$O91-ROW()/100000,"")</f>
        <v/>
      </c>
    </row>
    <row r="92" customFormat="false" ht="15" hidden="false" customHeight="false" outlineLevel="0" collapsed="false">
      <c r="M92" s="33" t="str">
        <f aca="false">IF($A92="","",HOUR($A92))</f>
        <v/>
      </c>
      <c r="N92" s="34" t="str">
        <f aca="false">IF($A92="","",$I92*$K92)</f>
        <v/>
      </c>
      <c r="O92" s="33" t="str">
        <f aca="false">IF(OR($A92="",$C92="U"),"",SUMIFS($I$3:$I$302,$E$3:$E$302,$E92,$C$3:$C$302,"&lt;&gt;U"))</f>
        <v/>
      </c>
      <c r="P92" s="33" t="str">
        <f aca="false">IF(OR($A92="",$C92="U"),"",SUMIFS($N$3:$N$302,$E$3:$E$302,$E92,$C$3:$C$302,"&lt;&gt;U"))</f>
        <v/>
      </c>
      <c r="Q92" s="33" t="str">
        <f aca="false">IF(OR($A92="",$C92="U"),"",IF(COUNTIFS($E$3:$E92,$E92,$C$3:$C92,"&lt;&gt;U")=1,1,0))</f>
        <v/>
      </c>
      <c r="R92" s="33" t="str">
        <f aca="false">IF($Q92=1,$O92-ROW()/100000,"")</f>
        <v/>
      </c>
    </row>
    <row r="93" customFormat="false" ht="15" hidden="false" customHeight="false" outlineLevel="0" collapsed="false">
      <c r="M93" s="33" t="str">
        <f aca="false">IF($A93="","",HOUR($A93))</f>
        <v/>
      </c>
      <c r="N93" s="34" t="str">
        <f aca="false">IF($A93="","",$I93*$K93)</f>
        <v/>
      </c>
      <c r="O93" s="33" t="str">
        <f aca="false">IF(OR($A93="",$C93="U"),"",SUMIFS($I$3:$I$302,$E$3:$E$302,$E93,$C$3:$C$302,"&lt;&gt;U"))</f>
        <v/>
      </c>
      <c r="P93" s="33" t="str">
        <f aca="false">IF(OR($A93="",$C93="U"),"",SUMIFS($N$3:$N$302,$E$3:$E$302,$E93,$C$3:$C$302,"&lt;&gt;U"))</f>
        <v/>
      </c>
      <c r="Q93" s="33" t="str">
        <f aca="false">IF(OR($A93="",$C93="U"),"",IF(COUNTIFS($E$3:$E93,$E93,$C$3:$C93,"&lt;&gt;U")=1,1,0))</f>
        <v/>
      </c>
      <c r="R93" s="33" t="str">
        <f aca="false">IF($Q93=1,$O93-ROW()/100000,"")</f>
        <v/>
      </c>
    </row>
    <row r="94" customFormat="false" ht="15" hidden="false" customHeight="false" outlineLevel="0" collapsed="false">
      <c r="M94" s="33" t="str">
        <f aca="false">IF($A94="","",HOUR($A94))</f>
        <v/>
      </c>
      <c r="N94" s="34" t="str">
        <f aca="false">IF($A94="","",$I94*$K94)</f>
        <v/>
      </c>
      <c r="O94" s="33" t="str">
        <f aca="false">IF(OR($A94="",$C94="U"),"",SUMIFS($I$3:$I$302,$E$3:$E$302,$E94,$C$3:$C$302,"&lt;&gt;U"))</f>
        <v/>
      </c>
      <c r="P94" s="33" t="str">
        <f aca="false">IF(OR($A94="",$C94="U"),"",SUMIFS($N$3:$N$302,$E$3:$E$302,$E94,$C$3:$C$302,"&lt;&gt;U"))</f>
        <v/>
      </c>
      <c r="Q94" s="33" t="str">
        <f aca="false">IF(OR($A94="",$C94="U"),"",IF(COUNTIFS($E$3:$E94,$E94,$C$3:$C94,"&lt;&gt;U")=1,1,0))</f>
        <v/>
      </c>
      <c r="R94" s="33" t="str">
        <f aca="false">IF($Q94=1,$O94-ROW()/100000,"")</f>
        <v/>
      </c>
    </row>
    <row r="95" customFormat="false" ht="15" hidden="false" customHeight="false" outlineLevel="0" collapsed="false">
      <c r="M95" s="33" t="str">
        <f aca="false">IF($A95="","",HOUR($A95))</f>
        <v/>
      </c>
      <c r="N95" s="34" t="str">
        <f aca="false">IF($A95="","",$I95*$K95)</f>
        <v/>
      </c>
      <c r="O95" s="33" t="str">
        <f aca="false">IF(OR($A95="",$C95="U"),"",SUMIFS($I$3:$I$302,$E$3:$E$302,$E95,$C$3:$C$302,"&lt;&gt;U"))</f>
        <v/>
      </c>
      <c r="P95" s="33" t="str">
        <f aca="false">IF(OR($A95="",$C95="U"),"",SUMIFS($N$3:$N$302,$E$3:$E$302,$E95,$C$3:$C$302,"&lt;&gt;U"))</f>
        <v/>
      </c>
      <c r="Q95" s="33" t="str">
        <f aca="false">IF(OR($A95="",$C95="U"),"",IF(COUNTIFS($E$3:$E95,$E95,$C$3:$C95,"&lt;&gt;U")=1,1,0))</f>
        <v/>
      </c>
      <c r="R95" s="33" t="str">
        <f aca="false">IF($Q95=1,$O95-ROW()/100000,"")</f>
        <v/>
      </c>
    </row>
    <row r="96" customFormat="false" ht="15" hidden="false" customHeight="false" outlineLevel="0" collapsed="false">
      <c r="M96" s="33" t="str">
        <f aca="false">IF($A96="","",HOUR($A96))</f>
        <v/>
      </c>
      <c r="N96" s="34" t="str">
        <f aca="false">IF($A96="","",$I96*$K96)</f>
        <v/>
      </c>
      <c r="O96" s="33" t="str">
        <f aca="false">IF(OR($A96="",$C96="U"),"",SUMIFS($I$3:$I$302,$E$3:$E$302,$E96,$C$3:$C$302,"&lt;&gt;U"))</f>
        <v/>
      </c>
      <c r="P96" s="33" t="str">
        <f aca="false">IF(OR($A96="",$C96="U"),"",SUMIFS($N$3:$N$302,$E$3:$E$302,$E96,$C$3:$C$302,"&lt;&gt;U"))</f>
        <v/>
      </c>
      <c r="Q96" s="33" t="str">
        <f aca="false">IF(OR($A96="",$C96="U"),"",IF(COUNTIFS($E$3:$E96,$E96,$C$3:$C96,"&lt;&gt;U")=1,1,0))</f>
        <v/>
      </c>
      <c r="R96" s="33" t="str">
        <f aca="false">IF($Q96=1,$O96-ROW()/100000,"")</f>
        <v/>
      </c>
    </row>
    <row r="97" customFormat="false" ht="15" hidden="false" customHeight="false" outlineLevel="0" collapsed="false">
      <c r="M97" s="33" t="str">
        <f aca="false">IF($A97="","",HOUR($A97))</f>
        <v/>
      </c>
      <c r="N97" s="34" t="str">
        <f aca="false">IF($A97="","",$I97*$K97)</f>
        <v/>
      </c>
      <c r="O97" s="33" t="str">
        <f aca="false">IF(OR($A97="",$C97="U"),"",SUMIFS($I$3:$I$302,$E$3:$E$302,$E97,$C$3:$C$302,"&lt;&gt;U"))</f>
        <v/>
      </c>
      <c r="P97" s="33" t="str">
        <f aca="false">IF(OR($A97="",$C97="U"),"",SUMIFS($N$3:$N$302,$E$3:$E$302,$E97,$C$3:$C$302,"&lt;&gt;U"))</f>
        <v/>
      </c>
      <c r="Q97" s="33" t="str">
        <f aca="false">IF(OR($A97="",$C97="U"),"",IF(COUNTIFS($E$3:$E97,$E97,$C$3:$C97,"&lt;&gt;U")=1,1,0))</f>
        <v/>
      </c>
      <c r="R97" s="33" t="str">
        <f aca="false">IF($Q97=1,$O97-ROW()/100000,"")</f>
        <v/>
      </c>
    </row>
    <row r="98" customFormat="false" ht="15" hidden="false" customHeight="false" outlineLevel="0" collapsed="false">
      <c r="M98" s="33" t="str">
        <f aca="false">IF($A98="","",HOUR($A98))</f>
        <v/>
      </c>
      <c r="N98" s="34" t="str">
        <f aca="false">IF($A98="","",$I98*$K98)</f>
        <v/>
      </c>
      <c r="O98" s="33" t="str">
        <f aca="false">IF(OR($A98="",$C98="U"),"",SUMIFS($I$3:$I$302,$E$3:$E$302,$E98,$C$3:$C$302,"&lt;&gt;U"))</f>
        <v/>
      </c>
      <c r="P98" s="33" t="str">
        <f aca="false">IF(OR($A98="",$C98="U"),"",SUMIFS($N$3:$N$302,$E$3:$E$302,$E98,$C$3:$C$302,"&lt;&gt;U"))</f>
        <v/>
      </c>
      <c r="Q98" s="33" t="str">
        <f aca="false">IF(OR($A98="",$C98="U"),"",IF(COUNTIFS($E$3:$E98,$E98,$C$3:$C98,"&lt;&gt;U")=1,1,0))</f>
        <v/>
      </c>
      <c r="R98" s="33" t="str">
        <f aca="false">IF($Q98=1,$O98-ROW()/100000,"")</f>
        <v/>
      </c>
    </row>
    <row r="99" customFormat="false" ht="15" hidden="false" customHeight="false" outlineLevel="0" collapsed="false">
      <c r="M99" s="33" t="str">
        <f aca="false">IF($A99="","",HOUR($A99))</f>
        <v/>
      </c>
      <c r="N99" s="34" t="str">
        <f aca="false">IF($A99="","",$I99*$K99)</f>
        <v/>
      </c>
      <c r="O99" s="33" t="str">
        <f aca="false">IF(OR($A99="",$C99="U"),"",SUMIFS($I$3:$I$302,$E$3:$E$302,$E99,$C$3:$C$302,"&lt;&gt;U"))</f>
        <v/>
      </c>
      <c r="P99" s="33" t="str">
        <f aca="false">IF(OR($A99="",$C99="U"),"",SUMIFS($N$3:$N$302,$E$3:$E$302,$E99,$C$3:$C$302,"&lt;&gt;U"))</f>
        <v/>
      </c>
      <c r="Q99" s="33" t="str">
        <f aca="false">IF(OR($A99="",$C99="U"),"",IF(COUNTIFS($E$3:$E99,$E99,$C$3:$C99,"&lt;&gt;U")=1,1,0))</f>
        <v/>
      </c>
      <c r="R99" s="33" t="str">
        <f aca="false">IF($Q99=1,$O99-ROW()/100000,"")</f>
        <v/>
      </c>
    </row>
    <row r="100" customFormat="false" ht="15" hidden="false" customHeight="false" outlineLevel="0" collapsed="false">
      <c r="M100" s="33" t="str">
        <f aca="false">IF($A100="","",HOUR($A100))</f>
        <v/>
      </c>
      <c r="N100" s="34" t="str">
        <f aca="false">IF($A100="","",$I100*$K100)</f>
        <v/>
      </c>
      <c r="O100" s="33" t="str">
        <f aca="false">IF(OR($A100="",$C100="U"),"",SUMIFS($I$3:$I$302,$E$3:$E$302,$E100,$C$3:$C$302,"&lt;&gt;U"))</f>
        <v/>
      </c>
      <c r="P100" s="33" t="str">
        <f aca="false">IF(OR($A100="",$C100="U"),"",SUMIFS($N$3:$N$302,$E$3:$E$302,$E100,$C$3:$C$302,"&lt;&gt;U"))</f>
        <v/>
      </c>
      <c r="Q100" s="33" t="str">
        <f aca="false">IF(OR($A100="",$C100="U"),"",IF(COUNTIFS($E$3:$E100,$E100,$C$3:$C100,"&lt;&gt;U")=1,1,0))</f>
        <v/>
      </c>
      <c r="R100" s="33" t="str">
        <f aca="false">IF($Q100=1,$O100-ROW()/100000,"")</f>
        <v/>
      </c>
    </row>
    <row r="101" customFormat="false" ht="15" hidden="false" customHeight="false" outlineLevel="0" collapsed="false">
      <c r="M101" s="33" t="str">
        <f aca="false">IF($A101="","",HOUR($A101))</f>
        <v/>
      </c>
      <c r="N101" s="34" t="str">
        <f aca="false">IF($A101="","",$I101*$K101)</f>
        <v/>
      </c>
      <c r="O101" s="33" t="str">
        <f aca="false">IF(OR($A101="",$C101="U"),"",SUMIFS($I$3:$I$302,$E$3:$E$302,$E101,$C$3:$C$302,"&lt;&gt;U"))</f>
        <v/>
      </c>
      <c r="P101" s="33" t="str">
        <f aca="false">IF(OR($A101="",$C101="U"),"",SUMIFS($N$3:$N$302,$E$3:$E$302,$E101,$C$3:$C$302,"&lt;&gt;U"))</f>
        <v/>
      </c>
      <c r="Q101" s="33" t="str">
        <f aca="false">IF(OR($A101="",$C101="U"),"",IF(COUNTIFS($E$3:$E101,$E101,$C$3:$C101,"&lt;&gt;U")=1,1,0))</f>
        <v/>
      </c>
      <c r="R101" s="33" t="str">
        <f aca="false">IF($Q101=1,$O101-ROW()/100000,"")</f>
        <v/>
      </c>
    </row>
    <row r="102" customFormat="false" ht="15" hidden="false" customHeight="false" outlineLevel="0" collapsed="false">
      <c r="M102" s="33" t="str">
        <f aca="false">IF($A102="","",HOUR($A102))</f>
        <v/>
      </c>
      <c r="N102" s="34" t="str">
        <f aca="false">IF($A102="","",$I102*$K102)</f>
        <v/>
      </c>
      <c r="O102" s="33" t="str">
        <f aca="false">IF(OR($A102="",$C102="U"),"",SUMIFS($I$3:$I$302,$E$3:$E$302,$E102,$C$3:$C$302,"&lt;&gt;U"))</f>
        <v/>
      </c>
      <c r="P102" s="33" t="str">
        <f aca="false">IF(OR($A102="",$C102="U"),"",SUMIFS($N$3:$N$302,$E$3:$E$302,$E102,$C$3:$C$302,"&lt;&gt;U"))</f>
        <v/>
      </c>
      <c r="Q102" s="33" t="str">
        <f aca="false">IF(OR($A102="",$C102="U"),"",IF(COUNTIFS($E$3:$E102,$E102,$C$3:$C102,"&lt;&gt;U")=1,1,0))</f>
        <v/>
      </c>
      <c r="R102" s="33" t="str">
        <f aca="false">IF($Q102=1,$O102-ROW()/100000,"")</f>
        <v/>
      </c>
    </row>
    <row r="103" customFormat="false" ht="15" hidden="false" customHeight="false" outlineLevel="0" collapsed="false">
      <c r="M103" s="33" t="str">
        <f aca="false">IF($A103="","",HOUR($A103))</f>
        <v/>
      </c>
      <c r="N103" s="34" t="str">
        <f aca="false">IF($A103="","",$I103*$K103)</f>
        <v/>
      </c>
      <c r="O103" s="33" t="str">
        <f aca="false">IF(OR($A103="",$C103="U"),"",SUMIFS($I$3:$I$302,$E$3:$E$302,$E103,$C$3:$C$302,"&lt;&gt;U"))</f>
        <v/>
      </c>
      <c r="P103" s="33" t="str">
        <f aca="false">IF(OR($A103="",$C103="U"),"",SUMIFS($N$3:$N$302,$E$3:$E$302,$E103,$C$3:$C$302,"&lt;&gt;U"))</f>
        <v/>
      </c>
      <c r="Q103" s="33" t="str">
        <f aca="false">IF(OR($A103="",$C103="U"),"",IF(COUNTIFS($E$3:$E103,$E103,$C$3:$C103,"&lt;&gt;U")=1,1,0))</f>
        <v/>
      </c>
      <c r="R103" s="33" t="str">
        <f aca="false">IF($Q103=1,$O103-ROW()/100000,"")</f>
        <v/>
      </c>
    </row>
    <row r="104" customFormat="false" ht="15" hidden="false" customHeight="false" outlineLevel="0" collapsed="false">
      <c r="M104" s="33" t="str">
        <f aca="false">IF($A104="","",HOUR($A104))</f>
        <v/>
      </c>
      <c r="N104" s="34" t="str">
        <f aca="false">IF($A104="","",$I104*$K104)</f>
        <v/>
      </c>
      <c r="O104" s="33" t="str">
        <f aca="false">IF(OR($A104="",$C104="U"),"",SUMIFS($I$3:$I$302,$E$3:$E$302,$E104,$C$3:$C$302,"&lt;&gt;U"))</f>
        <v/>
      </c>
      <c r="P104" s="33" t="str">
        <f aca="false">IF(OR($A104="",$C104="U"),"",SUMIFS($N$3:$N$302,$E$3:$E$302,$E104,$C$3:$C$302,"&lt;&gt;U"))</f>
        <v/>
      </c>
      <c r="Q104" s="33" t="str">
        <f aca="false">IF(OR($A104="",$C104="U"),"",IF(COUNTIFS($E$3:$E104,$E104,$C$3:$C104,"&lt;&gt;U")=1,1,0))</f>
        <v/>
      </c>
      <c r="R104" s="33" t="str">
        <f aca="false">IF($Q104=1,$O104-ROW()/100000,"")</f>
        <v/>
      </c>
    </row>
    <row r="105" customFormat="false" ht="15" hidden="false" customHeight="false" outlineLevel="0" collapsed="false">
      <c r="M105" s="33" t="str">
        <f aca="false">IF($A105="","",HOUR($A105))</f>
        <v/>
      </c>
      <c r="N105" s="34" t="str">
        <f aca="false">IF($A105="","",$I105*$K105)</f>
        <v/>
      </c>
      <c r="O105" s="33" t="str">
        <f aca="false">IF(OR($A105="",$C105="U"),"",SUMIFS($I$3:$I$302,$E$3:$E$302,$E105,$C$3:$C$302,"&lt;&gt;U"))</f>
        <v/>
      </c>
      <c r="P105" s="33" t="str">
        <f aca="false">IF(OR($A105="",$C105="U"),"",SUMIFS($N$3:$N$302,$E$3:$E$302,$E105,$C$3:$C$302,"&lt;&gt;U"))</f>
        <v/>
      </c>
      <c r="Q105" s="33" t="str">
        <f aca="false">IF(OR($A105="",$C105="U"),"",IF(COUNTIFS($E$3:$E105,$E105,$C$3:$C105,"&lt;&gt;U")=1,1,0))</f>
        <v/>
      </c>
      <c r="R105" s="33" t="str">
        <f aca="false">IF($Q105=1,$O105-ROW()/100000,"")</f>
        <v/>
      </c>
    </row>
    <row r="106" customFormat="false" ht="15" hidden="false" customHeight="false" outlineLevel="0" collapsed="false">
      <c r="M106" s="33" t="str">
        <f aca="false">IF($A106="","",HOUR($A106))</f>
        <v/>
      </c>
      <c r="N106" s="34" t="str">
        <f aca="false">IF($A106="","",$I106*$K106)</f>
        <v/>
      </c>
      <c r="O106" s="33" t="str">
        <f aca="false">IF(OR($A106="",$C106="U"),"",SUMIFS($I$3:$I$302,$E$3:$E$302,$E106,$C$3:$C$302,"&lt;&gt;U"))</f>
        <v/>
      </c>
      <c r="P106" s="33" t="str">
        <f aca="false">IF(OR($A106="",$C106="U"),"",SUMIFS($N$3:$N$302,$E$3:$E$302,$E106,$C$3:$C$302,"&lt;&gt;U"))</f>
        <v/>
      </c>
      <c r="Q106" s="33" t="str">
        <f aca="false">IF(OR($A106="",$C106="U"),"",IF(COUNTIFS($E$3:$E106,$E106,$C$3:$C106,"&lt;&gt;U")=1,1,0))</f>
        <v/>
      </c>
      <c r="R106" s="33" t="str">
        <f aca="false">IF($Q106=1,$O106-ROW()/100000,"")</f>
        <v/>
      </c>
    </row>
    <row r="107" customFormat="false" ht="15" hidden="false" customHeight="false" outlineLevel="0" collapsed="false">
      <c r="M107" s="33" t="str">
        <f aca="false">IF($A107="","",HOUR($A107))</f>
        <v/>
      </c>
      <c r="N107" s="34" t="str">
        <f aca="false">IF($A107="","",$I107*$K107)</f>
        <v/>
      </c>
      <c r="O107" s="33" t="str">
        <f aca="false">IF(OR($A107="",$C107="U"),"",SUMIFS($I$3:$I$302,$E$3:$E$302,$E107,$C$3:$C$302,"&lt;&gt;U"))</f>
        <v/>
      </c>
      <c r="P107" s="33" t="str">
        <f aca="false">IF(OR($A107="",$C107="U"),"",SUMIFS($N$3:$N$302,$E$3:$E$302,$E107,$C$3:$C$302,"&lt;&gt;U"))</f>
        <v/>
      </c>
      <c r="Q107" s="33" t="str">
        <f aca="false">IF(OR($A107="",$C107="U"),"",IF(COUNTIFS($E$3:$E107,$E107,$C$3:$C107,"&lt;&gt;U")=1,1,0))</f>
        <v/>
      </c>
      <c r="R107" s="33" t="str">
        <f aca="false">IF($Q107=1,$O107-ROW()/100000,"")</f>
        <v/>
      </c>
    </row>
    <row r="108" customFormat="false" ht="15" hidden="false" customHeight="false" outlineLevel="0" collapsed="false">
      <c r="M108" s="33" t="str">
        <f aca="false">IF($A108="","",HOUR($A108))</f>
        <v/>
      </c>
      <c r="N108" s="34" t="str">
        <f aca="false">IF($A108="","",$I108*$K108)</f>
        <v/>
      </c>
      <c r="O108" s="33" t="str">
        <f aca="false">IF(OR($A108="",$C108="U"),"",SUMIFS($I$3:$I$302,$E$3:$E$302,$E108,$C$3:$C$302,"&lt;&gt;U"))</f>
        <v/>
      </c>
      <c r="P108" s="33" t="str">
        <f aca="false">IF(OR($A108="",$C108="U"),"",SUMIFS($N$3:$N$302,$E$3:$E$302,$E108,$C$3:$C$302,"&lt;&gt;U"))</f>
        <v/>
      </c>
      <c r="Q108" s="33" t="str">
        <f aca="false">IF(OR($A108="",$C108="U"),"",IF(COUNTIFS($E$3:$E108,$E108,$C$3:$C108,"&lt;&gt;U")=1,1,0))</f>
        <v/>
      </c>
      <c r="R108" s="33" t="str">
        <f aca="false">IF($Q108=1,$O108-ROW()/100000,"")</f>
        <v/>
      </c>
    </row>
    <row r="109" customFormat="false" ht="15" hidden="false" customHeight="false" outlineLevel="0" collapsed="false">
      <c r="M109" s="33" t="str">
        <f aca="false">IF($A109="","",HOUR($A109))</f>
        <v/>
      </c>
      <c r="N109" s="34" t="str">
        <f aca="false">IF($A109="","",$I109*$K109)</f>
        <v/>
      </c>
      <c r="O109" s="33" t="str">
        <f aca="false">IF(OR($A109="",$C109="U"),"",SUMIFS($I$3:$I$302,$E$3:$E$302,$E109,$C$3:$C$302,"&lt;&gt;U"))</f>
        <v/>
      </c>
      <c r="P109" s="33" t="str">
        <f aca="false">IF(OR($A109="",$C109="U"),"",SUMIFS($N$3:$N$302,$E$3:$E$302,$E109,$C$3:$C$302,"&lt;&gt;U"))</f>
        <v/>
      </c>
      <c r="Q109" s="33" t="str">
        <f aca="false">IF(OR($A109="",$C109="U"),"",IF(COUNTIFS($E$3:$E109,$E109,$C$3:$C109,"&lt;&gt;U")=1,1,0))</f>
        <v/>
      </c>
      <c r="R109" s="33" t="str">
        <f aca="false">IF($Q109=1,$O109-ROW()/100000,"")</f>
        <v/>
      </c>
    </row>
    <row r="110" customFormat="false" ht="15" hidden="false" customHeight="false" outlineLevel="0" collapsed="false">
      <c r="M110" s="33" t="str">
        <f aca="false">IF($A110="","",HOUR($A110))</f>
        <v/>
      </c>
      <c r="N110" s="34" t="str">
        <f aca="false">IF($A110="","",$I110*$K110)</f>
        <v/>
      </c>
      <c r="O110" s="33" t="str">
        <f aca="false">IF(OR($A110="",$C110="U"),"",SUMIFS($I$3:$I$302,$E$3:$E$302,$E110,$C$3:$C$302,"&lt;&gt;U"))</f>
        <v/>
      </c>
      <c r="P110" s="33" t="str">
        <f aca="false">IF(OR($A110="",$C110="U"),"",SUMIFS($N$3:$N$302,$E$3:$E$302,$E110,$C$3:$C$302,"&lt;&gt;U"))</f>
        <v/>
      </c>
      <c r="Q110" s="33" t="str">
        <f aca="false">IF(OR($A110="",$C110="U"),"",IF(COUNTIFS($E$3:$E110,$E110,$C$3:$C110,"&lt;&gt;U")=1,1,0))</f>
        <v/>
      </c>
      <c r="R110" s="33" t="str">
        <f aca="false">IF($Q110=1,$O110-ROW()/100000,"")</f>
        <v/>
      </c>
    </row>
    <row r="111" customFormat="false" ht="15" hidden="false" customHeight="false" outlineLevel="0" collapsed="false">
      <c r="M111" s="33" t="str">
        <f aca="false">IF($A111="","",HOUR($A111))</f>
        <v/>
      </c>
      <c r="N111" s="34" t="str">
        <f aca="false">IF($A111="","",$I111*$K111)</f>
        <v/>
      </c>
      <c r="O111" s="33" t="str">
        <f aca="false">IF(OR($A111="",$C111="U"),"",SUMIFS($I$3:$I$302,$E$3:$E$302,$E111,$C$3:$C$302,"&lt;&gt;U"))</f>
        <v/>
      </c>
      <c r="P111" s="33" t="str">
        <f aca="false">IF(OR($A111="",$C111="U"),"",SUMIFS($N$3:$N$302,$E$3:$E$302,$E111,$C$3:$C$302,"&lt;&gt;U"))</f>
        <v/>
      </c>
      <c r="Q111" s="33" t="str">
        <f aca="false">IF(OR($A111="",$C111="U"),"",IF(COUNTIFS($E$3:$E111,$E111,$C$3:$C111,"&lt;&gt;U")=1,1,0))</f>
        <v/>
      </c>
      <c r="R111" s="33" t="str">
        <f aca="false">IF($Q111=1,$O111-ROW()/100000,"")</f>
        <v/>
      </c>
    </row>
    <row r="112" customFormat="false" ht="15" hidden="false" customHeight="false" outlineLevel="0" collapsed="false">
      <c r="M112" s="33" t="str">
        <f aca="false">IF($A112="","",HOUR($A112))</f>
        <v/>
      </c>
      <c r="N112" s="34" t="str">
        <f aca="false">IF($A112="","",$I112*$K112)</f>
        <v/>
      </c>
      <c r="O112" s="33" t="str">
        <f aca="false">IF(OR($A112="",$C112="U"),"",SUMIFS($I$3:$I$302,$E$3:$E$302,$E112,$C$3:$C$302,"&lt;&gt;U"))</f>
        <v/>
      </c>
      <c r="P112" s="33" t="str">
        <f aca="false">IF(OR($A112="",$C112="U"),"",SUMIFS($N$3:$N$302,$E$3:$E$302,$E112,$C$3:$C$302,"&lt;&gt;U"))</f>
        <v/>
      </c>
      <c r="Q112" s="33" t="str">
        <f aca="false">IF(OR($A112="",$C112="U"),"",IF(COUNTIFS($E$3:$E112,$E112,$C$3:$C112,"&lt;&gt;U")=1,1,0))</f>
        <v/>
      </c>
      <c r="R112" s="33" t="str">
        <f aca="false">IF($Q112=1,$O112-ROW()/100000,"")</f>
        <v/>
      </c>
    </row>
    <row r="113" customFormat="false" ht="15" hidden="false" customHeight="false" outlineLevel="0" collapsed="false">
      <c r="M113" s="33" t="str">
        <f aca="false">IF($A113="","",HOUR($A113))</f>
        <v/>
      </c>
      <c r="N113" s="34" t="str">
        <f aca="false">IF($A113="","",$I113*$K113)</f>
        <v/>
      </c>
      <c r="O113" s="33" t="str">
        <f aca="false">IF(OR($A113="",$C113="U"),"",SUMIFS($I$3:$I$302,$E$3:$E$302,$E113,$C$3:$C$302,"&lt;&gt;U"))</f>
        <v/>
      </c>
      <c r="P113" s="33" t="str">
        <f aca="false">IF(OR($A113="",$C113="U"),"",SUMIFS($N$3:$N$302,$E$3:$E$302,$E113,$C$3:$C$302,"&lt;&gt;U"))</f>
        <v/>
      </c>
      <c r="Q113" s="33" t="str">
        <f aca="false">IF(OR($A113="",$C113="U"),"",IF(COUNTIFS($E$3:$E113,$E113,$C$3:$C113,"&lt;&gt;U")=1,1,0))</f>
        <v/>
      </c>
      <c r="R113" s="33" t="str">
        <f aca="false">IF($Q113=1,$O113-ROW()/100000,"")</f>
        <v/>
      </c>
    </row>
    <row r="114" customFormat="false" ht="15" hidden="false" customHeight="false" outlineLevel="0" collapsed="false">
      <c r="M114" s="33" t="str">
        <f aca="false">IF($A114="","",HOUR($A114))</f>
        <v/>
      </c>
      <c r="N114" s="34" t="str">
        <f aca="false">IF($A114="","",$I114*$K114)</f>
        <v/>
      </c>
      <c r="O114" s="33" t="str">
        <f aca="false">IF(OR($A114="",$C114="U"),"",SUMIFS($I$3:$I$302,$E$3:$E$302,$E114,$C$3:$C$302,"&lt;&gt;U"))</f>
        <v/>
      </c>
      <c r="P114" s="33" t="str">
        <f aca="false">IF(OR($A114="",$C114="U"),"",SUMIFS($N$3:$N$302,$E$3:$E$302,$E114,$C$3:$C$302,"&lt;&gt;U"))</f>
        <v/>
      </c>
      <c r="Q114" s="33" t="str">
        <f aca="false">IF(OR($A114="",$C114="U"),"",IF(COUNTIFS($E$3:$E114,$E114,$C$3:$C114,"&lt;&gt;U")=1,1,0))</f>
        <v/>
      </c>
      <c r="R114" s="33" t="str">
        <f aca="false">IF($Q114=1,$O114-ROW()/100000,"")</f>
        <v/>
      </c>
    </row>
    <row r="115" customFormat="false" ht="15" hidden="false" customHeight="false" outlineLevel="0" collapsed="false">
      <c r="M115" s="33" t="str">
        <f aca="false">IF($A115="","",HOUR($A115))</f>
        <v/>
      </c>
      <c r="N115" s="34" t="str">
        <f aca="false">IF($A115="","",$I115*$K115)</f>
        <v/>
      </c>
      <c r="O115" s="33" t="str">
        <f aca="false">IF(OR($A115="",$C115="U"),"",SUMIFS($I$3:$I$302,$E$3:$E$302,$E115,$C$3:$C$302,"&lt;&gt;U"))</f>
        <v/>
      </c>
      <c r="P115" s="33" t="str">
        <f aca="false">IF(OR($A115="",$C115="U"),"",SUMIFS($N$3:$N$302,$E$3:$E$302,$E115,$C$3:$C$302,"&lt;&gt;U"))</f>
        <v/>
      </c>
      <c r="Q115" s="33" t="str">
        <f aca="false">IF(OR($A115="",$C115="U"),"",IF(COUNTIFS($E$3:$E115,$E115,$C$3:$C115,"&lt;&gt;U")=1,1,0))</f>
        <v/>
      </c>
      <c r="R115" s="33" t="str">
        <f aca="false">IF($Q115=1,$O115-ROW()/100000,"")</f>
        <v/>
      </c>
    </row>
    <row r="116" customFormat="false" ht="15" hidden="false" customHeight="false" outlineLevel="0" collapsed="false">
      <c r="M116" s="33" t="str">
        <f aca="false">IF($A116="","",HOUR($A116))</f>
        <v/>
      </c>
      <c r="N116" s="34" t="str">
        <f aca="false">IF($A116="","",$I116*$K116)</f>
        <v/>
      </c>
      <c r="O116" s="33" t="str">
        <f aca="false">IF(OR($A116="",$C116="U"),"",SUMIFS($I$3:$I$302,$E$3:$E$302,$E116,$C$3:$C$302,"&lt;&gt;U"))</f>
        <v/>
      </c>
      <c r="P116" s="33" t="str">
        <f aca="false">IF(OR($A116="",$C116="U"),"",SUMIFS($N$3:$N$302,$E$3:$E$302,$E116,$C$3:$C$302,"&lt;&gt;U"))</f>
        <v/>
      </c>
      <c r="Q116" s="33" t="str">
        <f aca="false">IF(OR($A116="",$C116="U"),"",IF(COUNTIFS($E$3:$E116,$E116,$C$3:$C116,"&lt;&gt;U")=1,1,0))</f>
        <v/>
      </c>
      <c r="R116" s="33" t="str">
        <f aca="false">IF($Q116=1,$O116-ROW()/100000,"")</f>
        <v/>
      </c>
    </row>
    <row r="117" customFormat="false" ht="15" hidden="false" customHeight="false" outlineLevel="0" collapsed="false">
      <c r="M117" s="33" t="str">
        <f aca="false">IF($A117="","",HOUR($A117))</f>
        <v/>
      </c>
      <c r="N117" s="34" t="str">
        <f aca="false">IF($A117="","",$I117*$K117)</f>
        <v/>
      </c>
      <c r="O117" s="33" t="str">
        <f aca="false">IF(OR($A117="",$C117="U"),"",SUMIFS($I$3:$I$302,$E$3:$E$302,$E117,$C$3:$C$302,"&lt;&gt;U"))</f>
        <v/>
      </c>
      <c r="P117" s="33" t="str">
        <f aca="false">IF(OR($A117="",$C117="U"),"",SUMIFS($N$3:$N$302,$E$3:$E$302,$E117,$C$3:$C$302,"&lt;&gt;U"))</f>
        <v/>
      </c>
      <c r="Q117" s="33" t="str">
        <f aca="false">IF(OR($A117="",$C117="U"),"",IF(COUNTIFS($E$3:$E117,$E117,$C$3:$C117,"&lt;&gt;U")=1,1,0))</f>
        <v/>
      </c>
      <c r="R117" s="33" t="str">
        <f aca="false">IF($Q117=1,$O117-ROW()/100000,"")</f>
        <v/>
      </c>
    </row>
    <row r="118" customFormat="false" ht="15" hidden="false" customHeight="false" outlineLevel="0" collapsed="false">
      <c r="M118" s="33" t="str">
        <f aca="false">IF($A118="","",HOUR($A118))</f>
        <v/>
      </c>
      <c r="N118" s="34" t="str">
        <f aca="false">IF($A118="","",$I118*$K118)</f>
        <v/>
      </c>
      <c r="O118" s="33" t="str">
        <f aca="false">IF(OR($A118="",$C118="U"),"",SUMIFS($I$3:$I$302,$E$3:$E$302,$E118,$C$3:$C$302,"&lt;&gt;U"))</f>
        <v/>
      </c>
      <c r="P118" s="33" t="str">
        <f aca="false">IF(OR($A118="",$C118="U"),"",SUMIFS($N$3:$N$302,$E$3:$E$302,$E118,$C$3:$C$302,"&lt;&gt;U"))</f>
        <v/>
      </c>
      <c r="Q118" s="33" t="str">
        <f aca="false">IF(OR($A118="",$C118="U"),"",IF(COUNTIFS($E$3:$E118,$E118,$C$3:$C118,"&lt;&gt;U")=1,1,0))</f>
        <v/>
      </c>
      <c r="R118" s="33" t="str">
        <f aca="false">IF($Q118=1,$O118-ROW()/100000,"")</f>
        <v/>
      </c>
    </row>
    <row r="119" customFormat="false" ht="15" hidden="false" customHeight="false" outlineLevel="0" collapsed="false">
      <c r="M119" s="33" t="str">
        <f aca="false">IF($A119="","",HOUR($A119))</f>
        <v/>
      </c>
      <c r="N119" s="34" t="str">
        <f aca="false">IF($A119="","",$I119*$K119)</f>
        <v/>
      </c>
      <c r="O119" s="33" t="str">
        <f aca="false">IF(OR($A119="",$C119="U"),"",SUMIFS($I$3:$I$302,$E$3:$E$302,$E119,$C$3:$C$302,"&lt;&gt;U"))</f>
        <v/>
      </c>
      <c r="P119" s="33" t="str">
        <f aca="false">IF(OR($A119="",$C119="U"),"",SUMIFS($N$3:$N$302,$E$3:$E$302,$E119,$C$3:$C$302,"&lt;&gt;U"))</f>
        <v/>
      </c>
      <c r="Q119" s="33" t="str">
        <f aca="false">IF(OR($A119="",$C119="U"),"",IF(COUNTIFS($E$3:$E119,$E119,$C$3:$C119,"&lt;&gt;U")=1,1,0))</f>
        <v/>
      </c>
      <c r="R119" s="33" t="str">
        <f aca="false">IF($Q119=1,$O119-ROW()/100000,"")</f>
        <v/>
      </c>
    </row>
    <row r="120" customFormat="false" ht="15" hidden="false" customHeight="false" outlineLevel="0" collapsed="false">
      <c r="M120" s="33" t="str">
        <f aca="false">IF($A120="","",HOUR($A120))</f>
        <v/>
      </c>
      <c r="N120" s="34" t="str">
        <f aca="false">IF($A120="","",$I120*$K120)</f>
        <v/>
      </c>
      <c r="O120" s="33" t="str">
        <f aca="false">IF(OR($A120="",$C120="U"),"",SUMIFS($I$3:$I$302,$E$3:$E$302,$E120,$C$3:$C$302,"&lt;&gt;U"))</f>
        <v/>
      </c>
      <c r="P120" s="33" t="str">
        <f aca="false">IF(OR($A120="",$C120="U"),"",SUMIFS($N$3:$N$302,$E$3:$E$302,$E120,$C$3:$C$302,"&lt;&gt;U"))</f>
        <v/>
      </c>
      <c r="Q120" s="33" t="str">
        <f aca="false">IF(OR($A120="",$C120="U"),"",IF(COUNTIFS($E$3:$E120,$E120,$C$3:$C120,"&lt;&gt;U")=1,1,0))</f>
        <v/>
      </c>
      <c r="R120" s="33" t="str">
        <f aca="false">IF($Q120=1,$O120-ROW()/100000,"")</f>
        <v/>
      </c>
    </row>
    <row r="121" customFormat="false" ht="15" hidden="false" customHeight="false" outlineLevel="0" collapsed="false">
      <c r="M121" s="33" t="str">
        <f aca="false">IF($A121="","",HOUR($A121))</f>
        <v/>
      </c>
      <c r="N121" s="34" t="str">
        <f aca="false">IF($A121="","",$I121*$K121)</f>
        <v/>
      </c>
      <c r="O121" s="33" t="str">
        <f aca="false">IF(OR($A121="",$C121="U"),"",SUMIFS($I$3:$I$302,$E$3:$E$302,$E121,$C$3:$C$302,"&lt;&gt;U"))</f>
        <v/>
      </c>
      <c r="P121" s="33" t="str">
        <f aca="false">IF(OR($A121="",$C121="U"),"",SUMIFS($N$3:$N$302,$E$3:$E$302,$E121,$C$3:$C$302,"&lt;&gt;U"))</f>
        <v/>
      </c>
      <c r="Q121" s="33" t="str">
        <f aca="false">IF(OR($A121="",$C121="U"),"",IF(COUNTIFS($E$3:$E121,$E121,$C$3:$C121,"&lt;&gt;U")=1,1,0))</f>
        <v/>
      </c>
      <c r="R121" s="33" t="str">
        <f aca="false">IF($Q121=1,$O121-ROW()/100000,"")</f>
        <v/>
      </c>
    </row>
    <row r="122" customFormat="false" ht="15" hidden="false" customHeight="false" outlineLevel="0" collapsed="false">
      <c r="M122" s="33" t="str">
        <f aca="false">IF($A122="","",HOUR($A122))</f>
        <v/>
      </c>
      <c r="N122" s="34" t="str">
        <f aca="false">IF($A122="","",$I122*$K122)</f>
        <v/>
      </c>
      <c r="O122" s="33" t="str">
        <f aca="false">IF(OR($A122="",$C122="U"),"",SUMIFS($I$3:$I$302,$E$3:$E$302,$E122,$C$3:$C$302,"&lt;&gt;U"))</f>
        <v/>
      </c>
      <c r="P122" s="33" t="str">
        <f aca="false">IF(OR($A122="",$C122="U"),"",SUMIFS($N$3:$N$302,$E$3:$E$302,$E122,$C$3:$C$302,"&lt;&gt;U"))</f>
        <v/>
      </c>
      <c r="Q122" s="33" t="str">
        <f aca="false">IF(OR($A122="",$C122="U"),"",IF(COUNTIFS($E$3:$E122,$E122,$C$3:$C122,"&lt;&gt;U")=1,1,0))</f>
        <v/>
      </c>
      <c r="R122" s="33" t="str">
        <f aca="false">IF($Q122=1,$O122-ROW()/100000,"")</f>
        <v/>
      </c>
    </row>
    <row r="123" customFormat="false" ht="15" hidden="false" customHeight="false" outlineLevel="0" collapsed="false">
      <c r="M123" s="33" t="str">
        <f aca="false">IF($A123="","",HOUR($A123))</f>
        <v/>
      </c>
      <c r="N123" s="34" t="str">
        <f aca="false">IF($A123="","",$I123*$K123)</f>
        <v/>
      </c>
      <c r="O123" s="33" t="str">
        <f aca="false">IF(OR($A123="",$C123="U"),"",SUMIFS($I$3:$I$302,$E$3:$E$302,$E123,$C$3:$C$302,"&lt;&gt;U"))</f>
        <v/>
      </c>
      <c r="P123" s="33" t="str">
        <f aca="false">IF(OR($A123="",$C123="U"),"",SUMIFS($N$3:$N$302,$E$3:$E$302,$E123,$C$3:$C$302,"&lt;&gt;U"))</f>
        <v/>
      </c>
      <c r="Q123" s="33" t="str">
        <f aca="false">IF(OR($A123="",$C123="U"),"",IF(COUNTIFS($E$3:$E123,$E123,$C$3:$C123,"&lt;&gt;U")=1,1,0))</f>
        <v/>
      </c>
      <c r="R123" s="33" t="str">
        <f aca="false">IF($Q123=1,$O123-ROW()/100000,"")</f>
        <v/>
      </c>
    </row>
    <row r="124" customFormat="false" ht="15" hidden="false" customHeight="false" outlineLevel="0" collapsed="false">
      <c r="M124" s="33" t="str">
        <f aca="false">IF($A124="","",HOUR($A124))</f>
        <v/>
      </c>
      <c r="N124" s="34" t="str">
        <f aca="false">IF($A124="","",$I124*$K124)</f>
        <v/>
      </c>
      <c r="O124" s="33" t="str">
        <f aca="false">IF(OR($A124="",$C124="U"),"",SUMIFS($I$3:$I$302,$E$3:$E$302,$E124,$C$3:$C$302,"&lt;&gt;U"))</f>
        <v/>
      </c>
      <c r="P124" s="33" t="str">
        <f aca="false">IF(OR($A124="",$C124="U"),"",SUMIFS($N$3:$N$302,$E$3:$E$302,$E124,$C$3:$C$302,"&lt;&gt;U"))</f>
        <v/>
      </c>
      <c r="Q124" s="33" t="str">
        <f aca="false">IF(OR($A124="",$C124="U"),"",IF(COUNTIFS($E$3:$E124,$E124,$C$3:$C124,"&lt;&gt;U")=1,1,0))</f>
        <v/>
      </c>
      <c r="R124" s="33" t="str">
        <f aca="false">IF($Q124=1,$O124-ROW()/100000,"")</f>
        <v/>
      </c>
    </row>
    <row r="125" customFormat="false" ht="15" hidden="false" customHeight="false" outlineLevel="0" collapsed="false">
      <c r="M125" s="33" t="str">
        <f aca="false">IF($A125="","",HOUR($A125))</f>
        <v/>
      </c>
      <c r="N125" s="34" t="str">
        <f aca="false">IF($A125="","",$I125*$K125)</f>
        <v/>
      </c>
      <c r="O125" s="33" t="str">
        <f aca="false">IF(OR($A125="",$C125="U"),"",SUMIFS($I$3:$I$302,$E$3:$E$302,$E125,$C$3:$C$302,"&lt;&gt;U"))</f>
        <v/>
      </c>
      <c r="P125" s="33" t="str">
        <f aca="false">IF(OR($A125="",$C125="U"),"",SUMIFS($N$3:$N$302,$E$3:$E$302,$E125,$C$3:$C$302,"&lt;&gt;U"))</f>
        <v/>
      </c>
      <c r="Q125" s="33" t="str">
        <f aca="false">IF(OR($A125="",$C125="U"),"",IF(COUNTIFS($E$3:$E125,$E125,$C$3:$C125,"&lt;&gt;U")=1,1,0))</f>
        <v/>
      </c>
      <c r="R125" s="33" t="str">
        <f aca="false">IF($Q125=1,$O125-ROW()/100000,"")</f>
        <v/>
      </c>
    </row>
    <row r="126" customFormat="false" ht="15" hidden="false" customHeight="false" outlineLevel="0" collapsed="false">
      <c r="M126" s="33" t="str">
        <f aca="false">IF($A126="","",HOUR($A126))</f>
        <v/>
      </c>
      <c r="N126" s="34" t="str">
        <f aca="false">IF($A126="","",$I126*$K126)</f>
        <v/>
      </c>
      <c r="O126" s="33" t="str">
        <f aca="false">IF(OR($A126="",$C126="U"),"",SUMIFS($I$3:$I$302,$E$3:$E$302,$E126,$C$3:$C$302,"&lt;&gt;U"))</f>
        <v/>
      </c>
      <c r="P126" s="33" t="str">
        <f aca="false">IF(OR($A126="",$C126="U"),"",SUMIFS($N$3:$N$302,$E$3:$E$302,$E126,$C$3:$C$302,"&lt;&gt;U"))</f>
        <v/>
      </c>
      <c r="Q126" s="33" t="str">
        <f aca="false">IF(OR($A126="",$C126="U"),"",IF(COUNTIFS($E$3:$E126,$E126,$C$3:$C126,"&lt;&gt;U")=1,1,0))</f>
        <v/>
      </c>
      <c r="R126" s="33" t="str">
        <f aca="false">IF($Q126=1,$O126-ROW()/100000,"")</f>
        <v/>
      </c>
    </row>
    <row r="127" customFormat="false" ht="15" hidden="false" customHeight="false" outlineLevel="0" collapsed="false">
      <c r="M127" s="33" t="str">
        <f aca="false">IF($A127="","",HOUR($A127))</f>
        <v/>
      </c>
      <c r="N127" s="34" t="str">
        <f aca="false">IF($A127="","",$I127*$K127)</f>
        <v/>
      </c>
      <c r="O127" s="33" t="str">
        <f aca="false">IF(OR($A127="",$C127="U"),"",SUMIFS($I$3:$I$302,$E$3:$E$302,$E127,$C$3:$C$302,"&lt;&gt;U"))</f>
        <v/>
      </c>
      <c r="P127" s="33" t="str">
        <f aca="false">IF(OR($A127="",$C127="U"),"",SUMIFS($N$3:$N$302,$E$3:$E$302,$E127,$C$3:$C$302,"&lt;&gt;U"))</f>
        <v/>
      </c>
      <c r="Q127" s="33" t="str">
        <f aca="false">IF(OR($A127="",$C127="U"),"",IF(COUNTIFS($E$3:$E127,$E127,$C$3:$C127,"&lt;&gt;U")=1,1,0))</f>
        <v/>
      </c>
      <c r="R127" s="33" t="str">
        <f aca="false">IF($Q127=1,$O127-ROW()/100000,"")</f>
        <v/>
      </c>
    </row>
    <row r="128" customFormat="false" ht="15" hidden="false" customHeight="false" outlineLevel="0" collapsed="false">
      <c r="M128" s="33" t="str">
        <f aca="false">IF($A128="","",HOUR($A128))</f>
        <v/>
      </c>
      <c r="N128" s="34" t="str">
        <f aca="false">IF($A128="","",$I128*$K128)</f>
        <v/>
      </c>
      <c r="O128" s="33" t="str">
        <f aca="false">IF(OR($A128="",$C128="U"),"",SUMIFS($I$3:$I$302,$E$3:$E$302,$E128,$C$3:$C$302,"&lt;&gt;U"))</f>
        <v/>
      </c>
      <c r="P128" s="33" t="str">
        <f aca="false">IF(OR($A128="",$C128="U"),"",SUMIFS($N$3:$N$302,$E$3:$E$302,$E128,$C$3:$C$302,"&lt;&gt;U"))</f>
        <v/>
      </c>
      <c r="Q128" s="33" t="str">
        <f aca="false">IF(OR($A128="",$C128="U"),"",IF(COUNTIFS($E$3:$E128,$E128,$C$3:$C128,"&lt;&gt;U")=1,1,0))</f>
        <v/>
      </c>
      <c r="R128" s="33" t="str">
        <f aca="false">IF($Q128=1,$O128-ROW()/100000,"")</f>
        <v/>
      </c>
    </row>
    <row r="129" customFormat="false" ht="15" hidden="false" customHeight="false" outlineLevel="0" collapsed="false">
      <c r="M129" s="33" t="str">
        <f aca="false">IF($A129="","",HOUR($A129))</f>
        <v/>
      </c>
      <c r="N129" s="34" t="str">
        <f aca="false">IF($A129="","",$I129*$K129)</f>
        <v/>
      </c>
      <c r="O129" s="33" t="str">
        <f aca="false">IF(OR($A129="",$C129="U"),"",SUMIFS($I$3:$I$302,$E$3:$E$302,$E129,$C$3:$C$302,"&lt;&gt;U"))</f>
        <v/>
      </c>
      <c r="P129" s="33" t="str">
        <f aca="false">IF(OR($A129="",$C129="U"),"",SUMIFS($N$3:$N$302,$E$3:$E$302,$E129,$C$3:$C$302,"&lt;&gt;U"))</f>
        <v/>
      </c>
      <c r="Q129" s="33" t="str">
        <f aca="false">IF(OR($A129="",$C129="U"),"",IF(COUNTIFS($E$3:$E129,$E129,$C$3:$C129,"&lt;&gt;U")=1,1,0))</f>
        <v/>
      </c>
      <c r="R129" s="33" t="str">
        <f aca="false">IF($Q129=1,$O129-ROW()/100000,"")</f>
        <v/>
      </c>
    </row>
    <row r="130" customFormat="false" ht="15" hidden="false" customHeight="false" outlineLevel="0" collapsed="false">
      <c r="M130" s="33" t="str">
        <f aca="false">IF($A130="","",HOUR($A130))</f>
        <v/>
      </c>
      <c r="N130" s="34" t="str">
        <f aca="false">IF($A130="","",$I130*$K130)</f>
        <v/>
      </c>
      <c r="O130" s="33" t="str">
        <f aca="false">IF(OR($A130="",$C130="U"),"",SUMIFS($I$3:$I$302,$E$3:$E$302,$E130,$C$3:$C$302,"&lt;&gt;U"))</f>
        <v/>
      </c>
      <c r="P130" s="33" t="str">
        <f aca="false">IF(OR($A130="",$C130="U"),"",SUMIFS($N$3:$N$302,$E$3:$E$302,$E130,$C$3:$C$302,"&lt;&gt;U"))</f>
        <v/>
      </c>
      <c r="Q130" s="33" t="str">
        <f aca="false">IF(OR($A130="",$C130="U"),"",IF(COUNTIFS($E$3:$E130,$E130,$C$3:$C130,"&lt;&gt;U")=1,1,0))</f>
        <v/>
      </c>
      <c r="R130" s="33" t="str">
        <f aca="false">IF($Q130=1,$O130-ROW()/100000,"")</f>
        <v/>
      </c>
    </row>
    <row r="131" customFormat="false" ht="15" hidden="false" customHeight="false" outlineLevel="0" collapsed="false">
      <c r="M131" s="33" t="str">
        <f aca="false">IF($A131="","",HOUR($A131))</f>
        <v/>
      </c>
      <c r="N131" s="34" t="str">
        <f aca="false">IF($A131="","",$I131*$K131)</f>
        <v/>
      </c>
      <c r="O131" s="33" t="str">
        <f aca="false">IF(OR($A131="",$C131="U"),"",SUMIFS($I$3:$I$302,$E$3:$E$302,$E131,$C$3:$C$302,"&lt;&gt;U"))</f>
        <v/>
      </c>
      <c r="P131" s="33" t="str">
        <f aca="false">IF(OR($A131="",$C131="U"),"",SUMIFS($N$3:$N$302,$E$3:$E$302,$E131,$C$3:$C$302,"&lt;&gt;U"))</f>
        <v/>
      </c>
      <c r="Q131" s="33" t="str">
        <f aca="false">IF(OR($A131="",$C131="U"),"",IF(COUNTIFS($E$3:$E131,$E131,$C$3:$C131,"&lt;&gt;U")=1,1,0))</f>
        <v/>
      </c>
      <c r="R131" s="33" t="str">
        <f aca="false">IF($Q131=1,$O131-ROW()/100000,"")</f>
        <v/>
      </c>
    </row>
    <row r="132" customFormat="false" ht="15" hidden="false" customHeight="false" outlineLevel="0" collapsed="false">
      <c r="M132" s="33" t="str">
        <f aca="false">IF($A132="","",HOUR($A132))</f>
        <v/>
      </c>
      <c r="N132" s="34" t="str">
        <f aca="false">IF($A132="","",$I132*$K132)</f>
        <v/>
      </c>
      <c r="O132" s="33" t="str">
        <f aca="false">IF(OR($A132="",$C132="U"),"",SUMIFS($I$3:$I$302,$E$3:$E$302,$E132,$C$3:$C$302,"&lt;&gt;U"))</f>
        <v/>
      </c>
      <c r="P132" s="33" t="str">
        <f aca="false">IF(OR($A132="",$C132="U"),"",SUMIFS($N$3:$N$302,$E$3:$E$302,$E132,$C$3:$C$302,"&lt;&gt;U"))</f>
        <v/>
      </c>
      <c r="Q132" s="33" t="str">
        <f aca="false">IF(OR($A132="",$C132="U"),"",IF(COUNTIFS($E$3:$E132,$E132,$C$3:$C132,"&lt;&gt;U")=1,1,0))</f>
        <v/>
      </c>
      <c r="R132" s="33" t="str">
        <f aca="false">IF($Q132=1,$O132-ROW()/100000,"")</f>
        <v/>
      </c>
    </row>
    <row r="133" customFormat="false" ht="15" hidden="false" customHeight="false" outlineLevel="0" collapsed="false">
      <c r="M133" s="33" t="str">
        <f aca="false">IF($A133="","",HOUR($A133))</f>
        <v/>
      </c>
      <c r="N133" s="34" t="str">
        <f aca="false">IF($A133="","",$I133*$K133)</f>
        <v/>
      </c>
      <c r="O133" s="33" t="str">
        <f aca="false">IF(OR($A133="",$C133="U"),"",SUMIFS($I$3:$I$302,$E$3:$E$302,$E133,$C$3:$C$302,"&lt;&gt;U"))</f>
        <v/>
      </c>
      <c r="P133" s="33" t="str">
        <f aca="false">IF(OR($A133="",$C133="U"),"",SUMIFS($N$3:$N$302,$E$3:$E$302,$E133,$C$3:$C$302,"&lt;&gt;U"))</f>
        <v/>
      </c>
      <c r="Q133" s="33" t="str">
        <f aca="false">IF(OR($A133="",$C133="U"),"",IF(COUNTIFS($E$3:$E133,$E133,$C$3:$C133,"&lt;&gt;U")=1,1,0))</f>
        <v/>
      </c>
      <c r="R133" s="33" t="str">
        <f aca="false">IF($Q133=1,$O133-ROW()/100000,"")</f>
        <v/>
      </c>
    </row>
    <row r="134" customFormat="false" ht="15" hidden="false" customHeight="false" outlineLevel="0" collapsed="false">
      <c r="M134" s="33" t="str">
        <f aca="false">IF($A134="","",HOUR($A134))</f>
        <v/>
      </c>
      <c r="N134" s="34" t="str">
        <f aca="false">IF($A134="","",$I134*$K134)</f>
        <v/>
      </c>
      <c r="O134" s="33" t="str">
        <f aca="false">IF(OR($A134="",$C134="U"),"",SUMIFS($I$3:$I$302,$E$3:$E$302,$E134,$C$3:$C$302,"&lt;&gt;U"))</f>
        <v/>
      </c>
      <c r="P134" s="33" t="str">
        <f aca="false">IF(OR($A134="",$C134="U"),"",SUMIFS($N$3:$N$302,$E$3:$E$302,$E134,$C$3:$C$302,"&lt;&gt;U"))</f>
        <v/>
      </c>
      <c r="Q134" s="33" t="str">
        <f aca="false">IF(OR($A134="",$C134="U"),"",IF(COUNTIFS($E$3:$E134,$E134,$C$3:$C134,"&lt;&gt;U")=1,1,0))</f>
        <v/>
      </c>
      <c r="R134" s="33" t="str">
        <f aca="false">IF($Q134=1,$O134-ROW()/100000,"")</f>
        <v/>
      </c>
    </row>
    <row r="135" customFormat="false" ht="15" hidden="false" customHeight="false" outlineLevel="0" collapsed="false">
      <c r="M135" s="33" t="str">
        <f aca="false">IF($A135="","",HOUR($A135))</f>
        <v/>
      </c>
      <c r="N135" s="34" t="str">
        <f aca="false">IF($A135="","",$I135*$K135)</f>
        <v/>
      </c>
      <c r="O135" s="33" t="str">
        <f aca="false">IF(OR($A135="",$C135="U"),"",SUMIFS($I$3:$I$302,$E$3:$E$302,$E135,$C$3:$C$302,"&lt;&gt;U"))</f>
        <v/>
      </c>
      <c r="P135" s="33" t="str">
        <f aca="false">IF(OR($A135="",$C135="U"),"",SUMIFS($N$3:$N$302,$E$3:$E$302,$E135,$C$3:$C$302,"&lt;&gt;U"))</f>
        <v/>
      </c>
      <c r="Q135" s="33" t="str">
        <f aca="false">IF(OR($A135="",$C135="U"),"",IF(COUNTIFS($E$3:$E135,$E135,$C$3:$C135,"&lt;&gt;U")=1,1,0))</f>
        <v/>
      </c>
      <c r="R135" s="33" t="str">
        <f aca="false">IF($Q135=1,$O135-ROW()/100000,"")</f>
        <v/>
      </c>
    </row>
    <row r="136" customFormat="false" ht="15" hidden="false" customHeight="false" outlineLevel="0" collapsed="false">
      <c r="M136" s="33" t="str">
        <f aca="false">IF($A136="","",HOUR($A136))</f>
        <v/>
      </c>
      <c r="N136" s="34" t="str">
        <f aca="false">IF($A136="","",$I136*$K136)</f>
        <v/>
      </c>
      <c r="O136" s="33" t="str">
        <f aca="false">IF(OR($A136="",$C136="U"),"",SUMIFS($I$3:$I$302,$E$3:$E$302,$E136,$C$3:$C$302,"&lt;&gt;U"))</f>
        <v/>
      </c>
      <c r="P136" s="33" t="str">
        <f aca="false">IF(OR($A136="",$C136="U"),"",SUMIFS($N$3:$N$302,$E$3:$E$302,$E136,$C$3:$C$302,"&lt;&gt;U"))</f>
        <v/>
      </c>
      <c r="Q136" s="33" t="str">
        <f aca="false">IF(OR($A136="",$C136="U"),"",IF(COUNTIFS($E$3:$E136,$E136,$C$3:$C136,"&lt;&gt;U")=1,1,0))</f>
        <v/>
      </c>
      <c r="R136" s="33" t="str">
        <f aca="false">IF($Q136=1,$O136-ROW()/100000,"")</f>
        <v/>
      </c>
    </row>
    <row r="137" customFormat="false" ht="15" hidden="false" customHeight="false" outlineLevel="0" collapsed="false">
      <c r="M137" s="33" t="str">
        <f aca="false">IF($A137="","",HOUR($A137))</f>
        <v/>
      </c>
      <c r="N137" s="34" t="str">
        <f aca="false">IF($A137="","",$I137*$K137)</f>
        <v/>
      </c>
      <c r="O137" s="33" t="str">
        <f aca="false">IF(OR($A137="",$C137="U"),"",SUMIFS($I$3:$I$302,$E$3:$E$302,$E137,$C$3:$C$302,"&lt;&gt;U"))</f>
        <v/>
      </c>
      <c r="P137" s="33" t="str">
        <f aca="false">IF(OR($A137="",$C137="U"),"",SUMIFS($N$3:$N$302,$E$3:$E$302,$E137,$C$3:$C$302,"&lt;&gt;U"))</f>
        <v/>
      </c>
      <c r="Q137" s="33" t="str">
        <f aca="false">IF(OR($A137="",$C137="U"),"",IF(COUNTIFS($E$3:$E137,$E137,$C$3:$C137,"&lt;&gt;U")=1,1,0))</f>
        <v/>
      </c>
      <c r="R137" s="33" t="str">
        <f aca="false">IF($Q137=1,$O137-ROW()/100000,"")</f>
        <v/>
      </c>
    </row>
    <row r="138" customFormat="false" ht="15" hidden="false" customHeight="false" outlineLevel="0" collapsed="false">
      <c r="M138" s="33" t="str">
        <f aca="false">IF($A138="","",HOUR($A138))</f>
        <v/>
      </c>
      <c r="N138" s="34" t="str">
        <f aca="false">IF($A138="","",$I138*$K138)</f>
        <v/>
      </c>
      <c r="O138" s="33" t="str">
        <f aca="false">IF(OR($A138="",$C138="U"),"",SUMIFS($I$3:$I$302,$E$3:$E$302,$E138,$C$3:$C$302,"&lt;&gt;U"))</f>
        <v/>
      </c>
      <c r="P138" s="33" t="str">
        <f aca="false">IF(OR($A138="",$C138="U"),"",SUMIFS($N$3:$N$302,$E$3:$E$302,$E138,$C$3:$C$302,"&lt;&gt;U"))</f>
        <v/>
      </c>
      <c r="Q138" s="33" t="str">
        <f aca="false">IF(OR($A138="",$C138="U"),"",IF(COUNTIFS($E$3:$E138,$E138,$C$3:$C138,"&lt;&gt;U")=1,1,0))</f>
        <v/>
      </c>
      <c r="R138" s="33" t="str">
        <f aca="false">IF($Q138=1,$O138-ROW()/100000,"")</f>
        <v/>
      </c>
    </row>
    <row r="139" customFormat="false" ht="15" hidden="false" customHeight="false" outlineLevel="0" collapsed="false">
      <c r="M139" s="33" t="str">
        <f aca="false">IF($A139="","",HOUR($A139))</f>
        <v/>
      </c>
      <c r="N139" s="34" t="str">
        <f aca="false">IF($A139="","",$I139*$K139)</f>
        <v/>
      </c>
      <c r="O139" s="33" t="str">
        <f aca="false">IF(OR($A139="",$C139="U"),"",SUMIFS($I$3:$I$302,$E$3:$E$302,$E139,$C$3:$C$302,"&lt;&gt;U"))</f>
        <v/>
      </c>
      <c r="P139" s="33" t="str">
        <f aca="false">IF(OR($A139="",$C139="U"),"",SUMIFS($N$3:$N$302,$E$3:$E$302,$E139,$C$3:$C$302,"&lt;&gt;U"))</f>
        <v/>
      </c>
      <c r="Q139" s="33" t="str">
        <f aca="false">IF(OR($A139="",$C139="U"),"",IF(COUNTIFS($E$3:$E139,$E139,$C$3:$C139,"&lt;&gt;U")=1,1,0))</f>
        <v/>
      </c>
      <c r="R139" s="33" t="str">
        <f aca="false">IF($Q139=1,$O139-ROW()/100000,"")</f>
        <v/>
      </c>
    </row>
    <row r="140" customFormat="false" ht="15" hidden="false" customHeight="false" outlineLevel="0" collapsed="false">
      <c r="M140" s="33" t="str">
        <f aca="false">IF($A140="","",HOUR($A140))</f>
        <v/>
      </c>
      <c r="N140" s="34" t="str">
        <f aca="false">IF($A140="","",$I140*$K140)</f>
        <v/>
      </c>
      <c r="O140" s="33" t="str">
        <f aca="false">IF(OR($A140="",$C140="U"),"",SUMIFS($I$3:$I$302,$E$3:$E$302,$E140,$C$3:$C$302,"&lt;&gt;U"))</f>
        <v/>
      </c>
      <c r="P140" s="33" t="str">
        <f aca="false">IF(OR($A140="",$C140="U"),"",SUMIFS($N$3:$N$302,$E$3:$E$302,$E140,$C$3:$C$302,"&lt;&gt;U"))</f>
        <v/>
      </c>
      <c r="Q140" s="33" t="str">
        <f aca="false">IF(OR($A140="",$C140="U"),"",IF(COUNTIFS($E$3:$E140,$E140,$C$3:$C140,"&lt;&gt;U")=1,1,0))</f>
        <v/>
      </c>
      <c r="R140" s="33" t="str">
        <f aca="false">IF($Q140=1,$O140-ROW()/100000,"")</f>
        <v/>
      </c>
    </row>
    <row r="141" customFormat="false" ht="15" hidden="false" customHeight="false" outlineLevel="0" collapsed="false">
      <c r="M141" s="33" t="str">
        <f aca="false">IF($A141="","",HOUR($A141))</f>
        <v/>
      </c>
      <c r="N141" s="34" t="str">
        <f aca="false">IF($A141="","",$I141*$K141)</f>
        <v/>
      </c>
      <c r="O141" s="33" t="str">
        <f aca="false">IF(OR($A141="",$C141="U"),"",SUMIFS($I$3:$I$302,$E$3:$E$302,$E141,$C$3:$C$302,"&lt;&gt;U"))</f>
        <v/>
      </c>
      <c r="P141" s="33" t="str">
        <f aca="false">IF(OR($A141="",$C141="U"),"",SUMIFS($N$3:$N$302,$E$3:$E$302,$E141,$C$3:$C$302,"&lt;&gt;U"))</f>
        <v/>
      </c>
      <c r="Q141" s="33" t="str">
        <f aca="false">IF(OR($A141="",$C141="U"),"",IF(COUNTIFS($E$3:$E141,$E141,$C$3:$C141,"&lt;&gt;U")=1,1,0))</f>
        <v/>
      </c>
      <c r="R141" s="33" t="str">
        <f aca="false">IF($Q141=1,$O141-ROW()/100000,"")</f>
        <v/>
      </c>
    </row>
    <row r="142" customFormat="false" ht="15" hidden="false" customHeight="false" outlineLevel="0" collapsed="false">
      <c r="M142" s="33" t="str">
        <f aca="false">IF($A142="","",HOUR($A142))</f>
        <v/>
      </c>
      <c r="N142" s="34" t="str">
        <f aca="false">IF($A142="","",$I142*$K142)</f>
        <v/>
      </c>
      <c r="O142" s="33" t="str">
        <f aca="false">IF(OR($A142="",$C142="U"),"",SUMIFS($I$3:$I$302,$E$3:$E$302,$E142,$C$3:$C$302,"&lt;&gt;U"))</f>
        <v/>
      </c>
      <c r="P142" s="33" t="str">
        <f aca="false">IF(OR($A142="",$C142="U"),"",SUMIFS($N$3:$N$302,$E$3:$E$302,$E142,$C$3:$C$302,"&lt;&gt;U"))</f>
        <v/>
      </c>
      <c r="Q142" s="33" t="str">
        <f aca="false">IF(OR($A142="",$C142="U"),"",IF(COUNTIFS($E$3:$E142,$E142,$C$3:$C142,"&lt;&gt;U")=1,1,0))</f>
        <v/>
      </c>
      <c r="R142" s="33" t="str">
        <f aca="false">IF($Q142=1,$O142-ROW()/100000,"")</f>
        <v/>
      </c>
    </row>
    <row r="143" customFormat="false" ht="15" hidden="false" customHeight="false" outlineLevel="0" collapsed="false">
      <c r="M143" s="33" t="str">
        <f aca="false">IF($A143="","",HOUR($A143))</f>
        <v/>
      </c>
      <c r="N143" s="34" t="str">
        <f aca="false">IF($A143="","",$I143*$K143)</f>
        <v/>
      </c>
      <c r="O143" s="33" t="str">
        <f aca="false">IF(OR($A143="",$C143="U"),"",SUMIFS($I$3:$I$302,$E$3:$E$302,$E143,$C$3:$C$302,"&lt;&gt;U"))</f>
        <v/>
      </c>
      <c r="P143" s="33" t="str">
        <f aca="false">IF(OR($A143="",$C143="U"),"",SUMIFS($N$3:$N$302,$E$3:$E$302,$E143,$C$3:$C$302,"&lt;&gt;U"))</f>
        <v/>
      </c>
      <c r="Q143" s="33" t="str">
        <f aca="false">IF(OR($A143="",$C143="U"),"",IF(COUNTIFS($E$3:$E143,$E143,$C$3:$C143,"&lt;&gt;U")=1,1,0))</f>
        <v/>
      </c>
      <c r="R143" s="33" t="str">
        <f aca="false">IF($Q143=1,$O143-ROW()/100000,"")</f>
        <v/>
      </c>
    </row>
    <row r="144" customFormat="false" ht="15" hidden="false" customHeight="false" outlineLevel="0" collapsed="false">
      <c r="M144" s="33" t="str">
        <f aca="false">IF($A144="","",HOUR($A144))</f>
        <v/>
      </c>
      <c r="N144" s="34" t="str">
        <f aca="false">IF($A144="","",$I144*$K144)</f>
        <v/>
      </c>
      <c r="O144" s="33" t="str">
        <f aca="false">IF(OR($A144="",$C144="U"),"",SUMIFS($I$3:$I$302,$E$3:$E$302,$E144,$C$3:$C$302,"&lt;&gt;U"))</f>
        <v/>
      </c>
      <c r="P144" s="33" t="str">
        <f aca="false">IF(OR($A144="",$C144="U"),"",SUMIFS($N$3:$N$302,$E$3:$E$302,$E144,$C$3:$C$302,"&lt;&gt;U"))</f>
        <v/>
      </c>
      <c r="Q144" s="33" t="str">
        <f aca="false">IF(OR($A144="",$C144="U"),"",IF(COUNTIFS($E$3:$E144,$E144,$C$3:$C144,"&lt;&gt;U")=1,1,0))</f>
        <v/>
      </c>
      <c r="R144" s="33" t="str">
        <f aca="false">IF($Q144=1,$O144-ROW()/100000,"")</f>
        <v/>
      </c>
    </row>
    <row r="145" customFormat="false" ht="15" hidden="false" customHeight="false" outlineLevel="0" collapsed="false">
      <c r="M145" s="33" t="str">
        <f aca="false">IF($A145="","",HOUR($A145))</f>
        <v/>
      </c>
      <c r="N145" s="34" t="str">
        <f aca="false">IF($A145="","",$I145*$K145)</f>
        <v/>
      </c>
      <c r="O145" s="33" t="str">
        <f aca="false">IF(OR($A145="",$C145="U"),"",SUMIFS($I$3:$I$302,$E$3:$E$302,$E145,$C$3:$C$302,"&lt;&gt;U"))</f>
        <v/>
      </c>
      <c r="P145" s="33" t="str">
        <f aca="false">IF(OR($A145="",$C145="U"),"",SUMIFS($N$3:$N$302,$E$3:$E$302,$E145,$C$3:$C$302,"&lt;&gt;U"))</f>
        <v/>
      </c>
      <c r="Q145" s="33" t="str">
        <f aca="false">IF(OR($A145="",$C145="U"),"",IF(COUNTIFS($E$3:$E145,$E145,$C$3:$C145,"&lt;&gt;U")=1,1,0))</f>
        <v/>
      </c>
      <c r="R145" s="33" t="str">
        <f aca="false">IF($Q145=1,$O145-ROW()/100000,"")</f>
        <v/>
      </c>
    </row>
    <row r="146" customFormat="false" ht="15" hidden="false" customHeight="false" outlineLevel="0" collapsed="false">
      <c r="M146" s="33" t="str">
        <f aca="false">IF($A146="","",HOUR($A146))</f>
        <v/>
      </c>
      <c r="N146" s="34" t="str">
        <f aca="false">IF($A146="","",$I146*$K146)</f>
        <v/>
      </c>
      <c r="O146" s="33" t="str">
        <f aca="false">IF(OR($A146="",$C146="U"),"",SUMIFS($I$3:$I$302,$E$3:$E$302,$E146,$C$3:$C$302,"&lt;&gt;U"))</f>
        <v/>
      </c>
      <c r="P146" s="33" t="str">
        <f aca="false">IF(OR($A146="",$C146="U"),"",SUMIFS($N$3:$N$302,$E$3:$E$302,$E146,$C$3:$C$302,"&lt;&gt;U"))</f>
        <v/>
      </c>
      <c r="Q146" s="33" t="str">
        <f aca="false">IF(OR($A146="",$C146="U"),"",IF(COUNTIFS($E$3:$E146,$E146,$C$3:$C146,"&lt;&gt;U")=1,1,0))</f>
        <v/>
      </c>
      <c r="R146" s="33" t="str">
        <f aca="false">IF($Q146=1,$O146-ROW()/100000,"")</f>
        <v/>
      </c>
    </row>
    <row r="147" customFormat="false" ht="15" hidden="false" customHeight="false" outlineLevel="0" collapsed="false">
      <c r="M147" s="33" t="str">
        <f aca="false">IF($A147="","",HOUR($A147))</f>
        <v/>
      </c>
      <c r="N147" s="34" t="str">
        <f aca="false">IF($A147="","",$I147*$K147)</f>
        <v/>
      </c>
      <c r="O147" s="33" t="str">
        <f aca="false">IF(OR($A147="",$C147="U"),"",SUMIFS($I$3:$I$302,$E$3:$E$302,$E147,$C$3:$C$302,"&lt;&gt;U"))</f>
        <v/>
      </c>
      <c r="P147" s="33" t="str">
        <f aca="false">IF(OR($A147="",$C147="U"),"",SUMIFS($N$3:$N$302,$E$3:$E$302,$E147,$C$3:$C$302,"&lt;&gt;U"))</f>
        <v/>
      </c>
      <c r="Q147" s="33" t="str">
        <f aca="false">IF(OR($A147="",$C147="U"),"",IF(COUNTIFS($E$3:$E147,$E147,$C$3:$C147,"&lt;&gt;U")=1,1,0))</f>
        <v/>
      </c>
      <c r="R147" s="33" t="str">
        <f aca="false">IF($Q147=1,$O147-ROW()/100000,"")</f>
        <v/>
      </c>
    </row>
    <row r="148" customFormat="false" ht="15" hidden="false" customHeight="false" outlineLevel="0" collapsed="false">
      <c r="M148" s="33" t="str">
        <f aca="false">IF($A148="","",HOUR($A148))</f>
        <v/>
      </c>
      <c r="N148" s="34" t="str">
        <f aca="false">IF($A148="","",$I148*$K148)</f>
        <v/>
      </c>
      <c r="O148" s="33" t="str">
        <f aca="false">IF(OR($A148="",$C148="U"),"",SUMIFS($I$3:$I$302,$E$3:$E$302,$E148,$C$3:$C$302,"&lt;&gt;U"))</f>
        <v/>
      </c>
      <c r="P148" s="33" t="str">
        <f aca="false">IF(OR($A148="",$C148="U"),"",SUMIFS($N$3:$N$302,$E$3:$E$302,$E148,$C$3:$C$302,"&lt;&gt;U"))</f>
        <v/>
      </c>
      <c r="Q148" s="33" t="str">
        <f aca="false">IF(OR($A148="",$C148="U"),"",IF(COUNTIFS($E$3:$E148,$E148,$C$3:$C148,"&lt;&gt;U")=1,1,0))</f>
        <v/>
      </c>
      <c r="R148" s="33" t="str">
        <f aca="false">IF($Q148=1,$O148-ROW()/100000,"")</f>
        <v/>
      </c>
    </row>
    <row r="149" customFormat="false" ht="15" hidden="false" customHeight="false" outlineLevel="0" collapsed="false">
      <c r="M149" s="33" t="str">
        <f aca="false">IF($A149="","",HOUR($A149))</f>
        <v/>
      </c>
      <c r="N149" s="34" t="str">
        <f aca="false">IF($A149="","",$I149*$K149)</f>
        <v/>
      </c>
      <c r="O149" s="33" t="str">
        <f aca="false">IF(OR($A149="",$C149="U"),"",SUMIFS($I$3:$I$302,$E$3:$E$302,$E149,$C$3:$C$302,"&lt;&gt;U"))</f>
        <v/>
      </c>
      <c r="P149" s="33" t="str">
        <f aca="false">IF(OR($A149="",$C149="U"),"",SUMIFS($N$3:$N$302,$E$3:$E$302,$E149,$C$3:$C$302,"&lt;&gt;U"))</f>
        <v/>
      </c>
      <c r="Q149" s="33" t="str">
        <f aca="false">IF(OR($A149="",$C149="U"),"",IF(COUNTIFS($E$3:$E149,$E149,$C$3:$C149,"&lt;&gt;U")=1,1,0))</f>
        <v/>
      </c>
      <c r="R149" s="33" t="str">
        <f aca="false">IF($Q149=1,$O149-ROW()/100000,"")</f>
        <v/>
      </c>
    </row>
    <row r="150" customFormat="false" ht="15" hidden="false" customHeight="false" outlineLevel="0" collapsed="false">
      <c r="M150" s="33" t="str">
        <f aca="false">IF($A150="","",HOUR($A150))</f>
        <v/>
      </c>
      <c r="N150" s="34" t="str">
        <f aca="false">IF($A150="","",$I150*$K150)</f>
        <v/>
      </c>
      <c r="O150" s="33" t="str">
        <f aca="false">IF(OR($A150="",$C150="U"),"",SUMIFS($I$3:$I$302,$E$3:$E$302,$E150,$C$3:$C$302,"&lt;&gt;U"))</f>
        <v/>
      </c>
      <c r="P150" s="33" t="str">
        <f aca="false">IF(OR($A150="",$C150="U"),"",SUMIFS($N$3:$N$302,$E$3:$E$302,$E150,$C$3:$C$302,"&lt;&gt;U"))</f>
        <v/>
      </c>
      <c r="Q150" s="33" t="str">
        <f aca="false">IF(OR($A150="",$C150="U"),"",IF(COUNTIFS($E$3:$E150,$E150,$C$3:$C150,"&lt;&gt;U")=1,1,0))</f>
        <v/>
      </c>
      <c r="R150" s="33" t="str">
        <f aca="false">IF($Q150=1,$O150-ROW()/100000,"")</f>
        <v/>
      </c>
    </row>
    <row r="151" customFormat="false" ht="15" hidden="false" customHeight="false" outlineLevel="0" collapsed="false">
      <c r="M151" s="33" t="str">
        <f aca="false">IF($A151="","",HOUR($A151))</f>
        <v/>
      </c>
      <c r="N151" s="34" t="str">
        <f aca="false">IF($A151="","",$I151*$K151)</f>
        <v/>
      </c>
      <c r="O151" s="33" t="str">
        <f aca="false">IF(OR($A151="",$C151="U"),"",SUMIFS($I$3:$I$302,$E$3:$E$302,$E151,$C$3:$C$302,"&lt;&gt;U"))</f>
        <v/>
      </c>
      <c r="P151" s="33" t="str">
        <f aca="false">IF(OR($A151="",$C151="U"),"",SUMIFS($N$3:$N$302,$E$3:$E$302,$E151,$C$3:$C$302,"&lt;&gt;U"))</f>
        <v/>
      </c>
      <c r="Q151" s="33" t="str">
        <f aca="false">IF(OR($A151="",$C151="U"),"",IF(COUNTIFS($E$3:$E151,$E151,$C$3:$C151,"&lt;&gt;U")=1,1,0))</f>
        <v/>
      </c>
      <c r="R151" s="33" t="str">
        <f aca="false">IF($Q151=1,$O151-ROW()/100000,"")</f>
        <v/>
      </c>
    </row>
    <row r="152" customFormat="false" ht="15" hidden="false" customHeight="false" outlineLevel="0" collapsed="false">
      <c r="M152" s="33" t="str">
        <f aca="false">IF($A152="","",HOUR($A152))</f>
        <v/>
      </c>
      <c r="N152" s="34" t="str">
        <f aca="false">IF($A152="","",$I152*$K152)</f>
        <v/>
      </c>
      <c r="O152" s="33" t="str">
        <f aca="false">IF(OR($A152="",$C152="U"),"",SUMIFS($I$3:$I$302,$E$3:$E$302,$E152,$C$3:$C$302,"&lt;&gt;U"))</f>
        <v/>
      </c>
      <c r="P152" s="33" t="str">
        <f aca="false">IF(OR($A152="",$C152="U"),"",SUMIFS($N$3:$N$302,$E$3:$E$302,$E152,$C$3:$C$302,"&lt;&gt;U"))</f>
        <v/>
      </c>
      <c r="Q152" s="33" t="str">
        <f aca="false">IF(OR($A152="",$C152="U"),"",IF(COUNTIFS($E$3:$E152,$E152,$C$3:$C152,"&lt;&gt;U")=1,1,0))</f>
        <v/>
      </c>
      <c r="R152" s="33" t="str">
        <f aca="false">IF($Q152=1,$O152-ROW()/100000,"")</f>
        <v/>
      </c>
    </row>
    <row r="153" customFormat="false" ht="15" hidden="false" customHeight="false" outlineLevel="0" collapsed="false">
      <c r="M153" s="33" t="str">
        <f aca="false">IF($A153="","",HOUR($A153))</f>
        <v/>
      </c>
      <c r="N153" s="34" t="str">
        <f aca="false">IF($A153="","",$I153*$K153)</f>
        <v/>
      </c>
      <c r="O153" s="33" t="str">
        <f aca="false">IF(OR($A153="",$C153="U"),"",SUMIFS($I$3:$I$302,$E$3:$E$302,$E153,$C$3:$C$302,"&lt;&gt;U"))</f>
        <v/>
      </c>
      <c r="P153" s="33" t="str">
        <f aca="false">IF(OR($A153="",$C153="U"),"",SUMIFS($N$3:$N$302,$E$3:$E$302,$E153,$C$3:$C$302,"&lt;&gt;U"))</f>
        <v/>
      </c>
      <c r="Q153" s="33" t="str">
        <f aca="false">IF(OR($A153="",$C153="U"),"",IF(COUNTIFS($E$3:$E153,$E153,$C$3:$C153,"&lt;&gt;U")=1,1,0))</f>
        <v/>
      </c>
      <c r="R153" s="33" t="str">
        <f aca="false">IF($Q153=1,$O153-ROW()/100000,"")</f>
        <v/>
      </c>
    </row>
    <row r="154" customFormat="false" ht="15" hidden="false" customHeight="false" outlineLevel="0" collapsed="false">
      <c r="M154" s="33" t="str">
        <f aca="false">IF($A154="","",HOUR($A154))</f>
        <v/>
      </c>
      <c r="N154" s="34" t="str">
        <f aca="false">IF($A154="","",$I154*$K154)</f>
        <v/>
      </c>
      <c r="O154" s="33" t="str">
        <f aca="false">IF(OR($A154="",$C154="U"),"",SUMIFS($I$3:$I$302,$E$3:$E$302,$E154,$C$3:$C$302,"&lt;&gt;U"))</f>
        <v/>
      </c>
      <c r="P154" s="33" t="str">
        <f aca="false">IF(OR($A154="",$C154="U"),"",SUMIFS($N$3:$N$302,$E$3:$E$302,$E154,$C$3:$C$302,"&lt;&gt;U"))</f>
        <v/>
      </c>
      <c r="Q154" s="33" t="str">
        <f aca="false">IF(OR($A154="",$C154="U"),"",IF(COUNTIFS($E$3:$E154,$E154,$C$3:$C154,"&lt;&gt;U")=1,1,0))</f>
        <v/>
      </c>
      <c r="R154" s="33" t="str">
        <f aca="false">IF($Q154=1,$O154-ROW()/100000,"")</f>
        <v/>
      </c>
    </row>
    <row r="155" customFormat="false" ht="15" hidden="false" customHeight="false" outlineLevel="0" collapsed="false">
      <c r="M155" s="33" t="str">
        <f aca="false">IF($A155="","",HOUR($A155))</f>
        <v/>
      </c>
      <c r="N155" s="34" t="str">
        <f aca="false">IF($A155="","",$I155*$K155)</f>
        <v/>
      </c>
      <c r="O155" s="33" t="str">
        <f aca="false">IF(OR($A155="",$C155="U"),"",SUMIFS($I$3:$I$302,$E$3:$E$302,$E155,$C$3:$C$302,"&lt;&gt;U"))</f>
        <v/>
      </c>
      <c r="P155" s="33" t="str">
        <f aca="false">IF(OR($A155="",$C155="U"),"",SUMIFS($N$3:$N$302,$E$3:$E$302,$E155,$C$3:$C$302,"&lt;&gt;U"))</f>
        <v/>
      </c>
      <c r="Q155" s="33" t="str">
        <f aca="false">IF(OR($A155="",$C155="U"),"",IF(COUNTIFS($E$3:$E155,$E155,$C$3:$C155,"&lt;&gt;U")=1,1,0))</f>
        <v/>
      </c>
      <c r="R155" s="33" t="str">
        <f aca="false">IF($Q155=1,$O155-ROW()/100000,"")</f>
        <v/>
      </c>
    </row>
    <row r="156" customFormat="false" ht="15" hidden="false" customHeight="false" outlineLevel="0" collapsed="false">
      <c r="M156" s="33" t="str">
        <f aca="false">IF($A156="","",HOUR($A156))</f>
        <v/>
      </c>
      <c r="N156" s="34" t="str">
        <f aca="false">IF($A156="","",$I156*$K156)</f>
        <v/>
      </c>
      <c r="O156" s="33" t="str">
        <f aca="false">IF(OR($A156="",$C156="U"),"",SUMIFS($I$3:$I$302,$E$3:$E$302,$E156,$C$3:$C$302,"&lt;&gt;U"))</f>
        <v/>
      </c>
      <c r="P156" s="33" t="str">
        <f aca="false">IF(OR($A156="",$C156="U"),"",SUMIFS($N$3:$N$302,$E$3:$E$302,$E156,$C$3:$C$302,"&lt;&gt;U"))</f>
        <v/>
      </c>
      <c r="Q156" s="33" t="str">
        <f aca="false">IF(OR($A156="",$C156="U"),"",IF(COUNTIFS($E$3:$E156,$E156,$C$3:$C156,"&lt;&gt;U")=1,1,0))</f>
        <v/>
      </c>
      <c r="R156" s="33" t="str">
        <f aca="false">IF($Q156=1,$O156-ROW()/100000,"")</f>
        <v/>
      </c>
    </row>
    <row r="157" customFormat="false" ht="15" hidden="false" customHeight="false" outlineLevel="0" collapsed="false">
      <c r="M157" s="33" t="str">
        <f aca="false">IF($A157="","",HOUR($A157))</f>
        <v/>
      </c>
      <c r="N157" s="34" t="str">
        <f aca="false">IF($A157="","",$I157*$K157)</f>
        <v/>
      </c>
      <c r="O157" s="33" t="str">
        <f aca="false">IF(OR($A157="",$C157="U"),"",SUMIFS($I$3:$I$302,$E$3:$E$302,$E157,$C$3:$C$302,"&lt;&gt;U"))</f>
        <v/>
      </c>
      <c r="P157" s="33" t="str">
        <f aca="false">IF(OR($A157="",$C157="U"),"",SUMIFS($N$3:$N$302,$E$3:$E$302,$E157,$C$3:$C$302,"&lt;&gt;U"))</f>
        <v/>
      </c>
      <c r="Q157" s="33" t="str">
        <f aca="false">IF(OR($A157="",$C157="U"),"",IF(COUNTIFS($E$3:$E157,$E157,$C$3:$C157,"&lt;&gt;U")=1,1,0))</f>
        <v/>
      </c>
      <c r="R157" s="33" t="str">
        <f aca="false">IF($Q157=1,$O157-ROW()/100000,"")</f>
        <v/>
      </c>
    </row>
    <row r="158" customFormat="false" ht="15" hidden="false" customHeight="false" outlineLevel="0" collapsed="false">
      <c r="M158" s="33" t="str">
        <f aca="false">IF($A158="","",HOUR($A158))</f>
        <v/>
      </c>
      <c r="N158" s="34" t="str">
        <f aca="false">IF($A158="","",$I158*$K158)</f>
        <v/>
      </c>
      <c r="O158" s="33" t="str">
        <f aca="false">IF(OR($A158="",$C158="U"),"",SUMIFS($I$3:$I$302,$E$3:$E$302,$E158,$C$3:$C$302,"&lt;&gt;U"))</f>
        <v/>
      </c>
      <c r="P158" s="33" t="str">
        <f aca="false">IF(OR($A158="",$C158="U"),"",SUMIFS($N$3:$N$302,$E$3:$E$302,$E158,$C$3:$C$302,"&lt;&gt;U"))</f>
        <v/>
      </c>
      <c r="Q158" s="33" t="str">
        <f aca="false">IF(OR($A158="",$C158="U"),"",IF(COUNTIFS($E$3:$E158,$E158,$C$3:$C158,"&lt;&gt;U")=1,1,0))</f>
        <v/>
      </c>
      <c r="R158" s="33" t="str">
        <f aca="false">IF($Q158=1,$O158-ROW()/100000,"")</f>
        <v/>
      </c>
    </row>
    <row r="159" customFormat="false" ht="15" hidden="false" customHeight="false" outlineLevel="0" collapsed="false">
      <c r="M159" s="33" t="str">
        <f aca="false">IF($A159="","",HOUR($A159))</f>
        <v/>
      </c>
      <c r="N159" s="34" t="str">
        <f aca="false">IF($A159="","",$I159*$K159)</f>
        <v/>
      </c>
      <c r="O159" s="33" t="str">
        <f aca="false">IF(OR($A159="",$C159="U"),"",SUMIFS($I$3:$I$302,$E$3:$E$302,$E159,$C$3:$C$302,"&lt;&gt;U"))</f>
        <v/>
      </c>
      <c r="P159" s="33" t="str">
        <f aca="false">IF(OR($A159="",$C159="U"),"",SUMIFS($N$3:$N$302,$E$3:$E$302,$E159,$C$3:$C$302,"&lt;&gt;U"))</f>
        <v/>
      </c>
      <c r="Q159" s="33" t="str">
        <f aca="false">IF(OR($A159="",$C159="U"),"",IF(COUNTIFS($E$3:$E159,$E159,$C$3:$C159,"&lt;&gt;U")=1,1,0))</f>
        <v/>
      </c>
      <c r="R159" s="33" t="str">
        <f aca="false">IF($Q159=1,$O159-ROW()/100000,"")</f>
        <v/>
      </c>
    </row>
    <row r="160" customFormat="false" ht="15" hidden="false" customHeight="false" outlineLevel="0" collapsed="false">
      <c r="M160" s="33" t="str">
        <f aca="false">IF($A160="","",HOUR($A160))</f>
        <v/>
      </c>
      <c r="N160" s="34" t="str">
        <f aca="false">IF($A160="","",$I160*$K160)</f>
        <v/>
      </c>
      <c r="O160" s="33" t="str">
        <f aca="false">IF(OR($A160="",$C160="U"),"",SUMIFS($I$3:$I$302,$E$3:$E$302,$E160,$C$3:$C$302,"&lt;&gt;U"))</f>
        <v/>
      </c>
      <c r="P160" s="33" t="str">
        <f aca="false">IF(OR($A160="",$C160="U"),"",SUMIFS($N$3:$N$302,$E$3:$E$302,$E160,$C$3:$C$302,"&lt;&gt;U"))</f>
        <v/>
      </c>
      <c r="Q160" s="33" t="str">
        <f aca="false">IF(OR($A160="",$C160="U"),"",IF(COUNTIFS($E$3:$E160,$E160,$C$3:$C160,"&lt;&gt;U")=1,1,0))</f>
        <v/>
      </c>
      <c r="R160" s="33" t="str">
        <f aca="false">IF($Q160=1,$O160-ROW()/100000,"")</f>
        <v/>
      </c>
    </row>
    <row r="161" customFormat="false" ht="15" hidden="false" customHeight="false" outlineLevel="0" collapsed="false">
      <c r="M161" s="33" t="str">
        <f aca="false">IF($A161="","",HOUR($A161))</f>
        <v/>
      </c>
      <c r="N161" s="34" t="str">
        <f aca="false">IF($A161="","",$I161*$K161)</f>
        <v/>
      </c>
      <c r="O161" s="33" t="str">
        <f aca="false">IF(OR($A161="",$C161="U"),"",SUMIFS($I$3:$I$302,$E$3:$E$302,$E161,$C$3:$C$302,"&lt;&gt;U"))</f>
        <v/>
      </c>
      <c r="P161" s="33" t="str">
        <f aca="false">IF(OR($A161="",$C161="U"),"",SUMIFS($N$3:$N$302,$E$3:$E$302,$E161,$C$3:$C$302,"&lt;&gt;U"))</f>
        <v/>
      </c>
      <c r="Q161" s="33" t="str">
        <f aca="false">IF(OR($A161="",$C161="U"),"",IF(COUNTIFS($E$3:$E161,$E161,$C$3:$C161,"&lt;&gt;U")=1,1,0))</f>
        <v/>
      </c>
      <c r="R161" s="33" t="str">
        <f aca="false">IF($Q161=1,$O161-ROW()/100000,"")</f>
        <v/>
      </c>
    </row>
    <row r="162" customFormat="false" ht="15" hidden="false" customHeight="false" outlineLevel="0" collapsed="false">
      <c r="M162" s="33" t="str">
        <f aca="false">IF($A162="","",HOUR($A162))</f>
        <v/>
      </c>
      <c r="N162" s="34" t="str">
        <f aca="false">IF($A162="","",$I162*$K162)</f>
        <v/>
      </c>
      <c r="O162" s="33" t="str">
        <f aca="false">IF(OR($A162="",$C162="U"),"",SUMIFS($I$3:$I$302,$E$3:$E$302,$E162,$C$3:$C$302,"&lt;&gt;U"))</f>
        <v/>
      </c>
      <c r="P162" s="33" t="str">
        <f aca="false">IF(OR($A162="",$C162="U"),"",SUMIFS($N$3:$N$302,$E$3:$E$302,$E162,$C$3:$C$302,"&lt;&gt;U"))</f>
        <v/>
      </c>
      <c r="Q162" s="33" t="str">
        <f aca="false">IF(OR($A162="",$C162="U"),"",IF(COUNTIFS($E$3:$E162,$E162,$C$3:$C162,"&lt;&gt;U")=1,1,0))</f>
        <v/>
      </c>
      <c r="R162" s="33" t="str">
        <f aca="false">IF($Q162=1,$O162-ROW()/100000,"")</f>
        <v/>
      </c>
    </row>
    <row r="163" customFormat="false" ht="15" hidden="false" customHeight="false" outlineLevel="0" collapsed="false">
      <c r="M163" s="33" t="str">
        <f aca="false">IF($A163="","",HOUR($A163))</f>
        <v/>
      </c>
      <c r="N163" s="34" t="str">
        <f aca="false">IF($A163="","",$I163*$K163)</f>
        <v/>
      </c>
      <c r="O163" s="33" t="str">
        <f aca="false">IF(OR($A163="",$C163="U"),"",SUMIFS($I$3:$I$302,$E$3:$E$302,$E163,$C$3:$C$302,"&lt;&gt;U"))</f>
        <v/>
      </c>
      <c r="P163" s="33" t="str">
        <f aca="false">IF(OR($A163="",$C163="U"),"",SUMIFS($N$3:$N$302,$E$3:$E$302,$E163,$C$3:$C$302,"&lt;&gt;U"))</f>
        <v/>
      </c>
      <c r="Q163" s="33" t="str">
        <f aca="false">IF(OR($A163="",$C163="U"),"",IF(COUNTIFS($E$3:$E163,$E163,$C$3:$C163,"&lt;&gt;U")=1,1,0))</f>
        <v/>
      </c>
      <c r="R163" s="33" t="str">
        <f aca="false">IF($Q163=1,$O163-ROW()/100000,"")</f>
        <v/>
      </c>
    </row>
    <row r="164" customFormat="false" ht="15" hidden="false" customHeight="false" outlineLevel="0" collapsed="false">
      <c r="M164" s="33" t="str">
        <f aca="false">IF($A164="","",HOUR($A164))</f>
        <v/>
      </c>
      <c r="N164" s="34" t="str">
        <f aca="false">IF($A164="","",$I164*$K164)</f>
        <v/>
      </c>
      <c r="O164" s="33" t="str">
        <f aca="false">IF(OR($A164="",$C164="U"),"",SUMIFS($I$3:$I$302,$E$3:$E$302,$E164,$C$3:$C$302,"&lt;&gt;U"))</f>
        <v/>
      </c>
      <c r="P164" s="33" t="str">
        <f aca="false">IF(OR($A164="",$C164="U"),"",SUMIFS($N$3:$N$302,$E$3:$E$302,$E164,$C$3:$C$302,"&lt;&gt;U"))</f>
        <v/>
      </c>
      <c r="Q164" s="33" t="str">
        <f aca="false">IF(OR($A164="",$C164="U"),"",IF(COUNTIFS($E$3:$E164,$E164,$C$3:$C164,"&lt;&gt;U")=1,1,0))</f>
        <v/>
      </c>
      <c r="R164" s="33" t="str">
        <f aca="false">IF($Q164=1,$O164-ROW()/100000,"")</f>
        <v/>
      </c>
    </row>
    <row r="165" customFormat="false" ht="15" hidden="false" customHeight="false" outlineLevel="0" collapsed="false">
      <c r="M165" s="33" t="str">
        <f aca="false">IF($A165="","",HOUR($A165))</f>
        <v/>
      </c>
      <c r="N165" s="34" t="str">
        <f aca="false">IF($A165="","",$I165*$K165)</f>
        <v/>
      </c>
      <c r="O165" s="33" t="str">
        <f aca="false">IF(OR($A165="",$C165="U"),"",SUMIFS($I$3:$I$302,$E$3:$E$302,$E165,$C$3:$C$302,"&lt;&gt;U"))</f>
        <v/>
      </c>
      <c r="P165" s="33" t="str">
        <f aca="false">IF(OR($A165="",$C165="U"),"",SUMIFS($N$3:$N$302,$E$3:$E$302,$E165,$C$3:$C$302,"&lt;&gt;U"))</f>
        <v/>
      </c>
      <c r="Q165" s="33" t="str">
        <f aca="false">IF(OR($A165="",$C165="U"),"",IF(COUNTIFS($E$3:$E165,$E165,$C$3:$C165,"&lt;&gt;U")=1,1,0))</f>
        <v/>
      </c>
      <c r="R165" s="33" t="str">
        <f aca="false">IF($Q165=1,$O165-ROW()/100000,"")</f>
        <v/>
      </c>
    </row>
    <row r="166" customFormat="false" ht="15" hidden="false" customHeight="false" outlineLevel="0" collapsed="false">
      <c r="M166" s="33" t="str">
        <f aca="false">IF($A166="","",HOUR($A166))</f>
        <v/>
      </c>
      <c r="N166" s="34" t="str">
        <f aca="false">IF($A166="","",$I166*$K166)</f>
        <v/>
      </c>
      <c r="O166" s="33" t="str">
        <f aca="false">IF(OR($A166="",$C166="U"),"",SUMIFS($I$3:$I$302,$E$3:$E$302,$E166,$C$3:$C$302,"&lt;&gt;U"))</f>
        <v/>
      </c>
      <c r="P166" s="33" t="str">
        <f aca="false">IF(OR($A166="",$C166="U"),"",SUMIFS($N$3:$N$302,$E$3:$E$302,$E166,$C$3:$C$302,"&lt;&gt;U"))</f>
        <v/>
      </c>
      <c r="Q166" s="33" t="str">
        <f aca="false">IF(OR($A166="",$C166="U"),"",IF(COUNTIFS($E$3:$E166,$E166,$C$3:$C166,"&lt;&gt;U")=1,1,0))</f>
        <v/>
      </c>
      <c r="R166" s="33" t="str">
        <f aca="false">IF($Q166=1,$O166-ROW()/100000,"")</f>
        <v/>
      </c>
    </row>
    <row r="167" customFormat="false" ht="15" hidden="false" customHeight="false" outlineLevel="0" collapsed="false">
      <c r="M167" s="33" t="str">
        <f aca="false">IF($A167="","",HOUR($A167))</f>
        <v/>
      </c>
      <c r="N167" s="34" t="str">
        <f aca="false">IF($A167="","",$I167*$K167)</f>
        <v/>
      </c>
      <c r="O167" s="33" t="str">
        <f aca="false">IF(OR($A167="",$C167="U"),"",SUMIFS($I$3:$I$302,$E$3:$E$302,$E167,$C$3:$C$302,"&lt;&gt;U"))</f>
        <v/>
      </c>
      <c r="P167" s="33" t="str">
        <f aca="false">IF(OR($A167="",$C167="U"),"",SUMIFS($N$3:$N$302,$E$3:$E$302,$E167,$C$3:$C$302,"&lt;&gt;U"))</f>
        <v/>
      </c>
      <c r="Q167" s="33" t="str">
        <f aca="false">IF(OR($A167="",$C167="U"),"",IF(COUNTIFS($E$3:$E167,$E167,$C$3:$C167,"&lt;&gt;U")=1,1,0))</f>
        <v/>
      </c>
      <c r="R167" s="33" t="str">
        <f aca="false">IF($Q167=1,$O167-ROW()/100000,"")</f>
        <v/>
      </c>
    </row>
    <row r="168" customFormat="false" ht="15" hidden="false" customHeight="false" outlineLevel="0" collapsed="false">
      <c r="M168" s="33" t="str">
        <f aca="false">IF($A168="","",HOUR($A168))</f>
        <v/>
      </c>
      <c r="N168" s="34" t="str">
        <f aca="false">IF($A168="","",$I168*$K168)</f>
        <v/>
      </c>
      <c r="O168" s="33" t="str">
        <f aca="false">IF(OR($A168="",$C168="U"),"",SUMIFS($I$3:$I$302,$E$3:$E$302,$E168,$C$3:$C$302,"&lt;&gt;U"))</f>
        <v/>
      </c>
      <c r="P168" s="33" t="str">
        <f aca="false">IF(OR($A168="",$C168="U"),"",SUMIFS($N$3:$N$302,$E$3:$E$302,$E168,$C$3:$C$302,"&lt;&gt;U"))</f>
        <v/>
      </c>
      <c r="Q168" s="33" t="str">
        <f aca="false">IF(OR($A168="",$C168="U"),"",IF(COUNTIFS($E$3:$E168,$E168,$C$3:$C168,"&lt;&gt;U")=1,1,0))</f>
        <v/>
      </c>
      <c r="R168" s="33" t="str">
        <f aca="false">IF($Q168=1,$O168-ROW()/100000,"")</f>
        <v/>
      </c>
    </row>
    <row r="169" customFormat="false" ht="15" hidden="false" customHeight="false" outlineLevel="0" collapsed="false">
      <c r="M169" s="33" t="str">
        <f aca="false">IF($A169="","",HOUR($A169))</f>
        <v/>
      </c>
      <c r="N169" s="34" t="str">
        <f aca="false">IF($A169="","",$I169*$K169)</f>
        <v/>
      </c>
      <c r="O169" s="33" t="str">
        <f aca="false">IF(OR($A169="",$C169="U"),"",SUMIFS($I$3:$I$302,$E$3:$E$302,$E169,$C$3:$C$302,"&lt;&gt;U"))</f>
        <v/>
      </c>
      <c r="P169" s="33" t="str">
        <f aca="false">IF(OR($A169="",$C169="U"),"",SUMIFS($N$3:$N$302,$E$3:$E$302,$E169,$C$3:$C$302,"&lt;&gt;U"))</f>
        <v/>
      </c>
      <c r="Q169" s="33" t="str">
        <f aca="false">IF(OR($A169="",$C169="U"),"",IF(COUNTIFS($E$3:$E169,$E169,$C$3:$C169,"&lt;&gt;U")=1,1,0))</f>
        <v/>
      </c>
      <c r="R169" s="33" t="str">
        <f aca="false">IF($Q169=1,$O169-ROW()/100000,"")</f>
        <v/>
      </c>
    </row>
    <row r="170" customFormat="false" ht="15" hidden="false" customHeight="false" outlineLevel="0" collapsed="false">
      <c r="M170" s="33" t="str">
        <f aca="false">IF($A170="","",HOUR($A170))</f>
        <v/>
      </c>
      <c r="N170" s="34" t="str">
        <f aca="false">IF($A170="","",$I170*$K170)</f>
        <v/>
      </c>
      <c r="O170" s="33" t="str">
        <f aca="false">IF(OR($A170="",$C170="U"),"",SUMIFS($I$3:$I$302,$E$3:$E$302,$E170,$C$3:$C$302,"&lt;&gt;U"))</f>
        <v/>
      </c>
      <c r="P170" s="33" t="str">
        <f aca="false">IF(OR($A170="",$C170="U"),"",SUMIFS($N$3:$N$302,$E$3:$E$302,$E170,$C$3:$C$302,"&lt;&gt;U"))</f>
        <v/>
      </c>
      <c r="Q170" s="33" t="str">
        <f aca="false">IF(OR($A170="",$C170="U"),"",IF(COUNTIFS($E$3:$E170,$E170,$C$3:$C170,"&lt;&gt;U")=1,1,0))</f>
        <v/>
      </c>
      <c r="R170" s="33" t="str">
        <f aca="false">IF($Q170=1,$O170-ROW()/100000,"")</f>
        <v/>
      </c>
    </row>
    <row r="171" customFormat="false" ht="15" hidden="false" customHeight="false" outlineLevel="0" collapsed="false">
      <c r="M171" s="33" t="str">
        <f aca="false">IF($A171="","",HOUR($A171))</f>
        <v/>
      </c>
      <c r="N171" s="34" t="str">
        <f aca="false">IF($A171="","",$I171*$K171)</f>
        <v/>
      </c>
      <c r="O171" s="33" t="str">
        <f aca="false">IF(OR($A171="",$C171="U"),"",SUMIFS($I$3:$I$302,$E$3:$E$302,$E171,$C$3:$C$302,"&lt;&gt;U"))</f>
        <v/>
      </c>
      <c r="P171" s="33" t="str">
        <f aca="false">IF(OR($A171="",$C171="U"),"",SUMIFS($N$3:$N$302,$E$3:$E$302,$E171,$C$3:$C$302,"&lt;&gt;U"))</f>
        <v/>
      </c>
      <c r="Q171" s="33" t="str">
        <f aca="false">IF(OR($A171="",$C171="U"),"",IF(COUNTIFS($E$3:$E171,$E171,$C$3:$C171,"&lt;&gt;U")=1,1,0))</f>
        <v/>
      </c>
      <c r="R171" s="33" t="str">
        <f aca="false">IF($Q171=1,$O171-ROW()/100000,"")</f>
        <v/>
      </c>
    </row>
    <row r="172" customFormat="false" ht="15" hidden="false" customHeight="false" outlineLevel="0" collapsed="false">
      <c r="M172" s="33" t="str">
        <f aca="false">IF($A172="","",HOUR($A172))</f>
        <v/>
      </c>
      <c r="N172" s="34" t="str">
        <f aca="false">IF($A172="","",$I172*$K172)</f>
        <v/>
      </c>
      <c r="O172" s="33" t="str">
        <f aca="false">IF(OR($A172="",$C172="U"),"",SUMIFS($I$3:$I$302,$E$3:$E$302,$E172,$C$3:$C$302,"&lt;&gt;U"))</f>
        <v/>
      </c>
      <c r="P172" s="33" t="str">
        <f aca="false">IF(OR($A172="",$C172="U"),"",SUMIFS($N$3:$N$302,$E$3:$E$302,$E172,$C$3:$C$302,"&lt;&gt;U"))</f>
        <v/>
      </c>
      <c r="Q172" s="33" t="str">
        <f aca="false">IF(OR($A172="",$C172="U"),"",IF(COUNTIFS($E$3:$E172,$E172,$C$3:$C172,"&lt;&gt;U")=1,1,0))</f>
        <v/>
      </c>
      <c r="R172" s="33" t="str">
        <f aca="false">IF($Q172=1,$O172-ROW()/100000,"")</f>
        <v/>
      </c>
    </row>
    <row r="173" customFormat="false" ht="15" hidden="false" customHeight="false" outlineLevel="0" collapsed="false">
      <c r="M173" s="33" t="str">
        <f aca="false">IF($A173="","",HOUR($A173))</f>
        <v/>
      </c>
      <c r="N173" s="34" t="str">
        <f aca="false">IF($A173="","",$I173*$K173)</f>
        <v/>
      </c>
      <c r="O173" s="33" t="str">
        <f aca="false">IF(OR($A173="",$C173="U"),"",SUMIFS($I$3:$I$302,$E$3:$E$302,$E173,$C$3:$C$302,"&lt;&gt;U"))</f>
        <v/>
      </c>
      <c r="P173" s="33" t="str">
        <f aca="false">IF(OR($A173="",$C173="U"),"",SUMIFS($N$3:$N$302,$E$3:$E$302,$E173,$C$3:$C$302,"&lt;&gt;U"))</f>
        <v/>
      </c>
      <c r="Q173" s="33" t="str">
        <f aca="false">IF(OR($A173="",$C173="U"),"",IF(COUNTIFS($E$3:$E173,$E173,$C$3:$C173,"&lt;&gt;U")=1,1,0))</f>
        <v/>
      </c>
      <c r="R173" s="33" t="str">
        <f aca="false">IF($Q173=1,$O173-ROW()/100000,"")</f>
        <v/>
      </c>
    </row>
    <row r="174" customFormat="false" ht="15" hidden="false" customHeight="false" outlineLevel="0" collapsed="false">
      <c r="M174" s="33" t="str">
        <f aca="false">IF($A174="","",HOUR($A174))</f>
        <v/>
      </c>
      <c r="N174" s="34" t="str">
        <f aca="false">IF($A174="","",$I174*$K174)</f>
        <v/>
      </c>
      <c r="O174" s="33" t="str">
        <f aca="false">IF(OR($A174="",$C174="U"),"",SUMIFS($I$3:$I$302,$E$3:$E$302,$E174,$C$3:$C$302,"&lt;&gt;U"))</f>
        <v/>
      </c>
      <c r="P174" s="33" t="str">
        <f aca="false">IF(OR($A174="",$C174="U"),"",SUMIFS($N$3:$N$302,$E$3:$E$302,$E174,$C$3:$C$302,"&lt;&gt;U"))</f>
        <v/>
      </c>
      <c r="Q174" s="33" t="str">
        <f aca="false">IF(OR($A174="",$C174="U"),"",IF(COUNTIFS($E$3:$E174,$E174,$C$3:$C174,"&lt;&gt;U")=1,1,0))</f>
        <v/>
      </c>
      <c r="R174" s="33" t="str">
        <f aca="false">IF($Q174=1,$O174-ROW()/100000,"")</f>
        <v/>
      </c>
    </row>
    <row r="175" customFormat="false" ht="15" hidden="false" customHeight="false" outlineLevel="0" collapsed="false">
      <c r="M175" s="33" t="str">
        <f aca="false">IF($A175="","",HOUR($A175))</f>
        <v/>
      </c>
      <c r="N175" s="34" t="str">
        <f aca="false">IF($A175="","",$I175*$K175)</f>
        <v/>
      </c>
      <c r="O175" s="33" t="str">
        <f aca="false">IF(OR($A175="",$C175="U"),"",SUMIFS($I$3:$I$302,$E$3:$E$302,$E175,$C$3:$C$302,"&lt;&gt;U"))</f>
        <v/>
      </c>
      <c r="P175" s="33" t="str">
        <f aca="false">IF(OR($A175="",$C175="U"),"",SUMIFS($N$3:$N$302,$E$3:$E$302,$E175,$C$3:$C$302,"&lt;&gt;U"))</f>
        <v/>
      </c>
      <c r="Q175" s="33" t="str">
        <f aca="false">IF(OR($A175="",$C175="U"),"",IF(COUNTIFS($E$3:$E175,$E175,$C$3:$C175,"&lt;&gt;U")=1,1,0))</f>
        <v/>
      </c>
      <c r="R175" s="33" t="str">
        <f aca="false">IF($Q175=1,$O175-ROW()/100000,"")</f>
        <v/>
      </c>
    </row>
    <row r="176" customFormat="false" ht="15" hidden="false" customHeight="false" outlineLevel="0" collapsed="false">
      <c r="M176" s="33" t="str">
        <f aca="false">IF($A176="","",HOUR($A176))</f>
        <v/>
      </c>
      <c r="N176" s="34" t="str">
        <f aca="false">IF($A176="","",$I176*$K176)</f>
        <v/>
      </c>
      <c r="O176" s="33" t="str">
        <f aca="false">IF(OR($A176="",$C176="U"),"",SUMIFS($I$3:$I$302,$E$3:$E$302,$E176,$C$3:$C$302,"&lt;&gt;U"))</f>
        <v/>
      </c>
      <c r="P176" s="33" t="str">
        <f aca="false">IF(OR($A176="",$C176="U"),"",SUMIFS($N$3:$N$302,$E$3:$E$302,$E176,$C$3:$C$302,"&lt;&gt;U"))</f>
        <v/>
      </c>
      <c r="Q176" s="33" t="str">
        <f aca="false">IF(OR($A176="",$C176="U"),"",IF(COUNTIFS($E$3:$E176,$E176,$C$3:$C176,"&lt;&gt;U")=1,1,0))</f>
        <v/>
      </c>
      <c r="R176" s="33" t="str">
        <f aca="false">IF($Q176=1,$O176-ROW()/100000,"")</f>
        <v/>
      </c>
    </row>
    <row r="177" customFormat="false" ht="15" hidden="false" customHeight="false" outlineLevel="0" collapsed="false">
      <c r="M177" s="33" t="str">
        <f aca="false">IF($A177="","",HOUR($A177))</f>
        <v/>
      </c>
      <c r="N177" s="34" t="str">
        <f aca="false">IF($A177="","",$I177*$K177)</f>
        <v/>
      </c>
      <c r="O177" s="33" t="str">
        <f aca="false">IF(OR($A177="",$C177="U"),"",SUMIFS($I$3:$I$302,$E$3:$E$302,$E177,$C$3:$C$302,"&lt;&gt;U"))</f>
        <v/>
      </c>
      <c r="P177" s="33" t="str">
        <f aca="false">IF(OR($A177="",$C177="U"),"",SUMIFS($N$3:$N$302,$E$3:$E$302,$E177,$C$3:$C$302,"&lt;&gt;U"))</f>
        <v/>
      </c>
      <c r="Q177" s="33" t="str">
        <f aca="false">IF(OR($A177="",$C177="U"),"",IF(COUNTIFS($E$3:$E177,$E177,$C$3:$C177,"&lt;&gt;U")=1,1,0))</f>
        <v/>
      </c>
      <c r="R177" s="33" t="str">
        <f aca="false">IF($Q177=1,$O177-ROW()/100000,"")</f>
        <v/>
      </c>
    </row>
    <row r="178" customFormat="false" ht="15" hidden="false" customHeight="false" outlineLevel="0" collapsed="false">
      <c r="M178" s="33" t="str">
        <f aca="false">IF($A178="","",HOUR($A178))</f>
        <v/>
      </c>
      <c r="N178" s="34" t="str">
        <f aca="false">IF($A178="","",$I178*$K178)</f>
        <v/>
      </c>
      <c r="O178" s="33" t="str">
        <f aca="false">IF(OR($A178="",$C178="U"),"",SUMIFS($I$3:$I$302,$E$3:$E$302,$E178,$C$3:$C$302,"&lt;&gt;U"))</f>
        <v/>
      </c>
      <c r="P178" s="33" t="str">
        <f aca="false">IF(OR($A178="",$C178="U"),"",SUMIFS($N$3:$N$302,$E$3:$E$302,$E178,$C$3:$C$302,"&lt;&gt;U"))</f>
        <v/>
      </c>
      <c r="Q178" s="33" t="str">
        <f aca="false">IF(OR($A178="",$C178="U"),"",IF(COUNTIFS($E$3:$E178,$E178,$C$3:$C178,"&lt;&gt;U")=1,1,0))</f>
        <v/>
      </c>
      <c r="R178" s="33" t="str">
        <f aca="false">IF($Q178=1,$O178-ROW()/100000,"")</f>
        <v/>
      </c>
    </row>
    <row r="179" customFormat="false" ht="15" hidden="false" customHeight="false" outlineLevel="0" collapsed="false">
      <c r="M179" s="33" t="str">
        <f aca="false">IF($A179="","",HOUR($A179))</f>
        <v/>
      </c>
      <c r="N179" s="34" t="str">
        <f aca="false">IF($A179="","",$I179*$K179)</f>
        <v/>
      </c>
      <c r="O179" s="33" t="str">
        <f aca="false">IF(OR($A179="",$C179="U"),"",SUMIFS($I$3:$I$302,$E$3:$E$302,$E179,$C$3:$C$302,"&lt;&gt;U"))</f>
        <v/>
      </c>
      <c r="P179" s="33" t="str">
        <f aca="false">IF(OR($A179="",$C179="U"),"",SUMIFS($N$3:$N$302,$E$3:$E$302,$E179,$C$3:$C$302,"&lt;&gt;U"))</f>
        <v/>
      </c>
      <c r="Q179" s="33" t="str">
        <f aca="false">IF(OR($A179="",$C179="U"),"",IF(COUNTIFS($E$3:$E179,$E179,$C$3:$C179,"&lt;&gt;U")=1,1,0))</f>
        <v/>
      </c>
      <c r="R179" s="33" t="str">
        <f aca="false">IF($Q179=1,$O179-ROW()/100000,"")</f>
        <v/>
      </c>
    </row>
    <row r="180" customFormat="false" ht="15" hidden="false" customHeight="false" outlineLevel="0" collapsed="false">
      <c r="M180" s="33" t="str">
        <f aca="false">IF($A180="","",HOUR($A180))</f>
        <v/>
      </c>
      <c r="N180" s="34" t="str">
        <f aca="false">IF($A180="","",$I180*$K180)</f>
        <v/>
      </c>
      <c r="O180" s="33" t="str">
        <f aca="false">IF(OR($A180="",$C180="U"),"",SUMIFS($I$3:$I$302,$E$3:$E$302,$E180,$C$3:$C$302,"&lt;&gt;U"))</f>
        <v/>
      </c>
      <c r="P180" s="33" t="str">
        <f aca="false">IF(OR($A180="",$C180="U"),"",SUMIFS($N$3:$N$302,$E$3:$E$302,$E180,$C$3:$C$302,"&lt;&gt;U"))</f>
        <v/>
      </c>
      <c r="Q180" s="33" t="str">
        <f aca="false">IF(OR($A180="",$C180="U"),"",IF(COUNTIFS($E$3:$E180,$E180,$C$3:$C180,"&lt;&gt;U")=1,1,0))</f>
        <v/>
      </c>
      <c r="R180" s="33" t="str">
        <f aca="false">IF($Q180=1,$O180-ROW()/100000,"")</f>
        <v/>
      </c>
    </row>
    <row r="181" customFormat="false" ht="15" hidden="false" customHeight="false" outlineLevel="0" collapsed="false">
      <c r="M181" s="33" t="str">
        <f aca="false">IF($A181="","",HOUR($A181))</f>
        <v/>
      </c>
      <c r="N181" s="34" t="str">
        <f aca="false">IF($A181="","",$I181*$K181)</f>
        <v/>
      </c>
      <c r="O181" s="33" t="str">
        <f aca="false">IF(OR($A181="",$C181="U"),"",SUMIFS($I$3:$I$302,$E$3:$E$302,$E181,$C$3:$C$302,"&lt;&gt;U"))</f>
        <v/>
      </c>
      <c r="P181" s="33" t="str">
        <f aca="false">IF(OR($A181="",$C181="U"),"",SUMIFS($N$3:$N$302,$E$3:$E$302,$E181,$C$3:$C$302,"&lt;&gt;U"))</f>
        <v/>
      </c>
      <c r="Q181" s="33" t="str">
        <f aca="false">IF(OR($A181="",$C181="U"),"",IF(COUNTIFS($E$3:$E181,$E181,$C$3:$C181,"&lt;&gt;U")=1,1,0))</f>
        <v/>
      </c>
      <c r="R181" s="33" t="str">
        <f aca="false">IF($Q181=1,$O181-ROW()/100000,"")</f>
        <v/>
      </c>
    </row>
    <row r="182" customFormat="false" ht="15" hidden="false" customHeight="false" outlineLevel="0" collapsed="false">
      <c r="M182" s="33" t="str">
        <f aca="false">IF($A182="","",HOUR($A182))</f>
        <v/>
      </c>
      <c r="N182" s="34" t="str">
        <f aca="false">IF($A182="","",$I182*$K182)</f>
        <v/>
      </c>
      <c r="O182" s="33" t="str">
        <f aca="false">IF(OR($A182="",$C182="U"),"",SUMIFS($I$3:$I$302,$E$3:$E$302,$E182,$C$3:$C$302,"&lt;&gt;U"))</f>
        <v/>
      </c>
      <c r="P182" s="33" t="str">
        <f aca="false">IF(OR($A182="",$C182="U"),"",SUMIFS($N$3:$N$302,$E$3:$E$302,$E182,$C$3:$C$302,"&lt;&gt;U"))</f>
        <v/>
      </c>
      <c r="Q182" s="33" t="str">
        <f aca="false">IF(OR($A182="",$C182="U"),"",IF(COUNTIFS($E$3:$E182,$E182,$C$3:$C182,"&lt;&gt;U")=1,1,0))</f>
        <v/>
      </c>
      <c r="R182" s="33" t="str">
        <f aca="false">IF($Q182=1,$O182-ROW()/100000,"")</f>
        <v/>
      </c>
    </row>
    <row r="183" customFormat="false" ht="15" hidden="false" customHeight="false" outlineLevel="0" collapsed="false">
      <c r="M183" s="33" t="str">
        <f aca="false">IF($A183="","",HOUR($A183))</f>
        <v/>
      </c>
      <c r="N183" s="34" t="str">
        <f aca="false">IF($A183="","",$I183*$K183)</f>
        <v/>
      </c>
      <c r="O183" s="33" t="str">
        <f aca="false">IF(OR($A183="",$C183="U"),"",SUMIFS($I$3:$I$302,$E$3:$E$302,$E183,$C$3:$C$302,"&lt;&gt;U"))</f>
        <v/>
      </c>
      <c r="P183" s="33" t="str">
        <f aca="false">IF(OR($A183="",$C183="U"),"",SUMIFS($N$3:$N$302,$E$3:$E$302,$E183,$C$3:$C$302,"&lt;&gt;U"))</f>
        <v/>
      </c>
      <c r="Q183" s="33" t="str">
        <f aca="false">IF(OR($A183="",$C183="U"),"",IF(COUNTIFS($E$3:$E183,$E183,$C$3:$C183,"&lt;&gt;U")=1,1,0))</f>
        <v/>
      </c>
      <c r="R183" s="33" t="str">
        <f aca="false">IF($Q183=1,$O183-ROW()/100000,"")</f>
        <v/>
      </c>
    </row>
    <row r="184" customFormat="false" ht="15" hidden="false" customHeight="false" outlineLevel="0" collapsed="false">
      <c r="M184" s="33" t="str">
        <f aca="false">IF($A184="","",HOUR($A184))</f>
        <v/>
      </c>
      <c r="N184" s="34" t="str">
        <f aca="false">IF($A184="","",$I184*$K184)</f>
        <v/>
      </c>
      <c r="O184" s="33" t="str">
        <f aca="false">IF(OR($A184="",$C184="U"),"",SUMIFS($I$3:$I$302,$E$3:$E$302,$E184,$C$3:$C$302,"&lt;&gt;U"))</f>
        <v/>
      </c>
      <c r="P184" s="33" t="str">
        <f aca="false">IF(OR($A184="",$C184="U"),"",SUMIFS($N$3:$N$302,$E$3:$E$302,$E184,$C$3:$C$302,"&lt;&gt;U"))</f>
        <v/>
      </c>
      <c r="Q184" s="33" t="str">
        <f aca="false">IF(OR($A184="",$C184="U"),"",IF(COUNTIFS($E$3:$E184,$E184,$C$3:$C184,"&lt;&gt;U")=1,1,0))</f>
        <v/>
      </c>
      <c r="R184" s="33" t="str">
        <f aca="false">IF($Q184=1,$O184-ROW()/100000,"")</f>
        <v/>
      </c>
    </row>
    <row r="185" customFormat="false" ht="15" hidden="false" customHeight="false" outlineLevel="0" collapsed="false">
      <c r="M185" s="33" t="str">
        <f aca="false">IF($A185="","",HOUR($A185))</f>
        <v/>
      </c>
      <c r="N185" s="34" t="str">
        <f aca="false">IF($A185="","",$I185*$K185)</f>
        <v/>
      </c>
      <c r="O185" s="33" t="str">
        <f aca="false">IF(OR($A185="",$C185="U"),"",SUMIFS($I$3:$I$302,$E$3:$E$302,$E185,$C$3:$C$302,"&lt;&gt;U"))</f>
        <v/>
      </c>
      <c r="P185" s="33" t="str">
        <f aca="false">IF(OR($A185="",$C185="U"),"",SUMIFS($N$3:$N$302,$E$3:$E$302,$E185,$C$3:$C$302,"&lt;&gt;U"))</f>
        <v/>
      </c>
      <c r="Q185" s="33" t="str">
        <f aca="false">IF(OR($A185="",$C185="U"),"",IF(COUNTIFS($E$3:$E185,$E185,$C$3:$C185,"&lt;&gt;U")=1,1,0))</f>
        <v/>
      </c>
      <c r="R185" s="33" t="str">
        <f aca="false">IF($Q185=1,$O185-ROW()/100000,"")</f>
        <v/>
      </c>
    </row>
    <row r="186" customFormat="false" ht="15" hidden="false" customHeight="false" outlineLevel="0" collapsed="false">
      <c r="M186" s="33" t="str">
        <f aca="false">IF($A186="","",HOUR($A186))</f>
        <v/>
      </c>
      <c r="N186" s="34" t="str">
        <f aca="false">IF($A186="","",$I186*$K186)</f>
        <v/>
      </c>
      <c r="O186" s="33" t="str">
        <f aca="false">IF(OR($A186="",$C186="U"),"",SUMIFS($I$3:$I$302,$E$3:$E$302,$E186,$C$3:$C$302,"&lt;&gt;U"))</f>
        <v/>
      </c>
      <c r="P186" s="33" t="str">
        <f aca="false">IF(OR($A186="",$C186="U"),"",SUMIFS($N$3:$N$302,$E$3:$E$302,$E186,$C$3:$C$302,"&lt;&gt;U"))</f>
        <v/>
      </c>
      <c r="Q186" s="33" t="str">
        <f aca="false">IF(OR($A186="",$C186="U"),"",IF(COUNTIFS($E$3:$E186,$E186,$C$3:$C186,"&lt;&gt;U")=1,1,0))</f>
        <v/>
      </c>
      <c r="R186" s="33" t="str">
        <f aca="false">IF($Q186=1,$O186-ROW()/100000,"")</f>
        <v/>
      </c>
    </row>
    <row r="187" customFormat="false" ht="15" hidden="false" customHeight="false" outlineLevel="0" collapsed="false">
      <c r="M187" s="33" t="str">
        <f aca="false">IF($A187="","",HOUR($A187))</f>
        <v/>
      </c>
      <c r="N187" s="34" t="str">
        <f aca="false">IF($A187="","",$I187*$K187)</f>
        <v/>
      </c>
      <c r="O187" s="33" t="str">
        <f aca="false">IF(OR($A187="",$C187="U"),"",SUMIFS($I$3:$I$302,$E$3:$E$302,$E187,$C$3:$C$302,"&lt;&gt;U"))</f>
        <v/>
      </c>
      <c r="P187" s="33" t="str">
        <f aca="false">IF(OR($A187="",$C187="U"),"",SUMIFS($N$3:$N$302,$E$3:$E$302,$E187,$C$3:$C$302,"&lt;&gt;U"))</f>
        <v/>
      </c>
      <c r="Q187" s="33" t="str">
        <f aca="false">IF(OR($A187="",$C187="U"),"",IF(COUNTIFS($E$3:$E187,$E187,$C$3:$C187,"&lt;&gt;U")=1,1,0))</f>
        <v/>
      </c>
      <c r="R187" s="33" t="str">
        <f aca="false">IF($Q187=1,$O187-ROW()/100000,"")</f>
        <v/>
      </c>
    </row>
    <row r="188" customFormat="false" ht="15" hidden="false" customHeight="false" outlineLevel="0" collapsed="false">
      <c r="M188" s="33" t="str">
        <f aca="false">IF($A188="","",HOUR($A188))</f>
        <v/>
      </c>
      <c r="N188" s="34" t="str">
        <f aca="false">IF($A188="","",$I188*$K188)</f>
        <v/>
      </c>
      <c r="O188" s="33" t="str">
        <f aca="false">IF(OR($A188="",$C188="U"),"",SUMIFS($I$3:$I$302,$E$3:$E$302,$E188,$C$3:$C$302,"&lt;&gt;U"))</f>
        <v/>
      </c>
      <c r="P188" s="33" t="str">
        <f aca="false">IF(OR($A188="",$C188="U"),"",SUMIFS($N$3:$N$302,$E$3:$E$302,$E188,$C$3:$C$302,"&lt;&gt;U"))</f>
        <v/>
      </c>
      <c r="Q188" s="33" t="str">
        <f aca="false">IF(OR($A188="",$C188="U"),"",IF(COUNTIFS($E$3:$E188,$E188,$C$3:$C188,"&lt;&gt;U")=1,1,0))</f>
        <v/>
      </c>
      <c r="R188" s="33" t="str">
        <f aca="false">IF($Q188=1,$O188-ROW()/100000,"")</f>
        <v/>
      </c>
    </row>
    <row r="189" customFormat="false" ht="15" hidden="false" customHeight="false" outlineLevel="0" collapsed="false">
      <c r="M189" s="33" t="str">
        <f aca="false">IF($A189="","",HOUR($A189))</f>
        <v/>
      </c>
      <c r="N189" s="34" t="str">
        <f aca="false">IF($A189="","",$I189*$K189)</f>
        <v/>
      </c>
      <c r="O189" s="33" t="str">
        <f aca="false">IF(OR($A189="",$C189="U"),"",SUMIFS($I$3:$I$302,$E$3:$E$302,$E189,$C$3:$C$302,"&lt;&gt;U"))</f>
        <v/>
      </c>
      <c r="P189" s="33" t="str">
        <f aca="false">IF(OR($A189="",$C189="U"),"",SUMIFS($N$3:$N$302,$E$3:$E$302,$E189,$C$3:$C$302,"&lt;&gt;U"))</f>
        <v/>
      </c>
      <c r="Q189" s="33" t="str">
        <f aca="false">IF(OR($A189="",$C189="U"),"",IF(COUNTIFS($E$3:$E189,$E189,$C$3:$C189,"&lt;&gt;U")=1,1,0))</f>
        <v/>
      </c>
      <c r="R189" s="33" t="str">
        <f aca="false">IF($Q189=1,$O189-ROW()/100000,"")</f>
        <v/>
      </c>
    </row>
    <row r="190" customFormat="false" ht="15" hidden="false" customHeight="false" outlineLevel="0" collapsed="false">
      <c r="M190" s="33" t="str">
        <f aca="false">IF($A190="","",HOUR($A190))</f>
        <v/>
      </c>
      <c r="N190" s="34" t="str">
        <f aca="false">IF($A190="","",$I190*$K190)</f>
        <v/>
      </c>
      <c r="O190" s="33" t="str">
        <f aca="false">IF(OR($A190="",$C190="U"),"",SUMIFS($I$3:$I$302,$E$3:$E$302,$E190,$C$3:$C$302,"&lt;&gt;U"))</f>
        <v/>
      </c>
      <c r="P190" s="33" t="str">
        <f aca="false">IF(OR($A190="",$C190="U"),"",SUMIFS($N$3:$N$302,$E$3:$E$302,$E190,$C$3:$C$302,"&lt;&gt;U"))</f>
        <v/>
      </c>
      <c r="Q190" s="33" t="str">
        <f aca="false">IF(OR($A190="",$C190="U"),"",IF(COUNTIFS($E$3:$E190,$E190,$C$3:$C190,"&lt;&gt;U")=1,1,0))</f>
        <v/>
      </c>
      <c r="R190" s="33" t="str">
        <f aca="false">IF($Q190=1,$O190-ROW()/100000,"")</f>
        <v/>
      </c>
    </row>
    <row r="191" customFormat="false" ht="15" hidden="false" customHeight="false" outlineLevel="0" collapsed="false">
      <c r="M191" s="33" t="str">
        <f aca="false">IF($A191="","",HOUR($A191))</f>
        <v/>
      </c>
      <c r="N191" s="34" t="str">
        <f aca="false">IF($A191="","",$I191*$K191)</f>
        <v/>
      </c>
      <c r="O191" s="33" t="str">
        <f aca="false">IF(OR($A191="",$C191="U"),"",SUMIFS($I$3:$I$302,$E$3:$E$302,$E191,$C$3:$C$302,"&lt;&gt;U"))</f>
        <v/>
      </c>
      <c r="P191" s="33" t="str">
        <f aca="false">IF(OR($A191="",$C191="U"),"",SUMIFS($N$3:$N$302,$E$3:$E$302,$E191,$C$3:$C$302,"&lt;&gt;U"))</f>
        <v/>
      </c>
      <c r="Q191" s="33" t="str">
        <f aca="false">IF(OR($A191="",$C191="U"),"",IF(COUNTIFS($E$3:$E191,$E191,$C$3:$C191,"&lt;&gt;U")=1,1,0))</f>
        <v/>
      </c>
      <c r="R191" s="33" t="str">
        <f aca="false">IF($Q191=1,$O191-ROW()/100000,"")</f>
        <v/>
      </c>
    </row>
    <row r="192" customFormat="false" ht="15" hidden="false" customHeight="false" outlineLevel="0" collapsed="false">
      <c r="M192" s="33" t="str">
        <f aca="false">IF($A192="","",HOUR($A192))</f>
        <v/>
      </c>
      <c r="N192" s="34" t="str">
        <f aca="false">IF($A192="","",$I192*$K192)</f>
        <v/>
      </c>
      <c r="O192" s="33" t="str">
        <f aca="false">IF(OR($A192="",$C192="U"),"",SUMIFS($I$3:$I$302,$E$3:$E$302,$E192,$C$3:$C$302,"&lt;&gt;U"))</f>
        <v/>
      </c>
      <c r="P192" s="33" t="str">
        <f aca="false">IF(OR($A192="",$C192="U"),"",SUMIFS($N$3:$N$302,$E$3:$E$302,$E192,$C$3:$C$302,"&lt;&gt;U"))</f>
        <v/>
      </c>
      <c r="Q192" s="33" t="str">
        <f aca="false">IF(OR($A192="",$C192="U"),"",IF(COUNTIFS($E$3:$E192,$E192,$C$3:$C192,"&lt;&gt;U")=1,1,0))</f>
        <v/>
      </c>
      <c r="R192" s="33" t="str">
        <f aca="false">IF($Q192=1,$O192-ROW()/100000,"")</f>
        <v/>
      </c>
    </row>
    <row r="193" customFormat="false" ht="15" hidden="false" customHeight="false" outlineLevel="0" collapsed="false">
      <c r="M193" s="33" t="str">
        <f aca="false">IF($A193="","",HOUR($A193))</f>
        <v/>
      </c>
      <c r="N193" s="34" t="str">
        <f aca="false">IF($A193="","",$I193*$K193)</f>
        <v/>
      </c>
      <c r="O193" s="33" t="str">
        <f aca="false">IF(OR($A193="",$C193="U"),"",SUMIFS($I$3:$I$302,$E$3:$E$302,$E193,$C$3:$C$302,"&lt;&gt;U"))</f>
        <v/>
      </c>
      <c r="P193" s="33" t="str">
        <f aca="false">IF(OR($A193="",$C193="U"),"",SUMIFS($N$3:$N$302,$E$3:$E$302,$E193,$C$3:$C$302,"&lt;&gt;U"))</f>
        <v/>
      </c>
      <c r="Q193" s="33" t="str">
        <f aca="false">IF(OR($A193="",$C193="U"),"",IF(COUNTIFS($E$3:$E193,$E193,$C$3:$C193,"&lt;&gt;U")=1,1,0))</f>
        <v/>
      </c>
      <c r="R193" s="33" t="str">
        <f aca="false">IF($Q193=1,$O193-ROW()/100000,"")</f>
        <v/>
      </c>
    </row>
    <row r="194" customFormat="false" ht="15" hidden="false" customHeight="false" outlineLevel="0" collapsed="false">
      <c r="M194" s="33" t="str">
        <f aca="false">IF($A194="","",HOUR($A194))</f>
        <v/>
      </c>
      <c r="N194" s="34" t="str">
        <f aca="false">IF($A194="","",$I194*$K194)</f>
        <v/>
      </c>
      <c r="O194" s="33" t="str">
        <f aca="false">IF(OR($A194="",$C194="U"),"",SUMIFS($I$3:$I$302,$E$3:$E$302,$E194,$C$3:$C$302,"&lt;&gt;U"))</f>
        <v/>
      </c>
      <c r="P194" s="33" t="str">
        <f aca="false">IF(OR($A194="",$C194="U"),"",SUMIFS($N$3:$N$302,$E$3:$E$302,$E194,$C$3:$C$302,"&lt;&gt;U"))</f>
        <v/>
      </c>
      <c r="Q194" s="33" t="str">
        <f aca="false">IF(OR($A194="",$C194="U"),"",IF(COUNTIFS($E$3:$E194,$E194,$C$3:$C194,"&lt;&gt;U")=1,1,0))</f>
        <v/>
      </c>
      <c r="R194" s="33" t="str">
        <f aca="false">IF($Q194=1,$O194-ROW()/100000,"")</f>
        <v/>
      </c>
    </row>
    <row r="195" customFormat="false" ht="15" hidden="false" customHeight="false" outlineLevel="0" collapsed="false">
      <c r="M195" s="33" t="str">
        <f aca="false">IF($A195="","",HOUR($A195))</f>
        <v/>
      </c>
      <c r="N195" s="34" t="str">
        <f aca="false">IF($A195="","",$I195*$K195)</f>
        <v/>
      </c>
      <c r="O195" s="33" t="str">
        <f aca="false">IF(OR($A195="",$C195="U"),"",SUMIFS($I$3:$I$302,$E$3:$E$302,$E195,$C$3:$C$302,"&lt;&gt;U"))</f>
        <v/>
      </c>
      <c r="P195" s="33" t="str">
        <f aca="false">IF(OR($A195="",$C195="U"),"",SUMIFS($N$3:$N$302,$E$3:$E$302,$E195,$C$3:$C$302,"&lt;&gt;U"))</f>
        <v/>
      </c>
      <c r="Q195" s="33" t="str">
        <f aca="false">IF(OR($A195="",$C195="U"),"",IF(COUNTIFS($E$3:$E195,$E195,$C$3:$C195,"&lt;&gt;U")=1,1,0))</f>
        <v/>
      </c>
      <c r="R195" s="33" t="str">
        <f aca="false">IF($Q195=1,$O195-ROW()/100000,"")</f>
        <v/>
      </c>
    </row>
    <row r="196" customFormat="false" ht="15" hidden="false" customHeight="false" outlineLevel="0" collapsed="false">
      <c r="M196" s="33" t="str">
        <f aca="false">IF($A196="","",HOUR($A196))</f>
        <v/>
      </c>
      <c r="N196" s="34" t="str">
        <f aca="false">IF($A196="","",$I196*$K196)</f>
        <v/>
      </c>
      <c r="O196" s="33" t="str">
        <f aca="false">IF(OR($A196="",$C196="U"),"",SUMIFS($I$3:$I$302,$E$3:$E$302,$E196,$C$3:$C$302,"&lt;&gt;U"))</f>
        <v/>
      </c>
      <c r="P196" s="33" t="str">
        <f aca="false">IF(OR($A196="",$C196="U"),"",SUMIFS($N$3:$N$302,$E$3:$E$302,$E196,$C$3:$C$302,"&lt;&gt;U"))</f>
        <v/>
      </c>
      <c r="Q196" s="33" t="str">
        <f aca="false">IF(OR($A196="",$C196="U"),"",IF(COUNTIFS($E$3:$E196,$E196,$C$3:$C196,"&lt;&gt;U")=1,1,0))</f>
        <v/>
      </c>
      <c r="R196" s="33" t="str">
        <f aca="false">IF($Q196=1,$O196-ROW()/100000,"")</f>
        <v/>
      </c>
    </row>
    <row r="197" customFormat="false" ht="15" hidden="false" customHeight="false" outlineLevel="0" collapsed="false">
      <c r="M197" s="33" t="str">
        <f aca="false">IF($A197="","",HOUR($A197))</f>
        <v/>
      </c>
      <c r="N197" s="34" t="str">
        <f aca="false">IF($A197="","",$I197*$K197)</f>
        <v/>
      </c>
      <c r="O197" s="33" t="str">
        <f aca="false">IF(OR($A197="",$C197="U"),"",SUMIFS($I$3:$I$302,$E$3:$E$302,$E197,$C$3:$C$302,"&lt;&gt;U"))</f>
        <v/>
      </c>
      <c r="P197" s="33" t="str">
        <f aca="false">IF(OR($A197="",$C197="U"),"",SUMIFS($N$3:$N$302,$E$3:$E$302,$E197,$C$3:$C$302,"&lt;&gt;U"))</f>
        <v/>
      </c>
      <c r="Q197" s="33" t="str">
        <f aca="false">IF(OR($A197="",$C197="U"),"",IF(COUNTIFS($E$3:$E197,$E197,$C$3:$C197,"&lt;&gt;U")=1,1,0))</f>
        <v/>
      </c>
      <c r="R197" s="33" t="str">
        <f aca="false">IF($Q197=1,$O197-ROW()/100000,"")</f>
        <v/>
      </c>
    </row>
    <row r="198" customFormat="false" ht="15" hidden="false" customHeight="false" outlineLevel="0" collapsed="false">
      <c r="M198" s="33" t="str">
        <f aca="false">IF($A198="","",HOUR($A198))</f>
        <v/>
      </c>
      <c r="N198" s="34" t="str">
        <f aca="false">IF($A198="","",$I198*$K198)</f>
        <v/>
      </c>
      <c r="O198" s="33" t="str">
        <f aca="false">IF(OR($A198="",$C198="U"),"",SUMIFS($I$3:$I$302,$E$3:$E$302,$E198,$C$3:$C$302,"&lt;&gt;U"))</f>
        <v/>
      </c>
      <c r="P198" s="33" t="str">
        <f aca="false">IF(OR($A198="",$C198="U"),"",SUMIFS($N$3:$N$302,$E$3:$E$302,$E198,$C$3:$C$302,"&lt;&gt;U"))</f>
        <v/>
      </c>
      <c r="Q198" s="33" t="str">
        <f aca="false">IF(OR($A198="",$C198="U"),"",IF(COUNTIFS($E$3:$E198,$E198,$C$3:$C198,"&lt;&gt;U")=1,1,0))</f>
        <v/>
      </c>
      <c r="R198" s="33" t="str">
        <f aca="false">IF($Q198=1,$O198-ROW()/100000,"")</f>
        <v/>
      </c>
    </row>
    <row r="199" customFormat="false" ht="15" hidden="false" customHeight="false" outlineLevel="0" collapsed="false">
      <c r="M199" s="33" t="str">
        <f aca="false">IF($A199="","",HOUR($A199))</f>
        <v/>
      </c>
      <c r="N199" s="34" t="str">
        <f aca="false">IF($A199="","",$I199*$K199)</f>
        <v/>
      </c>
      <c r="O199" s="33" t="str">
        <f aca="false">IF(OR($A199="",$C199="U"),"",SUMIFS($I$3:$I$302,$E$3:$E$302,$E199,$C$3:$C$302,"&lt;&gt;U"))</f>
        <v/>
      </c>
      <c r="P199" s="33" t="str">
        <f aca="false">IF(OR($A199="",$C199="U"),"",SUMIFS($N$3:$N$302,$E$3:$E$302,$E199,$C$3:$C$302,"&lt;&gt;U"))</f>
        <v/>
      </c>
      <c r="Q199" s="33" t="str">
        <f aca="false">IF(OR($A199="",$C199="U"),"",IF(COUNTIFS($E$3:$E199,$E199,$C$3:$C199,"&lt;&gt;U")=1,1,0))</f>
        <v/>
      </c>
      <c r="R199" s="33" t="str">
        <f aca="false">IF($Q199=1,$O199-ROW()/100000,"")</f>
        <v/>
      </c>
    </row>
    <row r="200" customFormat="false" ht="15" hidden="false" customHeight="false" outlineLevel="0" collapsed="false">
      <c r="M200" s="33" t="str">
        <f aca="false">IF($A200="","",HOUR($A200))</f>
        <v/>
      </c>
      <c r="N200" s="34" t="str">
        <f aca="false">IF($A200="","",$I200*$K200)</f>
        <v/>
      </c>
      <c r="O200" s="33" t="str">
        <f aca="false">IF(OR($A200="",$C200="U"),"",SUMIFS($I$3:$I$302,$E$3:$E$302,$E200,$C$3:$C$302,"&lt;&gt;U"))</f>
        <v/>
      </c>
      <c r="P200" s="33" t="str">
        <f aca="false">IF(OR($A200="",$C200="U"),"",SUMIFS($N$3:$N$302,$E$3:$E$302,$E200,$C$3:$C$302,"&lt;&gt;U"))</f>
        <v/>
      </c>
      <c r="Q200" s="33" t="str">
        <f aca="false">IF(OR($A200="",$C200="U"),"",IF(COUNTIFS($E$3:$E200,$E200,$C$3:$C200,"&lt;&gt;U")=1,1,0))</f>
        <v/>
      </c>
      <c r="R200" s="33" t="str">
        <f aca="false">IF($Q200=1,$O200-ROW()/100000,"")</f>
        <v/>
      </c>
    </row>
    <row r="201" customFormat="false" ht="15" hidden="false" customHeight="false" outlineLevel="0" collapsed="false">
      <c r="M201" s="33" t="str">
        <f aca="false">IF($A201="","",HOUR($A201))</f>
        <v/>
      </c>
      <c r="N201" s="34" t="str">
        <f aca="false">IF($A201="","",$I201*$K201)</f>
        <v/>
      </c>
      <c r="O201" s="33" t="str">
        <f aca="false">IF(OR($A201="",$C201="U"),"",SUMIFS($I$3:$I$302,$E$3:$E$302,$E201,$C$3:$C$302,"&lt;&gt;U"))</f>
        <v/>
      </c>
      <c r="P201" s="33" t="str">
        <f aca="false">IF(OR($A201="",$C201="U"),"",SUMIFS($N$3:$N$302,$E$3:$E$302,$E201,$C$3:$C$302,"&lt;&gt;U"))</f>
        <v/>
      </c>
      <c r="Q201" s="33" t="str">
        <f aca="false">IF(OR($A201="",$C201="U"),"",IF(COUNTIFS($E$3:$E201,$E201,$C$3:$C201,"&lt;&gt;U")=1,1,0))</f>
        <v/>
      </c>
      <c r="R201" s="33" t="str">
        <f aca="false">IF($Q201=1,$O201-ROW()/100000,"")</f>
        <v/>
      </c>
    </row>
    <row r="202" customFormat="false" ht="15" hidden="false" customHeight="false" outlineLevel="0" collapsed="false">
      <c r="M202" s="33" t="str">
        <f aca="false">IF($A202="","",HOUR($A202))</f>
        <v/>
      </c>
      <c r="N202" s="34" t="str">
        <f aca="false">IF($A202="","",$I202*$K202)</f>
        <v/>
      </c>
      <c r="O202" s="33" t="str">
        <f aca="false">IF(OR($A202="",$C202="U"),"",SUMIFS($I$3:$I$302,$E$3:$E$302,$E202,$C$3:$C$302,"&lt;&gt;U"))</f>
        <v/>
      </c>
      <c r="P202" s="33" t="str">
        <f aca="false">IF(OR($A202="",$C202="U"),"",SUMIFS($N$3:$N$302,$E$3:$E$302,$E202,$C$3:$C$302,"&lt;&gt;U"))</f>
        <v/>
      </c>
      <c r="Q202" s="33" t="str">
        <f aca="false">IF(OR($A202="",$C202="U"),"",IF(COUNTIFS($E$3:$E202,$E202,$C$3:$C202,"&lt;&gt;U")=1,1,0))</f>
        <v/>
      </c>
      <c r="R202" s="33" t="str">
        <f aca="false">IF($Q202=1,$O202-ROW()/100000,"")</f>
        <v/>
      </c>
    </row>
    <row r="203" customFormat="false" ht="15" hidden="false" customHeight="false" outlineLevel="0" collapsed="false">
      <c r="M203" s="33" t="str">
        <f aca="false">IF($A203="","",HOUR($A203))</f>
        <v/>
      </c>
      <c r="N203" s="34" t="str">
        <f aca="false">IF($A203="","",$I203*$K203)</f>
        <v/>
      </c>
      <c r="O203" s="33" t="str">
        <f aca="false">IF(OR($A203="",$C203="U"),"",SUMIFS($I$3:$I$302,$E$3:$E$302,$E203,$C$3:$C$302,"&lt;&gt;U"))</f>
        <v/>
      </c>
      <c r="P203" s="33" t="str">
        <f aca="false">IF(OR($A203="",$C203="U"),"",SUMIFS($N$3:$N$302,$E$3:$E$302,$E203,$C$3:$C$302,"&lt;&gt;U"))</f>
        <v/>
      </c>
      <c r="Q203" s="33" t="str">
        <f aca="false">IF(OR($A203="",$C203="U"),"",IF(COUNTIFS($E$3:$E203,$E203,$C$3:$C203,"&lt;&gt;U")=1,1,0))</f>
        <v/>
      </c>
      <c r="R203" s="33" t="str">
        <f aca="false">IF($Q203=1,$O203-ROW()/100000,"")</f>
        <v/>
      </c>
    </row>
    <row r="204" customFormat="false" ht="15" hidden="false" customHeight="false" outlineLevel="0" collapsed="false">
      <c r="M204" s="33" t="str">
        <f aca="false">IF($A204="","",HOUR($A204))</f>
        <v/>
      </c>
      <c r="N204" s="34" t="str">
        <f aca="false">IF($A204="","",$I204*$K204)</f>
        <v/>
      </c>
      <c r="O204" s="33" t="str">
        <f aca="false">IF(OR($A204="",$C204="U"),"",SUMIFS($I$3:$I$302,$E$3:$E$302,$E204,$C$3:$C$302,"&lt;&gt;U"))</f>
        <v/>
      </c>
      <c r="P204" s="33" t="str">
        <f aca="false">IF(OR($A204="",$C204="U"),"",SUMIFS($N$3:$N$302,$E$3:$E$302,$E204,$C$3:$C$302,"&lt;&gt;U"))</f>
        <v/>
      </c>
      <c r="Q204" s="33" t="str">
        <f aca="false">IF(OR($A204="",$C204="U"),"",IF(COUNTIFS($E$3:$E204,$E204,$C$3:$C204,"&lt;&gt;U")=1,1,0))</f>
        <v/>
      </c>
      <c r="R204" s="33" t="str">
        <f aca="false">IF($Q204=1,$O204-ROW()/100000,"")</f>
        <v/>
      </c>
    </row>
    <row r="205" customFormat="false" ht="15" hidden="false" customHeight="false" outlineLevel="0" collapsed="false">
      <c r="M205" s="33" t="str">
        <f aca="false">IF($A205="","",HOUR($A205))</f>
        <v/>
      </c>
      <c r="N205" s="34" t="str">
        <f aca="false">IF($A205="","",$I205*$K205)</f>
        <v/>
      </c>
      <c r="O205" s="33" t="str">
        <f aca="false">IF(OR($A205="",$C205="U"),"",SUMIFS($I$3:$I$302,$E$3:$E$302,$E205,$C$3:$C$302,"&lt;&gt;U"))</f>
        <v/>
      </c>
      <c r="P205" s="33" t="str">
        <f aca="false">IF(OR($A205="",$C205="U"),"",SUMIFS($N$3:$N$302,$E$3:$E$302,$E205,$C$3:$C$302,"&lt;&gt;U"))</f>
        <v/>
      </c>
      <c r="Q205" s="33" t="str">
        <f aca="false">IF(OR($A205="",$C205="U"),"",IF(COUNTIFS($E$3:$E205,$E205,$C$3:$C205,"&lt;&gt;U")=1,1,0))</f>
        <v/>
      </c>
      <c r="R205" s="33" t="str">
        <f aca="false">IF($Q205=1,$O205-ROW()/100000,"")</f>
        <v/>
      </c>
    </row>
    <row r="206" customFormat="false" ht="15" hidden="false" customHeight="false" outlineLevel="0" collapsed="false">
      <c r="M206" s="33" t="str">
        <f aca="false">IF($A206="","",HOUR($A206))</f>
        <v/>
      </c>
      <c r="N206" s="34" t="str">
        <f aca="false">IF($A206="","",$I206*$K206)</f>
        <v/>
      </c>
      <c r="O206" s="33" t="str">
        <f aca="false">IF(OR($A206="",$C206="U"),"",SUMIFS($I$3:$I$302,$E$3:$E$302,$E206,$C$3:$C$302,"&lt;&gt;U"))</f>
        <v/>
      </c>
      <c r="P206" s="33" t="str">
        <f aca="false">IF(OR($A206="",$C206="U"),"",SUMIFS($N$3:$N$302,$E$3:$E$302,$E206,$C$3:$C$302,"&lt;&gt;U"))</f>
        <v/>
      </c>
      <c r="Q206" s="33" t="str">
        <f aca="false">IF(OR($A206="",$C206="U"),"",IF(COUNTIFS($E$3:$E206,$E206,$C$3:$C206,"&lt;&gt;U")=1,1,0))</f>
        <v/>
      </c>
      <c r="R206" s="33" t="str">
        <f aca="false">IF($Q206=1,$O206-ROW()/100000,"")</f>
        <v/>
      </c>
    </row>
    <row r="207" customFormat="false" ht="15" hidden="false" customHeight="false" outlineLevel="0" collapsed="false">
      <c r="M207" s="33" t="str">
        <f aca="false">IF($A207="","",HOUR($A207))</f>
        <v/>
      </c>
      <c r="N207" s="34" t="str">
        <f aca="false">IF($A207="","",$I207*$K207)</f>
        <v/>
      </c>
      <c r="O207" s="33" t="str">
        <f aca="false">IF(OR($A207="",$C207="U"),"",SUMIFS($I$3:$I$302,$E$3:$E$302,$E207,$C$3:$C$302,"&lt;&gt;U"))</f>
        <v/>
      </c>
      <c r="P207" s="33" t="str">
        <f aca="false">IF(OR($A207="",$C207="U"),"",SUMIFS($N$3:$N$302,$E$3:$E$302,$E207,$C$3:$C$302,"&lt;&gt;U"))</f>
        <v/>
      </c>
      <c r="Q207" s="33" t="str">
        <f aca="false">IF(OR($A207="",$C207="U"),"",IF(COUNTIFS($E$3:$E207,$E207,$C$3:$C207,"&lt;&gt;U")=1,1,0))</f>
        <v/>
      </c>
      <c r="R207" s="33" t="str">
        <f aca="false">IF($Q207=1,$O207-ROW()/100000,"")</f>
        <v/>
      </c>
    </row>
    <row r="208" customFormat="false" ht="15" hidden="false" customHeight="false" outlineLevel="0" collapsed="false">
      <c r="M208" s="33" t="str">
        <f aca="false">IF($A208="","",HOUR($A208))</f>
        <v/>
      </c>
      <c r="N208" s="34" t="str">
        <f aca="false">IF($A208="","",$I208*$K208)</f>
        <v/>
      </c>
      <c r="O208" s="33" t="str">
        <f aca="false">IF(OR($A208="",$C208="U"),"",SUMIFS($I$3:$I$302,$E$3:$E$302,$E208,$C$3:$C$302,"&lt;&gt;U"))</f>
        <v/>
      </c>
      <c r="P208" s="33" t="str">
        <f aca="false">IF(OR($A208="",$C208="U"),"",SUMIFS($N$3:$N$302,$E$3:$E$302,$E208,$C$3:$C$302,"&lt;&gt;U"))</f>
        <v/>
      </c>
      <c r="Q208" s="33" t="str">
        <f aca="false">IF(OR($A208="",$C208="U"),"",IF(COUNTIFS($E$3:$E208,$E208,$C$3:$C208,"&lt;&gt;U")=1,1,0))</f>
        <v/>
      </c>
      <c r="R208" s="33" t="str">
        <f aca="false">IF($Q208=1,$O208-ROW()/100000,"")</f>
        <v/>
      </c>
    </row>
    <row r="209" customFormat="false" ht="15" hidden="false" customHeight="false" outlineLevel="0" collapsed="false">
      <c r="M209" s="33" t="str">
        <f aca="false">IF($A209="","",HOUR($A209))</f>
        <v/>
      </c>
      <c r="N209" s="34" t="str">
        <f aca="false">IF($A209="","",$I209*$K209)</f>
        <v/>
      </c>
      <c r="O209" s="33" t="str">
        <f aca="false">IF(OR($A209="",$C209="U"),"",SUMIFS($I$3:$I$302,$E$3:$E$302,$E209,$C$3:$C$302,"&lt;&gt;U"))</f>
        <v/>
      </c>
      <c r="P209" s="33" t="str">
        <f aca="false">IF(OR($A209="",$C209="U"),"",SUMIFS($N$3:$N$302,$E$3:$E$302,$E209,$C$3:$C$302,"&lt;&gt;U"))</f>
        <v/>
      </c>
      <c r="Q209" s="33" t="str">
        <f aca="false">IF(OR($A209="",$C209="U"),"",IF(COUNTIFS($E$3:$E209,$E209,$C$3:$C209,"&lt;&gt;U")=1,1,0))</f>
        <v/>
      </c>
      <c r="R209" s="33" t="str">
        <f aca="false">IF($Q209=1,$O209-ROW()/100000,"")</f>
        <v/>
      </c>
    </row>
    <row r="210" customFormat="false" ht="15" hidden="false" customHeight="false" outlineLevel="0" collapsed="false">
      <c r="M210" s="33" t="str">
        <f aca="false">IF($A210="","",HOUR($A210))</f>
        <v/>
      </c>
      <c r="N210" s="34" t="str">
        <f aca="false">IF($A210="","",$I210*$K210)</f>
        <v/>
      </c>
      <c r="O210" s="33" t="str">
        <f aca="false">IF(OR($A210="",$C210="U"),"",SUMIFS($I$3:$I$302,$E$3:$E$302,$E210,$C$3:$C$302,"&lt;&gt;U"))</f>
        <v/>
      </c>
      <c r="P210" s="33" t="str">
        <f aca="false">IF(OR($A210="",$C210="U"),"",SUMIFS($N$3:$N$302,$E$3:$E$302,$E210,$C$3:$C$302,"&lt;&gt;U"))</f>
        <v/>
      </c>
      <c r="Q210" s="33" t="str">
        <f aca="false">IF(OR($A210="",$C210="U"),"",IF(COUNTIFS($E$3:$E210,$E210,$C$3:$C210,"&lt;&gt;U")=1,1,0))</f>
        <v/>
      </c>
      <c r="R210" s="33" t="str">
        <f aca="false">IF($Q210=1,$O210-ROW()/100000,"")</f>
        <v/>
      </c>
    </row>
    <row r="211" customFormat="false" ht="15" hidden="false" customHeight="false" outlineLevel="0" collapsed="false">
      <c r="M211" s="33" t="str">
        <f aca="false">IF($A211="","",HOUR($A211))</f>
        <v/>
      </c>
      <c r="N211" s="34" t="str">
        <f aca="false">IF($A211="","",$I211*$K211)</f>
        <v/>
      </c>
      <c r="O211" s="33" t="str">
        <f aca="false">IF(OR($A211="",$C211="U"),"",SUMIFS($I$3:$I$302,$E$3:$E$302,$E211,$C$3:$C$302,"&lt;&gt;U"))</f>
        <v/>
      </c>
      <c r="P211" s="33" t="str">
        <f aca="false">IF(OR($A211="",$C211="U"),"",SUMIFS($N$3:$N$302,$E$3:$E$302,$E211,$C$3:$C$302,"&lt;&gt;U"))</f>
        <v/>
      </c>
      <c r="Q211" s="33" t="str">
        <f aca="false">IF(OR($A211="",$C211="U"),"",IF(COUNTIFS($E$3:$E211,$E211,$C$3:$C211,"&lt;&gt;U")=1,1,0))</f>
        <v/>
      </c>
      <c r="R211" s="33" t="str">
        <f aca="false">IF($Q211=1,$O211-ROW()/100000,"")</f>
        <v/>
      </c>
    </row>
    <row r="212" customFormat="false" ht="15" hidden="false" customHeight="false" outlineLevel="0" collapsed="false">
      <c r="M212" s="33" t="str">
        <f aca="false">IF($A212="","",HOUR($A212))</f>
        <v/>
      </c>
      <c r="N212" s="34" t="str">
        <f aca="false">IF($A212="","",$I212*$K212)</f>
        <v/>
      </c>
      <c r="O212" s="33" t="str">
        <f aca="false">IF(OR($A212="",$C212="U"),"",SUMIFS($I$3:$I$302,$E$3:$E$302,$E212,$C$3:$C$302,"&lt;&gt;U"))</f>
        <v/>
      </c>
      <c r="P212" s="33" t="str">
        <f aca="false">IF(OR($A212="",$C212="U"),"",SUMIFS($N$3:$N$302,$E$3:$E$302,$E212,$C$3:$C$302,"&lt;&gt;U"))</f>
        <v/>
      </c>
      <c r="Q212" s="33" t="str">
        <f aca="false">IF(OR($A212="",$C212="U"),"",IF(COUNTIFS($E$3:$E212,$E212,$C$3:$C212,"&lt;&gt;U")=1,1,0))</f>
        <v/>
      </c>
      <c r="R212" s="33" t="str">
        <f aca="false">IF($Q212=1,$O212-ROW()/100000,"")</f>
        <v/>
      </c>
    </row>
    <row r="213" customFormat="false" ht="15" hidden="false" customHeight="false" outlineLevel="0" collapsed="false">
      <c r="M213" s="33" t="str">
        <f aca="false">IF($A213="","",HOUR($A213))</f>
        <v/>
      </c>
      <c r="N213" s="34" t="str">
        <f aca="false">IF($A213="","",$I213*$K213)</f>
        <v/>
      </c>
      <c r="O213" s="33" t="str">
        <f aca="false">IF(OR($A213="",$C213="U"),"",SUMIFS($I$3:$I$302,$E$3:$E$302,$E213,$C$3:$C$302,"&lt;&gt;U"))</f>
        <v/>
      </c>
      <c r="P213" s="33" t="str">
        <f aca="false">IF(OR($A213="",$C213="U"),"",SUMIFS($N$3:$N$302,$E$3:$E$302,$E213,$C$3:$C$302,"&lt;&gt;U"))</f>
        <v/>
      </c>
      <c r="Q213" s="33" t="str">
        <f aca="false">IF(OR($A213="",$C213="U"),"",IF(COUNTIFS($E$3:$E213,$E213,$C$3:$C213,"&lt;&gt;U")=1,1,0))</f>
        <v/>
      </c>
      <c r="R213" s="33" t="str">
        <f aca="false">IF($Q213=1,$O213-ROW()/100000,"")</f>
        <v/>
      </c>
    </row>
    <row r="214" customFormat="false" ht="15" hidden="false" customHeight="false" outlineLevel="0" collapsed="false">
      <c r="M214" s="33" t="str">
        <f aca="false">IF($A214="","",HOUR($A214))</f>
        <v/>
      </c>
      <c r="N214" s="34" t="str">
        <f aca="false">IF($A214="","",$I214*$K214)</f>
        <v/>
      </c>
      <c r="O214" s="33" t="str">
        <f aca="false">IF(OR($A214="",$C214="U"),"",SUMIFS($I$3:$I$302,$E$3:$E$302,$E214,$C$3:$C$302,"&lt;&gt;U"))</f>
        <v/>
      </c>
      <c r="P214" s="33" t="str">
        <f aca="false">IF(OR($A214="",$C214="U"),"",SUMIFS($N$3:$N$302,$E$3:$E$302,$E214,$C$3:$C$302,"&lt;&gt;U"))</f>
        <v/>
      </c>
      <c r="Q214" s="33" t="str">
        <f aca="false">IF(OR($A214="",$C214="U"),"",IF(COUNTIFS($E$3:$E214,$E214,$C$3:$C214,"&lt;&gt;U")=1,1,0))</f>
        <v/>
      </c>
      <c r="R214" s="33" t="str">
        <f aca="false">IF($Q214=1,$O214-ROW()/100000,"")</f>
        <v/>
      </c>
    </row>
    <row r="215" customFormat="false" ht="15" hidden="false" customHeight="false" outlineLevel="0" collapsed="false">
      <c r="M215" s="33" t="str">
        <f aca="false">IF($A215="","",HOUR($A215))</f>
        <v/>
      </c>
      <c r="N215" s="34" t="str">
        <f aca="false">IF($A215="","",$I215*$K215)</f>
        <v/>
      </c>
      <c r="O215" s="33" t="str">
        <f aca="false">IF(OR($A215="",$C215="U"),"",SUMIFS($I$3:$I$302,$E$3:$E$302,$E215,$C$3:$C$302,"&lt;&gt;U"))</f>
        <v/>
      </c>
      <c r="P215" s="33" t="str">
        <f aca="false">IF(OR($A215="",$C215="U"),"",SUMIFS($N$3:$N$302,$E$3:$E$302,$E215,$C$3:$C$302,"&lt;&gt;U"))</f>
        <v/>
      </c>
      <c r="Q215" s="33" t="str">
        <f aca="false">IF(OR($A215="",$C215="U"),"",IF(COUNTIFS($E$3:$E215,$E215,$C$3:$C215,"&lt;&gt;U")=1,1,0))</f>
        <v/>
      </c>
      <c r="R215" s="33" t="str">
        <f aca="false">IF($Q215=1,$O215-ROW()/100000,"")</f>
        <v/>
      </c>
    </row>
    <row r="216" customFormat="false" ht="15" hidden="false" customHeight="false" outlineLevel="0" collapsed="false">
      <c r="M216" s="33" t="str">
        <f aca="false">IF($A216="","",HOUR($A216))</f>
        <v/>
      </c>
      <c r="N216" s="34" t="str">
        <f aca="false">IF($A216="","",$I216*$K216)</f>
        <v/>
      </c>
      <c r="O216" s="33" t="str">
        <f aca="false">IF(OR($A216="",$C216="U"),"",SUMIFS($I$3:$I$302,$E$3:$E$302,$E216,$C$3:$C$302,"&lt;&gt;U"))</f>
        <v/>
      </c>
      <c r="P216" s="33" t="str">
        <f aca="false">IF(OR($A216="",$C216="U"),"",SUMIFS($N$3:$N$302,$E$3:$E$302,$E216,$C$3:$C$302,"&lt;&gt;U"))</f>
        <v/>
      </c>
      <c r="Q216" s="33" t="str">
        <f aca="false">IF(OR($A216="",$C216="U"),"",IF(COUNTIFS($E$3:$E216,$E216,$C$3:$C216,"&lt;&gt;U")=1,1,0))</f>
        <v/>
      </c>
      <c r="R216" s="33" t="str">
        <f aca="false">IF($Q216=1,$O216-ROW()/100000,"")</f>
        <v/>
      </c>
    </row>
    <row r="217" customFormat="false" ht="15" hidden="false" customHeight="false" outlineLevel="0" collapsed="false">
      <c r="M217" s="33" t="str">
        <f aca="false">IF($A217="","",HOUR($A217))</f>
        <v/>
      </c>
      <c r="N217" s="34" t="str">
        <f aca="false">IF($A217="","",$I217*$K217)</f>
        <v/>
      </c>
      <c r="O217" s="33" t="str">
        <f aca="false">IF(OR($A217="",$C217="U"),"",SUMIFS($I$3:$I$302,$E$3:$E$302,$E217,$C$3:$C$302,"&lt;&gt;U"))</f>
        <v/>
      </c>
      <c r="P217" s="33" t="str">
        <f aca="false">IF(OR($A217="",$C217="U"),"",SUMIFS($N$3:$N$302,$E$3:$E$302,$E217,$C$3:$C$302,"&lt;&gt;U"))</f>
        <v/>
      </c>
      <c r="Q217" s="33" t="str">
        <f aca="false">IF(OR($A217="",$C217="U"),"",IF(COUNTIFS($E$3:$E217,$E217,$C$3:$C217,"&lt;&gt;U")=1,1,0))</f>
        <v/>
      </c>
      <c r="R217" s="33" t="str">
        <f aca="false">IF($Q217=1,$O217-ROW()/100000,"")</f>
        <v/>
      </c>
    </row>
    <row r="218" customFormat="false" ht="15" hidden="false" customHeight="false" outlineLevel="0" collapsed="false">
      <c r="M218" s="33" t="str">
        <f aca="false">IF($A218="","",HOUR($A218))</f>
        <v/>
      </c>
      <c r="N218" s="34" t="str">
        <f aca="false">IF($A218="","",$I218*$K218)</f>
        <v/>
      </c>
      <c r="O218" s="33" t="str">
        <f aca="false">IF(OR($A218="",$C218="U"),"",SUMIFS($I$3:$I$302,$E$3:$E$302,$E218,$C$3:$C$302,"&lt;&gt;U"))</f>
        <v/>
      </c>
      <c r="P218" s="33" t="str">
        <f aca="false">IF(OR($A218="",$C218="U"),"",SUMIFS($N$3:$N$302,$E$3:$E$302,$E218,$C$3:$C$302,"&lt;&gt;U"))</f>
        <v/>
      </c>
      <c r="Q218" s="33" t="str">
        <f aca="false">IF(OR($A218="",$C218="U"),"",IF(COUNTIFS($E$3:$E218,$E218,$C$3:$C218,"&lt;&gt;U")=1,1,0))</f>
        <v/>
      </c>
      <c r="R218" s="33" t="str">
        <f aca="false">IF($Q218=1,$O218-ROW()/100000,"")</f>
        <v/>
      </c>
    </row>
    <row r="219" customFormat="false" ht="15" hidden="false" customHeight="false" outlineLevel="0" collapsed="false">
      <c r="M219" s="33" t="str">
        <f aca="false">IF($A219="","",HOUR($A219))</f>
        <v/>
      </c>
      <c r="N219" s="34" t="str">
        <f aca="false">IF($A219="","",$I219*$K219)</f>
        <v/>
      </c>
      <c r="O219" s="33" t="str">
        <f aca="false">IF(OR($A219="",$C219="U"),"",SUMIFS($I$3:$I$302,$E$3:$E$302,$E219,$C$3:$C$302,"&lt;&gt;U"))</f>
        <v/>
      </c>
      <c r="P219" s="33" t="str">
        <f aca="false">IF(OR($A219="",$C219="U"),"",SUMIFS($N$3:$N$302,$E$3:$E$302,$E219,$C$3:$C$302,"&lt;&gt;U"))</f>
        <v/>
      </c>
      <c r="Q219" s="33" t="str">
        <f aca="false">IF(OR($A219="",$C219="U"),"",IF(COUNTIFS($E$3:$E219,$E219,$C$3:$C219,"&lt;&gt;U")=1,1,0))</f>
        <v/>
      </c>
      <c r="R219" s="33" t="str">
        <f aca="false">IF($Q219=1,$O219-ROW()/100000,"")</f>
        <v/>
      </c>
    </row>
    <row r="220" customFormat="false" ht="15" hidden="false" customHeight="false" outlineLevel="0" collapsed="false">
      <c r="M220" s="33" t="str">
        <f aca="false">IF($A220="","",HOUR($A220))</f>
        <v/>
      </c>
      <c r="N220" s="34" t="str">
        <f aca="false">IF($A220="","",$I220*$K220)</f>
        <v/>
      </c>
      <c r="O220" s="33" t="str">
        <f aca="false">IF(OR($A220="",$C220="U"),"",SUMIFS($I$3:$I$302,$E$3:$E$302,$E220,$C$3:$C$302,"&lt;&gt;U"))</f>
        <v/>
      </c>
      <c r="P220" s="33" t="str">
        <f aca="false">IF(OR($A220="",$C220="U"),"",SUMIFS($N$3:$N$302,$E$3:$E$302,$E220,$C$3:$C$302,"&lt;&gt;U"))</f>
        <v/>
      </c>
      <c r="Q220" s="33" t="str">
        <f aca="false">IF(OR($A220="",$C220="U"),"",IF(COUNTIFS($E$3:$E220,$E220,$C$3:$C220,"&lt;&gt;U")=1,1,0))</f>
        <v/>
      </c>
      <c r="R220" s="33" t="str">
        <f aca="false">IF($Q220=1,$O220-ROW()/100000,"")</f>
        <v/>
      </c>
    </row>
    <row r="221" customFormat="false" ht="15" hidden="false" customHeight="false" outlineLevel="0" collapsed="false">
      <c r="M221" s="33" t="str">
        <f aca="false">IF($A221="","",HOUR($A221))</f>
        <v/>
      </c>
      <c r="N221" s="34" t="str">
        <f aca="false">IF($A221="","",$I221*$K221)</f>
        <v/>
      </c>
      <c r="O221" s="33" t="str">
        <f aca="false">IF(OR($A221="",$C221="U"),"",SUMIFS($I$3:$I$302,$E$3:$E$302,$E221,$C$3:$C$302,"&lt;&gt;U"))</f>
        <v/>
      </c>
      <c r="P221" s="33" t="str">
        <f aca="false">IF(OR($A221="",$C221="U"),"",SUMIFS($N$3:$N$302,$E$3:$E$302,$E221,$C$3:$C$302,"&lt;&gt;U"))</f>
        <v/>
      </c>
      <c r="Q221" s="33" t="str">
        <f aca="false">IF(OR($A221="",$C221="U"),"",IF(COUNTIFS($E$3:$E221,$E221,$C$3:$C221,"&lt;&gt;U")=1,1,0))</f>
        <v/>
      </c>
      <c r="R221" s="33" t="str">
        <f aca="false">IF($Q221=1,$O221-ROW()/100000,"")</f>
        <v/>
      </c>
    </row>
    <row r="222" customFormat="false" ht="15" hidden="false" customHeight="false" outlineLevel="0" collapsed="false">
      <c r="M222" s="33" t="str">
        <f aca="false">IF($A222="","",HOUR($A222))</f>
        <v/>
      </c>
      <c r="N222" s="34" t="str">
        <f aca="false">IF($A222="","",$I222*$K222)</f>
        <v/>
      </c>
      <c r="O222" s="33" t="str">
        <f aca="false">IF(OR($A222="",$C222="U"),"",SUMIFS($I$3:$I$302,$E$3:$E$302,$E222,$C$3:$C$302,"&lt;&gt;U"))</f>
        <v/>
      </c>
      <c r="P222" s="33" t="str">
        <f aca="false">IF(OR($A222="",$C222="U"),"",SUMIFS($N$3:$N$302,$E$3:$E$302,$E222,$C$3:$C$302,"&lt;&gt;U"))</f>
        <v/>
      </c>
      <c r="Q222" s="33" t="str">
        <f aca="false">IF(OR($A222="",$C222="U"),"",IF(COUNTIFS($E$3:$E222,$E222,$C$3:$C222,"&lt;&gt;U")=1,1,0))</f>
        <v/>
      </c>
      <c r="R222" s="33" t="str">
        <f aca="false">IF($Q222=1,$O222-ROW()/100000,"")</f>
        <v/>
      </c>
    </row>
    <row r="223" customFormat="false" ht="15" hidden="false" customHeight="false" outlineLevel="0" collapsed="false">
      <c r="M223" s="33" t="str">
        <f aca="false">IF($A223="","",HOUR($A223))</f>
        <v/>
      </c>
      <c r="N223" s="34" t="str">
        <f aca="false">IF($A223="","",$I223*$K223)</f>
        <v/>
      </c>
      <c r="O223" s="33" t="str">
        <f aca="false">IF(OR($A223="",$C223="U"),"",SUMIFS($I$3:$I$302,$E$3:$E$302,$E223,$C$3:$C$302,"&lt;&gt;U"))</f>
        <v/>
      </c>
      <c r="P223" s="33" t="str">
        <f aca="false">IF(OR($A223="",$C223="U"),"",SUMIFS($N$3:$N$302,$E$3:$E$302,$E223,$C$3:$C$302,"&lt;&gt;U"))</f>
        <v/>
      </c>
      <c r="Q223" s="33" t="str">
        <f aca="false">IF(OR($A223="",$C223="U"),"",IF(COUNTIFS($E$3:$E223,$E223,$C$3:$C223,"&lt;&gt;U")=1,1,0))</f>
        <v/>
      </c>
      <c r="R223" s="33" t="str">
        <f aca="false">IF($Q223=1,$O223-ROW()/100000,"")</f>
        <v/>
      </c>
    </row>
    <row r="224" customFormat="false" ht="15" hidden="false" customHeight="false" outlineLevel="0" collapsed="false">
      <c r="M224" s="33" t="str">
        <f aca="false">IF($A224="","",HOUR($A224))</f>
        <v/>
      </c>
      <c r="N224" s="34" t="str">
        <f aca="false">IF($A224="","",$I224*$K224)</f>
        <v/>
      </c>
      <c r="O224" s="33" t="str">
        <f aca="false">IF(OR($A224="",$C224="U"),"",SUMIFS($I$3:$I$302,$E$3:$E$302,$E224,$C$3:$C$302,"&lt;&gt;U"))</f>
        <v/>
      </c>
      <c r="P224" s="33" t="str">
        <f aca="false">IF(OR($A224="",$C224="U"),"",SUMIFS($N$3:$N$302,$E$3:$E$302,$E224,$C$3:$C$302,"&lt;&gt;U"))</f>
        <v/>
      </c>
      <c r="Q224" s="33" t="str">
        <f aca="false">IF(OR($A224="",$C224="U"),"",IF(COUNTIFS($E$3:$E224,$E224,$C$3:$C224,"&lt;&gt;U")=1,1,0))</f>
        <v/>
      </c>
      <c r="R224" s="33" t="str">
        <f aca="false">IF($Q224=1,$O224-ROW()/100000,"")</f>
        <v/>
      </c>
    </row>
    <row r="225" customFormat="false" ht="15" hidden="false" customHeight="false" outlineLevel="0" collapsed="false">
      <c r="M225" s="33" t="str">
        <f aca="false">IF($A225="","",HOUR($A225))</f>
        <v/>
      </c>
      <c r="N225" s="34" t="str">
        <f aca="false">IF($A225="","",$I225*$K225)</f>
        <v/>
      </c>
      <c r="O225" s="33" t="str">
        <f aca="false">IF(OR($A225="",$C225="U"),"",SUMIFS($I$3:$I$302,$E$3:$E$302,$E225,$C$3:$C$302,"&lt;&gt;U"))</f>
        <v/>
      </c>
      <c r="P225" s="33" t="str">
        <f aca="false">IF(OR($A225="",$C225="U"),"",SUMIFS($N$3:$N$302,$E$3:$E$302,$E225,$C$3:$C$302,"&lt;&gt;U"))</f>
        <v/>
      </c>
      <c r="Q225" s="33" t="str">
        <f aca="false">IF(OR($A225="",$C225="U"),"",IF(COUNTIFS($E$3:$E225,$E225,$C$3:$C225,"&lt;&gt;U")=1,1,0))</f>
        <v/>
      </c>
      <c r="R225" s="33" t="str">
        <f aca="false">IF($Q225=1,$O225-ROW()/100000,"")</f>
        <v/>
      </c>
    </row>
    <row r="226" customFormat="false" ht="15" hidden="false" customHeight="false" outlineLevel="0" collapsed="false">
      <c r="M226" s="33" t="str">
        <f aca="false">IF($A226="","",HOUR($A226))</f>
        <v/>
      </c>
      <c r="N226" s="34" t="str">
        <f aca="false">IF($A226="","",$I226*$K226)</f>
        <v/>
      </c>
      <c r="O226" s="33" t="str">
        <f aca="false">IF(OR($A226="",$C226="U"),"",SUMIFS($I$3:$I$302,$E$3:$E$302,$E226,$C$3:$C$302,"&lt;&gt;U"))</f>
        <v/>
      </c>
      <c r="P226" s="33" t="str">
        <f aca="false">IF(OR($A226="",$C226="U"),"",SUMIFS($N$3:$N$302,$E$3:$E$302,$E226,$C$3:$C$302,"&lt;&gt;U"))</f>
        <v/>
      </c>
      <c r="Q226" s="33" t="str">
        <f aca="false">IF(OR($A226="",$C226="U"),"",IF(COUNTIFS($E$3:$E226,$E226,$C$3:$C226,"&lt;&gt;U")=1,1,0))</f>
        <v/>
      </c>
      <c r="R226" s="33" t="str">
        <f aca="false">IF($Q226=1,$O226-ROW()/100000,"")</f>
        <v/>
      </c>
    </row>
    <row r="227" customFormat="false" ht="15" hidden="false" customHeight="false" outlineLevel="0" collapsed="false">
      <c r="M227" s="33" t="str">
        <f aca="false">IF($A227="","",HOUR($A227))</f>
        <v/>
      </c>
      <c r="N227" s="34" t="str">
        <f aca="false">IF($A227="","",$I227*$K227)</f>
        <v/>
      </c>
      <c r="O227" s="33" t="str">
        <f aca="false">IF(OR($A227="",$C227="U"),"",SUMIFS($I$3:$I$302,$E$3:$E$302,$E227,$C$3:$C$302,"&lt;&gt;U"))</f>
        <v/>
      </c>
      <c r="P227" s="33" t="str">
        <f aca="false">IF(OR($A227="",$C227="U"),"",SUMIFS($N$3:$N$302,$E$3:$E$302,$E227,$C$3:$C$302,"&lt;&gt;U"))</f>
        <v/>
      </c>
      <c r="Q227" s="33" t="str">
        <f aca="false">IF(OR($A227="",$C227="U"),"",IF(COUNTIFS($E$3:$E227,$E227,$C$3:$C227,"&lt;&gt;U")=1,1,0))</f>
        <v/>
      </c>
      <c r="R227" s="33" t="str">
        <f aca="false">IF($Q227=1,$O227-ROW()/100000,"")</f>
        <v/>
      </c>
    </row>
    <row r="228" customFormat="false" ht="15" hidden="false" customHeight="false" outlineLevel="0" collapsed="false">
      <c r="M228" s="33" t="str">
        <f aca="false">IF($A228="","",HOUR($A228))</f>
        <v/>
      </c>
      <c r="N228" s="34" t="str">
        <f aca="false">IF($A228="","",$I228*$K228)</f>
        <v/>
      </c>
      <c r="O228" s="33" t="str">
        <f aca="false">IF(OR($A228="",$C228="U"),"",SUMIFS($I$3:$I$302,$E$3:$E$302,$E228,$C$3:$C$302,"&lt;&gt;U"))</f>
        <v/>
      </c>
      <c r="P228" s="33" t="str">
        <f aca="false">IF(OR($A228="",$C228="U"),"",SUMIFS($N$3:$N$302,$E$3:$E$302,$E228,$C$3:$C$302,"&lt;&gt;U"))</f>
        <v/>
      </c>
      <c r="Q228" s="33" t="str">
        <f aca="false">IF(OR($A228="",$C228="U"),"",IF(COUNTIFS($E$3:$E228,$E228,$C$3:$C228,"&lt;&gt;U")=1,1,0))</f>
        <v/>
      </c>
      <c r="R228" s="33" t="str">
        <f aca="false">IF($Q228=1,$O228-ROW()/100000,"")</f>
        <v/>
      </c>
    </row>
    <row r="229" customFormat="false" ht="15" hidden="false" customHeight="false" outlineLevel="0" collapsed="false">
      <c r="M229" s="33" t="str">
        <f aca="false">IF($A229="","",HOUR($A229))</f>
        <v/>
      </c>
      <c r="N229" s="34" t="str">
        <f aca="false">IF($A229="","",$I229*$K229)</f>
        <v/>
      </c>
      <c r="O229" s="33" t="str">
        <f aca="false">IF(OR($A229="",$C229="U"),"",SUMIFS($I$3:$I$302,$E$3:$E$302,$E229,$C$3:$C$302,"&lt;&gt;U"))</f>
        <v/>
      </c>
      <c r="P229" s="33" t="str">
        <f aca="false">IF(OR($A229="",$C229="U"),"",SUMIFS($N$3:$N$302,$E$3:$E$302,$E229,$C$3:$C$302,"&lt;&gt;U"))</f>
        <v/>
      </c>
      <c r="Q229" s="33" t="str">
        <f aca="false">IF(OR($A229="",$C229="U"),"",IF(COUNTIFS($E$3:$E229,$E229,$C$3:$C229,"&lt;&gt;U")=1,1,0))</f>
        <v/>
      </c>
      <c r="R229" s="33" t="str">
        <f aca="false">IF($Q229=1,$O229-ROW()/100000,"")</f>
        <v/>
      </c>
    </row>
    <row r="230" customFormat="false" ht="15" hidden="false" customHeight="false" outlineLevel="0" collapsed="false">
      <c r="M230" s="33" t="str">
        <f aca="false">IF($A230="","",HOUR($A230))</f>
        <v/>
      </c>
      <c r="N230" s="34" t="str">
        <f aca="false">IF($A230="","",$I230*$K230)</f>
        <v/>
      </c>
      <c r="O230" s="33" t="str">
        <f aca="false">IF(OR($A230="",$C230="U"),"",SUMIFS($I$3:$I$302,$E$3:$E$302,$E230,$C$3:$C$302,"&lt;&gt;U"))</f>
        <v/>
      </c>
      <c r="P230" s="33" t="str">
        <f aca="false">IF(OR($A230="",$C230="U"),"",SUMIFS($N$3:$N$302,$E$3:$E$302,$E230,$C$3:$C$302,"&lt;&gt;U"))</f>
        <v/>
      </c>
      <c r="Q230" s="33" t="str">
        <f aca="false">IF(OR($A230="",$C230="U"),"",IF(COUNTIFS($E$3:$E230,$E230,$C$3:$C230,"&lt;&gt;U")=1,1,0))</f>
        <v/>
      </c>
      <c r="R230" s="33" t="str">
        <f aca="false">IF($Q230=1,$O230-ROW()/100000,"")</f>
        <v/>
      </c>
    </row>
    <row r="231" customFormat="false" ht="15" hidden="false" customHeight="false" outlineLevel="0" collapsed="false">
      <c r="M231" s="33" t="str">
        <f aca="false">IF($A231="","",HOUR($A231))</f>
        <v/>
      </c>
      <c r="N231" s="34" t="str">
        <f aca="false">IF($A231="","",$I231*$K231)</f>
        <v/>
      </c>
      <c r="O231" s="33" t="str">
        <f aca="false">IF(OR($A231="",$C231="U"),"",SUMIFS($I$3:$I$302,$E$3:$E$302,$E231,$C$3:$C$302,"&lt;&gt;U"))</f>
        <v/>
      </c>
      <c r="P231" s="33" t="str">
        <f aca="false">IF(OR($A231="",$C231="U"),"",SUMIFS($N$3:$N$302,$E$3:$E$302,$E231,$C$3:$C$302,"&lt;&gt;U"))</f>
        <v/>
      </c>
      <c r="Q231" s="33" t="str">
        <f aca="false">IF(OR($A231="",$C231="U"),"",IF(COUNTIFS($E$3:$E231,$E231,$C$3:$C231,"&lt;&gt;U")=1,1,0))</f>
        <v/>
      </c>
      <c r="R231" s="33" t="str">
        <f aca="false">IF($Q231=1,$O231-ROW()/100000,"")</f>
        <v/>
      </c>
    </row>
    <row r="232" customFormat="false" ht="15" hidden="false" customHeight="false" outlineLevel="0" collapsed="false">
      <c r="M232" s="33" t="str">
        <f aca="false">IF($A232="","",HOUR($A232))</f>
        <v/>
      </c>
      <c r="N232" s="34" t="str">
        <f aca="false">IF($A232="","",$I232*$K232)</f>
        <v/>
      </c>
      <c r="O232" s="33" t="str">
        <f aca="false">IF(OR($A232="",$C232="U"),"",SUMIFS($I$3:$I$302,$E$3:$E$302,$E232,$C$3:$C$302,"&lt;&gt;U"))</f>
        <v/>
      </c>
      <c r="P232" s="33" t="str">
        <f aca="false">IF(OR($A232="",$C232="U"),"",SUMIFS($N$3:$N$302,$E$3:$E$302,$E232,$C$3:$C$302,"&lt;&gt;U"))</f>
        <v/>
      </c>
      <c r="Q232" s="33" t="str">
        <f aca="false">IF(OR($A232="",$C232="U"),"",IF(COUNTIFS($E$3:$E232,$E232,$C$3:$C232,"&lt;&gt;U")=1,1,0))</f>
        <v/>
      </c>
      <c r="R232" s="33" t="str">
        <f aca="false">IF($Q232=1,$O232-ROW()/100000,"")</f>
        <v/>
      </c>
    </row>
    <row r="233" customFormat="false" ht="15" hidden="false" customHeight="false" outlineLevel="0" collapsed="false">
      <c r="M233" s="33" t="str">
        <f aca="false">IF($A233="","",HOUR($A233))</f>
        <v/>
      </c>
      <c r="N233" s="34" t="str">
        <f aca="false">IF($A233="","",$I233*$K233)</f>
        <v/>
      </c>
      <c r="O233" s="33" t="str">
        <f aca="false">IF(OR($A233="",$C233="U"),"",SUMIFS($I$3:$I$302,$E$3:$E$302,$E233,$C$3:$C$302,"&lt;&gt;U"))</f>
        <v/>
      </c>
      <c r="P233" s="33" t="str">
        <f aca="false">IF(OR($A233="",$C233="U"),"",SUMIFS($N$3:$N$302,$E$3:$E$302,$E233,$C$3:$C$302,"&lt;&gt;U"))</f>
        <v/>
      </c>
      <c r="Q233" s="33" t="str">
        <f aca="false">IF(OR($A233="",$C233="U"),"",IF(COUNTIFS($E$3:$E233,$E233,$C$3:$C233,"&lt;&gt;U")=1,1,0))</f>
        <v/>
      </c>
      <c r="R233" s="33" t="str">
        <f aca="false">IF($Q233=1,$O233-ROW()/100000,"")</f>
        <v/>
      </c>
    </row>
    <row r="234" customFormat="false" ht="15" hidden="false" customHeight="false" outlineLevel="0" collapsed="false">
      <c r="M234" s="33" t="str">
        <f aca="false">IF($A234="","",HOUR($A234))</f>
        <v/>
      </c>
      <c r="N234" s="34" t="str">
        <f aca="false">IF($A234="","",$I234*$K234)</f>
        <v/>
      </c>
      <c r="O234" s="33" t="str">
        <f aca="false">IF(OR($A234="",$C234="U"),"",SUMIFS($I$3:$I$302,$E$3:$E$302,$E234,$C$3:$C$302,"&lt;&gt;U"))</f>
        <v/>
      </c>
      <c r="P234" s="33" t="str">
        <f aca="false">IF(OR($A234="",$C234="U"),"",SUMIFS($N$3:$N$302,$E$3:$E$302,$E234,$C$3:$C$302,"&lt;&gt;U"))</f>
        <v/>
      </c>
      <c r="Q234" s="33" t="str">
        <f aca="false">IF(OR($A234="",$C234="U"),"",IF(COUNTIFS($E$3:$E234,$E234,$C$3:$C234,"&lt;&gt;U")=1,1,0))</f>
        <v/>
      </c>
      <c r="R234" s="33" t="str">
        <f aca="false">IF($Q234=1,$O234-ROW()/100000,"")</f>
        <v/>
      </c>
    </row>
    <row r="235" customFormat="false" ht="15" hidden="false" customHeight="false" outlineLevel="0" collapsed="false">
      <c r="M235" s="33" t="str">
        <f aca="false">IF($A235="","",HOUR($A235))</f>
        <v/>
      </c>
      <c r="N235" s="34" t="str">
        <f aca="false">IF($A235="","",$I235*$K235)</f>
        <v/>
      </c>
      <c r="O235" s="33" t="str">
        <f aca="false">IF(OR($A235="",$C235="U"),"",SUMIFS($I$3:$I$302,$E$3:$E$302,$E235,$C$3:$C$302,"&lt;&gt;U"))</f>
        <v/>
      </c>
      <c r="P235" s="33" t="str">
        <f aca="false">IF(OR($A235="",$C235="U"),"",SUMIFS($N$3:$N$302,$E$3:$E$302,$E235,$C$3:$C$302,"&lt;&gt;U"))</f>
        <v/>
      </c>
      <c r="Q235" s="33" t="str">
        <f aca="false">IF(OR($A235="",$C235="U"),"",IF(COUNTIFS($E$3:$E235,$E235,$C$3:$C235,"&lt;&gt;U")=1,1,0))</f>
        <v/>
      </c>
      <c r="R235" s="33" t="str">
        <f aca="false">IF($Q235=1,$O235-ROW()/100000,"")</f>
        <v/>
      </c>
    </row>
    <row r="236" customFormat="false" ht="15" hidden="false" customHeight="false" outlineLevel="0" collapsed="false">
      <c r="M236" s="33" t="str">
        <f aca="false">IF($A236="","",HOUR($A236))</f>
        <v/>
      </c>
      <c r="N236" s="34" t="str">
        <f aca="false">IF($A236="","",$I236*$K236)</f>
        <v/>
      </c>
      <c r="O236" s="33" t="str">
        <f aca="false">IF(OR($A236="",$C236="U"),"",SUMIFS($I$3:$I$302,$E$3:$E$302,$E236,$C$3:$C$302,"&lt;&gt;U"))</f>
        <v/>
      </c>
      <c r="P236" s="33" t="str">
        <f aca="false">IF(OR($A236="",$C236="U"),"",SUMIFS($N$3:$N$302,$E$3:$E$302,$E236,$C$3:$C$302,"&lt;&gt;U"))</f>
        <v/>
      </c>
      <c r="Q236" s="33" t="str">
        <f aca="false">IF(OR($A236="",$C236="U"),"",IF(COUNTIFS($E$3:$E236,$E236,$C$3:$C236,"&lt;&gt;U")=1,1,0))</f>
        <v/>
      </c>
      <c r="R236" s="33" t="str">
        <f aca="false">IF($Q236=1,$O236-ROW()/100000,"")</f>
        <v/>
      </c>
    </row>
    <row r="237" customFormat="false" ht="15" hidden="false" customHeight="false" outlineLevel="0" collapsed="false">
      <c r="M237" s="33" t="str">
        <f aca="false">IF($A237="","",HOUR($A237))</f>
        <v/>
      </c>
      <c r="N237" s="34" t="str">
        <f aca="false">IF($A237="","",$I237*$K237)</f>
        <v/>
      </c>
      <c r="O237" s="33" t="str">
        <f aca="false">IF(OR($A237="",$C237="U"),"",SUMIFS($I$3:$I$302,$E$3:$E$302,$E237,$C$3:$C$302,"&lt;&gt;U"))</f>
        <v/>
      </c>
      <c r="P237" s="33" t="str">
        <f aca="false">IF(OR($A237="",$C237="U"),"",SUMIFS($N$3:$N$302,$E$3:$E$302,$E237,$C$3:$C$302,"&lt;&gt;U"))</f>
        <v/>
      </c>
      <c r="Q237" s="33" t="str">
        <f aca="false">IF(OR($A237="",$C237="U"),"",IF(COUNTIFS($E$3:$E237,$E237,$C$3:$C237,"&lt;&gt;U")=1,1,0))</f>
        <v/>
      </c>
      <c r="R237" s="33" t="str">
        <f aca="false">IF($Q237=1,$O237-ROW()/100000,"")</f>
        <v/>
      </c>
    </row>
    <row r="238" customFormat="false" ht="15" hidden="false" customHeight="false" outlineLevel="0" collapsed="false">
      <c r="M238" s="33" t="str">
        <f aca="false">IF($A238="","",HOUR($A238))</f>
        <v/>
      </c>
      <c r="N238" s="34" t="str">
        <f aca="false">IF($A238="","",$I238*$K238)</f>
        <v/>
      </c>
      <c r="O238" s="33" t="str">
        <f aca="false">IF(OR($A238="",$C238="U"),"",SUMIFS($I$3:$I$302,$E$3:$E$302,$E238,$C$3:$C$302,"&lt;&gt;U"))</f>
        <v/>
      </c>
      <c r="P238" s="33" t="str">
        <f aca="false">IF(OR($A238="",$C238="U"),"",SUMIFS($N$3:$N$302,$E$3:$E$302,$E238,$C$3:$C$302,"&lt;&gt;U"))</f>
        <v/>
      </c>
      <c r="Q238" s="33" t="str">
        <f aca="false">IF(OR($A238="",$C238="U"),"",IF(COUNTIFS($E$3:$E238,$E238,$C$3:$C238,"&lt;&gt;U")=1,1,0))</f>
        <v/>
      </c>
      <c r="R238" s="33" t="str">
        <f aca="false">IF($Q238=1,$O238-ROW()/100000,"")</f>
        <v/>
      </c>
    </row>
    <row r="239" customFormat="false" ht="15" hidden="false" customHeight="false" outlineLevel="0" collapsed="false">
      <c r="M239" s="33" t="str">
        <f aca="false">IF($A239="","",HOUR($A239))</f>
        <v/>
      </c>
      <c r="N239" s="34" t="str">
        <f aca="false">IF($A239="","",$I239*$K239)</f>
        <v/>
      </c>
      <c r="O239" s="33" t="str">
        <f aca="false">IF(OR($A239="",$C239="U"),"",SUMIFS($I$3:$I$302,$E$3:$E$302,$E239,$C$3:$C$302,"&lt;&gt;U"))</f>
        <v/>
      </c>
      <c r="P239" s="33" t="str">
        <f aca="false">IF(OR($A239="",$C239="U"),"",SUMIFS($N$3:$N$302,$E$3:$E$302,$E239,$C$3:$C$302,"&lt;&gt;U"))</f>
        <v/>
      </c>
      <c r="Q239" s="33" t="str">
        <f aca="false">IF(OR($A239="",$C239="U"),"",IF(COUNTIFS($E$3:$E239,$E239,$C$3:$C239,"&lt;&gt;U")=1,1,0))</f>
        <v/>
      </c>
      <c r="R239" s="33" t="str">
        <f aca="false">IF($Q239=1,$O239-ROW()/100000,"")</f>
        <v/>
      </c>
    </row>
    <row r="240" customFormat="false" ht="15" hidden="false" customHeight="false" outlineLevel="0" collapsed="false">
      <c r="M240" s="33" t="str">
        <f aca="false">IF($A240="","",HOUR($A240))</f>
        <v/>
      </c>
      <c r="N240" s="34" t="str">
        <f aca="false">IF($A240="","",$I240*$K240)</f>
        <v/>
      </c>
      <c r="O240" s="33" t="str">
        <f aca="false">IF(OR($A240="",$C240="U"),"",SUMIFS($I$3:$I$302,$E$3:$E$302,$E240,$C$3:$C$302,"&lt;&gt;U"))</f>
        <v/>
      </c>
      <c r="P240" s="33" t="str">
        <f aca="false">IF(OR($A240="",$C240="U"),"",SUMIFS($N$3:$N$302,$E$3:$E$302,$E240,$C$3:$C$302,"&lt;&gt;U"))</f>
        <v/>
      </c>
      <c r="Q240" s="33" t="str">
        <f aca="false">IF(OR($A240="",$C240="U"),"",IF(COUNTIFS($E$3:$E240,$E240,$C$3:$C240,"&lt;&gt;U")=1,1,0))</f>
        <v/>
      </c>
      <c r="R240" s="33" t="str">
        <f aca="false">IF($Q240=1,$O240-ROW()/100000,"")</f>
        <v/>
      </c>
    </row>
    <row r="241" customFormat="false" ht="15" hidden="false" customHeight="false" outlineLevel="0" collapsed="false">
      <c r="M241" s="33" t="str">
        <f aca="false">IF($A241="","",HOUR($A241))</f>
        <v/>
      </c>
      <c r="N241" s="34" t="str">
        <f aca="false">IF($A241="","",$I241*$K241)</f>
        <v/>
      </c>
      <c r="O241" s="33" t="str">
        <f aca="false">IF(OR($A241="",$C241="U"),"",SUMIFS($I$3:$I$302,$E$3:$E$302,$E241,$C$3:$C$302,"&lt;&gt;U"))</f>
        <v/>
      </c>
      <c r="P241" s="33" t="str">
        <f aca="false">IF(OR($A241="",$C241="U"),"",SUMIFS($N$3:$N$302,$E$3:$E$302,$E241,$C$3:$C$302,"&lt;&gt;U"))</f>
        <v/>
      </c>
      <c r="Q241" s="33" t="str">
        <f aca="false">IF(OR($A241="",$C241="U"),"",IF(COUNTIFS($E$3:$E241,$E241,$C$3:$C241,"&lt;&gt;U")=1,1,0))</f>
        <v/>
      </c>
      <c r="R241" s="33" t="str">
        <f aca="false">IF($Q241=1,$O241-ROW()/100000,"")</f>
        <v/>
      </c>
    </row>
    <row r="242" customFormat="false" ht="15" hidden="false" customHeight="false" outlineLevel="0" collapsed="false">
      <c r="M242" s="33" t="str">
        <f aca="false">IF($A242="","",HOUR($A242))</f>
        <v/>
      </c>
      <c r="N242" s="34" t="str">
        <f aca="false">IF($A242="","",$I242*$K242)</f>
        <v/>
      </c>
      <c r="O242" s="33" t="str">
        <f aca="false">IF(OR($A242="",$C242="U"),"",SUMIFS($I$3:$I$302,$E$3:$E$302,$E242,$C$3:$C$302,"&lt;&gt;U"))</f>
        <v/>
      </c>
      <c r="P242" s="33" t="str">
        <f aca="false">IF(OR($A242="",$C242="U"),"",SUMIFS($N$3:$N$302,$E$3:$E$302,$E242,$C$3:$C$302,"&lt;&gt;U"))</f>
        <v/>
      </c>
      <c r="Q242" s="33" t="str">
        <f aca="false">IF(OR($A242="",$C242="U"),"",IF(COUNTIFS($E$3:$E242,$E242,$C$3:$C242,"&lt;&gt;U")=1,1,0))</f>
        <v/>
      </c>
      <c r="R242" s="33" t="str">
        <f aca="false">IF($Q242=1,$O242-ROW()/100000,"")</f>
        <v/>
      </c>
    </row>
    <row r="243" customFormat="false" ht="15" hidden="false" customHeight="false" outlineLevel="0" collapsed="false">
      <c r="M243" s="33" t="str">
        <f aca="false">IF($A243="","",HOUR($A243))</f>
        <v/>
      </c>
      <c r="N243" s="34" t="str">
        <f aca="false">IF($A243="","",$I243*$K243)</f>
        <v/>
      </c>
      <c r="O243" s="33" t="str">
        <f aca="false">IF(OR($A243="",$C243="U"),"",SUMIFS($I$3:$I$302,$E$3:$E$302,$E243,$C$3:$C$302,"&lt;&gt;U"))</f>
        <v/>
      </c>
      <c r="P243" s="33" t="str">
        <f aca="false">IF(OR($A243="",$C243="U"),"",SUMIFS($N$3:$N$302,$E$3:$E$302,$E243,$C$3:$C$302,"&lt;&gt;U"))</f>
        <v/>
      </c>
      <c r="Q243" s="33" t="str">
        <f aca="false">IF(OR($A243="",$C243="U"),"",IF(COUNTIFS($E$3:$E243,$E243,$C$3:$C243,"&lt;&gt;U")=1,1,0))</f>
        <v/>
      </c>
      <c r="R243" s="33" t="str">
        <f aca="false">IF($Q243=1,$O243-ROW()/100000,"")</f>
        <v/>
      </c>
    </row>
    <row r="244" customFormat="false" ht="15" hidden="false" customHeight="false" outlineLevel="0" collapsed="false">
      <c r="M244" s="33" t="str">
        <f aca="false">IF($A244="","",HOUR($A244))</f>
        <v/>
      </c>
      <c r="N244" s="34" t="str">
        <f aca="false">IF($A244="","",$I244*$K244)</f>
        <v/>
      </c>
      <c r="O244" s="33" t="str">
        <f aca="false">IF(OR($A244="",$C244="U"),"",SUMIFS($I$3:$I$302,$E$3:$E$302,$E244,$C$3:$C$302,"&lt;&gt;U"))</f>
        <v/>
      </c>
      <c r="P244" s="33" t="str">
        <f aca="false">IF(OR($A244="",$C244="U"),"",SUMIFS($N$3:$N$302,$E$3:$E$302,$E244,$C$3:$C$302,"&lt;&gt;U"))</f>
        <v/>
      </c>
      <c r="Q244" s="33" t="str">
        <f aca="false">IF(OR($A244="",$C244="U"),"",IF(COUNTIFS($E$3:$E244,$E244,$C$3:$C244,"&lt;&gt;U")=1,1,0))</f>
        <v/>
      </c>
      <c r="R244" s="33" t="str">
        <f aca="false">IF($Q244=1,$O244-ROW()/100000,"")</f>
        <v/>
      </c>
    </row>
    <row r="245" customFormat="false" ht="15" hidden="false" customHeight="false" outlineLevel="0" collapsed="false">
      <c r="M245" s="33" t="str">
        <f aca="false">IF($A245="","",HOUR($A245))</f>
        <v/>
      </c>
      <c r="N245" s="34" t="str">
        <f aca="false">IF($A245="","",$I245*$K245)</f>
        <v/>
      </c>
      <c r="O245" s="33" t="str">
        <f aca="false">IF(OR($A245="",$C245="U"),"",SUMIFS($I$3:$I$302,$E$3:$E$302,$E245,$C$3:$C$302,"&lt;&gt;U"))</f>
        <v/>
      </c>
      <c r="P245" s="33" t="str">
        <f aca="false">IF(OR($A245="",$C245="U"),"",SUMIFS($N$3:$N$302,$E$3:$E$302,$E245,$C$3:$C$302,"&lt;&gt;U"))</f>
        <v/>
      </c>
      <c r="Q245" s="33" t="str">
        <f aca="false">IF(OR($A245="",$C245="U"),"",IF(COUNTIFS($E$3:$E245,$E245,$C$3:$C245,"&lt;&gt;U")=1,1,0))</f>
        <v/>
      </c>
      <c r="R245" s="33" t="str">
        <f aca="false">IF($Q245=1,$O245-ROW()/100000,"")</f>
        <v/>
      </c>
    </row>
    <row r="246" customFormat="false" ht="15" hidden="false" customHeight="false" outlineLevel="0" collapsed="false">
      <c r="M246" s="33" t="str">
        <f aca="false">IF($A246="","",HOUR($A246))</f>
        <v/>
      </c>
      <c r="N246" s="34" t="str">
        <f aca="false">IF($A246="","",$I246*$K246)</f>
        <v/>
      </c>
      <c r="O246" s="33" t="str">
        <f aca="false">IF(OR($A246="",$C246="U"),"",SUMIFS($I$3:$I$302,$E$3:$E$302,$E246,$C$3:$C$302,"&lt;&gt;U"))</f>
        <v/>
      </c>
      <c r="P246" s="33" t="str">
        <f aca="false">IF(OR($A246="",$C246="U"),"",SUMIFS($N$3:$N$302,$E$3:$E$302,$E246,$C$3:$C$302,"&lt;&gt;U"))</f>
        <v/>
      </c>
      <c r="Q246" s="33" t="str">
        <f aca="false">IF(OR($A246="",$C246="U"),"",IF(COUNTIFS($E$3:$E246,$E246,$C$3:$C246,"&lt;&gt;U")=1,1,0))</f>
        <v/>
      </c>
      <c r="R246" s="33" t="str">
        <f aca="false">IF($Q246=1,$O246-ROW()/100000,"")</f>
        <v/>
      </c>
    </row>
    <row r="247" customFormat="false" ht="15" hidden="false" customHeight="false" outlineLevel="0" collapsed="false">
      <c r="M247" s="33" t="str">
        <f aca="false">IF($A247="","",HOUR($A247))</f>
        <v/>
      </c>
      <c r="N247" s="34" t="str">
        <f aca="false">IF($A247="","",$I247*$K247)</f>
        <v/>
      </c>
      <c r="O247" s="33" t="str">
        <f aca="false">IF(OR($A247="",$C247="U"),"",SUMIFS($I$3:$I$302,$E$3:$E$302,$E247,$C$3:$C$302,"&lt;&gt;U"))</f>
        <v/>
      </c>
      <c r="P247" s="33" t="str">
        <f aca="false">IF(OR($A247="",$C247="U"),"",SUMIFS($N$3:$N$302,$E$3:$E$302,$E247,$C$3:$C$302,"&lt;&gt;U"))</f>
        <v/>
      </c>
      <c r="Q247" s="33" t="str">
        <f aca="false">IF(OR($A247="",$C247="U"),"",IF(COUNTIFS($E$3:$E247,$E247,$C$3:$C247,"&lt;&gt;U")=1,1,0))</f>
        <v/>
      </c>
      <c r="R247" s="33" t="str">
        <f aca="false">IF($Q247=1,$O247-ROW()/100000,"")</f>
        <v/>
      </c>
    </row>
    <row r="248" customFormat="false" ht="15" hidden="false" customHeight="false" outlineLevel="0" collapsed="false">
      <c r="M248" s="33" t="str">
        <f aca="false">IF($A248="","",HOUR($A248))</f>
        <v/>
      </c>
      <c r="N248" s="34" t="str">
        <f aca="false">IF($A248="","",$I248*$K248)</f>
        <v/>
      </c>
      <c r="O248" s="33" t="str">
        <f aca="false">IF(OR($A248="",$C248="U"),"",SUMIFS($I$3:$I$302,$E$3:$E$302,$E248,$C$3:$C$302,"&lt;&gt;U"))</f>
        <v/>
      </c>
      <c r="P248" s="33" t="str">
        <f aca="false">IF(OR($A248="",$C248="U"),"",SUMIFS($N$3:$N$302,$E$3:$E$302,$E248,$C$3:$C$302,"&lt;&gt;U"))</f>
        <v/>
      </c>
      <c r="Q248" s="33" t="str">
        <f aca="false">IF(OR($A248="",$C248="U"),"",IF(COUNTIFS($E$3:$E248,$E248,$C$3:$C248,"&lt;&gt;U")=1,1,0))</f>
        <v/>
      </c>
      <c r="R248" s="33" t="str">
        <f aca="false">IF($Q248=1,$O248-ROW()/100000,"")</f>
        <v/>
      </c>
    </row>
    <row r="249" customFormat="false" ht="15" hidden="false" customHeight="false" outlineLevel="0" collapsed="false">
      <c r="M249" s="33" t="str">
        <f aca="false">IF($A249="","",HOUR($A249))</f>
        <v/>
      </c>
      <c r="N249" s="34" t="str">
        <f aca="false">IF($A249="","",$I249*$K249)</f>
        <v/>
      </c>
      <c r="O249" s="33" t="str">
        <f aca="false">IF(OR($A249="",$C249="U"),"",SUMIFS($I$3:$I$302,$E$3:$E$302,$E249,$C$3:$C$302,"&lt;&gt;U"))</f>
        <v/>
      </c>
      <c r="P249" s="33" t="str">
        <f aca="false">IF(OR($A249="",$C249="U"),"",SUMIFS($N$3:$N$302,$E$3:$E$302,$E249,$C$3:$C$302,"&lt;&gt;U"))</f>
        <v/>
      </c>
      <c r="Q249" s="33" t="str">
        <f aca="false">IF(OR($A249="",$C249="U"),"",IF(COUNTIFS($E$3:$E249,$E249,$C$3:$C249,"&lt;&gt;U")=1,1,0))</f>
        <v/>
      </c>
      <c r="R249" s="33" t="str">
        <f aca="false">IF($Q249=1,$O249-ROW()/100000,"")</f>
        <v/>
      </c>
    </row>
    <row r="250" customFormat="false" ht="15" hidden="false" customHeight="false" outlineLevel="0" collapsed="false">
      <c r="M250" s="33" t="str">
        <f aca="false">IF($A250="","",HOUR($A250))</f>
        <v/>
      </c>
      <c r="N250" s="34" t="str">
        <f aca="false">IF($A250="","",$I250*$K250)</f>
        <v/>
      </c>
      <c r="O250" s="33" t="str">
        <f aca="false">IF(OR($A250="",$C250="U"),"",SUMIFS($I$3:$I$302,$E$3:$E$302,$E250,$C$3:$C$302,"&lt;&gt;U"))</f>
        <v/>
      </c>
      <c r="P250" s="33" t="str">
        <f aca="false">IF(OR($A250="",$C250="U"),"",SUMIFS($N$3:$N$302,$E$3:$E$302,$E250,$C$3:$C$302,"&lt;&gt;U"))</f>
        <v/>
      </c>
      <c r="Q250" s="33" t="str">
        <f aca="false">IF(OR($A250="",$C250="U"),"",IF(COUNTIFS($E$3:$E250,$E250,$C$3:$C250,"&lt;&gt;U")=1,1,0))</f>
        <v/>
      </c>
      <c r="R250" s="33" t="str">
        <f aca="false">IF($Q250=1,$O250-ROW()/100000,"")</f>
        <v/>
      </c>
    </row>
    <row r="251" customFormat="false" ht="15" hidden="false" customHeight="false" outlineLevel="0" collapsed="false">
      <c r="M251" s="33" t="str">
        <f aca="false">IF($A251="","",HOUR($A251))</f>
        <v/>
      </c>
      <c r="N251" s="34" t="str">
        <f aca="false">IF($A251="","",$I251*$K251)</f>
        <v/>
      </c>
      <c r="O251" s="33" t="str">
        <f aca="false">IF(OR($A251="",$C251="U"),"",SUMIFS($I$3:$I$302,$E$3:$E$302,$E251,$C$3:$C$302,"&lt;&gt;U"))</f>
        <v/>
      </c>
      <c r="P251" s="33" t="str">
        <f aca="false">IF(OR($A251="",$C251="U"),"",SUMIFS($N$3:$N$302,$E$3:$E$302,$E251,$C$3:$C$302,"&lt;&gt;U"))</f>
        <v/>
      </c>
      <c r="Q251" s="33" t="str">
        <f aca="false">IF(OR($A251="",$C251="U"),"",IF(COUNTIFS($E$3:$E251,$E251,$C$3:$C251,"&lt;&gt;U")=1,1,0))</f>
        <v/>
      </c>
      <c r="R251" s="33" t="str">
        <f aca="false">IF($Q251=1,$O251-ROW()/100000,"")</f>
        <v/>
      </c>
    </row>
    <row r="252" customFormat="false" ht="15" hidden="false" customHeight="false" outlineLevel="0" collapsed="false">
      <c r="M252" s="33" t="str">
        <f aca="false">IF($A252="","",HOUR($A252))</f>
        <v/>
      </c>
      <c r="N252" s="34" t="str">
        <f aca="false">IF($A252="","",$I252*$K252)</f>
        <v/>
      </c>
      <c r="O252" s="33" t="str">
        <f aca="false">IF(OR($A252="",$C252="U"),"",SUMIFS($I$3:$I$302,$E$3:$E$302,$E252,$C$3:$C$302,"&lt;&gt;U"))</f>
        <v/>
      </c>
      <c r="P252" s="33" t="str">
        <f aca="false">IF(OR($A252="",$C252="U"),"",SUMIFS($N$3:$N$302,$E$3:$E$302,$E252,$C$3:$C$302,"&lt;&gt;U"))</f>
        <v/>
      </c>
      <c r="Q252" s="33" t="str">
        <f aca="false">IF(OR($A252="",$C252="U"),"",IF(COUNTIFS($E$3:$E252,$E252,$C$3:$C252,"&lt;&gt;U")=1,1,0))</f>
        <v/>
      </c>
      <c r="R252" s="33" t="str">
        <f aca="false">IF($Q252=1,$O252-ROW()/100000,"")</f>
        <v/>
      </c>
    </row>
    <row r="253" customFormat="false" ht="15" hidden="false" customHeight="false" outlineLevel="0" collapsed="false">
      <c r="M253" s="33" t="str">
        <f aca="false">IF($A253="","",HOUR($A253))</f>
        <v/>
      </c>
      <c r="N253" s="34" t="str">
        <f aca="false">IF($A253="","",$I253*$K253)</f>
        <v/>
      </c>
      <c r="O253" s="33" t="str">
        <f aca="false">IF(OR($A253="",$C253="U"),"",SUMIFS($I$3:$I$302,$E$3:$E$302,$E253,$C$3:$C$302,"&lt;&gt;U"))</f>
        <v/>
      </c>
      <c r="P253" s="33" t="str">
        <f aca="false">IF(OR($A253="",$C253="U"),"",SUMIFS($N$3:$N$302,$E$3:$E$302,$E253,$C$3:$C$302,"&lt;&gt;U"))</f>
        <v/>
      </c>
      <c r="Q253" s="33" t="str">
        <f aca="false">IF(OR($A253="",$C253="U"),"",IF(COUNTIFS($E$3:$E253,$E253,$C$3:$C253,"&lt;&gt;U")=1,1,0))</f>
        <v/>
      </c>
      <c r="R253" s="33" t="str">
        <f aca="false">IF($Q253=1,$O253-ROW()/100000,"")</f>
        <v/>
      </c>
    </row>
    <row r="254" customFormat="false" ht="15" hidden="false" customHeight="false" outlineLevel="0" collapsed="false">
      <c r="M254" s="33" t="str">
        <f aca="false">IF($A254="","",HOUR($A254))</f>
        <v/>
      </c>
      <c r="N254" s="34" t="str">
        <f aca="false">IF($A254="","",$I254*$K254)</f>
        <v/>
      </c>
      <c r="O254" s="33" t="str">
        <f aca="false">IF(OR($A254="",$C254="U"),"",SUMIFS($I$3:$I$302,$E$3:$E$302,$E254,$C$3:$C$302,"&lt;&gt;U"))</f>
        <v/>
      </c>
      <c r="P254" s="33" t="str">
        <f aca="false">IF(OR($A254="",$C254="U"),"",SUMIFS($N$3:$N$302,$E$3:$E$302,$E254,$C$3:$C$302,"&lt;&gt;U"))</f>
        <v/>
      </c>
      <c r="Q254" s="33" t="str">
        <f aca="false">IF(OR($A254="",$C254="U"),"",IF(COUNTIFS($E$3:$E254,$E254,$C$3:$C254,"&lt;&gt;U")=1,1,0))</f>
        <v/>
      </c>
      <c r="R254" s="33" t="str">
        <f aca="false">IF($Q254=1,$O254-ROW()/100000,"")</f>
        <v/>
      </c>
    </row>
    <row r="255" customFormat="false" ht="15" hidden="false" customHeight="false" outlineLevel="0" collapsed="false">
      <c r="M255" s="33" t="str">
        <f aca="false">IF($A255="","",HOUR($A255))</f>
        <v/>
      </c>
      <c r="N255" s="34" t="str">
        <f aca="false">IF($A255="","",$I255*$K255)</f>
        <v/>
      </c>
      <c r="O255" s="33" t="str">
        <f aca="false">IF(OR($A255="",$C255="U"),"",SUMIFS($I$3:$I$302,$E$3:$E$302,$E255,$C$3:$C$302,"&lt;&gt;U"))</f>
        <v/>
      </c>
      <c r="P255" s="33" t="str">
        <f aca="false">IF(OR($A255="",$C255="U"),"",SUMIFS($N$3:$N$302,$E$3:$E$302,$E255,$C$3:$C$302,"&lt;&gt;U"))</f>
        <v/>
      </c>
      <c r="Q255" s="33" t="str">
        <f aca="false">IF(OR($A255="",$C255="U"),"",IF(COUNTIFS($E$3:$E255,$E255,$C$3:$C255,"&lt;&gt;U")=1,1,0))</f>
        <v/>
      </c>
      <c r="R255" s="33" t="str">
        <f aca="false">IF($Q255=1,$O255-ROW()/100000,"")</f>
        <v/>
      </c>
    </row>
    <row r="256" customFormat="false" ht="15" hidden="false" customHeight="false" outlineLevel="0" collapsed="false">
      <c r="M256" s="33" t="str">
        <f aca="false">IF($A256="","",HOUR($A256))</f>
        <v/>
      </c>
      <c r="N256" s="34" t="str">
        <f aca="false">IF($A256="","",$I256*$K256)</f>
        <v/>
      </c>
      <c r="O256" s="33" t="str">
        <f aca="false">IF(OR($A256="",$C256="U"),"",SUMIFS($I$3:$I$302,$E$3:$E$302,$E256,$C$3:$C$302,"&lt;&gt;U"))</f>
        <v/>
      </c>
      <c r="P256" s="33" t="str">
        <f aca="false">IF(OR($A256="",$C256="U"),"",SUMIFS($N$3:$N$302,$E$3:$E$302,$E256,$C$3:$C$302,"&lt;&gt;U"))</f>
        <v/>
      </c>
      <c r="Q256" s="33" t="str">
        <f aca="false">IF(OR($A256="",$C256="U"),"",IF(COUNTIFS($E$3:$E256,$E256,$C$3:$C256,"&lt;&gt;U")=1,1,0))</f>
        <v/>
      </c>
      <c r="R256" s="33" t="str">
        <f aca="false">IF($Q256=1,$O256-ROW()/100000,"")</f>
        <v/>
      </c>
    </row>
    <row r="257" customFormat="false" ht="15" hidden="false" customHeight="false" outlineLevel="0" collapsed="false">
      <c r="M257" s="33" t="str">
        <f aca="false">IF($A257="","",HOUR($A257))</f>
        <v/>
      </c>
      <c r="N257" s="34" t="str">
        <f aca="false">IF($A257="","",$I257*$K257)</f>
        <v/>
      </c>
      <c r="O257" s="33" t="str">
        <f aca="false">IF(OR($A257="",$C257="U"),"",SUMIFS($I$3:$I$302,$E$3:$E$302,$E257,$C$3:$C$302,"&lt;&gt;U"))</f>
        <v/>
      </c>
      <c r="P257" s="33" t="str">
        <f aca="false">IF(OR($A257="",$C257="U"),"",SUMIFS($N$3:$N$302,$E$3:$E$302,$E257,$C$3:$C$302,"&lt;&gt;U"))</f>
        <v/>
      </c>
      <c r="Q257" s="33" t="str">
        <f aca="false">IF(OR($A257="",$C257="U"),"",IF(COUNTIFS($E$3:$E257,$E257,$C$3:$C257,"&lt;&gt;U")=1,1,0))</f>
        <v/>
      </c>
      <c r="R257" s="33" t="str">
        <f aca="false">IF($Q257=1,$O257-ROW()/100000,"")</f>
        <v/>
      </c>
    </row>
    <row r="258" customFormat="false" ht="15" hidden="false" customHeight="false" outlineLevel="0" collapsed="false">
      <c r="M258" s="33" t="str">
        <f aca="false">IF($A258="","",HOUR($A258))</f>
        <v/>
      </c>
      <c r="N258" s="34" t="str">
        <f aca="false">IF($A258="","",$I258*$K258)</f>
        <v/>
      </c>
      <c r="O258" s="33" t="str">
        <f aca="false">IF(OR($A258="",$C258="U"),"",SUMIFS($I$3:$I$302,$E$3:$E$302,$E258,$C$3:$C$302,"&lt;&gt;U"))</f>
        <v/>
      </c>
      <c r="P258" s="33" t="str">
        <f aca="false">IF(OR($A258="",$C258="U"),"",SUMIFS($N$3:$N$302,$E$3:$E$302,$E258,$C$3:$C$302,"&lt;&gt;U"))</f>
        <v/>
      </c>
      <c r="Q258" s="33" t="str">
        <f aca="false">IF(OR($A258="",$C258="U"),"",IF(COUNTIFS($E$3:$E258,$E258,$C$3:$C258,"&lt;&gt;U")=1,1,0))</f>
        <v/>
      </c>
      <c r="R258" s="33" t="str">
        <f aca="false">IF($Q258=1,$O258-ROW()/100000,"")</f>
        <v/>
      </c>
    </row>
    <row r="259" customFormat="false" ht="15" hidden="false" customHeight="false" outlineLevel="0" collapsed="false">
      <c r="M259" s="33" t="str">
        <f aca="false">IF($A259="","",HOUR($A259))</f>
        <v/>
      </c>
      <c r="N259" s="34" t="str">
        <f aca="false">IF($A259="","",$I259*$K259)</f>
        <v/>
      </c>
      <c r="O259" s="33" t="str">
        <f aca="false">IF(OR($A259="",$C259="U"),"",SUMIFS($I$3:$I$302,$E$3:$E$302,$E259,$C$3:$C$302,"&lt;&gt;U"))</f>
        <v/>
      </c>
      <c r="P259" s="33" t="str">
        <f aca="false">IF(OR($A259="",$C259="U"),"",SUMIFS($N$3:$N$302,$E$3:$E$302,$E259,$C$3:$C$302,"&lt;&gt;U"))</f>
        <v/>
      </c>
      <c r="Q259" s="33" t="str">
        <f aca="false">IF(OR($A259="",$C259="U"),"",IF(COUNTIFS($E$3:$E259,$E259,$C$3:$C259,"&lt;&gt;U")=1,1,0))</f>
        <v/>
      </c>
      <c r="R259" s="33" t="str">
        <f aca="false">IF($Q259=1,$O259-ROW()/100000,"")</f>
        <v/>
      </c>
    </row>
    <row r="260" customFormat="false" ht="15" hidden="false" customHeight="false" outlineLevel="0" collapsed="false">
      <c r="M260" s="33" t="str">
        <f aca="false">IF($A260="","",HOUR($A260))</f>
        <v/>
      </c>
      <c r="N260" s="34" t="str">
        <f aca="false">IF($A260="","",$I260*$K260)</f>
        <v/>
      </c>
      <c r="O260" s="33" t="str">
        <f aca="false">IF(OR($A260="",$C260="U"),"",SUMIFS($I$3:$I$302,$E$3:$E$302,$E260,$C$3:$C$302,"&lt;&gt;U"))</f>
        <v/>
      </c>
      <c r="P260" s="33" t="str">
        <f aca="false">IF(OR($A260="",$C260="U"),"",SUMIFS($N$3:$N$302,$E$3:$E$302,$E260,$C$3:$C$302,"&lt;&gt;U"))</f>
        <v/>
      </c>
      <c r="Q260" s="33" t="str">
        <f aca="false">IF(OR($A260="",$C260="U"),"",IF(COUNTIFS($E$3:$E260,$E260,$C$3:$C260,"&lt;&gt;U")=1,1,0))</f>
        <v/>
      </c>
      <c r="R260" s="33" t="str">
        <f aca="false">IF($Q260=1,$O260-ROW()/100000,"")</f>
        <v/>
      </c>
    </row>
    <row r="261" customFormat="false" ht="15" hidden="false" customHeight="false" outlineLevel="0" collapsed="false">
      <c r="M261" s="33" t="str">
        <f aca="false">IF($A261="","",HOUR($A261))</f>
        <v/>
      </c>
      <c r="N261" s="34" t="str">
        <f aca="false">IF($A261="","",$I261*$K261)</f>
        <v/>
      </c>
      <c r="O261" s="33" t="str">
        <f aca="false">IF(OR($A261="",$C261="U"),"",SUMIFS($I$3:$I$302,$E$3:$E$302,$E261,$C$3:$C$302,"&lt;&gt;U"))</f>
        <v/>
      </c>
      <c r="P261" s="33" t="str">
        <f aca="false">IF(OR($A261="",$C261="U"),"",SUMIFS($N$3:$N$302,$E$3:$E$302,$E261,$C$3:$C$302,"&lt;&gt;U"))</f>
        <v/>
      </c>
      <c r="Q261" s="33" t="str">
        <f aca="false">IF(OR($A261="",$C261="U"),"",IF(COUNTIFS($E$3:$E261,$E261,$C$3:$C261,"&lt;&gt;U")=1,1,0))</f>
        <v/>
      </c>
      <c r="R261" s="33" t="str">
        <f aca="false">IF($Q261=1,$O261-ROW()/100000,"")</f>
        <v/>
      </c>
    </row>
    <row r="262" customFormat="false" ht="15" hidden="false" customHeight="false" outlineLevel="0" collapsed="false">
      <c r="M262" s="33" t="str">
        <f aca="false">IF($A262="","",HOUR($A262))</f>
        <v/>
      </c>
      <c r="N262" s="34" t="str">
        <f aca="false">IF($A262="","",$I262*$K262)</f>
        <v/>
      </c>
      <c r="O262" s="33" t="str">
        <f aca="false">IF(OR($A262="",$C262="U"),"",SUMIFS($I$3:$I$302,$E$3:$E$302,$E262,$C$3:$C$302,"&lt;&gt;U"))</f>
        <v/>
      </c>
      <c r="P262" s="33" t="str">
        <f aca="false">IF(OR($A262="",$C262="U"),"",SUMIFS($N$3:$N$302,$E$3:$E$302,$E262,$C$3:$C$302,"&lt;&gt;U"))</f>
        <v/>
      </c>
      <c r="Q262" s="33" t="str">
        <f aca="false">IF(OR($A262="",$C262="U"),"",IF(COUNTIFS($E$3:$E262,$E262,$C$3:$C262,"&lt;&gt;U")=1,1,0))</f>
        <v/>
      </c>
      <c r="R262" s="33" t="str">
        <f aca="false">IF($Q262=1,$O262-ROW()/100000,"")</f>
        <v/>
      </c>
    </row>
    <row r="263" customFormat="false" ht="15" hidden="false" customHeight="false" outlineLevel="0" collapsed="false">
      <c r="M263" s="33" t="str">
        <f aca="false">IF($A263="","",HOUR($A263))</f>
        <v/>
      </c>
      <c r="N263" s="34" t="str">
        <f aca="false">IF($A263="","",$I263*$K263)</f>
        <v/>
      </c>
      <c r="O263" s="33" t="str">
        <f aca="false">IF(OR($A263="",$C263="U"),"",SUMIFS($I$3:$I$302,$E$3:$E$302,$E263,$C$3:$C$302,"&lt;&gt;U"))</f>
        <v/>
      </c>
      <c r="P263" s="33" t="str">
        <f aca="false">IF(OR($A263="",$C263="U"),"",SUMIFS($N$3:$N$302,$E$3:$E$302,$E263,$C$3:$C$302,"&lt;&gt;U"))</f>
        <v/>
      </c>
      <c r="Q263" s="33" t="str">
        <f aca="false">IF(OR($A263="",$C263="U"),"",IF(COUNTIFS($E$3:$E263,$E263,$C$3:$C263,"&lt;&gt;U")=1,1,0))</f>
        <v/>
      </c>
      <c r="R263" s="33" t="str">
        <f aca="false">IF($Q263=1,$O263-ROW()/100000,"")</f>
        <v/>
      </c>
    </row>
    <row r="264" customFormat="false" ht="15" hidden="false" customHeight="false" outlineLevel="0" collapsed="false">
      <c r="M264" s="33" t="str">
        <f aca="false">IF($A264="","",HOUR($A264))</f>
        <v/>
      </c>
      <c r="N264" s="34" t="str">
        <f aca="false">IF($A264="","",$I264*$K264)</f>
        <v/>
      </c>
      <c r="O264" s="33" t="str">
        <f aca="false">IF(OR($A264="",$C264="U"),"",SUMIFS($I$3:$I$302,$E$3:$E$302,$E264,$C$3:$C$302,"&lt;&gt;U"))</f>
        <v/>
      </c>
      <c r="P264" s="33" t="str">
        <f aca="false">IF(OR($A264="",$C264="U"),"",SUMIFS($N$3:$N$302,$E$3:$E$302,$E264,$C$3:$C$302,"&lt;&gt;U"))</f>
        <v/>
      </c>
      <c r="Q264" s="33" t="str">
        <f aca="false">IF(OR($A264="",$C264="U"),"",IF(COUNTIFS($E$3:$E264,$E264,$C$3:$C264,"&lt;&gt;U")=1,1,0))</f>
        <v/>
      </c>
      <c r="R264" s="33" t="str">
        <f aca="false">IF($Q264=1,$O264-ROW()/100000,"")</f>
        <v/>
      </c>
    </row>
    <row r="265" customFormat="false" ht="15" hidden="false" customHeight="false" outlineLevel="0" collapsed="false">
      <c r="M265" s="33" t="str">
        <f aca="false">IF($A265="","",HOUR($A265))</f>
        <v/>
      </c>
      <c r="N265" s="34" t="str">
        <f aca="false">IF($A265="","",$I265*$K265)</f>
        <v/>
      </c>
      <c r="O265" s="33" t="str">
        <f aca="false">IF(OR($A265="",$C265="U"),"",SUMIFS($I$3:$I$302,$E$3:$E$302,$E265,$C$3:$C$302,"&lt;&gt;U"))</f>
        <v/>
      </c>
      <c r="P265" s="33" t="str">
        <f aca="false">IF(OR($A265="",$C265="U"),"",SUMIFS($N$3:$N$302,$E$3:$E$302,$E265,$C$3:$C$302,"&lt;&gt;U"))</f>
        <v/>
      </c>
      <c r="Q265" s="33" t="str">
        <f aca="false">IF(OR($A265="",$C265="U"),"",IF(COUNTIFS($E$3:$E265,$E265,$C$3:$C265,"&lt;&gt;U")=1,1,0))</f>
        <v/>
      </c>
      <c r="R265" s="33" t="str">
        <f aca="false">IF($Q265=1,$O265-ROW()/100000,"")</f>
        <v/>
      </c>
    </row>
    <row r="266" customFormat="false" ht="15" hidden="false" customHeight="false" outlineLevel="0" collapsed="false">
      <c r="M266" s="33" t="str">
        <f aca="false">IF($A266="","",HOUR($A266))</f>
        <v/>
      </c>
      <c r="N266" s="34" t="str">
        <f aca="false">IF($A266="","",$I266*$K266)</f>
        <v/>
      </c>
      <c r="O266" s="33" t="str">
        <f aca="false">IF(OR($A266="",$C266="U"),"",SUMIFS($I$3:$I$302,$E$3:$E$302,$E266,$C$3:$C$302,"&lt;&gt;U"))</f>
        <v/>
      </c>
      <c r="P266" s="33" t="str">
        <f aca="false">IF(OR($A266="",$C266="U"),"",SUMIFS($N$3:$N$302,$E$3:$E$302,$E266,$C$3:$C$302,"&lt;&gt;U"))</f>
        <v/>
      </c>
      <c r="Q266" s="33" t="str">
        <f aca="false">IF(OR($A266="",$C266="U"),"",IF(COUNTIFS($E$3:$E266,$E266,$C$3:$C266,"&lt;&gt;U")=1,1,0))</f>
        <v/>
      </c>
      <c r="R266" s="33" t="str">
        <f aca="false">IF($Q266=1,$O266-ROW()/100000,"")</f>
        <v/>
      </c>
    </row>
    <row r="267" customFormat="false" ht="15" hidden="false" customHeight="false" outlineLevel="0" collapsed="false">
      <c r="M267" s="33" t="str">
        <f aca="false">IF($A267="","",HOUR($A267))</f>
        <v/>
      </c>
      <c r="N267" s="34" t="str">
        <f aca="false">IF($A267="","",$I267*$K267)</f>
        <v/>
      </c>
      <c r="O267" s="33" t="str">
        <f aca="false">IF(OR($A267="",$C267="U"),"",SUMIFS($I$3:$I$302,$E$3:$E$302,$E267,$C$3:$C$302,"&lt;&gt;U"))</f>
        <v/>
      </c>
      <c r="P267" s="33" t="str">
        <f aca="false">IF(OR($A267="",$C267="U"),"",SUMIFS($N$3:$N$302,$E$3:$E$302,$E267,$C$3:$C$302,"&lt;&gt;U"))</f>
        <v/>
      </c>
      <c r="Q267" s="33" t="str">
        <f aca="false">IF(OR($A267="",$C267="U"),"",IF(COUNTIFS($E$3:$E267,$E267,$C$3:$C267,"&lt;&gt;U")=1,1,0))</f>
        <v/>
      </c>
      <c r="R267" s="33" t="str">
        <f aca="false">IF($Q267=1,$O267-ROW()/100000,"")</f>
        <v/>
      </c>
    </row>
    <row r="268" customFormat="false" ht="15" hidden="false" customHeight="false" outlineLevel="0" collapsed="false">
      <c r="M268" s="33" t="str">
        <f aca="false">IF($A268="","",HOUR($A268))</f>
        <v/>
      </c>
      <c r="N268" s="34" t="str">
        <f aca="false">IF($A268="","",$I268*$K268)</f>
        <v/>
      </c>
      <c r="O268" s="33" t="str">
        <f aca="false">IF(OR($A268="",$C268="U"),"",SUMIFS($I$3:$I$302,$E$3:$E$302,$E268,$C$3:$C$302,"&lt;&gt;U"))</f>
        <v/>
      </c>
      <c r="P268" s="33" t="str">
        <f aca="false">IF(OR($A268="",$C268="U"),"",SUMIFS($N$3:$N$302,$E$3:$E$302,$E268,$C$3:$C$302,"&lt;&gt;U"))</f>
        <v/>
      </c>
      <c r="Q268" s="33" t="str">
        <f aca="false">IF(OR($A268="",$C268="U"),"",IF(COUNTIFS($E$3:$E268,$E268,$C$3:$C268,"&lt;&gt;U")=1,1,0))</f>
        <v/>
      </c>
      <c r="R268" s="33" t="str">
        <f aca="false">IF($Q268=1,$O268-ROW()/100000,"")</f>
        <v/>
      </c>
    </row>
    <row r="269" customFormat="false" ht="15" hidden="false" customHeight="false" outlineLevel="0" collapsed="false">
      <c r="M269" s="33" t="str">
        <f aca="false">IF($A269="","",HOUR($A269))</f>
        <v/>
      </c>
      <c r="N269" s="34" t="str">
        <f aca="false">IF($A269="","",$I269*$K269)</f>
        <v/>
      </c>
      <c r="O269" s="33" t="str">
        <f aca="false">IF(OR($A269="",$C269="U"),"",SUMIFS($I$3:$I$302,$E$3:$E$302,$E269,$C$3:$C$302,"&lt;&gt;U"))</f>
        <v/>
      </c>
      <c r="P269" s="33" t="str">
        <f aca="false">IF(OR($A269="",$C269="U"),"",SUMIFS($N$3:$N$302,$E$3:$E$302,$E269,$C$3:$C$302,"&lt;&gt;U"))</f>
        <v/>
      </c>
      <c r="Q269" s="33" t="str">
        <f aca="false">IF(OR($A269="",$C269="U"),"",IF(COUNTIFS($E$3:$E269,$E269,$C$3:$C269,"&lt;&gt;U")=1,1,0))</f>
        <v/>
      </c>
      <c r="R269" s="33" t="str">
        <f aca="false">IF($Q269=1,$O269-ROW()/100000,"")</f>
        <v/>
      </c>
    </row>
    <row r="270" customFormat="false" ht="15" hidden="false" customHeight="false" outlineLevel="0" collapsed="false">
      <c r="M270" s="33" t="str">
        <f aca="false">IF($A270="","",HOUR($A270))</f>
        <v/>
      </c>
      <c r="N270" s="34" t="str">
        <f aca="false">IF($A270="","",$I270*$K270)</f>
        <v/>
      </c>
      <c r="O270" s="33" t="str">
        <f aca="false">IF(OR($A270="",$C270="U"),"",SUMIFS($I$3:$I$302,$E$3:$E$302,$E270,$C$3:$C$302,"&lt;&gt;U"))</f>
        <v/>
      </c>
      <c r="P270" s="33" t="str">
        <f aca="false">IF(OR($A270="",$C270="U"),"",SUMIFS($N$3:$N$302,$E$3:$E$302,$E270,$C$3:$C$302,"&lt;&gt;U"))</f>
        <v/>
      </c>
      <c r="Q270" s="33" t="str">
        <f aca="false">IF(OR($A270="",$C270="U"),"",IF(COUNTIFS($E$3:$E270,$E270,$C$3:$C270,"&lt;&gt;U")=1,1,0))</f>
        <v/>
      </c>
      <c r="R270" s="33" t="str">
        <f aca="false">IF($Q270=1,$O270-ROW()/100000,"")</f>
        <v/>
      </c>
    </row>
    <row r="271" customFormat="false" ht="15" hidden="false" customHeight="false" outlineLevel="0" collapsed="false">
      <c r="M271" s="33" t="str">
        <f aca="false">IF($A271="","",HOUR($A271))</f>
        <v/>
      </c>
      <c r="N271" s="34" t="str">
        <f aca="false">IF($A271="","",$I271*$K271)</f>
        <v/>
      </c>
      <c r="O271" s="33" t="str">
        <f aca="false">IF(OR($A271="",$C271="U"),"",SUMIFS($I$3:$I$302,$E$3:$E$302,$E271,$C$3:$C$302,"&lt;&gt;U"))</f>
        <v/>
      </c>
      <c r="P271" s="33" t="str">
        <f aca="false">IF(OR($A271="",$C271="U"),"",SUMIFS($N$3:$N$302,$E$3:$E$302,$E271,$C$3:$C$302,"&lt;&gt;U"))</f>
        <v/>
      </c>
      <c r="Q271" s="33" t="str">
        <f aca="false">IF(OR($A271="",$C271="U"),"",IF(COUNTIFS($E$3:$E271,$E271,$C$3:$C271,"&lt;&gt;U")=1,1,0))</f>
        <v/>
      </c>
      <c r="R271" s="33" t="str">
        <f aca="false">IF($Q271=1,$O271-ROW()/100000,"")</f>
        <v/>
      </c>
    </row>
    <row r="272" customFormat="false" ht="15" hidden="false" customHeight="false" outlineLevel="0" collapsed="false">
      <c r="M272" s="33" t="str">
        <f aca="false">IF($A272="","",HOUR($A272))</f>
        <v/>
      </c>
      <c r="N272" s="34" t="str">
        <f aca="false">IF($A272="","",$I272*$K272)</f>
        <v/>
      </c>
      <c r="O272" s="33" t="str">
        <f aca="false">IF(OR($A272="",$C272="U"),"",SUMIFS($I$3:$I$302,$E$3:$E$302,$E272,$C$3:$C$302,"&lt;&gt;U"))</f>
        <v/>
      </c>
      <c r="P272" s="33" t="str">
        <f aca="false">IF(OR($A272="",$C272="U"),"",SUMIFS($N$3:$N$302,$E$3:$E$302,$E272,$C$3:$C$302,"&lt;&gt;U"))</f>
        <v/>
      </c>
      <c r="Q272" s="33" t="str">
        <f aca="false">IF(OR($A272="",$C272="U"),"",IF(COUNTIFS($E$3:$E272,$E272,$C$3:$C272,"&lt;&gt;U")=1,1,0))</f>
        <v/>
      </c>
      <c r="R272" s="33" t="str">
        <f aca="false">IF($Q272=1,$O272-ROW()/100000,"")</f>
        <v/>
      </c>
    </row>
    <row r="273" customFormat="false" ht="15" hidden="false" customHeight="false" outlineLevel="0" collapsed="false">
      <c r="M273" s="33" t="str">
        <f aca="false">IF($A273="","",HOUR($A273))</f>
        <v/>
      </c>
      <c r="N273" s="34" t="str">
        <f aca="false">IF($A273="","",$I273*$K273)</f>
        <v/>
      </c>
      <c r="O273" s="33" t="str">
        <f aca="false">IF(OR($A273="",$C273="U"),"",SUMIFS($I$3:$I$302,$E$3:$E$302,$E273,$C$3:$C$302,"&lt;&gt;U"))</f>
        <v/>
      </c>
      <c r="P273" s="33" t="str">
        <f aca="false">IF(OR($A273="",$C273="U"),"",SUMIFS($N$3:$N$302,$E$3:$E$302,$E273,$C$3:$C$302,"&lt;&gt;U"))</f>
        <v/>
      </c>
      <c r="Q273" s="33" t="str">
        <f aca="false">IF(OR($A273="",$C273="U"),"",IF(COUNTIFS($E$3:$E273,$E273,$C$3:$C273,"&lt;&gt;U")=1,1,0))</f>
        <v/>
      </c>
      <c r="R273" s="33" t="str">
        <f aca="false">IF($Q273=1,$O273-ROW()/100000,"")</f>
        <v/>
      </c>
    </row>
    <row r="274" customFormat="false" ht="15" hidden="false" customHeight="false" outlineLevel="0" collapsed="false">
      <c r="M274" s="33" t="str">
        <f aca="false">IF($A274="","",HOUR($A274))</f>
        <v/>
      </c>
      <c r="N274" s="34" t="str">
        <f aca="false">IF($A274="","",$I274*$K274)</f>
        <v/>
      </c>
      <c r="O274" s="33" t="str">
        <f aca="false">IF(OR($A274="",$C274="U"),"",SUMIFS($I$3:$I$302,$E$3:$E$302,$E274,$C$3:$C$302,"&lt;&gt;U"))</f>
        <v/>
      </c>
      <c r="P274" s="33" t="str">
        <f aca="false">IF(OR($A274="",$C274="U"),"",SUMIFS($N$3:$N$302,$E$3:$E$302,$E274,$C$3:$C$302,"&lt;&gt;U"))</f>
        <v/>
      </c>
      <c r="Q274" s="33" t="str">
        <f aca="false">IF(OR($A274="",$C274="U"),"",IF(COUNTIFS($E$3:$E274,$E274,$C$3:$C274,"&lt;&gt;U")=1,1,0))</f>
        <v/>
      </c>
      <c r="R274" s="33" t="str">
        <f aca="false">IF($Q274=1,$O274-ROW()/100000,"")</f>
        <v/>
      </c>
    </row>
    <row r="275" customFormat="false" ht="15" hidden="false" customHeight="false" outlineLevel="0" collapsed="false">
      <c r="M275" s="33" t="str">
        <f aca="false">IF($A275="","",HOUR($A275))</f>
        <v/>
      </c>
      <c r="N275" s="34" t="str">
        <f aca="false">IF($A275="","",$I275*$K275)</f>
        <v/>
      </c>
      <c r="O275" s="33" t="str">
        <f aca="false">IF(OR($A275="",$C275="U"),"",SUMIFS($I$3:$I$302,$E$3:$E$302,$E275,$C$3:$C$302,"&lt;&gt;U"))</f>
        <v/>
      </c>
      <c r="P275" s="33" t="str">
        <f aca="false">IF(OR($A275="",$C275="U"),"",SUMIFS($N$3:$N$302,$E$3:$E$302,$E275,$C$3:$C$302,"&lt;&gt;U"))</f>
        <v/>
      </c>
      <c r="Q275" s="33" t="str">
        <f aca="false">IF(OR($A275="",$C275="U"),"",IF(COUNTIFS($E$3:$E275,$E275,$C$3:$C275,"&lt;&gt;U")=1,1,0))</f>
        <v/>
      </c>
      <c r="R275" s="33" t="str">
        <f aca="false">IF($Q275=1,$O275-ROW()/100000,"")</f>
        <v/>
      </c>
    </row>
    <row r="276" customFormat="false" ht="15" hidden="false" customHeight="false" outlineLevel="0" collapsed="false">
      <c r="M276" s="33" t="str">
        <f aca="false">IF($A276="","",HOUR($A276))</f>
        <v/>
      </c>
      <c r="N276" s="34" t="str">
        <f aca="false">IF($A276="","",$I276*$K276)</f>
        <v/>
      </c>
      <c r="O276" s="33" t="str">
        <f aca="false">IF(OR($A276="",$C276="U"),"",SUMIFS($I$3:$I$302,$E$3:$E$302,$E276,$C$3:$C$302,"&lt;&gt;U"))</f>
        <v/>
      </c>
      <c r="P276" s="33" t="str">
        <f aca="false">IF(OR($A276="",$C276="U"),"",SUMIFS($N$3:$N$302,$E$3:$E$302,$E276,$C$3:$C$302,"&lt;&gt;U"))</f>
        <v/>
      </c>
      <c r="Q276" s="33" t="str">
        <f aca="false">IF(OR($A276="",$C276="U"),"",IF(COUNTIFS($E$3:$E276,$E276,$C$3:$C276,"&lt;&gt;U")=1,1,0))</f>
        <v/>
      </c>
      <c r="R276" s="33" t="str">
        <f aca="false">IF($Q276=1,$O276-ROW()/100000,"")</f>
        <v/>
      </c>
    </row>
    <row r="277" customFormat="false" ht="15" hidden="false" customHeight="false" outlineLevel="0" collapsed="false">
      <c r="M277" s="33" t="str">
        <f aca="false">IF($A277="","",HOUR($A277))</f>
        <v/>
      </c>
      <c r="N277" s="34" t="str">
        <f aca="false">IF($A277="","",$I277*$K277)</f>
        <v/>
      </c>
      <c r="O277" s="33" t="str">
        <f aca="false">IF(OR($A277="",$C277="U"),"",SUMIFS($I$3:$I$302,$E$3:$E$302,$E277,$C$3:$C$302,"&lt;&gt;U"))</f>
        <v/>
      </c>
      <c r="P277" s="33" t="str">
        <f aca="false">IF(OR($A277="",$C277="U"),"",SUMIFS($N$3:$N$302,$E$3:$E$302,$E277,$C$3:$C$302,"&lt;&gt;U"))</f>
        <v/>
      </c>
      <c r="Q277" s="33" t="str">
        <f aca="false">IF(OR($A277="",$C277="U"),"",IF(COUNTIFS($E$3:$E277,$E277,$C$3:$C277,"&lt;&gt;U")=1,1,0))</f>
        <v/>
      </c>
      <c r="R277" s="33" t="str">
        <f aca="false">IF($Q277=1,$O277-ROW()/100000,"")</f>
        <v/>
      </c>
    </row>
    <row r="278" customFormat="false" ht="15" hidden="false" customHeight="false" outlineLevel="0" collapsed="false">
      <c r="M278" s="33" t="str">
        <f aca="false">IF($A278="","",HOUR($A278))</f>
        <v/>
      </c>
      <c r="N278" s="34" t="str">
        <f aca="false">IF($A278="","",$I278*$K278)</f>
        <v/>
      </c>
      <c r="O278" s="33" t="str">
        <f aca="false">IF(OR($A278="",$C278="U"),"",SUMIFS($I$3:$I$302,$E$3:$E$302,$E278,$C$3:$C$302,"&lt;&gt;U"))</f>
        <v/>
      </c>
      <c r="P278" s="33" t="str">
        <f aca="false">IF(OR($A278="",$C278="U"),"",SUMIFS($N$3:$N$302,$E$3:$E$302,$E278,$C$3:$C$302,"&lt;&gt;U"))</f>
        <v/>
      </c>
      <c r="Q278" s="33" t="str">
        <f aca="false">IF(OR($A278="",$C278="U"),"",IF(COUNTIFS($E$3:$E278,$E278,$C$3:$C278,"&lt;&gt;U")=1,1,0))</f>
        <v/>
      </c>
      <c r="R278" s="33" t="str">
        <f aca="false">IF($Q278=1,$O278-ROW()/100000,"")</f>
        <v/>
      </c>
    </row>
    <row r="279" customFormat="false" ht="15" hidden="false" customHeight="false" outlineLevel="0" collapsed="false">
      <c r="M279" s="33" t="str">
        <f aca="false">IF($A279="","",HOUR($A279))</f>
        <v/>
      </c>
      <c r="N279" s="34" t="str">
        <f aca="false">IF($A279="","",$I279*$K279)</f>
        <v/>
      </c>
      <c r="O279" s="33" t="str">
        <f aca="false">IF(OR($A279="",$C279="U"),"",SUMIFS($I$3:$I$302,$E$3:$E$302,$E279,$C$3:$C$302,"&lt;&gt;U"))</f>
        <v/>
      </c>
      <c r="P279" s="33" t="str">
        <f aca="false">IF(OR($A279="",$C279="U"),"",SUMIFS($N$3:$N$302,$E$3:$E$302,$E279,$C$3:$C$302,"&lt;&gt;U"))</f>
        <v/>
      </c>
      <c r="Q279" s="33" t="str">
        <f aca="false">IF(OR($A279="",$C279="U"),"",IF(COUNTIFS($E$3:$E279,$E279,$C$3:$C279,"&lt;&gt;U")=1,1,0))</f>
        <v/>
      </c>
      <c r="R279" s="33" t="str">
        <f aca="false">IF($Q279=1,$O279-ROW()/100000,"")</f>
        <v/>
      </c>
    </row>
    <row r="280" customFormat="false" ht="15" hidden="false" customHeight="false" outlineLevel="0" collapsed="false">
      <c r="M280" s="33" t="str">
        <f aca="false">IF($A280="","",HOUR($A280))</f>
        <v/>
      </c>
      <c r="N280" s="34" t="str">
        <f aca="false">IF($A280="","",$I280*$K280)</f>
        <v/>
      </c>
      <c r="O280" s="33" t="str">
        <f aca="false">IF(OR($A280="",$C280="U"),"",SUMIFS($I$3:$I$302,$E$3:$E$302,$E280,$C$3:$C$302,"&lt;&gt;U"))</f>
        <v/>
      </c>
      <c r="P280" s="33" t="str">
        <f aca="false">IF(OR($A280="",$C280="U"),"",SUMIFS($N$3:$N$302,$E$3:$E$302,$E280,$C$3:$C$302,"&lt;&gt;U"))</f>
        <v/>
      </c>
      <c r="Q280" s="33" t="str">
        <f aca="false">IF(OR($A280="",$C280="U"),"",IF(COUNTIFS($E$3:$E280,$E280,$C$3:$C280,"&lt;&gt;U")=1,1,0))</f>
        <v/>
      </c>
      <c r="R280" s="33" t="str">
        <f aca="false">IF($Q280=1,$O280-ROW()/100000,"")</f>
        <v/>
      </c>
    </row>
    <row r="281" customFormat="false" ht="15" hidden="false" customHeight="false" outlineLevel="0" collapsed="false">
      <c r="M281" s="33" t="str">
        <f aca="false">IF($A281="","",HOUR($A281))</f>
        <v/>
      </c>
      <c r="N281" s="34" t="str">
        <f aca="false">IF($A281="","",$I281*$K281)</f>
        <v/>
      </c>
      <c r="O281" s="33" t="str">
        <f aca="false">IF(OR($A281="",$C281="U"),"",SUMIFS($I$3:$I$302,$E$3:$E$302,$E281,$C$3:$C$302,"&lt;&gt;U"))</f>
        <v/>
      </c>
      <c r="P281" s="33" t="str">
        <f aca="false">IF(OR($A281="",$C281="U"),"",SUMIFS($N$3:$N$302,$E$3:$E$302,$E281,$C$3:$C$302,"&lt;&gt;U"))</f>
        <v/>
      </c>
      <c r="Q281" s="33" t="str">
        <f aca="false">IF(OR($A281="",$C281="U"),"",IF(COUNTIFS($E$3:$E281,$E281,$C$3:$C281,"&lt;&gt;U")=1,1,0))</f>
        <v/>
      </c>
      <c r="R281" s="33" t="str">
        <f aca="false">IF($Q281=1,$O281-ROW()/100000,"")</f>
        <v/>
      </c>
    </row>
    <row r="282" customFormat="false" ht="15" hidden="false" customHeight="false" outlineLevel="0" collapsed="false">
      <c r="M282" s="33" t="str">
        <f aca="false">IF($A282="","",HOUR($A282))</f>
        <v/>
      </c>
      <c r="N282" s="34" t="str">
        <f aca="false">IF($A282="","",$I282*$K282)</f>
        <v/>
      </c>
      <c r="O282" s="33" t="str">
        <f aca="false">IF(OR($A282="",$C282="U"),"",SUMIFS($I$3:$I$302,$E$3:$E$302,$E282,$C$3:$C$302,"&lt;&gt;U"))</f>
        <v/>
      </c>
      <c r="P282" s="33" t="str">
        <f aca="false">IF(OR($A282="",$C282="U"),"",SUMIFS($N$3:$N$302,$E$3:$E$302,$E282,$C$3:$C$302,"&lt;&gt;U"))</f>
        <v/>
      </c>
      <c r="Q282" s="33" t="str">
        <f aca="false">IF(OR($A282="",$C282="U"),"",IF(COUNTIFS($E$3:$E282,$E282,$C$3:$C282,"&lt;&gt;U")=1,1,0))</f>
        <v/>
      </c>
      <c r="R282" s="33" t="str">
        <f aca="false">IF($Q282=1,$O282-ROW()/100000,"")</f>
        <v/>
      </c>
    </row>
    <row r="283" customFormat="false" ht="15" hidden="false" customHeight="false" outlineLevel="0" collapsed="false">
      <c r="M283" s="33" t="str">
        <f aca="false">IF($A283="","",HOUR($A283))</f>
        <v/>
      </c>
      <c r="N283" s="34" t="str">
        <f aca="false">IF($A283="","",$I283*$K283)</f>
        <v/>
      </c>
      <c r="O283" s="33" t="str">
        <f aca="false">IF(OR($A283="",$C283="U"),"",SUMIFS($I$3:$I$302,$E$3:$E$302,$E283,$C$3:$C$302,"&lt;&gt;U"))</f>
        <v/>
      </c>
      <c r="P283" s="33" t="str">
        <f aca="false">IF(OR($A283="",$C283="U"),"",SUMIFS($N$3:$N$302,$E$3:$E$302,$E283,$C$3:$C$302,"&lt;&gt;U"))</f>
        <v/>
      </c>
      <c r="Q283" s="33" t="str">
        <f aca="false">IF(OR($A283="",$C283="U"),"",IF(COUNTIFS($E$3:$E283,$E283,$C$3:$C283,"&lt;&gt;U")=1,1,0))</f>
        <v/>
      </c>
      <c r="R283" s="33" t="str">
        <f aca="false">IF($Q283=1,$O283-ROW()/100000,"")</f>
        <v/>
      </c>
    </row>
    <row r="284" customFormat="false" ht="15" hidden="false" customHeight="false" outlineLevel="0" collapsed="false">
      <c r="M284" s="33" t="str">
        <f aca="false">IF($A284="","",HOUR($A284))</f>
        <v/>
      </c>
      <c r="N284" s="34" t="str">
        <f aca="false">IF($A284="","",$I284*$K284)</f>
        <v/>
      </c>
      <c r="O284" s="33" t="str">
        <f aca="false">IF(OR($A284="",$C284="U"),"",SUMIFS($I$3:$I$302,$E$3:$E$302,$E284,$C$3:$C$302,"&lt;&gt;U"))</f>
        <v/>
      </c>
      <c r="P284" s="33" t="str">
        <f aca="false">IF(OR($A284="",$C284="U"),"",SUMIFS($N$3:$N$302,$E$3:$E$302,$E284,$C$3:$C$302,"&lt;&gt;U"))</f>
        <v/>
      </c>
      <c r="Q284" s="33" t="str">
        <f aca="false">IF(OR($A284="",$C284="U"),"",IF(COUNTIFS($E$3:$E284,$E284,$C$3:$C284,"&lt;&gt;U")=1,1,0))</f>
        <v/>
      </c>
      <c r="R284" s="33" t="str">
        <f aca="false">IF($Q284=1,$O284-ROW()/100000,"")</f>
        <v/>
      </c>
    </row>
    <row r="285" customFormat="false" ht="15" hidden="false" customHeight="false" outlineLevel="0" collapsed="false">
      <c r="M285" s="33" t="str">
        <f aca="false">IF($A285="","",HOUR($A285))</f>
        <v/>
      </c>
      <c r="N285" s="34" t="str">
        <f aca="false">IF($A285="","",$I285*$K285)</f>
        <v/>
      </c>
      <c r="O285" s="33" t="str">
        <f aca="false">IF(OR($A285="",$C285="U"),"",SUMIFS($I$3:$I$302,$E$3:$E$302,$E285,$C$3:$C$302,"&lt;&gt;U"))</f>
        <v/>
      </c>
      <c r="P285" s="33" t="str">
        <f aca="false">IF(OR($A285="",$C285="U"),"",SUMIFS($N$3:$N$302,$E$3:$E$302,$E285,$C$3:$C$302,"&lt;&gt;U"))</f>
        <v/>
      </c>
      <c r="Q285" s="33" t="str">
        <f aca="false">IF(OR($A285="",$C285="U"),"",IF(COUNTIFS($E$3:$E285,$E285,$C$3:$C285,"&lt;&gt;U")=1,1,0))</f>
        <v/>
      </c>
      <c r="R285" s="33" t="str">
        <f aca="false">IF($Q285=1,$O285-ROW()/100000,"")</f>
        <v/>
      </c>
    </row>
    <row r="286" customFormat="false" ht="15" hidden="false" customHeight="false" outlineLevel="0" collapsed="false">
      <c r="M286" s="33" t="str">
        <f aca="false">IF($A286="","",HOUR($A286))</f>
        <v/>
      </c>
      <c r="N286" s="34" t="str">
        <f aca="false">IF($A286="","",$I286*$K286)</f>
        <v/>
      </c>
      <c r="O286" s="33" t="str">
        <f aca="false">IF(OR($A286="",$C286="U"),"",SUMIFS($I$3:$I$302,$E$3:$E$302,$E286,$C$3:$C$302,"&lt;&gt;U"))</f>
        <v/>
      </c>
      <c r="P286" s="33" t="str">
        <f aca="false">IF(OR($A286="",$C286="U"),"",SUMIFS($N$3:$N$302,$E$3:$E$302,$E286,$C$3:$C$302,"&lt;&gt;U"))</f>
        <v/>
      </c>
      <c r="Q286" s="33" t="str">
        <f aca="false">IF(OR($A286="",$C286="U"),"",IF(COUNTIFS($E$3:$E286,$E286,$C$3:$C286,"&lt;&gt;U")=1,1,0))</f>
        <v/>
      </c>
      <c r="R286" s="33" t="str">
        <f aca="false">IF($Q286=1,$O286-ROW()/100000,"")</f>
        <v/>
      </c>
    </row>
    <row r="287" customFormat="false" ht="15" hidden="false" customHeight="false" outlineLevel="0" collapsed="false">
      <c r="M287" s="33" t="str">
        <f aca="false">IF($A287="","",HOUR($A287))</f>
        <v/>
      </c>
      <c r="N287" s="34" t="str">
        <f aca="false">IF($A287="","",$I287*$K287)</f>
        <v/>
      </c>
      <c r="O287" s="33" t="str">
        <f aca="false">IF(OR($A287="",$C287="U"),"",SUMIFS($I$3:$I$302,$E$3:$E$302,$E287,$C$3:$C$302,"&lt;&gt;U"))</f>
        <v/>
      </c>
      <c r="P287" s="33" t="str">
        <f aca="false">IF(OR($A287="",$C287="U"),"",SUMIFS($N$3:$N$302,$E$3:$E$302,$E287,$C$3:$C$302,"&lt;&gt;U"))</f>
        <v/>
      </c>
      <c r="Q287" s="33" t="str">
        <f aca="false">IF(OR($A287="",$C287="U"),"",IF(COUNTIFS($E$3:$E287,$E287,$C$3:$C287,"&lt;&gt;U")=1,1,0))</f>
        <v/>
      </c>
      <c r="R287" s="33" t="str">
        <f aca="false">IF($Q287=1,$O287-ROW()/100000,"")</f>
        <v/>
      </c>
    </row>
    <row r="288" customFormat="false" ht="15" hidden="false" customHeight="false" outlineLevel="0" collapsed="false">
      <c r="M288" s="33" t="str">
        <f aca="false">IF($A288="","",HOUR($A288))</f>
        <v/>
      </c>
      <c r="N288" s="34" t="str">
        <f aca="false">IF($A288="","",$I288*$K288)</f>
        <v/>
      </c>
      <c r="O288" s="33" t="str">
        <f aca="false">IF(OR($A288="",$C288="U"),"",SUMIFS($I$3:$I$302,$E$3:$E$302,$E288,$C$3:$C$302,"&lt;&gt;U"))</f>
        <v/>
      </c>
      <c r="P288" s="33" t="str">
        <f aca="false">IF(OR($A288="",$C288="U"),"",SUMIFS($N$3:$N$302,$E$3:$E$302,$E288,$C$3:$C$302,"&lt;&gt;U"))</f>
        <v/>
      </c>
      <c r="Q288" s="33" t="str">
        <f aca="false">IF(OR($A288="",$C288="U"),"",IF(COUNTIFS($E$3:$E288,$E288,$C$3:$C288,"&lt;&gt;U")=1,1,0))</f>
        <v/>
      </c>
      <c r="R288" s="33" t="str">
        <f aca="false">IF($Q288=1,$O288-ROW()/100000,"")</f>
        <v/>
      </c>
    </row>
    <row r="289" customFormat="false" ht="15" hidden="false" customHeight="false" outlineLevel="0" collapsed="false">
      <c r="M289" s="33" t="str">
        <f aca="false">IF($A289="","",HOUR($A289))</f>
        <v/>
      </c>
      <c r="N289" s="34" t="str">
        <f aca="false">IF($A289="","",$I289*$K289)</f>
        <v/>
      </c>
      <c r="O289" s="33" t="str">
        <f aca="false">IF(OR($A289="",$C289="U"),"",SUMIFS($I$3:$I$302,$E$3:$E$302,$E289,$C$3:$C$302,"&lt;&gt;U"))</f>
        <v/>
      </c>
      <c r="P289" s="33" t="str">
        <f aca="false">IF(OR($A289="",$C289="U"),"",SUMIFS($N$3:$N$302,$E$3:$E$302,$E289,$C$3:$C$302,"&lt;&gt;U"))</f>
        <v/>
      </c>
      <c r="Q289" s="33" t="str">
        <f aca="false">IF(OR($A289="",$C289="U"),"",IF(COUNTIFS($E$3:$E289,$E289,$C$3:$C289,"&lt;&gt;U")=1,1,0))</f>
        <v/>
      </c>
      <c r="R289" s="33" t="str">
        <f aca="false">IF($Q289=1,$O289-ROW()/100000,"")</f>
        <v/>
      </c>
    </row>
    <row r="290" customFormat="false" ht="15" hidden="false" customHeight="false" outlineLevel="0" collapsed="false">
      <c r="M290" s="33" t="str">
        <f aca="false">IF($A290="","",HOUR($A290))</f>
        <v/>
      </c>
      <c r="N290" s="34" t="str">
        <f aca="false">IF($A290="","",$I290*$K290)</f>
        <v/>
      </c>
      <c r="O290" s="33" t="str">
        <f aca="false">IF(OR($A290="",$C290="U"),"",SUMIFS($I$3:$I$302,$E$3:$E$302,$E290,$C$3:$C$302,"&lt;&gt;U"))</f>
        <v/>
      </c>
      <c r="P290" s="33" t="str">
        <f aca="false">IF(OR($A290="",$C290="U"),"",SUMIFS($N$3:$N$302,$E$3:$E$302,$E290,$C$3:$C$302,"&lt;&gt;U"))</f>
        <v/>
      </c>
      <c r="Q290" s="33" t="str">
        <f aca="false">IF(OR($A290="",$C290="U"),"",IF(COUNTIFS($E$3:$E290,$E290,$C$3:$C290,"&lt;&gt;U")=1,1,0))</f>
        <v/>
      </c>
      <c r="R290" s="33" t="str">
        <f aca="false">IF($Q290=1,$O290-ROW()/100000,"")</f>
        <v/>
      </c>
    </row>
    <row r="291" customFormat="false" ht="15" hidden="false" customHeight="false" outlineLevel="0" collapsed="false">
      <c r="M291" s="33" t="str">
        <f aca="false">IF($A291="","",HOUR($A291))</f>
        <v/>
      </c>
      <c r="N291" s="34" t="str">
        <f aca="false">IF($A291="","",$I291*$K291)</f>
        <v/>
      </c>
      <c r="O291" s="33" t="str">
        <f aca="false">IF(OR($A291="",$C291="U"),"",SUMIFS($I$3:$I$302,$E$3:$E$302,$E291,$C$3:$C$302,"&lt;&gt;U"))</f>
        <v/>
      </c>
      <c r="P291" s="33" t="str">
        <f aca="false">IF(OR($A291="",$C291="U"),"",SUMIFS($N$3:$N$302,$E$3:$E$302,$E291,$C$3:$C$302,"&lt;&gt;U"))</f>
        <v/>
      </c>
      <c r="Q291" s="33" t="str">
        <f aca="false">IF(OR($A291="",$C291="U"),"",IF(COUNTIFS($E$3:$E291,$E291,$C$3:$C291,"&lt;&gt;U")=1,1,0))</f>
        <v/>
      </c>
      <c r="R291" s="33" t="str">
        <f aca="false">IF($Q291=1,$O291-ROW()/100000,"")</f>
        <v/>
      </c>
    </row>
    <row r="292" customFormat="false" ht="15" hidden="false" customHeight="false" outlineLevel="0" collapsed="false">
      <c r="M292" s="33" t="str">
        <f aca="false">IF($A292="","",HOUR($A292))</f>
        <v/>
      </c>
      <c r="N292" s="34" t="str">
        <f aca="false">IF($A292="","",$I292*$K292)</f>
        <v/>
      </c>
      <c r="O292" s="33" t="str">
        <f aca="false">IF(OR($A292="",$C292="U"),"",SUMIFS($I$3:$I$302,$E$3:$E$302,$E292,$C$3:$C$302,"&lt;&gt;U"))</f>
        <v/>
      </c>
      <c r="P292" s="33" t="str">
        <f aca="false">IF(OR($A292="",$C292="U"),"",SUMIFS($N$3:$N$302,$E$3:$E$302,$E292,$C$3:$C$302,"&lt;&gt;U"))</f>
        <v/>
      </c>
      <c r="Q292" s="33" t="str">
        <f aca="false">IF(OR($A292="",$C292="U"),"",IF(COUNTIFS($E$3:$E292,$E292,$C$3:$C292,"&lt;&gt;U")=1,1,0))</f>
        <v/>
      </c>
      <c r="R292" s="33" t="str">
        <f aca="false">IF($Q292=1,$O292-ROW()/100000,"")</f>
        <v/>
      </c>
    </row>
    <row r="293" customFormat="false" ht="15" hidden="false" customHeight="false" outlineLevel="0" collapsed="false">
      <c r="M293" s="33" t="str">
        <f aca="false">IF($A293="","",HOUR($A293))</f>
        <v/>
      </c>
      <c r="N293" s="34" t="str">
        <f aca="false">IF($A293="","",$I293*$K293)</f>
        <v/>
      </c>
      <c r="O293" s="33" t="str">
        <f aca="false">IF(OR($A293="",$C293="U"),"",SUMIFS($I$3:$I$302,$E$3:$E$302,$E293,$C$3:$C$302,"&lt;&gt;U"))</f>
        <v/>
      </c>
      <c r="P293" s="33" t="str">
        <f aca="false">IF(OR($A293="",$C293="U"),"",SUMIFS($N$3:$N$302,$E$3:$E$302,$E293,$C$3:$C$302,"&lt;&gt;U"))</f>
        <v/>
      </c>
      <c r="Q293" s="33" t="str">
        <f aca="false">IF(OR($A293="",$C293="U"),"",IF(COUNTIFS($E$3:$E293,$E293,$C$3:$C293,"&lt;&gt;U")=1,1,0))</f>
        <v/>
      </c>
      <c r="R293" s="33" t="str">
        <f aca="false">IF($Q293=1,$O293-ROW()/100000,"")</f>
        <v/>
      </c>
    </row>
    <row r="294" customFormat="false" ht="15" hidden="false" customHeight="false" outlineLevel="0" collapsed="false">
      <c r="M294" s="33" t="str">
        <f aca="false">IF($A294="","",HOUR($A294))</f>
        <v/>
      </c>
      <c r="N294" s="34" t="str">
        <f aca="false">IF($A294="","",$I294*$K294)</f>
        <v/>
      </c>
      <c r="O294" s="33" t="str">
        <f aca="false">IF(OR($A294="",$C294="U"),"",SUMIFS($I$3:$I$302,$E$3:$E$302,$E294,$C$3:$C$302,"&lt;&gt;U"))</f>
        <v/>
      </c>
      <c r="P294" s="33" t="str">
        <f aca="false">IF(OR($A294="",$C294="U"),"",SUMIFS($N$3:$N$302,$E$3:$E$302,$E294,$C$3:$C$302,"&lt;&gt;U"))</f>
        <v/>
      </c>
      <c r="Q294" s="33" t="str">
        <f aca="false">IF(OR($A294="",$C294="U"),"",IF(COUNTIFS($E$3:$E294,$E294,$C$3:$C294,"&lt;&gt;U")=1,1,0))</f>
        <v/>
      </c>
      <c r="R294" s="33" t="str">
        <f aca="false">IF($Q294=1,$O294-ROW()/100000,"")</f>
        <v/>
      </c>
    </row>
    <row r="295" customFormat="false" ht="15" hidden="false" customHeight="false" outlineLevel="0" collapsed="false">
      <c r="M295" s="33" t="str">
        <f aca="false">IF($A295="","",HOUR($A295))</f>
        <v/>
      </c>
      <c r="N295" s="34" t="str">
        <f aca="false">IF($A295="","",$I295*$K295)</f>
        <v/>
      </c>
      <c r="O295" s="33" t="str">
        <f aca="false">IF(OR($A295="",$C295="U"),"",SUMIFS($I$3:$I$302,$E$3:$E$302,$E295,$C$3:$C$302,"&lt;&gt;U"))</f>
        <v/>
      </c>
      <c r="P295" s="33" t="str">
        <f aca="false">IF(OR($A295="",$C295="U"),"",SUMIFS($N$3:$N$302,$E$3:$E$302,$E295,$C$3:$C$302,"&lt;&gt;U"))</f>
        <v/>
      </c>
      <c r="Q295" s="33" t="str">
        <f aca="false">IF(OR($A295="",$C295="U"),"",IF(COUNTIFS($E$3:$E295,$E295,$C$3:$C295,"&lt;&gt;U")=1,1,0))</f>
        <v/>
      </c>
      <c r="R295" s="33" t="str">
        <f aca="false">IF($Q295=1,$O295-ROW()/100000,"")</f>
        <v/>
      </c>
    </row>
    <row r="296" customFormat="false" ht="15" hidden="false" customHeight="false" outlineLevel="0" collapsed="false">
      <c r="M296" s="33" t="str">
        <f aca="false">IF($A296="","",HOUR($A296))</f>
        <v/>
      </c>
      <c r="N296" s="34" t="str">
        <f aca="false">IF($A296="","",$I296*$K296)</f>
        <v/>
      </c>
      <c r="O296" s="33" t="str">
        <f aca="false">IF(OR($A296="",$C296="U"),"",SUMIFS($I$3:$I$302,$E$3:$E$302,$E296,$C$3:$C$302,"&lt;&gt;U"))</f>
        <v/>
      </c>
      <c r="P296" s="33" t="str">
        <f aca="false">IF(OR($A296="",$C296="U"),"",SUMIFS($N$3:$N$302,$E$3:$E$302,$E296,$C$3:$C$302,"&lt;&gt;U"))</f>
        <v/>
      </c>
      <c r="Q296" s="33" t="str">
        <f aca="false">IF(OR($A296="",$C296="U"),"",IF(COUNTIFS($E$3:$E296,$E296,$C$3:$C296,"&lt;&gt;U")=1,1,0))</f>
        <v/>
      </c>
      <c r="R296" s="33" t="str">
        <f aca="false">IF($Q296=1,$O296-ROW()/100000,"")</f>
        <v/>
      </c>
    </row>
    <row r="297" customFormat="false" ht="15" hidden="false" customHeight="false" outlineLevel="0" collapsed="false">
      <c r="M297" s="33" t="str">
        <f aca="false">IF($A297="","",HOUR($A297))</f>
        <v/>
      </c>
      <c r="N297" s="34" t="str">
        <f aca="false">IF($A297="","",$I297*$K297)</f>
        <v/>
      </c>
      <c r="O297" s="33" t="str">
        <f aca="false">IF(OR($A297="",$C297="U"),"",SUMIFS($I$3:$I$302,$E$3:$E$302,$E297,$C$3:$C$302,"&lt;&gt;U"))</f>
        <v/>
      </c>
      <c r="P297" s="33" t="str">
        <f aca="false">IF(OR($A297="",$C297="U"),"",SUMIFS($N$3:$N$302,$E$3:$E$302,$E297,$C$3:$C$302,"&lt;&gt;U"))</f>
        <v/>
      </c>
      <c r="Q297" s="33" t="str">
        <f aca="false">IF(OR($A297="",$C297="U"),"",IF(COUNTIFS($E$3:$E297,$E297,$C$3:$C297,"&lt;&gt;U")=1,1,0))</f>
        <v/>
      </c>
      <c r="R297" s="33" t="str">
        <f aca="false">IF($Q297=1,$O297-ROW()/100000,"")</f>
        <v/>
      </c>
    </row>
    <row r="298" customFormat="false" ht="15" hidden="false" customHeight="false" outlineLevel="0" collapsed="false">
      <c r="M298" s="33" t="str">
        <f aca="false">IF($A298="","",HOUR($A298))</f>
        <v/>
      </c>
      <c r="N298" s="34" t="str">
        <f aca="false">IF($A298="","",$I298*$K298)</f>
        <v/>
      </c>
      <c r="O298" s="33" t="str">
        <f aca="false">IF(OR($A298="",$C298="U"),"",SUMIFS($I$3:$I$302,$E$3:$E$302,$E298,$C$3:$C$302,"&lt;&gt;U"))</f>
        <v/>
      </c>
      <c r="P298" s="33" t="str">
        <f aca="false">IF(OR($A298="",$C298="U"),"",SUMIFS($N$3:$N$302,$E$3:$E$302,$E298,$C$3:$C$302,"&lt;&gt;U"))</f>
        <v/>
      </c>
      <c r="Q298" s="33" t="str">
        <f aca="false">IF(OR($A298="",$C298="U"),"",IF(COUNTIFS($E$3:$E298,$E298,$C$3:$C298,"&lt;&gt;U")=1,1,0))</f>
        <v/>
      </c>
      <c r="R298" s="33" t="str">
        <f aca="false">IF($Q298=1,$O298-ROW()/100000,"")</f>
        <v/>
      </c>
    </row>
    <row r="299" customFormat="false" ht="15" hidden="false" customHeight="false" outlineLevel="0" collapsed="false">
      <c r="M299" s="33" t="str">
        <f aca="false">IF($A299="","",HOUR($A299))</f>
        <v/>
      </c>
      <c r="N299" s="34" t="str">
        <f aca="false">IF($A299="","",$I299*$K299)</f>
        <v/>
      </c>
      <c r="O299" s="33" t="str">
        <f aca="false">IF(OR($A299="",$C299="U"),"",SUMIFS($I$3:$I$302,$E$3:$E$302,$E299,$C$3:$C$302,"&lt;&gt;U"))</f>
        <v/>
      </c>
      <c r="P299" s="33" t="str">
        <f aca="false">IF(OR($A299="",$C299="U"),"",SUMIFS($N$3:$N$302,$E$3:$E$302,$E299,$C$3:$C$302,"&lt;&gt;U"))</f>
        <v/>
      </c>
      <c r="Q299" s="33" t="str">
        <f aca="false">IF(OR($A299="",$C299="U"),"",IF(COUNTIFS($E$3:$E299,$E299,$C$3:$C299,"&lt;&gt;U")=1,1,0))</f>
        <v/>
      </c>
      <c r="R299" s="33" t="str">
        <f aca="false">IF($Q299=1,$O299-ROW()/100000,"")</f>
        <v/>
      </c>
    </row>
    <row r="300" customFormat="false" ht="15" hidden="false" customHeight="false" outlineLevel="0" collapsed="false">
      <c r="M300" s="33" t="str">
        <f aca="false">IF($A300="","",HOUR($A300))</f>
        <v/>
      </c>
      <c r="N300" s="34" t="str">
        <f aca="false">IF($A300="","",$I300*$K300)</f>
        <v/>
      </c>
      <c r="O300" s="33" t="str">
        <f aca="false">IF(OR($A300="",$C300="U"),"",SUMIFS($I$3:$I$302,$E$3:$E$302,$E300,$C$3:$C$302,"&lt;&gt;U"))</f>
        <v/>
      </c>
      <c r="P300" s="33" t="str">
        <f aca="false">IF(OR($A300="",$C300="U"),"",SUMIFS($N$3:$N$302,$E$3:$E$302,$E300,$C$3:$C$302,"&lt;&gt;U"))</f>
        <v/>
      </c>
      <c r="Q300" s="33" t="str">
        <f aca="false">IF(OR($A300="",$C300="U"),"",IF(COUNTIFS($E$3:$E300,$E300,$C$3:$C300,"&lt;&gt;U")=1,1,0))</f>
        <v/>
      </c>
      <c r="R300" s="33" t="str">
        <f aca="false">IF($Q300=1,$O300-ROW()/100000,"")</f>
        <v/>
      </c>
    </row>
    <row r="301" customFormat="false" ht="15" hidden="false" customHeight="false" outlineLevel="0" collapsed="false">
      <c r="M301" s="33" t="str">
        <f aca="false">IF($A301="","",HOUR($A301))</f>
        <v/>
      </c>
      <c r="N301" s="34" t="str">
        <f aca="false">IF($A301="","",$I301*$K301)</f>
        <v/>
      </c>
      <c r="O301" s="33" t="str">
        <f aca="false">IF(OR($A301="",$C301="U"),"",SUMIFS($I$3:$I$302,$E$3:$E$302,$E301,$C$3:$C$302,"&lt;&gt;U"))</f>
        <v/>
      </c>
      <c r="P301" s="33" t="str">
        <f aca="false">IF(OR($A301="",$C301="U"),"",SUMIFS($N$3:$N$302,$E$3:$E$302,$E301,$C$3:$C$302,"&lt;&gt;U"))</f>
        <v/>
      </c>
      <c r="Q301" s="33" t="str">
        <f aca="false">IF(OR($A301="",$C301="U"),"",IF(COUNTIFS($E$3:$E301,$E301,$C$3:$C301,"&lt;&gt;U")=1,1,0))</f>
        <v/>
      </c>
      <c r="R301" s="33" t="str">
        <f aca="false">IF($Q301=1,$O301-ROW()/100000,"")</f>
        <v/>
      </c>
    </row>
    <row r="302" customFormat="false" ht="15" hidden="false" customHeight="false" outlineLevel="0" collapsed="false">
      <c r="M302" s="33" t="str">
        <f aca="false">IF($A302="","",HOUR($A302))</f>
        <v/>
      </c>
      <c r="N302" s="34" t="str">
        <f aca="false">IF($A302="","",$I302*$K302)</f>
        <v/>
      </c>
      <c r="O302" s="33" t="str">
        <f aca="false">IF(OR($A302="",$C302="U"),"",SUMIFS($I$3:$I$302,$E$3:$E$302,$E302,$C$3:$C$302,"&lt;&gt;U"))</f>
        <v/>
      </c>
      <c r="P302" s="33" t="str">
        <f aca="false">IF(OR($A302="",$C302="U"),"",SUMIFS($N$3:$N$302,$E$3:$E$302,$E302,$C$3:$C$302,"&lt;&gt;U"))</f>
        <v/>
      </c>
      <c r="Q302" s="33" t="str">
        <f aca="false">IF(OR($A302="",$C302="U"),"",IF(COUNTIFS($E$3:$E302,$E302,$C$3:$C302,"&lt;&gt;U")=1,1,0))</f>
        <v/>
      </c>
      <c r="R302" s="33" t="str">
        <f aca="false">IF($Q302=1,$O302-ROW()/100000,"")</f>
        <v/>
      </c>
    </row>
  </sheetData>
  <mergeCells count="1">
    <mergeCell ref="A1:K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4" min="2" style="0" width="14"/>
  </cols>
  <sheetData>
    <row r="1" customFormat="false" ht="19.5" hidden="false" customHeight="true" outlineLevel="0" collapsed="false">
      <c r="A1" s="35" t="s">
        <v>71</v>
      </c>
      <c r="B1" s="35"/>
      <c r="C1" s="35"/>
      <c r="D1" s="35"/>
    </row>
    <row r="2" customFormat="false" ht="15" hidden="false" customHeight="false" outlineLevel="0" collapsed="false">
      <c r="A2" s="20" t="s">
        <v>72</v>
      </c>
      <c r="B2" s="20" t="s">
        <v>73</v>
      </c>
      <c r="C2" s="20" t="s">
        <v>40</v>
      </c>
      <c r="D2" s="20" t="s">
        <v>41</v>
      </c>
    </row>
    <row r="3" customFormat="false" ht="15" hidden="false" customHeight="false" outlineLevel="0" collapsed="false">
      <c r="A3" s="36" t="n">
        <v>0</v>
      </c>
      <c r="B3" s="36" t="str">
        <f aca="false">TEXT(TIME($A3,0,0),"h AM/PM")</f>
        <v>12 AM</v>
      </c>
      <c r="C3" s="36" t="n">
        <f aca="false">SUMIFS('Sales Data'!$I$3:$I$302,'Sales Data'!$M$3:$M$302,$A3,'Sales Data'!$C$3:$C$302,"&lt;&gt;U")</f>
        <v>0</v>
      </c>
      <c r="D3" s="37" t="n">
        <f aca="false">SUMIFS('Sales Data'!$N$3:$N$302,'Sales Data'!$M$3:$M$302,$A3,'Sales Data'!$C$3:$C$302,"&lt;&gt;U")</f>
        <v>0</v>
      </c>
    </row>
    <row r="4" customFormat="false" ht="15" hidden="false" customHeight="false" outlineLevel="0" collapsed="false">
      <c r="A4" s="38" t="n">
        <v>1</v>
      </c>
      <c r="B4" s="38" t="str">
        <f aca="false">TEXT(TIME($A4,0,0),"h AM/PM")</f>
        <v>1 AM</v>
      </c>
      <c r="C4" s="38" t="n">
        <f aca="false">SUMIFS('Sales Data'!$I$3:$I$302,'Sales Data'!$M$3:$M$302,$A4,'Sales Data'!$C$3:$C$302,"&lt;&gt;U")</f>
        <v>0</v>
      </c>
      <c r="D4" s="39" t="n">
        <f aca="false">SUMIFS('Sales Data'!$N$3:$N$302,'Sales Data'!$M$3:$M$302,$A4,'Sales Data'!$C$3:$C$302,"&lt;&gt;U")</f>
        <v>0</v>
      </c>
    </row>
    <row r="5" customFormat="false" ht="15" hidden="false" customHeight="false" outlineLevel="0" collapsed="false">
      <c r="A5" s="36" t="n">
        <v>2</v>
      </c>
      <c r="B5" s="36" t="str">
        <f aca="false">TEXT(TIME($A5,0,0),"h AM/PM")</f>
        <v>2 AM</v>
      </c>
      <c r="C5" s="36" t="n">
        <f aca="false">SUMIFS('Sales Data'!$I$3:$I$302,'Sales Data'!$M$3:$M$302,$A5,'Sales Data'!$C$3:$C$302,"&lt;&gt;U")</f>
        <v>0</v>
      </c>
      <c r="D5" s="37" t="n">
        <f aca="false">SUMIFS('Sales Data'!$N$3:$N$302,'Sales Data'!$M$3:$M$302,$A5,'Sales Data'!$C$3:$C$302,"&lt;&gt;U")</f>
        <v>0</v>
      </c>
    </row>
    <row r="6" customFormat="false" ht="15" hidden="false" customHeight="false" outlineLevel="0" collapsed="false">
      <c r="A6" s="38" t="n">
        <v>3</v>
      </c>
      <c r="B6" s="38" t="str">
        <f aca="false">TEXT(TIME($A6,0,0),"h AM/PM")</f>
        <v>3 AM</v>
      </c>
      <c r="C6" s="38" t="n">
        <f aca="false">SUMIFS('Sales Data'!$I$3:$I$302,'Sales Data'!$M$3:$M$302,$A6,'Sales Data'!$C$3:$C$302,"&lt;&gt;U")</f>
        <v>0</v>
      </c>
      <c r="D6" s="39" t="n">
        <f aca="false">SUMIFS('Sales Data'!$N$3:$N$302,'Sales Data'!$M$3:$M$302,$A6,'Sales Data'!$C$3:$C$302,"&lt;&gt;U")</f>
        <v>0</v>
      </c>
    </row>
    <row r="7" customFormat="false" ht="15" hidden="false" customHeight="false" outlineLevel="0" collapsed="false">
      <c r="A7" s="36" t="n">
        <v>4</v>
      </c>
      <c r="B7" s="36" t="str">
        <f aca="false">TEXT(TIME($A7,0,0),"h AM/PM")</f>
        <v>4 AM</v>
      </c>
      <c r="C7" s="36" t="n">
        <f aca="false">SUMIFS('Sales Data'!$I$3:$I$302,'Sales Data'!$M$3:$M$302,$A7,'Sales Data'!$C$3:$C$302,"&lt;&gt;U")</f>
        <v>0</v>
      </c>
      <c r="D7" s="37" t="n">
        <f aca="false">SUMIFS('Sales Data'!$N$3:$N$302,'Sales Data'!$M$3:$M$302,$A7,'Sales Data'!$C$3:$C$302,"&lt;&gt;U")</f>
        <v>0</v>
      </c>
    </row>
    <row r="8" customFormat="false" ht="15" hidden="false" customHeight="false" outlineLevel="0" collapsed="false">
      <c r="A8" s="38" t="n">
        <v>5</v>
      </c>
      <c r="B8" s="38" t="str">
        <f aca="false">TEXT(TIME($A8,0,0),"h AM/PM")</f>
        <v>5 AM</v>
      </c>
      <c r="C8" s="38" t="n">
        <f aca="false">SUMIFS('Sales Data'!$I$3:$I$302,'Sales Data'!$M$3:$M$302,$A8,'Sales Data'!$C$3:$C$302,"&lt;&gt;U")</f>
        <v>0</v>
      </c>
      <c r="D8" s="39" t="n">
        <f aca="false">SUMIFS('Sales Data'!$N$3:$N$302,'Sales Data'!$M$3:$M$302,$A8,'Sales Data'!$C$3:$C$302,"&lt;&gt;U")</f>
        <v>0</v>
      </c>
    </row>
    <row r="9" customFormat="false" ht="15" hidden="false" customHeight="false" outlineLevel="0" collapsed="false">
      <c r="A9" s="36" t="n">
        <v>6</v>
      </c>
      <c r="B9" s="36" t="str">
        <f aca="false">TEXT(TIME($A9,0,0),"h AM/PM")</f>
        <v>6 AM</v>
      </c>
      <c r="C9" s="36" t="n">
        <f aca="false">SUMIFS('Sales Data'!$I$3:$I$302,'Sales Data'!$M$3:$M$302,$A9,'Sales Data'!$C$3:$C$302,"&lt;&gt;U")</f>
        <v>0</v>
      </c>
      <c r="D9" s="37" t="n">
        <f aca="false">SUMIFS('Sales Data'!$N$3:$N$302,'Sales Data'!$M$3:$M$302,$A9,'Sales Data'!$C$3:$C$302,"&lt;&gt;U")</f>
        <v>0</v>
      </c>
    </row>
    <row r="10" customFormat="false" ht="15" hidden="false" customHeight="false" outlineLevel="0" collapsed="false">
      <c r="A10" s="38" t="n">
        <v>7</v>
      </c>
      <c r="B10" s="38" t="str">
        <f aca="false">TEXT(TIME($A10,0,0),"h AM/PM")</f>
        <v>7 AM</v>
      </c>
      <c r="C10" s="38" t="n">
        <f aca="false">SUMIFS('Sales Data'!$I$3:$I$302,'Sales Data'!$M$3:$M$302,$A10,'Sales Data'!$C$3:$C$302,"&lt;&gt;U")</f>
        <v>0</v>
      </c>
      <c r="D10" s="39" t="n">
        <f aca="false">SUMIFS('Sales Data'!$N$3:$N$302,'Sales Data'!$M$3:$M$302,$A10,'Sales Data'!$C$3:$C$302,"&lt;&gt;U")</f>
        <v>0</v>
      </c>
    </row>
    <row r="11" customFormat="false" ht="15" hidden="false" customHeight="false" outlineLevel="0" collapsed="false">
      <c r="A11" s="36" t="n">
        <v>8</v>
      </c>
      <c r="B11" s="36" t="str">
        <f aca="false">TEXT(TIME($A11,0,0),"h AM/PM")</f>
        <v>8 AM</v>
      </c>
      <c r="C11" s="36" t="n">
        <f aca="false">SUMIFS('Sales Data'!$I$3:$I$302,'Sales Data'!$M$3:$M$302,$A11,'Sales Data'!$C$3:$C$302,"&lt;&gt;U")</f>
        <v>0</v>
      </c>
      <c r="D11" s="37" t="n">
        <f aca="false">SUMIFS('Sales Data'!$N$3:$N$302,'Sales Data'!$M$3:$M$302,$A11,'Sales Data'!$C$3:$C$302,"&lt;&gt;U")</f>
        <v>0</v>
      </c>
    </row>
    <row r="12" customFormat="false" ht="15" hidden="false" customHeight="false" outlineLevel="0" collapsed="false">
      <c r="A12" s="38" t="n">
        <v>9</v>
      </c>
      <c r="B12" s="38" t="str">
        <f aca="false">TEXT(TIME($A12,0,0),"h AM/PM")</f>
        <v>9 AM</v>
      </c>
      <c r="C12" s="38" t="n">
        <f aca="false">SUMIFS('Sales Data'!$I$3:$I$302,'Sales Data'!$M$3:$M$302,$A12,'Sales Data'!$C$3:$C$302,"&lt;&gt;U")</f>
        <v>0</v>
      </c>
      <c r="D12" s="39" t="n">
        <f aca="false">SUMIFS('Sales Data'!$N$3:$N$302,'Sales Data'!$M$3:$M$302,$A12,'Sales Data'!$C$3:$C$302,"&lt;&gt;U")</f>
        <v>0</v>
      </c>
    </row>
    <row r="13" customFormat="false" ht="15" hidden="false" customHeight="false" outlineLevel="0" collapsed="false">
      <c r="A13" s="36" t="n">
        <v>10</v>
      </c>
      <c r="B13" s="36" t="str">
        <f aca="false">TEXT(TIME($A13,0,0),"h AM/PM")</f>
        <v>10 AM</v>
      </c>
      <c r="C13" s="36" t="n">
        <f aca="false">SUMIFS('Sales Data'!$I$3:$I$302,'Sales Data'!$M$3:$M$302,$A13,'Sales Data'!$C$3:$C$302,"&lt;&gt;U")</f>
        <v>0</v>
      </c>
      <c r="D13" s="37" t="n">
        <f aca="false">SUMIFS('Sales Data'!$N$3:$N$302,'Sales Data'!$M$3:$M$302,$A13,'Sales Data'!$C$3:$C$302,"&lt;&gt;U")</f>
        <v>0</v>
      </c>
    </row>
    <row r="14" customFormat="false" ht="15" hidden="false" customHeight="false" outlineLevel="0" collapsed="false">
      <c r="A14" s="38" t="n">
        <v>11</v>
      </c>
      <c r="B14" s="38" t="str">
        <f aca="false">TEXT(TIME($A14,0,0),"h AM/PM")</f>
        <v>11 AM</v>
      </c>
      <c r="C14" s="38" t="n">
        <f aca="false">SUMIFS('Sales Data'!$I$3:$I$302,'Sales Data'!$M$3:$M$302,$A14,'Sales Data'!$C$3:$C$302,"&lt;&gt;U")</f>
        <v>0</v>
      </c>
      <c r="D14" s="39" t="n">
        <f aca="false">SUMIFS('Sales Data'!$N$3:$N$302,'Sales Data'!$M$3:$M$302,$A14,'Sales Data'!$C$3:$C$302,"&lt;&gt;U")</f>
        <v>0</v>
      </c>
    </row>
    <row r="15" customFormat="false" ht="15" hidden="false" customHeight="false" outlineLevel="0" collapsed="false">
      <c r="A15" s="36" t="n">
        <v>12</v>
      </c>
      <c r="B15" s="36" t="str">
        <f aca="false">TEXT(TIME($A15,0,0),"h AM/PM")</f>
        <v>12 PM</v>
      </c>
      <c r="C15" s="36" t="n">
        <f aca="false">SUMIFS('Sales Data'!$I$3:$I$302,'Sales Data'!$M$3:$M$302,$A15,'Sales Data'!$C$3:$C$302,"&lt;&gt;U")</f>
        <v>1</v>
      </c>
      <c r="D15" s="37" t="n">
        <f aca="false">SUMIFS('Sales Data'!$N$3:$N$302,'Sales Data'!$M$3:$M$302,$A15,'Sales Data'!$C$3:$C$302,"&lt;&gt;U")</f>
        <v>560</v>
      </c>
    </row>
    <row r="16" customFormat="false" ht="15" hidden="false" customHeight="false" outlineLevel="0" collapsed="false">
      <c r="A16" s="38" t="n">
        <v>13</v>
      </c>
      <c r="B16" s="38" t="str">
        <f aca="false">TEXT(TIME($A16,0,0),"h AM/PM")</f>
        <v>1 PM</v>
      </c>
      <c r="C16" s="38" t="n">
        <f aca="false">SUMIFS('Sales Data'!$I$3:$I$302,'Sales Data'!$M$3:$M$302,$A16,'Sales Data'!$C$3:$C$302,"&lt;&gt;U")</f>
        <v>0</v>
      </c>
      <c r="D16" s="39" t="n">
        <f aca="false">SUMIFS('Sales Data'!$N$3:$N$302,'Sales Data'!$M$3:$M$302,$A16,'Sales Data'!$C$3:$C$302,"&lt;&gt;U")</f>
        <v>0</v>
      </c>
    </row>
    <row r="17" customFormat="false" ht="15" hidden="false" customHeight="false" outlineLevel="0" collapsed="false">
      <c r="A17" s="36" t="n">
        <v>14</v>
      </c>
      <c r="B17" s="36" t="str">
        <f aca="false">TEXT(TIME($A17,0,0),"h AM/PM")</f>
        <v>2 PM</v>
      </c>
      <c r="C17" s="36" t="n">
        <f aca="false">SUMIFS('Sales Data'!$I$3:$I$302,'Sales Data'!$M$3:$M$302,$A17,'Sales Data'!$C$3:$C$302,"&lt;&gt;U")</f>
        <v>0</v>
      </c>
      <c r="D17" s="37" t="n">
        <f aca="false">SUMIFS('Sales Data'!$N$3:$N$302,'Sales Data'!$M$3:$M$302,$A17,'Sales Data'!$C$3:$C$302,"&lt;&gt;U")</f>
        <v>0</v>
      </c>
    </row>
    <row r="18" customFormat="false" ht="15" hidden="false" customHeight="false" outlineLevel="0" collapsed="false">
      <c r="A18" s="38" t="n">
        <v>15</v>
      </c>
      <c r="B18" s="38" t="str">
        <f aca="false">TEXT(TIME($A18,0,0),"h AM/PM")</f>
        <v>3 PM</v>
      </c>
      <c r="C18" s="38" t="n">
        <f aca="false">SUMIFS('Sales Data'!$I$3:$I$302,'Sales Data'!$M$3:$M$302,$A18,'Sales Data'!$C$3:$C$302,"&lt;&gt;U")</f>
        <v>0</v>
      </c>
      <c r="D18" s="39" t="n">
        <f aca="false">SUMIFS('Sales Data'!$N$3:$N$302,'Sales Data'!$M$3:$M$302,$A18,'Sales Data'!$C$3:$C$302,"&lt;&gt;U")</f>
        <v>0</v>
      </c>
    </row>
    <row r="19" customFormat="false" ht="15" hidden="false" customHeight="false" outlineLevel="0" collapsed="false">
      <c r="A19" s="36" t="n">
        <v>16</v>
      </c>
      <c r="B19" s="36" t="str">
        <f aca="false">TEXT(TIME($A19,0,0),"h AM/PM")</f>
        <v>4 PM</v>
      </c>
      <c r="C19" s="36" t="n">
        <f aca="false">SUMIFS('Sales Data'!$I$3:$I$302,'Sales Data'!$M$3:$M$302,$A19,'Sales Data'!$C$3:$C$302,"&lt;&gt;U")</f>
        <v>0</v>
      </c>
      <c r="D19" s="37" t="n">
        <f aca="false">SUMIFS('Sales Data'!$N$3:$N$302,'Sales Data'!$M$3:$M$302,$A19,'Sales Data'!$C$3:$C$302,"&lt;&gt;U")</f>
        <v>0</v>
      </c>
    </row>
    <row r="20" customFormat="false" ht="15" hidden="false" customHeight="false" outlineLevel="0" collapsed="false">
      <c r="A20" s="38" t="n">
        <v>17</v>
      </c>
      <c r="B20" s="38" t="str">
        <f aca="false">TEXT(TIME($A20,0,0),"h AM/PM")</f>
        <v>5 PM</v>
      </c>
      <c r="C20" s="38" t="n">
        <f aca="false">SUMIFS('Sales Data'!$I$3:$I$302,'Sales Data'!$M$3:$M$302,$A20,'Sales Data'!$C$3:$C$302,"&lt;&gt;U")</f>
        <v>0</v>
      </c>
      <c r="D20" s="39" t="n">
        <f aca="false">SUMIFS('Sales Data'!$N$3:$N$302,'Sales Data'!$M$3:$M$302,$A20,'Sales Data'!$C$3:$C$302,"&lt;&gt;U")</f>
        <v>0</v>
      </c>
    </row>
    <row r="21" customFormat="false" ht="15" hidden="false" customHeight="false" outlineLevel="0" collapsed="false">
      <c r="A21" s="36" t="n">
        <v>18</v>
      </c>
      <c r="B21" s="36" t="str">
        <f aca="false">TEXT(TIME($A21,0,0),"h AM/PM")</f>
        <v>6 PM</v>
      </c>
      <c r="C21" s="36" t="n">
        <f aca="false">SUMIFS('Sales Data'!$I$3:$I$302,'Sales Data'!$M$3:$M$302,$A21,'Sales Data'!$C$3:$C$302,"&lt;&gt;U")</f>
        <v>0</v>
      </c>
      <c r="D21" s="37" t="n">
        <f aca="false">SUMIFS('Sales Data'!$N$3:$N$302,'Sales Data'!$M$3:$M$302,$A21,'Sales Data'!$C$3:$C$302,"&lt;&gt;U")</f>
        <v>0</v>
      </c>
    </row>
    <row r="22" customFormat="false" ht="15" hidden="false" customHeight="false" outlineLevel="0" collapsed="false">
      <c r="A22" s="38" t="n">
        <v>19</v>
      </c>
      <c r="B22" s="38" t="str">
        <f aca="false">TEXT(TIME($A22,0,0),"h AM/PM")</f>
        <v>7 PM</v>
      </c>
      <c r="C22" s="38" t="n">
        <f aca="false">SUMIFS('Sales Data'!$I$3:$I$302,'Sales Data'!$M$3:$M$302,$A22,'Sales Data'!$C$3:$C$302,"&lt;&gt;U")</f>
        <v>0</v>
      </c>
      <c r="D22" s="39" t="n">
        <f aca="false">SUMIFS('Sales Data'!$N$3:$N$302,'Sales Data'!$M$3:$M$302,$A22,'Sales Data'!$C$3:$C$302,"&lt;&gt;U")</f>
        <v>0</v>
      </c>
    </row>
    <row r="23" customFormat="false" ht="15" hidden="false" customHeight="false" outlineLevel="0" collapsed="false">
      <c r="A23" s="36" t="n">
        <v>20</v>
      </c>
      <c r="B23" s="36" t="str">
        <f aca="false">TEXT(TIME($A23,0,0),"h AM/PM")</f>
        <v>8 PM</v>
      </c>
      <c r="C23" s="36" t="n">
        <f aca="false">SUMIFS('Sales Data'!$I$3:$I$302,'Sales Data'!$M$3:$M$302,$A23,'Sales Data'!$C$3:$C$302,"&lt;&gt;U")</f>
        <v>0</v>
      </c>
      <c r="D23" s="37" t="n">
        <f aca="false">SUMIFS('Sales Data'!$N$3:$N$302,'Sales Data'!$M$3:$M$302,$A23,'Sales Data'!$C$3:$C$302,"&lt;&gt;U")</f>
        <v>0</v>
      </c>
    </row>
    <row r="24" customFormat="false" ht="15" hidden="false" customHeight="false" outlineLevel="0" collapsed="false">
      <c r="A24" s="38" t="n">
        <v>21</v>
      </c>
      <c r="B24" s="38" t="str">
        <f aca="false">TEXT(TIME($A24,0,0),"h AM/PM")</f>
        <v>9 PM</v>
      </c>
      <c r="C24" s="38" t="n">
        <f aca="false">SUMIFS('Sales Data'!$I$3:$I$302,'Sales Data'!$M$3:$M$302,$A24,'Sales Data'!$C$3:$C$302,"&lt;&gt;U")</f>
        <v>0</v>
      </c>
      <c r="D24" s="39" t="n">
        <f aca="false">SUMIFS('Sales Data'!$N$3:$N$302,'Sales Data'!$M$3:$M$302,$A24,'Sales Data'!$C$3:$C$302,"&lt;&gt;U")</f>
        <v>0</v>
      </c>
    </row>
    <row r="25" customFormat="false" ht="15" hidden="false" customHeight="false" outlineLevel="0" collapsed="false">
      <c r="A25" s="36" t="n">
        <v>22</v>
      </c>
      <c r="B25" s="36" t="str">
        <f aca="false">TEXT(TIME($A25,0,0),"h AM/PM")</f>
        <v>10 PM</v>
      </c>
      <c r="C25" s="36" t="n">
        <f aca="false">SUMIFS('Sales Data'!$I$3:$I$302,'Sales Data'!$M$3:$M$302,$A25,'Sales Data'!$C$3:$C$302,"&lt;&gt;U")</f>
        <v>0</v>
      </c>
      <c r="D25" s="37" t="n">
        <f aca="false">SUMIFS('Sales Data'!$N$3:$N$302,'Sales Data'!$M$3:$M$302,$A25,'Sales Data'!$C$3:$C$302,"&lt;&gt;U")</f>
        <v>0</v>
      </c>
    </row>
    <row r="26" customFormat="false" ht="15" hidden="false" customHeight="false" outlineLevel="0" collapsed="false">
      <c r="A26" s="38" t="n">
        <v>23</v>
      </c>
      <c r="B26" s="38" t="str">
        <f aca="false">TEXT(TIME($A26,0,0),"h AM/PM")</f>
        <v>11 PM</v>
      </c>
      <c r="C26" s="38" t="n">
        <f aca="false">SUMIFS('Sales Data'!$I$3:$I$302,'Sales Data'!$M$3:$M$302,$A26,'Sales Data'!$C$3:$C$302,"&lt;&gt;U")</f>
        <v>0</v>
      </c>
      <c r="D26" s="39" t="n">
        <f aca="false">SUMIFS('Sales Data'!$N$3:$N$302,'Sales Data'!$M$3:$M$302,$A26,'Sales Data'!$C$3:$C$302,"&lt;&gt;U")</f>
        <v>0</v>
      </c>
    </row>
    <row r="28" customFormat="false" ht="15" hidden="false" customHeight="false" outlineLevel="0" collapsed="false">
      <c r="A28" s="17" t="s">
        <v>74</v>
      </c>
      <c r="B28" s="17"/>
      <c r="C28" s="40" t="n">
        <f aca="false">SUMPRODUCT((C3:C26&gt;0)*1)</f>
        <v>1</v>
      </c>
    </row>
    <row r="29" customFormat="false" ht="15" hidden="false" customHeight="false" outlineLevel="0" collapsed="false">
      <c r="A29" s="17" t="s">
        <v>20</v>
      </c>
      <c r="B29" s="17"/>
      <c r="C29" s="40" t="n">
        <f aca="false">SUM(C3:C26)</f>
        <v>1</v>
      </c>
    </row>
    <row r="30" customFormat="false" ht="15" hidden="false" customHeight="false" outlineLevel="0" collapsed="false">
      <c r="A30" s="17" t="s">
        <v>21</v>
      </c>
      <c r="B30" s="17"/>
      <c r="C30" s="41" t="n">
        <f aca="false">SUM(D3:D26)</f>
        <v>560</v>
      </c>
    </row>
    <row r="31" customFormat="false" ht="15" hidden="false" customHeight="false" outlineLevel="0" collapsed="false">
      <c r="A31" s="17" t="s">
        <v>25</v>
      </c>
      <c r="B31" s="17"/>
      <c r="C31" s="42" t="n">
        <f aca="false">IFERROR(C29/C28,0)</f>
        <v>1</v>
      </c>
    </row>
    <row r="32" customFormat="false" ht="15" hidden="false" customHeight="false" outlineLevel="0" collapsed="false">
      <c r="A32" s="17" t="s">
        <v>26</v>
      </c>
      <c r="B32" s="17"/>
      <c r="C32" s="43" t="n">
        <f aca="false">IFERROR(C30/C28,0)</f>
        <v>560</v>
      </c>
    </row>
    <row r="33" customFormat="false" ht="15" hidden="false" customHeight="false" outlineLevel="0" collapsed="false">
      <c r="A33" s="17" t="s">
        <v>27</v>
      </c>
      <c r="B33" s="17"/>
      <c r="C33" s="6" t="str">
        <f aca="false">IFERROR(INDEX(B3:B26,MATCH(MAX(C3:C26),C3:C26,0)),"N/A")</f>
        <v>12 PM</v>
      </c>
    </row>
    <row r="34" customFormat="false" ht="15" hidden="false" customHeight="false" outlineLevel="0" collapsed="false">
      <c r="A34" s="17" t="s">
        <v>28</v>
      </c>
      <c r="B34" s="17"/>
      <c r="C34" s="6" t="str">
        <f aca="false">IFERROR(INDEX(B3:B26,MATCH(MAX(D3:D26),D3:D26,0)),"N/A")</f>
        <v>12 PM</v>
      </c>
    </row>
  </sheetData>
  <mergeCells count="8">
    <mergeCell ref="A1:D1"/>
    <mergeCell ref="A28:B28"/>
    <mergeCell ref="A29:B29"/>
    <mergeCell ref="A30:B30"/>
    <mergeCell ref="A31:B31"/>
    <mergeCell ref="A32:B32"/>
    <mergeCell ref="A33:B33"/>
    <mergeCell ref="A34:B3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2026-08-30T03:48:52Z</dcterms:created>
  <dc:creator>openpyxl</dc:creator>
  <dc:description/>
  <dc:language>en-US</dc:language>
  <cp:lastModifiedBy/>
  <dcterms:modified xsi:type="dcterms:W3CDTF">2026-08-30T03:48:54Z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