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Sales Data" sheetId="3" state="visible" r:id="rId5"/>
    <sheet name="Calc" sheetId="4" state="visible" r:id="rId6"/>
  </sheets>
  <definedNames>
    <definedName function="false" hidden="false" localSheetId="1" name="_xlnm.Print_Area" vbProcedure="false">Dashboard!$A$1:$Q$80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8" authorId="0">
      <text>
        <r>
          <rPr>
            <sz val="10"/>
            <rFont val="Arial"/>
            <family val="2"/>
          </rPr>
          <t xml:space="preserve">Paste today's SenSource visitor traffic count here.</t>
        </r>
      </text>
    </comment>
    <comment ref="C19" authorId="0">
      <text>
        <r>
          <rPr>
            <sz val="10"/>
            <rFont val="Arial"/>
            <family val="2"/>
          </rPr>
          <t xml:space="preserve">Paste today's total POS receipt / transaction count here.</t>
        </r>
      </text>
    </comment>
    <comment ref="E3" authorId="0">
      <text>
        <r>
          <rPr>
            <sz val="10"/>
            <rFont val="Arial"/>
            <family val="2"/>
          </rPr>
          <t xml:space="preserve">Pick an earlier date here to review that day's Key Metrics, Top 3 Sellers, hourly charts, and category mix. Leave blank to always show the most recently pasted day. The Traffic &amp; Conversion section below is not affected by this - it always reflects whatever numbers are currently pasted there, regardless of the date picked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Example row - replace with your first day's data. Add every day after that in the next blank row below, rather than overwriting - history is kept for the Dashboard's date selector.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Every total, chart, and ranking in this workbook only counts Sales Data rows whose date matches this cell. It follows the Dashboard's date selector; when that's left blank it falls back to the newest date pasted into Sales Data (today's data, normally).</t>
        </r>
      </text>
    </comment>
  </commentList>
</comments>
</file>

<file path=xl/sharedStrings.xml><?xml version="1.0" encoding="utf-8"?>
<sst xmlns="http://schemas.openxmlformats.org/spreadsheetml/2006/main" count="172" uniqueCount="130">
  <si>
    <t xml:space="preserve">Daily Sales Report - How to Use This Workbook</t>
  </si>
  <si>
    <t xml:space="preserve">1.</t>
  </si>
  <si>
    <t xml:space="preserve">Go to the "Sales Data" tab. Copy the exported item-sold rows from your POS report (Creation Time through In Store Price columns - same layout as the SKU export) and paste them into the first blank row below your existing data (Ctrl+End jumps to the last used cell; paste one row below that). Paste values only into columns A:K - do not touch columns M:U, they calculate automatically.</t>
  </si>
  <si>
    <t xml:space="preserve">2.</t>
  </si>
  <si>
    <t xml:space="preserve">Do not overwrite previous days - each day's export is added below the last, so the sheet keeps a running history. Nothing is deleted automatically; if you want to trim old rows later to keep the file smaller, that's a manual cleanup you control.</t>
  </si>
  <si>
    <t xml:space="preserve">3.</t>
  </si>
  <si>
    <t xml:space="preserve">On the "Dashboard" tab, use the "View Date" dropdown near the top to pick which day's Key Metrics, Top 3 Sellers, hourly charts, and category mix to look at. Leave it blank to always show the most recently pasted day - that's the normal end-of-day view.</t>
  </si>
  <si>
    <t xml:space="preserve">4.</t>
  </si>
  <si>
    <t xml:space="preserve">Rows with Gender = "U" are accessories. They are automatically excluded from the Top 3 Sellers ranking and the Hourly Units/Revenue charts, but ARE included in "All Items" totals and the traffic-based conversion metrics (see assumption note on Dashboard).</t>
  </si>
  <si>
    <t xml:space="preserve">5.</t>
  </si>
  <si>
    <t xml:space="preserve">In the yellow "Traffic &amp; Conversion" boxes, paste today's SenSource visitor traffic count and your POS total receipt (transaction) count. This section is NOT affected by the View Date dropdown - it always shows whatever numbers are currently pasted there, since traffic/receipt history isn't retained day-by-day, only the current values are.</t>
  </si>
  <si>
    <t xml:space="preserve">6.</t>
  </si>
  <si>
    <t xml:space="preserve">Everything else on the Dashboard - KPIs, the Top 3 Sellers chart, the Units/Revenue by Hour charts, and the category mix chart - recalculates automatically.</t>
  </si>
  <si>
    <t xml:space="preserve">7.</t>
  </si>
  <si>
    <t xml:space="preserve">The "Calc" tab is a backend worksheet that builds the hour-by-hour breakdown, the list of dates behind the View Date dropdown, and the "Report Date" cell everything else filters on. You shouldn't need to edit it, but nothing is locked if you want to inspect the formulas.</t>
  </si>
  <si>
    <t xml:space="preserve">Color key:</t>
  </si>
  <si>
    <t xml:space="preserve">Yellow fill = paste/edit your data here.</t>
  </si>
  <si>
    <t xml:space="preserve">Blue bold text = a manual input or assumption.</t>
  </si>
  <si>
    <t xml:space="preserve">Black text = calculated automatically - do not overwrite.</t>
  </si>
  <si>
    <t xml:space="preserve">Assumption: "Creation Time" must paste in as a real date/time value (this is the default when copying cell ranges between Excel workbooks). If it pastes as plain text, the Hour column on the Sales Data tab will show blank and the hourly charts will read zero - reformat column A as Date/Time if that happens.</t>
  </si>
  <si>
    <t xml:space="preserve">Capacity: Sales Data holds up to 3,000 rows, and the View Date dropdown lists the 200 most recent distinct dates. At roughly 15-30 line items per day that's well over a year of daily history. If you ever approach the row limit, move older rows to an archive file to keep this one fast.</t>
  </si>
  <si>
    <t xml:space="preserve">Daily Sales Report</t>
  </si>
  <si>
    <t xml:space="preserve">Store ID:</t>
  </si>
  <si>
    <t xml:space="preserve">View Date:</t>
  </si>
  <si>
    <t xml:space="preserve">KEY METRICS</t>
  </si>
  <si>
    <t xml:space="preserve">Total Units Sold (Excl. Accessories)</t>
  </si>
  <si>
    <t xml:space="preserve">Total Revenue (Excl. Accessories)</t>
  </si>
  <si>
    <t xml:space="preserve">Total Units Sold (All Items, incl. Accessories)</t>
  </si>
  <si>
    <t xml:space="preserve">Total Revenue (All Items, incl. Accessories)</t>
  </si>
  <si>
    <t xml:space="preserve">Average Item Price (All Items)</t>
  </si>
  <si>
    <t xml:space="preserve">Avg Units Sold per Hour</t>
  </si>
  <si>
    <t xml:space="preserve">Avg Revenue per Hour</t>
  </si>
  <si>
    <t xml:space="preserve">Peak Hour (by Units)</t>
  </si>
  <si>
    <t xml:space="preserve">Peak Hour (by Revenue)</t>
  </si>
  <si>
    <t xml:space="preserve">Items Now Out of Stock (Restock Needed)</t>
  </si>
  <si>
    <t xml:space="preserve">TRAFFIC &amp; CONVERSION (paste from SenSource / POS)</t>
  </si>
  <si>
    <t xml:space="preserve">Daily Store Traffic (Visitors)</t>
  </si>
  <si>
    <t xml:space="preserve">Total Sales Receipts (Transactions)</t>
  </si>
  <si>
    <t xml:space="preserve">Conversion Rate (Receipts / Traffic)</t>
  </si>
  <si>
    <t xml:space="preserve">Average Transaction Value (Revenue / Receipts)</t>
  </si>
  <si>
    <t xml:space="preserve">Units per Transaction (Units / Receipts)</t>
  </si>
  <si>
    <t xml:space="preserve">Assumption: conversion metrics use revenue/units for ALL items (accessories included), since a receipt can include an accessory-only purchase. Top 3 Sellers and the hourly charts below exclude accessories (Gender = U) per the report spec.</t>
  </si>
  <si>
    <t xml:space="preserve">TOP 3 SELLERS (Excl. Accessories)</t>
  </si>
  <si>
    <t xml:space="preserve">Rank</t>
  </si>
  <si>
    <t xml:space="preserve">Model Name</t>
  </si>
  <si>
    <t xml:space="preserve">Units Sold</t>
  </si>
  <si>
    <t xml:space="preserve">Revenue</t>
  </si>
  <si>
    <t xml:space="preserve">SALES MIX BY CATEGORY (All Items)</t>
  </si>
  <si>
    <t xml:space="preserve">Category</t>
  </si>
  <si>
    <t xml:space="preserve">Units</t>
  </si>
  <si>
    <t xml:space="preserve">Men's (M)</t>
  </si>
  <si>
    <t xml:space="preserve">Women's (W)</t>
  </si>
  <si>
    <t xml:space="preserve">Accessories/Unisex (U)</t>
  </si>
  <si>
    <t xml:space="preserve">PASTE each day's item-sold export into columns A:K, ADDED BELOW your existing data (select the first blank row - Ctrl+End then move down one row - and paste there). Do not overwrite previous days; history is kept so you can review it from the Dashboard's date selector. Do not edit columns M:U - they calculate automatically.</t>
  </si>
  <si>
    <t xml:space="preserve">Creation Time</t>
  </si>
  <si>
    <t xml:space="preserve">Store ID</t>
  </si>
  <si>
    <t xml:space="preserve">Gender</t>
  </si>
  <si>
    <t xml:space="preserve">Clothing Category</t>
  </si>
  <si>
    <t xml:space="preserve">Color</t>
  </si>
  <si>
    <t xml:space="preserve">Size</t>
  </si>
  <si>
    <t xml:space="preserve">SKU</t>
  </si>
  <si>
    <t xml:space="preserve">Quantity Sold</t>
  </si>
  <si>
    <t xml:space="preserve">On Hand Quantity (Real Time)</t>
  </si>
  <si>
    <t xml:space="preserve">In Store Price</t>
  </si>
  <si>
    <t xml:space="preserve">Hour</t>
  </si>
  <si>
    <t xml:space="preserve">Line Revenue</t>
  </si>
  <si>
    <t xml:space="preserve">Model Total Qty</t>
  </si>
  <si>
    <t xml:space="preserve">Model Total Revenue</t>
  </si>
  <si>
    <t xml:space="preserve">First Occ.</t>
  </si>
  <si>
    <t xml:space="preserve">Rank Key</t>
  </si>
  <si>
    <t xml:space="preserve">Sale Date</t>
  </si>
  <si>
    <t xml:space="preserve">Date First Occ.</t>
  </si>
  <si>
    <t xml:space="preserve">Date Sort Key</t>
  </si>
  <si>
    <t xml:space="preserve">X206</t>
  </si>
  <si>
    <t xml:space="preserve">M</t>
  </si>
  <si>
    <t xml:space="preserve">Mionn Insulated Jacket Men's</t>
  </si>
  <si>
    <t xml:space="preserve">Black</t>
  </si>
  <si>
    <t xml:space="preserve">X000009116004</t>
  </si>
  <si>
    <t xml:space="preserve">Norvan LD 4 GTX Shoe Men's</t>
  </si>
  <si>
    <t xml:space="preserve">Black/Black</t>
  </si>
  <si>
    <t xml:space="preserve">9</t>
  </si>
  <si>
    <t xml:space="preserve">X000010397006</t>
  </si>
  <si>
    <t xml:space="preserve">W</t>
  </si>
  <si>
    <t xml:space="preserve">Norvan LD 4 GTX Shoe Women's</t>
  </si>
  <si>
    <t xml:space="preserve">Black/Graphite</t>
  </si>
  <si>
    <t xml:space="preserve">5</t>
  </si>
  <si>
    <t xml:space="preserve">X000010400090</t>
  </si>
  <si>
    <t xml:space="preserve">Kyanite Hoody Women's</t>
  </si>
  <si>
    <t xml:space="preserve">Lt Renegade / Renegade</t>
  </si>
  <si>
    <t xml:space="preserve">XS</t>
  </si>
  <si>
    <t xml:space="preserve">X000008535190</t>
  </si>
  <si>
    <t xml:space="preserve">Kopec 2 Low GTX Shoe Men's</t>
  </si>
  <si>
    <t xml:space="preserve">6.5</t>
  </si>
  <si>
    <t xml:space="preserve">X000010831001</t>
  </si>
  <si>
    <t xml:space="preserve">U</t>
  </si>
  <si>
    <t xml:space="preserve">Mantis 26 Backpack</t>
  </si>
  <si>
    <t xml:space="preserve">Dark Jade / Mongoose</t>
  </si>
  <si>
    <t xml:space="preserve">N/A</t>
  </si>
  <si>
    <t xml:space="preserve">X000010643010</t>
  </si>
  <si>
    <t xml:space="preserve">Leutia Pant Women's</t>
  </si>
  <si>
    <t xml:space="preserve">Sea Salt</t>
  </si>
  <si>
    <t xml:space="preserve">6-R</t>
  </si>
  <si>
    <t xml:space="preserve">X000010962075</t>
  </si>
  <si>
    <t xml:space="preserve">Gamma MX Hoody Women's</t>
  </si>
  <si>
    <t xml:space="preserve">Alpine Rose</t>
  </si>
  <si>
    <t xml:space="preserve">X000009456066</t>
  </si>
  <si>
    <t xml:space="preserve">Squamish Hoody Men's</t>
  </si>
  <si>
    <t xml:space="preserve">X000010276004</t>
  </si>
  <si>
    <t xml:space="preserve">Bird Head Toque</t>
  </si>
  <si>
    <t xml:space="preserve">Solitude / Arctic Silk</t>
  </si>
  <si>
    <t xml:space="preserve">X000006756024</t>
  </si>
  <si>
    <t xml:space="preserve">Gamma Pant Women's</t>
  </si>
  <si>
    <t xml:space="preserve">Habitat</t>
  </si>
  <si>
    <t xml:space="preserve">4-R</t>
  </si>
  <si>
    <t xml:space="preserve">X000010033155</t>
  </si>
  <si>
    <t xml:space="preserve">Cormac Crew Neck Shirt SS Men's</t>
  </si>
  <si>
    <t xml:space="preserve">S</t>
  </si>
  <si>
    <t xml:space="preserve">X000010292003</t>
  </si>
  <si>
    <t xml:space="preserve">Clarkia AR Insulated Hoody Women's</t>
  </si>
  <si>
    <t xml:space="preserve">Lt Renegade</t>
  </si>
  <si>
    <t xml:space="preserve">X000010746018</t>
  </si>
  <si>
    <t xml:space="preserve">Kyanite Hoody Men's</t>
  </si>
  <si>
    <t xml:space="preserve">L</t>
  </si>
  <si>
    <t xml:space="preserve">X000008446004</t>
  </si>
  <si>
    <t xml:space="preserve">Backend Calculations - Hourly Sales Breakdown (Accessories Excluded)</t>
  </si>
  <si>
    <t xml:space="preserve">Report Date (from Dashboard selector, or newest by default)</t>
  </si>
  <si>
    <t xml:space="preserve">Available Report Dates</t>
  </si>
  <si>
    <t xml:space="preserve">Hour (24h)</t>
  </si>
  <si>
    <t xml:space="preserve">Hour Label</t>
  </si>
  <si>
    <t xml:space="preserve">Operating Hours (hours with &gt;= 1 sale)</t>
  </si>
</sst>
</file>

<file path=xl/styles.xml><?xml version="1.0" encoding="utf-8"?>
<styleSheet xmlns="http://schemas.openxmlformats.org/spreadsheetml/2006/main">
  <numFmts count="10">
    <numFmt numFmtId="164" formatCode="General"/>
    <numFmt numFmtId="165" formatCode="mmmm\ d&quot;, &quot;yyyy"/>
    <numFmt numFmtId="166" formatCode="#,##0"/>
    <numFmt numFmtId="167" formatCode="\$#,##0.00"/>
    <numFmt numFmtId="168" formatCode="0.00"/>
    <numFmt numFmtId="169" formatCode="0.0%"/>
    <numFmt numFmtId="170" formatCode="\$#,##0"/>
    <numFmt numFmtId="171" formatCode="mmm\ d&quot;, &quot;yyyy\ h:mm:ss\ AM/PM"/>
    <numFmt numFmtId="172" formatCode="General"/>
    <numFmt numFmtId="173" formatCode="mm/dd/yyyy"/>
  </numFmts>
  <fonts count="21">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b val="true"/>
      <sz val="10"/>
      <name val="Arial"/>
      <family val="0"/>
      <charset val="1"/>
    </font>
    <font>
      <sz val="10"/>
      <name val="Arial"/>
      <family val="0"/>
      <charset val="1"/>
    </font>
    <font>
      <i val="true"/>
      <sz val="8"/>
      <color rgb="FF666666"/>
      <name val="Arial"/>
      <family val="0"/>
      <charset val="1"/>
    </font>
    <font>
      <b val="true"/>
      <sz val="10"/>
      <color rgb="FF000000"/>
      <name val="Arial"/>
      <family val="0"/>
      <charset val="1"/>
    </font>
    <font>
      <sz val="11"/>
      <color rgb="FF000000"/>
      <name val="Arial"/>
      <family val="0"/>
      <charset val="1"/>
    </font>
    <font>
      <b val="true"/>
      <sz val="11"/>
      <color rgb="FF0000FF"/>
      <name val="Arial"/>
      <family val="0"/>
      <charset val="1"/>
    </font>
    <font>
      <b val="true"/>
      <sz val="12"/>
      <color rgb="FFFFFFFF"/>
      <name val="Arial"/>
      <family val="0"/>
      <charset val="1"/>
    </font>
    <font>
      <b val="true"/>
      <sz val="11"/>
      <color rgb="FF1F2A44"/>
      <name val="Arial"/>
      <family val="0"/>
      <charset val="1"/>
    </font>
    <font>
      <b val="true"/>
      <sz val="10"/>
      <color rgb="FFFFFFFF"/>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i val="true"/>
      <sz val="9"/>
      <color rgb="FF000000"/>
      <name val="Arial"/>
      <family val="0"/>
      <charset val="1"/>
    </font>
    <font>
      <sz val="10"/>
      <color rgb="FF000000"/>
      <name val="Arial"/>
      <family val="0"/>
      <charset val="1"/>
    </font>
    <font>
      <sz val="9"/>
      <color rgb="FF595959"/>
      <name val="Arial"/>
      <family val="0"/>
      <charset val="1"/>
    </font>
  </fonts>
  <fills count="6">
    <fill>
      <patternFill patternType="none"/>
    </fill>
    <fill>
      <patternFill patternType="gray125"/>
    </fill>
    <fill>
      <patternFill patternType="solid">
        <fgColor rgb="FF1F2A44"/>
        <bgColor rgb="FF404040"/>
      </patternFill>
    </fill>
    <fill>
      <patternFill patternType="solid">
        <fgColor rgb="FFFFFF00"/>
        <bgColor rgb="FFFFFF00"/>
      </patternFill>
    </fill>
    <fill>
      <patternFill patternType="solid">
        <fgColor rgb="FFF2F2F2"/>
        <bgColor rgb="FFFFFFFF"/>
      </patternFill>
    </fill>
    <fill>
      <patternFill patternType="solid">
        <fgColor rgb="FF404040"/>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center" textRotation="0" wrapText="false" indent="1" shrinkToFit="false"/>
      <protection locked="true" hidden="false"/>
    </xf>
    <xf numFmtId="164" fontId="8" fillId="4" borderId="0" xfId="0" applyFont="true" applyBorder="true" applyAlignment="true" applyProtection="false">
      <alignment horizontal="general" vertical="bottom" textRotation="0" wrapText="false" indent="1" shrinkToFit="false"/>
      <protection locked="true" hidden="false"/>
    </xf>
    <xf numFmtId="166" fontId="12"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1"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2" fillId="4"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center"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general" vertical="center" textRotation="0" wrapText="true" indent="1"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71"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0" fillId="4" borderId="1" xfId="0" applyFont="fals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BBB59"/>
      <rgbColor rgb="FFFFCC00"/>
      <rgbColor rgb="FFFF9900"/>
      <rgbColor rgb="FFFF6600"/>
      <rgbColor rgb="FF666666"/>
      <rgbColor rgb="FF969696"/>
      <rgbColor rgb="FF1F2A44"/>
      <rgbColor rgb="FF339966"/>
      <rgbColor rgb="FF003300"/>
      <rgbColor rgb="FF333300"/>
      <rgbColor rgb="FF993300"/>
      <rgbColor rgb="FF993366"/>
      <rgbColor rgb="FF59595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3 Sellers - Units Sold (Excl. Accessories)</a:t>
            </a:r>
          </a:p>
        </c:rich>
      </c:tx>
      <c:overlay val="0"/>
      <c:spPr>
        <a:noFill/>
        <a:ln w="0">
          <a:noFill/>
        </a:ln>
      </c:spPr>
    </c:title>
    <c:autoTitleDeleted val="0"/>
    <c:plotArea>
      <c:barChart>
        <c:barDir val="col"/>
        <c:grouping val="clustered"/>
        <c:varyColors val="0"/>
        <c:ser>
          <c:idx val="0"/>
          <c:order val="0"/>
          <c:tx>
            <c:strRef>
              <c:f>Dashboard!C26</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Dashboard!$B$27:$B$29</c:f>
              <c:strCache>
                <c:ptCount val="3"/>
                <c:pt idx="0">
                  <c:v>Mionn Insulated Jacket Men's</c:v>
                </c:pt>
                <c:pt idx="1">
                  <c:v>Norvan LD 4 GTX Shoe Men's</c:v>
                </c:pt>
                <c:pt idx="2">
                  <c:v>Norvan LD 4 GTX Shoe Women's</c:v>
                </c:pt>
              </c:strCache>
            </c:strRef>
          </c:cat>
          <c:val>
            <c:numRef>
              <c:f>Dashboard!$C$27:$C$29</c:f>
              <c:numCache>
                <c:formatCode>#,##0</c:formatCode>
                <c:ptCount val="3"/>
                <c:pt idx="0">
                  <c:v>1</c:v>
                </c:pt>
                <c:pt idx="1">
                  <c:v>1</c:v>
                </c:pt>
                <c:pt idx="2">
                  <c:v>1</c:v>
                </c:pt>
              </c:numCache>
            </c:numRef>
          </c:val>
        </c:ser>
        <c:gapWidth val="150"/>
        <c:overlap val="0"/>
        <c:axId val="20968448"/>
        <c:axId val="99599528"/>
      </c:barChart>
      <c:catAx>
        <c:axId val="2096844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Model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99528"/>
        <c:crosses val="autoZero"/>
        <c:auto val="1"/>
        <c:lblAlgn val="ctr"/>
        <c:lblOffset val="100"/>
        <c:noMultiLvlLbl val="0"/>
      </c:catAx>
      <c:valAx>
        <c:axId val="995995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9684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by Hour (Excl. Accessories)</a:t>
            </a:r>
          </a:p>
        </c:rich>
      </c:tx>
      <c:overlay val="0"/>
      <c:spPr>
        <a:noFill/>
        <a:ln w="0">
          <a:noFill/>
        </a:ln>
      </c:spPr>
    </c:title>
    <c:autoTitleDeleted val="0"/>
    <c:plotArea>
      <c:barChart>
        <c:barDir val="col"/>
        <c:grouping val="clustered"/>
        <c:varyColors val="0"/>
        <c:ser>
          <c:idx val="0"/>
          <c:order val="0"/>
          <c:tx>
            <c:strRef>
              <c:f>Calc!C2</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Calc!$C$3:$C$26</c:f>
              <c:numCache>
                <c:formatCode>General</c:formatCode>
                <c:ptCount val="24"/>
                <c:pt idx="0">
                  <c:v>0</c:v>
                </c:pt>
                <c:pt idx="1">
                  <c:v>0</c:v>
                </c:pt>
                <c:pt idx="2">
                  <c:v>0</c:v>
                </c:pt>
                <c:pt idx="3">
                  <c:v>0</c:v>
                </c:pt>
                <c:pt idx="4">
                  <c:v>0</c:v>
                </c:pt>
                <c:pt idx="5">
                  <c:v>0</c:v>
                </c:pt>
                <c:pt idx="6">
                  <c:v>0</c:v>
                </c:pt>
                <c:pt idx="7">
                  <c:v>0</c:v>
                </c:pt>
                <c:pt idx="8">
                  <c:v>0</c:v>
                </c:pt>
                <c:pt idx="9">
                  <c:v>0</c:v>
                </c:pt>
                <c:pt idx="10">
                  <c:v>1</c:v>
                </c:pt>
                <c:pt idx="11">
                  <c:v>3</c:v>
                </c:pt>
                <c:pt idx="12">
                  <c:v>8</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63711639"/>
        <c:axId val="91580811"/>
      </c:barChart>
      <c:catAx>
        <c:axId val="6371163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580811"/>
        <c:crosses val="autoZero"/>
        <c:auto val="1"/>
        <c:lblAlgn val="ctr"/>
        <c:lblOffset val="100"/>
        <c:noMultiLvlLbl val="0"/>
      </c:catAx>
      <c:valAx>
        <c:axId val="9158081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7116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Hour (Excl. Accessories)</a:t>
            </a:r>
          </a:p>
        </c:rich>
      </c:tx>
      <c:overlay val="0"/>
      <c:spPr>
        <a:noFill/>
        <a:ln w="0">
          <a:noFill/>
        </a:ln>
      </c:spPr>
    </c:title>
    <c:autoTitleDeleted val="0"/>
    <c:plotArea>
      <c:barChart>
        <c:barDir val="col"/>
        <c:grouping val="clustered"/>
        <c:varyColors val="0"/>
        <c:ser>
          <c:idx val="0"/>
          <c:order val="0"/>
          <c:tx>
            <c:strRef>
              <c:f>Calc!D2</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Calc!$D$3:$D$26</c:f>
              <c:numCache>
                <c:formatCode>\$#,##0</c:formatCode>
                <c:ptCount val="24"/>
                <c:pt idx="0">
                  <c:v>0</c:v>
                </c:pt>
                <c:pt idx="1">
                  <c:v>0</c:v>
                </c:pt>
                <c:pt idx="2">
                  <c:v>0</c:v>
                </c:pt>
                <c:pt idx="3">
                  <c:v>0</c:v>
                </c:pt>
                <c:pt idx="4">
                  <c:v>0</c:v>
                </c:pt>
                <c:pt idx="5">
                  <c:v>0</c:v>
                </c:pt>
                <c:pt idx="6">
                  <c:v>0</c:v>
                </c:pt>
                <c:pt idx="7">
                  <c:v>0</c:v>
                </c:pt>
                <c:pt idx="8">
                  <c:v>0</c:v>
                </c:pt>
                <c:pt idx="9">
                  <c:v>0</c:v>
                </c:pt>
                <c:pt idx="10">
                  <c:v>260</c:v>
                </c:pt>
                <c:pt idx="11">
                  <c:v>790</c:v>
                </c:pt>
                <c:pt idx="12">
                  <c:v>2554</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77445722"/>
        <c:axId val="85028095"/>
      </c:barChart>
      <c:catAx>
        <c:axId val="774457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028095"/>
        <c:crosses val="autoZero"/>
        <c:auto val="1"/>
        <c:lblAlgn val="ctr"/>
        <c:lblOffset val="100"/>
        <c:noMultiLvlLbl val="0"/>
      </c:catAx>
      <c:valAx>
        <c:axId val="850280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4457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Mix by Category</a:t>
            </a:r>
          </a:p>
        </c:rich>
      </c:tx>
      <c:overlay val="0"/>
      <c:spPr>
        <a:noFill/>
        <a:ln w="0">
          <a:noFill/>
        </a:ln>
      </c:spPr>
    </c:title>
    <c:autoTitleDeleted val="0"/>
    <c:plotArea>
      <c:pieChart>
        <c:varyColors val="1"/>
        <c:ser>
          <c:idx val="0"/>
          <c:order val="0"/>
          <c:tx>
            <c:strRef>
              <c:f>Dashboard!B32</c:f>
              <c:strCache>
                <c:ptCount val="1"/>
                <c:pt idx="0">
                  <c:v>Units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Dashboard!$A$33:$A$35</c:f>
              <c:strCache>
                <c:ptCount val="3"/>
                <c:pt idx="0">
                  <c:v>Men's (M)</c:v>
                </c:pt>
                <c:pt idx="1">
                  <c:v>Women's (W)</c:v>
                </c:pt>
                <c:pt idx="2">
                  <c:v>Accessories/Unisex (U)</c:v>
                </c:pt>
              </c:strCache>
            </c:strRef>
          </c:cat>
          <c:val>
            <c:numRef>
              <c:f>Dashboard!$B$33:$B$35</c:f>
              <c:numCache>
                <c:formatCode>#,##0</c:formatCode>
                <c:ptCount val="3"/>
                <c:pt idx="0">
                  <c:v>6</c:v>
                </c:pt>
                <c:pt idx="1">
                  <c:v>6</c:v>
                </c:pt>
                <c:pt idx="2">
                  <c:v>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4</xdr:row>
      <xdr:rowOff>0</xdr:rowOff>
    </xdr:from>
    <xdr:to>
      <xdr:col>13</xdr:col>
      <xdr:colOff>425520</xdr:colOff>
      <xdr:row>18</xdr:row>
      <xdr:rowOff>98280</xdr:rowOff>
    </xdr:to>
    <xdr:graphicFrame>
      <xdr:nvGraphicFramePr>
        <xdr:cNvPr id="0" name="Chart 1"/>
        <xdr:cNvGraphicFramePr/>
      </xdr:nvGraphicFramePr>
      <xdr:xfrm>
        <a:off x="9779040" y="9525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22</xdr:row>
      <xdr:rowOff>0</xdr:rowOff>
    </xdr:from>
    <xdr:to>
      <xdr:col>13</xdr:col>
      <xdr:colOff>425520</xdr:colOff>
      <xdr:row>35</xdr:row>
      <xdr:rowOff>126720</xdr:rowOff>
    </xdr:to>
    <xdr:graphicFrame>
      <xdr:nvGraphicFramePr>
        <xdr:cNvPr id="1" name="Chart 2"/>
        <xdr:cNvGraphicFramePr/>
      </xdr:nvGraphicFramePr>
      <xdr:xfrm>
        <a:off x="9779040" y="44956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425520</xdr:colOff>
      <xdr:row>55</xdr:row>
      <xdr:rowOff>22320</xdr:rowOff>
    </xdr:to>
    <xdr:graphicFrame>
      <xdr:nvGraphicFramePr>
        <xdr:cNvPr id="2" name="Chart 3"/>
        <xdr:cNvGraphicFramePr/>
      </xdr:nvGraphicFramePr>
      <xdr:xfrm>
        <a:off x="9779040" y="820116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58</xdr:row>
      <xdr:rowOff>0</xdr:rowOff>
    </xdr:from>
    <xdr:to>
      <xdr:col>13</xdr:col>
      <xdr:colOff>425520</xdr:colOff>
      <xdr:row>73</xdr:row>
      <xdr:rowOff>22320</xdr:rowOff>
    </xdr:to>
    <xdr:graphicFrame>
      <xdr:nvGraphicFramePr>
        <xdr:cNvPr id="3" name="Chart 4"/>
        <xdr:cNvGraphicFramePr/>
      </xdr:nvGraphicFramePr>
      <xdr:xfrm>
        <a:off x="9779040" y="11630160"/>
        <a:ext cx="575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0"/>
  </cols>
  <sheetData>
    <row r="1" customFormat="false" ht="27.75" hidden="false" customHeight="true" outlineLevel="0" collapsed="false">
      <c r="A1" s="1" t="s">
        <v>0</v>
      </c>
      <c r="B1" s="1"/>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15.75" hidden="false" customHeight="true" outlineLevel="0" collapsed="false">
      <c r="A10" s="2"/>
      <c r="B10" s="3"/>
    </row>
    <row r="11" customFormat="false" ht="15.75" hidden="false" customHeight="true" outlineLevel="0" collapsed="false">
      <c r="A11" s="2" t="s">
        <v>15</v>
      </c>
      <c r="B11" s="3"/>
    </row>
    <row r="12" customFormat="false" ht="31.5" hidden="false" customHeight="true" outlineLevel="0" collapsed="false">
      <c r="A12" s="2"/>
      <c r="B12" s="3" t="s">
        <v>16</v>
      </c>
    </row>
    <row r="13" customFormat="false" ht="31.5" hidden="false" customHeight="true" outlineLevel="0" collapsed="false">
      <c r="A13" s="2"/>
      <c r="B13" s="3" t="s">
        <v>17</v>
      </c>
    </row>
    <row r="14" customFormat="false" ht="31.5" hidden="false" customHeight="true" outlineLevel="0" collapsed="false">
      <c r="A14" s="2"/>
      <c r="B14" s="3" t="s">
        <v>18</v>
      </c>
    </row>
    <row r="16" customFormat="false" ht="43.5" hidden="false" customHeight="true" outlineLevel="0" collapsed="false">
      <c r="A16" s="4" t="s">
        <v>19</v>
      </c>
      <c r="B16" s="4"/>
    </row>
    <row r="18" customFormat="false" ht="31.5" hidden="false" customHeight="true" outlineLevel="0" collapsed="false">
      <c r="A18" s="4" t="s">
        <v>20</v>
      </c>
      <c r="B18" s="4"/>
    </row>
  </sheetData>
  <mergeCells count="3">
    <mergeCell ref="A1:B1"/>
    <mergeCell ref="A16:B16"/>
    <mergeCell ref="A18:B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5"/>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17" min="7" style="0" width="10"/>
  </cols>
  <sheetData>
    <row r="1" customFormat="false" ht="30" hidden="false" customHeight="true" outlineLevel="0" collapsed="false">
      <c r="A1" s="1" t="s">
        <v>21</v>
      </c>
      <c r="B1" s="1"/>
      <c r="C1" s="1"/>
      <c r="D1" s="1"/>
      <c r="E1" s="1"/>
      <c r="F1" s="1"/>
    </row>
    <row r="3" customFormat="false" ht="15" hidden="false" customHeight="false" outlineLevel="0" collapsed="false">
      <c r="A3" s="5" t="s">
        <v>22</v>
      </c>
      <c r="B3" s="6" t="str">
        <f aca="false">IFERROR(INDEX('Sales Data'!$B$3:$B$3002,MATCH(Calc!$F$2,'Sales Data'!$S$3:$S$3002,0)),"")</f>
        <v>X206</v>
      </c>
      <c r="D3" s="5" t="s">
        <v>23</v>
      </c>
      <c r="E3" s="7" t="n">
        <v>46263</v>
      </c>
      <c r="F3" s="8" t="str">
        <f aca="false">"(showing " &amp; TEXT(Calc!$F$2,"mmmm d, yyyy") &amp; ")"</f>
        <v>(showing August 29, 2026)</v>
      </c>
      <c r="G3" s="8"/>
      <c r="H3" s="8"/>
    </row>
    <row r="5" customFormat="false" ht="19.5" hidden="false" customHeight="true" outlineLevel="0" collapsed="false">
      <c r="A5" s="9" t="s">
        <v>24</v>
      </c>
      <c r="B5" s="9"/>
      <c r="C5" s="9"/>
      <c r="D5" s="9"/>
      <c r="E5" s="9"/>
      <c r="F5" s="9"/>
    </row>
    <row r="6" customFormat="false" ht="15" hidden="false" customHeight="false" outlineLevel="0" collapsed="false">
      <c r="A6" s="10" t="s">
        <v>25</v>
      </c>
      <c r="B6" s="10"/>
      <c r="C6" s="11" t="n">
        <f aca="false">Calc!C29</f>
        <v>12</v>
      </c>
    </row>
    <row r="7" customFormat="false" ht="15" hidden="false" customHeight="false" outlineLevel="0" collapsed="false">
      <c r="A7" s="12" t="s">
        <v>26</v>
      </c>
      <c r="B7" s="12"/>
      <c r="C7" s="13" t="n">
        <f aca="false">Calc!C30</f>
        <v>3604</v>
      </c>
    </row>
    <row r="8" customFormat="false" ht="15" hidden="false" customHeight="false" outlineLevel="0" collapsed="false">
      <c r="A8" s="10" t="s">
        <v>27</v>
      </c>
      <c r="B8" s="10"/>
      <c r="C8" s="11" t="n">
        <f aca="false">SUMIFS('Sales Data'!I3:I3002,'Sales Data'!S3:S3002,Calc!$F$2)</f>
        <v>14</v>
      </c>
    </row>
    <row r="9" customFormat="false" ht="15" hidden="false" customHeight="false" outlineLevel="0" collapsed="false">
      <c r="A9" s="12" t="s">
        <v>28</v>
      </c>
      <c r="B9" s="12"/>
      <c r="C9" s="13" t="n">
        <f aca="false">SUMIFS('Sales Data'!N3:N3002,'Sales Data'!S3:S3002,Calc!$F$2)</f>
        <v>3884</v>
      </c>
    </row>
    <row r="10" customFormat="false" ht="15" hidden="false" customHeight="false" outlineLevel="0" collapsed="false">
      <c r="A10" s="10" t="s">
        <v>29</v>
      </c>
      <c r="B10" s="10"/>
      <c r="C10" s="14" t="n">
        <f aca="false">IFERROR(C9/C8,0)</f>
        <v>277.428571428571</v>
      </c>
    </row>
    <row r="11" customFormat="false" ht="15" hidden="false" customHeight="false" outlineLevel="0" collapsed="false">
      <c r="A11" s="12" t="s">
        <v>30</v>
      </c>
      <c r="B11" s="12"/>
      <c r="C11" s="15" t="n">
        <f aca="false">Calc!C31</f>
        <v>4</v>
      </c>
    </row>
    <row r="12" customFormat="false" ht="15" hidden="false" customHeight="false" outlineLevel="0" collapsed="false">
      <c r="A12" s="10" t="s">
        <v>31</v>
      </c>
      <c r="B12" s="10"/>
      <c r="C12" s="14" t="n">
        <f aca="false">Calc!C32</f>
        <v>1201.33333333333</v>
      </c>
    </row>
    <row r="13" customFormat="false" ht="15" hidden="false" customHeight="false" outlineLevel="0" collapsed="false">
      <c r="A13" s="12" t="s">
        <v>32</v>
      </c>
      <c r="B13" s="12"/>
      <c r="C13" s="16" t="str">
        <f aca="false">Calc!C33</f>
        <v>12 PM</v>
      </c>
    </row>
    <row r="14" customFormat="false" ht="15" hidden="false" customHeight="false" outlineLevel="0" collapsed="false">
      <c r="A14" s="10" t="s">
        <v>33</v>
      </c>
      <c r="B14" s="10"/>
      <c r="C14" s="17" t="str">
        <f aca="false">Calc!C34</f>
        <v>12 PM</v>
      </c>
    </row>
    <row r="15" customFormat="false" ht="15" hidden="false" customHeight="false" outlineLevel="0" collapsed="false">
      <c r="A15" s="12" t="s">
        <v>34</v>
      </c>
      <c r="B15" s="12"/>
      <c r="C15" s="18" t="n">
        <f aca="false">COUNTIFS('Sales Data'!J3:J3002,0,'Sales Data'!C3:C3002,"&lt;&gt;U",'Sales Data'!S3:S3002,Calc!$F$2)</f>
        <v>5</v>
      </c>
    </row>
    <row r="17" customFormat="false" ht="19.5" hidden="false" customHeight="true" outlineLevel="0" collapsed="false">
      <c r="A17" s="9" t="s">
        <v>35</v>
      </c>
      <c r="B17" s="9"/>
      <c r="C17" s="9"/>
      <c r="D17" s="9"/>
      <c r="E17" s="9"/>
      <c r="F17" s="9"/>
    </row>
    <row r="18" customFormat="false" ht="15" hidden="false" customHeight="false" outlineLevel="0" collapsed="false">
      <c r="A18" s="19" t="s">
        <v>36</v>
      </c>
      <c r="B18" s="19"/>
      <c r="C18" s="20" t="n">
        <v>0</v>
      </c>
    </row>
    <row r="19" customFormat="false" ht="15" hidden="false" customHeight="false" outlineLevel="0" collapsed="false">
      <c r="A19" s="19" t="s">
        <v>37</v>
      </c>
      <c r="B19" s="19"/>
      <c r="C19" s="20" t="n">
        <v>0</v>
      </c>
    </row>
    <row r="20" customFormat="false" ht="15" hidden="false" customHeight="false" outlineLevel="0" collapsed="false">
      <c r="A20" s="19" t="s">
        <v>38</v>
      </c>
      <c r="B20" s="19"/>
      <c r="C20" s="21" t="n">
        <f aca="false">IFERROR(C19/C18,0)</f>
        <v>0</v>
      </c>
    </row>
    <row r="21" customFormat="false" ht="15" hidden="false" customHeight="false" outlineLevel="0" collapsed="false">
      <c r="A21" s="19" t="s">
        <v>39</v>
      </c>
      <c r="B21" s="19"/>
      <c r="C21" s="13" t="n">
        <f aca="false">IFERROR(C9/C19,0)</f>
        <v>0</v>
      </c>
    </row>
    <row r="22" customFormat="false" ht="15" hidden="false" customHeight="false" outlineLevel="0" collapsed="false">
      <c r="A22" s="19" t="s">
        <v>40</v>
      </c>
      <c r="B22" s="19"/>
      <c r="C22" s="15" t="n">
        <f aca="false">IFERROR(C8/C19,0)</f>
        <v>0</v>
      </c>
    </row>
    <row r="23" customFormat="false" ht="27.75" hidden="false" customHeight="true" outlineLevel="0" collapsed="false">
      <c r="A23" s="4" t="s">
        <v>41</v>
      </c>
      <c r="B23" s="4"/>
      <c r="C23" s="4"/>
      <c r="D23" s="4"/>
      <c r="E23" s="4"/>
      <c r="F23" s="4"/>
    </row>
    <row r="25" customFormat="false" ht="19.5" hidden="false" customHeight="true" outlineLevel="0" collapsed="false">
      <c r="A25" s="9" t="s">
        <v>42</v>
      </c>
      <c r="B25" s="9"/>
      <c r="C25" s="9"/>
      <c r="D25" s="9"/>
    </row>
    <row r="26" customFormat="false" ht="15" hidden="false" customHeight="false" outlineLevel="0" collapsed="false">
      <c r="A26" s="22" t="s">
        <v>43</v>
      </c>
      <c r="B26" s="22" t="s">
        <v>44</v>
      </c>
      <c r="C26" s="22" t="s">
        <v>45</v>
      </c>
      <c r="D26" s="22" t="s">
        <v>46</v>
      </c>
    </row>
    <row r="27" customFormat="false" ht="15" hidden="false" customHeight="false" outlineLevel="0" collapsed="false">
      <c r="A27" s="23" t="n">
        <v>1</v>
      </c>
      <c r="B27" s="23" t="str">
        <f aca="false">IFERROR(INDEX('Sales Data'!$E$3:$E$3002,MATCH(LARGE('Sales Data'!$R$3:$R$3002,1),'Sales Data'!$R$3:$R$3002,0)),"N/A")</f>
        <v>Mionn Insulated Jacket Men's</v>
      </c>
      <c r="C27" s="24" t="n">
        <f aca="false">IFERROR(INDEX('Sales Data'!$O$3:$O$3002,MATCH(LARGE('Sales Data'!$R$3:$R$3002,1),'Sales Data'!$R$3:$R$3002,0)),0)</f>
        <v>1</v>
      </c>
      <c r="D27" s="25" t="n">
        <f aca="false">IFERROR(INDEX('Sales Data'!$P$3:$P$3002,MATCH(LARGE('Sales Data'!$R$3:$R$3002,1),'Sales Data'!$R$3:$R$3002,0)),0)</f>
        <v>560</v>
      </c>
    </row>
    <row r="28" customFormat="false" ht="15" hidden="false" customHeight="false" outlineLevel="0" collapsed="false">
      <c r="A28" s="26" t="n">
        <v>2</v>
      </c>
      <c r="B28" s="26" t="str">
        <f aca="false">IFERROR(INDEX('Sales Data'!$E$3:$E$3002,MATCH(LARGE('Sales Data'!$R$3:$R$3002,2),'Sales Data'!$R$3:$R$3002,0)),"N/A")</f>
        <v>Norvan LD 4 GTX Shoe Men's</v>
      </c>
      <c r="C28" s="27" t="n">
        <f aca="false">IFERROR(INDEX('Sales Data'!$O$3:$O$3002,MATCH(LARGE('Sales Data'!$R$3:$R$3002,2),'Sales Data'!$R$3:$R$3002,0)),0)</f>
        <v>1</v>
      </c>
      <c r="D28" s="28" t="n">
        <f aca="false">IFERROR(INDEX('Sales Data'!$P$3:$P$3002,MATCH(LARGE('Sales Data'!$R$3:$R$3002,2),'Sales Data'!$R$3:$R$3002,0)),0)</f>
        <v>260</v>
      </c>
    </row>
    <row r="29" customFormat="false" ht="15" hidden="false" customHeight="false" outlineLevel="0" collapsed="false">
      <c r="A29" s="23" t="n">
        <v>3</v>
      </c>
      <c r="B29" s="23" t="str">
        <f aca="false">IFERROR(INDEX('Sales Data'!$E$3:$E$3002,MATCH(LARGE('Sales Data'!$R$3:$R$3002,3),'Sales Data'!$R$3:$R$3002,0)),"N/A")</f>
        <v>Norvan LD 4 GTX Shoe Women's</v>
      </c>
      <c r="C29" s="24" t="n">
        <f aca="false">IFERROR(INDEX('Sales Data'!$O$3:$O$3002,MATCH(LARGE('Sales Data'!$R$3:$R$3002,3),'Sales Data'!$R$3:$R$3002,0)),0)</f>
        <v>1</v>
      </c>
      <c r="D29" s="25" t="n">
        <f aca="false">IFERROR(INDEX('Sales Data'!$P$3:$P$3002,MATCH(LARGE('Sales Data'!$R$3:$R$3002,3),'Sales Data'!$R$3:$R$3002,0)),0)</f>
        <v>154</v>
      </c>
    </row>
    <row r="31" customFormat="false" ht="19.5" hidden="false" customHeight="true" outlineLevel="0" collapsed="false">
      <c r="A31" s="9" t="s">
        <v>47</v>
      </c>
      <c r="B31" s="9"/>
      <c r="C31" s="9"/>
      <c r="D31" s="9"/>
    </row>
    <row r="32" customFormat="false" ht="15" hidden="false" customHeight="false" outlineLevel="0" collapsed="false">
      <c r="A32" s="22" t="s">
        <v>48</v>
      </c>
      <c r="B32" s="22" t="s">
        <v>49</v>
      </c>
      <c r="C32" s="22" t="s">
        <v>46</v>
      </c>
    </row>
    <row r="33" customFormat="false" ht="15" hidden="false" customHeight="false" outlineLevel="0" collapsed="false">
      <c r="A33" s="23" t="s">
        <v>50</v>
      </c>
      <c r="B33" s="24" t="n">
        <f aca="false">SUMIFS('Sales Data'!$I$3:$I$3002,'Sales Data'!$C$3:$C$3002,"M",'Sales Data'!$S$3:$S$3002,Calc!$F$2)</f>
        <v>6</v>
      </c>
      <c r="C33" s="25" t="n">
        <f aca="false">SUMIFS('Sales Data'!$N$3:$N$3002,'Sales Data'!$C$3:$C$3002,"M",'Sales Data'!$S$3:$S$3002,Calc!$F$2)</f>
        <v>1670</v>
      </c>
    </row>
    <row r="34" customFormat="false" ht="15" hidden="false" customHeight="false" outlineLevel="0" collapsed="false">
      <c r="A34" s="26" t="s">
        <v>51</v>
      </c>
      <c r="B34" s="27" t="n">
        <f aca="false">SUMIFS('Sales Data'!$I$3:$I$3002,'Sales Data'!$C$3:$C$3002,"W",'Sales Data'!$S$3:$S$3002,Calc!$F$2)</f>
        <v>6</v>
      </c>
      <c r="C34" s="28" t="n">
        <f aca="false">SUMIFS('Sales Data'!$N$3:$N$3002,'Sales Data'!$C$3:$C$3002,"W",'Sales Data'!$S$3:$S$3002,Calc!$F$2)</f>
        <v>1934</v>
      </c>
    </row>
    <row r="35" customFormat="false" ht="15" hidden="false" customHeight="false" outlineLevel="0" collapsed="false">
      <c r="A35" s="23" t="s">
        <v>52</v>
      </c>
      <c r="B35" s="24" t="n">
        <f aca="false">SUMIFS('Sales Data'!$I$3:$I$3002,'Sales Data'!$C$3:$C$3002,"U",'Sales Data'!$S$3:$S$3002,Calc!$F$2)</f>
        <v>2</v>
      </c>
      <c r="C35" s="25" t="n">
        <f aca="false">SUMIFS('Sales Data'!$N$3:$N$3002,'Sales Data'!$C$3:$C$3002,"U",'Sales Data'!$S$3:$S$3002,Calc!$F$2)</f>
        <v>280</v>
      </c>
    </row>
  </sheetData>
  <mergeCells count="22">
    <mergeCell ref="A1:F1"/>
    <mergeCell ref="F3:H3"/>
    <mergeCell ref="A5:F5"/>
    <mergeCell ref="A6:B6"/>
    <mergeCell ref="A7:B7"/>
    <mergeCell ref="A8:B8"/>
    <mergeCell ref="A9:B9"/>
    <mergeCell ref="A10:B10"/>
    <mergeCell ref="A11:B11"/>
    <mergeCell ref="A12:B12"/>
    <mergeCell ref="A13:B13"/>
    <mergeCell ref="A14:B14"/>
    <mergeCell ref="A15:B15"/>
    <mergeCell ref="A17:F17"/>
    <mergeCell ref="A18:B18"/>
    <mergeCell ref="A19:B19"/>
    <mergeCell ref="A20:B20"/>
    <mergeCell ref="A21:B21"/>
    <mergeCell ref="A22:B22"/>
    <mergeCell ref="A23:F23"/>
    <mergeCell ref="A25:D25"/>
    <mergeCell ref="A31:D31"/>
  </mergeCells>
  <dataValidations count="1">
    <dataValidation allowBlank="true" error="Pick a date from the list, or leave this cell blank." errorStyle="stop" errorTitle="Invalid date" operator="between" showDropDown="false" showErrorMessage="false" showInputMessage="false" sqref="E3" type="list">
      <formula1>Calc!$I$2:$I$201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30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8"/>
    <col collapsed="false" customWidth="true" hidden="false" outlineLevel="0" max="4" min="4" style="0" width="16"/>
    <col collapsed="false" customWidth="true" hidden="false" outlineLevel="0" max="5" min="5" style="0" width="30"/>
    <col collapsed="false" customWidth="true" hidden="false" outlineLevel="0" max="6" min="6" style="0" width="16"/>
    <col collapsed="false" customWidth="true" hidden="false" outlineLevel="0" max="7" min="7" style="0" width="8"/>
    <col collapsed="false" customWidth="true" hidden="false" outlineLevel="0" max="8" min="8" style="0" width="16"/>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3" min="13" style="0" width="6"/>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9"/>
    <col collapsed="false" customWidth="true" hidden="false" outlineLevel="0" max="18" min="18" style="0" width="12"/>
    <col collapsed="false" customWidth="true" hidden="false" outlineLevel="0" max="19" min="19" style="0" width="13"/>
    <col collapsed="false" customWidth="true" hidden="false" outlineLevel="0" max="20" min="20" style="0" width="10"/>
    <col collapsed="false" customWidth="true" hidden="false" outlineLevel="0" max="21" min="21" style="0" width="12"/>
  </cols>
  <sheetData>
    <row r="1" customFormat="false" ht="30" hidden="false" customHeight="true" outlineLevel="0" collapsed="false">
      <c r="A1" s="29" t="s">
        <v>53</v>
      </c>
      <c r="B1" s="29"/>
      <c r="C1" s="29"/>
      <c r="D1" s="29"/>
      <c r="E1" s="29"/>
      <c r="F1" s="29"/>
      <c r="G1" s="29"/>
      <c r="H1" s="29"/>
      <c r="I1" s="29"/>
      <c r="J1" s="29"/>
      <c r="K1" s="29"/>
    </row>
    <row r="2" customFormat="false" ht="30" hidden="false" customHeight="true" outlineLevel="0" collapsed="false">
      <c r="A2" s="30" t="s">
        <v>54</v>
      </c>
      <c r="B2" s="30" t="s">
        <v>55</v>
      </c>
      <c r="C2" s="30" t="s">
        <v>56</v>
      </c>
      <c r="D2" s="30" t="s">
        <v>57</v>
      </c>
      <c r="E2" s="30" t="s">
        <v>44</v>
      </c>
      <c r="F2" s="30" t="s">
        <v>58</v>
      </c>
      <c r="G2" s="30" t="s">
        <v>59</v>
      </c>
      <c r="H2" s="30" t="s">
        <v>60</v>
      </c>
      <c r="I2" s="30" t="s">
        <v>61</v>
      </c>
      <c r="J2" s="30" t="s">
        <v>62</v>
      </c>
      <c r="K2" s="30" t="s">
        <v>63</v>
      </c>
      <c r="M2" s="31" t="s">
        <v>64</v>
      </c>
      <c r="N2" s="31" t="s">
        <v>65</v>
      </c>
      <c r="O2" s="31" t="s">
        <v>66</v>
      </c>
      <c r="P2" s="31" t="s">
        <v>67</v>
      </c>
      <c r="Q2" s="31" t="s">
        <v>68</v>
      </c>
      <c r="R2" s="31" t="s">
        <v>69</v>
      </c>
      <c r="S2" s="31" t="s">
        <v>70</v>
      </c>
      <c r="T2" s="31" t="s">
        <v>71</v>
      </c>
      <c r="U2" s="31" t="s">
        <v>72</v>
      </c>
    </row>
    <row r="3" customFormat="false" ht="15" hidden="false" customHeight="false" outlineLevel="0" collapsed="false">
      <c r="A3" s="32" t="n">
        <v>46263.5393981482</v>
      </c>
      <c r="B3" s="33" t="s">
        <v>73</v>
      </c>
      <c r="C3" s="33" t="s">
        <v>74</v>
      </c>
      <c r="D3" s="33"/>
      <c r="E3" s="33" t="s">
        <v>75</v>
      </c>
      <c r="F3" s="33" t="s">
        <v>76</v>
      </c>
      <c r="G3" s="33" t="s">
        <v>74</v>
      </c>
      <c r="H3" s="33" t="s">
        <v>77</v>
      </c>
      <c r="I3" s="33" t="n">
        <v>1</v>
      </c>
      <c r="J3" s="33" t="n">
        <v>1</v>
      </c>
      <c r="K3" s="34" t="n">
        <v>560</v>
      </c>
      <c r="M3" s="35" t="n">
        <f aca="false">IF($A3="","",HOUR($A3))</f>
        <v>12</v>
      </c>
      <c r="N3" s="36" t="n">
        <f aca="false">IF($A3="","",$I3*$K3)</f>
        <v>560</v>
      </c>
      <c r="O3" s="35" t="n">
        <f aca="false">IF(OR($A3="",$C3="U",$S3&lt;&gt;Calc!$F$2),"",SUMIFS($I$3:$I$3002,$E$3:$E$3002,$E3,$C$3:$C$3002,"&lt;&gt;U",$S$3:$S$3002,Calc!$F$2))</f>
        <v>1</v>
      </c>
      <c r="P3" s="35" t="n">
        <f aca="false">IF(OR($A3="",$C3="U",$S3&lt;&gt;Calc!$F$2),"",SUMIFS($N$3:$N$3002,$E$3:$E$3002,$E3,$C$3:$C$3002,"&lt;&gt;U",$S$3:$S$3002,Calc!$F$2))</f>
        <v>560</v>
      </c>
      <c r="Q3" s="35" t="n">
        <f aca="false">IF(OR($A3="",$C3="U",$S3&lt;&gt;Calc!$F$2),"",IF(COUNTIFS($E$3:$E3,$E3,$C$3:$C3,"&lt;&gt;U",$S$3:$S3,Calc!$F$2)=1,1,0))</f>
        <v>1</v>
      </c>
      <c r="R3" s="35" t="n">
        <f aca="false">IF($Q3=1,$O3-ROW()/100000,"")</f>
        <v>0.99997</v>
      </c>
      <c r="S3" s="37" t="n">
        <f aca="false">IF($A3="","",INT($A3))</f>
        <v>46263</v>
      </c>
      <c r="T3" s="35" t="n">
        <f aca="false">IF($A3="","",IF(COUNTIFS($S$3:$S3,$S3)=1,1,0))</f>
        <v>1</v>
      </c>
      <c r="U3" s="37" t="n">
        <f aca="false">IF($T3=1,$S3,"")</f>
        <v>46263</v>
      </c>
    </row>
    <row r="4" customFormat="false" ht="15" hidden="false" customHeight="false" outlineLevel="0" collapsed="false">
      <c r="A4" s="32" t="n">
        <v>46263.5222453704</v>
      </c>
      <c r="B4" s="33" t="s">
        <v>73</v>
      </c>
      <c r="C4" s="33" t="s">
        <v>74</v>
      </c>
      <c r="D4" s="33"/>
      <c r="E4" s="33" t="s">
        <v>78</v>
      </c>
      <c r="F4" s="33" t="s">
        <v>79</v>
      </c>
      <c r="G4" s="33" t="s">
        <v>80</v>
      </c>
      <c r="H4" s="33" t="s">
        <v>81</v>
      </c>
      <c r="I4" s="33" t="n">
        <v>1</v>
      </c>
      <c r="J4" s="33" t="n">
        <v>1</v>
      </c>
      <c r="K4" s="34" t="n">
        <v>260</v>
      </c>
      <c r="M4" s="35" t="n">
        <f aca="false">IF($A4="","",HOUR($A4))</f>
        <v>12</v>
      </c>
      <c r="N4" s="36" t="n">
        <f aca="false">IF($A4="","",$I4*$K4)</f>
        <v>260</v>
      </c>
      <c r="O4" s="35" t="n">
        <f aca="false">IF(OR($A4="",$C4="U",$S4&lt;&gt;Calc!$F$2),"",SUMIFS($I$3:$I$3002,$E$3:$E$3002,$E4,$C$3:$C$3002,"&lt;&gt;U",$S$3:$S$3002,Calc!$F$2))</f>
        <v>1</v>
      </c>
      <c r="P4" s="35" t="n">
        <f aca="false">IF(OR($A4="",$C4="U",$S4&lt;&gt;Calc!$F$2),"",SUMIFS($N$3:$N$3002,$E$3:$E$3002,$E4,$C$3:$C$3002,"&lt;&gt;U",$S$3:$S$3002,Calc!$F$2))</f>
        <v>260</v>
      </c>
      <c r="Q4" s="35" t="n">
        <f aca="false">IF(OR($A4="",$C4="U",$S4&lt;&gt;Calc!$F$2),"",IF(COUNTIFS($E$3:$E4,$E4,$C$3:$C4,"&lt;&gt;U",$S$3:$S4,Calc!$F$2)=1,1,0))</f>
        <v>1</v>
      </c>
      <c r="R4" s="35" t="n">
        <f aca="false">IF($Q4=1,$O4-ROW()/100000,"")</f>
        <v>0.99996</v>
      </c>
      <c r="S4" s="37" t="n">
        <f aca="false">IF($A4="","",INT($A4))</f>
        <v>46263</v>
      </c>
      <c r="T4" s="35" t="n">
        <f aca="false">IF($A4="","",IF(COUNTIFS($S$3:$S4,$S4)=1,1,0))</f>
        <v>0</v>
      </c>
      <c r="U4" s="37" t="str">
        <f aca="false">IF($T4=1,$S4,"")</f>
        <v/>
      </c>
    </row>
    <row r="5" customFormat="false" ht="15" hidden="false" customHeight="false" outlineLevel="0" collapsed="false">
      <c r="A5" s="32" t="n">
        <v>46263.5222453704</v>
      </c>
      <c r="B5" s="33" t="s">
        <v>73</v>
      </c>
      <c r="C5" s="33" t="s">
        <v>82</v>
      </c>
      <c r="D5" s="33"/>
      <c r="E5" s="33" t="s">
        <v>83</v>
      </c>
      <c r="F5" s="33" t="s">
        <v>84</v>
      </c>
      <c r="G5" s="33" t="s">
        <v>85</v>
      </c>
      <c r="H5" s="33" t="s">
        <v>86</v>
      </c>
      <c r="I5" s="33" t="n">
        <v>1</v>
      </c>
      <c r="J5" s="33" t="n">
        <v>0</v>
      </c>
      <c r="K5" s="34" t="n">
        <v>154</v>
      </c>
      <c r="M5" s="35" t="n">
        <f aca="false">IF($A5="","",HOUR($A5))</f>
        <v>12</v>
      </c>
      <c r="N5" s="36" t="n">
        <f aca="false">IF($A5="","",$I5*$K5)</f>
        <v>154</v>
      </c>
      <c r="O5" s="35" t="n">
        <f aca="false">IF(OR($A5="",$C5="U",$S5&lt;&gt;Calc!$F$2),"",SUMIFS($I$3:$I$3002,$E$3:$E$3002,$E5,$C$3:$C$3002,"&lt;&gt;U",$S$3:$S$3002,Calc!$F$2))</f>
        <v>1</v>
      </c>
      <c r="P5" s="35" t="n">
        <f aca="false">IF(OR($A5="",$C5="U",$S5&lt;&gt;Calc!$F$2),"",SUMIFS($N$3:$N$3002,$E$3:$E$3002,$E5,$C$3:$C$3002,"&lt;&gt;U",$S$3:$S$3002,Calc!$F$2))</f>
        <v>154</v>
      </c>
      <c r="Q5" s="35" t="n">
        <f aca="false">IF(OR($A5="",$C5="U",$S5&lt;&gt;Calc!$F$2),"",IF(COUNTIFS($E$3:$E5,$E5,$C$3:$C5,"&lt;&gt;U",$S$3:$S5,Calc!$F$2)=1,1,0))</f>
        <v>1</v>
      </c>
      <c r="R5" s="35" t="n">
        <f aca="false">IF($Q5=1,$O5-ROW()/100000,"")</f>
        <v>0.99995</v>
      </c>
      <c r="S5" s="37" t="n">
        <f aca="false">IF($A5="","",INT($A5))</f>
        <v>46263</v>
      </c>
      <c r="T5" s="35" t="n">
        <f aca="false">IF($A5="","",IF(COUNTIFS($S$3:$S5,$S5)=1,1,0))</f>
        <v>0</v>
      </c>
      <c r="U5" s="37" t="str">
        <f aca="false">IF($T5=1,$S5,"")</f>
        <v/>
      </c>
    </row>
    <row r="6" customFormat="false" ht="15" hidden="false" customHeight="false" outlineLevel="0" collapsed="false">
      <c r="A6" s="32" t="n">
        <v>46263.5205439815</v>
      </c>
      <c r="B6" s="33" t="s">
        <v>73</v>
      </c>
      <c r="C6" s="33" t="s">
        <v>82</v>
      </c>
      <c r="D6" s="33"/>
      <c r="E6" s="33" t="s">
        <v>87</v>
      </c>
      <c r="F6" s="33" t="s">
        <v>88</v>
      </c>
      <c r="G6" s="33" t="s">
        <v>89</v>
      </c>
      <c r="H6" s="33" t="s">
        <v>90</v>
      </c>
      <c r="I6" s="33" t="n">
        <v>1</v>
      </c>
      <c r="J6" s="33" t="n">
        <v>1</v>
      </c>
      <c r="K6" s="34" t="n">
        <v>260</v>
      </c>
      <c r="M6" s="35" t="n">
        <f aca="false">IF($A6="","",HOUR($A6))</f>
        <v>12</v>
      </c>
      <c r="N6" s="36" t="n">
        <f aca="false">IF($A6="","",$I6*$K6)</f>
        <v>260</v>
      </c>
      <c r="O6" s="35" t="n">
        <f aca="false">IF(OR($A6="",$C6="U",$S6&lt;&gt;Calc!$F$2),"",SUMIFS($I$3:$I$3002,$E$3:$E$3002,$E6,$C$3:$C$3002,"&lt;&gt;U",$S$3:$S$3002,Calc!$F$2))</f>
        <v>1</v>
      </c>
      <c r="P6" s="35" t="n">
        <f aca="false">IF(OR($A6="",$C6="U",$S6&lt;&gt;Calc!$F$2),"",SUMIFS($N$3:$N$3002,$E$3:$E$3002,$E6,$C$3:$C$3002,"&lt;&gt;U",$S$3:$S$3002,Calc!$F$2))</f>
        <v>260</v>
      </c>
      <c r="Q6" s="35" t="n">
        <f aca="false">IF(OR($A6="",$C6="U",$S6&lt;&gt;Calc!$F$2),"",IF(COUNTIFS($E$3:$E6,$E6,$C$3:$C6,"&lt;&gt;U",$S$3:$S6,Calc!$F$2)=1,1,0))</f>
        <v>1</v>
      </c>
      <c r="R6" s="35" t="n">
        <f aca="false">IF($Q6=1,$O6-ROW()/100000,"")</f>
        <v>0.99994</v>
      </c>
      <c r="S6" s="37" t="n">
        <f aca="false">IF($A6="","",INT($A6))</f>
        <v>46263</v>
      </c>
      <c r="T6" s="35" t="n">
        <f aca="false">IF($A6="","",IF(COUNTIFS($S$3:$S6,$S6)=1,1,0))</f>
        <v>0</v>
      </c>
      <c r="U6" s="37" t="str">
        <f aca="false">IF($T6=1,$S6,"")</f>
        <v/>
      </c>
    </row>
    <row r="7" customFormat="false" ht="15" hidden="false" customHeight="false" outlineLevel="0" collapsed="false">
      <c r="A7" s="32" t="n">
        <v>46263.5156134259</v>
      </c>
      <c r="B7" s="33" t="s">
        <v>73</v>
      </c>
      <c r="C7" s="33" t="s">
        <v>74</v>
      </c>
      <c r="D7" s="33"/>
      <c r="E7" s="33" t="s">
        <v>91</v>
      </c>
      <c r="F7" s="33" t="s">
        <v>79</v>
      </c>
      <c r="G7" s="33" t="s">
        <v>92</v>
      </c>
      <c r="H7" s="33" t="s">
        <v>93</v>
      </c>
      <c r="I7" s="33" t="n">
        <v>1</v>
      </c>
      <c r="J7" s="33" t="n">
        <v>0</v>
      </c>
      <c r="K7" s="34" t="n">
        <v>240</v>
      </c>
      <c r="M7" s="35" t="n">
        <f aca="false">IF($A7="","",HOUR($A7))</f>
        <v>12</v>
      </c>
      <c r="N7" s="36" t="n">
        <f aca="false">IF($A7="","",$I7*$K7)</f>
        <v>240</v>
      </c>
      <c r="O7" s="35" t="n">
        <f aca="false">IF(OR($A7="",$C7="U",$S7&lt;&gt;Calc!$F$2),"",SUMIFS($I$3:$I$3002,$E$3:$E$3002,$E7,$C$3:$C$3002,"&lt;&gt;U",$S$3:$S$3002,Calc!$F$2))</f>
        <v>1</v>
      </c>
      <c r="P7" s="35" t="n">
        <f aca="false">IF(OR($A7="",$C7="U",$S7&lt;&gt;Calc!$F$2),"",SUMIFS($N$3:$N$3002,$E$3:$E$3002,$E7,$C$3:$C$3002,"&lt;&gt;U",$S$3:$S$3002,Calc!$F$2))</f>
        <v>240</v>
      </c>
      <c r="Q7" s="35" t="n">
        <f aca="false">IF(OR($A7="",$C7="U",$S7&lt;&gt;Calc!$F$2),"",IF(COUNTIFS($E$3:$E7,$E7,$C$3:$C7,"&lt;&gt;U",$S$3:$S7,Calc!$F$2)=1,1,0))</f>
        <v>1</v>
      </c>
      <c r="R7" s="35" t="n">
        <f aca="false">IF($Q7=1,$O7-ROW()/100000,"")</f>
        <v>0.99993</v>
      </c>
      <c r="S7" s="37" t="n">
        <f aca="false">IF($A7="","",INT($A7))</f>
        <v>46263</v>
      </c>
      <c r="T7" s="35" t="n">
        <f aca="false">IF($A7="","",IF(COUNTIFS($S$3:$S7,$S7)=1,1,0))</f>
        <v>0</v>
      </c>
      <c r="U7" s="37" t="str">
        <f aca="false">IF($T7=1,$S7,"")</f>
        <v/>
      </c>
    </row>
    <row r="8" customFormat="false" ht="15" hidden="false" customHeight="false" outlineLevel="0" collapsed="false">
      <c r="A8" s="32" t="n">
        <v>46263.5097916667</v>
      </c>
      <c r="B8" s="33" t="s">
        <v>73</v>
      </c>
      <c r="C8" s="33" t="s">
        <v>94</v>
      </c>
      <c r="D8" s="33"/>
      <c r="E8" s="33" t="s">
        <v>95</v>
      </c>
      <c r="F8" s="33" t="s">
        <v>96</v>
      </c>
      <c r="G8" s="33" t="s">
        <v>97</v>
      </c>
      <c r="H8" s="33" t="s">
        <v>98</v>
      </c>
      <c r="I8" s="33" t="n">
        <v>1</v>
      </c>
      <c r="J8" s="33" t="n">
        <v>10</v>
      </c>
      <c r="K8" s="34" t="n">
        <v>200</v>
      </c>
      <c r="M8" s="35" t="n">
        <f aca="false">IF($A8="","",HOUR($A8))</f>
        <v>12</v>
      </c>
      <c r="N8" s="36" t="n">
        <f aca="false">IF($A8="","",$I8*$K8)</f>
        <v>200</v>
      </c>
      <c r="O8" s="35" t="str">
        <f aca="false">IF(OR($A8="",$C8="U",$S8&lt;&gt;Calc!$F$2),"",SUMIFS($I$3:$I$3002,$E$3:$E$3002,$E8,$C$3:$C$3002,"&lt;&gt;U",$S$3:$S$3002,Calc!$F$2))</f>
        <v/>
      </c>
      <c r="P8" s="35" t="str">
        <f aca="false">IF(OR($A8="",$C8="U",$S8&lt;&gt;Calc!$F$2),"",SUMIFS($N$3:$N$3002,$E$3:$E$3002,$E8,$C$3:$C$3002,"&lt;&gt;U",$S$3:$S$3002,Calc!$F$2))</f>
        <v/>
      </c>
      <c r="Q8" s="35" t="str">
        <f aca="false">IF(OR($A8="",$C8="U",$S8&lt;&gt;Calc!$F$2),"",IF(COUNTIFS($E$3:$E8,$E8,$C$3:$C8,"&lt;&gt;U",$S$3:$S8,Calc!$F$2)=1,1,0))</f>
        <v/>
      </c>
      <c r="R8" s="35" t="str">
        <f aca="false">IF($Q8=1,$O8-ROW()/100000,"")</f>
        <v/>
      </c>
      <c r="S8" s="37" t="n">
        <f aca="false">IF($A8="","",INT($A8))</f>
        <v>46263</v>
      </c>
      <c r="T8" s="35" t="n">
        <f aca="false">IF($A8="","",IF(COUNTIFS($S$3:$S8,$S8)=1,1,0))</f>
        <v>0</v>
      </c>
      <c r="U8" s="37" t="str">
        <f aca="false">IF($T8=1,$S8,"")</f>
        <v/>
      </c>
    </row>
    <row r="9" customFormat="false" ht="15" hidden="false" customHeight="false" outlineLevel="0" collapsed="false">
      <c r="A9" s="32" t="n">
        <v>46263.5072685185</v>
      </c>
      <c r="B9" s="33" t="s">
        <v>73</v>
      </c>
      <c r="C9" s="33" t="s">
        <v>82</v>
      </c>
      <c r="D9" s="33"/>
      <c r="E9" s="33" t="s">
        <v>99</v>
      </c>
      <c r="F9" s="33" t="s">
        <v>100</v>
      </c>
      <c r="G9" s="33" t="s">
        <v>101</v>
      </c>
      <c r="H9" s="33" t="s">
        <v>102</v>
      </c>
      <c r="I9" s="33" t="n">
        <v>1</v>
      </c>
      <c r="J9" s="33" t="n">
        <v>7</v>
      </c>
      <c r="K9" s="34" t="n">
        <v>300</v>
      </c>
      <c r="M9" s="35" t="n">
        <f aca="false">IF($A9="","",HOUR($A9))</f>
        <v>12</v>
      </c>
      <c r="N9" s="36" t="n">
        <f aca="false">IF($A9="","",$I9*$K9)</f>
        <v>300</v>
      </c>
      <c r="O9" s="35" t="n">
        <f aca="false">IF(OR($A9="",$C9="U",$S9&lt;&gt;Calc!$F$2),"",SUMIFS($I$3:$I$3002,$E$3:$E$3002,$E9,$C$3:$C$3002,"&lt;&gt;U",$S$3:$S$3002,Calc!$F$2))</f>
        <v>1</v>
      </c>
      <c r="P9" s="35" t="n">
        <f aca="false">IF(OR($A9="",$C9="U",$S9&lt;&gt;Calc!$F$2),"",SUMIFS($N$3:$N$3002,$E$3:$E$3002,$E9,$C$3:$C$3002,"&lt;&gt;U",$S$3:$S$3002,Calc!$F$2))</f>
        <v>300</v>
      </c>
      <c r="Q9" s="35" t="n">
        <f aca="false">IF(OR($A9="",$C9="U",$S9&lt;&gt;Calc!$F$2),"",IF(COUNTIFS($E$3:$E9,$E9,$C$3:$C9,"&lt;&gt;U",$S$3:$S9,Calc!$F$2)=1,1,0))</f>
        <v>1</v>
      </c>
      <c r="R9" s="35" t="n">
        <f aca="false">IF($Q9=1,$O9-ROW()/100000,"")</f>
        <v>0.99991</v>
      </c>
      <c r="S9" s="37" t="n">
        <f aca="false">IF($A9="","",INT($A9))</f>
        <v>46263</v>
      </c>
      <c r="T9" s="35" t="n">
        <f aca="false">IF($A9="","",IF(COUNTIFS($S$3:$S9,$S9)=1,1,0))</f>
        <v>0</v>
      </c>
      <c r="U9" s="37" t="str">
        <f aca="false">IF($T9=1,$S9,"")</f>
        <v/>
      </c>
    </row>
    <row r="10" customFormat="false" ht="15" hidden="false" customHeight="false" outlineLevel="0" collapsed="false">
      <c r="A10" s="32" t="n">
        <v>46263.504212963</v>
      </c>
      <c r="B10" s="33" t="s">
        <v>73</v>
      </c>
      <c r="C10" s="33" t="s">
        <v>82</v>
      </c>
      <c r="D10" s="33"/>
      <c r="E10" s="33" t="s">
        <v>103</v>
      </c>
      <c r="F10" s="33" t="s">
        <v>104</v>
      </c>
      <c r="G10" s="33"/>
      <c r="H10" s="33" t="s">
        <v>105</v>
      </c>
      <c r="I10" s="33" t="n">
        <v>1</v>
      </c>
      <c r="J10" s="33" t="n">
        <v>0</v>
      </c>
      <c r="K10" s="34" t="n">
        <v>520</v>
      </c>
      <c r="M10" s="35" t="n">
        <f aca="false">IF($A10="","",HOUR($A10))</f>
        <v>12</v>
      </c>
      <c r="N10" s="36" t="n">
        <f aca="false">IF($A10="","",$I10*$K10)</f>
        <v>520</v>
      </c>
      <c r="O10" s="35" t="n">
        <f aca="false">IF(OR($A10="",$C10="U",$S10&lt;&gt;Calc!$F$2),"",SUMIFS($I$3:$I$3002,$E$3:$E$3002,$E10,$C$3:$C$3002,"&lt;&gt;U",$S$3:$S$3002,Calc!$F$2))</f>
        <v>1</v>
      </c>
      <c r="P10" s="35" t="n">
        <f aca="false">IF(OR($A10="",$C10="U",$S10&lt;&gt;Calc!$F$2),"",SUMIFS($N$3:$N$3002,$E$3:$E$3002,$E10,$C$3:$C$3002,"&lt;&gt;U",$S$3:$S$3002,Calc!$F$2))</f>
        <v>520</v>
      </c>
      <c r="Q10" s="35" t="n">
        <f aca="false">IF(OR($A10="",$C10="U",$S10&lt;&gt;Calc!$F$2),"",IF(COUNTIFS($E$3:$E10,$E10,$C$3:$C10,"&lt;&gt;U",$S$3:$S10,Calc!$F$2)=1,1,0))</f>
        <v>1</v>
      </c>
      <c r="R10" s="35" t="n">
        <f aca="false">IF($Q10=1,$O10-ROW()/100000,"")</f>
        <v>0.9999</v>
      </c>
      <c r="S10" s="37" t="n">
        <f aca="false">IF($A10="","",INT($A10))</f>
        <v>46263</v>
      </c>
      <c r="T10" s="35" t="n">
        <f aca="false">IF($A10="","",IF(COUNTIFS($S$3:$S10,$S10)=1,1,0))</f>
        <v>0</v>
      </c>
      <c r="U10" s="37" t="str">
        <f aca="false">IF($T10=1,$S10,"")</f>
        <v/>
      </c>
    </row>
    <row r="11" customFormat="false" ht="15" hidden="false" customHeight="false" outlineLevel="0" collapsed="false">
      <c r="A11" s="32" t="n">
        <v>46263.503912037</v>
      </c>
      <c r="B11" s="33" t="s">
        <v>73</v>
      </c>
      <c r="C11" s="33" t="s">
        <v>74</v>
      </c>
      <c r="D11" s="33"/>
      <c r="E11" s="33" t="s">
        <v>106</v>
      </c>
      <c r="F11" s="33" t="s">
        <v>76</v>
      </c>
      <c r="G11" s="33" t="s">
        <v>74</v>
      </c>
      <c r="H11" s="33" t="s">
        <v>107</v>
      </c>
      <c r="I11" s="33" t="n">
        <v>1</v>
      </c>
      <c r="J11" s="33" t="n">
        <v>5</v>
      </c>
      <c r="K11" s="34" t="n">
        <v>260</v>
      </c>
      <c r="M11" s="35" t="n">
        <f aca="false">IF($A11="","",HOUR($A11))</f>
        <v>12</v>
      </c>
      <c r="N11" s="36" t="n">
        <f aca="false">IF($A11="","",$I11*$K11)</f>
        <v>260</v>
      </c>
      <c r="O11" s="35" t="n">
        <f aca="false">IF(OR($A11="",$C11="U",$S11&lt;&gt;Calc!$F$2),"",SUMIFS($I$3:$I$3002,$E$3:$E$3002,$E11,$C$3:$C$3002,"&lt;&gt;U",$S$3:$S$3002,Calc!$F$2))</f>
        <v>1</v>
      </c>
      <c r="P11" s="35" t="n">
        <f aca="false">IF(OR($A11="",$C11="U",$S11&lt;&gt;Calc!$F$2),"",SUMIFS($N$3:$N$3002,$E$3:$E$3002,$E11,$C$3:$C$3002,"&lt;&gt;U",$S$3:$S$3002,Calc!$F$2))</f>
        <v>260</v>
      </c>
      <c r="Q11" s="35" t="n">
        <f aca="false">IF(OR($A11="",$C11="U",$S11&lt;&gt;Calc!$F$2),"",IF(COUNTIFS($E$3:$E11,$E11,$C$3:$C11,"&lt;&gt;U",$S$3:$S11,Calc!$F$2)=1,1,0))</f>
        <v>1</v>
      </c>
      <c r="R11" s="35" t="n">
        <f aca="false">IF($Q11=1,$O11-ROW()/100000,"")</f>
        <v>0.99989</v>
      </c>
      <c r="S11" s="37" t="n">
        <f aca="false">IF($A11="","",INT($A11))</f>
        <v>46263</v>
      </c>
      <c r="T11" s="35" t="n">
        <f aca="false">IF($A11="","",IF(COUNTIFS($S$3:$S11,$S11)=1,1,0))</f>
        <v>0</v>
      </c>
      <c r="U11" s="37" t="str">
        <f aca="false">IF($T11=1,$S11,"")</f>
        <v/>
      </c>
    </row>
    <row r="12" customFormat="false" ht="15" hidden="false" customHeight="false" outlineLevel="0" collapsed="false">
      <c r="A12" s="32" t="n">
        <v>46263.4958333333</v>
      </c>
      <c r="B12" s="33" t="s">
        <v>73</v>
      </c>
      <c r="C12" s="33" t="s">
        <v>94</v>
      </c>
      <c r="D12" s="33"/>
      <c r="E12" s="33" t="s">
        <v>108</v>
      </c>
      <c r="F12" s="33" t="s">
        <v>109</v>
      </c>
      <c r="G12" s="33" t="s">
        <v>97</v>
      </c>
      <c r="H12" s="33" t="s">
        <v>110</v>
      </c>
      <c r="I12" s="33" t="n">
        <v>1</v>
      </c>
      <c r="J12" s="33" t="n">
        <v>59</v>
      </c>
      <c r="K12" s="34" t="n">
        <v>80</v>
      </c>
      <c r="M12" s="35" t="n">
        <f aca="false">IF($A12="","",HOUR($A12))</f>
        <v>11</v>
      </c>
      <c r="N12" s="36" t="n">
        <f aca="false">IF($A12="","",$I12*$K12)</f>
        <v>80</v>
      </c>
      <c r="O12" s="35" t="str">
        <f aca="false">IF(OR($A12="",$C12="U",$S12&lt;&gt;Calc!$F$2),"",SUMIFS($I$3:$I$3002,$E$3:$E$3002,$E12,$C$3:$C$3002,"&lt;&gt;U",$S$3:$S$3002,Calc!$F$2))</f>
        <v/>
      </c>
      <c r="P12" s="35" t="str">
        <f aca="false">IF(OR($A12="",$C12="U",$S12&lt;&gt;Calc!$F$2),"",SUMIFS($N$3:$N$3002,$E$3:$E$3002,$E12,$C$3:$C$3002,"&lt;&gt;U",$S$3:$S$3002,Calc!$F$2))</f>
        <v/>
      </c>
      <c r="Q12" s="35" t="str">
        <f aca="false">IF(OR($A12="",$C12="U",$S12&lt;&gt;Calc!$F$2),"",IF(COUNTIFS($E$3:$E12,$E12,$C$3:$C12,"&lt;&gt;U",$S$3:$S12,Calc!$F$2)=1,1,0))</f>
        <v/>
      </c>
      <c r="R12" s="35" t="str">
        <f aca="false">IF($Q12=1,$O12-ROW()/100000,"")</f>
        <v/>
      </c>
      <c r="S12" s="37" t="n">
        <f aca="false">IF($A12="","",INT($A12))</f>
        <v>46263</v>
      </c>
      <c r="T12" s="35" t="n">
        <f aca="false">IF($A12="","",IF(COUNTIFS($S$3:$S12,$S12)=1,1,0))</f>
        <v>0</v>
      </c>
      <c r="U12" s="37" t="str">
        <f aca="false">IF($T12=1,$S12,"")</f>
        <v/>
      </c>
    </row>
    <row r="13" customFormat="false" ht="15" hidden="false" customHeight="false" outlineLevel="0" collapsed="false">
      <c r="A13" s="32" t="n">
        <v>46263.4742824074</v>
      </c>
      <c r="B13" s="33" t="s">
        <v>73</v>
      </c>
      <c r="C13" s="33" t="s">
        <v>82</v>
      </c>
      <c r="D13" s="33"/>
      <c r="E13" s="33" t="s">
        <v>111</v>
      </c>
      <c r="F13" s="33" t="s">
        <v>112</v>
      </c>
      <c r="G13" s="33" t="s">
        <v>113</v>
      </c>
      <c r="H13" s="33" t="s">
        <v>114</v>
      </c>
      <c r="I13" s="33" t="n">
        <v>1</v>
      </c>
      <c r="J13" s="33" t="n">
        <v>0</v>
      </c>
      <c r="K13" s="34" t="n">
        <v>260</v>
      </c>
      <c r="M13" s="35" t="n">
        <f aca="false">IF($A13="","",HOUR($A13))</f>
        <v>11</v>
      </c>
      <c r="N13" s="36" t="n">
        <f aca="false">IF($A13="","",$I13*$K13)</f>
        <v>260</v>
      </c>
      <c r="O13" s="35" t="n">
        <f aca="false">IF(OR($A13="",$C13="U",$S13&lt;&gt;Calc!$F$2),"",SUMIFS($I$3:$I$3002,$E$3:$E$3002,$E13,$C$3:$C$3002,"&lt;&gt;U",$S$3:$S$3002,Calc!$F$2))</f>
        <v>1</v>
      </c>
      <c r="P13" s="35" t="n">
        <f aca="false">IF(OR($A13="",$C13="U",$S13&lt;&gt;Calc!$F$2),"",SUMIFS($N$3:$N$3002,$E$3:$E$3002,$E13,$C$3:$C$3002,"&lt;&gt;U",$S$3:$S$3002,Calc!$F$2))</f>
        <v>260</v>
      </c>
      <c r="Q13" s="35" t="n">
        <f aca="false">IF(OR($A13="",$C13="U",$S13&lt;&gt;Calc!$F$2),"",IF(COUNTIFS($E$3:$E13,$E13,$C$3:$C13,"&lt;&gt;U",$S$3:$S13,Calc!$F$2)=1,1,0))</f>
        <v>1</v>
      </c>
      <c r="R13" s="35" t="n">
        <f aca="false">IF($Q13=1,$O13-ROW()/100000,"")</f>
        <v>0.99987</v>
      </c>
      <c r="S13" s="37" t="n">
        <f aca="false">IF($A13="","",INT($A13))</f>
        <v>46263</v>
      </c>
      <c r="T13" s="35" t="n">
        <f aca="false">IF($A13="","",IF(COUNTIFS($S$3:$S13,$S13)=1,1,0))</f>
        <v>0</v>
      </c>
      <c r="U13" s="37" t="str">
        <f aca="false">IF($T13=1,$S13,"")</f>
        <v/>
      </c>
    </row>
    <row r="14" customFormat="false" ht="15" hidden="false" customHeight="false" outlineLevel="0" collapsed="false">
      <c r="A14" s="32" t="n">
        <v>46263.4680324074</v>
      </c>
      <c r="B14" s="33" t="s">
        <v>73</v>
      </c>
      <c r="C14" s="33" t="s">
        <v>74</v>
      </c>
      <c r="D14" s="33"/>
      <c r="E14" s="33" t="s">
        <v>115</v>
      </c>
      <c r="F14" s="33" t="s">
        <v>76</v>
      </c>
      <c r="G14" s="33" t="s">
        <v>116</v>
      </c>
      <c r="H14" s="33" t="s">
        <v>117</v>
      </c>
      <c r="I14" s="33" t="n">
        <v>1</v>
      </c>
      <c r="J14" s="33" t="n">
        <v>0</v>
      </c>
      <c r="K14" s="34" t="n">
        <v>90</v>
      </c>
      <c r="M14" s="35" t="n">
        <f aca="false">IF($A14="","",HOUR($A14))</f>
        <v>11</v>
      </c>
      <c r="N14" s="36" t="n">
        <f aca="false">IF($A14="","",$I14*$K14)</f>
        <v>90</v>
      </c>
      <c r="O14" s="35" t="n">
        <f aca="false">IF(OR($A14="",$C14="U",$S14&lt;&gt;Calc!$F$2),"",SUMIFS($I$3:$I$3002,$E$3:$E$3002,$E14,$C$3:$C$3002,"&lt;&gt;U",$S$3:$S$3002,Calc!$F$2))</f>
        <v>1</v>
      </c>
      <c r="P14" s="35" t="n">
        <f aca="false">IF(OR($A14="",$C14="U",$S14&lt;&gt;Calc!$F$2),"",SUMIFS($N$3:$N$3002,$E$3:$E$3002,$E14,$C$3:$C$3002,"&lt;&gt;U",$S$3:$S$3002,Calc!$F$2))</f>
        <v>90</v>
      </c>
      <c r="Q14" s="35" t="n">
        <f aca="false">IF(OR($A14="",$C14="U",$S14&lt;&gt;Calc!$F$2),"",IF(COUNTIFS($E$3:$E14,$E14,$C$3:$C14,"&lt;&gt;U",$S$3:$S14,Calc!$F$2)=1,1,0))</f>
        <v>1</v>
      </c>
      <c r="R14" s="35" t="n">
        <f aca="false">IF($Q14=1,$O14-ROW()/100000,"")</f>
        <v>0.99986</v>
      </c>
      <c r="S14" s="37" t="n">
        <f aca="false">IF($A14="","",INT($A14))</f>
        <v>46263</v>
      </c>
      <c r="T14" s="35" t="n">
        <f aca="false">IF($A14="","",IF(COUNTIFS($S$3:$S14,$S14)=1,1,0))</f>
        <v>0</v>
      </c>
      <c r="U14" s="37" t="str">
        <f aca="false">IF($T14=1,$S14,"")</f>
        <v/>
      </c>
    </row>
    <row r="15" customFormat="false" ht="15" hidden="false" customHeight="false" outlineLevel="0" collapsed="false">
      <c r="A15" s="32" t="n">
        <v>46263.465775463</v>
      </c>
      <c r="B15" s="33" t="s">
        <v>73</v>
      </c>
      <c r="C15" s="33" t="s">
        <v>82</v>
      </c>
      <c r="D15" s="33"/>
      <c r="E15" s="33" t="s">
        <v>118</v>
      </c>
      <c r="F15" s="33" t="s">
        <v>119</v>
      </c>
      <c r="G15" s="33" t="s">
        <v>116</v>
      </c>
      <c r="H15" s="33" t="s">
        <v>120</v>
      </c>
      <c r="I15" s="33" t="n">
        <v>1</v>
      </c>
      <c r="J15" s="33" t="n">
        <v>11</v>
      </c>
      <c r="K15" s="34" t="n">
        <v>440</v>
      </c>
      <c r="M15" s="35" t="n">
        <f aca="false">IF($A15="","",HOUR($A15))</f>
        <v>11</v>
      </c>
      <c r="N15" s="36" t="n">
        <f aca="false">IF($A15="","",$I15*$K15)</f>
        <v>440</v>
      </c>
      <c r="O15" s="35" t="n">
        <f aca="false">IF(OR($A15="",$C15="U",$S15&lt;&gt;Calc!$F$2),"",SUMIFS($I$3:$I$3002,$E$3:$E$3002,$E15,$C$3:$C$3002,"&lt;&gt;U",$S$3:$S$3002,Calc!$F$2))</f>
        <v>1</v>
      </c>
      <c r="P15" s="35" t="n">
        <f aca="false">IF(OR($A15="",$C15="U",$S15&lt;&gt;Calc!$F$2),"",SUMIFS($N$3:$N$3002,$E$3:$E$3002,$E15,$C$3:$C$3002,"&lt;&gt;U",$S$3:$S$3002,Calc!$F$2))</f>
        <v>440</v>
      </c>
      <c r="Q15" s="35" t="n">
        <f aca="false">IF(OR($A15="",$C15="U",$S15&lt;&gt;Calc!$F$2),"",IF(COUNTIFS($E$3:$E15,$E15,$C$3:$C15,"&lt;&gt;U",$S$3:$S15,Calc!$F$2)=1,1,0))</f>
        <v>1</v>
      </c>
      <c r="R15" s="35" t="n">
        <f aca="false">IF($Q15=1,$O15-ROW()/100000,"")</f>
        <v>0.99985</v>
      </c>
      <c r="S15" s="37" t="n">
        <f aca="false">IF($A15="","",INT($A15))</f>
        <v>46263</v>
      </c>
      <c r="T15" s="35" t="n">
        <f aca="false">IF($A15="","",IF(COUNTIFS($S$3:$S15,$S15)=1,1,0))</f>
        <v>0</v>
      </c>
      <c r="U15" s="37" t="str">
        <f aca="false">IF($T15=1,$S15,"")</f>
        <v/>
      </c>
    </row>
    <row r="16" customFormat="false" ht="15" hidden="false" customHeight="false" outlineLevel="0" collapsed="false">
      <c r="A16" s="32" t="n">
        <v>46263.4496527778</v>
      </c>
      <c r="B16" s="33" t="s">
        <v>73</v>
      </c>
      <c r="C16" s="33" t="s">
        <v>74</v>
      </c>
      <c r="D16" s="33"/>
      <c r="E16" s="33" t="s">
        <v>121</v>
      </c>
      <c r="F16" s="33" t="s">
        <v>76</v>
      </c>
      <c r="G16" s="33" t="s">
        <v>122</v>
      </c>
      <c r="H16" s="33" t="s">
        <v>123</v>
      </c>
      <c r="I16" s="33" t="n">
        <v>1</v>
      </c>
      <c r="J16" s="33" t="n">
        <v>5</v>
      </c>
      <c r="K16" s="34" t="n">
        <v>260</v>
      </c>
      <c r="M16" s="35" t="n">
        <f aca="false">IF($A16="","",HOUR($A16))</f>
        <v>10</v>
      </c>
      <c r="N16" s="36" t="n">
        <f aca="false">IF($A16="","",$I16*$K16)</f>
        <v>260</v>
      </c>
      <c r="O16" s="35" t="n">
        <f aca="false">IF(OR($A16="",$C16="U",$S16&lt;&gt;Calc!$F$2),"",SUMIFS($I$3:$I$3002,$E$3:$E$3002,$E16,$C$3:$C$3002,"&lt;&gt;U",$S$3:$S$3002,Calc!$F$2))</f>
        <v>1</v>
      </c>
      <c r="P16" s="35" t="n">
        <f aca="false">IF(OR($A16="",$C16="U",$S16&lt;&gt;Calc!$F$2),"",SUMIFS($N$3:$N$3002,$E$3:$E$3002,$E16,$C$3:$C$3002,"&lt;&gt;U",$S$3:$S$3002,Calc!$F$2))</f>
        <v>260</v>
      </c>
      <c r="Q16" s="35" t="n">
        <f aca="false">IF(OR($A16="",$C16="U",$S16&lt;&gt;Calc!$F$2),"",IF(COUNTIFS($E$3:$E16,$E16,$C$3:$C16,"&lt;&gt;U",$S$3:$S16,Calc!$F$2)=1,1,0))</f>
        <v>1</v>
      </c>
      <c r="R16" s="35" t="n">
        <f aca="false">IF($Q16=1,$O16-ROW()/100000,"")</f>
        <v>0.99984</v>
      </c>
      <c r="S16" s="37" t="n">
        <f aca="false">IF($A16="","",INT($A16))</f>
        <v>46263</v>
      </c>
      <c r="T16" s="35" t="n">
        <f aca="false">IF($A16="","",IF(COUNTIFS($S$3:$S16,$S16)=1,1,0))</f>
        <v>0</v>
      </c>
      <c r="U16" s="37" t="str">
        <f aca="false">IF($T16=1,$S16,"")</f>
        <v/>
      </c>
    </row>
    <row r="17" customFormat="false" ht="15" hidden="false" customHeight="false" outlineLevel="0" collapsed="false">
      <c r="M17" s="35" t="str">
        <f aca="false">IF($A17="","",HOUR($A17))</f>
        <v/>
      </c>
      <c r="N17" s="36" t="str">
        <f aca="false">IF($A17="","",$I17*$K17)</f>
        <v/>
      </c>
      <c r="O17" s="35" t="str">
        <f aca="false">IF(OR($A17="",$C17="U",$S17&lt;&gt;Calc!$F$2),"",SUMIFS($I$3:$I$3002,$E$3:$E$3002,$E17,$C$3:$C$3002,"&lt;&gt;U",$S$3:$S$3002,Calc!$F$2))</f>
        <v/>
      </c>
      <c r="P17" s="35" t="str">
        <f aca="false">IF(OR($A17="",$C17="U",$S17&lt;&gt;Calc!$F$2),"",SUMIFS($N$3:$N$3002,$E$3:$E$3002,$E17,$C$3:$C$3002,"&lt;&gt;U",$S$3:$S$3002,Calc!$F$2))</f>
        <v/>
      </c>
      <c r="Q17" s="35" t="str">
        <f aca="false">IF(OR($A17="",$C17="U",$S17&lt;&gt;Calc!$F$2),"",IF(COUNTIFS($E$3:$E17,$E17,$C$3:$C17,"&lt;&gt;U",$S$3:$S17,Calc!$F$2)=1,1,0))</f>
        <v/>
      </c>
      <c r="R17" s="35" t="str">
        <f aca="false">IF($Q17=1,$O17-ROW()/100000,"")</f>
        <v/>
      </c>
      <c r="S17" s="37" t="str">
        <f aca="false">IF($A17="","",INT($A17))</f>
        <v/>
      </c>
      <c r="T17" s="35" t="str">
        <f aca="false">IF($A17="","",IF(COUNTIFS($S$3:$S17,$S17)=1,1,0))</f>
        <v/>
      </c>
      <c r="U17" s="37" t="str">
        <f aca="false">IF($T17=1,$S17,"")</f>
        <v/>
      </c>
    </row>
    <row r="18" customFormat="false" ht="15" hidden="false" customHeight="false" outlineLevel="0" collapsed="false">
      <c r="M18" s="35" t="str">
        <f aca="false">IF($A18="","",HOUR($A18))</f>
        <v/>
      </c>
      <c r="N18" s="36" t="str">
        <f aca="false">IF($A18="","",$I18*$K18)</f>
        <v/>
      </c>
      <c r="O18" s="35" t="str">
        <f aca="false">IF(OR($A18="",$C18="U",$S18&lt;&gt;Calc!$F$2),"",SUMIFS($I$3:$I$3002,$E$3:$E$3002,$E18,$C$3:$C$3002,"&lt;&gt;U",$S$3:$S$3002,Calc!$F$2))</f>
        <v/>
      </c>
      <c r="P18" s="35" t="str">
        <f aca="false">IF(OR($A18="",$C18="U",$S18&lt;&gt;Calc!$F$2),"",SUMIFS($N$3:$N$3002,$E$3:$E$3002,$E18,$C$3:$C$3002,"&lt;&gt;U",$S$3:$S$3002,Calc!$F$2))</f>
        <v/>
      </c>
      <c r="Q18" s="35" t="str">
        <f aca="false">IF(OR($A18="",$C18="U",$S18&lt;&gt;Calc!$F$2),"",IF(COUNTIFS($E$3:$E18,$E18,$C$3:$C18,"&lt;&gt;U",$S$3:$S18,Calc!$F$2)=1,1,0))</f>
        <v/>
      </c>
      <c r="R18" s="35" t="str">
        <f aca="false">IF($Q18=1,$O18-ROW()/100000,"")</f>
        <v/>
      </c>
      <c r="S18" s="37" t="str">
        <f aca="false">IF($A18="","",INT($A18))</f>
        <v/>
      </c>
      <c r="T18" s="35" t="str">
        <f aca="false">IF($A18="","",IF(COUNTIFS($S$3:$S18,$S18)=1,1,0))</f>
        <v/>
      </c>
      <c r="U18" s="37" t="str">
        <f aca="false">IF($T18=1,$S18,"")</f>
        <v/>
      </c>
    </row>
    <row r="19" customFormat="false" ht="15" hidden="false" customHeight="false" outlineLevel="0" collapsed="false">
      <c r="M19" s="35" t="str">
        <f aca="false">IF($A19="","",HOUR($A19))</f>
        <v/>
      </c>
      <c r="N19" s="36" t="str">
        <f aca="false">IF($A19="","",$I19*$K19)</f>
        <v/>
      </c>
      <c r="O19" s="35" t="str">
        <f aca="false">IF(OR($A19="",$C19="U",$S19&lt;&gt;Calc!$F$2),"",SUMIFS($I$3:$I$3002,$E$3:$E$3002,$E19,$C$3:$C$3002,"&lt;&gt;U",$S$3:$S$3002,Calc!$F$2))</f>
        <v/>
      </c>
      <c r="P19" s="35" t="str">
        <f aca="false">IF(OR($A19="",$C19="U",$S19&lt;&gt;Calc!$F$2),"",SUMIFS($N$3:$N$3002,$E$3:$E$3002,$E19,$C$3:$C$3002,"&lt;&gt;U",$S$3:$S$3002,Calc!$F$2))</f>
        <v/>
      </c>
      <c r="Q19" s="35" t="str">
        <f aca="false">IF(OR($A19="",$C19="U",$S19&lt;&gt;Calc!$F$2),"",IF(COUNTIFS($E$3:$E19,$E19,$C$3:$C19,"&lt;&gt;U",$S$3:$S19,Calc!$F$2)=1,1,0))</f>
        <v/>
      </c>
      <c r="R19" s="35" t="str">
        <f aca="false">IF($Q19=1,$O19-ROW()/100000,"")</f>
        <v/>
      </c>
      <c r="S19" s="37" t="str">
        <f aca="false">IF($A19="","",INT($A19))</f>
        <v/>
      </c>
      <c r="T19" s="35" t="str">
        <f aca="false">IF($A19="","",IF(COUNTIFS($S$3:$S19,$S19)=1,1,0))</f>
        <v/>
      </c>
      <c r="U19" s="37" t="str">
        <f aca="false">IF($T19=1,$S19,"")</f>
        <v/>
      </c>
    </row>
    <row r="20" customFormat="false" ht="15" hidden="false" customHeight="false" outlineLevel="0" collapsed="false">
      <c r="M20" s="35" t="str">
        <f aca="false">IF($A20="","",HOUR($A20))</f>
        <v/>
      </c>
      <c r="N20" s="36" t="str">
        <f aca="false">IF($A20="","",$I20*$K20)</f>
        <v/>
      </c>
      <c r="O20" s="35" t="str">
        <f aca="false">IF(OR($A20="",$C20="U",$S20&lt;&gt;Calc!$F$2),"",SUMIFS($I$3:$I$3002,$E$3:$E$3002,$E20,$C$3:$C$3002,"&lt;&gt;U",$S$3:$S$3002,Calc!$F$2))</f>
        <v/>
      </c>
      <c r="P20" s="35" t="str">
        <f aca="false">IF(OR($A20="",$C20="U",$S20&lt;&gt;Calc!$F$2),"",SUMIFS($N$3:$N$3002,$E$3:$E$3002,$E20,$C$3:$C$3002,"&lt;&gt;U",$S$3:$S$3002,Calc!$F$2))</f>
        <v/>
      </c>
      <c r="Q20" s="35" t="str">
        <f aca="false">IF(OR($A20="",$C20="U",$S20&lt;&gt;Calc!$F$2),"",IF(COUNTIFS($E$3:$E20,$E20,$C$3:$C20,"&lt;&gt;U",$S$3:$S20,Calc!$F$2)=1,1,0))</f>
        <v/>
      </c>
      <c r="R20" s="35" t="str">
        <f aca="false">IF($Q20=1,$O20-ROW()/100000,"")</f>
        <v/>
      </c>
      <c r="S20" s="37" t="str">
        <f aca="false">IF($A20="","",INT($A20))</f>
        <v/>
      </c>
      <c r="T20" s="35" t="str">
        <f aca="false">IF($A20="","",IF(COUNTIFS($S$3:$S20,$S20)=1,1,0))</f>
        <v/>
      </c>
      <c r="U20" s="37" t="str">
        <f aca="false">IF($T20=1,$S20,"")</f>
        <v/>
      </c>
    </row>
    <row r="21" customFormat="false" ht="15" hidden="false" customHeight="false" outlineLevel="0" collapsed="false">
      <c r="M21" s="35" t="str">
        <f aca="false">IF($A21="","",HOUR($A21))</f>
        <v/>
      </c>
      <c r="N21" s="36" t="str">
        <f aca="false">IF($A21="","",$I21*$K21)</f>
        <v/>
      </c>
      <c r="O21" s="35" t="str">
        <f aca="false">IF(OR($A21="",$C21="U",$S21&lt;&gt;Calc!$F$2),"",SUMIFS($I$3:$I$3002,$E$3:$E$3002,$E21,$C$3:$C$3002,"&lt;&gt;U",$S$3:$S$3002,Calc!$F$2))</f>
        <v/>
      </c>
      <c r="P21" s="35" t="str">
        <f aca="false">IF(OR($A21="",$C21="U",$S21&lt;&gt;Calc!$F$2),"",SUMIFS($N$3:$N$3002,$E$3:$E$3002,$E21,$C$3:$C$3002,"&lt;&gt;U",$S$3:$S$3002,Calc!$F$2))</f>
        <v/>
      </c>
      <c r="Q21" s="35" t="str">
        <f aca="false">IF(OR($A21="",$C21="U",$S21&lt;&gt;Calc!$F$2),"",IF(COUNTIFS($E$3:$E21,$E21,$C$3:$C21,"&lt;&gt;U",$S$3:$S21,Calc!$F$2)=1,1,0))</f>
        <v/>
      </c>
      <c r="R21" s="35" t="str">
        <f aca="false">IF($Q21=1,$O21-ROW()/100000,"")</f>
        <v/>
      </c>
      <c r="S21" s="37" t="str">
        <f aca="false">IF($A21="","",INT($A21))</f>
        <v/>
      </c>
      <c r="T21" s="35" t="str">
        <f aca="false">IF($A21="","",IF(COUNTIFS($S$3:$S21,$S21)=1,1,0))</f>
        <v/>
      </c>
      <c r="U21" s="37" t="str">
        <f aca="false">IF($T21=1,$S21,"")</f>
        <v/>
      </c>
    </row>
    <row r="22" customFormat="false" ht="15" hidden="false" customHeight="false" outlineLevel="0" collapsed="false">
      <c r="M22" s="35" t="str">
        <f aca="false">IF($A22="","",HOUR($A22))</f>
        <v/>
      </c>
      <c r="N22" s="36" t="str">
        <f aca="false">IF($A22="","",$I22*$K22)</f>
        <v/>
      </c>
      <c r="O22" s="35" t="str">
        <f aca="false">IF(OR($A22="",$C22="U",$S22&lt;&gt;Calc!$F$2),"",SUMIFS($I$3:$I$3002,$E$3:$E$3002,$E22,$C$3:$C$3002,"&lt;&gt;U",$S$3:$S$3002,Calc!$F$2))</f>
        <v/>
      </c>
      <c r="P22" s="35" t="str">
        <f aca="false">IF(OR($A22="",$C22="U",$S22&lt;&gt;Calc!$F$2),"",SUMIFS($N$3:$N$3002,$E$3:$E$3002,$E22,$C$3:$C$3002,"&lt;&gt;U",$S$3:$S$3002,Calc!$F$2))</f>
        <v/>
      </c>
      <c r="Q22" s="35" t="str">
        <f aca="false">IF(OR($A22="",$C22="U",$S22&lt;&gt;Calc!$F$2),"",IF(COUNTIFS($E$3:$E22,$E22,$C$3:$C22,"&lt;&gt;U",$S$3:$S22,Calc!$F$2)=1,1,0))</f>
        <v/>
      </c>
      <c r="R22" s="35" t="str">
        <f aca="false">IF($Q22=1,$O22-ROW()/100000,"")</f>
        <v/>
      </c>
      <c r="S22" s="37" t="str">
        <f aca="false">IF($A22="","",INT($A22))</f>
        <v/>
      </c>
      <c r="T22" s="35" t="str">
        <f aca="false">IF($A22="","",IF(COUNTIFS($S$3:$S22,$S22)=1,1,0))</f>
        <v/>
      </c>
      <c r="U22" s="37" t="str">
        <f aca="false">IF($T22=1,$S22,"")</f>
        <v/>
      </c>
    </row>
    <row r="23" customFormat="false" ht="15" hidden="false" customHeight="false" outlineLevel="0" collapsed="false">
      <c r="M23" s="35" t="str">
        <f aca="false">IF($A23="","",HOUR($A23))</f>
        <v/>
      </c>
      <c r="N23" s="36" t="str">
        <f aca="false">IF($A23="","",$I23*$K23)</f>
        <v/>
      </c>
      <c r="O23" s="35" t="str">
        <f aca="false">IF(OR($A23="",$C23="U",$S23&lt;&gt;Calc!$F$2),"",SUMIFS($I$3:$I$3002,$E$3:$E$3002,$E23,$C$3:$C$3002,"&lt;&gt;U",$S$3:$S$3002,Calc!$F$2))</f>
        <v/>
      </c>
      <c r="P23" s="35" t="str">
        <f aca="false">IF(OR($A23="",$C23="U",$S23&lt;&gt;Calc!$F$2),"",SUMIFS($N$3:$N$3002,$E$3:$E$3002,$E23,$C$3:$C$3002,"&lt;&gt;U",$S$3:$S$3002,Calc!$F$2))</f>
        <v/>
      </c>
      <c r="Q23" s="35" t="str">
        <f aca="false">IF(OR($A23="",$C23="U",$S23&lt;&gt;Calc!$F$2),"",IF(COUNTIFS($E$3:$E23,$E23,$C$3:$C23,"&lt;&gt;U",$S$3:$S23,Calc!$F$2)=1,1,0))</f>
        <v/>
      </c>
      <c r="R23" s="35" t="str">
        <f aca="false">IF($Q23=1,$O23-ROW()/100000,"")</f>
        <v/>
      </c>
      <c r="S23" s="37" t="str">
        <f aca="false">IF($A23="","",INT($A23))</f>
        <v/>
      </c>
      <c r="T23" s="35" t="str">
        <f aca="false">IF($A23="","",IF(COUNTIFS($S$3:$S23,$S23)=1,1,0))</f>
        <v/>
      </c>
      <c r="U23" s="37" t="str">
        <f aca="false">IF($T23=1,$S23,"")</f>
        <v/>
      </c>
    </row>
    <row r="24" customFormat="false" ht="15" hidden="false" customHeight="false" outlineLevel="0" collapsed="false">
      <c r="M24" s="35" t="str">
        <f aca="false">IF($A24="","",HOUR($A24))</f>
        <v/>
      </c>
      <c r="N24" s="36" t="str">
        <f aca="false">IF($A24="","",$I24*$K24)</f>
        <v/>
      </c>
      <c r="O24" s="35" t="str">
        <f aca="false">IF(OR($A24="",$C24="U",$S24&lt;&gt;Calc!$F$2),"",SUMIFS($I$3:$I$3002,$E$3:$E$3002,$E24,$C$3:$C$3002,"&lt;&gt;U",$S$3:$S$3002,Calc!$F$2))</f>
        <v/>
      </c>
      <c r="P24" s="35" t="str">
        <f aca="false">IF(OR($A24="",$C24="U",$S24&lt;&gt;Calc!$F$2),"",SUMIFS($N$3:$N$3002,$E$3:$E$3002,$E24,$C$3:$C$3002,"&lt;&gt;U",$S$3:$S$3002,Calc!$F$2))</f>
        <v/>
      </c>
      <c r="Q24" s="35" t="str">
        <f aca="false">IF(OR($A24="",$C24="U",$S24&lt;&gt;Calc!$F$2),"",IF(COUNTIFS($E$3:$E24,$E24,$C$3:$C24,"&lt;&gt;U",$S$3:$S24,Calc!$F$2)=1,1,0))</f>
        <v/>
      </c>
      <c r="R24" s="35" t="str">
        <f aca="false">IF($Q24=1,$O24-ROW()/100000,"")</f>
        <v/>
      </c>
      <c r="S24" s="37" t="str">
        <f aca="false">IF($A24="","",INT($A24))</f>
        <v/>
      </c>
      <c r="T24" s="35" t="str">
        <f aca="false">IF($A24="","",IF(COUNTIFS($S$3:$S24,$S24)=1,1,0))</f>
        <v/>
      </c>
      <c r="U24" s="37" t="str">
        <f aca="false">IF($T24=1,$S24,"")</f>
        <v/>
      </c>
    </row>
    <row r="25" customFormat="false" ht="15" hidden="false" customHeight="false" outlineLevel="0" collapsed="false">
      <c r="M25" s="35" t="str">
        <f aca="false">IF($A25="","",HOUR($A25))</f>
        <v/>
      </c>
      <c r="N25" s="36" t="str">
        <f aca="false">IF($A25="","",$I25*$K25)</f>
        <v/>
      </c>
      <c r="O25" s="35" t="str">
        <f aca="false">IF(OR($A25="",$C25="U",$S25&lt;&gt;Calc!$F$2),"",SUMIFS($I$3:$I$3002,$E$3:$E$3002,$E25,$C$3:$C$3002,"&lt;&gt;U",$S$3:$S$3002,Calc!$F$2))</f>
        <v/>
      </c>
      <c r="P25" s="35" t="str">
        <f aca="false">IF(OR($A25="",$C25="U",$S25&lt;&gt;Calc!$F$2),"",SUMIFS($N$3:$N$3002,$E$3:$E$3002,$E25,$C$3:$C$3002,"&lt;&gt;U",$S$3:$S$3002,Calc!$F$2))</f>
        <v/>
      </c>
      <c r="Q25" s="35" t="str">
        <f aca="false">IF(OR($A25="",$C25="U",$S25&lt;&gt;Calc!$F$2),"",IF(COUNTIFS($E$3:$E25,$E25,$C$3:$C25,"&lt;&gt;U",$S$3:$S25,Calc!$F$2)=1,1,0))</f>
        <v/>
      </c>
      <c r="R25" s="35" t="str">
        <f aca="false">IF($Q25=1,$O25-ROW()/100000,"")</f>
        <v/>
      </c>
      <c r="S25" s="37" t="str">
        <f aca="false">IF($A25="","",INT($A25))</f>
        <v/>
      </c>
      <c r="T25" s="35" t="str">
        <f aca="false">IF($A25="","",IF(COUNTIFS($S$3:$S25,$S25)=1,1,0))</f>
        <v/>
      </c>
      <c r="U25" s="37" t="str">
        <f aca="false">IF($T25=1,$S25,"")</f>
        <v/>
      </c>
    </row>
    <row r="26" customFormat="false" ht="15" hidden="false" customHeight="false" outlineLevel="0" collapsed="false">
      <c r="M26" s="35" t="str">
        <f aca="false">IF($A26="","",HOUR($A26))</f>
        <v/>
      </c>
      <c r="N26" s="36" t="str">
        <f aca="false">IF($A26="","",$I26*$K26)</f>
        <v/>
      </c>
      <c r="O26" s="35" t="str">
        <f aca="false">IF(OR($A26="",$C26="U",$S26&lt;&gt;Calc!$F$2),"",SUMIFS($I$3:$I$3002,$E$3:$E$3002,$E26,$C$3:$C$3002,"&lt;&gt;U",$S$3:$S$3002,Calc!$F$2))</f>
        <v/>
      </c>
      <c r="P26" s="35" t="str">
        <f aca="false">IF(OR($A26="",$C26="U",$S26&lt;&gt;Calc!$F$2),"",SUMIFS($N$3:$N$3002,$E$3:$E$3002,$E26,$C$3:$C$3002,"&lt;&gt;U",$S$3:$S$3002,Calc!$F$2))</f>
        <v/>
      </c>
      <c r="Q26" s="35" t="str">
        <f aca="false">IF(OR($A26="",$C26="U",$S26&lt;&gt;Calc!$F$2),"",IF(COUNTIFS($E$3:$E26,$E26,$C$3:$C26,"&lt;&gt;U",$S$3:$S26,Calc!$F$2)=1,1,0))</f>
        <v/>
      </c>
      <c r="R26" s="35" t="str">
        <f aca="false">IF($Q26=1,$O26-ROW()/100000,"")</f>
        <v/>
      </c>
      <c r="S26" s="37" t="str">
        <f aca="false">IF($A26="","",INT($A26))</f>
        <v/>
      </c>
      <c r="T26" s="35" t="str">
        <f aca="false">IF($A26="","",IF(COUNTIFS($S$3:$S26,$S26)=1,1,0))</f>
        <v/>
      </c>
      <c r="U26" s="37" t="str">
        <f aca="false">IF($T26=1,$S26,"")</f>
        <v/>
      </c>
    </row>
    <row r="27" customFormat="false" ht="15" hidden="false" customHeight="false" outlineLevel="0" collapsed="false">
      <c r="M27" s="35" t="str">
        <f aca="false">IF($A27="","",HOUR($A27))</f>
        <v/>
      </c>
      <c r="N27" s="36" t="str">
        <f aca="false">IF($A27="","",$I27*$K27)</f>
        <v/>
      </c>
      <c r="O27" s="35" t="str">
        <f aca="false">IF(OR($A27="",$C27="U",$S27&lt;&gt;Calc!$F$2),"",SUMIFS($I$3:$I$3002,$E$3:$E$3002,$E27,$C$3:$C$3002,"&lt;&gt;U",$S$3:$S$3002,Calc!$F$2))</f>
        <v/>
      </c>
      <c r="P27" s="35" t="str">
        <f aca="false">IF(OR($A27="",$C27="U",$S27&lt;&gt;Calc!$F$2),"",SUMIFS($N$3:$N$3002,$E$3:$E$3002,$E27,$C$3:$C$3002,"&lt;&gt;U",$S$3:$S$3002,Calc!$F$2))</f>
        <v/>
      </c>
      <c r="Q27" s="35" t="str">
        <f aca="false">IF(OR($A27="",$C27="U",$S27&lt;&gt;Calc!$F$2),"",IF(COUNTIFS($E$3:$E27,$E27,$C$3:$C27,"&lt;&gt;U",$S$3:$S27,Calc!$F$2)=1,1,0))</f>
        <v/>
      </c>
      <c r="R27" s="35" t="str">
        <f aca="false">IF($Q27=1,$O27-ROW()/100000,"")</f>
        <v/>
      </c>
      <c r="S27" s="37" t="str">
        <f aca="false">IF($A27="","",INT($A27))</f>
        <v/>
      </c>
      <c r="T27" s="35" t="str">
        <f aca="false">IF($A27="","",IF(COUNTIFS($S$3:$S27,$S27)=1,1,0))</f>
        <v/>
      </c>
      <c r="U27" s="37" t="str">
        <f aca="false">IF($T27=1,$S27,"")</f>
        <v/>
      </c>
    </row>
    <row r="28" customFormat="false" ht="15" hidden="false" customHeight="false" outlineLevel="0" collapsed="false">
      <c r="M28" s="35" t="str">
        <f aca="false">IF($A28="","",HOUR($A28))</f>
        <v/>
      </c>
      <c r="N28" s="36" t="str">
        <f aca="false">IF($A28="","",$I28*$K28)</f>
        <v/>
      </c>
      <c r="O28" s="35" t="str">
        <f aca="false">IF(OR($A28="",$C28="U",$S28&lt;&gt;Calc!$F$2),"",SUMIFS($I$3:$I$3002,$E$3:$E$3002,$E28,$C$3:$C$3002,"&lt;&gt;U",$S$3:$S$3002,Calc!$F$2))</f>
        <v/>
      </c>
      <c r="P28" s="35" t="str">
        <f aca="false">IF(OR($A28="",$C28="U",$S28&lt;&gt;Calc!$F$2),"",SUMIFS($N$3:$N$3002,$E$3:$E$3002,$E28,$C$3:$C$3002,"&lt;&gt;U",$S$3:$S$3002,Calc!$F$2))</f>
        <v/>
      </c>
      <c r="Q28" s="35" t="str">
        <f aca="false">IF(OR($A28="",$C28="U",$S28&lt;&gt;Calc!$F$2),"",IF(COUNTIFS($E$3:$E28,$E28,$C$3:$C28,"&lt;&gt;U",$S$3:$S28,Calc!$F$2)=1,1,0))</f>
        <v/>
      </c>
      <c r="R28" s="35" t="str">
        <f aca="false">IF($Q28=1,$O28-ROW()/100000,"")</f>
        <v/>
      </c>
      <c r="S28" s="37" t="str">
        <f aca="false">IF($A28="","",INT($A28))</f>
        <v/>
      </c>
      <c r="T28" s="35" t="str">
        <f aca="false">IF($A28="","",IF(COUNTIFS($S$3:$S28,$S28)=1,1,0))</f>
        <v/>
      </c>
      <c r="U28" s="37" t="str">
        <f aca="false">IF($T28=1,$S28,"")</f>
        <v/>
      </c>
    </row>
    <row r="29" customFormat="false" ht="15" hidden="false" customHeight="false" outlineLevel="0" collapsed="false">
      <c r="M29" s="35" t="str">
        <f aca="false">IF($A29="","",HOUR($A29))</f>
        <v/>
      </c>
      <c r="N29" s="36" t="str">
        <f aca="false">IF($A29="","",$I29*$K29)</f>
        <v/>
      </c>
      <c r="O29" s="35" t="str">
        <f aca="false">IF(OR($A29="",$C29="U",$S29&lt;&gt;Calc!$F$2),"",SUMIFS($I$3:$I$3002,$E$3:$E$3002,$E29,$C$3:$C$3002,"&lt;&gt;U",$S$3:$S$3002,Calc!$F$2))</f>
        <v/>
      </c>
      <c r="P29" s="35" t="str">
        <f aca="false">IF(OR($A29="",$C29="U",$S29&lt;&gt;Calc!$F$2),"",SUMIFS($N$3:$N$3002,$E$3:$E$3002,$E29,$C$3:$C$3002,"&lt;&gt;U",$S$3:$S$3002,Calc!$F$2))</f>
        <v/>
      </c>
      <c r="Q29" s="35" t="str">
        <f aca="false">IF(OR($A29="",$C29="U",$S29&lt;&gt;Calc!$F$2),"",IF(COUNTIFS($E$3:$E29,$E29,$C$3:$C29,"&lt;&gt;U",$S$3:$S29,Calc!$F$2)=1,1,0))</f>
        <v/>
      </c>
      <c r="R29" s="35" t="str">
        <f aca="false">IF($Q29=1,$O29-ROW()/100000,"")</f>
        <v/>
      </c>
      <c r="S29" s="37" t="str">
        <f aca="false">IF($A29="","",INT($A29))</f>
        <v/>
      </c>
      <c r="T29" s="35" t="str">
        <f aca="false">IF($A29="","",IF(COUNTIFS($S$3:$S29,$S29)=1,1,0))</f>
        <v/>
      </c>
      <c r="U29" s="37" t="str">
        <f aca="false">IF($T29=1,$S29,"")</f>
        <v/>
      </c>
    </row>
    <row r="30" customFormat="false" ht="15" hidden="false" customHeight="false" outlineLevel="0" collapsed="false">
      <c r="M30" s="35" t="str">
        <f aca="false">IF($A30="","",HOUR($A30))</f>
        <v/>
      </c>
      <c r="N30" s="36" t="str">
        <f aca="false">IF($A30="","",$I30*$K30)</f>
        <v/>
      </c>
      <c r="O30" s="35" t="str">
        <f aca="false">IF(OR($A30="",$C30="U",$S30&lt;&gt;Calc!$F$2),"",SUMIFS($I$3:$I$3002,$E$3:$E$3002,$E30,$C$3:$C$3002,"&lt;&gt;U",$S$3:$S$3002,Calc!$F$2))</f>
        <v/>
      </c>
      <c r="P30" s="35" t="str">
        <f aca="false">IF(OR($A30="",$C30="U",$S30&lt;&gt;Calc!$F$2),"",SUMIFS($N$3:$N$3002,$E$3:$E$3002,$E30,$C$3:$C$3002,"&lt;&gt;U",$S$3:$S$3002,Calc!$F$2))</f>
        <v/>
      </c>
      <c r="Q30" s="35" t="str">
        <f aca="false">IF(OR($A30="",$C30="U",$S30&lt;&gt;Calc!$F$2),"",IF(COUNTIFS($E$3:$E30,$E30,$C$3:$C30,"&lt;&gt;U",$S$3:$S30,Calc!$F$2)=1,1,0))</f>
        <v/>
      </c>
      <c r="R30" s="35" t="str">
        <f aca="false">IF($Q30=1,$O30-ROW()/100000,"")</f>
        <v/>
      </c>
      <c r="S30" s="37" t="str">
        <f aca="false">IF($A30="","",INT($A30))</f>
        <v/>
      </c>
      <c r="T30" s="35" t="str">
        <f aca="false">IF($A30="","",IF(COUNTIFS($S$3:$S30,$S30)=1,1,0))</f>
        <v/>
      </c>
      <c r="U30" s="37" t="str">
        <f aca="false">IF($T30=1,$S30,"")</f>
        <v/>
      </c>
    </row>
    <row r="31" customFormat="false" ht="15" hidden="false" customHeight="false" outlineLevel="0" collapsed="false">
      <c r="M31" s="35" t="str">
        <f aca="false">IF($A31="","",HOUR($A31))</f>
        <v/>
      </c>
      <c r="N31" s="36" t="str">
        <f aca="false">IF($A31="","",$I31*$K31)</f>
        <v/>
      </c>
      <c r="O31" s="35" t="str">
        <f aca="false">IF(OR($A31="",$C31="U",$S31&lt;&gt;Calc!$F$2),"",SUMIFS($I$3:$I$3002,$E$3:$E$3002,$E31,$C$3:$C$3002,"&lt;&gt;U",$S$3:$S$3002,Calc!$F$2))</f>
        <v/>
      </c>
      <c r="P31" s="35" t="str">
        <f aca="false">IF(OR($A31="",$C31="U",$S31&lt;&gt;Calc!$F$2),"",SUMIFS($N$3:$N$3002,$E$3:$E$3002,$E31,$C$3:$C$3002,"&lt;&gt;U",$S$3:$S$3002,Calc!$F$2))</f>
        <v/>
      </c>
      <c r="Q31" s="35" t="str">
        <f aca="false">IF(OR($A31="",$C31="U",$S31&lt;&gt;Calc!$F$2),"",IF(COUNTIFS($E$3:$E31,$E31,$C$3:$C31,"&lt;&gt;U",$S$3:$S31,Calc!$F$2)=1,1,0))</f>
        <v/>
      </c>
      <c r="R31" s="35" t="str">
        <f aca="false">IF($Q31=1,$O31-ROW()/100000,"")</f>
        <v/>
      </c>
      <c r="S31" s="37" t="str">
        <f aca="false">IF($A31="","",INT($A31))</f>
        <v/>
      </c>
      <c r="T31" s="35" t="str">
        <f aca="false">IF($A31="","",IF(COUNTIFS($S$3:$S31,$S31)=1,1,0))</f>
        <v/>
      </c>
      <c r="U31" s="37" t="str">
        <f aca="false">IF($T31=1,$S31,"")</f>
        <v/>
      </c>
    </row>
    <row r="32" customFormat="false" ht="15" hidden="false" customHeight="false" outlineLevel="0" collapsed="false">
      <c r="M32" s="35" t="str">
        <f aca="false">IF($A32="","",HOUR($A32))</f>
        <v/>
      </c>
      <c r="N32" s="36" t="str">
        <f aca="false">IF($A32="","",$I32*$K32)</f>
        <v/>
      </c>
      <c r="O32" s="35" t="str">
        <f aca="false">IF(OR($A32="",$C32="U",$S32&lt;&gt;Calc!$F$2),"",SUMIFS($I$3:$I$3002,$E$3:$E$3002,$E32,$C$3:$C$3002,"&lt;&gt;U",$S$3:$S$3002,Calc!$F$2))</f>
        <v/>
      </c>
      <c r="P32" s="35" t="str">
        <f aca="false">IF(OR($A32="",$C32="U",$S32&lt;&gt;Calc!$F$2),"",SUMIFS($N$3:$N$3002,$E$3:$E$3002,$E32,$C$3:$C$3002,"&lt;&gt;U",$S$3:$S$3002,Calc!$F$2))</f>
        <v/>
      </c>
      <c r="Q32" s="35" t="str">
        <f aca="false">IF(OR($A32="",$C32="U",$S32&lt;&gt;Calc!$F$2),"",IF(COUNTIFS($E$3:$E32,$E32,$C$3:$C32,"&lt;&gt;U",$S$3:$S32,Calc!$F$2)=1,1,0))</f>
        <v/>
      </c>
      <c r="R32" s="35" t="str">
        <f aca="false">IF($Q32=1,$O32-ROW()/100000,"")</f>
        <v/>
      </c>
      <c r="S32" s="37" t="str">
        <f aca="false">IF($A32="","",INT($A32))</f>
        <v/>
      </c>
      <c r="T32" s="35" t="str">
        <f aca="false">IF($A32="","",IF(COUNTIFS($S$3:$S32,$S32)=1,1,0))</f>
        <v/>
      </c>
      <c r="U32" s="37" t="str">
        <f aca="false">IF($T32=1,$S32,"")</f>
        <v/>
      </c>
    </row>
    <row r="33" customFormat="false" ht="15" hidden="false" customHeight="false" outlineLevel="0" collapsed="false">
      <c r="M33" s="35" t="str">
        <f aca="false">IF($A33="","",HOUR($A33))</f>
        <v/>
      </c>
      <c r="N33" s="36" t="str">
        <f aca="false">IF($A33="","",$I33*$K33)</f>
        <v/>
      </c>
      <c r="O33" s="35" t="str">
        <f aca="false">IF(OR($A33="",$C33="U",$S33&lt;&gt;Calc!$F$2),"",SUMIFS($I$3:$I$3002,$E$3:$E$3002,$E33,$C$3:$C$3002,"&lt;&gt;U",$S$3:$S$3002,Calc!$F$2))</f>
        <v/>
      </c>
      <c r="P33" s="35" t="str">
        <f aca="false">IF(OR($A33="",$C33="U",$S33&lt;&gt;Calc!$F$2),"",SUMIFS($N$3:$N$3002,$E$3:$E$3002,$E33,$C$3:$C$3002,"&lt;&gt;U",$S$3:$S$3002,Calc!$F$2))</f>
        <v/>
      </c>
      <c r="Q33" s="35" t="str">
        <f aca="false">IF(OR($A33="",$C33="U",$S33&lt;&gt;Calc!$F$2),"",IF(COUNTIFS($E$3:$E33,$E33,$C$3:$C33,"&lt;&gt;U",$S$3:$S33,Calc!$F$2)=1,1,0))</f>
        <v/>
      </c>
      <c r="R33" s="35" t="str">
        <f aca="false">IF($Q33=1,$O33-ROW()/100000,"")</f>
        <v/>
      </c>
      <c r="S33" s="37" t="str">
        <f aca="false">IF($A33="","",INT($A33))</f>
        <v/>
      </c>
      <c r="T33" s="35" t="str">
        <f aca="false">IF($A33="","",IF(COUNTIFS($S$3:$S33,$S33)=1,1,0))</f>
        <v/>
      </c>
      <c r="U33" s="37" t="str">
        <f aca="false">IF($T33=1,$S33,"")</f>
        <v/>
      </c>
    </row>
    <row r="34" customFormat="false" ht="15" hidden="false" customHeight="false" outlineLevel="0" collapsed="false">
      <c r="M34" s="35" t="str">
        <f aca="false">IF($A34="","",HOUR($A34))</f>
        <v/>
      </c>
      <c r="N34" s="36" t="str">
        <f aca="false">IF($A34="","",$I34*$K34)</f>
        <v/>
      </c>
      <c r="O34" s="35" t="str">
        <f aca="false">IF(OR($A34="",$C34="U",$S34&lt;&gt;Calc!$F$2),"",SUMIFS($I$3:$I$3002,$E$3:$E$3002,$E34,$C$3:$C$3002,"&lt;&gt;U",$S$3:$S$3002,Calc!$F$2))</f>
        <v/>
      </c>
      <c r="P34" s="35" t="str">
        <f aca="false">IF(OR($A34="",$C34="U",$S34&lt;&gt;Calc!$F$2),"",SUMIFS($N$3:$N$3002,$E$3:$E$3002,$E34,$C$3:$C$3002,"&lt;&gt;U",$S$3:$S$3002,Calc!$F$2))</f>
        <v/>
      </c>
      <c r="Q34" s="35" t="str">
        <f aca="false">IF(OR($A34="",$C34="U",$S34&lt;&gt;Calc!$F$2),"",IF(COUNTIFS($E$3:$E34,$E34,$C$3:$C34,"&lt;&gt;U",$S$3:$S34,Calc!$F$2)=1,1,0))</f>
        <v/>
      </c>
      <c r="R34" s="35" t="str">
        <f aca="false">IF($Q34=1,$O34-ROW()/100000,"")</f>
        <v/>
      </c>
      <c r="S34" s="37" t="str">
        <f aca="false">IF($A34="","",INT($A34))</f>
        <v/>
      </c>
      <c r="T34" s="35" t="str">
        <f aca="false">IF($A34="","",IF(COUNTIFS($S$3:$S34,$S34)=1,1,0))</f>
        <v/>
      </c>
      <c r="U34" s="37" t="str">
        <f aca="false">IF($T34=1,$S34,"")</f>
        <v/>
      </c>
    </row>
    <row r="35" customFormat="false" ht="15" hidden="false" customHeight="false" outlineLevel="0" collapsed="false">
      <c r="M35" s="35" t="str">
        <f aca="false">IF($A35="","",HOUR($A35))</f>
        <v/>
      </c>
      <c r="N35" s="36" t="str">
        <f aca="false">IF($A35="","",$I35*$K35)</f>
        <v/>
      </c>
      <c r="O35" s="35" t="str">
        <f aca="false">IF(OR($A35="",$C35="U",$S35&lt;&gt;Calc!$F$2),"",SUMIFS($I$3:$I$3002,$E$3:$E$3002,$E35,$C$3:$C$3002,"&lt;&gt;U",$S$3:$S$3002,Calc!$F$2))</f>
        <v/>
      </c>
      <c r="P35" s="35" t="str">
        <f aca="false">IF(OR($A35="",$C35="U",$S35&lt;&gt;Calc!$F$2),"",SUMIFS($N$3:$N$3002,$E$3:$E$3002,$E35,$C$3:$C$3002,"&lt;&gt;U",$S$3:$S$3002,Calc!$F$2))</f>
        <v/>
      </c>
      <c r="Q35" s="35" t="str">
        <f aca="false">IF(OR($A35="",$C35="U",$S35&lt;&gt;Calc!$F$2),"",IF(COUNTIFS($E$3:$E35,$E35,$C$3:$C35,"&lt;&gt;U",$S$3:$S35,Calc!$F$2)=1,1,0))</f>
        <v/>
      </c>
      <c r="R35" s="35" t="str">
        <f aca="false">IF($Q35=1,$O35-ROW()/100000,"")</f>
        <v/>
      </c>
      <c r="S35" s="37" t="str">
        <f aca="false">IF($A35="","",INT($A35))</f>
        <v/>
      </c>
      <c r="T35" s="35" t="str">
        <f aca="false">IF($A35="","",IF(COUNTIFS($S$3:$S35,$S35)=1,1,0))</f>
        <v/>
      </c>
      <c r="U35" s="37" t="str">
        <f aca="false">IF($T35=1,$S35,"")</f>
        <v/>
      </c>
    </row>
    <row r="36" customFormat="false" ht="15" hidden="false" customHeight="false" outlineLevel="0" collapsed="false">
      <c r="M36" s="35" t="str">
        <f aca="false">IF($A36="","",HOUR($A36))</f>
        <v/>
      </c>
      <c r="N36" s="36" t="str">
        <f aca="false">IF($A36="","",$I36*$K36)</f>
        <v/>
      </c>
      <c r="O36" s="35" t="str">
        <f aca="false">IF(OR($A36="",$C36="U",$S36&lt;&gt;Calc!$F$2),"",SUMIFS($I$3:$I$3002,$E$3:$E$3002,$E36,$C$3:$C$3002,"&lt;&gt;U",$S$3:$S$3002,Calc!$F$2))</f>
        <v/>
      </c>
      <c r="P36" s="35" t="str">
        <f aca="false">IF(OR($A36="",$C36="U",$S36&lt;&gt;Calc!$F$2),"",SUMIFS($N$3:$N$3002,$E$3:$E$3002,$E36,$C$3:$C$3002,"&lt;&gt;U",$S$3:$S$3002,Calc!$F$2))</f>
        <v/>
      </c>
      <c r="Q36" s="35" t="str">
        <f aca="false">IF(OR($A36="",$C36="U",$S36&lt;&gt;Calc!$F$2),"",IF(COUNTIFS($E$3:$E36,$E36,$C$3:$C36,"&lt;&gt;U",$S$3:$S36,Calc!$F$2)=1,1,0))</f>
        <v/>
      </c>
      <c r="R36" s="35" t="str">
        <f aca="false">IF($Q36=1,$O36-ROW()/100000,"")</f>
        <v/>
      </c>
      <c r="S36" s="37" t="str">
        <f aca="false">IF($A36="","",INT($A36))</f>
        <v/>
      </c>
      <c r="T36" s="35" t="str">
        <f aca="false">IF($A36="","",IF(COUNTIFS($S$3:$S36,$S36)=1,1,0))</f>
        <v/>
      </c>
      <c r="U36" s="37" t="str">
        <f aca="false">IF($T36=1,$S36,"")</f>
        <v/>
      </c>
    </row>
    <row r="37" customFormat="false" ht="15" hidden="false" customHeight="false" outlineLevel="0" collapsed="false">
      <c r="M37" s="35" t="str">
        <f aca="false">IF($A37="","",HOUR($A37))</f>
        <v/>
      </c>
      <c r="N37" s="36" t="str">
        <f aca="false">IF($A37="","",$I37*$K37)</f>
        <v/>
      </c>
      <c r="O37" s="35" t="str">
        <f aca="false">IF(OR($A37="",$C37="U",$S37&lt;&gt;Calc!$F$2),"",SUMIFS($I$3:$I$3002,$E$3:$E$3002,$E37,$C$3:$C$3002,"&lt;&gt;U",$S$3:$S$3002,Calc!$F$2))</f>
        <v/>
      </c>
      <c r="P37" s="35" t="str">
        <f aca="false">IF(OR($A37="",$C37="U",$S37&lt;&gt;Calc!$F$2),"",SUMIFS($N$3:$N$3002,$E$3:$E$3002,$E37,$C$3:$C$3002,"&lt;&gt;U",$S$3:$S$3002,Calc!$F$2))</f>
        <v/>
      </c>
      <c r="Q37" s="35" t="str">
        <f aca="false">IF(OR($A37="",$C37="U",$S37&lt;&gt;Calc!$F$2),"",IF(COUNTIFS($E$3:$E37,$E37,$C$3:$C37,"&lt;&gt;U",$S$3:$S37,Calc!$F$2)=1,1,0))</f>
        <v/>
      </c>
      <c r="R37" s="35" t="str">
        <f aca="false">IF($Q37=1,$O37-ROW()/100000,"")</f>
        <v/>
      </c>
      <c r="S37" s="37" t="str">
        <f aca="false">IF($A37="","",INT($A37))</f>
        <v/>
      </c>
      <c r="T37" s="35" t="str">
        <f aca="false">IF($A37="","",IF(COUNTIFS($S$3:$S37,$S37)=1,1,0))</f>
        <v/>
      </c>
      <c r="U37" s="37" t="str">
        <f aca="false">IF($T37=1,$S37,"")</f>
        <v/>
      </c>
    </row>
    <row r="38" customFormat="false" ht="15" hidden="false" customHeight="false" outlineLevel="0" collapsed="false">
      <c r="M38" s="35" t="str">
        <f aca="false">IF($A38="","",HOUR($A38))</f>
        <v/>
      </c>
      <c r="N38" s="36" t="str">
        <f aca="false">IF($A38="","",$I38*$K38)</f>
        <v/>
      </c>
      <c r="O38" s="35" t="str">
        <f aca="false">IF(OR($A38="",$C38="U",$S38&lt;&gt;Calc!$F$2),"",SUMIFS($I$3:$I$3002,$E$3:$E$3002,$E38,$C$3:$C$3002,"&lt;&gt;U",$S$3:$S$3002,Calc!$F$2))</f>
        <v/>
      </c>
      <c r="P38" s="35" t="str">
        <f aca="false">IF(OR($A38="",$C38="U",$S38&lt;&gt;Calc!$F$2),"",SUMIFS($N$3:$N$3002,$E$3:$E$3002,$E38,$C$3:$C$3002,"&lt;&gt;U",$S$3:$S$3002,Calc!$F$2))</f>
        <v/>
      </c>
      <c r="Q38" s="35" t="str">
        <f aca="false">IF(OR($A38="",$C38="U",$S38&lt;&gt;Calc!$F$2),"",IF(COUNTIFS($E$3:$E38,$E38,$C$3:$C38,"&lt;&gt;U",$S$3:$S38,Calc!$F$2)=1,1,0))</f>
        <v/>
      </c>
      <c r="R38" s="35" t="str">
        <f aca="false">IF($Q38=1,$O38-ROW()/100000,"")</f>
        <v/>
      </c>
      <c r="S38" s="37" t="str">
        <f aca="false">IF($A38="","",INT($A38))</f>
        <v/>
      </c>
      <c r="T38" s="35" t="str">
        <f aca="false">IF($A38="","",IF(COUNTIFS($S$3:$S38,$S38)=1,1,0))</f>
        <v/>
      </c>
      <c r="U38" s="37" t="str">
        <f aca="false">IF($T38=1,$S38,"")</f>
        <v/>
      </c>
    </row>
    <row r="39" customFormat="false" ht="15" hidden="false" customHeight="false" outlineLevel="0" collapsed="false">
      <c r="M39" s="35" t="str">
        <f aca="false">IF($A39="","",HOUR($A39))</f>
        <v/>
      </c>
      <c r="N39" s="36" t="str">
        <f aca="false">IF($A39="","",$I39*$K39)</f>
        <v/>
      </c>
      <c r="O39" s="35" t="str">
        <f aca="false">IF(OR($A39="",$C39="U",$S39&lt;&gt;Calc!$F$2),"",SUMIFS($I$3:$I$3002,$E$3:$E$3002,$E39,$C$3:$C$3002,"&lt;&gt;U",$S$3:$S$3002,Calc!$F$2))</f>
        <v/>
      </c>
      <c r="P39" s="35" t="str">
        <f aca="false">IF(OR($A39="",$C39="U",$S39&lt;&gt;Calc!$F$2),"",SUMIFS($N$3:$N$3002,$E$3:$E$3002,$E39,$C$3:$C$3002,"&lt;&gt;U",$S$3:$S$3002,Calc!$F$2))</f>
        <v/>
      </c>
      <c r="Q39" s="35" t="str">
        <f aca="false">IF(OR($A39="",$C39="U",$S39&lt;&gt;Calc!$F$2),"",IF(COUNTIFS($E$3:$E39,$E39,$C$3:$C39,"&lt;&gt;U",$S$3:$S39,Calc!$F$2)=1,1,0))</f>
        <v/>
      </c>
      <c r="R39" s="35" t="str">
        <f aca="false">IF($Q39=1,$O39-ROW()/100000,"")</f>
        <v/>
      </c>
      <c r="S39" s="37" t="str">
        <f aca="false">IF($A39="","",INT($A39))</f>
        <v/>
      </c>
      <c r="T39" s="35" t="str">
        <f aca="false">IF($A39="","",IF(COUNTIFS($S$3:$S39,$S39)=1,1,0))</f>
        <v/>
      </c>
      <c r="U39" s="37" t="str">
        <f aca="false">IF($T39=1,$S39,"")</f>
        <v/>
      </c>
    </row>
    <row r="40" customFormat="false" ht="15" hidden="false" customHeight="false" outlineLevel="0" collapsed="false">
      <c r="M40" s="35" t="str">
        <f aca="false">IF($A40="","",HOUR($A40))</f>
        <v/>
      </c>
      <c r="N40" s="36" t="str">
        <f aca="false">IF($A40="","",$I40*$K40)</f>
        <v/>
      </c>
      <c r="O40" s="35" t="str">
        <f aca="false">IF(OR($A40="",$C40="U",$S40&lt;&gt;Calc!$F$2),"",SUMIFS($I$3:$I$3002,$E$3:$E$3002,$E40,$C$3:$C$3002,"&lt;&gt;U",$S$3:$S$3002,Calc!$F$2))</f>
        <v/>
      </c>
      <c r="P40" s="35" t="str">
        <f aca="false">IF(OR($A40="",$C40="U",$S40&lt;&gt;Calc!$F$2),"",SUMIFS($N$3:$N$3002,$E$3:$E$3002,$E40,$C$3:$C$3002,"&lt;&gt;U",$S$3:$S$3002,Calc!$F$2))</f>
        <v/>
      </c>
      <c r="Q40" s="35" t="str">
        <f aca="false">IF(OR($A40="",$C40="U",$S40&lt;&gt;Calc!$F$2),"",IF(COUNTIFS($E$3:$E40,$E40,$C$3:$C40,"&lt;&gt;U",$S$3:$S40,Calc!$F$2)=1,1,0))</f>
        <v/>
      </c>
      <c r="R40" s="35" t="str">
        <f aca="false">IF($Q40=1,$O40-ROW()/100000,"")</f>
        <v/>
      </c>
      <c r="S40" s="37" t="str">
        <f aca="false">IF($A40="","",INT($A40))</f>
        <v/>
      </c>
      <c r="T40" s="35" t="str">
        <f aca="false">IF($A40="","",IF(COUNTIFS($S$3:$S40,$S40)=1,1,0))</f>
        <v/>
      </c>
      <c r="U40" s="37" t="str">
        <f aca="false">IF($T40=1,$S40,"")</f>
        <v/>
      </c>
    </row>
    <row r="41" customFormat="false" ht="15" hidden="false" customHeight="false" outlineLevel="0" collapsed="false">
      <c r="M41" s="35" t="str">
        <f aca="false">IF($A41="","",HOUR($A41))</f>
        <v/>
      </c>
      <c r="N41" s="36" t="str">
        <f aca="false">IF($A41="","",$I41*$K41)</f>
        <v/>
      </c>
      <c r="O41" s="35" t="str">
        <f aca="false">IF(OR($A41="",$C41="U",$S41&lt;&gt;Calc!$F$2),"",SUMIFS($I$3:$I$3002,$E$3:$E$3002,$E41,$C$3:$C$3002,"&lt;&gt;U",$S$3:$S$3002,Calc!$F$2))</f>
        <v/>
      </c>
      <c r="P41" s="35" t="str">
        <f aca="false">IF(OR($A41="",$C41="U",$S41&lt;&gt;Calc!$F$2),"",SUMIFS($N$3:$N$3002,$E$3:$E$3002,$E41,$C$3:$C$3002,"&lt;&gt;U",$S$3:$S$3002,Calc!$F$2))</f>
        <v/>
      </c>
      <c r="Q41" s="35" t="str">
        <f aca="false">IF(OR($A41="",$C41="U",$S41&lt;&gt;Calc!$F$2),"",IF(COUNTIFS($E$3:$E41,$E41,$C$3:$C41,"&lt;&gt;U",$S$3:$S41,Calc!$F$2)=1,1,0))</f>
        <v/>
      </c>
      <c r="R41" s="35" t="str">
        <f aca="false">IF($Q41=1,$O41-ROW()/100000,"")</f>
        <v/>
      </c>
      <c r="S41" s="37" t="str">
        <f aca="false">IF($A41="","",INT($A41))</f>
        <v/>
      </c>
      <c r="T41" s="35" t="str">
        <f aca="false">IF($A41="","",IF(COUNTIFS($S$3:$S41,$S41)=1,1,0))</f>
        <v/>
      </c>
      <c r="U41" s="37" t="str">
        <f aca="false">IF($T41=1,$S41,"")</f>
        <v/>
      </c>
    </row>
    <row r="42" customFormat="false" ht="15" hidden="false" customHeight="false" outlineLevel="0" collapsed="false">
      <c r="M42" s="35" t="str">
        <f aca="false">IF($A42="","",HOUR($A42))</f>
        <v/>
      </c>
      <c r="N42" s="36" t="str">
        <f aca="false">IF($A42="","",$I42*$K42)</f>
        <v/>
      </c>
      <c r="O42" s="35" t="str">
        <f aca="false">IF(OR($A42="",$C42="U",$S42&lt;&gt;Calc!$F$2),"",SUMIFS($I$3:$I$3002,$E$3:$E$3002,$E42,$C$3:$C$3002,"&lt;&gt;U",$S$3:$S$3002,Calc!$F$2))</f>
        <v/>
      </c>
      <c r="P42" s="35" t="str">
        <f aca="false">IF(OR($A42="",$C42="U",$S42&lt;&gt;Calc!$F$2),"",SUMIFS($N$3:$N$3002,$E$3:$E$3002,$E42,$C$3:$C$3002,"&lt;&gt;U",$S$3:$S$3002,Calc!$F$2))</f>
        <v/>
      </c>
      <c r="Q42" s="35" t="str">
        <f aca="false">IF(OR($A42="",$C42="U",$S42&lt;&gt;Calc!$F$2),"",IF(COUNTIFS($E$3:$E42,$E42,$C$3:$C42,"&lt;&gt;U",$S$3:$S42,Calc!$F$2)=1,1,0))</f>
        <v/>
      </c>
      <c r="R42" s="35" t="str">
        <f aca="false">IF($Q42=1,$O42-ROW()/100000,"")</f>
        <v/>
      </c>
      <c r="S42" s="37" t="str">
        <f aca="false">IF($A42="","",INT($A42))</f>
        <v/>
      </c>
      <c r="T42" s="35" t="str">
        <f aca="false">IF($A42="","",IF(COUNTIFS($S$3:$S42,$S42)=1,1,0))</f>
        <v/>
      </c>
      <c r="U42" s="37" t="str">
        <f aca="false">IF($T42=1,$S42,"")</f>
        <v/>
      </c>
    </row>
    <row r="43" customFormat="false" ht="15" hidden="false" customHeight="false" outlineLevel="0" collapsed="false">
      <c r="M43" s="35" t="str">
        <f aca="false">IF($A43="","",HOUR($A43))</f>
        <v/>
      </c>
      <c r="N43" s="36" t="str">
        <f aca="false">IF($A43="","",$I43*$K43)</f>
        <v/>
      </c>
      <c r="O43" s="35" t="str">
        <f aca="false">IF(OR($A43="",$C43="U",$S43&lt;&gt;Calc!$F$2),"",SUMIFS($I$3:$I$3002,$E$3:$E$3002,$E43,$C$3:$C$3002,"&lt;&gt;U",$S$3:$S$3002,Calc!$F$2))</f>
        <v/>
      </c>
      <c r="P43" s="35" t="str">
        <f aca="false">IF(OR($A43="",$C43="U",$S43&lt;&gt;Calc!$F$2),"",SUMIFS($N$3:$N$3002,$E$3:$E$3002,$E43,$C$3:$C$3002,"&lt;&gt;U",$S$3:$S$3002,Calc!$F$2))</f>
        <v/>
      </c>
      <c r="Q43" s="35" t="str">
        <f aca="false">IF(OR($A43="",$C43="U",$S43&lt;&gt;Calc!$F$2),"",IF(COUNTIFS($E$3:$E43,$E43,$C$3:$C43,"&lt;&gt;U",$S$3:$S43,Calc!$F$2)=1,1,0))</f>
        <v/>
      </c>
      <c r="R43" s="35" t="str">
        <f aca="false">IF($Q43=1,$O43-ROW()/100000,"")</f>
        <v/>
      </c>
      <c r="S43" s="37" t="str">
        <f aca="false">IF($A43="","",INT($A43))</f>
        <v/>
      </c>
      <c r="T43" s="35" t="str">
        <f aca="false">IF($A43="","",IF(COUNTIFS($S$3:$S43,$S43)=1,1,0))</f>
        <v/>
      </c>
      <c r="U43" s="37" t="str">
        <f aca="false">IF($T43=1,$S43,"")</f>
        <v/>
      </c>
    </row>
    <row r="44" customFormat="false" ht="15" hidden="false" customHeight="false" outlineLevel="0" collapsed="false">
      <c r="M44" s="35" t="str">
        <f aca="false">IF($A44="","",HOUR($A44))</f>
        <v/>
      </c>
      <c r="N44" s="36" t="str">
        <f aca="false">IF($A44="","",$I44*$K44)</f>
        <v/>
      </c>
      <c r="O44" s="35" t="str">
        <f aca="false">IF(OR($A44="",$C44="U",$S44&lt;&gt;Calc!$F$2),"",SUMIFS($I$3:$I$3002,$E$3:$E$3002,$E44,$C$3:$C$3002,"&lt;&gt;U",$S$3:$S$3002,Calc!$F$2))</f>
        <v/>
      </c>
      <c r="P44" s="35" t="str">
        <f aca="false">IF(OR($A44="",$C44="U",$S44&lt;&gt;Calc!$F$2),"",SUMIFS($N$3:$N$3002,$E$3:$E$3002,$E44,$C$3:$C$3002,"&lt;&gt;U",$S$3:$S$3002,Calc!$F$2))</f>
        <v/>
      </c>
      <c r="Q44" s="35" t="str">
        <f aca="false">IF(OR($A44="",$C44="U",$S44&lt;&gt;Calc!$F$2),"",IF(COUNTIFS($E$3:$E44,$E44,$C$3:$C44,"&lt;&gt;U",$S$3:$S44,Calc!$F$2)=1,1,0))</f>
        <v/>
      </c>
      <c r="R44" s="35" t="str">
        <f aca="false">IF($Q44=1,$O44-ROW()/100000,"")</f>
        <v/>
      </c>
      <c r="S44" s="37" t="str">
        <f aca="false">IF($A44="","",INT($A44))</f>
        <v/>
      </c>
      <c r="T44" s="35" t="str">
        <f aca="false">IF($A44="","",IF(COUNTIFS($S$3:$S44,$S44)=1,1,0))</f>
        <v/>
      </c>
      <c r="U44" s="37" t="str">
        <f aca="false">IF($T44=1,$S44,"")</f>
        <v/>
      </c>
    </row>
    <row r="45" customFormat="false" ht="15" hidden="false" customHeight="false" outlineLevel="0" collapsed="false">
      <c r="M45" s="35" t="str">
        <f aca="false">IF($A45="","",HOUR($A45))</f>
        <v/>
      </c>
      <c r="N45" s="36" t="str">
        <f aca="false">IF($A45="","",$I45*$K45)</f>
        <v/>
      </c>
      <c r="O45" s="35" t="str">
        <f aca="false">IF(OR($A45="",$C45="U",$S45&lt;&gt;Calc!$F$2),"",SUMIFS($I$3:$I$3002,$E$3:$E$3002,$E45,$C$3:$C$3002,"&lt;&gt;U",$S$3:$S$3002,Calc!$F$2))</f>
        <v/>
      </c>
      <c r="P45" s="35" t="str">
        <f aca="false">IF(OR($A45="",$C45="U",$S45&lt;&gt;Calc!$F$2),"",SUMIFS($N$3:$N$3002,$E$3:$E$3002,$E45,$C$3:$C$3002,"&lt;&gt;U",$S$3:$S$3002,Calc!$F$2))</f>
        <v/>
      </c>
      <c r="Q45" s="35" t="str">
        <f aca="false">IF(OR($A45="",$C45="U",$S45&lt;&gt;Calc!$F$2),"",IF(COUNTIFS($E$3:$E45,$E45,$C$3:$C45,"&lt;&gt;U",$S$3:$S45,Calc!$F$2)=1,1,0))</f>
        <v/>
      </c>
      <c r="R45" s="35" t="str">
        <f aca="false">IF($Q45=1,$O45-ROW()/100000,"")</f>
        <v/>
      </c>
      <c r="S45" s="37" t="str">
        <f aca="false">IF($A45="","",INT($A45))</f>
        <v/>
      </c>
      <c r="T45" s="35" t="str">
        <f aca="false">IF($A45="","",IF(COUNTIFS($S$3:$S45,$S45)=1,1,0))</f>
        <v/>
      </c>
      <c r="U45" s="37" t="str">
        <f aca="false">IF($T45=1,$S45,"")</f>
        <v/>
      </c>
    </row>
    <row r="46" customFormat="false" ht="15" hidden="false" customHeight="false" outlineLevel="0" collapsed="false">
      <c r="M46" s="35" t="str">
        <f aca="false">IF($A46="","",HOUR($A46))</f>
        <v/>
      </c>
      <c r="N46" s="36" t="str">
        <f aca="false">IF($A46="","",$I46*$K46)</f>
        <v/>
      </c>
      <c r="O46" s="35" t="str">
        <f aca="false">IF(OR($A46="",$C46="U",$S46&lt;&gt;Calc!$F$2),"",SUMIFS($I$3:$I$3002,$E$3:$E$3002,$E46,$C$3:$C$3002,"&lt;&gt;U",$S$3:$S$3002,Calc!$F$2))</f>
        <v/>
      </c>
      <c r="P46" s="35" t="str">
        <f aca="false">IF(OR($A46="",$C46="U",$S46&lt;&gt;Calc!$F$2),"",SUMIFS($N$3:$N$3002,$E$3:$E$3002,$E46,$C$3:$C$3002,"&lt;&gt;U",$S$3:$S$3002,Calc!$F$2))</f>
        <v/>
      </c>
      <c r="Q46" s="35" t="str">
        <f aca="false">IF(OR($A46="",$C46="U",$S46&lt;&gt;Calc!$F$2),"",IF(COUNTIFS($E$3:$E46,$E46,$C$3:$C46,"&lt;&gt;U",$S$3:$S46,Calc!$F$2)=1,1,0))</f>
        <v/>
      </c>
      <c r="R46" s="35" t="str">
        <f aca="false">IF($Q46=1,$O46-ROW()/100000,"")</f>
        <v/>
      </c>
      <c r="S46" s="37" t="str">
        <f aca="false">IF($A46="","",INT($A46))</f>
        <v/>
      </c>
      <c r="T46" s="35" t="str">
        <f aca="false">IF($A46="","",IF(COUNTIFS($S$3:$S46,$S46)=1,1,0))</f>
        <v/>
      </c>
      <c r="U46" s="37" t="str">
        <f aca="false">IF($T46=1,$S46,"")</f>
        <v/>
      </c>
    </row>
    <row r="47" customFormat="false" ht="15" hidden="false" customHeight="false" outlineLevel="0" collapsed="false">
      <c r="M47" s="35" t="str">
        <f aca="false">IF($A47="","",HOUR($A47))</f>
        <v/>
      </c>
      <c r="N47" s="36" t="str">
        <f aca="false">IF($A47="","",$I47*$K47)</f>
        <v/>
      </c>
      <c r="O47" s="35" t="str">
        <f aca="false">IF(OR($A47="",$C47="U",$S47&lt;&gt;Calc!$F$2),"",SUMIFS($I$3:$I$3002,$E$3:$E$3002,$E47,$C$3:$C$3002,"&lt;&gt;U",$S$3:$S$3002,Calc!$F$2))</f>
        <v/>
      </c>
      <c r="P47" s="35" t="str">
        <f aca="false">IF(OR($A47="",$C47="U",$S47&lt;&gt;Calc!$F$2),"",SUMIFS($N$3:$N$3002,$E$3:$E$3002,$E47,$C$3:$C$3002,"&lt;&gt;U",$S$3:$S$3002,Calc!$F$2))</f>
        <v/>
      </c>
      <c r="Q47" s="35" t="str">
        <f aca="false">IF(OR($A47="",$C47="U",$S47&lt;&gt;Calc!$F$2),"",IF(COUNTIFS($E$3:$E47,$E47,$C$3:$C47,"&lt;&gt;U",$S$3:$S47,Calc!$F$2)=1,1,0))</f>
        <v/>
      </c>
      <c r="R47" s="35" t="str">
        <f aca="false">IF($Q47=1,$O47-ROW()/100000,"")</f>
        <v/>
      </c>
      <c r="S47" s="37" t="str">
        <f aca="false">IF($A47="","",INT($A47))</f>
        <v/>
      </c>
      <c r="T47" s="35" t="str">
        <f aca="false">IF($A47="","",IF(COUNTIFS($S$3:$S47,$S47)=1,1,0))</f>
        <v/>
      </c>
      <c r="U47" s="37" t="str">
        <f aca="false">IF($T47=1,$S47,"")</f>
        <v/>
      </c>
    </row>
    <row r="48" customFormat="false" ht="15" hidden="false" customHeight="false" outlineLevel="0" collapsed="false">
      <c r="M48" s="35" t="str">
        <f aca="false">IF($A48="","",HOUR($A48))</f>
        <v/>
      </c>
      <c r="N48" s="36" t="str">
        <f aca="false">IF($A48="","",$I48*$K48)</f>
        <v/>
      </c>
      <c r="O48" s="35" t="str">
        <f aca="false">IF(OR($A48="",$C48="U",$S48&lt;&gt;Calc!$F$2),"",SUMIFS($I$3:$I$3002,$E$3:$E$3002,$E48,$C$3:$C$3002,"&lt;&gt;U",$S$3:$S$3002,Calc!$F$2))</f>
        <v/>
      </c>
      <c r="P48" s="35" t="str">
        <f aca="false">IF(OR($A48="",$C48="U",$S48&lt;&gt;Calc!$F$2),"",SUMIFS($N$3:$N$3002,$E$3:$E$3002,$E48,$C$3:$C$3002,"&lt;&gt;U",$S$3:$S$3002,Calc!$F$2))</f>
        <v/>
      </c>
      <c r="Q48" s="35" t="str">
        <f aca="false">IF(OR($A48="",$C48="U",$S48&lt;&gt;Calc!$F$2),"",IF(COUNTIFS($E$3:$E48,$E48,$C$3:$C48,"&lt;&gt;U",$S$3:$S48,Calc!$F$2)=1,1,0))</f>
        <v/>
      </c>
      <c r="R48" s="35" t="str">
        <f aca="false">IF($Q48=1,$O48-ROW()/100000,"")</f>
        <v/>
      </c>
      <c r="S48" s="37" t="str">
        <f aca="false">IF($A48="","",INT($A48))</f>
        <v/>
      </c>
      <c r="T48" s="35" t="str">
        <f aca="false">IF($A48="","",IF(COUNTIFS($S$3:$S48,$S48)=1,1,0))</f>
        <v/>
      </c>
      <c r="U48" s="37" t="str">
        <f aca="false">IF($T48=1,$S48,"")</f>
        <v/>
      </c>
    </row>
    <row r="49" customFormat="false" ht="15" hidden="false" customHeight="false" outlineLevel="0" collapsed="false">
      <c r="M49" s="35" t="str">
        <f aca="false">IF($A49="","",HOUR($A49))</f>
        <v/>
      </c>
      <c r="N49" s="36" t="str">
        <f aca="false">IF($A49="","",$I49*$K49)</f>
        <v/>
      </c>
      <c r="O49" s="35" t="str">
        <f aca="false">IF(OR($A49="",$C49="U",$S49&lt;&gt;Calc!$F$2),"",SUMIFS($I$3:$I$3002,$E$3:$E$3002,$E49,$C$3:$C$3002,"&lt;&gt;U",$S$3:$S$3002,Calc!$F$2))</f>
        <v/>
      </c>
      <c r="P49" s="35" t="str">
        <f aca="false">IF(OR($A49="",$C49="U",$S49&lt;&gt;Calc!$F$2),"",SUMIFS($N$3:$N$3002,$E$3:$E$3002,$E49,$C$3:$C$3002,"&lt;&gt;U",$S$3:$S$3002,Calc!$F$2))</f>
        <v/>
      </c>
      <c r="Q49" s="35" t="str">
        <f aca="false">IF(OR($A49="",$C49="U",$S49&lt;&gt;Calc!$F$2),"",IF(COUNTIFS($E$3:$E49,$E49,$C$3:$C49,"&lt;&gt;U",$S$3:$S49,Calc!$F$2)=1,1,0))</f>
        <v/>
      </c>
      <c r="R49" s="35" t="str">
        <f aca="false">IF($Q49=1,$O49-ROW()/100000,"")</f>
        <v/>
      </c>
      <c r="S49" s="37" t="str">
        <f aca="false">IF($A49="","",INT($A49))</f>
        <v/>
      </c>
      <c r="T49" s="35" t="str">
        <f aca="false">IF($A49="","",IF(COUNTIFS($S$3:$S49,$S49)=1,1,0))</f>
        <v/>
      </c>
      <c r="U49" s="37" t="str">
        <f aca="false">IF($T49=1,$S49,"")</f>
        <v/>
      </c>
    </row>
    <row r="50" customFormat="false" ht="15" hidden="false" customHeight="false" outlineLevel="0" collapsed="false">
      <c r="M50" s="35" t="str">
        <f aca="false">IF($A50="","",HOUR($A50))</f>
        <v/>
      </c>
      <c r="N50" s="36" t="str">
        <f aca="false">IF($A50="","",$I50*$K50)</f>
        <v/>
      </c>
      <c r="O50" s="35" t="str">
        <f aca="false">IF(OR($A50="",$C50="U",$S50&lt;&gt;Calc!$F$2),"",SUMIFS($I$3:$I$3002,$E$3:$E$3002,$E50,$C$3:$C$3002,"&lt;&gt;U",$S$3:$S$3002,Calc!$F$2))</f>
        <v/>
      </c>
      <c r="P50" s="35" t="str">
        <f aca="false">IF(OR($A50="",$C50="U",$S50&lt;&gt;Calc!$F$2),"",SUMIFS($N$3:$N$3002,$E$3:$E$3002,$E50,$C$3:$C$3002,"&lt;&gt;U",$S$3:$S$3002,Calc!$F$2))</f>
        <v/>
      </c>
      <c r="Q50" s="35" t="str">
        <f aca="false">IF(OR($A50="",$C50="U",$S50&lt;&gt;Calc!$F$2),"",IF(COUNTIFS($E$3:$E50,$E50,$C$3:$C50,"&lt;&gt;U",$S$3:$S50,Calc!$F$2)=1,1,0))</f>
        <v/>
      </c>
      <c r="R50" s="35" t="str">
        <f aca="false">IF($Q50=1,$O50-ROW()/100000,"")</f>
        <v/>
      </c>
      <c r="S50" s="37" t="str">
        <f aca="false">IF($A50="","",INT($A50))</f>
        <v/>
      </c>
      <c r="T50" s="35" t="str">
        <f aca="false">IF($A50="","",IF(COUNTIFS($S$3:$S50,$S50)=1,1,0))</f>
        <v/>
      </c>
      <c r="U50" s="37" t="str">
        <f aca="false">IF($T50=1,$S50,"")</f>
        <v/>
      </c>
    </row>
    <row r="51" customFormat="false" ht="15" hidden="false" customHeight="false" outlineLevel="0" collapsed="false">
      <c r="M51" s="35" t="str">
        <f aca="false">IF($A51="","",HOUR($A51))</f>
        <v/>
      </c>
      <c r="N51" s="36" t="str">
        <f aca="false">IF($A51="","",$I51*$K51)</f>
        <v/>
      </c>
      <c r="O51" s="35" t="str">
        <f aca="false">IF(OR($A51="",$C51="U",$S51&lt;&gt;Calc!$F$2),"",SUMIFS($I$3:$I$3002,$E$3:$E$3002,$E51,$C$3:$C$3002,"&lt;&gt;U",$S$3:$S$3002,Calc!$F$2))</f>
        <v/>
      </c>
      <c r="P51" s="35" t="str">
        <f aca="false">IF(OR($A51="",$C51="U",$S51&lt;&gt;Calc!$F$2),"",SUMIFS($N$3:$N$3002,$E$3:$E$3002,$E51,$C$3:$C$3002,"&lt;&gt;U",$S$3:$S$3002,Calc!$F$2))</f>
        <v/>
      </c>
      <c r="Q51" s="35" t="str">
        <f aca="false">IF(OR($A51="",$C51="U",$S51&lt;&gt;Calc!$F$2),"",IF(COUNTIFS($E$3:$E51,$E51,$C$3:$C51,"&lt;&gt;U",$S$3:$S51,Calc!$F$2)=1,1,0))</f>
        <v/>
      </c>
      <c r="R51" s="35" t="str">
        <f aca="false">IF($Q51=1,$O51-ROW()/100000,"")</f>
        <v/>
      </c>
      <c r="S51" s="37" t="str">
        <f aca="false">IF($A51="","",INT($A51))</f>
        <v/>
      </c>
      <c r="T51" s="35" t="str">
        <f aca="false">IF($A51="","",IF(COUNTIFS($S$3:$S51,$S51)=1,1,0))</f>
        <v/>
      </c>
      <c r="U51" s="37" t="str">
        <f aca="false">IF($T51=1,$S51,"")</f>
        <v/>
      </c>
    </row>
    <row r="52" customFormat="false" ht="15" hidden="false" customHeight="false" outlineLevel="0" collapsed="false">
      <c r="M52" s="35" t="str">
        <f aca="false">IF($A52="","",HOUR($A52))</f>
        <v/>
      </c>
      <c r="N52" s="36" t="str">
        <f aca="false">IF($A52="","",$I52*$K52)</f>
        <v/>
      </c>
      <c r="O52" s="35" t="str">
        <f aca="false">IF(OR($A52="",$C52="U",$S52&lt;&gt;Calc!$F$2),"",SUMIFS($I$3:$I$3002,$E$3:$E$3002,$E52,$C$3:$C$3002,"&lt;&gt;U",$S$3:$S$3002,Calc!$F$2))</f>
        <v/>
      </c>
      <c r="P52" s="35" t="str">
        <f aca="false">IF(OR($A52="",$C52="U",$S52&lt;&gt;Calc!$F$2),"",SUMIFS($N$3:$N$3002,$E$3:$E$3002,$E52,$C$3:$C$3002,"&lt;&gt;U",$S$3:$S$3002,Calc!$F$2))</f>
        <v/>
      </c>
      <c r="Q52" s="35" t="str">
        <f aca="false">IF(OR($A52="",$C52="U",$S52&lt;&gt;Calc!$F$2),"",IF(COUNTIFS($E$3:$E52,$E52,$C$3:$C52,"&lt;&gt;U",$S$3:$S52,Calc!$F$2)=1,1,0))</f>
        <v/>
      </c>
      <c r="R52" s="35" t="str">
        <f aca="false">IF($Q52=1,$O52-ROW()/100000,"")</f>
        <v/>
      </c>
      <c r="S52" s="37" t="str">
        <f aca="false">IF($A52="","",INT($A52))</f>
        <v/>
      </c>
      <c r="T52" s="35" t="str">
        <f aca="false">IF($A52="","",IF(COUNTIFS($S$3:$S52,$S52)=1,1,0))</f>
        <v/>
      </c>
      <c r="U52" s="37" t="str">
        <f aca="false">IF($T52=1,$S52,"")</f>
        <v/>
      </c>
    </row>
    <row r="53" customFormat="false" ht="15" hidden="false" customHeight="false" outlineLevel="0" collapsed="false">
      <c r="M53" s="35" t="str">
        <f aca="false">IF($A53="","",HOUR($A53))</f>
        <v/>
      </c>
      <c r="N53" s="36" t="str">
        <f aca="false">IF($A53="","",$I53*$K53)</f>
        <v/>
      </c>
      <c r="O53" s="35" t="str">
        <f aca="false">IF(OR($A53="",$C53="U",$S53&lt;&gt;Calc!$F$2),"",SUMIFS($I$3:$I$3002,$E$3:$E$3002,$E53,$C$3:$C$3002,"&lt;&gt;U",$S$3:$S$3002,Calc!$F$2))</f>
        <v/>
      </c>
      <c r="P53" s="35" t="str">
        <f aca="false">IF(OR($A53="",$C53="U",$S53&lt;&gt;Calc!$F$2),"",SUMIFS($N$3:$N$3002,$E$3:$E$3002,$E53,$C$3:$C$3002,"&lt;&gt;U",$S$3:$S$3002,Calc!$F$2))</f>
        <v/>
      </c>
      <c r="Q53" s="35" t="str">
        <f aca="false">IF(OR($A53="",$C53="U",$S53&lt;&gt;Calc!$F$2),"",IF(COUNTIFS($E$3:$E53,$E53,$C$3:$C53,"&lt;&gt;U",$S$3:$S53,Calc!$F$2)=1,1,0))</f>
        <v/>
      </c>
      <c r="R53" s="35" t="str">
        <f aca="false">IF($Q53=1,$O53-ROW()/100000,"")</f>
        <v/>
      </c>
      <c r="S53" s="37" t="str">
        <f aca="false">IF($A53="","",INT($A53))</f>
        <v/>
      </c>
      <c r="T53" s="35" t="str">
        <f aca="false">IF($A53="","",IF(COUNTIFS($S$3:$S53,$S53)=1,1,0))</f>
        <v/>
      </c>
      <c r="U53" s="37" t="str">
        <f aca="false">IF($T53=1,$S53,"")</f>
        <v/>
      </c>
    </row>
    <row r="54" customFormat="false" ht="15" hidden="false" customHeight="false" outlineLevel="0" collapsed="false">
      <c r="M54" s="35" t="str">
        <f aca="false">IF($A54="","",HOUR($A54))</f>
        <v/>
      </c>
      <c r="N54" s="36" t="str">
        <f aca="false">IF($A54="","",$I54*$K54)</f>
        <v/>
      </c>
      <c r="O54" s="35" t="str">
        <f aca="false">IF(OR($A54="",$C54="U",$S54&lt;&gt;Calc!$F$2),"",SUMIFS($I$3:$I$3002,$E$3:$E$3002,$E54,$C$3:$C$3002,"&lt;&gt;U",$S$3:$S$3002,Calc!$F$2))</f>
        <v/>
      </c>
      <c r="P54" s="35" t="str">
        <f aca="false">IF(OR($A54="",$C54="U",$S54&lt;&gt;Calc!$F$2),"",SUMIFS($N$3:$N$3002,$E$3:$E$3002,$E54,$C$3:$C$3002,"&lt;&gt;U",$S$3:$S$3002,Calc!$F$2))</f>
        <v/>
      </c>
      <c r="Q54" s="35" t="str">
        <f aca="false">IF(OR($A54="",$C54="U",$S54&lt;&gt;Calc!$F$2),"",IF(COUNTIFS($E$3:$E54,$E54,$C$3:$C54,"&lt;&gt;U",$S$3:$S54,Calc!$F$2)=1,1,0))</f>
        <v/>
      </c>
      <c r="R54" s="35" t="str">
        <f aca="false">IF($Q54=1,$O54-ROW()/100000,"")</f>
        <v/>
      </c>
      <c r="S54" s="37" t="str">
        <f aca="false">IF($A54="","",INT($A54))</f>
        <v/>
      </c>
      <c r="T54" s="35" t="str">
        <f aca="false">IF($A54="","",IF(COUNTIFS($S$3:$S54,$S54)=1,1,0))</f>
        <v/>
      </c>
      <c r="U54" s="37" t="str">
        <f aca="false">IF($T54=1,$S54,"")</f>
        <v/>
      </c>
    </row>
    <row r="55" customFormat="false" ht="15" hidden="false" customHeight="false" outlineLevel="0" collapsed="false">
      <c r="M55" s="35" t="str">
        <f aca="false">IF($A55="","",HOUR($A55))</f>
        <v/>
      </c>
      <c r="N55" s="36" t="str">
        <f aca="false">IF($A55="","",$I55*$K55)</f>
        <v/>
      </c>
      <c r="O55" s="35" t="str">
        <f aca="false">IF(OR($A55="",$C55="U",$S55&lt;&gt;Calc!$F$2),"",SUMIFS($I$3:$I$3002,$E$3:$E$3002,$E55,$C$3:$C$3002,"&lt;&gt;U",$S$3:$S$3002,Calc!$F$2))</f>
        <v/>
      </c>
      <c r="P55" s="35" t="str">
        <f aca="false">IF(OR($A55="",$C55="U",$S55&lt;&gt;Calc!$F$2),"",SUMIFS($N$3:$N$3002,$E$3:$E$3002,$E55,$C$3:$C$3002,"&lt;&gt;U",$S$3:$S$3002,Calc!$F$2))</f>
        <v/>
      </c>
      <c r="Q55" s="35" t="str">
        <f aca="false">IF(OR($A55="",$C55="U",$S55&lt;&gt;Calc!$F$2),"",IF(COUNTIFS($E$3:$E55,$E55,$C$3:$C55,"&lt;&gt;U",$S$3:$S55,Calc!$F$2)=1,1,0))</f>
        <v/>
      </c>
      <c r="R55" s="35" t="str">
        <f aca="false">IF($Q55=1,$O55-ROW()/100000,"")</f>
        <v/>
      </c>
      <c r="S55" s="37" t="str">
        <f aca="false">IF($A55="","",INT($A55))</f>
        <v/>
      </c>
      <c r="T55" s="35" t="str">
        <f aca="false">IF($A55="","",IF(COUNTIFS($S$3:$S55,$S55)=1,1,0))</f>
        <v/>
      </c>
      <c r="U55" s="37" t="str">
        <f aca="false">IF($T55=1,$S55,"")</f>
        <v/>
      </c>
    </row>
    <row r="56" customFormat="false" ht="15" hidden="false" customHeight="false" outlineLevel="0" collapsed="false">
      <c r="M56" s="35" t="str">
        <f aca="false">IF($A56="","",HOUR($A56))</f>
        <v/>
      </c>
      <c r="N56" s="36" t="str">
        <f aca="false">IF($A56="","",$I56*$K56)</f>
        <v/>
      </c>
      <c r="O56" s="35" t="str">
        <f aca="false">IF(OR($A56="",$C56="U",$S56&lt;&gt;Calc!$F$2),"",SUMIFS($I$3:$I$3002,$E$3:$E$3002,$E56,$C$3:$C$3002,"&lt;&gt;U",$S$3:$S$3002,Calc!$F$2))</f>
        <v/>
      </c>
      <c r="P56" s="35" t="str">
        <f aca="false">IF(OR($A56="",$C56="U",$S56&lt;&gt;Calc!$F$2),"",SUMIFS($N$3:$N$3002,$E$3:$E$3002,$E56,$C$3:$C$3002,"&lt;&gt;U",$S$3:$S$3002,Calc!$F$2))</f>
        <v/>
      </c>
      <c r="Q56" s="35" t="str">
        <f aca="false">IF(OR($A56="",$C56="U",$S56&lt;&gt;Calc!$F$2),"",IF(COUNTIFS($E$3:$E56,$E56,$C$3:$C56,"&lt;&gt;U",$S$3:$S56,Calc!$F$2)=1,1,0))</f>
        <v/>
      </c>
      <c r="R56" s="35" t="str">
        <f aca="false">IF($Q56=1,$O56-ROW()/100000,"")</f>
        <v/>
      </c>
      <c r="S56" s="37" t="str">
        <f aca="false">IF($A56="","",INT($A56))</f>
        <v/>
      </c>
      <c r="T56" s="35" t="str">
        <f aca="false">IF($A56="","",IF(COUNTIFS($S$3:$S56,$S56)=1,1,0))</f>
        <v/>
      </c>
      <c r="U56" s="37" t="str">
        <f aca="false">IF($T56=1,$S56,"")</f>
        <v/>
      </c>
    </row>
    <row r="57" customFormat="false" ht="15" hidden="false" customHeight="false" outlineLevel="0" collapsed="false">
      <c r="M57" s="35" t="str">
        <f aca="false">IF($A57="","",HOUR($A57))</f>
        <v/>
      </c>
      <c r="N57" s="36" t="str">
        <f aca="false">IF($A57="","",$I57*$K57)</f>
        <v/>
      </c>
      <c r="O57" s="35" t="str">
        <f aca="false">IF(OR($A57="",$C57="U",$S57&lt;&gt;Calc!$F$2),"",SUMIFS($I$3:$I$3002,$E$3:$E$3002,$E57,$C$3:$C$3002,"&lt;&gt;U",$S$3:$S$3002,Calc!$F$2))</f>
        <v/>
      </c>
      <c r="P57" s="35" t="str">
        <f aca="false">IF(OR($A57="",$C57="U",$S57&lt;&gt;Calc!$F$2),"",SUMIFS($N$3:$N$3002,$E$3:$E$3002,$E57,$C$3:$C$3002,"&lt;&gt;U",$S$3:$S$3002,Calc!$F$2))</f>
        <v/>
      </c>
      <c r="Q57" s="35" t="str">
        <f aca="false">IF(OR($A57="",$C57="U",$S57&lt;&gt;Calc!$F$2),"",IF(COUNTIFS($E$3:$E57,$E57,$C$3:$C57,"&lt;&gt;U",$S$3:$S57,Calc!$F$2)=1,1,0))</f>
        <v/>
      </c>
      <c r="R57" s="35" t="str">
        <f aca="false">IF($Q57=1,$O57-ROW()/100000,"")</f>
        <v/>
      </c>
      <c r="S57" s="37" t="str">
        <f aca="false">IF($A57="","",INT($A57))</f>
        <v/>
      </c>
      <c r="T57" s="35" t="str">
        <f aca="false">IF($A57="","",IF(COUNTIFS($S$3:$S57,$S57)=1,1,0))</f>
        <v/>
      </c>
      <c r="U57" s="37" t="str">
        <f aca="false">IF($T57=1,$S57,"")</f>
        <v/>
      </c>
    </row>
    <row r="58" customFormat="false" ht="15" hidden="false" customHeight="false" outlineLevel="0" collapsed="false">
      <c r="M58" s="35" t="str">
        <f aca="false">IF($A58="","",HOUR($A58))</f>
        <v/>
      </c>
      <c r="N58" s="36" t="str">
        <f aca="false">IF($A58="","",$I58*$K58)</f>
        <v/>
      </c>
      <c r="O58" s="35" t="str">
        <f aca="false">IF(OR($A58="",$C58="U",$S58&lt;&gt;Calc!$F$2),"",SUMIFS($I$3:$I$3002,$E$3:$E$3002,$E58,$C$3:$C$3002,"&lt;&gt;U",$S$3:$S$3002,Calc!$F$2))</f>
        <v/>
      </c>
      <c r="P58" s="35" t="str">
        <f aca="false">IF(OR($A58="",$C58="U",$S58&lt;&gt;Calc!$F$2),"",SUMIFS($N$3:$N$3002,$E$3:$E$3002,$E58,$C$3:$C$3002,"&lt;&gt;U",$S$3:$S$3002,Calc!$F$2))</f>
        <v/>
      </c>
      <c r="Q58" s="35" t="str">
        <f aca="false">IF(OR($A58="",$C58="U",$S58&lt;&gt;Calc!$F$2),"",IF(COUNTIFS($E$3:$E58,$E58,$C$3:$C58,"&lt;&gt;U",$S$3:$S58,Calc!$F$2)=1,1,0))</f>
        <v/>
      </c>
      <c r="R58" s="35" t="str">
        <f aca="false">IF($Q58=1,$O58-ROW()/100000,"")</f>
        <v/>
      </c>
      <c r="S58" s="37" t="str">
        <f aca="false">IF($A58="","",INT($A58))</f>
        <v/>
      </c>
      <c r="T58" s="35" t="str">
        <f aca="false">IF($A58="","",IF(COUNTIFS($S$3:$S58,$S58)=1,1,0))</f>
        <v/>
      </c>
      <c r="U58" s="37" t="str">
        <f aca="false">IF($T58=1,$S58,"")</f>
        <v/>
      </c>
    </row>
    <row r="59" customFormat="false" ht="15" hidden="false" customHeight="false" outlineLevel="0" collapsed="false">
      <c r="M59" s="35" t="str">
        <f aca="false">IF($A59="","",HOUR($A59))</f>
        <v/>
      </c>
      <c r="N59" s="36" t="str">
        <f aca="false">IF($A59="","",$I59*$K59)</f>
        <v/>
      </c>
      <c r="O59" s="35" t="str">
        <f aca="false">IF(OR($A59="",$C59="U",$S59&lt;&gt;Calc!$F$2),"",SUMIFS($I$3:$I$3002,$E$3:$E$3002,$E59,$C$3:$C$3002,"&lt;&gt;U",$S$3:$S$3002,Calc!$F$2))</f>
        <v/>
      </c>
      <c r="P59" s="35" t="str">
        <f aca="false">IF(OR($A59="",$C59="U",$S59&lt;&gt;Calc!$F$2),"",SUMIFS($N$3:$N$3002,$E$3:$E$3002,$E59,$C$3:$C$3002,"&lt;&gt;U",$S$3:$S$3002,Calc!$F$2))</f>
        <v/>
      </c>
      <c r="Q59" s="35" t="str">
        <f aca="false">IF(OR($A59="",$C59="U",$S59&lt;&gt;Calc!$F$2),"",IF(COUNTIFS($E$3:$E59,$E59,$C$3:$C59,"&lt;&gt;U",$S$3:$S59,Calc!$F$2)=1,1,0))</f>
        <v/>
      </c>
      <c r="R59" s="35" t="str">
        <f aca="false">IF($Q59=1,$O59-ROW()/100000,"")</f>
        <v/>
      </c>
      <c r="S59" s="37" t="str">
        <f aca="false">IF($A59="","",INT($A59))</f>
        <v/>
      </c>
      <c r="T59" s="35" t="str">
        <f aca="false">IF($A59="","",IF(COUNTIFS($S$3:$S59,$S59)=1,1,0))</f>
        <v/>
      </c>
      <c r="U59" s="37" t="str">
        <f aca="false">IF($T59=1,$S59,"")</f>
        <v/>
      </c>
    </row>
    <row r="60" customFormat="false" ht="15" hidden="false" customHeight="false" outlineLevel="0" collapsed="false">
      <c r="M60" s="35" t="str">
        <f aca="false">IF($A60="","",HOUR($A60))</f>
        <v/>
      </c>
      <c r="N60" s="36" t="str">
        <f aca="false">IF($A60="","",$I60*$K60)</f>
        <v/>
      </c>
      <c r="O60" s="35" t="str">
        <f aca="false">IF(OR($A60="",$C60="U",$S60&lt;&gt;Calc!$F$2),"",SUMIFS($I$3:$I$3002,$E$3:$E$3002,$E60,$C$3:$C$3002,"&lt;&gt;U",$S$3:$S$3002,Calc!$F$2))</f>
        <v/>
      </c>
      <c r="P60" s="35" t="str">
        <f aca="false">IF(OR($A60="",$C60="U",$S60&lt;&gt;Calc!$F$2),"",SUMIFS($N$3:$N$3002,$E$3:$E$3002,$E60,$C$3:$C$3002,"&lt;&gt;U",$S$3:$S$3002,Calc!$F$2))</f>
        <v/>
      </c>
      <c r="Q60" s="35" t="str">
        <f aca="false">IF(OR($A60="",$C60="U",$S60&lt;&gt;Calc!$F$2),"",IF(COUNTIFS($E$3:$E60,$E60,$C$3:$C60,"&lt;&gt;U",$S$3:$S60,Calc!$F$2)=1,1,0))</f>
        <v/>
      </c>
      <c r="R60" s="35" t="str">
        <f aca="false">IF($Q60=1,$O60-ROW()/100000,"")</f>
        <v/>
      </c>
      <c r="S60" s="37" t="str">
        <f aca="false">IF($A60="","",INT($A60))</f>
        <v/>
      </c>
      <c r="T60" s="35" t="str">
        <f aca="false">IF($A60="","",IF(COUNTIFS($S$3:$S60,$S60)=1,1,0))</f>
        <v/>
      </c>
      <c r="U60" s="37" t="str">
        <f aca="false">IF($T60=1,$S60,"")</f>
        <v/>
      </c>
    </row>
    <row r="61" customFormat="false" ht="15" hidden="false" customHeight="false" outlineLevel="0" collapsed="false">
      <c r="M61" s="35" t="str">
        <f aca="false">IF($A61="","",HOUR($A61))</f>
        <v/>
      </c>
      <c r="N61" s="36" t="str">
        <f aca="false">IF($A61="","",$I61*$K61)</f>
        <v/>
      </c>
      <c r="O61" s="35" t="str">
        <f aca="false">IF(OR($A61="",$C61="U",$S61&lt;&gt;Calc!$F$2),"",SUMIFS($I$3:$I$3002,$E$3:$E$3002,$E61,$C$3:$C$3002,"&lt;&gt;U",$S$3:$S$3002,Calc!$F$2))</f>
        <v/>
      </c>
      <c r="P61" s="35" t="str">
        <f aca="false">IF(OR($A61="",$C61="U",$S61&lt;&gt;Calc!$F$2),"",SUMIFS($N$3:$N$3002,$E$3:$E$3002,$E61,$C$3:$C$3002,"&lt;&gt;U",$S$3:$S$3002,Calc!$F$2))</f>
        <v/>
      </c>
      <c r="Q61" s="35" t="str">
        <f aca="false">IF(OR($A61="",$C61="U",$S61&lt;&gt;Calc!$F$2),"",IF(COUNTIFS($E$3:$E61,$E61,$C$3:$C61,"&lt;&gt;U",$S$3:$S61,Calc!$F$2)=1,1,0))</f>
        <v/>
      </c>
      <c r="R61" s="35" t="str">
        <f aca="false">IF($Q61=1,$O61-ROW()/100000,"")</f>
        <v/>
      </c>
      <c r="S61" s="37" t="str">
        <f aca="false">IF($A61="","",INT($A61))</f>
        <v/>
      </c>
      <c r="T61" s="35" t="str">
        <f aca="false">IF($A61="","",IF(COUNTIFS($S$3:$S61,$S61)=1,1,0))</f>
        <v/>
      </c>
      <c r="U61" s="37" t="str">
        <f aca="false">IF($T61=1,$S61,"")</f>
        <v/>
      </c>
    </row>
    <row r="62" customFormat="false" ht="15" hidden="false" customHeight="false" outlineLevel="0" collapsed="false">
      <c r="M62" s="35" t="str">
        <f aca="false">IF($A62="","",HOUR($A62))</f>
        <v/>
      </c>
      <c r="N62" s="36" t="str">
        <f aca="false">IF($A62="","",$I62*$K62)</f>
        <v/>
      </c>
      <c r="O62" s="35" t="str">
        <f aca="false">IF(OR($A62="",$C62="U",$S62&lt;&gt;Calc!$F$2),"",SUMIFS($I$3:$I$3002,$E$3:$E$3002,$E62,$C$3:$C$3002,"&lt;&gt;U",$S$3:$S$3002,Calc!$F$2))</f>
        <v/>
      </c>
      <c r="P62" s="35" t="str">
        <f aca="false">IF(OR($A62="",$C62="U",$S62&lt;&gt;Calc!$F$2),"",SUMIFS($N$3:$N$3002,$E$3:$E$3002,$E62,$C$3:$C$3002,"&lt;&gt;U",$S$3:$S$3002,Calc!$F$2))</f>
        <v/>
      </c>
      <c r="Q62" s="35" t="str">
        <f aca="false">IF(OR($A62="",$C62="U",$S62&lt;&gt;Calc!$F$2),"",IF(COUNTIFS($E$3:$E62,$E62,$C$3:$C62,"&lt;&gt;U",$S$3:$S62,Calc!$F$2)=1,1,0))</f>
        <v/>
      </c>
      <c r="R62" s="35" t="str">
        <f aca="false">IF($Q62=1,$O62-ROW()/100000,"")</f>
        <v/>
      </c>
      <c r="S62" s="37" t="str">
        <f aca="false">IF($A62="","",INT($A62))</f>
        <v/>
      </c>
      <c r="T62" s="35" t="str">
        <f aca="false">IF($A62="","",IF(COUNTIFS($S$3:$S62,$S62)=1,1,0))</f>
        <v/>
      </c>
      <c r="U62" s="37" t="str">
        <f aca="false">IF($T62=1,$S62,"")</f>
        <v/>
      </c>
    </row>
    <row r="63" customFormat="false" ht="15" hidden="false" customHeight="false" outlineLevel="0" collapsed="false">
      <c r="M63" s="35" t="str">
        <f aca="false">IF($A63="","",HOUR($A63))</f>
        <v/>
      </c>
      <c r="N63" s="36" t="str">
        <f aca="false">IF($A63="","",$I63*$K63)</f>
        <v/>
      </c>
      <c r="O63" s="35" t="str">
        <f aca="false">IF(OR($A63="",$C63="U",$S63&lt;&gt;Calc!$F$2),"",SUMIFS($I$3:$I$3002,$E$3:$E$3002,$E63,$C$3:$C$3002,"&lt;&gt;U",$S$3:$S$3002,Calc!$F$2))</f>
        <v/>
      </c>
      <c r="P63" s="35" t="str">
        <f aca="false">IF(OR($A63="",$C63="U",$S63&lt;&gt;Calc!$F$2),"",SUMIFS($N$3:$N$3002,$E$3:$E$3002,$E63,$C$3:$C$3002,"&lt;&gt;U",$S$3:$S$3002,Calc!$F$2))</f>
        <v/>
      </c>
      <c r="Q63" s="35" t="str">
        <f aca="false">IF(OR($A63="",$C63="U",$S63&lt;&gt;Calc!$F$2),"",IF(COUNTIFS($E$3:$E63,$E63,$C$3:$C63,"&lt;&gt;U",$S$3:$S63,Calc!$F$2)=1,1,0))</f>
        <v/>
      </c>
      <c r="R63" s="35" t="str">
        <f aca="false">IF($Q63=1,$O63-ROW()/100000,"")</f>
        <v/>
      </c>
      <c r="S63" s="37" t="str">
        <f aca="false">IF($A63="","",INT($A63))</f>
        <v/>
      </c>
      <c r="T63" s="35" t="str">
        <f aca="false">IF($A63="","",IF(COUNTIFS($S$3:$S63,$S63)=1,1,0))</f>
        <v/>
      </c>
      <c r="U63" s="37" t="str">
        <f aca="false">IF($T63=1,$S63,"")</f>
        <v/>
      </c>
    </row>
    <row r="64" customFormat="false" ht="15" hidden="false" customHeight="false" outlineLevel="0" collapsed="false">
      <c r="M64" s="35" t="str">
        <f aca="false">IF($A64="","",HOUR($A64))</f>
        <v/>
      </c>
      <c r="N64" s="36" t="str">
        <f aca="false">IF($A64="","",$I64*$K64)</f>
        <v/>
      </c>
      <c r="O64" s="35" t="str">
        <f aca="false">IF(OR($A64="",$C64="U",$S64&lt;&gt;Calc!$F$2),"",SUMIFS($I$3:$I$3002,$E$3:$E$3002,$E64,$C$3:$C$3002,"&lt;&gt;U",$S$3:$S$3002,Calc!$F$2))</f>
        <v/>
      </c>
      <c r="P64" s="35" t="str">
        <f aca="false">IF(OR($A64="",$C64="U",$S64&lt;&gt;Calc!$F$2),"",SUMIFS($N$3:$N$3002,$E$3:$E$3002,$E64,$C$3:$C$3002,"&lt;&gt;U",$S$3:$S$3002,Calc!$F$2))</f>
        <v/>
      </c>
      <c r="Q64" s="35" t="str">
        <f aca="false">IF(OR($A64="",$C64="U",$S64&lt;&gt;Calc!$F$2),"",IF(COUNTIFS($E$3:$E64,$E64,$C$3:$C64,"&lt;&gt;U",$S$3:$S64,Calc!$F$2)=1,1,0))</f>
        <v/>
      </c>
      <c r="R64" s="35" t="str">
        <f aca="false">IF($Q64=1,$O64-ROW()/100000,"")</f>
        <v/>
      </c>
      <c r="S64" s="37" t="str">
        <f aca="false">IF($A64="","",INT($A64))</f>
        <v/>
      </c>
      <c r="T64" s="35" t="str">
        <f aca="false">IF($A64="","",IF(COUNTIFS($S$3:$S64,$S64)=1,1,0))</f>
        <v/>
      </c>
      <c r="U64" s="37" t="str">
        <f aca="false">IF($T64=1,$S64,"")</f>
        <v/>
      </c>
    </row>
    <row r="65" customFormat="false" ht="15" hidden="false" customHeight="false" outlineLevel="0" collapsed="false">
      <c r="M65" s="35" t="str">
        <f aca="false">IF($A65="","",HOUR($A65))</f>
        <v/>
      </c>
      <c r="N65" s="36" t="str">
        <f aca="false">IF($A65="","",$I65*$K65)</f>
        <v/>
      </c>
      <c r="O65" s="35" t="str">
        <f aca="false">IF(OR($A65="",$C65="U",$S65&lt;&gt;Calc!$F$2),"",SUMIFS($I$3:$I$3002,$E$3:$E$3002,$E65,$C$3:$C$3002,"&lt;&gt;U",$S$3:$S$3002,Calc!$F$2))</f>
        <v/>
      </c>
      <c r="P65" s="35" t="str">
        <f aca="false">IF(OR($A65="",$C65="U",$S65&lt;&gt;Calc!$F$2),"",SUMIFS($N$3:$N$3002,$E$3:$E$3002,$E65,$C$3:$C$3002,"&lt;&gt;U",$S$3:$S$3002,Calc!$F$2))</f>
        <v/>
      </c>
      <c r="Q65" s="35" t="str">
        <f aca="false">IF(OR($A65="",$C65="U",$S65&lt;&gt;Calc!$F$2),"",IF(COUNTIFS($E$3:$E65,$E65,$C$3:$C65,"&lt;&gt;U",$S$3:$S65,Calc!$F$2)=1,1,0))</f>
        <v/>
      </c>
      <c r="R65" s="35" t="str">
        <f aca="false">IF($Q65=1,$O65-ROW()/100000,"")</f>
        <v/>
      </c>
      <c r="S65" s="37" t="str">
        <f aca="false">IF($A65="","",INT($A65))</f>
        <v/>
      </c>
      <c r="T65" s="35" t="str">
        <f aca="false">IF($A65="","",IF(COUNTIFS($S$3:$S65,$S65)=1,1,0))</f>
        <v/>
      </c>
      <c r="U65" s="37" t="str">
        <f aca="false">IF($T65=1,$S65,"")</f>
        <v/>
      </c>
    </row>
    <row r="66" customFormat="false" ht="15" hidden="false" customHeight="false" outlineLevel="0" collapsed="false">
      <c r="M66" s="35" t="str">
        <f aca="false">IF($A66="","",HOUR($A66))</f>
        <v/>
      </c>
      <c r="N66" s="36" t="str">
        <f aca="false">IF($A66="","",$I66*$K66)</f>
        <v/>
      </c>
      <c r="O66" s="35" t="str">
        <f aca="false">IF(OR($A66="",$C66="U",$S66&lt;&gt;Calc!$F$2),"",SUMIFS($I$3:$I$3002,$E$3:$E$3002,$E66,$C$3:$C$3002,"&lt;&gt;U",$S$3:$S$3002,Calc!$F$2))</f>
        <v/>
      </c>
      <c r="P66" s="35" t="str">
        <f aca="false">IF(OR($A66="",$C66="U",$S66&lt;&gt;Calc!$F$2),"",SUMIFS($N$3:$N$3002,$E$3:$E$3002,$E66,$C$3:$C$3002,"&lt;&gt;U",$S$3:$S$3002,Calc!$F$2))</f>
        <v/>
      </c>
      <c r="Q66" s="35" t="str">
        <f aca="false">IF(OR($A66="",$C66="U",$S66&lt;&gt;Calc!$F$2),"",IF(COUNTIFS($E$3:$E66,$E66,$C$3:$C66,"&lt;&gt;U",$S$3:$S66,Calc!$F$2)=1,1,0))</f>
        <v/>
      </c>
      <c r="R66" s="35" t="str">
        <f aca="false">IF($Q66=1,$O66-ROW()/100000,"")</f>
        <v/>
      </c>
      <c r="S66" s="37" t="str">
        <f aca="false">IF($A66="","",INT($A66))</f>
        <v/>
      </c>
      <c r="T66" s="35" t="str">
        <f aca="false">IF($A66="","",IF(COUNTIFS($S$3:$S66,$S66)=1,1,0))</f>
        <v/>
      </c>
      <c r="U66" s="37" t="str">
        <f aca="false">IF($T66=1,$S66,"")</f>
        <v/>
      </c>
    </row>
    <row r="67" customFormat="false" ht="15" hidden="false" customHeight="false" outlineLevel="0" collapsed="false">
      <c r="M67" s="35" t="str">
        <f aca="false">IF($A67="","",HOUR($A67))</f>
        <v/>
      </c>
      <c r="N67" s="36" t="str">
        <f aca="false">IF($A67="","",$I67*$K67)</f>
        <v/>
      </c>
      <c r="O67" s="35" t="str">
        <f aca="false">IF(OR($A67="",$C67="U",$S67&lt;&gt;Calc!$F$2),"",SUMIFS($I$3:$I$3002,$E$3:$E$3002,$E67,$C$3:$C$3002,"&lt;&gt;U",$S$3:$S$3002,Calc!$F$2))</f>
        <v/>
      </c>
      <c r="P67" s="35" t="str">
        <f aca="false">IF(OR($A67="",$C67="U",$S67&lt;&gt;Calc!$F$2),"",SUMIFS($N$3:$N$3002,$E$3:$E$3002,$E67,$C$3:$C$3002,"&lt;&gt;U",$S$3:$S$3002,Calc!$F$2))</f>
        <v/>
      </c>
      <c r="Q67" s="35" t="str">
        <f aca="false">IF(OR($A67="",$C67="U",$S67&lt;&gt;Calc!$F$2),"",IF(COUNTIFS($E$3:$E67,$E67,$C$3:$C67,"&lt;&gt;U",$S$3:$S67,Calc!$F$2)=1,1,0))</f>
        <v/>
      </c>
      <c r="R67" s="35" t="str">
        <f aca="false">IF($Q67=1,$O67-ROW()/100000,"")</f>
        <v/>
      </c>
      <c r="S67" s="37" t="str">
        <f aca="false">IF($A67="","",INT($A67))</f>
        <v/>
      </c>
      <c r="T67" s="35" t="str">
        <f aca="false">IF($A67="","",IF(COUNTIFS($S$3:$S67,$S67)=1,1,0))</f>
        <v/>
      </c>
      <c r="U67" s="37" t="str">
        <f aca="false">IF($T67=1,$S67,"")</f>
        <v/>
      </c>
    </row>
    <row r="68" customFormat="false" ht="15" hidden="false" customHeight="false" outlineLevel="0" collapsed="false">
      <c r="M68" s="35" t="str">
        <f aca="false">IF($A68="","",HOUR($A68))</f>
        <v/>
      </c>
      <c r="N68" s="36" t="str">
        <f aca="false">IF($A68="","",$I68*$K68)</f>
        <v/>
      </c>
      <c r="O68" s="35" t="str">
        <f aca="false">IF(OR($A68="",$C68="U",$S68&lt;&gt;Calc!$F$2),"",SUMIFS($I$3:$I$3002,$E$3:$E$3002,$E68,$C$3:$C$3002,"&lt;&gt;U",$S$3:$S$3002,Calc!$F$2))</f>
        <v/>
      </c>
      <c r="P68" s="35" t="str">
        <f aca="false">IF(OR($A68="",$C68="U",$S68&lt;&gt;Calc!$F$2),"",SUMIFS($N$3:$N$3002,$E$3:$E$3002,$E68,$C$3:$C$3002,"&lt;&gt;U",$S$3:$S$3002,Calc!$F$2))</f>
        <v/>
      </c>
      <c r="Q68" s="35" t="str">
        <f aca="false">IF(OR($A68="",$C68="U",$S68&lt;&gt;Calc!$F$2),"",IF(COUNTIFS($E$3:$E68,$E68,$C$3:$C68,"&lt;&gt;U",$S$3:$S68,Calc!$F$2)=1,1,0))</f>
        <v/>
      </c>
      <c r="R68" s="35" t="str">
        <f aca="false">IF($Q68=1,$O68-ROW()/100000,"")</f>
        <v/>
      </c>
      <c r="S68" s="37" t="str">
        <f aca="false">IF($A68="","",INT($A68))</f>
        <v/>
      </c>
      <c r="T68" s="35" t="str">
        <f aca="false">IF($A68="","",IF(COUNTIFS($S$3:$S68,$S68)=1,1,0))</f>
        <v/>
      </c>
      <c r="U68" s="37" t="str">
        <f aca="false">IF($T68=1,$S68,"")</f>
        <v/>
      </c>
    </row>
    <row r="69" customFormat="false" ht="15" hidden="false" customHeight="false" outlineLevel="0" collapsed="false">
      <c r="M69" s="35" t="str">
        <f aca="false">IF($A69="","",HOUR($A69))</f>
        <v/>
      </c>
      <c r="N69" s="36" t="str">
        <f aca="false">IF($A69="","",$I69*$K69)</f>
        <v/>
      </c>
      <c r="O69" s="35" t="str">
        <f aca="false">IF(OR($A69="",$C69="U",$S69&lt;&gt;Calc!$F$2),"",SUMIFS($I$3:$I$3002,$E$3:$E$3002,$E69,$C$3:$C$3002,"&lt;&gt;U",$S$3:$S$3002,Calc!$F$2))</f>
        <v/>
      </c>
      <c r="P69" s="35" t="str">
        <f aca="false">IF(OR($A69="",$C69="U",$S69&lt;&gt;Calc!$F$2),"",SUMIFS($N$3:$N$3002,$E$3:$E$3002,$E69,$C$3:$C$3002,"&lt;&gt;U",$S$3:$S$3002,Calc!$F$2))</f>
        <v/>
      </c>
      <c r="Q69" s="35" t="str">
        <f aca="false">IF(OR($A69="",$C69="U",$S69&lt;&gt;Calc!$F$2),"",IF(COUNTIFS($E$3:$E69,$E69,$C$3:$C69,"&lt;&gt;U",$S$3:$S69,Calc!$F$2)=1,1,0))</f>
        <v/>
      </c>
      <c r="R69" s="35" t="str">
        <f aca="false">IF($Q69=1,$O69-ROW()/100000,"")</f>
        <v/>
      </c>
      <c r="S69" s="37" t="str">
        <f aca="false">IF($A69="","",INT($A69))</f>
        <v/>
      </c>
      <c r="T69" s="35" t="str">
        <f aca="false">IF($A69="","",IF(COUNTIFS($S$3:$S69,$S69)=1,1,0))</f>
        <v/>
      </c>
      <c r="U69" s="37" t="str">
        <f aca="false">IF($T69=1,$S69,"")</f>
        <v/>
      </c>
    </row>
    <row r="70" customFormat="false" ht="15" hidden="false" customHeight="false" outlineLevel="0" collapsed="false">
      <c r="M70" s="35" t="str">
        <f aca="false">IF($A70="","",HOUR($A70))</f>
        <v/>
      </c>
      <c r="N70" s="36" t="str">
        <f aca="false">IF($A70="","",$I70*$K70)</f>
        <v/>
      </c>
      <c r="O70" s="35" t="str">
        <f aca="false">IF(OR($A70="",$C70="U",$S70&lt;&gt;Calc!$F$2),"",SUMIFS($I$3:$I$3002,$E$3:$E$3002,$E70,$C$3:$C$3002,"&lt;&gt;U",$S$3:$S$3002,Calc!$F$2))</f>
        <v/>
      </c>
      <c r="P70" s="35" t="str">
        <f aca="false">IF(OR($A70="",$C70="U",$S70&lt;&gt;Calc!$F$2),"",SUMIFS($N$3:$N$3002,$E$3:$E$3002,$E70,$C$3:$C$3002,"&lt;&gt;U",$S$3:$S$3002,Calc!$F$2))</f>
        <v/>
      </c>
      <c r="Q70" s="35" t="str">
        <f aca="false">IF(OR($A70="",$C70="U",$S70&lt;&gt;Calc!$F$2),"",IF(COUNTIFS($E$3:$E70,$E70,$C$3:$C70,"&lt;&gt;U",$S$3:$S70,Calc!$F$2)=1,1,0))</f>
        <v/>
      </c>
      <c r="R70" s="35" t="str">
        <f aca="false">IF($Q70=1,$O70-ROW()/100000,"")</f>
        <v/>
      </c>
      <c r="S70" s="37" t="str">
        <f aca="false">IF($A70="","",INT($A70))</f>
        <v/>
      </c>
      <c r="T70" s="35" t="str">
        <f aca="false">IF($A70="","",IF(COUNTIFS($S$3:$S70,$S70)=1,1,0))</f>
        <v/>
      </c>
      <c r="U70" s="37" t="str">
        <f aca="false">IF($T70=1,$S70,"")</f>
        <v/>
      </c>
    </row>
    <row r="71" customFormat="false" ht="15" hidden="false" customHeight="false" outlineLevel="0" collapsed="false">
      <c r="M71" s="35" t="str">
        <f aca="false">IF($A71="","",HOUR($A71))</f>
        <v/>
      </c>
      <c r="N71" s="36" t="str">
        <f aca="false">IF($A71="","",$I71*$K71)</f>
        <v/>
      </c>
      <c r="O71" s="35" t="str">
        <f aca="false">IF(OR($A71="",$C71="U",$S71&lt;&gt;Calc!$F$2),"",SUMIFS($I$3:$I$3002,$E$3:$E$3002,$E71,$C$3:$C$3002,"&lt;&gt;U",$S$3:$S$3002,Calc!$F$2))</f>
        <v/>
      </c>
      <c r="P71" s="35" t="str">
        <f aca="false">IF(OR($A71="",$C71="U",$S71&lt;&gt;Calc!$F$2),"",SUMIFS($N$3:$N$3002,$E$3:$E$3002,$E71,$C$3:$C$3002,"&lt;&gt;U",$S$3:$S$3002,Calc!$F$2))</f>
        <v/>
      </c>
      <c r="Q71" s="35" t="str">
        <f aca="false">IF(OR($A71="",$C71="U",$S71&lt;&gt;Calc!$F$2),"",IF(COUNTIFS($E$3:$E71,$E71,$C$3:$C71,"&lt;&gt;U",$S$3:$S71,Calc!$F$2)=1,1,0))</f>
        <v/>
      </c>
      <c r="R71" s="35" t="str">
        <f aca="false">IF($Q71=1,$O71-ROW()/100000,"")</f>
        <v/>
      </c>
      <c r="S71" s="37" t="str">
        <f aca="false">IF($A71="","",INT($A71))</f>
        <v/>
      </c>
      <c r="T71" s="35" t="str">
        <f aca="false">IF($A71="","",IF(COUNTIFS($S$3:$S71,$S71)=1,1,0))</f>
        <v/>
      </c>
      <c r="U71" s="37" t="str">
        <f aca="false">IF($T71=1,$S71,"")</f>
        <v/>
      </c>
    </row>
    <row r="72" customFormat="false" ht="15" hidden="false" customHeight="false" outlineLevel="0" collapsed="false">
      <c r="M72" s="35" t="str">
        <f aca="false">IF($A72="","",HOUR($A72))</f>
        <v/>
      </c>
      <c r="N72" s="36" t="str">
        <f aca="false">IF($A72="","",$I72*$K72)</f>
        <v/>
      </c>
      <c r="O72" s="35" t="str">
        <f aca="false">IF(OR($A72="",$C72="U",$S72&lt;&gt;Calc!$F$2),"",SUMIFS($I$3:$I$3002,$E$3:$E$3002,$E72,$C$3:$C$3002,"&lt;&gt;U",$S$3:$S$3002,Calc!$F$2))</f>
        <v/>
      </c>
      <c r="P72" s="35" t="str">
        <f aca="false">IF(OR($A72="",$C72="U",$S72&lt;&gt;Calc!$F$2),"",SUMIFS($N$3:$N$3002,$E$3:$E$3002,$E72,$C$3:$C$3002,"&lt;&gt;U",$S$3:$S$3002,Calc!$F$2))</f>
        <v/>
      </c>
      <c r="Q72" s="35" t="str">
        <f aca="false">IF(OR($A72="",$C72="U",$S72&lt;&gt;Calc!$F$2),"",IF(COUNTIFS($E$3:$E72,$E72,$C$3:$C72,"&lt;&gt;U",$S$3:$S72,Calc!$F$2)=1,1,0))</f>
        <v/>
      </c>
      <c r="R72" s="35" t="str">
        <f aca="false">IF($Q72=1,$O72-ROW()/100000,"")</f>
        <v/>
      </c>
      <c r="S72" s="37" t="str">
        <f aca="false">IF($A72="","",INT($A72))</f>
        <v/>
      </c>
      <c r="T72" s="35" t="str">
        <f aca="false">IF($A72="","",IF(COUNTIFS($S$3:$S72,$S72)=1,1,0))</f>
        <v/>
      </c>
      <c r="U72" s="37" t="str">
        <f aca="false">IF($T72=1,$S72,"")</f>
        <v/>
      </c>
    </row>
    <row r="73" customFormat="false" ht="15" hidden="false" customHeight="false" outlineLevel="0" collapsed="false">
      <c r="M73" s="35" t="str">
        <f aca="false">IF($A73="","",HOUR($A73))</f>
        <v/>
      </c>
      <c r="N73" s="36" t="str">
        <f aca="false">IF($A73="","",$I73*$K73)</f>
        <v/>
      </c>
      <c r="O73" s="35" t="str">
        <f aca="false">IF(OR($A73="",$C73="U",$S73&lt;&gt;Calc!$F$2),"",SUMIFS($I$3:$I$3002,$E$3:$E$3002,$E73,$C$3:$C$3002,"&lt;&gt;U",$S$3:$S$3002,Calc!$F$2))</f>
        <v/>
      </c>
      <c r="P73" s="35" t="str">
        <f aca="false">IF(OR($A73="",$C73="U",$S73&lt;&gt;Calc!$F$2),"",SUMIFS($N$3:$N$3002,$E$3:$E$3002,$E73,$C$3:$C$3002,"&lt;&gt;U",$S$3:$S$3002,Calc!$F$2))</f>
        <v/>
      </c>
      <c r="Q73" s="35" t="str">
        <f aca="false">IF(OR($A73="",$C73="U",$S73&lt;&gt;Calc!$F$2),"",IF(COUNTIFS($E$3:$E73,$E73,$C$3:$C73,"&lt;&gt;U",$S$3:$S73,Calc!$F$2)=1,1,0))</f>
        <v/>
      </c>
      <c r="R73" s="35" t="str">
        <f aca="false">IF($Q73=1,$O73-ROW()/100000,"")</f>
        <v/>
      </c>
      <c r="S73" s="37" t="str">
        <f aca="false">IF($A73="","",INT($A73))</f>
        <v/>
      </c>
      <c r="T73" s="35" t="str">
        <f aca="false">IF($A73="","",IF(COUNTIFS($S$3:$S73,$S73)=1,1,0))</f>
        <v/>
      </c>
      <c r="U73" s="37" t="str">
        <f aca="false">IF($T73=1,$S73,"")</f>
        <v/>
      </c>
    </row>
    <row r="74" customFormat="false" ht="15" hidden="false" customHeight="false" outlineLevel="0" collapsed="false">
      <c r="M74" s="35" t="str">
        <f aca="false">IF($A74="","",HOUR($A74))</f>
        <v/>
      </c>
      <c r="N74" s="36" t="str">
        <f aca="false">IF($A74="","",$I74*$K74)</f>
        <v/>
      </c>
      <c r="O74" s="35" t="str">
        <f aca="false">IF(OR($A74="",$C74="U",$S74&lt;&gt;Calc!$F$2),"",SUMIFS($I$3:$I$3002,$E$3:$E$3002,$E74,$C$3:$C$3002,"&lt;&gt;U",$S$3:$S$3002,Calc!$F$2))</f>
        <v/>
      </c>
      <c r="P74" s="35" t="str">
        <f aca="false">IF(OR($A74="",$C74="U",$S74&lt;&gt;Calc!$F$2),"",SUMIFS($N$3:$N$3002,$E$3:$E$3002,$E74,$C$3:$C$3002,"&lt;&gt;U",$S$3:$S$3002,Calc!$F$2))</f>
        <v/>
      </c>
      <c r="Q74" s="35" t="str">
        <f aca="false">IF(OR($A74="",$C74="U",$S74&lt;&gt;Calc!$F$2),"",IF(COUNTIFS($E$3:$E74,$E74,$C$3:$C74,"&lt;&gt;U",$S$3:$S74,Calc!$F$2)=1,1,0))</f>
        <v/>
      </c>
      <c r="R74" s="35" t="str">
        <f aca="false">IF($Q74=1,$O74-ROW()/100000,"")</f>
        <v/>
      </c>
      <c r="S74" s="37" t="str">
        <f aca="false">IF($A74="","",INT($A74))</f>
        <v/>
      </c>
      <c r="T74" s="35" t="str">
        <f aca="false">IF($A74="","",IF(COUNTIFS($S$3:$S74,$S74)=1,1,0))</f>
        <v/>
      </c>
      <c r="U74" s="37" t="str">
        <f aca="false">IF($T74=1,$S74,"")</f>
        <v/>
      </c>
    </row>
    <row r="75" customFormat="false" ht="15" hidden="false" customHeight="false" outlineLevel="0" collapsed="false">
      <c r="M75" s="35" t="str">
        <f aca="false">IF($A75="","",HOUR($A75))</f>
        <v/>
      </c>
      <c r="N75" s="36" t="str">
        <f aca="false">IF($A75="","",$I75*$K75)</f>
        <v/>
      </c>
      <c r="O75" s="35" t="str">
        <f aca="false">IF(OR($A75="",$C75="U",$S75&lt;&gt;Calc!$F$2),"",SUMIFS($I$3:$I$3002,$E$3:$E$3002,$E75,$C$3:$C$3002,"&lt;&gt;U",$S$3:$S$3002,Calc!$F$2))</f>
        <v/>
      </c>
      <c r="P75" s="35" t="str">
        <f aca="false">IF(OR($A75="",$C75="U",$S75&lt;&gt;Calc!$F$2),"",SUMIFS($N$3:$N$3002,$E$3:$E$3002,$E75,$C$3:$C$3002,"&lt;&gt;U",$S$3:$S$3002,Calc!$F$2))</f>
        <v/>
      </c>
      <c r="Q75" s="35" t="str">
        <f aca="false">IF(OR($A75="",$C75="U",$S75&lt;&gt;Calc!$F$2),"",IF(COUNTIFS($E$3:$E75,$E75,$C$3:$C75,"&lt;&gt;U",$S$3:$S75,Calc!$F$2)=1,1,0))</f>
        <v/>
      </c>
      <c r="R75" s="35" t="str">
        <f aca="false">IF($Q75=1,$O75-ROW()/100000,"")</f>
        <v/>
      </c>
      <c r="S75" s="37" t="str">
        <f aca="false">IF($A75="","",INT($A75))</f>
        <v/>
      </c>
      <c r="T75" s="35" t="str">
        <f aca="false">IF($A75="","",IF(COUNTIFS($S$3:$S75,$S75)=1,1,0))</f>
        <v/>
      </c>
      <c r="U75" s="37" t="str">
        <f aca="false">IF($T75=1,$S75,"")</f>
        <v/>
      </c>
    </row>
    <row r="76" customFormat="false" ht="15" hidden="false" customHeight="false" outlineLevel="0" collapsed="false">
      <c r="M76" s="35" t="str">
        <f aca="false">IF($A76="","",HOUR($A76))</f>
        <v/>
      </c>
      <c r="N76" s="36" t="str">
        <f aca="false">IF($A76="","",$I76*$K76)</f>
        <v/>
      </c>
      <c r="O76" s="35" t="str">
        <f aca="false">IF(OR($A76="",$C76="U",$S76&lt;&gt;Calc!$F$2),"",SUMIFS($I$3:$I$3002,$E$3:$E$3002,$E76,$C$3:$C$3002,"&lt;&gt;U",$S$3:$S$3002,Calc!$F$2))</f>
        <v/>
      </c>
      <c r="P76" s="35" t="str">
        <f aca="false">IF(OR($A76="",$C76="U",$S76&lt;&gt;Calc!$F$2),"",SUMIFS($N$3:$N$3002,$E$3:$E$3002,$E76,$C$3:$C$3002,"&lt;&gt;U",$S$3:$S$3002,Calc!$F$2))</f>
        <v/>
      </c>
      <c r="Q76" s="35" t="str">
        <f aca="false">IF(OR($A76="",$C76="U",$S76&lt;&gt;Calc!$F$2),"",IF(COUNTIFS($E$3:$E76,$E76,$C$3:$C76,"&lt;&gt;U",$S$3:$S76,Calc!$F$2)=1,1,0))</f>
        <v/>
      </c>
      <c r="R76" s="35" t="str">
        <f aca="false">IF($Q76=1,$O76-ROW()/100000,"")</f>
        <v/>
      </c>
      <c r="S76" s="37" t="str">
        <f aca="false">IF($A76="","",INT($A76))</f>
        <v/>
      </c>
      <c r="T76" s="35" t="str">
        <f aca="false">IF($A76="","",IF(COUNTIFS($S$3:$S76,$S76)=1,1,0))</f>
        <v/>
      </c>
      <c r="U76" s="37" t="str">
        <f aca="false">IF($T76=1,$S76,"")</f>
        <v/>
      </c>
    </row>
    <row r="77" customFormat="false" ht="15" hidden="false" customHeight="false" outlineLevel="0" collapsed="false">
      <c r="M77" s="35" t="str">
        <f aca="false">IF($A77="","",HOUR($A77))</f>
        <v/>
      </c>
      <c r="N77" s="36" t="str">
        <f aca="false">IF($A77="","",$I77*$K77)</f>
        <v/>
      </c>
      <c r="O77" s="35" t="str">
        <f aca="false">IF(OR($A77="",$C77="U",$S77&lt;&gt;Calc!$F$2),"",SUMIFS($I$3:$I$3002,$E$3:$E$3002,$E77,$C$3:$C$3002,"&lt;&gt;U",$S$3:$S$3002,Calc!$F$2))</f>
        <v/>
      </c>
      <c r="P77" s="35" t="str">
        <f aca="false">IF(OR($A77="",$C77="U",$S77&lt;&gt;Calc!$F$2),"",SUMIFS($N$3:$N$3002,$E$3:$E$3002,$E77,$C$3:$C$3002,"&lt;&gt;U",$S$3:$S$3002,Calc!$F$2))</f>
        <v/>
      </c>
      <c r="Q77" s="35" t="str">
        <f aca="false">IF(OR($A77="",$C77="U",$S77&lt;&gt;Calc!$F$2),"",IF(COUNTIFS($E$3:$E77,$E77,$C$3:$C77,"&lt;&gt;U",$S$3:$S77,Calc!$F$2)=1,1,0))</f>
        <v/>
      </c>
      <c r="R77" s="35" t="str">
        <f aca="false">IF($Q77=1,$O77-ROW()/100000,"")</f>
        <v/>
      </c>
      <c r="S77" s="37" t="str">
        <f aca="false">IF($A77="","",INT($A77))</f>
        <v/>
      </c>
      <c r="T77" s="35" t="str">
        <f aca="false">IF($A77="","",IF(COUNTIFS($S$3:$S77,$S77)=1,1,0))</f>
        <v/>
      </c>
      <c r="U77" s="37" t="str">
        <f aca="false">IF($T77=1,$S77,"")</f>
        <v/>
      </c>
    </row>
    <row r="78" customFormat="false" ht="15" hidden="false" customHeight="false" outlineLevel="0" collapsed="false">
      <c r="M78" s="35" t="str">
        <f aca="false">IF($A78="","",HOUR($A78))</f>
        <v/>
      </c>
      <c r="N78" s="36" t="str">
        <f aca="false">IF($A78="","",$I78*$K78)</f>
        <v/>
      </c>
      <c r="O78" s="35" t="str">
        <f aca="false">IF(OR($A78="",$C78="U",$S78&lt;&gt;Calc!$F$2),"",SUMIFS($I$3:$I$3002,$E$3:$E$3002,$E78,$C$3:$C$3002,"&lt;&gt;U",$S$3:$S$3002,Calc!$F$2))</f>
        <v/>
      </c>
      <c r="P78" s="35" t="str">
        <f aca="false">IF(OR($A78="",$C78="U",$S78&lt;&gt;Calc!$F$2),"",SUMIFS($N$3:$N$3002,$E$3:$E$3002,$E78,$C$3:$C$3002,"&lt;&gt;U",$S$3:$S$3002,Calc!$F$2))</f>
        <v/>
      </c>
      <c r="Q78" s="35" t="str">
        <f aca="false">IF(OR($A78="",$C78="U",$S78&lt;&gt;Calc!$F$2),"",IF(COUNTIFS($E$3:$E78,$E78,$C$3:$C78,"&lt;&gt;U",$S$3:$S78,Calc!$F$2)=1,1,0))</f>
        <v/>
      </c>
      <c r="R78" s="35" t="str">
        <f aca="false">IF($Q78=1,$O78-ROW()/100000,"")</f>
        <v/>
      </c>
      <c r="S78" s="37" t="str">
        <f aca="false">IF($A78="","",INT($A78))</f>
        <v/>
      </c>
      <c r="T78" s="35" t="str">
        <f aca="false">IF($A78="","",IF(COUNTIFS($S$3:$S78,$S78)=1,1,0))</f>
        <v/>
      </c>
      <c r="U78" s="37" t="str">
        <f aca="false">IF($T78=1,$S78,"")</f>
        <v/>
      </c>
    </row>
    <row r="79" customFormat="false" ht="15" hidden="false" customHeight="false" outlineLevel="0" collapsed="false">
      <c r="M79" s="35" t="str">
        <f aca="false">IF($A79="","",HOUR($A79))</f>
        <v/>
      </c>
      <c r="N79" s="36" t="str">
        <f aca="false">IF($A79="","",$I79*$K79)</f>
        <v/>
      </c>
      <c r="O79" s="35" t="str">
        <f aca="false">IF(OR($A79="",$C79="U",$S79&lt;&gt;Calc!$F$2),"",SUMIFS($I$3:$I$3002,$E$3:$E$3002,$E79,$C$3:$C$3002,"&lt;&gt;U",$S$3:$S$3002,Calc!$F$2))</f>
        <v/>
      </c>
      <c r="P79" s="35" t="str">
        <f aca="false">IF(OR($A79="",$C79="U",$S79&lt;&gt;Calc!$F$2),"",SUMIFS($N$3:$N$3002,$E$3:$E$3002,$E79,$C$3:$C$3002,"&lt;&gt;U",$S$3:$S$3002,Calc!$F$2))</f>
        <v/>
      </c>
      <c r="Q79" s="35" t="str">
        <f aca="false">IF(OR($A79="",$C79="U",$S79&lt;&gt;Calc!$F$2),"",IF(COUNTIFS($E$3:$E79,$E79,$C$3:$C79,"&lt;&gt;U",$S$3:$S79,Calc!$F$2)=1,1,0))</f>
        <v/>
      </c>
      <c r="R79" s="35" t="str">
        <f aca="false">IF($Q79=1,$O79-ROW()/100000,"")</f>
        <v/>
      </c>
      <c r="S79" s="37" t="str">
        <f aca="false">IF($A79="","",INT($A79))</f>
        <v/>
      </c>
      <c r="T79" s="35" t="str">
        <f aca="false">IF($A79="","",IF(COUNTIFS($S$3:$S79,$S79)=1,1,0))</f>
        <v/>
      </c>
      <c r="U79" s="37" t="str">
        <f aca="false">IF($T79=1,$S79,"")</f>
        <v/>
      </c>
    </row>
    <row r="80" customFormat="false" ht="15" hidden="false" customHeight="false" outlineLevel="0" collapsed="false">
      <c r="M80" s="35" t="str">
        <f aca="false">IF($A80="","",HOUR($A80))</f>
        <v/>
      </c>
      <c r="N80" s="36" t="str">
        <f aca="false">IF($A80="","",$I80*$K80)</f>
        <v/>
      </c>
      <c r="O80" s="35" t="str">
        <f aca="false">IF(OR($A80="",$C80="U",$S80&lt;&gt;Calc!$F$2),"",SUMIFS($I$3:$I$3002,$E$3:$E$3002,$E80,$C$3:$C$3002,"&lt;&gt;U",$S$3:$S$3002,Calc!$F$2))</f>
        <v/>
      </c>
      <c r="P80" s="35" t="str">
        <f aca="false">IF(OR($A80="",$C80="U",$S80&lt;&gt;Calc!$F$2),"",SUMIFS($N$3:$N$3002,$E$3:$E$3002,$E80,$C$3:$C$3002,"&lt;&gt;U",$S$3:$S$3002,Calc!$F$2))</f>
        <v/>
      </c>
      <c r="Q80" s="35" t="str">
        <f aca="false">IF(OR($A80="",$C80="U",$S80&lt;&gt;Calc!$F$2),"",IF(COUNTIFS($E$3:$E80,$E80,$C$3:$C80,"&lt;&gt;U",$S$3:$S80,Calc!$F$2)=1,1,0))</f>
        <v/>
      </c>
      <c r="R80" s="35" t="str">
        <f aca="false">IF($Q80=1,$O80-ROW()/100000,"")</f>
        <v/>
      </c>
      <c r="S80" s="37" t="str">
        <f aca="false">IF($A80="","",INT($A80))</f>
        <v/>
      </c>
      <c r="T80" s="35" t="str">
        <f aca="false">IF($A80="","",IF(COUNTIFS($S$3:$S80,$S80)=1,1,0))</f>
        <v/>
      </c>
      <c r="U80" s="37" t="str">
        <f aca="false">IF($T80=1,$S80,"")</f>
        <v/>
      </c>
    </row>
    <row r="81" customFormat="false" ht="15" hidden="false" customHeight="false" outlineLevel="0" collapsed="false">
      <c r="M81" s="35" t="str">
        <f aca="false">IF($A81="","",HOUR($A81))</f>
        <v/>
      </c>
      <c r="N81" s="36" t="str">
        <f aca="false">IF($A81="","",$I81*$K81)</f>
        <v/>
      </c>
      <c r="O81" s="35" t="str">
        <f aca="false">IF(OR($A81="",$C81="U",$S81&lt;&gt;Calc!$F$2),"",SUMIFS($I$3:$I$3002,$E$3:$E$3002,$E81,$C$3:$C$3002,"&lt;&gt;U",$S$3:$S$3002,Calc!$F$2))</f>
        <v/>
      </c>
      <c r="P81" s="35" t="str">
        <f aca="false">IF(OR($A81="",$C81="U",$S81&lt;&gt;Calc!$F$2),"",SUMIFS($N$3:$N$3002,$E$3:$E$3002,$E81,$C$3:$C$3002,"&lt;&gt;U",$S$3:$S$3002,Calc!$F$2))</f>
        <v/>
      </c>
      <c r="Q81" s="35" t="str">
        <f aca="false">IF(OR($A81="",$C81="U",$S81&lt;&gt;Calc!$F$2),"",IF(COUNTIFS($E$3:$E81,$E81,$C$3:$C81,"&lt;&gt;U",$S$3:$S81,Calc!$F$2)=1,1,0))</f>
        <v/>
      </c>
      <c r="R81" s="35" t="str">
        <f aca="false">IF($Q81=1,$O81-ROW()/100000,"")</f>
        <v/>
      </c>
      <c r="S81" s="37" t="str">
        <f aca="false">IF($A81="","",INT($A81))</f>
        <v/>
      </c>
      <c r="T81" s="35" t="str">
        <f aca="false">IF($A81="","",IF(COUNTIFS($S$3:$S81,$S81)=1,1,0))</f>
        <v/>
      </c>
      <c r="U81" s="37" t="str">
        <f aca="false">IF($T81=1,$S81,"")</f>
        <v/>
      </c>
    </row>
    <row r="82" customFormat="false" ht="15" hidden="false" customHeight="false" outlineLevel="0" collapsed="false">
      <c r="M82" s="35" t="str">
        <f aca="false">IF($A82="","",HOUR($A82))</f>
        <v/>
      </c>
      <c r="N82" s="36" t="str">
        <f aca="false">IF($A82="","",$I82*$K82)</f>
        <v/>
      </c>
      <c r="O82" s="35" t="str">
        <f aca="false">IF(OR($A82="",$C82="U",$S82&lt;&gt;Calc!$F$2),"",SUMIFS($I$3:$I$3002,$E$3:$E$3002,$E82,$C$3:$C$3002,"&lt;&gt;U",$S$3:$S$3002,Calc!$F$2))</f>
        <v/>
      </c>
      <c r="P82" s="35" t="str">
        <f aca="false">IF(OR($A82="",$C82="U",$S82&lt;&gt;Calc!$F$2),"",SUMIFS($N$3:$N$3002,$E$3:$E$3002,$E82,$C$3:$C$3002,"&lt;&gt;U",$S$3:$S$3002,Calc!$F$2))</f>
        <v/>
      </c>
      <c r="Q82" s="35" t="str">
        <f aca="false">IF(OR($A82="",$C82="U",$S82&lt;&gt;Calc!$F$2),"",IF(COUNTIFS($E$3:$E82,$E82,$C$3:$C82,"&lt;&gt;U",$S$3:$S82,Calc!$F$2)=1,1,0))</f>
        <v/>
      </c>
      <c r="R82" s="35" t="str">
        <f aca="false">IF($Q82=1,$O82-ROW()/100000,"")</f>
        <v/>
      </c>
      <c r="S82" s="37" t="str">
        <f aca="false">IF($A82="","",INT($A82))</f>
        <v/>
      </c>
      <c r="T82" s="35" t="str">
        <f aca="false">IF($A82="","",IF(COUNTIFS($S$3:$S82,$S82)=1,1,0))</f>
        <v/>
      </c>
      <c r="U82" s="37" t="str">
        <f aca="false">IF($T82=1,$S82,"")</f>
        <v/>
      </c>
    </row>
    <row r="83" customFormat="false" ht="15" hidden="false" customHeight="false" outlineLevel="0" collapsed="false">
      <c r="M83" s="35" t="str">
        <f aca="false">IF($A83="","",HOUR($A83))</f>
        <v/>
      </c>
      <c r="N83" s="36" t="str">
        <f aca="false">IF($A83="","",$I83*$K83)</f>
        <v/>
      </c>
      <c r="O83" s="35" t="str">
        <f aca="false">IF(OR($A83="",$C83="U",$S83&lt;&gt;Calc!$F$2),"",SUMIFS($I$3:$I$3002,$E$3:$E$3002,$E83,$C$3:$C$3002,"&lt;&gt;U",$S$3:$S$3002,Calc!$F$2))</f>
        <v/>
      </c>
      <c r="P83" s="35" t="str">
        <f aca="false">IF(OR($A83="",$C83="U",$S83&lt;&gt;Calc!$F$2),"",SUMIFS($N$3:$N$3002,$E$3:$E$3002,$E83,$C$3:$C$3002,"&lt;&gt;U",$S$3:$S$3002,Calc!$F$2))</f>
        <v/>
      </c>
      <c r="Q83" s="35" t="str">
        <f aca="false">IF(OR($A83="",$C83="U",$S83&lt;&gt;Calc!$F$2),"",IF(COUNTIFS($E$3:$E83,$E83,$C$3:$C83,"&lt;&gt;U",$S$3:$S83,Calc!$F$2)=1,1,0))</f>
        <v/>
      </c>
      <c r="R83" s="35" t="str">
        <f aca="false">IF($Q83=1,$O83-ROW()/100000,"")</f>
        <v/>
      </c>
      <c r="S83" s="37" t="str">
        <f aca="false">IF($A83="","",INT($A83))</f>
        <v/>
      </c>
      <c r="T83" s="35" t="str">
        <f aca="false">IF($A83="","",IF(COUNTIFS($S$3:$S83,$S83)=1,1,0))</f>
        <v/>
      </c>
      <c r="U83" s="37" t="str">
        <f aca="false">IF($T83=1,$S83,"")</f>
        <v/>
      </c>
    </row>
    <row r="84" customFormat="false" ht="15" hidden="false" customHeight="false" outlineLevel="0" collapsed="false">
      <c r="M84" s="35" t="str">
        <f aca="false">IF($A84="","",HOUR($A84))</f>
        <v/>
      </c>
      <c r="N84" s="36" t="str">
        <f aca="false">IF($A84="","",$I84*$K84)</f>
        <v/>
      </c>
      <c r="O84" s="35" t="str">
        <f aca="false">IF(OR($A84="",$C84="U",$S84&lt;&gt;Calc!$F$2),"",SUMIFS($I$3:$I$3002,$E$3:$E$3002,$E84,$C$3:$C$3002,"&lt;&gt;U",$S$3:$S$3002,Calc!$F$2))</f>
        <v/>
      </c>
      <c r="P84" s="35" t="str">
        <f aca="false">IF(OR($A84="",$C84="U",$S84&lt;&gt;Calc!$F$2),"",SUMIFS($N$3:$N$3002,$E$3:$E$3002,$E84,$C$3:$C$3002,"&lt;&gt;U",$S$3:$S$3002,Calc!$F$2))</f>
        <v/>
      </c>
      <c r="Q84" s="35" t="str">
        <f aca="false">IF(OR($A84="",$C84="U",$S84&lt;&gt;Calc!$F$2),"",IF(COUNTIFS($E$3:$E84,$E84,$C$3:$C84,"&lt;&gt;U",$S$3:$S84,Calc!$F$2)=1,1,0))</f>
        <v/>
      </c>
      <c r="R84" s="35" t="str">
        <f aca="false">IF($Q84=1,$O84-ROW()/100000,"")</f>
        <v/>
      </c>
      <c r="S84" s="37" t="str">
        <f aca="false">IF($A84="","",INT($A84))</f>
        <v/>
      </c>
      <c r="T84" s="35" t="str">
        <f aca="false">IF($A84="","",IF(COUNTIFS($S$3:$S84,$S84)=1,1,0))</f>
        <v/>
      </c>
      <c r="U84" s="37" t="str">
        <f aca="false">IF($T84=1,$S84,"")</f>
        <v/>
      </c>
    </row>
    <row r="85" customFormat="false" ht="15" hidden="false" customHeight="false" outlineLevel="0" collapsed="false">
      <c r="M85" s="35" t="str">
        <f aca="false">IF($A85="","",HOUR($A85))</f>
        <v/>
      </c>
      <c r="N85" s="36" t="str">
        <f aca="false">IF($A85="","",$I85*$K85)</f>
        <v/>
      </c>
      <c r="O85" s="35" t="str">
        <f aca="false">IF(OR($A85="",$C85="U",$S85&lt;&gt;Calc!$F$2),"",SUMIFS($I$3:$I$3002,$E$3:$E$3002,$E85,$C$3:$C$3002,"&lt;&gt;U",$S$3:$S$3002,Calc!$F$2))</f>
        <v/>
      </c>
      <c r="P85" s="35" t="str">
        <f aca="false">IF(OR($A85="",$C85="U",$S85&lt;&gt;Calc!$F$2),"",SUMIFS($N$3:$N$3002,$E$3:$E$3002,$E85,$C$3:$C$3002,"&lt;&gt;U",$S$3:$S$3002,Calc!$F$2))</f>
        <v/>
      </c>
      <c r="Q85" s="35" t="str">
        <f aca="false">IF(OR($A85="",$C85="U",$S85&lt;&gt;Calc!$F$2),"",IF(COUNTIFS($E$3:$E85,$E85,$C$3:$C85,"&lt;&gt;U",$S$3:$S85,Calc!$F$2)=1,1,0))</f>
        <v/>
      </c>
      <c r="R85" s="35" t="str">
        <f aca="false">IF($Q85=1,$O85-ROW()/100000,"")</f>
        <v/>
      </c>
      <c r="S85" s="37" t="str">
        <f aca="false">IF($A85="","",INT($A85))</f>
        <v/>
      </c>
      <c r="T85" s="35" t="str">
        <f aca="false">IF($A85="","",IF(COUNTIFS($S$3:$S85,$S85)=1,1,0))</f>
        <v/>
      </c>
      <c r="U85" s="37" t="str">
        <f aca="false">IF($T85=1,$S85,"")</f>
        <v/>
      </c>
    </row>
    <row r="86" customFormat="false" ht="15" hidden="false" customHeight="false" outlineLevel="0" collapsed="false">
      <c r="M86" s="35" t="str">
        <f aca="false">IF($A86="","",HOUR($A86))</f>
        <v/>
      </c>
      <c r="N86" s="36" t="str">
        <f aca="false">IF($A86="","",$I86*$K86)</f>
        <v/>
      </c>
      <c r="O86" s="35" t="str">
        <f aca="false">IF(OR($A86="",$C86="U",$S86&lt;&gt;Calc!$F$2),"",SUMIFS($I$3:$I$3002,$E$3:$E$3002,$E86,$C$3:$C$3002,"&lt;&gt;U",$S$3:$S$3002,Calc!$F$2))</f>
        <v/>
      </c>
      <c r="P86" s="35" t="str">
        <f aca="false">IF(OR($A86="",$C86="U",$S86&lt;&gt;Calc!$F$2),"",SUMIFS($N$3:$N$3002,$E$3:$E$3002,$E86,$C$3:$C$3002,"&lt;&gt;U",$S$3:$S$3002,Calc!$F$2))</f>
        <v/>
      </c>
      <c r="Q86" s="35" t="str">
        <f aca="false">IF(OR($A86="",$C86="U",$S86&lt;&gt;Calc!$F$2),"",IF(COUNTIFS($E$3:$E86,$E86,$C$3:$C86,"&lt;&gt;U",$S$3:$S86,Calc!$F$2)=1,1,0))</f>
        <v/>
      </c>
      <c r="R86" s="35" t="str">
        <f aca="false">IF($Q86=1,$O86-ROW()/100000,"")</f>
        <v/>
      </c>
      <c r="S86" s="37" t="str">
        <f aca="false">IF($A86="","",INT($A86))</f>
        <v/>
      </c>
      <c r="T86" s="35" t="str">
        <f aca="false">IF($A86="","",IF(COUNTIFS($S$3:$S86,$S86)=1,1,0))</f>
        <v/>
      </c>
      <c r="U86" s="37" t="str">
        <f aca="false">IF($T86=1,$S86,"")</f>
        <v/>
      </c>
    </row>
    <row r="87" customFormat="false" ht="15" hidden="false" customHeight="false" outlineLevel="0" collapsed="false">
      <c r="M87" s="35" t="str">
        <f aca="false">IF($A87="","",HOUR($A87))</f>
        <v/>
      </c>
      <c r="N87" s="36" t="str">
        <f aca="false">IF($A87="","",$I87*$K87)</f>
        <v/>
      </c>
      <c r="O87" s="35" t="str">
        <f aca="false">IF(OR($A87="",$C87="U",$S87&lt;&gt;Calc!$F$2),"",SUMIFS($I$3:$I$3002,$E$3:$E$3002,$E87,$C$3:$C$3002,"&lt;&gt;U",$S$3:$S$3002,Calc!$F$2))</f>
        <v/>
      </c>
      <c r="P87" s="35" t="str">
        <f aca="false">IF(OR($A87="",$C87="U",$S87&lt;&gt;Calc!$F$2),"",SUMIFS($N$3:$N$3002,$E$3:$E$3002,$E87,$C$3:$C$3002,"&lt;&gt;U",$S$3:$S$3002,Calc!$F$2))</f>
        <v/>
      </c>
      <c r="Q87" s="35" t="str">
        <f aca="false">IF(OR($A87="",$C87="U",$S87&lt;&gt;Calc!$F$2),"",IF(COUNTIFS($E$3:$E87,$E87,$C$3:$C87,"&lt;&gt;U",$S$3:$S87,Calc!$F$2)=1,1,0))</f>
        <v/>
      </c>
      <c r="R87" s="35" t="str">
        <f aca="false">IF($Q87=1,$O87-ROW()/100000,"")</f>
        <v/>
      </c>
      <c r="S87" s="37" t="str">
        <f aca="false">IF($A87="","",INT($A87))</f>
        <v/>
      </c>
      <c r="T87" s="35" t="str">
        <f aca="false">IF($A87="","",IF(COUNTIFS($S$3:$S87,$S87)=1,1,0))</f>
        <v/>
      </c>
      <c r="U87" s="37" t="str">
        <f aca="false">IF($T87=1,$S87,"")</f>
        <v/>
      </c>
    </row>
    <row r="88" customFormat="false" ht="15" hidden="false" customHeight="false" outlineLevel="0" collapsed="false">
      <c r="M88" s="35" t="str">
        <f aca="false">IF($A88="","",HOUR($A88))</f>
        <v/>
      </c>
      <c r="N88" s="36" t="str">
        <f aca="false">IF($A88="","",$I88*$K88)</f>
        <v/>
      </c>
      <c r="O88" s="35" t="str">
        <f aca="false">IF(OR($A88="",$C88="U",$S88&lt;&gt;Calc!$F$2),"",SUMIFS($I$3:$I$3002,$E$3:$E$3002,$E88,$C$3:$C$3002,"&lt;&gt;U",$S$3:$S$3002,Calc!$F$2))</f>
        <v/>
      </c>
      <c r="P88" s="35" t="str">
        <f aca="false">IF(OR($A88="",$C88="U",$S88&lt;&gt;Calc!$F$2),"",SUMIFS($N$3:$N$3002,$E$3:$E$3002,$E88,$C$3:$C$3002,"&lt;&gt;U",$S$3:$S$3002,Calc!$F$2))</f>
        <v/>
      </c>
      <c r="Q88" s="35" t="str">
        <f aca="false">IF(OR($A88="",$C88="U",$S88&lt;&gt;Calc!$F$2),"",IF(COUNTIFS($E$3:$E88,$E88,$C$3:$C88,"&lt;&gt;U",$S$3:$S88,Calc!$F$2)=1,1,0))</f>
        <v/>
      </c>
      <c r="R88" s="35" t="str">
        <f aca="false">IF($Q88=1,$O88-ROW()/100000,"")</f>
        <v/>
      </c>
      <c r="S88" s="37" t="str">
        <f aca="false">IF($A88="","",INT($A88))</f>
        <v/>
      </c>
      <c r="T88" s="35" t="str">
        <f aca="false">IF($A88="","",IF(COUNTIFS($S$3:$S88,$S88)=1,1,0))</f>
        <v/>
      </c>
      <c r="U88" s="37" t="str">
        <f aca="false">IF($T88=1,$S88,"")</f>
        <v/>
      </c>
    </row>
    <row r="89" customFormat="false" ht="15" hidden="false" customHeight="false" outlineLevel="0" collapsed="false">
      <c r="M89" s="35" t="str">
        <f aca="false">IF($A89="","",HOUR($A89))</f>
        <v/>
      </c>
      <c r="N89" s="36" t="str">
        <f aca="false">IF($A89="","",$I89*$K89)</f>
        <v/>
      </c>
      <c r="O89" s="35" t="str">
        <f aca="false">IF(OR($A89="",$C89="U",$S89&lt;&gt;Calc!$F$2),"",SUMIFS($I$3:$I$3002,$E$3:$E$3002,$E89,$C$3:$C$3002,"&lt;&gt;U",$S$3:$S$3002,Calc!$F$2))</f>
        <v/>
      </c>
      <c r="P89" s="35" t="str">
        <f aca="false">IF(OR($A89="",$C89="U",$S89&lt;&gt;Calc!$F$2),"",SUMIFS($N$3:$N$3002,$E$3:$E$3002,$E89,$C$3:$C$3002,"&lt;&gt;U",$S$3:$S$3002,Calc!$F$2))</f>
        <v/>
      </c>
      <c r="Q89" s="35" t="str">
        <f aca="false">IF(OR($A89="",$C89="U",$S89&lt;&gt;Calc!$F$2),"",IF(COUNTIFS($E$3:$E89,$E89,$C$3:$C89,"&lt;&gt;U",$S$3:$S89,Calc!$F$2)=1,1,0))</f>
        <v/>
      </c>
      <c r="R89" s="35" t="str">
        <f aca="false">IF($Q89=1,$O89-ROW()/100000,"")</f>
        <v/>
      </c>
      <c r="S89" s="37" t="str">
        <f aca="false">IF($A89="","",INT($A89))</f>
        <v/>
      </c>
      <c r="T89" s="35" t="str">
        <f aca="false">IF($A89="","",IF(COUNTIFS($S$3:$S89,$S89)=1,1,0))</f>
        <v/>
      </c>
      <c r="U89" s="37" t="str">
        <f aca="false">IF($T89=1,$S89,"")</f>
        <v/>
      </c>
    </row>
    <row r="90" customFormat="false" ht="15" hidden="false" customHeight="false" outlineLevel="0" collapsed="false">
      <c r="M90" s="35" t="str">
        <f aca="false">IF($A90="","",HOUR($A90))</f>
        <v/>
      </c>
      <c r="N90" s="36" t="str">
        <f aca="false">IF($A90="","",$I90*$K90)</f>
        <v/>
      </c>
      <c r="O90" s="35" t="str">
        <f aca="false">IF(OR($A90="",$C90="U",$S90&lt;&gt;Calc!$F$2),"",SUMIFS($I$3:$I$3002,$E$3:$E$3002,$E90,$C$3:$C$3002,"&lt;&gt;U",$S$3:$S$3002,Calc!$F$2))</f>
        <v/>
      </c>
      <c r="P90" s="35" t="str">
        <f aca="false">IF(OR($A90="",$C90="U",$S90&lt;&gt;Calc!$F$2),"",SUMIFS($N$3:$N$3002,$E$3:$E$3002,$E90,$C$3:$C$3002,"&lt;&gt;U",$S$3:$S$3002,Calc!$F$2))</f>
        <v/>
      </c>
      <c r="Q90" s="35" t="str">
        <f aca="false">IF(OR($A90="",$C90="U",$S90&lt;&gt;Calc!$F$2),"",IF(COUNTIFS($E$3:$E90,$E90,$C$3:$C90,"&lt;&gt;U",$S$3:$S90,Calc!$F$2)=1,1,0))</f>
        <v/>
      </c>
      <c r="R90" s="35" t="str">
        <f aca="false">IF($Q90=1,$O90-ROW()/100000,"")</f>
        <v/>
      </c>
      <c r="S90" s="37" t="str">
        <f aca="false">IF($A90="","",INT($A90))</f>
        <v/>
      </c>
      <c r="T90" s="35" t="str">
        <f aca="false">IF($A90="","",IF(COUNTIFS($S$3:$S90,$S90)=1,1,0))</f>
        <v/>
      </c>
      <c r="U90" s="37" t="str">
        <f aca="false">IF($T90=1,$S90,"")</f>
        <v/>
      </c>
    </row>
    <row r="91" customFormat="false" ht="15" hidden="false" customHeight="false" outlineLevel="0" collapsed="false">
      <c r="M91" s="35" t="str">
        <f aca="false">IF($A91="","",HOUR($A91))</f>
        <v/>
      </c>
      <c r="N91" s="36" t="str">
        <f aca="false">IF($A91="","",$I91*$K91)</f>
        <v/>
      </c>
      <c r="O91" s="35" t="str">
        <f aca="false">IF(OR($A91="",$C91="U",$S91&lt;&gt;Calc!$F$2),"",SUMIFS($I$3:$I$3002,$E$3:$E$3002,$E91,$C$3:$C$3002,"&lt;&gt;U",$S$3:$S$3002,Calc!$F$2))</f>
        <v/>
      </c>
      <c r="P91" s="35" t="str">
        <f aca="false">IF(OR($A91="",$C91="U",$S91&lt;&gt;Calc!$F$2),"",SUMIFS($N$3:$N$3002,$E$3:$E$3002,$E91,$C$3:$C$3002,"&lt;&gt;U",$S$3:$S$3002,Calc!$F$2))</f>
        <v/>
      </c>
      <c r="Q91" s="35" t="str">
        <f aca="false">IF(OR($A91="",$C91="U",$S91&lt;&gt;Calc!$F$2),"",IF(COUNTIFS($E$3:$E91,$E91,$C$3:$C91,"&lt;&gt;U",$S$3:$S91,Calc!$F$2)=1,1,0))</f>
        <v/>
      </c>
      <c r="R91" s="35" t="str">
        <f aca="false">IF($Q91=1,$O91-ROW()/100000,"")</f>
        <v/>
      </c>
      <c r="S91" s="37" t="str">
        <f aca="false">IF($A91="","",INT($A91))</f>
        <v/>
      </c>
      <c r="T91" s="35" t="str">
        <f aca="false">IF($A91="","",IF(COUNTIFS($S$3:$S91,$S91)=1,1,0))</f>
        <v/>
      </c>
      <c r="U91" s="37" t="str">
        <f aca="false">IF($T91=1,$S91,"")</f>
        <v/>
      </c>
    </row>
    <row r="92" customFormat="false" ht="15" hidden="false" customHeight="false" outlineLevel="0" collapsed="false">
      <c r="M92" s="35" t="str">
        <f aca="false">IF($A92="","",HOUR($A92))</f>
        <v/>
      </c>
      <c r="N92" s="36" t="str">
        <f aca="false">IF($A92="","",$I92*$K92)</f>
        <v/>
      </c>
      <c r="O92" s="35" t="str">
        <f aca="false">IF(OR($A92="",$C92="U",$S92&lt;&gt;Calc!$F$2),"",SUMIFS($I$3:$I$3002,$E$3:$E$3002,$E92,$C$3:$C$3002,"&lt;&gt;U",$S$3:$S$3002,Calc!$F$2))</f>
        <v/>
      </c>
      <c r="P92" s="35" t="str">
        <f aca="false">IF(OR($A92="",$C92="U",$S92&lt;&gt;Calc!$F$2),"",SUMIFS($N$3:$N$3002,$E$3:$E$3002,$E92,$C$3:$C$3002,"&lt;&gt;U",$S$3:$S$3002,Calc!$F$2))</f>
        <v/>
      </c>
      <c r="Q92" s="35" t="str">
        <f aca="false">IF(OR($A92="",$C92="U",$S92&lt;&gt;Calc!$F$2),"",IF(COUNTIFS($E$3:$E92,$E92,$C$3:$C92,"&lt;&gt;U",$S$3:$S92,Calc!$F$2)=1,1,0))</f>
        <v/>
      </c>
      <c r="R92" s="35" t="str">
        <f aca="false">IF($Q92=1,$O92-ROW()/100000,"")</f>
        <v/>
      </c>
      <c r="S92" s="37" t="str">
        <f aca="false">IF($A92="","",INT($A92))</f>
        <v/>
      </c>
      <c r="T92" s="35" t="str">
        <f aca="false">IF($A92="","",IF(COUNTIFS($S$3:$S92,$S92)=1,1,0))</f>
        <v/>
      </c>
      <c r="U92" s="37" t="str">
        <f aca="false">IF($T92=1,$S92,"")</f>
        <v/>
      </c>
    </row>
    <row r="93" customFormat="false" ht="15" hidden="false" customHeight="false" outlineLevel="0" collapsed="false">
      <c r="M93" s="35" t="str">
        <f aca="false">IF($A93="","",HOUR($A93))</f>
        <v/>
      </c>
      <c r="N93" s="36" t="str">
        <f aca="false">IF($A93="","",$I93*$K93)</f>
        <v/>
      </c>
      <c r="O93" s="35" t="str">
        <f aca="false">IF(OR($A93="",$C93="U",$S93&lt;&gt;Calc!$F$2),"",SUMIFS($I$3:$I$3002,$E$3:$E$3002,$E93,$C$3:$C$3002,"&lt;&gt;U",$S$3:$S$3002,Calc!$F$2))</f>
        <v/>
      </c>
      <c r="P93" s="35" t="str">
        <f aca="false">IF(OR($A93="",$C93="U",$S93&lt;&gt;Calc!$F$2),"",SUMIFS($N$3:$N$3002,$E$3:$E$3002,$E93,$C$3:$C$3002,"&lt;&gt;U",$S$3:$S$3002,Calc!$F$2))</f>
        <v/>
      </c>
      <c r="Q93" s="35" t="str">
        <f aca="false">IF(OR($A93="",$C93="U",$S93&lt;&gt;Calc!$F$2),"",IF(COUNTIFS($E$3:$E93,$E93,$C$3:$C93,"&lt;&gt;U",$S$3:$S93,Calc!$F$2)=1,1,0))</f>
        <v/>
      </c>
      <c r="R93" s="35" t="str">
        <f aca="false">IF($Q93=1,$O93-ROW()/100000,"")</f>
        <v/>
      </c>
      <c r="S93" s="37" t="str">
        <f aca="false">IF($A93="","",INT($A93))</f>
        <v/>
      </c>
      <c r="T93" s="35" t="str">
        <f aca="false">IF($A93="","",IF(COUNTIFS($S$3:$S93,$S93)=1,1,0))</f>
        <v/>
      </c>
      <c r="U93" s="37" t="str">
        <f aca="false">IF($T93=1,$S93,"")</f>
        <v/>
      </c>
    </row>
    <row r="94" customFormat="false" ht="15" hidden="false" customHeight="false" outlineLevel="0" collapsed="false">
      <c r="M94" s="35" t="str">
        <f aca="false">IF($A94="","",HOUR($A94))</f>
        <v/>
      </c>
      <c r="N94" s="36" t="str">
        <f aca="false">IF($A94="","",$I94*$K94)</f>
        <v/>
      </c>
      <c r="O94" s="35" t="str">
        <f aca="false">IF(OR($A94="",$C94="U",$S94&lt;&gt;Calc!$F$2),"",SUMIFS($I$3:$I$3002,$E$3:$E$3002,$E94,$C$3:$C$3002,"&lt;&gt;U",$S$3:$S$3002,Calc!$F$2))</f>
        <v/>
      </c>
      <c r="P94" s="35" t="str">
        <f aca="false">IF(OR($A94="",$C94="U",$S94&lt;&gt;Calc!$F$2),"",SUMIFS($N$3:$N$3002,$E$3:$E$3002,$E94,$C$3:$C$3002,"&lt;&gt;U",$S$3:$S$3002,Calc!$F$2))</f>
        <v/>
      </c>
      <c r="Q94" s="35" t="str">
        <f aca="false">IF(OR($A94="",$C94="U",$S94&lt;&gt;Calc!$F$2),"",IF(COUNTIFS($E$3:$E94,$E94,$C$3:$C94,"&lt;&gt;U",$S$3:$S94,Calc!$F$2)=1,1,0))</f>
        <v/>
      </c>
      <c r="R94" s="35" t="str">
        <f aca="false">IF($Q94=1,$O94-ROW()/100000,"")</f>
        <v/>
      </c>
      <c r="S94" s="37" t="str">
        <f aca="false">IF($A94="","",INT($A94))</f>
        <v/>
      </c>
      <c r="T94" s="35" t="str">
        <f aca="false">IF($A94="","",IF(COUNTIFS($S$3:$S94,$S94)=1,1,0))</f>
        <v/>
      </c>
      <c r="U94" s="37" t="str">
        <f aca="false">IF($T94=1,$S94,"")</f>
        <v/>
      </c>
    </row>
    <row r="95" customFormat="false" ht="15" hidden="false" customHeight="false" outlineLevel="0" collapsed="false">
      <c r="M95" s="35" t="str">
        <f aca="false">IF($A95="","",HOUR($A95))</f>
        <v/>
      </c>
      <c r="N95" s="36" t="str">
        <f aca="false">IF($A95="","",$I95*$K95)</f>
        <v/>
      </c>
      <c r="O95" s="35" t="str">
        <f aca="false">IF(OR($A95="",$C95="U",$S95&lt;&gt;Calc!$F$2),"",SUMIFS($I$3:$I$3002,$E$3:$E$3002,$E95,$C$3:$C$3002,"&lt;&gt;U",$S$3:$S$3002,Calc!$F$2))</f>
        <v/>
      </c>
      <c r="P95" s="35" t="str">
        <f aca="false">IF(OR($A95="",$C95="U",$S95&lt;&gt;Calc!$F$2),"",SUMIFS($N$3:$N$3002,$E$3:$E$3002,$E95,$C$3:$C$3002,"&lt;&gt;U",$S$3:$S$3002,Calc!$F$2))</f>
        <v/>
      </c>
      <c r="Q95" s="35" t="str">
        <f aca="false">IF(OR($A95="",$C95="U",$S95&lt;&gt;Calc!$F$2),"",IF(COUNTIFS($E$3:$E95,$E95,$C$3:$C95,"&lt;&gt;U",$S$3:$S95,Calc!$F$2)=1,1,0))</f>
        <v/>
      </c>
      <c r="R95" s="35" t="str">
        <f aca="false">IF($Q95=1,$O95-ROW()/100000,"")</f>
        <v/>
      </c>
      <c r="S95" s="37" t="str">
        <f aca="false">IF($A95="","",INT($A95))</f>
        <v/>
      </c>
      <c r="T95" s="35" t="str">
        <f aca="false">IF($A95="","",IF(COUNTIFS($S$3:$S95,$S95)=1,1,0))</f>
        <v/>
      </c>
      <c r="U95" s="37" t="str">
        <f aca="false">IF($T95=1,$S95,"")</f>
        <v/>
      </c>
    </row>
    <row r="96" customFormat="false" ht="15" hidden="false" customHeight="false" outlineLevel="0" collapsed="false">
      <c r="M96" s="35" t="str">
        <f aca="false">IF($A96="","",HOUR($A96))</f>
        <v/>
      </c>
      <c r="N96" s="36" t="str">
        <f aca="false">IF($A96="","",$I96*$K96)</f>
        <v/>
      </c>
      <c r="O96" s="35" t="str">
        <f aca="false">IF(OR($A96="",$C96="U",$S96&lt;&gt;Calc!$F$2),"",SUMIFS($I$3:$I$3002,$E$3:$E$3002,$E96,$C$3:$C$3002,"&lt;&gt;U",$S$3:$S$3002,Calc!$F$2))</f>
        <v/>
      </c>
      <c r="P96" s="35" t="str">
        <f aca="false">IF(OR($A96="",$C96="U",$S96&lt;&gt;Calc!$F$2),"",SUMIFS($N$3:$N$3002,$E$3:$E$3002,$E96,$C$3:$C$3002,"&lt;&gt;U",$S$3:$S$3002,Calc!$F$2))</f>
        <v/>
      </c>
      <c r="Q96" s="35" t="str">
        <f aca="false">IF(OR($A96="",$C96="U",$S96&lt;&gt;Calc!$F$2),"",IF(COUNTIFS($E$3:$E96,$E96,$C$3:$C96,"&lt;&gt;U",$S$3:$S96,Calc!$F$2)=1,1,0))</f>
        <v/>
      </c>
      <c r="R96" s="35" t="str">
        <f aca="false">IF($Q96=1,$O96-ROW()/100000,"")</f>
        <v/>
      </c>
      <c r="S96" s="37" t="str">
        <f aca="false">IF($A96="","",INT($A96))</f>
        <v/>
      </c>
      <c r="T96" s="35" t="str">
        <f aca="false">IF($A96="","",IF(COUNTIFS($S$3:$S96,$S96)=1,1,0))</f>
        <v/>
      </c>
      <c r="U96" s="37" t="str">
        <f aca="false">IF($T96=1,$S96,"")</f>
        <v/>
      </c>
    </row>
    <row r="97" customFormat="false" ht="15" hidden="false" customHeight="false" outlineLevel="0" collapsed="false">
      <c r="M97" s="35" t="str">
        <f aca="false">IF($A97="","",HOUR($A97))</f>
        <v/>
      </c>
      <c r="N97" s="36" t="str">
        <f aca="false">IF($A97="","",$I97*$K97)</f>
        <v/>
      </c>
      <c r="O97" s="35" t="str">
        <f aca="false">IF(OR($A97="",$C97="U",$S97&lt;&gt;Calc!$F$2),"",SUMIFS($I$3:$I$3002,$E$3:$E$3002,$E97,$C$3:$C$3002,"&lt;&gt;U",$S$3:$S$3002,Calc!$F$2))</f>
        <v/>
      </c>
      <c r="P97" s="35" t="str">
        <f aca="false">IF(OR($A97="",$C97="U",$S97&lt;&gt;Calc!$F$2),"",SUMIFS($N$3:$N$3002,$E$3:$E$3002,$E97,$C$3:$C$3002,"&lt;&gt;U",$S$3:$S$3002,Calc!$F$2))</f>
        <v/>
      </c>
      <c r="Q97" s="35" t="str">
        <f aca="false">IF(OR($A97="",$C97="U",$S97&lt;&gt;Calc!$F$2),"",IF(COUNTIFS($E$3:$E97,$E97,$C$3:$C97,"&lt;&gt;U",$S$3:$S97,Calc!$F$2)=1,1,0))</f>
        <v/>
      </c>
      <c r="R97" s="35" t="str">
        <f aca="false">IF($Q97=1,$O97-ROW()/100000,"")</f>
        <v/>
      </c>
      <c r="S97" s="37" t="str">
        <f aca="false">IF($A97="","",INT($A97))</f>
        <v/>
      </c>
      <c r="T97" s="35" t="str">
        <f aca="false">IF($A97="","",IF(COUNTIFS($S$3:$S97,$S97)=1,1,0))</f>
        <v/>
      </c>
      <c r="U97" s="37" t="str">
        <f aca="false">IF($T97=1,$S97,"")</f>
        <v/>
      </c>
    </row>
    <row r="98" customFormat="false" ht="15" hidden="false" customHeight="false" outlineLevel="0" collapsed="false">
      <c r="M98" s="35" t="str">
        <f aca="false">IF($A98="","",HOUR($A98))</f>
        <v/>
      </c>
      <c r="N98" s="36" t="str">
        <f aca="false">IF($A98="","",$I98*$K98)</f>
        <v/>
      </c>
      <c r="O98" s="35" t="str">
        <f aca="false">IF(OR($A98="",$C98="U",$S98&lt;&gt;Calc!$F$2),"",SUMIFS($I$3:$I$3002,$E$3:$E$3002,$E98,$C$3:$C$3002,"&lt;&gt;U",$S$3:$S$3002,Calc!$F$2))</f>
        <v/>
      </c>
      <c r="P98" s="35" t="str">
        <f aca="false">IF(OR($A98="",$C98="U",$S98&lt;&gt;Calc!$F$2),"",SUMIFS($N$3:$N$3002,$E$3:$E$3002,$E98,$C$3:$C$3002,"&lt;&gt;U",$S$3:$S$3002,Calc!$F$2))</f>
        <v/>
      </c>
      <c r="Q98" s="35" t="str">
        <f aca="false">IF(OR($A98="",$C98="U",$S98&lt;&gt;Calc!$F$2),"",IF(COUNTIFS($E$3:$E98,$E98,$C$3:$C98,"&lt;&gt;U",$S$3:$S98,Calc!$F$2)=1,1,0))</f>
        <v/>
      </c>
      <c r="R98" s="35" t="str">
        <f aca="false">IF($Q98=1,$O98-ROW()/100000,"")</f>
        <v/>
      </c>
      <c r="S98" s="37" t="str">
        <f aca="false">IF($A98="","",INT($A98))</f>
        <v/>
      </c>
      <c r="T98" s="35" t="str">
        <f aca="false">IF($A98="","",IF(COUNTIFS($S$3:$S98,$S98)=1,1,0))</f>
        <v/>
      </c>
      <c r="U98" s="37" t="str">
        <f aca="false">IF($T98=1,$S98,"")</f>
        <v/>
      </c>
    </row>
    <row r="99" customFormat="false" ht="15" hidden="false" customHeight="false" outlineLevel="0" collapsed="false">
      <c r="M99" s="35" t="str">
        <f aca="false">IF($A99="","",HOUR($A99))</f>
        <v/>
      </c>
      <c r="N99" s="36" t="str">
        <f aca="false">IF($A99="","",$I99*$K99)</f>
        <v/>
      </c>
      <c r="O99" s="35" t="str">
        <f aca="false">IF(OR($A99="",$C99="U",$S99&lt;&gt;Calc!$F$2),"",SUMIFS($I$3:$I$3002,$E$3:$E$3002,$E99,$C$3:$C$3002,"&lt;&gt;U",$S$3:$S$3002,Calc!$F$2))</f>
        <v/>
      </c>
      <c r="P99" s="35" t="str">
        <f aca="false">IF(OR($A99="",$C99="U",$S99&lt;&gt;Calc!$F$2),"",SUMIFS($N$3:$N$3002,$E$3:$E$3002,$E99,$C$3:$C$3002,"&lt;&gt;U",$S$3:$S$3002,Calc!$F$2))</f>
        <v/>
      </c>
      <c r="Q99" s="35" t="str">
        <f aca="false">IF(OR($A99="",$C99="U",$S99&lt;&gt;Calc!$F$2),"",IF(COUNTIFS($E$3:$E99,$E99,$C$3:$C99,"&lt;&gt;U",$S$3:$S99,Calc!$F$2)=1,1,0))</f>
        <v/>
      </c>
      <c r="R99" s="35" t="str">
        <f aca="false">IF($Q99=1,$O99-ROW()/100000,"")</f>
        <v/>
      </c>
      <c r="S99" s="37" t="str">
        <f aca="false">IF($A99="","",INT($A99))</f>
        <v/>
      </c>
      <c r="T99" s="35" t="str">
        <f aca="false">IF($A99="","",IF(COUNTIFS($S$3:$S99,$S99)=1,1,0))</f>
        <v/>
      </c>
      <c r="U99" s="37" t="str">
        <f aca="false">IF($T99=1,$S99,"")</f>
        <v/>
      </c>
    </row>
    <row r="100" customFormat="false" ht="15" hidden="false" customHeight="false" outlineLevel="0" collapsed="false">
      <c r="M100" s="35" t="str">
        <f aca="false">IF($A100="","",HOUR($A100))</f>
        <v/>
      </c>
      <c r="N100" s="36" t="str">
        <f aca="false">IF($A100="","",$I100*$K100)</f>
        <v/>
      </c>
      <c r="O100" s="35" t="str">
        <f aca="false">IF(OR($A100="",$C100="U",$S100&lt;&gt;Calc!$F$2),"",SUMIFS($I$3:$I$3002,$E$3:$E$3002,$E100,$C$3:$C$3002,"&lt;&gt;U",$S$3:$S$3002,Calc!$F$2))</f>
        <v/>
      </c>
      <c r="P100" s="35" t="str">
        <f aca="false">IF(OR($A100="",$C100="U",$S100&lt;&gt;Calc!$F$2),"",SUMIFS($N$3:$N$3002,$E$3:$E$3002,$E100,$C$3:$C$3002,"&lt;&gt;U",$S$3:$S$3002,Calc!$F$2))</f>
        <v/>
      </c>
      <c r="Q100" s="35" t="str">
        <f aca="false">IF(OR($A100="",$C100="U",$S100&lt;&gt;Calc!$F$2),"",IF(COUNTIFS($E$3:$E100,$E100,$C$3:$C100,"&lt;&gt;U",$S$3:$S100,Calc!$F$2)=1,1,0))</f>
        <v/>
      </c>
      <c r="R100" s="35" t="str">
        <f aca="false">IF($Q100=1,$O100-ROW()/100000,"")</f>
        <v/>
      </c>
      <c r="S100" s="37" t="str">
        <f aca="false">IF($A100="","",INT($A100))</f>
        <v/>
      </c>
      <c r="T100" s="35" t="str">
        <f aca="false">IF($A100="","",IF(COUNTIFS($S$3:$S100,$S100)=1,1,0))</f>
        <v/>
      </c>
      <c r="U100" s="37" t="str">
        <f aca="false">IF($T100=1,$S100,"")</f>
        <v/>
      </c>
    </row>
    <row r="101" customFormat="false" ht="15" hidden="false" customHeight="false" outlineLevel="0" collapsed="false">
      <c r="M101" s="35" t="str">
        <f aca="false">IF($A101="","",HOUR($A101))</f>
        <v/>
      </c>
      <c r="N101" s="36" t="str">
        <f aca="false">IF($A101="","",$I101*$K101)</f>
        <v/>
      </c>
      <c r="O101" s="35" t="str">
        <f aca="false">IF(OR($A101="",$C101="U",$S101&lt;&gt;Calc!$F$2),"",SUMIFS($I$3:$I$3002,$E$3:$E$3002,$E101,$C$3:$C$3002,"&lt;&gt;U",$S$3:$S$3002,Calc!$F$2))</f>
        <v/>
      </c>
      <c r="P101" s="35" t="str">
        <f aca="false">IF(OR($A101="",$C101="U",$S101&lt;&gt;Calc!$F$2),"",SUMIFS($N$3:$N$3002,$E$3:$E$3002,$E101,$C$3:$C$3002,"&lt;&gt;U",$S$3:$S$3002,Calc!$F$2))</f>
        <v/>
      </c>
      <c r="Q101" s="35" t="str">
        <f aca="false">IF(OR($A101="",$C101="U",$S101&lt;&gt;Calc!$F$2),"",IF(COUNTIFS($E$3:$E101,$E101,$C$3:$C101,"&lt;&gt;U",$S$3:$S101,Calc!$F$2)=1,1,0))</f>
        <v/>
      </c>
      <c r="R101" s="35" t="str">
        <f aca="false">IF($Q101=1,$O101-ROW()/100000,"")</f>
        <v/>
      </c>
      <c r="S101" s="37" t="str">
        <f aca="false">IF($A101="","",INT($A101))</f>
        <v/>
      </c>
      <c r="T101" s="35" t="str">
        <f aca="false">IF($A101="","",IF(COUNTIFS($S$3:$S101,$S101)=1,1,0))</f>
        <v/>
      </c>
      <c r="U101" s="37" t="str">
        <f aca="false">IF($T101=1,$S101,"")</f>
        <v/>
      </c>
    </row>
    <row r="102" customFormat="false" ht="15" hidden="false" customHeight="false" outlineLevel="0" collapsed="false">
      <c r="M102" s="35" t="str">
        <f aca="false">IF($A102="","",HOUR($A102))</f>
        <v/>
      </c>
      <c r="N102" s="36" t="str">
        <f aca="false">IF($A102="","",$I102*$K102)</f>
        <v/>
      </c>
      <c r="O102" s="35" t="str">
        <f aca="false">IF(OR($A102="",$C102="U",$S102&lt;&gt;Calc!$F$2),"",SUMIFS($I$3:$I$3002,$E$3:$E$3002,$E102,$C$3:$C$3002,"&lt;&gt;U",$S$3:$S$3002,Calc!$F$2))</f>
        <v/>
      </c>
      <c r="P102" s="35" t="str">
        <f aca="false">IF(OR($A102="",$C102="U",$S102&lt;&gt;Calc!$F$2),"",SUMIFS($N$3:$N$3002,$E$3:$E$3002,$E102,$C$3:$C$3002,"&lt;&gt;U",$S$3:$S$3002,Calc!$F$2))</f>
        <v/>
      </c>
      <c r="Q102" s="35" t="str">
        <f aca="false">IF(OR($A102="",$C102="U",$S102&lt;&gt;Calc!$F$2),"",IF(COUNTIFS($E$3:$E102,$E102,$C$3:$C102,"&lt;&gt;U",$S$3:$S102,Calc!$F$2)=1,1,0))</f>
        <v/>
      </c>
      <c r="R102" s="35" t="str">
        <f aca="false">IF($Q102=1,$O102-ROW()/100000,"")</f>
        <v/>
      </c>
      <c r="S102" s="37" t="str">
        <f aca="false">IF($A102="","",INT($A102))</f>
        <v/>
      </c>
      <c r="T102" s="35" t="str">
        <f aca="false">IF($A102="","",IF(COUNTIFS($S$3:$S102,$S102)=1,1,0))</f>
        <v/>
      </c>
      <c r="U102" s="37" t="str">
        <f aca="false">IF($T102=1,$S102,"")</f>
        <v/>
      </c>
    </row>
    <row r="103" customFormat="false" ht="15" hidden="false" customHeight="false" outlineLevel="0" collapsed="false">
      <c r="M103" s="35" t="str">
        <f aca="false">IF($A103="","",HOUR($A103))</f>
        <v/>
      </c>
      <c r="N103" s="36" t="str">
        <f aca="false">IF($A103="","",$I103*$K103)</f>
        <v/>
      </c>
      <c r="O103" s="35" t="str">
        <f aca="false">IF(OR($A103="",$C103="U",$S103&lt;&gt;Calc!$F$2),"",SUMIFS($I$3:$I$3002,$E$3:$E$3002,$E103,$C$3:$C$3002,"&lt;&gt;U",$S$3:$S$3002,Calc!$F$2))</f>
        <v/>
      </c>
      <c r="P103" s="35" t="str">
        <f aca="false">IF(OR($A103="",$C103="U",$S103&lt;&gt;Calc!$F$2),"",SUMIFS($N$3:$N$3002,$E$3:$E$3002,$E103,$C$3:$C$3002,"&lt;&gt;U",$S$3:$S$3002,Calc!$F$2))</f>
        <v/>
      </c>
      <c r="Q103" s="35" t="str">
        <f aca="false">IF(OR($A103="",$C103="U",$S103&lt;&gt;Calc!$F$2),"",IF(COUNTIFS($E$3:$E103,$E103,$C$3:$C103,"&lt;&gt;U",$S$3:$S103,Calc!$F$2)=1,1,0))</f>
        <v/>
      </c>
      <c r="R103" s="35" t="str">
        <f aca="false">IF($Q103=1,$O103-ROW()/100000,"")</f>
        <v/>
      </c>
      <c r="S103" s="37" t="str">
        <f aca="false">IF($A103="","",INT($A103))</f>
        <v/>
      </c>
      <c r="T103" s="35" t="str">
        <f aca="false">IF($A103="","",IF(COUNTIFS($S$3:$S103,$S103)=1,1,0))</f>
        <v/>
      </c>
      <c r="U103" s="37" t="str">
        <f aca="false">IF($T103=1,$S103,"")</f>
        <v/>
      </c>
    </row>
    <row r="104" customFormat="false" ht="15" hidden="false" customHeight="false" outlineLevel="0" collapsed="false">
      <c r="M104" s="35" t="str">
        <f aca="false">IF($A104="","",HOUR($A104))</f>
        <v/>
      </c>
      <c r="N104" s="36" t="str">
        <f aca="false">IF($A104="","",$I104*$K104)</f>
        <v/>
      </c>
      <c r="O104" s="35" t="str">
        <f aca="false">IF(OR($A104="",$C104="U",$S104&lt;&gt;Calc!$F$2),"",SUMIFS($I$3:$I$3002,$E$3:$E$3002,$E104,$C$3:$C$3002,"&lt;&gt;U",$S$3:$S$3002,Calc!$F$2))</f>
        <v/>
      </c>
      <c r="P104" s="35" t="str">
        <f aca="false">IF(OR($A104="",$C104="U",$S104&lt;&gt;Calc!$F$2),"",SUMIFS($N$3:$N$3002,$E$3:$E$3002,$E104,$C$3:$C$3002,"&lt;&gt;U",$S$3:$S$3002,Calc!$F$2))</f>
        <v/>
      </c>
      <c r="Q104" s="35" t="str">
        <f aca="false">IF(OR($A104="",$C104="U",$S104&lt;&gt;Calc!$F$2),"",IF(COUNTIFS($E$3:$E104,$E104,$C$3:$C104,"&lt;&gt;U",$S$3:$S104,Calc!$F$2)=1,1,0))</f>
        <v/>
      </c>
      <c r="R104" s="35" t="str">
        <f aca="false">IF($Q104=1,$O104-ROW()/100000,"")</f>
        <v/>
      </c>
      <c r="S104" s="37" t="str">
        <f aca="false">IF($A104="","",INT($A104))</f>
        <v/>
      </c>
      <c r="T104" s="35" t="str">
        <f aca="false">IF($A104="","",IF(COUNTIFS($S$3:$S104,$S104)=1,1,0))</f>
        <v/>
      </c>
      <c r="U104" s="37" t="str">
        <f aca="false">IF($T104=1,$S104,"")</f>
        <v/>
      </c>
    </row>
    <row r="105" customFormat="false" ht="15" hidden="false" customHeight="false" outlineLevel="0" collapsed="false">
      <c r="M105" s="35" t="str">
        <f aca="false">IF($A105="","",HOUR($A105))</f>
        <v/>
      </c>
      <c r="N105" s="36" t="str">
        <f aca="false">IF($A105="","",$I105*$K105)</f>
        <v/>
      </c>
      <c r="O105" s="35" t="str">
        <f aca="false">IF(OR($A105="",$C105="U",$S105&lt;&gt;Calc!$F$2),"",SUMIFS($I$3:$I$3002,$E$3:$E$3002,$E105,$C$3:$C$3002,"&lt;&gt;U",$S$3:$S$3002,Calc!$F$2))</f>
        <v/>
      </c>
      <c r="P105" s="35" t="str">
        <f aca="false">IF(OR($A105="",$C105="U",$S105&lt;&gt;Calc!$F$2),"",SUMIFS($N$3:$N$3002,$E$3:$E$3002,$E105,$C$3:$C$3002,"&lt;&gt;U",$S$3:$S$3002,Calc!$F$2))</f>
        <v/>
      </c>
      <c r="Q105" s="35" t="str">
        <f aca="false">IF(OR($A105="",$C105="U",$S105&lt;&gt;Calc!$F$2),"",IF(COUNTIFS($E$3:$E105,$E105,$C$3:$C105,"&lt;&gt;U",$S$3:$S105,Calc!$F$2)=1,1,0))</f>
        <v/>
      </c>
      <c r="R105" s="35" t="str">
        <f aca="false">IF($Q105=1,$O105-ROW()/100000,"")</f>
        <v/>
      </c>
      <c r="S105" s="37" t="str">
        <f aca="false">IF($A105="","",INT($A105))</f>
        <v/>
      </c>
      <c r="T105" s="35" t="str">
        <f aca="false">IF($A105="","",IF(COUNTIFS($S$3:$S105,$S105)=1,1,0))</f>
        <v/>
      </c>
      <c r="U105" s="37" t="str">
        <f aca="false">IF($T105=1,$S105,"")</f>
        <v/>
      </c>
    </row>
    <row r="106" customFormat="false" ht="15" hidden="false" customHeight="false" outlineLevel="0" collapsed="false">
      <c r="M106" s="35" t="str">
        <f aca="false">IF($A106="","",HOUR($A106))</f>
        <v/>
      </c>
      <c r="N106" s="36" t="str">
        <f aca="false">IF($A106="","",$I106*$K106)</f>
        <v/>
      </c>
      <c r="O106" s="35" t="str">
        <f aca="false">IF(OR($A106="",$C106="U",$S106&lt;&gt;Calc!$F$2),"",SUMIFS($I$3:$I$3002,$E$3:$E$3002,$E106,$C$3:$C$3002,"&lt;&gt;U",$S$3:$S$3002,Calc!$F$2))</f>
        <v/>
      </c>
      <c r="P106" s="35" t="str">
        <f aca="false">IF(OR($A106="",$C106="U",$S106&lt;&gt;Calc!$F$2),"",SUMIFS($N$3:$N$3002,$E$3:$E$3002,$E106,$C$3:$C$3002,"&lt;&gt;U",$S$3:$S$3002,Calc!$F$2))</f>
        <v/>
      </c>
      <c r="Q106" s="35" t="str">
        <f aca="false">IF(OR($A106="",$C106="U",$S106&lt;&gt;Calc!$F$2),"",IF(COUNTIFS($E$3:$E106,$E106,$C$3:$C106,"&lt;&gt;U",$S$3:$S106,Calc!$F$2)=1,1,0))</f>
        <v/>
      </c>
      <c r="R106" s="35" t="str">
        <f aca="false">IF($Q106=1,$O106-ROW()/100000,"")</f>
        <v/>
      </c>
      <c r="S106" s="37" t="str">
        <f aca="false">IF($A106="","",INT($A106))</f>
        <v/>
      </c>
      <c r="T106" s="35" t="str">
        <f aca="false">IF($A106="","",IF(COUNTIFS($S$3:$S106,$S106)=1,1,0))</f>
        <v/>
      </c>
      <c r="U106" s="37" t="str">
        <f aca="false">IF($T106=1,$S106,"")</f>
        <v/>
      </c>
    </row>
    <row r="107" customFormat="false" ht="15" hidden="false" customHeight="false" outlineLevel="0" collapsed="false">
      <c r="M107" s="35" t="str">
        <f aca="false">IF($A107="","",HOUR($A107))</f>
        <v/>
      </c>
      <c r="N107" s="36" t="str">
        <f aca="false">IF($A107="","",$I107*$K107)</f>
        <v/>
      </c>
      <c r="O107" s="35" t="str">
        <f aca="false">IF(OR($A107="",$C107="U",$S107&lt;&gt;Calc!$F$2),"",SUMIFS($I$3:$I$3002,$E$3:$E$3002,$E107,$C$3:$C$3002,"&lt;&gt;U",$S$3:$S$3002,Calc!$F$2))</f>
        <v/>
      </c>
      <c r="P107" s="35" t="str">
        <f aca="false">IF(OR($A107="",$C107="U",$S107&lt;&gt;Calc!$F$2),"",SUMIFS($N$3:$N$3002,$E$3:$E$3002,$E107,$C$3:$C$3002,"&lt;&gt;U",$S$3:$S$3002,Calc!$F$2))</f>
        <v/>
      </c>
      <c r="Q107" s="35" t="str">
        <f aca="false">IF(OR($A107="",$C107="U",$S107&lt;&gt;Calc!$F$2),"",IF(COUNTIFS($E$3:$E107,$E107,$C$3:$C107,"&lt;&gt;U",$S$3:$S107,Calc!$F$2)=1,1,0))</f>
        <v/>
      </c>
      <c r="R107" s="35" t="str">
        <f aca="false">IF($Q107=1,$O107-ROW()/100000,"")</f>
        <v/>
      </c>
      <c r="S107" s="37" t="str">
        <f aca="false">IF($A107="","",INT($A107))</f>
        <v/>
      </c>
      <c r="T107" s="35" t="str">
        <f aca="false">IF($A107="","",IF(COUNTIFS($S$3:$S107,$S107)=1,1,0))</f>
        <v/>
      </c>
      <c r="U107" s="37" t="str">
        <f aca="false">IF($T107=1,$S107,"")</f>
        <v/>
      </c>
    </row>
    <row r="108" customFormat="false" ht="15" hidden="false" customHeight="false" outlineLevel="0" collapsed="false">
      <c r="M108" s="35" t="str">
        <f aca="false">IF($A108="","",HOUR($A108))</f>
        <v/>
      </c>
      <c r="N108" s="36" t="str">
        <f aca="false">IF($A108="","",$I108*$K108)</f>
        <v/>
      </c>
      <c r="O108" s="35" t="str">
        <f aca="false">IF(OR($A108="",$C108="U",$S108&lt;&gt;Calc!$F$2),"",SUMIFS($I$3:$I$3002,$E$3:$E$3002,$E108,$C$3:$C$3002,"&lt;&gt;U",$S$3:$S$3002,Calc!$F$2))</f>
        <v/>
      </c>
      <c r="P108" s="35" t="str">
        <f aca="false">IF(OR($A108="",$C108="U",$S108&lt;&gt;Calc!$F$2),"",SUMIFS($N$3:$N$3002,$E$3:$E$3002,$E108,$C$3:$C$3002,"&lt;&gt;U",$S$3:$S$3002,Calc!$F$2))</f>
        <v/>
      </c>
      <c r="Q108" s="35" t="str">
        <f aca="false">IF(OR($A108="",$C108="U",$S108&lt;&gt;Calc!$F$2),"",IF(COUNTIFS($E$3:$E108,$E108,$C$3:$C108,"&lt;&gt;U",$S$3:$S108,Calc!$F$2)=1,1,0))</f>
        <v/>
      </c>
      <c r="R108" s="35" t="str">
        <f aca="false">IF($Q108=1,$O108-ROW()/100000,"")</f>
        <v/>
      </c>
      <c r="S108" s="37" t="str">
        <f aca="false">IF($A108="","",INT($A108))</f>
        <v/>
      </c>
      <c r="T108" s="35" t="str">
        <f aca="false">IF($A108="","",IF(COUNTIFS($S$3:$S108,$S108)=1,1,0))</f>
        <v/>
      </c>
      <c r="U108" s="37" t="str">
        <f aca="false">IF($T108=1,$S108,"")</f>
        <v/>
      </c>
    </row>
    <row r="109" customFormat="false" ht="15" hidden="false" customHeight="false" outlineLevel="0" collapsed="false">
      <c r="M109" s="35" t="str">
        <f aca="false">IF($A109="","",HOUR($A109))</f>
        <v/>
      </c>
      <c r="N109" s="36" t="str">
        <f aca="false">IF($A109="","",$I109*$K109)</f>
        <v/>
      </c>
      <c r="O109" s="35" t="str">
        <f aca="false">IF(OR($A109="",$C109="U",$S109&lt;&gt;Calc!$F$2),"",SUMIFS($I$3:$I$3002,$E$3:$E$3002,$E109,$C$3:$C$3002,"&lt;&gt;U",$S$3:$S$3002,Calc!$F$2))</f>
        <v/>
      </c>
      <c r="P109" s="35" t="str">
        <f aca="false">IF(OR($A109="",$C109="U",$S109&lt;&gt;Calc!$F$2),"",SUMIFS($N$3:$N$3002,$E$3:$E$3002,$E109,$C$3:$C$3002,"&lt;&gt;U",$S$3:$S$3002,Calc!$F$2))</f>
        <v/>
      </c>
      <c r="Q109" s="35" t="str">
        <f aca="false">IF(OR($A109="",$C109="U",$S109&lt;&gt;Calc!$F$2),"",IF(COUNTIFS($E$3:$E109,$E109,$C$3:$C109,"&lt;&gt;U",$S$3:$S109,Calc!$F$2)=1,1,0))</f>
        <v/>
      </c>
      <c r="R109" s="35" t="str">
        <f aca="false">IF($Q109=1,$O109-ROW()/100000,"")</f>
        <v/>
      </c>
      <c r="S109" s="37" t="str">
        <f aca="false">IF($A109="","",INT($A109))</f>
        <v/>
      </c>
      <c r="T109" s="35" t="str">
        <f aca="false">IF($A109="","",IF(COUNTIFS($S$3:$S109,$S109)=1,1,0))</f>
        <v/>
      </c>
      <c r="U109" s="37" t="str">
        <f aca="false">IF($T109=1,$S109,"")</f>
        <v/>
      </c>
    </row>
    <row r="110" customFormat="false" ht="15" hidden="false" customHeight="false" outlineLevel="0" collapsed="false">
      <c r="M110" s="35" t="str">
        <f aca="false">IF($A110="","",HOUR($A110))</f>
        <v/>
      </c>
      <c r="N110" s="36" t="str">
        <f aca="false">IF($A110="","",$I110*$K110)</f>
        <v/>
      </c>
      <c r="O110" s="35" t="str">
        <f aca="false">IF(OR($A110="",$C110="U",$S110&lt;&gt;Calc!$F$2),"",SUMIFS($I$3:$I$3002,$E$3:$E$3002,$E110,$C$3:$C$3002,"&lt;&gt;U",$S$3:$S$3002,Calc!$F$2))</f>
        <v/>
      </c>
      <c r="P110" s="35" t="str">
        <f aca="false">IF(OR($A110="",$C110="U",$S110&lt;&gt;Calc!$F$2),"",SUMIFS($N$3:$N$3002,$E$3:$E$3002,$E110,$C$3:$C$3002,"&lt;&gt;U",$S$3:$S$3002,Calc!$F$2))</f>
        <v/>
      </c>
      <c r="Q110" s="35" t="str">
        <f aca="false">IF(OR($A110="",$C110="U",$S110&lt;&gt;Calc!$F$2),"",IF(COUNTIFS($E$3:$E110,$E110,$C$3:$C110,"&lt;&gt;U",$S$3:$S110,Calc!$F$2)=1,1,0))</f>
        <v/>
      </c>
      <c r="R110" s="35" t="str">
        <f aca="false">IF($Q110=1,$O110-ROW()/100000,"")</f>
        <v/>
      </c>
      <c r="S110" s="37" t="str">
        <f aca="false">IF($A110="","",INT($A110))</f>
        <v/>
      </c>
      <c r="T110" s="35" t="str">
        <f aca="false">IF($A110="","",IF(COUNTIFS($S$3:$S110,$S110)=1,1,0))</f>
        <v/>
      </c>
      <c r="U110" s="37" t="str">
        <f aca="false">IF($T110=1,$S110,"")</f>
        <v/>
      </c>
    </row>
    <row r="111" customFormat="false" ht="15" hidden="false" customHeight="false" outlineLevel="0" collapsed="false">
      <c r="M111" s="35" t="str">
        <f aca="false">IF($A111="","",HOUR($A111))</f>
        <v/>
      </c>
      <c r="N111" s="36" t="str">
        <f aca="false">IF($A111="","",$I111*$K111)</f>
        <v/>
      </c>
      <c r="O111" s="35" t="str">
        <f aca="false">IF(OR($A111="",$C111="U",$S111&lt;&gt;Calc!$F$2),"",SUMIFS($I$3:$I$3002,$E$3:$E$3002,$E111,$C$3:$C$3002,"&lt;&gt;U",$S$3:$S$3002,Calc!$F$2))</f>
        <v/>
      </c>
      <c r="P111" s="35" t="str">
        <f aca="false">IF(OR($A111="",$C111="U",$S111&lt;&gt;Calc!$F$2),"",SUMIFS($N$3:$N$3002,$E$3:$E$3002,$E111,$C$3:$C$3002,"&lt;&gt;U",$S$3:$S$3002,Calc!$F$2))</f>
        <v/>
      </c>
      <c r="Q111" s="35" t="str">
        <f aca="false">IF(OR($A111="",$C111="U",$S111&lt;&gt;Calc!$F$2),"",IF(COUNTIFS($E$3:$E111,$E111,$C$3:$C111,"&lt;&gt;U",$S$3:$S111,Calc!$F$2)=1,1,0))</f>
        <v/>
      </c>
      <c r="R111" s="35" t="str">
        <f aca="false">IF($Q111=1,$O111-ROW()/100000,"")</f>
        <v/>
      </c>
      <c r="S111" s="37" t="str">
        <f aca="false">IF($A111="","",INT($A111))</f>
        <v/>
      </c>
      <c r="T111" s="35" t="str">
        <f aca="false">IF($A111="","",IF(COUNTIFS($S$3:$S111,$S111)=1,1,0))</f>
        <v/>
      </c>
      <c r="U111" s="37" t="str">
        <f aca="false">IF($T111=1,$S111,"")</f>
        <v/>
      </c>
    </row>
    <row r="112" customFormat="false" ht="15" hidden="false" customHeight="false" outlineLevel="0" collapsed="false">
      <c r="M112" s="35" t="str">
        <f aca="false">IF($A112="","",HOUR($A112))</f>
        <v/>
      </c>
      <c r="N112" s="36" t="str">
        <f aca="false">IF($A112="","",$I112*$K112)</f>
        <v/>
      </c>
      <c r="O112" s="35" t="str">
        <f aca="false">IF(OR($A112="",$C112="U",$S112&lt;&gt;Calc!$F$2),"",SUMIFS($I$3:$I$3002,$E$3:$E$3002,$E112,$C$3:$C$3002,"&lt;&gt;U",$S$3:$S$3002,Calc!$F$2))</f>
        <v/>
      </c>
      <c r="P112" s="35" t="str">
        <f aca="false">IF(OR($A112="",$C112="U",$S112&lt;&gt;Calc!$F$2),"",SUMIFS($N$3:$N$3002,$E$3:$E$3002,$E112,$C$3:$C$3002,"&lt;&gt;U",$S$3:$S$3002,Calc!$F$2))</f>
        <v/>
      </c>
      <c r="Q112" s="35" t="str">
        <f aca="false">IF(OR($A112="",$C112="U",$S112&lt;&gt;Calc!$F$2),"",IF(COUNTIFS($E$3:$E112,$E112,$C$3:$C112,"&lt;&gt;U",$S$3:$S112,Calc!$F$2)=1,1,0))</f>
        <v/>
      </c>
      <c r="R112" s="35" t="str">
        <f aca="false">IF($Q112=1,$O112-ROW()/100000,"")</f>
        <v/>
      </c>
      <c r="S112" s="37" t="str">
        <f aca="false">IF($A112="","",INT($A112))</f>
        <v/>
      </c>
      <c r="T112" s="35" t="str">
        <f aca="false">IF($A112="","",IF(COUNTIFS($S$3:$S112,$S112)=1,1,0))</f>
        <v/>
      </c>
      <c r="U112" s="37" t="str">
        <f aca="false">IF($T112=1,$S112,"")</f>
        <v/>
      </c>
    </row>
    <row r="113" customFormat="false" ht="15" hidden="false" customHeight="false" outlineLevel="0" collapsed="false">
      <c r="M113" s="35" t="str">
        <f aca="false">IF($A113="","",HOUR($A113))</f>
        <v/>
      </c>
      <c r="N113" s="36" t="str">
        <f aca="false">IF($A113="","",$I113*$K113)</f>
        <v/>
      </c>
      <c r="O113" s="35" t="str">
        <f aca="false">IF(OR($A113="",$C113="U",$S113&lt;&gt;Calc!$F$2),"",SUMIFS($I$3:$I$3002,$E$3:$E$3002,$E113,$C$3:$C$3002,"&lt;&gt;U",$S$3:$S$3002,Calc!$F$2))</f>
        <v/>
      </c>
      <c r="P113" s="35" t="str">
        <f aca="false">IF(OR($A113="",$C113="U",$S113&lt;&gt;Calc!$F$2),"",SUMIFS($N$3:$N$3002,$E$3:$E$3002,$E113,$C$3:$C$3002,"&lt;&gt;U",$S$3:$S$3002,Calc!$F$2))</f>
        <v/>
      </c>
      <c r="Q113" s="35" t="str">
        <f aca="false">IF(OR($A113="",$C113="U",$S113&lt;&gt;Calc!$F$2),"",IF(COUNTIFS($E$3:$E113,$E113,$C$3:$C113,"&lt;&gt;U",$S$3:$S113,Calc!$F$2)=1,1,0))</f>
        <v/>
      </c>
      <c r="R113" s="35" t="str">
        <f aca="false">IF($Q113=1,$O113-ROW()/100000,"")</f>
        <v/>
      </c>
      <c r="S113" s="37" t="str">
        <f aca="false">IF($A113="","",INT($A113))</f>
        <v/>
      </c>
      <c r="T113" s="35" t="str">
        <f aca="false">IF($A113="","",IF(COUNTIFS($S$3:$S113,$S113)=1,1,0))</f>
        <v/>
      </c>
      <c r="U113" s="37" t="str">
        <f aca="false">IF($T113=1,$S113,"")</f>
        <v/>
      </c>
    </row>
    <row r="114" customFormat="false" ht="15" hidden="false" customHeight="false" outlineLevel="0" collapsed="false">
      <c r="M114" s="35" t="str">
        <f aca="false">IF($A114="","",HOUR($A114))</f>
        <v/>
      </c>
      <c r="N114" s="36" t="str">
        <f aca="false">IF($A114="","",$I114*$K114)</f>
        <v/>
      </c>
      <c r="O114" s="35" t="str">
        <f aca="false">IF(OR($A114="",$C114="U",$S114&lt;&gt;Calc!$F$2),"",SUMIFS($I$3:$I$3002,$E$3:$E$3002,$E114,$C$3:$C$3002,"&lt;&gt;U",$S$3:$S$3002,Calc!$F$2))</f>
        <v/>
      </c>
      <c r="P114" s="35" t="str">
        <f aca="false">IF(OR($A114="",$C114="U",$S114&lt;&gt;Calc!$F$2),"",SUMIFS($N$3:$N$3002,$E$3:$E$3002,$E114,$C$3:$C$3002,"&lt;&gt;U",$S$3:$S$3002,Calc!$F$2))</f>
        <v/>
      </c>
      <c r="Q114" s="35" t="str">
        <f aca="false">IF(OR($A114="",$C114="U",$S114&lt;&gt;Calc!$F$2),"",IF(COUNTIFS($E$3:$E114,$E114,$C$3:$C114,"&lt;&gt;U",$S$3:$S114,Calc!$F$2)=1,1,0))</f>
        <v/>
      </c>
      <c r="R114" s="35" t="str">
        <f aca="false">IF($Q114=1,$O114-ROW()/100000,"")</f>
        <v/>
      </c>
      <c r="S114" s="37" t="str">
        <f aca="false">IF($A114="","",INT($A114))</f>
        <v/>
      </c>
      <c r="T114" s="35" t="str">
        <f aca="false">IF($A114="","",IF(COUNTIFS($S$3:$S114,$S114)=1,1,0))</f>
        <v/>
      </c>
      <c r="U114" s="37" t="str">
        <f aca="false">IF($T114=1,$S114,"")</f>
        <v/>
      </c>
    </row>
    <row r="115" customFormat="false" ht="15" hidden="false" customHeight="false" outlineLevel="0" collapsed="false">
      <c r="M115" s="35" t="str">
        <f aca="false">IF($A115="","",HOUR($A115))</f>
        <v/>
      </c>
      <c r="N115" s="36" t="str">
        <f aca="false">IF($A115="","",$I115*$K115)</f>
        <v/>
      </c>
      <c r="O115" s="35" t="str">
        <f aca="false">IF(OR($A115="",$C115="U",$S115&lt;&gt;Calc!$F$2),"",SUMIFS($I$3:$I$3002,$E$3:$E$3002,$E115,$C$3:$C$3002,"&lt;&gt;U",$S$3:$S$3002,Calc!$F$2))</f>
        <v/>
      </c>
      <c r="P115" s="35" t="str">
        <f aca="false">IF(OR($A115="",$C115="U",$S115&lt;&gt;Calc!$F$2),"",SUMIFS($N$3:$N$3002,$E$3:$E$3002,$E115,$C$3:$C$3002,"&lt;&gt;U",$S$3:$S$3002,Calc!$F$2))</f>
        <v/>
      </c>
      <c r="Q115" s="35" t="str">
        <f aca="false">IF(OR($A115="",$C115="U",$S115&lt;&gt;Calc!$F$2),"",IF(COUNTIFS($E$3:$E115,$E115,$C$3:$C115,"&lt;&gt;U",$S$3:$S115,Calc!$F$2)=1,1,0))</f>
        <v/>
      </c>
      <c r="R115" s="35" t="str">
        <f aca="false">IF($Q115=1,$O115-ROW()/100000,"")</f>
        <v/>
      </c>
      <c r="S115" s="37" t="str">
        <f aca="false">IF($A115="","",INT($A115))</f>
        <v/>
      </c>
      <c r="T115" s="35" t="str">
        <f aca="false">IF($A115="","",IF(COUNTIFS($S$3:$S115,$S115)=1,1,0))</f>
        <v/>
      </c>
      <c r="U115" s="37" t="str">
        <f aca="false">IF($T115=1,$S115,"")</f>
        <v/>
      </c>
    </row>
    <row r="116" customFormat="false" ht="15" hidden="false" customHeight="false" outlineLevel="0" collapsed="false">
      <c r="M116" s="35" t="str">
        <f aca="false">IF($A116="","",HOUR($A116))</f>
        <v/>
      </c>
      <c r="N116" s="36" t="str">
        <f aca="false">IF($A116="","",$I116*$K116)</f>
        <v/>
      </c>
      <c r="O116" s="35" t="str">
        <f aca="false">IF(OR($A116="",$C116="U",$S116&lt;&gt;Calc!$F$2),"",SUMIFS($I$3:$I$3002,$E$3:$E$3002,$E116,$C$3:$C$3002,"&lt;&gt;U",$S$3:$S$3002,Calc!$F$2))</f>
        <v/>
      </c>
      <c r="P116" s="35" t="str">
        <f aca="false">IF(OR($A116="",$C116="U",$S116&lt;&gt;Calc!$F$2),"",SUMIFS($N$3:$N$3002,$E$3:$E$3002,$E116,$C$3:$C$3002,"&lt;&gt;U",$S$3:$S$3002,Calc!$F$2))</f>
        <v/>
      </c>
      <c r="Q116" s="35" t="str">
        <f aca="false">IF(OR($A116="",$C116="U",$S116&lt;&gt;Calc!$F$2),"",IF(COUNTIFS($E$3:$E116,$E116,$C$3:$C116,"&lt;&gt;U",$S$3:$S116,Calc!$F$2)=1,1,0))</f>
        <v/>
      </c>
      <c r="R116" s="35" t="str">
        <f aca="false">IF($Q116=1,$O116-ROW()/100000,"")</f>
        <v/>
      </c>
      <c r="S116" s="37" t="str">
        <f aca="false">IF($A116="","",INT($A116))</f>
        <v/>
      </c>
      <c r="T116" s="35" t="str">
        <f aca="false">IF($A116="","",IF(COUNTIFS($S$3:$S116,$S116)=1,1,0))</f>
        <v/>
      </c>
      <c r="U116" s="37" t="str">
        <f aca="false">IF($T116=1,$S116,"")</f>
        <v/>
      </c>
    </row>
    <row r="117" customFormat="false" ht="15" hidden="false" customHeight="false" outlineLevel="0" collapsed="false">
      <c r="M117" s="35" t="str">
        <f aca="false">IF($A117="","",HOUR($A117))</f>
        <v/>
      </c>
      <c r="N117" s="36" t="str">
        <f aca="false">IF($A117="","",$I117*$K117)</f>
        <v/>
      </c>
      <c r="O117" s="35" t="str">
        <f aca="false">IF(OR($A117="",$C117="U",$S117&lt;&gt;Calc!$F$2),"",SUMIFS($I$3:$I$3002,$E$3:$E$3002,$E117,$C$3:$C$3002,"&lt;&gt;U",$S$3:$S$3002,Calc!$F$2))</f>
        <v/>
      </c>
      <c r="P117" s="35" t="str">
        <f aca="false">IF(OR($A117="",$C117="U",$S117&lt;&gt;Calc!$F$2),"",SUMIFS($N$3:$N$3002,$E$3:$E$3002,$E117,$C$3:$C$3002,"&lt;&gt;U",$S$3:$S$3002,Calc!$F$2))</f>
        <v/>
      </c>
      <c r="Q117" s="35" t="str">
        <f aca="false">IF(OR($A117="",$C117="U",$S117&lt;&gt;Calc!$F$2),"",IF(COUNTIFS($E$3:$E117,$E117,$C$3:$C117,"&lt;&gt;U",$S$3:$S117,Calc!$F$2)=1,1,0))</f>
        <v/>
      </c>
      <c r="R117" s="35" t="str">
        <f aca="false">IF($Q117=1,$O117-ROW()/100000,"")</f>
        <v/>
      </c>
      <c r="S117" s="37" t="str">
        <f aca="false">IF($A117="","",INT($A117))</f>
        <v/>
      </c>
      <c r="T117" s="35" t="str">
        <f aca="false">IF($A117="","",IF(COUNTIFS($S$3:$S117,$S117)=1,1,0))</f>
        <v/>
      </c>
      <c r="U117" s="37" t="str">
        <f aca="false">IF($T117=1,$S117,"")</f>
        <v/>
      </c>
    </row>
    <row r="118" customFormat="false" ht="15" hidden="false" customHeight="false" outlineLevel="0" collapsed="false">
      <c r="M118" s="35" t="str">
        <f aca="false">IF($A118="","",HOUR($A118))</f>
        <v/>
      </c>
      <c r="N118" s="36" t="str">
        <f aca="false">IF($A118="","",$I118*$K118)</f>
        <v/>
      </c>
      <c r="O118" s="35" t="str">
        <f aca="false">IF(OR($A118="",$C118="U",$S118&lt;&gt;Calc!$F$2),"",SUMIFS($I$3:$I$3002,$E$3:$E$3002,$E118,$C$3:$C$3002,"&lt;&gt;U",$S$3:$S$3002,Calc!$F$2))</f>
        <v/>
      </c>
      <c r="P118" s="35" t="str">
        <f aca="false">IF(OR($A118="",$C118="U",$S118&lt;&gt;Calc!$F$2),"",SUMIFS($N$3:$N$3002,$E$3:$E$3002,$E118,$C$3:$C$3002,"&lt;&gt;U",$S$3:$S$3002,Calc!$F$2))</f>
        <v/>
      </c>
      <c r="Q118" s="35" t="str">
        <f aca="false">IF(OR($A118="",$C118="U",$S118&lt;&gt;Calc!$F$2),"",IF(COUNTIFS($E$3:$E118,$E118,$C$3:$C118,"&lt;&gt;U",$S$3:$S118,Calc!$F$2)=1,1,0))</f>
        <v/>
      </c>
      <c r="R118" s="35" t="str">
        <f aca="false">IF($Q118=1,$O118-ROW()/100000,"")</f>
        <v/>
      </c>
      <c r="S118" s="37" t="str">
        <f aca="false">IF($A118="","",INT($A118))</f>
        <v/>
      </c>
      <c r="T118" s="35" t="str">
        <f aca="false">IF($A118="","",IF(COUNTIFS($S$3:$S118,$S118)=1,1,0))</f>
        <v/>
      </c>
      <c r="U118" s="37" t="str">
        <f aca="false">IF($T118=1,$S118,"")</f>
        <v/>
      </c>
    </row>
    <row r="119" customFormat="false" ht="15" hidden="false" customHeight="false" outlineLevel="0" collapsed="false">
      <c r="M119" s="35" t="str">
        <f aca="false">IF($A119="","",HOUR($A119))</f>
        <v/>
      </c>
      <c r="N119" s="36" t="str">
        <f aca="false">IF($A119="","",$I119*$K119)</f>
        <v/>
      </c>
      <c r="O119" s="35" t="str">
        <f aca="false">IF(OR($A119="",$C119="U",$S119&lt;&gt;Calc!$F$2),"",SUMIFS($I$3:$I$3002,$E$3:$E$3002,$E119,$C$3:$C$3002,"&lt;&gt;U",$S$3:$S$3002,Calc!$F$2))</f>
        <v/>
      </c>
      <c r="P119" s="35" t="str">
        <f aca="false">IF(OR($A119="",$C119="U",$S119&lt;&gt;Calc!$F$2),"",SUMIFS($N$3:$N$3002,$E$3:$E$3002,$E119,$C$3:$C$3002,"&lt;&gt;U",$S$3:$S$3002,Calc!$F$2))</f>
        <v/>
      </c>
      <c r="Q119" s="35" t="str">
        <f aca="false">IF(OR($A119="",$C119="U",$S119&lt;&gt;Calc!$F$2),"",IF(COUNTIFS($E$3:$E119,$E119,$C$3:$C119,"&lt;&gt;U",$S$3:$S119,Calc!$F$2)=1,1,0))</f>
        <v/>
      </c>
      <c r="R119" s="35" t="str">
        <f aca="false">IF($Q119=1,$O119-ROW()/100000,"")</f>
        <v/>
      </c>
      <c r="S119" s="37" t="str">
        <f aca="false">IF($A119="","",INT($A119))</f>
        <v/>
      </c>
      <c r="T119" s="35" t="str">
        <f aca="false">IF($A119="","",IF(COUNTIFS($S$3:$S119,$S119)=1,1,0))</f>
        <v/>
      </c>
      <c r="U119" s="37" t="str">
        <f aca="false">IF($T119=1,$S119,"")</f>
        <v/>
      </c>
    </row>
    <row r="120" customFormat="false" ht="15" hidden="false" customHeight="false" outlineLevel="0" collapsed="false">
      <c r="M120" s="35" t="str">
        <f aca="false">IF($A120="","",HOUR($A120))</f>
        <v/>
      </c>
      <c r="N120" s="36" t="str">
        <f aca="false">IF($A120="","",$I120*$K120)</f>
        <v/>
      </c>
      <c r="O120" s="35" t="str">
        <f aca="false">IF(OR($A120="",$C120="U",$S120&lt;&gt;Calc!$F$2),"",SUMIFS($I$3:$I$3002,$E$3:$E$3002,$E120,$C$3:$C$3002,"&lt;&gt;U",$S$3:$S$3002,Calc!$F$2))</f>
        <v/>
      </c>
      <c r="P120" s="35" t="str">
        <f aca="false">IF(OR($A120="",$C120="U",$S120&lt;&gt;Calc!$F$2),"",SUMIFS($N$3:$N$3002,$E$3:$E$3002,$E120,$C$3:$C$3002,"&lt;&gt;U",$S$3:$S$3002,Calc!$F$2))</f>
        <v/>
      </c>
      <c r="Q120" s="35" t="str">
        <f aca="false">IF(OR($A120="",$C120="U",$S120&lt;&gt;Calc!$F$2),"",IF(COUNTIFS($E$3:$E120,$E120,$C$3:$C120,"&lt;&gt;U",$S$3:$S120,Calc!$F$2)=1,1,0))</f>
        <v/>
      </c>
      <c r="R120" s="35" t="str">
        <f aca="false">IF($Q120=1,$O120-ROW()/100000,"")</f>
        <v/>
      </c>
      <c r="S120" s="37" t="str">
        <f aca="false">IF($A120="","",INT($A120))</f>
        <v/>
      </c>
      <c r="T120" s="35" t="str">
        <f aca="false">IF($A120="","",IF(COUNTIFS($S$3:$S120,$S120)=1,1,0))</f>
        <v/>
      </c>
      <c r="U120" s="37" t="str">
        <f aca="false">IF($T120=1,$S120,"")</f>
        <v/>
      </c>
    </row>
    <row r="121" customFormat="false" ht="15" hidden="false" customHeight="false" outlineLevel="0" collapsed="false">
      <c r="M121" s="35" t="str">
        <f aca="false">IF($A121="","",HOUR($A121))</f>
        <v/>
      </c>
      <c r="N121" s="36" t="str">
        <f aca="false">IF($A121="","",$I121*$K121)</f>
        <v/>
      </c>
      <c r="O121" s="35" t="str">
        <f aca="false">IF(OR($A121="",$C121="U",$S121&lt;&gt;Calc!$F$2),"",SUMIFS($I$3:$I$3002,$E$3:$E$3002,$E121,$C$3:$C$3002,"&lt;&gt;U",$S$3:$S$3002,Calc!$F$2))</f>
        <v/>
      </c>
      <c r="P121" s="35" t="str">
        <f aca="false">IF(OR($A121="",$C121="U",$S121&lt;&gt;Calc!$F$2),"",SUMIFS($N$3:$N$3002,$E$3:$E$3002,$E121,$C$3:$C$3002,"&lt;&gt;U",$S$3:$S$3002,Calc!$F$2))</f>
        <v/>
      </c>
      <c r="Q121" s="35" t="str">
        <f aca="false">IF(OR($A121="",$C121="U",$S121&lt;&gt;Calc!$F$2),"",IF(COUNTIFS($E$3:$E121,$E121,$C$3:$C121,"&lt;&gt;U",$S$3:$S121,Calc!$F$2)=1,1,0))</f>
        <v/>
      </c>
      <c r="R121" s="35" t="str">
        <f aca="false">IF($Q121=1,$O121-ROW()/100000,"")</f>
        <v/>
      </c>
      <c r="S121" s="37" t="str">
        <f aca="false">IF($A121="","",INT($A121))</f>
        <v/>
      </c>
      <c r="T121" s="35" t="str">
        <f aca="false">IF($A121="","",IF(COUNTIFS($S$3:$S121,$S121)=1,1,0))</f>
        <v/>
      </c>
      <c r="U121" s="37" t="str">
        <f aca="false">IF($T121=1,$S121,"")</f>
        <v/>
      </c>
    </row>
    <row r="122" customFormat="false" ht="15" hidden="false" customHeight="false" outlineLevel="0" collapsed="false">
      <c r="M122" s="35" t="str">
        <f aca="false">IF($A122="","",HOUR($A122))</f>
        <v/>
      </c>
      <c r="N122" s="36" t="str">
        <f aca="false">IF($A122="","",$I122*$K122)</f>
        <v/>
      </c>
      <c r="O122" s="35" t="str">
        <f aca="false">IF(OR($A122="",$C122="U",$S122&lt;&gt;Calc!$F$2),"",SUMIFS($I$3:$I$3002,$E$3:$E$3002,$E122,$C$3:$C$3002,"&lt;&gt;U",$S$3:$S$3002,Calc!$F$2))</f>
        <v/>
      </c>
      <c r="P122" s="35" t="str">
        <f aca="false">IF(OR($A122="",$C122="U",$S122&lt;&gt;Calc!$F$2),"",SUMIFS($N$3:$N$3002,$E$3:$E$3002,$E122,$C$3:$C$3002,"&lt;&gt;U",$S$3:$S$3002,Calc!$F$2))</f>
        <v/>
      </c>
      <c r="Q122" s="35" t="str">
        <f aca="false">IF(OR($A122="",$C122="U",$S122&lt;&gt;Calc!$F$2),"",IF(COUNTIFS($E$3:$E122,$E122,$C$3:$C122,"&lt;&gt;U",$S$3:$S122,Calc!$F$2)=1,1,0))</f>
        <v/>
      </c>
      <c r="R122" s="35" t="str">
        <f aca="false">IF($Q122=1,$O122-ROW()/100000,"")</f>
        <v/>
      </c>
      <c r="S122" s="37" t="str">
        <f aca="false">IF($A122="","",INT($A122))</f>
        <v/>
      </c>
      <c r="T122" s="35" t="str">
        <f aca="false">IF($A122="","",IF(COUNTIFS($S$3:$S122,$S122)=1,1,0))</f>
        <v/>
      </c>
      <c r="U122" s="37" t="str">
        <f aca="false">IF($T122=1,$S122,"")</f>
        <v/>
      </c>
    </row>
    <row r="123" customFormat="false" ht="15" hidden="false" customHeight="false" outlineLevel="0" collapsed="false">
      <c r="M123" s="35" t="str">
        <f aca="false">IF($A123="","",HOUR($A123))</f>
        <v/>
      </c>
      <c r="N123" s="36" t="str">
        <f aca="false">IF($A123="","",$I123*$K123)</f>
        <v/>
      </c>
      <c r="O123" s="35" t="str">
        <f aca="false">IF(OR($A123="",$C123="U",$S123&lt;&gt;Calc!$F$2),"",SUMIFS($I$3:$I$3002,$E$3:$E$3002,$E123,$C$3:$C$3002,"&lt;&gt;U",$S$3:$S$3002,Calc!$F$2))</f>
        <v/>
      </c>
      <c r="P123" s="35" t="str">
        <f aca="false">IF(OR($A123="",$C123="U",$S123&lt;&gt;Calc!$F$2),"",SUMIFS($N$3:$N$3002,$E$3:$E$3002,$E123,$C$3:$C$3002,"&lt;&gt;U",$S$3:$S$3002,Calc!$F$2))</f>
        <v/>
      </c>
      <c r="Q123" s="35" t="str">
        <f aca="false">IF(OR($A123="",$C123="U",$S123&lt;&gt;Calc!$F$2),"",IF(COUNTIFS($E$3:$E123,$E123,$C$3:$C123,"&lt;&gt;U",$S$3:$S123,Calc!$F$2)=1,1,0))</f>
        <v/>
      </c>
      <c r="R123" s="35" t="str">
        <f aca="false">IF($Q123=1,$O123-ROW()/100000,"")</f>
        <v/>
      </c>
      <c r="S123" s="37" t="str">
        <f aca="false">IF($A123="","",INT($A123))</f>
        <v/>
      </c>
      <c r="T123" s="35" t="str">
        <f aca="false">IF($A123="","",IF(COUNTIFS($S$3:$S123,$S123)=1,1,0))</f>
        <v/>
      </c>
      <c r="U123" s="37" t="str">
        <f aca="false">IF($T123=1,$S123,"")</f>
        <v/>
      </c>
    </row>
    <row r="124" customFormat="false" ht="15" hidden="false" customHeight="false" outlineLevel="0" collapsed="false">
      <c r="M124" s="35" t="str">
        <f aca="false">IF($A124="","",HOUR($A124))</f>
        <v/>
      </c>
      <c r="N124" s="36" t="str">
        <f aca="false">IF($A124="","",$I124*$K124)</f>
        <v/>
      </c>
      <c r="O124" s="35" t="str">
        <f aca="false">IF(OR($A124="",$C124="U",$S124&lt;&gt;Calc!$F$2),"",SUMIFS($I$3:$I$3002,$E$3:$E$3002,$E124,$C$3:$C$3002,"&lt;&gt;U",$S$3:$S$3002,Calc!$F$2))</f>
        <v/>
      </c>
      <c r="P124" s="35" t="str">
        <f aca="false">IF(OR($A124="",$C124="U",$S124&lt;&gt;Calc!$F$2),"",SUMIFS($N$3:$N$3002,$E$3:$E$3002,$E124,$C$3:$C$3002,"&lt;&gt;U",$S$3:$S$3002,Calc!$F$2))</f>
        <v/>
      </c>
      <c r="Q124" s="35" t="str">
        <f aca="false">IF(OR($A124="",$C124="U",$S124&lt;&gt;Calc!$F$2),"",IF(COUNTIFS($E$3:$E124,$E124,$C$3:$C124,"&lt;&gt;U",$S$3:$S124,Calc!$F$2)=1,1,0))</f>
        <v/>
      </c>
      <c r="R124" s="35" t="str">
        <f aca="false">IF($Q124=1,$O124-ROW()/100000,"")</f>
        <v/>
      </c>
      <c r="S124" s="37" t="str">
        <f aca="false">IF($A124="","",INT($A124))</f>
        <v/>
      </c>
      <c r="T124" s="35" t="str">
        <f aca="false">IF($A124="","",IF(COUNTIFS($S$3:$S124,$S124)=1,1,0))</f>
        <v/>
      </c>
      <c r="U124" s="37" t="str">
        <f aca="false">IF($T124=1,$S124,"")</f>
        <v/>
      </c>
    </row>
    <row r="125" customFormat="false" ht="15" hidden="false" customHeight="false" outlineLevel="0" collapsed="false">
      <c r="M125" s="35" t="str">
        <f aca="false">IF($A125="","",HOUR($A125))</f>
        <v/>
      </c>
      <c r="N125" s="36" t="str">
        <f aca="false">IF($A125="","",$I125*$K125)</f>
        <v/>
      </c>
      <c r="O125" s="35" t="str">
        <f aca="false">IF(OR($A125="",$C125="U",$S125&lt;&gt;Calc!$F$2),"",SUMIFS($I$3:$I$3002,$E$3:$E$3002,$E125,$C$3:$C$3002,"&lt;&gt;U",$S$3:$S$3002,Calc!$F$2))</f>
        <v/>
      </c>
      <c r="P125" s="35" t="str">
        <f aca="false">IF(OR($A125="",$C125="U",$S125&lt;&gt;Calc!$F$2),"",SUMIFS($N$3:$N$3002,$E$3:$E$3002,$E125,$C$3:$C$3002,"&lt;&gt;U",$S$3:$S$3002,Calc!$F$2))</f>
        <v/>
      </c>
      <c r="Q125" s="35" t="str">
        <f aca="false">IF(OR($A125="",$C125="U",$S125&lt;&gt;Calc!$F$2),"",IF(COUNTIFS($E$3:$E125,$E125,$C$3:$C125,"&lt;&gt;U",$S$3:$S125,Calc!$F$2)=1,1,0))</f>
        <v/>
      </c>
      <c r="R125" s="35" t="str">
        <f aca="false">IF($Q125=1,$O125-ROW()/100000,"")</f>
        <v/>
      </c>
      <c r="S125" s="37" t="str">
        <f aca="false">IF($A125="","",INT($A125))</f>
        <v/>
      </c>
      <c r="T125" s="35" t="str">
        <f aca="false">IF($A125="","",IF(COUNTIFS($S$3:$S125,$S125)=1,1,0))</f>
        <v/>
      </c>
      <c r="U125" s="37" t="str">
        <f aca="false">IF($T125=1,$S125,"")</f>
        <v/>
      </c>
    </row>
    <row r="126" customFormat="false" ht="15" hidden="false" customHeight="false" outlineLevel="0" collapsed="false">
      <c r="M126" s="35" t="str">
        <f aca="false">IF($A126="","",HOUR($A126))</f>
        <v/>
      </c>
      <c r="N126" s="36" t="str">
        <f aca="false">IF($A126="","",$I126*$K126)</f>
        <v/>
      </c>
      <c r="O126" s="35" t="str">
        <f aca="false">IF(OR($A126="",$C126="U",$S126&lt;&gt;Calc!$F$2),"",SUMIFS($I$3:$I$3002,$E$3:$E$3002,$E126,$C$3:$C$3002,"&lt;&gt;U",$S$3:$S$3002,Calc!$F$2))</f>
        <v/>
      </c>
      <c r="P126" s="35" t="str">
        <f aca="false">IF(OR($A126="",$C126="U",$S126&lt;&gt;Calc!$F$2),"",SUMIFS($N$3:$N$3002,$E$3:$E$3002,$E126,$C$3:$C$3002,"&lt;&gt;U",$S$3:$S$3002,Calc!$F$2))</f>
        <v/>
      </c>
      <c r="Q126" s="35" t="str">
        <f aca="false">IF(OR($A126="",$C126="U",$S126&lt;&gt;Calc!$F$2),"",IF(COUNTIFS($E$3:$E126,$E126,$C$3:$C126,"&lt;&gt;U",$S$3:$S126,Calc!$F$2)=1,1,0))</f>
        <v/>
      </c>
      <c r="R126" s="35" t="str">
        <f aca="false">IF($Q126=1,$O126-ROW()/100000,"")</f>
        <v/>
      </c>
      <c r="S126" s="37" t="str">
        <f aca="false">IF($A126="","",INT($A126))</f>
        <v/>
      </c>
      <c r="T126" s="35" t="str">
        <f aca="false">IF($A126="","",IF(COUNTIFS($S$3:$S126,$S126)=1,1,0))</f>
        <v/>
      </c>
      <c r="U126" s="37" t="str">
        <f aca="false">IF($T126=1,$S126,"")</f>
        <v/>
      </c>
    </row>
    <row r="127" customFormat="false" ht="15" hidden="false" customHeight="false" outlineLevel="0" collapsed="false">
      <c r="M127" s="35" t="str">
        <f aca="false">IF($A127="","",HOUR($A127))</f>
        <v/>
      </c>
      <c r="N127" s="36" t="str">
        <f aca="false">IF($A127="","",$I127*$K127)</f>
        <v/>
      </c>
      <c r="O127" s="35" t="str">
        <f aca="false">IF(OR($A127="",$C127="U",$S127&lt;&gt;Calc!$F$2),"",SUMIFS($I$3:$I$3002,$E$3:$E$3002,$E127,$C$3:$C$3002,"&lt;&gt;U",$S$3:$S$3002,Calc!$F$2))</f>
        <v/>
      </c>
      <c r="P127" s="35" t="str">
        <f aca="false">IF(OR($A127="",$C127="U",$S127&lt;&gt;Calc!$F$2),"",SUMIFS($N$3:$N$3002,$E$3:$E$3002,$E127,$C$3:$C$3002,"&lt;&gt;U",$S$3:$S$3002,Calc!$F$2))</f>
        <v/>
      </c>
      <c r="Q127" s="35" t="str">
        <f aca="false">IF(OR($A127="",$C127="U",$S127&lt;&gt;Calc!$F$2),"",IF(COUNTIFS($E$3:$E127,$E127,$C$3:$C127,"&lt;&gt;U",$S$3:$S127,Calc!$F$2)=1,1,0))</f>
        <v/>
      </c>
      <c r="R127" s="35" t="str">
        <f aca="false">IF($Q127=1,$O127-ROW()/100000,"")</f>
        <v/>
      </c>
      <c r="S127" s="37" t="str">
        <f aca="false">IF($A127="","",INT($A127))</f>
        <v/>
      </c>
      <c r="T127" s="35" t="str">
        <f aca="false">IF($A127="","",IF(COUNTIFS($S$3:$S127,$S127)=1,1,0))</f>
        <v/>
      </c>
      <c r="U127" s="37" t="str">
        <f aca="false">IF($T127=1,$S127,"")</f>
        <v/>
      </c>
    </row>
    <row r="128" customFormat="false" ht="15" hidden="false" customHeight="false" outlineLevel="0" collapsed="false">
      <c r="M128" s="35" t="str">
        <f aca="false">IF($A128="","",HOUR($A128))</f>
        <v/>
      </c>
      <c r="N128" s="36" t="str">
        <f aca="false">IF($A128="","",$I128*$K128)</f>
        <v/>
      </c>
      <c r="O128" s="35" t="str">
        <f aca="false">IF(OR($A128="",$C128="U",$S128&lt;&gt;Calc!$F$2),"",SUMIFS($I$3:$I$3002,$E$3:$E$3002,$E128,$C$3:$C$3002,"&lt;&gt;U",$S$3:$S$3002,Calc!$F$2))</f>
        <v/>
      </c>
      <c r="P128" s="35" t="str">
        <f aca="false">IF(OR($A128="",$C128="U",$S128&lt;&gt;Calc!$F$2),"",SUMIFS($N$3:$N$3002,$E$3:$E$3002,$E128,$C$3:$C$3002,"&lt;&gt;U",$S$3:$S$3002,Calc!$F$2))</f>
        <v/>
      </c>
      <c r="Q128" s="35" t="str">
        <f aca="false">IF(OR($A128="",$C128="U",$S128&lt;&gt;Calc!$F$2),"",IF(COUNTIFS($E$3:$E128,$E128,$C$3:$C128,"&lt;&gt;U",$S$3:$S128,Calc!$F$2)=1,1,0))</f>
        <v/>
      </c>
      <c r="R128" s="35" t="str">
        <f aca="false">IF($Q128=1,$O128-ROW()/100000,"")</f>
        <v/>
      </c>
      <c r="S128" s="37" t="str">
        <f aca="false">IF($A128="","",INT($A128))</f>
        <v/>
      </c>
      <c r="T128" s="35" t="str">
        <f aca="false">IF($A128="","",IF(COUNTIFS($S$3:$S128,$S128)=1,1,0))</f>
        <v/>
      </c>
      <c r="U128" s="37" t="str">
        <f aca="false">IF($T128=1,$S128,"")</f>
        <v/>
      </c>
    </row>
    <row r="129" customFormat="false" ht="15" hidden="false" customHeight="false" outlineLevel="0" collapsed="false">
      <c r="M129" s="35" t="str">
        <f aca="false">IF($A129="","",HOUR($A129))</f>
        <v/>
      </c>
      <c r="N129" s="36" t="str">
        <f aca="false">IF($A129="","",$I129*$K129)</f>
        <v/>
      </c>
      <c r="O129" s="35" t="str">
        <f aca="false">IF(OR($A129="",$C129="U",$S129&lt;&gt;Calc!$F$2),"",SUMIFS($I$3:$I$3002,$E$3:$E$3002,$E129,$C$3:$C$3002,"&lt;&gt;U",$S$3:$S$3002,Calc!$F$2))</f>
        <v/>
      </c>
      <c r="P129" s="35" t="str">
        <f aca="false">IF(OR($A129="",$C129="U",$S129&lt;&gt;Calc!$F$2),"",SUMIFS($N$3:$N$3002,$E$3:$E$3002,$E129,$C$3:$C$3002,"&lt;&gt;U",$S$3:$S$3002,Calc!$F$2))</f>
        <v/>
      </c>
      <c r="Q129" s="35" t="str">
        <f aca="false">IF(OR($A129="",$C129="U",$S129&lt;&gt;Calc!$F$2),"",IF(COUNTIFS($E$3:$E129,$E129,$C$3:$C129,"&lt;&gt;U",$S$3:$S129,Calc!$F$2)=1,1,0))</f>
        <v/>
      </c>
      <c r="R129" s="35" t="str">
        <f aca="false">IF($Q129=1,$O129-ROW()/100000,"")</f>
        <v/>
      </c>
      <c r="S129" s="37" t="str">
        <f aca="false">IF($A129="","",INT($A129))</f>
        <v/>
      </c>
      <c r="T129" s="35" t="str">
        <f aca="false">IF($A129="","",IF(COUNTIFS($S$3:$S129,$S129)=1,1,0))</f>
        <v/>
      </c>
      <c r="U129" s="37" t="str">
        <f aca="false">IF($T129=1,$S129,"")</f>
        <v/>
      </c>
    </row>
    <row r="130" customFormat="false" ht="15" hidden="false" customHeight="false" outlineLevel="0" collapsed="false">
      <c r="M130" s="35" t="str">
        <f aca="false">IF($A130="","",HOUR($A130))</f>
        <v/>
      </c>
      <c r="N130" s="36" t="str">
        <f aca="false">IF($A130="","",$I130*$K130)</f>
        <v/>
      </c>
      <c r="O130" s="35" t="str">
        <f aca="false">IF(OR($A130="",$C130="U",$S130&lt;&gt;Calc!$F$2),"",SUMIFS($I$3:$I$3002,$E$3:$E$3002,$E130,$C$3:$C$3002,"&lt;&gt;U",$S$3:$S$3002,Calc!$F$2))</f>
        <v/>
      </c>
      <c r="P130" s="35" t="str">
        <f aca="false">IF(OR($A130="",$C130="U",$S130&lt;&gt;Calc!$F$2),"",SUMIFS($N$3:$N$3002,$E$3:$E$3002,$E130,$C$3:$C$3002,"&lt;&gt;U",$S$3:$S$3002,Calc!$F$2))</f>
        <v/>
      </c>
      <c r="Q130" s="35" t="str">
        <f aca="false">IF(OR($A130="",$C130="U",$S130&lt;&gt;Calc!$F$2),"",IF(COUNTIFS($E$3:$E130,$E130,$C$3:$C130,"&lt;&gt;U",$S$3:$S130,Calc!$F$2)=1,1,0))</f>
        <v/>
      </c>
      <c r="R130" s="35" t="str">
        <f aca="false">IF($Q130=1,$O130-ROW()/100000,"")</f>
        <v/>
      </c>
      <c r="S130" s="37" t="str">
        <f aca="false">IF($A130="","",INT($A130))</f>
        <v/>
      </c>
      <c r="T130" s="35" t="str">
        <f aca="false">IF($A130="","",IF(COUNTIFS($S$3:$S130,$S130)=1,1,0))</f>
        <v/>
      </c>
      <c r="U130" s="37" t="str">
        <f aca="false">IF($T130=1,$S130,"")</f>
        <v/>
      </c>
    </row>
    <row r="131" customFormat="false" ht="15" hidden="false" customHeight="false" outlineLevel="0" collapsed="false">
      <c r="M131" s="35" t="str">
        <f aca="false">IF($A131="","",HOUR($A131))</f>
        <v/>
      </c>
      <c r="N131" s="36" t="str">
        <f aca="false">IF($A131="","",$I131*$K131)</f>
        <v/>
      </c>
      <c r="O131" s="35" t="str">
        <f aca="false">IF(OR($A131="",$C131="U",$S131&lt;&gt;Calc!$F$2),"",SUMIFS($I$3:$I$3002,$E$3:$E$3002,$E131,$C$3:$C$3002,"&lt;&gt;U",$S$3:$S$3002,Calc!$F$2))</f>
        <v/>
      </c>
      <c r="P131" s="35" t="str">
        <f aca="false">IF(OR($A131="",$C131="U",$S131&lt;&gt;Calc!$F$2),"",SUMIFS($N$3:$N$3002,$E$3:$E$3002,$E131,$C$3:$C$3002,"&lt;&gt;U",$S$3:$S$3002,Calc!$F$2))</f>
        <v/>
      </c>
      <c r="Q131" s="35" t="str">
        <f aca="false">IF(OR($A131="",$C131="U",$S131&lt;&gt;Calc!$F$2),"",IF(COUNTIFS($E$3:$E131,$E131,$C$3:$C131,"&lt;&gt;U",$S$3:$S131,Calc!$F$2)=1,1,0))</f>
        <v/>
      </c>
      <c r="R131" s="35" t="str">
        <f aca="false">IF($Q131=1,$O131-ROW()/100000,"")</f>
        <v/>
      </c>
      <c r="S131" s="37" t="str">
        <f aca="false">IF($A131="","",INT($A131))</f>
        <v/>
      </c>
      <c r="T131" s="35" t="str">
        <f aca="false">IF($A131="","",IF(COUNTIFS($S$3:$S131,$S131)=1,1,0))</f>
        <v/>
      </c>
      <c r="U131" s="37" t="str">
        <f aca="false">IF($T131=1,$S131,"")</f>
        <v/>
      </c>
    </row>
    <row r="132" customFormat="false" ht="15" hidden="false" customHeight="false" outlineLevel="0" collapsed="false">
      <c r="M132" s="35" t="str">
        <f aca="false">IF($A132="","",HOUR($A132))</f>
        <v/>
      </c>
      <c r="N132" s="36" t="str">
        <f aca="false">IF($A132="","",$I132*$K132)</f>
        <v/>
      </c>
      <c r="O132" s="35" t="str">
        <f aca="false">IF(OR($A132="",$C132="U",$S132&lt;&gt;Calc!$F$2),"",SUMIFS($I$3:$I$3002,$E$3:$E$3002,$E132,$C$3:$C$3002,"&lt;&gt;U",$S$3:$S$3002,Calc!$F$2))</f>
        <v/>
      </c>
      <c r="P132" s="35" t="str">
        <f aca="false">IF(OR($A132="",$C132="U",$S132&lt;&gt;Calc!$F$2),"",SUMIFS($N$3:$N$3002,$E$3:$E$3002,$E132,$C$3:$C$3002,"&lt;&gt;U",$S$3:$S$3002,Calc!$F$2))</f>
        <v/>
      </c>
      <c r="Q132" s="35" t="str">
        <f aca="false">IF(OR($A132="",$C132="U",$S132&lt;&gt;Calc!$F$2),"",IF(COUNTIFS($E$3:$E132,$E132,$C$3:$C132,"&lt;&gt;U",$S$3:$S132,Calc!$F$2)=1,1,0))</f>
        <v/>
      </c>
      <c r="R132" s="35" t="str">
        <f aca="false">IF($Q132=1,$O132-ROW()/100000,"")</f>
        <v/>
      </c>
      <c r="S132" s="37" t="str">
        <f aca="false">IF($A132="","",INT($A132))</f>
        <v/>
      </c>
      <c r="T132" s="35" t="str">
        <f aca="false">IF($A132="","",IF(COUNTIFS($S$3:$S132,$S132)=1,1,0))</f>
        <v/>
      </c>
      <c r="U132" s="37" t="str">
        <f aca="false">IF($T132=1,$S132,"")</f>
        <v/>
      </c>
    </row>
    <row r="133" customFormat="false" ht="15" hidden="false" customHeight="false" outlineLevel="0" collapsed="false">
      <c r="M133" s="35" t="str">
        <f aca="false">IF($A133="","",HOUR($A133))</f>
        <v/>
      </c>
      <c r="N133" s="36" t="str">
        <f aca="false">IF($A133="","",$I133*$K133)</f>
        <v/>
      </c>
      <c r="O133" s="35" t="str">
        <f aca="false">IF(OR($A133="",$C133="U",$S133&lt;&gt;Calc!$F$2),"",SUMIFS($I$3:$I$3002,$E$3:$E$3002,$E133,$C$3:$C$3002,"&lt;&gt;U",$S$3:$S$3002,Calc!$F$2))</f>
        <v/>
      </c>
      <c r="P133" s="35" t="str">
        <f aca="false">IF(OR($A133="",$C133="U",$S133&lt;&gt;Calc!$F$2),"",SUMIFS($N$3:$N$3002,$E$3:$E$3002,$E133,$C$3:$C$3002,"&lt;&gt;U",$S$3:$S$3002,Calc!$F$2))</f>
        <v/>
      </c>
      <c r="Q133" s="35" t="str">
        <f aca="false">IF(OR($A133="",$C133="U",$S133&lt;&gt;Calc!$F$2),"",IF(COUNTIFS($E$3:$E133,$E133,$C$3:$C133,"&lt;&gt;U",$S$3:$S133,Calc!$F$2)=1,1,0))</f>
        <v/>
      </c>
      <c r="R133" s="35" t="str">
        <f aca="false">IF($Q133=1,$O133-ROW()/100000,"")</f>
        <v/>
      </c>
      <c r="S133" s="37" t="str">
        <f aca="false">IF($A133="","",INT($A133))</f>
        <v/>
      </c>
      <c r="T133" s="35" t="str">
        <f aca="false">IF($A133="","",IF(COUNTIFS($S$3:$S133,$S133)=1,1,0))</f>
        <v/>
      </c>
      <c r="U133" s="37" t="str">
        <f aca="false">IF($T133=1,$S133,"")</f>
        <v/>
      </c>
    </row>
    <row r="134" customFormat="false" ht="15" hidden="false" customHeight="false" outlineLevel="0" collapsed="false">
      <c r="M134" s="35" t="str">
        <f aca="false">IF($A134="","",HOUR($A134))</f>
        <v/>
      </c>
      <c r="N134" s="36" t="str">
        <f aca="false">IF($A134="","",$I134*$K134)</f>
        <v/>
      </c>
      <c r="O134" s="35" t="str">
        <f aca="false">IF(OR($A134="",$C134="U",$S134&lt;&gt;Calc!$F$2),"",SUMIFS($I$3:$I$3002,$E$3:$E$3002,$E134,$C$3:$C$3002,"&lt;&gt;U",$S$3:$S$3002,Calc!$F$2))</f>
        <v/>
      </c>
      <c r="P134" s="35" t="str">
        <f aca="false">IF(OR($A134="",$C134="U",$S134&lt;&gt;Calc!$F$2),"",SUMIFS($N$3:$N$3002,$E$3:$E$3002,$E134,$C$3:$C$3002,"&lt;&gt;U",$S$3:$S$3002,Calc!$F$2))</f>
        <v/>
      </c>
      <c r="Q134" s="35" t="str">
        <f aca="false">IF(OR($A134="",$C134="U",$S134&lt;&gt;Calc!$F$2),"",IF(COUNTIFS($E$3:$E134,$E134,$C$3:$C134,"&lt;&gt;U",$S$3:$S134,Calc!$F$2)=1,1,0))</f>
        <v/>
      </c>
      <c r="R134" s="35" t="str">
        <f aca="false">IF($Q134=1,$O134-ROW()/100000,"")</f>
        <v/>
      </c>
      <c r="S134" s="37" t="str">
        <f aca="false">IF($A134="","",INT($A134))</f>
        <v/>
      </c>
      <c r="T134" s="35" t="str">
        <f aca="false">IF($A134="","",IF(COUNTIFS($S$3:$S134,$S134)=1,1,0))</f>
        <v/>
      </c>
      <c r="U134" s="37" t="str">
        <f aca="false">IF($T134=1,$S134,"")</f>
        <v/>
      </c>
    </row>
    <row r="135" customFormat="false" ht="15" hidden="false" customHeight="false" outlineLevel="0" collapsed="false">
      <c r="M135" s="35" t="str">
        <f aca="false">IF($A135="","",HOUR($A135))</f>
        <v/>
      </c>
      <c r="N135" s="36" t="str">
        <f aca="false">IF($A135="","",$I135*$K135)</f>
        <v/>
      </c>
      <c r="O135" s="35" t="str">
        <f aca="false">IF(OR($A135="",$C135="U",$S135&lt;&gt;Calc!$F$2),"",SUMIFS($I$3:$I$3002,$E$3:$E$3002,$E135,$C$3:$C$3002,"&lt;&gt;U",$S$3:$S$3002,Calc!$F$2))</f>
        <v/>
      </c>
      <c r="P135" s="35" t="str">
        <f aca="false">IF(OR($A135="",$C135="U",$S135&lt;&gt;Calc!$F$2),"",SUMIFS($N$3:$N$3002,$E$3:$E$3002,$E135,$C$3:$C$3002,"&lt;&gt;U",$S$3:$S$3002,Calc!$F$2))</f>
        <v/>
      </c>
      <c r="Q135" s="35" t="str">
        <f aca="false">IF(OR($A135="",$C135="U",$S135&lt;&gt;Calc!$F$2),"",IF(COUNTIFS($E$3:$E135,$E135,$C$3:$C135,"&lt;&gt;U",$S$3:$S135,Calc!$F$2)=1,1,0))</f>
        <v/>
      </c>
      <c r="R135" s="35" t="str">
        <f aca="false">IF($Q135=1,$O135-ROW()/100000,"")</f>
        <v/>
      </c>
      <c r="S135" s="37" t="str">
        <f aca="false">IF($A135="","",INT($A135))</f>
        <v/>
      </c>
      <c r="T135" s="35" t="str">
        <f aca="false">IF($A135="","",IF(COUNTIFS($S$3:$S135,$S135)=1,1,0))</f>
        <v/>
      </c>
      <c r="U135" s="37" t="str">
        <f aca="false">IF($T135=1,$S135,"")</f>
        <v/>
      </c>
    </row>
    <row r="136" customFormat="false" ht="15" hidden="false" customHeight="false" outlineLevel="0" collapsed="false">
      <c r="M136" s="35" t="str">
        <f aca="false">IF($A136="","",HOUR($A136))</f>
        <v/>
      </c>
      <c r="N136" s="36" t="str">
        <f aca="false">IF($A136="","",$I136*$K136)</f>
        <v/>
      </c>
      <c r="O136" s="35" t="str">
        <f aca="false">IF(OR($A136="",$C136="U",$S136&lt;&gt;Calc!$F$2),"",SUMIFS($I$3:$I$3002,$E$3:$E$3002,$E136,$C$3:$C$3002,"&lt;&gt;U",$S$3:$S$3002,Calc!$F$2))</f>
        <v/>
      </c>
      <c r="P136" s="35" t="str">
        <f aca="false">IF(OR($A136="",$C136="U",$S136&lt;&gt;Calc!$F$2),"",SUMIFS($N$3:$N$3002,$E$3:$E$3002,$E136,$C$3:$C$3002,"&lt;&gt;U",$S$3:$S$3002,Calc!$F$2))</f>
        <v/>
      </c>
      <c r="Q136" s="35" t="str">
        <f aca="false">IF(OR($A136="",$C136="U",$S136&lt;&gt;Calc!$F$2),"",IF(COUNTIFS($E$3:$E136,$E136,$C$3:$C136,"&lt;&gt;U",$S$3:$S136,Calc!$F$2)=1,1,0))</f>
        <v/>
      </c>
      <c r="R136" s="35" t="str">
        <f aca="false">IF($Q136=1,$O136-ROW()/100000,"")</f>
        <v/>
      </c>
      <c r="S136" s="37" t="str">
        <f aca="false">IF($A136="","",INT($A136))</f>
        <v/>
      </c>
      <c r="T136" s="35" t="str">
        <f aca="false">IF($A136="","",IF(COUNTIFS($S$3:$S136,$S136)=1,1,0))</f>
        <v/>
      </c>
      <c r="U136" s="37" t="str">
        <f aca="false">IF($T136=1,$S136,"")</f>
        <v/>
      </c>
    </row>
    <row r="137" customFormat="false" ht="15" hidden="false" customHeight="false" outlineLevel="0" collapsed="false">
      <c r="M137" s="35" t="str">
        <f aca="false">IF($A137="","",HOUR($A137))</f>
        <v/>
      </c>
      <c r="N137" s="36" t="str">
        <f aca="false">IF($A137="","",$I137*$K137)</f>
        <v/>
      </c>
      <c r="O137" s="35" t="str">
        <f aca="false">IF(OR($A137="",$C137="U",$S137&lt;&gt;Calc!$F$2),"",SUMIFS($I$3:$I$3002,$E$3:$E$3002,$E137,$C$3:$C$3002,"&lt;&gt;U",$S$3:$S$3002,Calc!$F$2))</f>
        <v/>
      </c>
      <c r="P137" s="35" t="str">
        <f aca="false">IF(OR($A137="",$C137="U",$S137&lt;&gt;Calc!$F$2),"",SUMIFS($N$3:$N$3002,$E$3:$E$3002,$E137,$C$3:$C$3002,"&lt;&gt;U",$S$3:$S$3002,Calc!$F$2))</f>
        <v/>
      </c>
      <c r="Q137" s="35" t="str">
        <f aca="false">IF(OR($A137="",$C137="U",$S137&lt;&gt;Calc!$F$2),"",IF(COUNTIFS($E$3:$E137,$E137,$C$3:$C137,"&lt;&gt;U",$S$3:$S137,Calc!$F$2)=1,1,0))</f>
        <v/>
      </c>
      <c r="R137" s="35" t="str">
        <f aca="false">IF($Q137=1,$O137-ROW()/100000,"")</f>
        <v/>
      </c>
      <c r="S137" s="37" t="str">
        <f aca="false">IF($A137="","",INT($A137))</f>
        <v/>
      </c>
      <c r="T137" s="35" t="str">
        <f aca="false">IF($A137="","",IF(COUNTIFS($S$3:$S137,$S137)=1,1,0))</f>
        <v/>
      </c>
      <c r="U137" s="37" t="str">
        <f aca="false">IF($T137=1,$S137,"")</f>
        <v/>
      </c>
    </row>
    <row r="138" customFormat="false" ht="15" hidden="false" customHeight="false" outlineLevel="0" collapsed="false">
      <c r="M138" s="35" t="str">
        <f aca="false">IF($A138="","",HOUR($A138))</f>
        <v/>
      </c>
      <c r="N138" s="36" t="str">
        <f aca="false">IF($A138="","",$I138*$K138)</f>
        <v/>
      </c>
      <c r="O138" s="35" t="str">
        <f aca="false">IF(OR($A138="",$C138="U",$S138&lt;&gt;Calc!$F$2),"",SUMIFS($I$3:$I$3002,$E$3:$E$3002,$E138,$C$3:$C$3002,"&lt;&gt;U",$S$3:$S$3002,Calc!$F$2))</f>
        <v/>
      </c>
      <c r="P138" s="35" t="str">
        <f aca="false">IF(OR($A138="",$C138="U",$S138&lt;&gt;Calc!$F$2),"",SUMIFS($N$3:$N$3002,$E$3:$E$3002,$E138,$C$3:$C$3002,"&lt;&gt;U",$S$3:$S$3002,Calc!$F$2))</f>
        <v/>
      </c>
      <c r="Q138" s="35" t="str">
        <f aca="false">IF(OR($A138="",$C138="U",$S138&lt;&gt;Calc!$F$2),"",IF(COUNTIFS($E$3:$E138,$E138,$C$3:$C138,"&lt;&gt;U",$S$3:$S138,Calc!$F$2)=1,1,0))</f>
        <v/>
      </c>
      <c r="R138" s="35" t="str">
        <f aca="false">IF($Q138=1,$O138-ROW()/100000,"")</f>
        <v/>
      </c>
      <c r="S138" s="37" t="str">
        <f aca="false">IF($A138="","",INT($A138))</f>
        <v/>
      </c>
      <c r="T138" s="35" t="str">
        <f aca="false">IF($A138="","",IF(COUNTIFS($S$3:$S138,$S138)=1,1,0))</f>
        <v/>
      </c>
      <c r="U138" s="37" t="str">
        <f aca="false">IF($T138=1,$S138,"")</f>
        <v/>
      </c>
    </row>
    <row r="139" customFormat="false" ht="15" hidden="false" customHeight="false" outlineLevel="0" collapsed="false">
      <c r="M139" s="35" t="str">
        <f aca="false">IF($A139="","",HOUR($A139))</f>
        <v/>
      </c>
      <c r="N139" s="36" t="str">
        <f aca="false">IF($A139="","",$I139*$K139)</f>
        <v/>
      </c>
      <c r="O139" s="35" t="str">
        <f aca="false">IF(OR($A139="",$C139="U",$S139&lt;&gt;Calc!$F$2),"",SUMIFS($I$3:$I$3002,$E$3:$E$3002,$E139,$C$3:$C$3002,"&lt;&gt;U",$S$3:$S$3002,Calc!$F$2))</f>
        <v/>
      </c>
      <c r="P139" s="35" t="str">
        <f aca="false">IF(OR($A139="",$C139="U",$S139&lt;&gt;Calc!$F$2),"",SUMIFS($N$3:$N$3002,$E$3:$E$3002,$E139,$C$3:$C$3002,"&lt;&gt;U",$S$3:$S$3002,Calc!$F$2))</f>
        <v/>
      </c>
      <c r="Q139" s="35" t="str">
        <f aca="false">IF(OR($A139="",$C139="U",$S139&lt;&gt;Calc!$F$2),"",IF(COUNTIFS($E$3:$E139,$E139,$C$3:$C139,"&lt;&gt;U",$S$3:$S139,Calc!$F$2)=1,1,0))</f>
        <v/>
      </c>
      <c r="R139" s="35" t="str">
        <f aca="false">IF($Q139=1,$O139-ROW()/100000,"")</f>
        <v/>
      </c>
      <c r="S139" s="37" t="str">
        <f aca="false">IF($A139="","",INT($A139))</f>
        <v/>
      </c>
      <c r="T139" s="35" t="str">
        <f aca="false">IF($A139="","",IF(COUNTIFS($S$3:$S139,$S139)=1,1,0))</f>
        <v/>
      </c>
      <c r="U139" s="37" t="str">
        <f aca="false">IF($T139=1,$S139,"")</f>
        <v/>
      </c>
    </row>
    <row r="140" customFormat="false" ht="15" hidden="false" customHeight="false" outlineLevel="0" collapsed="false">
      <c r="M140" s="35" t="str">
        <f aca="false">IF($A140="","",HOUR($A140))</f>
        <v/>
      </c>
      <c r="N140" s="36" t="str">
        <f aca="false">IF($A140="","",$I140*$K140)</f>
        <v/>
      </c>
      <c r="O140" s="35" t="str">
        <f aca="false">IF(OR($A140="",$C140="U",$S140&lt;&gt;Calc!$F$2),"",SUMIFS($I$3:$I$3002,$E$3:$E$3002,$E140,$C$3:$C$3002,"&lt;&gt;U",$S$3:$S$3002,Calc!$F$2))</f>
        <v/>
      </c>
      <c r="P140" s="35" t="str">
        <f aca="false">IF(OR($A140="",$C140="U",$S140&lt;&gt;Calc!$F$2),"",SUMIFS($N$3:$N$3002,$E$3:$E$3002,$E140,$C$3:$C$3002,"&lt;&gt;U",$S$3:$S$3002,Calc!$F$2))</f>
        <v/>
      </c>
      <c r="Q140" s="35" t="str">
        <f aca="false">IF(OR($A140="",$C140="U",$S140&lt;&gt;Calc!$F$2),"",IF(COUNTIFS($E$3:$E140,$E140,$C$3:$C140,"&lt;&gt;U",$S$3:$S140,Calc!$F$2)=1,1,0))</f>
        <v/>
      </c>
      <c r="R140" s="35" t="str">
        <f aca="false">IF($Q140=1,$O140-ROW()/100000,"")</f>
        <v/>
      </c>
      <c r="S140" s="37" t="str">
        <f aca="false">IF($A140="","",INT($A140))</f>
        <v/>
      </c>
      <c r="T140" s="35" t="str">
        <f aca="false">IF($A140="","",IF(COUNTIFS($S$3:$S140,$S140)=1,1,0))</f>
        <v/>
      </c>
      <c r="U140" s="37" t="str">
        <f aca="false">IF($T140=1,$S140,"")</f>
        <v/>
      </c>
    </row>
    <row r="141" customFormat="false" ht="15" hidden="false" customHeight="false" outlineLevel="0" collapsed="false">
      <c r="M141" s="35" t="str">
        <f aca="false">IF($A141="","",HOUR($A141))</f>
        <v/>
      </c>
      <c r="N141" s="36" t="str">
        <f aca="false">IF($A141="","",$I141*$K141)</f>
        <v/>
      </c>
      <c r="O141" s="35" t="str">
        <f aca="false">IF(OR($A141="",$C141="U",$S141&lt;&gt;Calc!$F$2),"",SUMIFS($I$3:$I$3002,$E$3:$E$3002,$E141,$C$3:$C$3002,"&lt;&gt;U",$S$3:$S$3002,Calc!$F$2))</f>
        <v/>
      </c>
      <c r="P141" s="35" t="str">
        <f aca="false">IF(OR($A141="",$C141="U",$S141&lt;&gt;Calc!$F$2),"",SUMIFS($N$3:$N$3002,$E$3:$E$3002,$E141,$C$3:$C$3002,"&lt;&gt;U",$S$3:$S$3002,Calc!$F$2))</f>
        <v/>
      </c>
      <c r="Q141" s="35" t="str">
        <f aca="false">IF(OR($A141="",$C141="U",$S141&lt;&gt;Calc!$F$2),"",IF(COUNTIFS($E$3:$E141,$E141,$C$3:$C141,"&lt;&gt;U",$S$3:$S141,Calc!$F$2)=1,1,0))</f>
        <v/>
      </c>
      <c r="R141" s="35" t="str">
        <f aca="false">IF($Q141=1,$O141-ROW()/100000,"")</f>
        <v/>
      </c>
      <c r="S141" s="37" t="str">
        <f aca="false">IF($A141="","",INT($A141))</f>
        <v/>
      </c>
      <c r="T141" s="35" t="str">
        <f aca="false">IF($A141="","",IF(COUNTIFS($S$3:$S141,$S141)=1,1,0))</f>
        <v/>
      </c>
      <c r="U141" s="37" t="str">
        <f aca="false">IF($T141=1,$S141,"")</f>
        <v/>
      </c>
    </row>
    <row r="142" customFormat="false" ht="15" hidden="false" customHeight="false" outlineLevel="0" collapsed="false">
      <c r="M142" s="35" t="str">
        <f aca="false">IF($A142="","",HOUR($A142))</f>
        <v/>
      </c>
      <c r="N142" s="36" t="str">
        <f aca="false">IF($A142="","",$I142*$K142)</f>
        <v/>
      </c>
      <c r="O142" s="35" t="str">
        <f aca="false">IF(OR($A142="",$C142="U",$S142&lt;&gt;Calc!$F$2),"",SUMIFS($I$3:$I$3002,$E$3:$E$3002,$E142,$C$3:$C$3002,"&lt;&gt;U",$S$3:$S$3002,Calc!$F$2))</f>
        <v/>
      </c>
      <c r="P142" s="35" t="str">
        <f aca="false">IF(OR($A142="",$C142="U",$S142&lt;&gt;Calc!$F$2),"",SUMIFS($N$3:$N$3002,$E$3:$E$3002,$E142,$C$3:$C$3002,"&lt;&gt;U",$S$3:$S$3002,Calc!$F$2))</f>
        <v/>
      </c>
      <c r="Q142" s="35" t="str">
        <f aca="false">IF(OR($A142="",$C142="U",$S142&lt;&gt;Calc!$F$2),"",IF(COUNTIFS($E$3:$E142,$E142,$C$3:$C142,"&lt;&gt;U",$S$3:$S142,Calc!$F$2)=1,1,0))</f>
        <v/>
      </c>
      <c r="R142" s="35" t="str">
        <f aca="false">IF($Q142=1,$O142-ROW()/100000,"")</f>
        <v/>
      </c>
      <c r="S142" s="37" t="str">
        <f aca="false">IF($A142="","",INT($A142))</f>
        <v/>
      </c>
      <c r="T142" s="35" t="str">
        <f aca="false">IF($A142="","",IF(COUNTIFS($S$3:$S142,$S142)=1,1,0))</f>
        <v/>
      </c>
      <c r="U142" s="37" t="str">
        <f aca="false">IF($T142=1,$S142,"")</f>
        <v/>
      </c>
    </row>
    <row r="143" customFormat="false" ht="15" hidden="false" customHeight="false" outlineLevel="0" collapsed="false">
      <c r="M143" s="35" t="str">
        <f aca="false">IF($A143="","",HOUR($A143))</f>
        <v/>
      </c>
      <c r="N143" s="36" t="str">
        <f aca="false">IF($A143="","",$I143*$K143)</f>
        <v/>
      </c>
      <c r="O143" s="35" t="str">
        <f aca="false">IF(OR($A143="",$C143="U",$S143&lt;&gt;Calc!$F$2),"",SUMIFS($I$3:$I$3002,$E$3:$E$3002,$E143,$C$3:$C$3002,"&lt;&gt;U",$S$3:$S$3002,Calc!$F$2))</f>
        <v/>
      </c>
      <c r="P143" s="35" t="str">
        <f aca="false">IF(OR($A143="",$C143="U",$S143&lt;&gt;Calc!$F$2),"",SUMIFS($N$3:$N$3002,$E$3:$E$3002,$E143,$C$3:$C$3002,"&lt;&gt;U",$S$3:$S$3002,Calc!$F$2))</f>
        <v/>
      </c>
      <c r="Q143" s="35" t="str">
        <f aca="false">IF(OR($A143="",$C143="U",$S143&lt;&gt;Calc!$F$2),"",IF(COUNTIFS($E$3:$E143,$E143,$C$3:$C143,"&lt;&gt;U",$S$3:$S143,Calc!$F$2)=1,1,0))</f>
        <v/>
      </c>
      <c r="R143" s="35" t="str">
        <f aca="false">IF($Q143=1,$O143-ROW()/100000,"")</f>
        <v/>
      </c>
      <c r="S143" s="37" t="str">
        <f aca="false">IF($A143="","",INT($A143))</f>
        <v/>
      </c>
      <c r="T143" s="35" t="str">
        <f aca="false">IF($A143="","",IF(COUNTIFS($S$3:$S143,$S143)=1,1,0))</f>
        <v/>
      </c>
      <c r="U143" s="37" t="str">
        <f aca="false">IF($T143=1,$S143,"")</f>
        <v/>
      </c>
    </row>
    <row r="144" customFormat="false" ht="15" hidden="false" customHeight="false" outlineLevel="0" collapsed="false">
      <c r="M144" s="35" t="str">
        <f aca="false">IF($A144="","",HOUR($A144))</f>
        <v/>
      </c>
      <c r="N144" s="36" t="str">
        <f aca="false">IF($A144="","",$I144*$K144)</f>
        <v/>
      </c>
      <c r="O144" s="35" t="str">
        <f aca="false">IF(OR($A144="",$C144="U",$S144&lt;&gt;Calc!$F$2),"",SUMIFS($I$3:$I$3002,$E$3:$E$3002,$E144,$C$3:$C$3002,"&lt;&gt;U",$S$3:$S$3002,Calc!$F$2))</f>
        <v/>
      </c>
      <c r="P144" s="35" t="str">
        <f aca="false">IF(OR($A144="",$C144="U",$S144&lt;&gt;Calc!$F$2),"",SUMIFS($N$3:$N$3002,$E$3:$E$3002,$E144,$C$3:$C$3002,"&lt;&gt;U",$S$3:$S$3002,Calc!$F$2))</f>
        <v/>
      </c>
      <c r="Q144" s="35" t="str">
        <f aca="false">IF(OR($A144="",$C144="U",$S144&lt;&gt;Calc!$F$2),"",IF(COUNTIFS($E$3:$E144,$E144,$C$3:$C144,"&lt;&gt;U",$S$3:$S144,Calc!$F$2)=1,1,0))</f>
        <v/>
      </c>
      <c r="R144" s="35" t="str">
        <f aca="false">IF($Q144=1,$O144-ROW()/100000,"")</f>
        <v/>
      </c>
      <c r="S144" s="37" t="str">
        <f aca="false">IF($A144="","",INT($A144))</f>
        <v/>
      </c>
      <c r="T144" s="35" t="str">
        <f aca="false">IF($A144="","",IF(COUNTIFS($S$3:$S144,$S144)=1,1,0))</f>
        <v/>
      </c>
      <c r="U144" s="37" t="str">
        <f aca="false">IF($T144=1,$S144,"")</f>
        <v/>
      </c>
    </row>
    <row r="145" customFormat="false" ht="15" hidden="false" customHeight="false" outlineLevel="0" collapsed="false">
      <c r="M145" s="35" t="str">
        <f aca="false">IF($A145="","",HOUR($A145))</f>
        <v/>
      </c>
      <c r="N145" s="36" t="str">
        <f aca="false">IF($A145="","",$I145*$K145)</f>
        <v/>
      </c>
      <c r="O145" s="35" t="str">
        <f aca="false">IF(OR($A145="",$C145="U",$S145&lt;&gt;Calc!$F$2),"",SUMIFS($I$3:$I$3002,$E$3:$E$3002,$E145,$C$3:$C$3002,"&lt;&gt;U",$S$3:$S$3002,Calc!$F$2))</f>
        <v/>
      </c>
      <c r="P145" s="35" t="str">
        <f aca="false">IF(OR($A145="",$C145="U",$S145&lt;&gt;Calc!$F$2),"",SUMIFS($N$3:$N$3002,$E$3:$E$3002,$E145,$C$3:$C$3002,"&lt;&gt;U",$S$3:$S$3002,Calc!$F$2))</f>
        <v/>
      </c>
      <c r="Q145" s="35" t="str">
        <f aca="false">IF(OR($A145="",$C145="U",$S145&lt;&gt;Calc!$F$2),"",IF(COUNTIFS($E$3:$E145,$E145,$C$3:$C145,"&lt;&gt;U",$S$3:$S145,Calc!$F$2)=1,1,0))</f>
        <v/>
      </c>
      <c r="R145" s="35" t="str">
        <f aca="false">IF($Q145=1,$O145-ROW()/100000,"")</f>
        <v/>
      </c>
      <c r="S145" s="37" t="str">
        <f aca="false">IF($A145="","",INT($A145))</f>
        <v/>
      </c>
      <c r="T145" s="35" t="str">
        <f aca="false">IF($A145="","",IF(COUNTIFS($S$3:$S145,$S145)=1,1,0))</f>
        <v/>
      </c>
      <c r="U145" s="37" t="str">
        <f aca="false">IF($T145=1,$S145,"")</f>
        <v/>
      </c>
    </row>
    <row r="146" customFormat="false" ht="15" hidden="false" customHeight="false" outlineLevel="0" collapsed="false">
      <c r="M146" s="35" t="str">
        <f aca="false">IF($A146="","",HOUR($A146))</f>
        <v/>
      </c>
      <c r="N146" s="36" t="str">
        <f aca="false">IF($A146="","",$I146*$K146)</f>
        <v/>
      </c>
      <c r="O146" s="35" t="str">
        <f aca="false">IF(OR($A146="",$C146="U",$S146&lt;&gt;Calc!$F$2),"",SUMIFS($I$3:$I$3002,$E$3:$E$3002,$E146,$C$3:$C$3002,"&lt;&gt;U",$S$3:$S$3002,Calc!$F$2))</f>
        <v/>
      </c>
      <c r="P146" s="35" t="str">
        <f aca="false">IF(OR($A146="",$C146="U",$S146&lt;&gt;Calc!$F$2),"",SUMIFS($N$3:$N$3002,$E$3:$E$3002,$E146,$C$3:$C$3002,"&lt;&gt;U",$S$3:$S$3002,Calc!$F$2))</f>
        <v/>
      </c>
      <c r="Q146" s="35" t="str">
        <f aca="false">IF(OR($A146="",$C146="U",$S146&lt;&gt;Calc!$F$2),"",IF(COUNTIFS($E$3:$E146,$E146,$C$3:$C146,"&lt;&gt;U",$S$3:$S146,Calc!$F$2)=1,1,0))</f>
        <v/>
      </c>
      <c r="R146" s="35" t="str">
        <f aca="false">IF($Q146=1,$O146-ROW()/100000,"")</f>
        <v/>
      </c>
      <c r="S146" s="37" t="str">
        <f aca="false">IF($A146="","",INT($A146))</f>
        <v/>
      </c>
      <c r="T146" s="35" t="str">
        <f aca="false">IF($A146="","",IF(COUNTIFS($S$3:$S146,$S146)=1,1,0))</f>
        <v/>
      </c>
      <c r="U146" s="37" t="str">
        <f aca="false">IF($T146=1,$S146,"")</f>
        <v/>
      </c>
    </row>
    <row r="147" customFormat="false" ht="15" hidden="false" customHeight="false" outlineLevel="0" collapsed="false">
      <c r="M147" s="35" t="str">
        <f aca="false">IF($A147="","",HOUR($A147))</f>
        <v/>
      </c>
      <c r="N147" s="36" t="str">
        <f aca="false">IF($A147="","",$I147*$K147)</f>
        <v/>
      </c>
      <c r="O147" s="35" t="str">
        <f aca="false">IF(OR($A147="",$C147="U",$S147&lt;&gt;Calc!$F$2),"",SUMIFS($I$3:$I$3002,$E$3:$E$3002,$E147,$C$3:$C$3002,"&lt;&gt;U",$S$3:$S$3002,Calc!$F$2))</f>
        <v/>
      </c>
      <c r="P147" s="35" t="str">
        <f aca="false">IF(OR($A147="",$C147="U",$S147&lt;&gt;Calc!$F$2),"",SUMIFS($N$3:$N$3002,$E$3:$E$3002,$E147,$C$3:$C$3002,"&lt;&gt;U",$S$3:$S$3002,Calc!$F$2))</f>
        <v/>
      </c>
      <c r="Q147" s="35" t="str">
        <f aca="false">IF(OR($A147="",$C147="U",$S147&lt;&gt;Calc!$F$2),"",IF(COUNTIFS($E$3:$E147,$E147,$C$3:$C147,"&lt;&gt;U",$S$3:$S147,Calc!$F$2)=1,1,0))</f>
        <v/>
      </c>
      <c r="R147" s="35" t="str">
        <f aca="false">IF($Q147=1,$O147-ROW()/100000,"")</f>
        <v/>
      </c>
      <c r="S147" s="37" t="str">
        <f aca="false">IF($A147="","",INT($A147))</f>
        <v/>
      </c>
      <c r="T147" s="35" t="str">
        <f aca="false">IF($A147="","",IF(COUNTIFS($S$3:$S147,$S147)=1,1,0))</f>
        <v/>
      </c>
      <c r="U147" s="37" t="str">
        <f aca="false">IF($T147=1,$S147,"")</f>
        <v/>
      </c>
    </row>
    <row r="148" customFormat="false" ht="15" hidden="false" customHeight="false" outlineLevel="0" collapsed="false">
      <c r="M148" s="35" t="str">
        <f aca="false">IF($A148="","",HOUR($A148))</f>
        <v/>
      </c>
      <c r="N148" s="36" t="str">
        <f aca="false">IF($A148="","",$I148*$K148)</f>
        <v/>
      </c>
      <c r="O148" s="35" t="str">
        <f aca="false">IF(OR($A148="",$C148="U",$S148&lt;&gt;Calc!$F$2),"",SUMIFS($I$3:$I$3002,$E$3:$E$3002,$E148,$C$3:$C$3002,"&lt;&gt;U",$S$3:$S$3002,Calc!$F$2))</f>
        <v/>
      </c>
      <c r="P148" s="35" t="str">
        <f aca="false">IF(OR($A148="",$C148="U",$S148&lt;&gt;Calc!$F$2),"",SUMIFS($N$3:$N$3002,$E$3:$E$3002,$E148,$C$3:$C$3002,"&lt;&gt;U",$S$3:$S$3002,Calc!$F$2))</f>
        <v/>
      </c>
      <c r="Q148" s="35" t="str">
        <f aca="false">IF(OR($A148="",$C148="U",$S148&lt;&gt;Calc!$F$2),"",IF(COUNTIFS($E$3:$E148,$E148,$C$3:$C148,"&lt;&gt;U",$S$3:$S148,Calc!$F$2)=1,1,0))</f>
        <v/>
      </c>
      <c r="R148" s="35" t="str">
        <f aca="false">IF($Q148=1,$O148-ROW()/100000,"")</f>
        <v/>
      </c>
      <c r="S148" s="37" t="str">
        <f aca="false">IF($A148="","",INT($A148))</f>
        <v/>
      </c>
      <c r="T148" s="35" t="str">
        <f aca="false">IF($A148="","",IF(COUNTIFS($S$3:$S148,$S148)=1,1,0))</f>
        <v/>
      </c>
      <c r="U148" s="37" t="str">
        <f aca="false">IF($T148=1,$S148,"")</f>
        <v/>
      </c>
    </row>
    <row r="149" customFormat="false" ht="15" hidden="false" customHeight="false" outlineLevel="0" collapsed="false">
      <c r="M149" s="35" t="str">
        <f aca="false">IF($A149="","",HOUR($A149))</f>
        <v/>
      </c>
      <c r="N149" s="36" t="str">
        <f aca="false">IF($A149="","",$I149*$K149)</f>
        <v/>
      </c>
      <c r="O149" s="35" t="str">
        <f aca="false">IF(OR($A149="",$C149="U",$S149&lt;&gt;Calc!$F$2),"",SUMIFS($I$3:$I$3002,$E$3:$E$3002,$E149,$C$3:$C$3002,"&lt;&gt;U",$S$3:$S$3002,Calc!$F$2))</f>
        <v/>
      </c>
      <c r="P149" s="35" t="str">
        <f aca="false">IF(OR($A149="",$C149="U",$S149&lt;&gt;Calc!$F$2),"",SUMIFS($N$3:$N$3002,$E$3:$E$3002,$E149,$C$3:$C$3002,"&lt;&gt;U",$S$3:$S$3002,Calc!$F$2))</f>
        <v/>
      </c>
      <c r="Q149" s="35" t="str">
        <f aca="false">IF(OR($A149="",$C149="U",$S149&lt;&gt;Calc!$F$2),"",IF(COUNTIFS($E$3:$E149,$E149,$C$3:$C149,"&lt;&gt;U",$S$3:$S149,Calc!$F$2)=1,1,0))</f>
        <v/>
      </c>
      <c r="R149" s="35" t="str">
        <f aca="false">IF($Q149=1,$O149-ROW()/100000,"")</f>
        <v/>
      </c>
      <c r="S149" s="37" t="str">
        <f aca="false">IF($A149="","",INT($A149))</f>
        <v/>
      </c>
      <c r="T149" s="35" t="str">
        <f aca="false">IF($A149="","",IF(COUNTIFS($S$3:$S149,$S149)=1,1,0))</f>
        <v/>
      </c>
      <c r="U149" s="37" t="str">
        <f aca="false">IF($T149=1,$S149,"")</f>
        <v/>
      </c>
    </row>
    <row r="150" customFormat="false" ht="15" hidden="false" customHeight="false" outlineLevel="0" collapsed="false">
      <c r="M150" s="35" t="str">
        <f aca="false">IF($A150="","",HOUR($A150))</f>
        <v/>
      </c>
      <c r="N150" s="36" t="str">
        <f aca="false">IF($A150="","",$I150*$K150)</f>
        <v/>
      </c>
      <c r="O150" s="35" t="str">
        <f aca="false">IF(OR($A150="",$C150="U",$S150&lt;&gt;Calc!$F$2),"",SUMIFS($I$3:$I$3002,$E$3:$E$3002,$E150,$C$3:$C$3002,"&lt;&gt;U",$S$3:$S$3002,Calc!$F$2))</f>
        <v/>
      </c>
      <c r="P150" s="35" t="str">
        <f aca="false">IF(OR($A150="",$C150="U",$S150&lt;&gt;Calc!$F$2),"",SUMIFS($N$3:$N$3002,$E$3:$E$3002,$E150,$C$3:$C$3002,"&lt;&gt;U",$S$3:$S$3002,Calc!$F$2))</f>
        <v/>
      </c>
      <c r="Q150" s="35" t="str">
        <f aca="false">IF(OR($A150="",$C150="U",$S150&lt;&gt;Calc!$F$2),"",IF(COUNTIFS($E$3:$E150,$E150,$C$3:$C150,"&lt;&gt;U",$S$3:$S150,Calc!$F$2)=1,1,0))</f>
        <v/>
      </c>
      <c r="R150" s="35" t="str">
        <f aca="false">IF($Q150=1,$O150-ROW()/100000,"")</f>
        <v/>
      </c>
      <c r="S150" s="37" t="str">
        <f aca="false">IF($A150="","",INT($A150))</f>
        <v/>
      </c>
      <c r="T150" s="35" t="str">
        <f aca="false">IF($A150="","",IF(COUNTIFS($S$3:$S150,$S150)=1,1,0))</f>
        <v/>
      </c>
      <c r="U150" s="37" t="str">
        <f aca="false">IF($T150=1,$S150,"")</f>
        <v/>
      </c>
    </row>
    <row r="151" customFormat="false" ht="15" hidden="false" customHeight="false" outlineLevel="0" collapsed="false">
      <c r="M151" s="35" t="str">
        <f aca="false">IF($A151="","",HOUR($A151))</f>
        <v/>
      </c>
      <c r="N151" s="36" t="str">
        <f aca="false">IF($A151="","",$I151*$K151)</f>
        <v/>
      </c>
      <c r="O151" s="35" t="str">
        <f aca="false">IF(OR($A151="",$C151="U",$S151&lt;&gt;Calc!$F$2),"",SUMIFS($I$3:$I$3002,$E$3:$E$3002,$E151,$C$3:$C$3002,"&lt;&gt;U",$S$3:$S$3002,Calc!$F$2))</f>
        <v/>
      </c>
      <c r="P151" s="35" t="str">
        <f aca="false">IF(OR($A151="",$C151="U",$S151&lt;&gt;Calc!$F$2),"",SUMIFS($N$3:$N$3002,$E$3:$E$3002,$E151,$C$3:$C$3002,"&lt;&gt;U",$S$3:$S$3002,Calc!$F$2))</f>
        <v/>
      </c>
      <c r="Q151" s="35" t="str">
        <f aca="false">IF(OR($A151="",$C151="U",$S151&lt;&gt;Calc!$F$2),"",IF(COUNTIFS($E$3:$E151,$E151,$C$3:$C151,"&lt;&gt;U",$S$3:$S151,Calc!$F$2)=1,1,0))</f>
        <v/>
      </c>
      <c r="R151" s="35" t="str">
        <f aca="false">IF($Q151=1,$O151-ROW()/100000,"")</f>
        <v/>
      </c>
      <c r="S151" s="37" t="str">
        <f aca="false">IF($A151="","",INT($A151))</f>
        <v/>
      </c>
      <c r="T151" s="35" t="str">
        <f aca="false">IF($A151="","",IF(COUNTIFS($S$3:$S151,$S151)=1,1,0))</f>
        <v/>
      </c>
      <c r="U151" s="37" t="str">
        <f aca="false">IF($T151=1,$S151,"")</f>
        <v/>
      </c>
    </row>
    <row r="152" customFormat="false" ht="15" hidden="false" customHeight="false" outlineLevel="0" collapsed="false">
      <c r="M152" s="35" t="str">
        <f aca="false">IF($A152="","",HOUR($A152))</f>
        <v/>
      </c>
      <c r="N152" s="36" t="str">
        <f aca="false">IF($A152="","",$I152*$K152)</f>
        <v/>
      </c>
      <c r="O152" s="35" t="str">
        <f aca="false">IF(OR($A152="",$C152="U",$S152&lt;&gt;Calc!$F$2),"",SUMIFS($I$3:$I$3002,$E$3:$E$3002,$E152,$C$3:$C$3002,"&lt;&gt;U",$S$3:$S$3002,Calc!$F$2))</f>
        <v/>
      </c>
      <c r="P152" s="35" t="str">
        <f aca="false">IF(OR($A152="",$C152="U",$S152&lt;&gt;Calc!$F$2),"",SUMIFS($N$3:$N$3002,$E$3:$E$3002,$E152,$C$3:$C$3002,"&lt;&gt;U",$S$3:$S$3002,Calc!$F$2))</f>
        <v/>
      </c>
      <c r="Q152" s="35" t="str">
        <f aca="false">IF(OR($A152="",$C152="U",$S152&lt;&gt;Calc!$F$2),"",IF(COUNTIFS($E$3:$E152,$E152,$C$3:$C152,"&lt;&gt;U",$S$3:$S152,Calc!$F$2)=1,1,0))</f>
        <v/>
      </c>
      <c r="R152" s="35" t="str">
        <f aca="false">IF($Q152=1,$O152-ROW()/100000,"")</f>
        <v/>
      </c>
      <c r="S152" s="37" t="str">
        <f aca="false">IF($A152="","",INT($A152))</f>
        <v/>
      </c>
      <c r="T152" s="35" t="str">
        <f aca="false">IF($A152="","",IF(COUNTIFS($S$3:$S152,$S152)=1,1,0))</f>
        <v/>
      </c>
      <c r="U152" s="37" t="str">
        <f aca="false">IF($T152=1,$S152,"")</f>
        <v/>
      </c>
    </row>
    <row r="153" customFormat="false" ht="15" hidden="false" customHeight="false" outlineLevel="0" collapsed="false">
      <c r="M153" s="35" t="str">
        <f aca="false">IF($A153="","",HOUR($A153))</f>
        <v/>
      </c>
      <c r="N153" s="36" t="str">
        <f aca="false">IF($A153="","",$I153*$K153)</f>
        <v/>
      </c>
      <c r="O153" s="35" t="str">
        <f aca="false">IF(OR($A153="",$C153="U",$S153&lt;&gt;Calc!$F$2),"",SUMIFS($I$3:$I$3002,$E$3:$E$3002,$E153,$C$3:$C$3002,"&lt;&gt;U",$S$3:$S$3002,Calc!$F$2))</f>
        <v/>
      </c>
      <c r="P153" s="35" t="str">
        <f aca="false">IF(OR($A153="",$C153="U",$S153&lt;&gt;Calc!$F$2),"",SUMIFS($N$3:$N$3002,$E$3:$E$3002,$E153,$C$3:$C$3002,"&lt;&gt;U",$S$3:$S$3002,Calc!$F$2))</f>
        <v/>
      </c>
      <c r="Q153" s="35" t="str">
        <f aca="false">IF(OR($A153="",$C153="U",$S153&lt;&gt;Calc!$F$2),"",IF(COUNTIFS($E$3:$E153,$E153,$C$3:$C153,"&lt;&gt;U",$S$3:$S153,Calc!$F$2)=1,1,0))</f>
        <v/>
      </c>
      <c r="R153" s="35" t="str">
        <f aca="false">IF($Q153=1,$O153-ROW()/100000,"")</f>
        <v/>
      </c>
      <c r="S153" s="37" t="str">
        <f aca="false">IF($A153="","",INT($A153))</f>
        <v/>
      </c>
      <c r="T153" s="35" t="str">
        <f aca="false">IF($A153="","",IF(COUNTIFS($S$3:$S153,$S153)=1,1,0))</f>
        <v/>
      </c>
      <c r="U153" s="37" t="str">
        <f aca="false">IF($T153=1,$S153,"")</f>
        <v/>
      </c>
    </row>
    <row r="154" customFormat="false" ht="15" hidden="false" customHeight="false" outlineLevel="0" collapsed="false">
      <c r="M154" s="35" t="str">
        <f aca="false">IF($A154="","",HOUR($A154))</f>
        <v/>
      </c>
      <c r="N154" s="36" t="str">
        <f aca="false">IF($A154="","",$I154*$K154)</f>
        <v/>
      </c>
      <c r="O154" s="35" t="str">
        <f aca="false">IF(OR($A154="",$C154="U",$S154&lt;&gt;Calc!$F$2),"",SUMIFS($I$3:$I$3002,$E$3:$E$3002,$E154,$C$3:$C$3002,"&lt;&gt;U",$S$3:$S$3002,Calc!$F$2))</f>
        <v/>
      </c>
      <c r="P154" s="35" t="str">
        <f aca="false">IF(OR($A154="",$C154="U",$S154&lt;&gt;Calc!$F$2),"",SUMIFS($N$3:$N$3002,$E$3:$E$3002,$E154,$C$3:$C$3002,"&lt;&gt;U",$S$3:$S$3002,Calc!$F$2))</f>
        <v/>
      </c>
      <c r="Q154" s="35" t="str">
        <f aca="false">IF(OR($A154="",$C154="U",$S154&lt;&gt;Calc!$F$2),"",IF(COUNTIFS($E$3:$E154,$E154,$C$3:$C154,"&lt;&gt;U",$S$3:$S154,Calc!$F$2)=1,1,0))</f>
        <v/>
      </c>
      <c r="R154" s="35" t="str">
        <f aca="false">IF($Q154=1,$O154-ROW()/100000,"")</f>
        <v/>
      </c>
      <c r="S154" s="37" t="str">
        <f aca="false">IF($A154="","",INT($A154))</f>
        <v/>
      </c>
      <c r="T154" s="35" t="str">
        <f aca="false">IF($A154="","",IF(COUNTIFS($S$3:$S154,$S154)=1,1,0))</f>
        <v/>
      </c>
      <c r="U154" s="37" t="str">
        <f aca="false">IF($T154=1,$S154,"")</f>
        <v/>
      </c>
    </row>
    <row r="155" customFormat="false" ht="15" hidden="false" customHeight="false" outlineLevel="0" collapsed="false">
      <c r="M155" s="35" t="str">
        <f aca="false">IF($A155="","",HOUR($A155))</f>
        <v/>
      </c>
      <c r="N155" s="36" t="str">
        <f aca="false">IF($A155="","",$I155*$K155)</f>
        <v/>
      </c>
      <c r="O155" s="35" t="str">
        <f aca="false">IF(OR($A155="",$C155="U",$S155&lt;&gt;Calc!$F$2),"",SUMIFS($I$3:$I$3002,$E$3:$E$3002,$E155,$C$3:$C$3002,"&lt;&gt;U",$S$3:$S$3002,Calc!$F$2))</f>
        <v/>
      </c>
      <c r="P155" s="35" t="str">
        <f aca="false">IF(OR($A155="",$C155="U",$S155&lt;&gt;Calc!$F$2),"",SUMIFS($N$3:$N$3002,$E$3:$E$3002,$E155,$C$3:$C$3002,"&lt;&gt;U",$S$3:$S$3002,Calc!$F$2))</f>
        <v/>
      </c>
      <c r="Q155" s="35" t="str">
        <f aca="false">IF(OR($A155="",$C155="U",$S155&lt;&gt;Calc!$F$2),"",IF(COUNTIFS($E$3:$E155,$E155,$C$3:$C155,"&lt;&gt;U",$S$3:$S155,Calc!$F$2)=1,1,0))</f>
        <v/>
      </c>
      <c r="R155" s="35" t="str">
        <f aca="false">IF($Q155=1,$O155-ROW()/100000,"")</f>
        <v/>
      </c>
      <c r="S155" s="37" t="str">
        <f aca="false">IF($A155="","",INT($A155))</f>
        <v/>
      </c>
      <c r="T155" s="35" t="str">
        <f aca="false">IF($A155="","",IF(COUNTIFS($S$3:$S155,$S155)=1,1,0))</f>
        <v/>
      </c>
      <c r="U155" s="37" t="str">
        <f aca="false">IF($T155=1,$S155,"")</f>
        <v/>
      </c>
    </row>
    <row r="156" customFormat="false" ht="15" hidden="false" customHeight="false" outlineLevel="0" collapsed="false">
      <c r="M156" s="35" t="str">
        <f aca="false">IF($A156="","",HOUR($A156))</f>
        <v/>
      </c>
      <c r="N156" s="36" t="str">
        <f aca="false">IF($A156="","",$I156*$K156)</f>
        <v/>
      </c>
      <c r="O156" s="35" t="str">
        <f aca="false">IF(OR($A156="",$C156="U",$S156&lt;&gt;Calc!$F$2),"",SUMIFS($I$3:$I$3002,$E$3:$E$3002,$E156,$C$3:$C$3002,"&lt;&gt;U",$S$3:$S$3002,Calc!$F$2))</f>
        <v/>
      </c>
      <c r="P156" s="35" t="str">
        <f aca="false">IF(OR($A156="",$C156="U",$S156&lt;&gt;Calc!$F$2),"",SUMIFS($N$3:$N$3002,$E$3:$E$3002,$E156,$C$3:$C$3002,"&lt;&gt;U",$S$3:$S$3002,Calc!$F$2))</f>
        <v/>
      </c>
      <c r="Q156" s="35" t="str">
        <f aca="false">IF(OR($A156="",$C156="U",$S156&lt;&gt;Calc!$F$2),"",IF(COUNTIFS($E$3:$E156,$E156,$C$3:$C156,"&lt;&gt;U",$S$3:$S156,Calc!$F$2)=1,1,0))</f>
        <v/>
      </c>
      <c r="R156" s="35" t="str">
        <f aca="false">IF($Q156=1,$O156-ROW()/100000,"")</f>
        <v/>
      </c>
      <c r="S156" s="37" t="str">
        <f aca="false">IF($A156="","",INT($A156))</f>
        <v/>
      </c>
      <c r="T156" s="35" t="str">
        <f aca="false">IF($A156="","",IF(COUNTIFS($S$3:$S156,$S156)=1,1,0))</f>
        <v/>
      </c>
      <c r="U156" s="37" t="str">
        <f aca="false">IF($T156=1,$S156,"")</f>
        <v/>
      </c>
    </row>
    <row r="157" customFormat="false" ht="15" hidden="false" customHeight="false" outlineLevel="0" collapsed="false">
      <c r="M157" s="35" t="str">
        <f aca="false">IF($A157="","",HOUR($A157))</f>
        <v/>
      </c>
      <c r="N157" s="36" t="str">
        <f aca="false">IF($A157="","",$I157*$K157)</f>
        <v/>
      </c>
      <c r="O157" s="35" t="str">
        <f aca="false">IF(OR($A157="",$C157="U",$S157&lt;&gt;Calc!$F$2),"",SUMIFS($I$3:$I$3002,$E$3:$E$3002,$E157,$C$3:$C$3002,"&lt;&gt;U",$S$3:$S$3002,Calc!$F$2))</f>
        <v/>
      </c>
      <c r="P157" s="35" t="str">
        <f aca="false">IF(OR($A157="",$C157="U",$S157&lt;&gt;Calc!$F$2),"",SUMIFS($N$3:$N$3002,$E$3:$E$3002,$E157,$C$3:$C$3002,"&lt;&gt;U",$S$3:$S$3002,Calc!$F$2))</f>
        <v/>
      </c>
      <c r="Q157" s="35" t="str">
        <f aca="false">IF(OR($A157="",$C157="U",$S157&lt;&gt;Calc!$F$2),"",IF(COUNTIFS($E$3:$E157,$E157,$C$3:$C157,"&lt;&gt;U",$S$3:$S157,Calc!$F$2)=1,1,0))</f>
        <v/>
      </c>
      <c r="R157" s="35" t="str">
        <f aca="false">IF($Q157=1,$O157-ROW()/100000,"")</f>
        <v/>
      </c>
      <c r="S157" s="37" t="str">
        <f aca="false">IF($A157="","",INT($A157))</f>
        <v/>
      </c>
      <c r="T157" s="35" t="str">
        <f aca="false">IF($A157="","",IF(COUNTIFS($S$3:$S157,$S157)=1,1,0))</f>
        <v/>
      </c>
      <c r="U157" s="37" t="str">
        <f aca="false">IF($T157=1,$S157,"")</f>
        <v/>
      </c>
    </row>
    <row r="158" customFormat="false" ht="15" hidden="false" customHeight="false" outlineLevel="0" collapsed="false">
      <c r="M158" s="35" t="str">
        <f aca="false">IF($A158="","",HOUR($A158))</f>
        <v/>
      </c>
      <c r="N158" s="36" t="str">
        <f aca="false">IF($A158="","",$I158*$K158)</f>
        <v/>
      </c>
      <c r="O158" s="35" t="str">
        <f aca="false">IF(OR($A158="",$C158="U",$S158&lt;&gt;Calc!$F$2),"",SUMIFS($I$3:$I$3002,$E$3:$E$3002,$E158,$C$3:$C$3002,"&lt;&gt;U",$S$3:$S$3002,Calc!$F$2))</f>
        <v/>
      </c>
      <c r="P158" s="35" t="str">
        <f aca="false">IF(OR($A158="",$C158="U",$S158&lt;&gt;Calc!$F$2),"",SUMIFS($N$3:$N$3002,$E$3:$E$3002,$E158,$C$3:$C$3002,"&lt;&gt;U",$S$3:$S$3002,Calc!$F$2))</f>
        <v/>
      </c>
      <c r="Q158" s="35" t="str">
        <f aca="false">IF(OR($A158="",$C158="U",$S158&lt;&gt;Calc!$F$2),"",IF(COUNTIFS($E$3:$E158,$E158,$C$3:$C158,"&lt;&gt;U",$S$3:$S158,Calc!$F$2)=1,1,0))</f>
        <v/>
      </c>
      <c r="R158" s="35" t="str">
        <f aca="false">IF($Q158=1,$O158-ROW()/100000,"")</f>
        <v/>
      </c>
      <c r="S158" s="37" t="str">
        <f aca="false">IF($A158="","",INT($A158))</f>
        <v/>
      </c>
      <c r="T158" s="35" t="str">
        <f aca="false">IF($A158="","",IF(COUNTIFS($S$3:$S158,$S158)=1,1,0))</f>
        <v/>
      </c>
      <c r="U158" s="37" t="str">
        <f aca="false">IF($T158=1,$S158,"")</f>
        <v/>
      </c>
    </row>
    <row r="159" customFormat="false" ht="15" hidden="false" customHeight="false" outlineLevel="0" collapsed="false">
      <c r="M159" s="35" t="str">
        <f aca="false">IF($A159="","",HOUR($A159))</f>
        <v/>
      </c>
      <c r="N159" s="36" t="str">
        <f aca="false">IF($A159="","",$I159*$K159)</f>
        <v/>
      </c>
      <c r="O159" s="35" t="str">
        <f aca="false">IF(OR($A159="",$C159="U",$S159&lt;&gt;Calc!$F$2),"",SUMIFS($I$3:$I$3002,$E$3:$E$3002,$E159,$C$3:$C$3002,"&lt;&gt;U",$S$3:$S$3002,Calc!$F$2))</f>
        <v/>
      </c>
      <c r="P159" s="35" t="str">
        <f aca="false">IF(OR($A159="",$C159="U",$S159&lt;&gt;Calc!$F$2),"",SUMIFS($N$3:$N$3002,$E$3:$E$3002,$E159,$C$3:$C$3002,"&lt;&gt;U",$S$3:$S$3002,Calc!$F$2))</f>
        <v/>
      </c>
      <c r="Q159" s="35" t="str">
        <f aca="false">IF(OR($A159="",$C159="U",$S159&lt;&gt;Calc!$F$2),"",IF(COUNTIFS($E$3:$E159,$E159,$C$3:$C159,"&lt;&gt;U",$S$3:$S159,Calc!$F$2)=1,1,0))</f>
        <v/>
      </c>
      <c r="R159" s="35" t="str">
        <f aca="false">IF($Q159=1,$O159-ROW()/100000,"")</f>
        <v/>
      </c>
      <c r="S159" s="37" t="str">
        <f aca="false">IF($A159="","",INT($A159))</f>
        <v/>
      </c>
      <c r="T159" s="35" t="str">
        <f aca="false">IF($A159="","",IF(COUNTIFS($S$3:$S159,$S159)=1,1,0))</f>
        <v/>
      </c>
      <c r="U159" s="37" t="str">
        <f aca="false">IF($T159=1,$S159,"")</f>
        <v/>
      </c>
    </row>
    <row r="160" customFormat="false" ht="15" hidden="false" customHeight="false" outlineLevel="0" collapsed="false">
      <c r="M160" s="35" t="str">
        <f aca="false">IF($A160="","",HOUR($A160))</f>
        <v/>
      </c>
      <c r="N160" s="36" t="str">
        <f aca="false">IF($A160="","",$I160*$K160)</f>
        <v/>
      </c>
      <c r="O160" s="35" t="str">
        <f aca="false">IF(OR($A160="",$C160="U",$S160&lt;&gt;Calc!$F$2),"",SUMIFS($I$3:$I$3002,$E$3:$E$3002,$E160,$C$3:$C$3002,"&lt;&gt;U",$S$3:$S$3002,Calc!$F$2))</f>
        <v/>
      </c>
      <c r="P160" s="35" t="str">
        <f aca="false">IF(OR($A160="",$C160="U",$S160&lt;&gt;Calc!$F$2),"",SUMIFS($N$3:$N$3002,$E$3:$E$3002,$E160,$C$3:$C$3002,"&lt;&gt;U",$S$3:$S$3002,Calc!$F$2))</f>
        <v/>
      </c>
      <c r="Q160" s="35" t="str">
        <f aca="false">IF(OR($A160="",$C160="U",$S160&lt;&gt;Calc!$F$2),"",IF(COUNTIFS($E$3:$E160,$E160,$C$3:$C160,"&lt;&gt;U",$S$3:$S160,Calc!$F$2)=1,1,0))</f>
        <v/>
      </c>
      <c r="R160" s="35" t="str">
        <f aca="false">IF($Q160=1,$O160-ROW()/100000,"")</f>
        <v/>
      </c>
      <c r="S160" s="37" t="str">
        <f aca="false">IF($A160="","",INT($A160))</f>
        <v/>
      </c>
      <c r="T160" s="35" t="str">
        <f aca="false">IF($A160="","",IF(COUNTIFS($S$3:$S160,$S160)=1,1,0))</f>
        <v/>
      </c>
      <c r="U160" s="37" t="str">
        <f aca="false">IF($T160=1,$S160,"")</f>
        <v/>
      </c>
    </row>
    <row r="161" customFormat="false" ht="15" hidden="false" customHeight="false" outlineLevel="0" collapsed="false">
      <c r="M161" s="35" t="str">
        <f aca="false">IF($A161="","",HOUR($A161))</f>
        <v/>
      </c>
      <c r="N161" s="36" t="str">
        <f aca="false">IF($A161="","",$I161*$K161)</f>
        <v/>
      </c>
      <c r="O161" s="35" t="str">
        <f aca="false">IF(OR($A161="",$C161="U",$S161&lt;&gt;Calc!$F$2),"",SUMIFS($I$3:$I$3002,$E$3:$E$3002,$E161,$C$3:$C$3002,"&lt;&gt;U",$S$3:$S$3002,Calc!$F$2))</f>
        <v/>
      </c>
      <c r="P161" s="35" t="str">
        <f aca="false">IF(OR($A161="",$C161="U",$S161&lt;&gt;Calc!$F$2),"",SUMIFS($N$3:$N$3002,$E$3:$E$3002,$E161,$C$3:$C$3002,"&lt;&gt;U",$S$3:$S$3002,Calc!$F$2))</f>
        <v/>
      </c>
      <c r="Q161" s="35" t="str">
        <f aca="false">IF(OR($A161="",$C161="U",$S161&lt;&gt;Calc!$F$2),"",IF(COUNTIFS($E$3:$E161,$E161,$C$3:$C161,"&lt;&gt;U",$S$3:$S161,Calc!$F$2)=1,1,0))</f>
        <v/>
      </c>
      <c r="R161" s="35" t="str">
        <f aca="false">IF($Q161=1,$O161-ROW()/100000,"")</f>
        <v/>
      </c>
      <c r="S161" s="37" t="str">
        <f aca="false">IF($A161="","",INT($A161))</f>
        <v/>
      </c>
      <c r="T161" s="35" t="str">
        <f aca="false">IF($A161="","",IF(COUNTIFS($S$3:$S161,$S161)=1,1,0))</f>
        <v/>
      </c>
      <c r="U161" s="37" t="str">
        <f aca="false">IF($T161=1,$S161,"")</f>
        <v/>
      </c>
    </row>
    <row r="162" customFormat="false" ht="15" hidden="false" customHeight="false" outlineLevel="0" collapsed="false">
      <c r="M162" s="35" t="str">
        <f aca="false">IF($A162="","",HOUR($A162))</f>
        <v/>
      </c>
      <c r="N162" s="36" t="str">
        <f aca="false">IF($A162="","",$I162*$K162)</f>
        <v/>
      </c>
      <c r="O162" s="35" t="str">
        <f aca="false">IF(OR($A162="",$C162="U",$S162&lt;&gt;Calc!$F$2),"",SUMIFS($I$3:$I$3002,$E$3:$E$3002,$E162,$C$3:$C$3002,"&lt;&gt;U",$S$3:$S$3002,Calc!$F$2))</f>
        <v/>
      </c>
      <c r="P162" s="35" t="str">
        <f aca="false">IF(OR($A162="",$C162="U",$S162&lt;&gt;Calc!$F$2),"",SUMIFS($N$3:$N$3002,$E$3:$E$3002,$E162,$C$3:$C$3002,"&lt;&gt;U",$S$3:$S$3002,Calc!$F$2))</f>
        <v/>
      </c>
      <c r="Q162" s="35" t="str">
        <f aca="false">IF(OR($A162="",$C162="U",$S162&lt;&gt;Calc!$F$2),"",IF(COUNTIFS($E$3:$E162,$E162,$C$3:$C162,"&lt;&gt;U",$S$3:$S162,Calc!$F$2)=1,1,0))</f>
        <v/>
      </c>
      <c r="R162" s="35" t="str">
        <f aca="false">IF($Q162=1,$O162-ROW()/100000,"")</f>
        <v/>
      </c>
      <c r="S162" s="37" t="str">
        <f aca="false">IF($A162="","",INT($A162))</f>
        <v/>
      </c>
      <c r="T162" s="35" t="str">
        <f aca="false">IF($A162="","",IF(COUNTIFS($S$3:$S162,$S162)=1,1,0))</f>
        <v/>
      </c>
      <c r="U162" s="37" t="str">
        <f aca="false">IF($T162=1,$S162,"")</f>
        <v/>
      </c>
    </row>
    <row r="163" customFormat="false" ht="15" hidden="false" customHeight="false" outlineLevel="0" collapsed="false">
      <c r="M163" s="35" t="str">
        <f aca="false">IF($A163="","",HOUR($A163))</f>
        <v/>
      </c>
      <c r="N163" s="36" t="str">
        <f aca="false">IF($A163="","",$I163*$K163)</f>
        <v/>
      </c>
      <c r="O163" s="35" t="str">
        <f aca="false">IF(OR($A163="",$C163="U",$S163&lt;&gt;Calc!$F$2),"",SUMIFS($I$3:$I$3002,$E$3:$E$3002,$E163,$C$3:$C$3002,"&lt;&gt;U",$S$3:$S$3002,Calc!$F$2))</f>
        <v/>
      </c>
      <c r="P163" s="35" t="str">
        <f aca="false">IF(OR($A163="",$C163="U",$S163&lt;&gt;Calc!$F$2),"",SUMIFS($N$3:$N$3002,$E$3:$E$3002,$E163,$C$3:$C$3002,"&lt;&gt;U",$S$3:$S$3002,Calc!$F$2))</f>
        <v/>
      </c>
      <c r="Q163" s="35" t="str">
        <f aca="false">IF(OR($A163="",$C163="U",$S163&lt;&gt;Calc!$F$2),"",IF(COUNTIFS($E$3:$E163,$E163,$C$3:$C163,"&lt;&gt;U",$S$3:$S163,Calc!$F$2)=1,1,0))</f>
        <v/>
      </c>
      <c r="R163" s="35" t="str">
        <f aca="false">IF($Q163=1,$O163-ROW()/100000,"")</f>
        <v/>
      </c>
      <c r="S163" s="37" t="str">
        <f aca="false">IF($A163="","",INT($A163))</f>
        <v/>
      </c>
      <c r="T163" s="35" t="str">
        <f aca="false">IF($A163="","",IF(COUNTIFS($S$3:$S163,$S163)=1,1,0))</f>
        <v/>
      </c>
      <c r="U163" s="37" t="str">
        <f aca="false">IF($T163=1,$S163,"")</f>
        <v/>
      </c>
    </row>
    <row r="164" customFormat="false" ht="15" hidden="false" customHeight="false" outlineLevel="0" collapsed="false">
      <c r="M164" s="35" t="str">
        <f aca="false">IF($A164="","",HOUR($A164))</f>
        <v/>
      </c>
      <c r="N164" s="36" t="str">
        <f aca="false">IF($A164="","",$I164*$K164)</f>
        <v/>
      </c>
      <c r="O164" s="35" t="str">
        <f aca="false">IF(OR($A164="",$C164="U",$S164&lt;&gt;Calc!$F$2),"",SUMIFS($I$3:$I$3002,$E$3:$E$3002,$E164,$C$3:$C$3002,"&lt;&gt;U",$S$3:$S$3002,Calc!$F$2))</f>
        <v/>
      </c>
      <c r="P164" s="35" t="str">
        <f aca="false">IF(OR($A164="",$C164="U",$S164&lt;&gt;Calc!$F$2),"",SUMIFS($N$3:$N$3002,$E$3:$E$3002,$E164,$C$3:$C$3002,"&lt;&gt;U",$S$3:$S$3002,Calc!$F$2))</f>
        <v/>
      </c>
      <c r="Q164" s="35" t="str">
        <f aca="false">IF(OR($A164="",$C164="U",$S164&lt;&gt;Calc!$F$2),"",IF(COUNTIFS($E$3:$E164,$E164,$C$3:$C164,"&lt;&gt;U",$S$3:$S164,Calc!$F$2)=1,1,0))</f>
        <v/>
      </c>
      <c r="R164" s="35" t="str">
        <f aca="false">IF($Q164=1,$O164-ROW()/100000,"")</f>
        <v/>
      </c>
      <c r="S164" s="37" t="str">
        <f aca="false">IF($A164="","",INT($A164))</f>
        <v/>
      </c>
      <c r="T164" s="35" t="str">
        <f aca="false">IF($A164="","",IF(COUNTIFS($S$3:$S164,$S164)=1,1,0))</f>
        <v/>
      </c>
      <c r="U164" s="37" t="str">
        <f aca="false">IF($T164=1,$S164,"")</f>
        <v/>
      </c>
    </row>
    <row r="165" customFormat="false" ht="15" hidden="false" customHeight="false" outlineLevel="0" collapsed="false">
      <c r="M165" s="35" t="str">
        <f aca="false">IF($A165="","",HOUR($A165))</f>
        <v/>
      </c>
      <c r="N165" s="36" t="str">
        <f aca="false">IF($A165="","",$I165*$K165)</f>
        <v/>
      </c>
      <c r="O165" s="35" t="str">
        <f aca="false">IF(OR($A165="",$C165="U",$S165&lt;&gt;Calc!$F$2),"",SUMIFS($I$3:$I$3002,$E$3:$E$3002,$E165,$C$3:$C$3002,"&lt;&gt;U",$S$3:$S$3002,Calc!$F$2))</f>
        <v/>
      </c>
      <c r="P165" s="35" t="str">
        <f aca="false">IF(OR($A165="",$C165="U",$S165&lt;&gt;Calc!$F$2),"",SUMIFS($N$3:$N$3002,$E$3:$E$3002,$E165,$C$3:$C$3002,"&lt;&gt;U",$S$3:$S$3002,Calc!$F$2))</f>
        <v/>
      </c>
      <c r="Q165" s="35" t="str">
        <f aca="false">IF(OR($A165="",$C165="U",$S165&lt;&gt;Calc!$F$2),"",IF(COUNTIFS($E$3:$E165,$E165,$C$3:$C165,"&lt;&gt;U",$S$3:$S165,Calc!$F$2)=1,1,0))</f>
        <v/>
      </c>
      <c r="R165" s="35" t="str">
        <f aca="false">IF($Q165=1,$O165-ROW()/100000,"")</f>
        <v/>
      </c>
      <c r="S165" s="37" t="str">
        <f aca="false">IF($A165="","",INT($A165))</f>
        <v/>
      </c>
      <c r="T165" s="35" t="str">
        <f aca="false">IF($A165="","",IF(COUNTIFS($S$3:$S165,$S165)=1,1,0))</f>
        <v/>
      </c>
      <c r="U165" s="37" t="str">
        <f aca="false">IF($T165=1,$S165,"")</f>
        <v/>
      </c>
    </row>
    <row r="166" customFormat="false" ht="15" hidden="false" customHeight="false" outlineLevel="0" collapsed="false">
      <c r="M166" s="35" t="str">
        <f aca="false">IF($A166="","",HOUR($A166))</f>
        <v/>
      </c>
      <c r="N166" s="36" t="str">
        <f aca="false">IF($A166="","",$I166*$K166)</f>
        <v/>
      </c>
      <c r="O166" s="35" t="str">
        <f aca="false">IF(OR($A166="",$C166="U",$S166&lt;&gt;Calc!$F$2),"",SUMIFS($I$3:$I$3002,$E$3:$E$3002,$E166,$C$3:$C$3002,"&lt;&gt;U",$S$3:$S$3002,Calc!$F$2))</f>
        <v/>
      </c>
      <c r="P166" s="35" t="str">
        <f aca="false">IF(OR($A166="",$C166="U",$S166&lt;&gt;Calc!$F$2),"",SUMIFS($N$3:$N$3002,$E$3:$E$3002,$E166,$C$3:$C$3002,"&lt;&gt;U",$S$3:$S$3002,Calc!$F$2))</f>
        <v/>
      </c>
      <c r="Q166" s="35" t="str">
        <f aca="false">IF(OR($A166="",$C166="U",$S166&lt;&gt;Calc!$F$2),"",IF(COUNTIFS($E$3:$E166,$E166,$C$3:$C166,"&lt;&gt;U",$S$3:$S166,Calc!$F$2)=1,1,0))</f>
        <v/>
      </c>
      <c r="R166" s="35" t="str">
        <f aca="false">IF($Q166=1,$O166-ROW()/100000,"")</f>
        <v/>
      </c>
      <c r="S166" s="37" t="str">
        <f aca="false">IF($A166="","",INT($A166))</f>
        <v/>
      </c>
      <c r="T166" s="35" t="str">
        <f aca="false">IF($A166="","",IF(COUNTIFS($S$3:$S166,$S166)=1,1,0))</f>
        <v/>
      </c>
      <c r="U166" s="37" t="str">
        <f aca="false">IF($T166=1,$S166,"")</f>
        <v/>
      </c>
    </row>
    <row r="167" customFormat="false" ht="15" hidden="false" customHeight="false" outlineLevel="0" collapsed="false">
      <c r="M167" s="35" t="str">
        <f aca="false">IF($A167="","",HOUR($A167))</f>
        <v/>
      </c>
      <c r="N167" s="36" t="str">
        <f aca="false">IF($A167="","",$I167*$K167)</f>
        <v/>
      </c>
      <c r="O167" s="35" t="str">
        <f aca="false">IF(OR($A167="",$C167="U",$S167&lt;&gt;Calc!$F$2),"",SUMIFS($I$3:$I$3002,$E$3:$E$3002,$E167,$C$3:$C$3002,"&lt;&gt;U",$S$3:$S$3002,Calc!$F$2))</f>
        <v/>
      </c>
      <c r="P167" s="35" t="str">
        <f aca="false">IF(OR($A167="",$C167="U",$S167&lt;&gt;Calc!$F$2),"",SUMIFS($N$3:$N$3002,$E$3:$E$3002,$E167,$C$3:$C$3002,"&lt;&gt;U",$S$3:$S$3002,Calc!$F$2))</f>
        <v/>
      </c>
      <c r="Q167" s="35" t="str">
        <f aca="false">IF(OR($A167="",$C167="U",$S167&lt;&gt;Calc!$F$2),"",IF(COUNTIFS($E$3:$E167,$E167,$C$3:$C167,"&lt;&gt;U",$S$3:$S167,Calc!$F$2)=1,1,0))</f>
        <v/>
      </c>
      <c r="R167" s="35" t="str">
        <f aca="false">IF($Q167=1,$O167-ROW()/100000,"")</f>
        <v/>
      </c>
      <c r="S167" s="37" t="str">
        <f aca="false">IF($A167="","",INT($A167))</f>
        <v/>
      </c>
      <c r="T167" s="35" t="str">
        <f aca="false">IF($A167="","",IF(COUNTIFS($S$3:$S167,$S167)=1,1,0))</f>
        <v/>
      </c>
      <c r="U167" s="37" t="str">
        <f aca="false">IF($T167=1,$S167,"")</f>
        <v/>
      </c>
    </row>
    <row r="168" customFormat="false" ht="15" hidden="false" customHeight="false" outlineLevel="0" collapsed="false">
      <c r="M168" s="35" t="str">
        <f aca="false">IF($A168="","",HOUR($A168))</f>
        <v/>
      </c>
      <c r="N168" s="36" t="str">
        <f aca="false">IF($A168="","",$I168*$K168)</f>
        <v/>
      </c>
      <c r="O168" s="35" t="str">
        <f aca="false">IF(OR($A168="",$C168="U",$S168&lt;&gt;Calc!$F$2),"",SUMIFS($I$3:$I$3002,$E$3:$E$3002,$E168,$C$3:$C$3002,"&lt;&gt;U",$S$3:$S$3002,Calc!$F$2))</f>
        <v/>
      </c>
      <c r="P168" s="35" t="str">
        <f aca="false">IF(OR($A168="",$C168="U",$S168&lt;&gt;Calc!$F$2),"",SUMIFS($N$3:$N$3002,$E$3:$E$3002,$E168,$C$3:$C$3002,"&lt;&gt;U",$S$3:$S$3002,Calc!$F$2))</f>
        <v/>
      </c>
      <c r="Q168" s="35" t="str">
        <f aca="false">IF(OR($A168="",$C168="U",$S168&lt;&gt;Calc!$F$2),"",IF(COUNTIFS($E$3:$E168,$E168,$C$3:$C168,"&lt;&gt;U",$S$3:$S168,Calc!$F$2)=1,1,0))</f>
        <v/>
      </c>
      <c r="R168" s="35" t="str">
        <f aca="false">IF($Q168=1,$O168-ROW()/100000,"")</f>
        <v/>
      </c>
      <c r="S168" s="37" t="str">
        <f aca="false">IF($A168="","",INT($A168))</f>
        <v/>
      </c>
      <c r="T168" s="35" t="str">
        <f aca="false">IF($A168="","",IF(COUNTIFS($S$3:$S168,$S168)=1,1,0))</f>
        <v/>
      </c>
      <c r="U168" s="37" t="str">
        <f aca="false">IF($T168=1,$S168,"")</f>
        <v/>
      </c>
    </row>
    <row r="169" customFormat="false" ht="15" hidden="false" customHeight="false" outlineLevel="0" collapsed="false">
      <c r="M169" s="35" t="str">
        <f aca="false">IF($A169="","",HOUR($A169))</f>
        <v/>
      </c>
      <c r="N169" s="36" t="str">
        <f aca="false">IF($A169="","",$I169*$K169)</f>
        <v/>
      </c>
      <c r="O169" s="35" t="str">
        <f aca="false">IF(OR($A169="",$C169="U",$S169&lt;&gt;Calc!$F$2),"",SUMIFS($I$3:$I$3002,$E$3:$E$3002,$E169,$C$3:$C$3002,"&lt;&gt;U",$S$3:$S$3002,Calc!$F$2))</f>
        <v/>
      </c>
      <c r="P169" s="35" t="str">
        <f aca="false">IF(OR($A169="",$C169="U",$S169&lt;&gt;Calc!$F$2),"",SUMIFS($N$3:$N$3002,$E$3:$E$3002,$E169,$C$3:$C$3002,"&lt;&gt;U",$S$3:$S$3002,Calc!$F$2))</f>
        <v/>
      </c>
      <c r="Q169" s="35" t="str">
        <f aca="false">IF(OR($A169="",$C169="U",$S169&lt;&gt;Calc!$F$2),"",IF(COUNTIFS($E$3:$E169,$E169,$C$3:$C169,"&lt;&gt;U",$S$3:$S169,Calc!$F$2)=1,1,0))</f>
        <v/>
      </c>
      <c r="R169" s="35" t="str">
        <f aca="false">IF($Q169=1,$O169-ROW()/100000,"")</f>
        <v/>
      </c>
      <c r="S169" s="37" t="str">
        <f aca="false">IF($A169="","",INT($A169))</f>
        <v/>
      </c>
      <c r="T169" s="35" t="str">
        <f aca="false">IF($A169="","",IF(COUNTIFS($S$3:$S169,$S169)=1,1,0))</f>
        <v/>
      </c>
      <c r="U169" s="37" t="str">
        <f aca="false">IF($T169=1,$S169,"")</f>
        <v/>
      </c>
    </row>
    <row r="170" customFormat="false" ht="15" hidden="false" customHeight="false" outlineLevel="0" collapsed="false">
      <c r="M170" s="35" t="str">
        <f aca="false">IF($A170="","",HOUR($A170))</f>
        <v/>
      </c>
      <c r="N170" s="36" t="str">
        <f aca="false">IF($A170="","",$I170*$K170)</f>
        <v/>
      </c>
      <c r="O170" s="35" t="str">
        <f aca="false">IF(OR($A170="",$C170="U",$S170&lt;&gt;Calc!$F$2),"",SUMIFS($I$3:$I$3002,$E$3:$E$3002,$E170,$C$3:$C$3002,"&lt;&gt;U",$S$3:$S$3002,Calc!$F$2))</f>
        <v/>
      </c>
      <c r="P170" s="35" t="str">
        <f aca="false">IF(OR($A170="",$C170="U",$S170&lt;&gt;Calc!$F$2),"",SUMIFS($N$3:$N$3002,$E$3:$E$3002,$E170,$C$3:$C$3002,"&lt;&gt;U",$S$3:$S$3002,Calc!$F$2))</f>
        <v/>
      </c>
      <c r="Q170" s="35" t="str">
        <f aca="false">IF(OR($A170="",$C170="U",$S170&lt;&gt;Calc!$F$2),"",IF(COUNTIFS($E$3:$E170,$E170,$C$3:$C170,"&lt;&gt;U",$S$3:$S170,Calc!$F$2)=1,1,0))</f>
        <v/>
      </c>
      <c r="R170" s="35" t="str">
        <f aca="false">IF($Q170=1,$O170-ROW()/100000,"")</f>
        <v/>
      </c>
      <c r="S170" s="37" t="str">
        <f aca="false">IF($A170="","",INT($A170))</f>
        <v/>
      </c>
      <c r="T170" s="35" t="str">
        <f aca="false">IF($A170="","",IF(COUNTIFS($S$3:$S170,$S170)=1,1,0))</f>
        <v/>
      </c>
      <c r="U170" s="37" t="str">
        <f aca="false">IF($T170=1,$S170,"")</f>
        <v/>
      </c>
    </row>
    <row r="171" customFormat="false" ht="15" hidden="false" customHeight="false" outlineLevel="0" collapsed="false">
      <c r="M171" s="35" t="str">
        <f aca="false">IF($A171="","",HOUR($A171))</f>
        <v/>
      </c>
      <c r="N171" s="36" t="str">
        <f aca="false">IF($A171="","",$I171*$K171)</f>
        <v/>
      </c>
      <c r="O171" s="35" t="str">
        <f aca="false">IF(OR($A171="",$C171="U",$S171&lt;&gt;Calc!$F$2),"",SUMIFS($I$3:$I$3002,$E$3:$E$3002,$E171,$C$3:$C$3002,"&lt;&gt;U",$S$3:$S$3002,Calc!$F$2))</f>
        <v/>
      </c>
      <c r="P171" s="35" t="str">
        <f aca="false">IF(OR($A171="",$C171="U",$S171&lt;&gt;Calc!$F$2),"",SUMIFS($N$3:$N$3002,$E$3:$E$3002,$E171,$C$3:$C$3002,"&lt;&gt;U",$S$3:$S$3002,Calc!$F$2))</f>
        <v/>
      </c>
      <c r="Q171" s="35" t="str">
        <f aca="false">IF(OR($A171="",$C171="U",$S171&lt;&gt;Calc!$F$2),"",IF(COUNTIFS($E$3:$E171,$E171,$C$3:$C171,"&lt;&gt;U",$S$3:$S171,Calc!$F$2)=1,1,0))</f>
        <v/>
      </c>
      <c r="R171" s="35" t="str">
        <f aca="false">IF($Q171=1,$O171-ROW()/100000,"")</f>
        <v/>
      </c>
      <c r="S171" s="37" t="str">
        <f aca="false">IF($A171="","",INT($A171))</f>
        <v/>
      </c>
      <c r="T171" s="35" t="str">
        <f aca="false">IF($A171="","",IF(COUNTIFS($S$3:$S171,$S171)=1,1,0))</f>
        <v/>
      </c>
      <c r="U171" s="37" t="str">
        <f aca="false">IF($T171=1,$S171,"")</f>
        <v/>
      </c>
    </row>
    <row r="172" customFormat="false" ht="15" hidden="false" customHeight="false" outlineLevel="0" collapsed="false">
      <c r="M172" s="35" t="str">
        <f aca="false">IF($A172="","",HOUR($A172))</f>
        <v/>
      </c>
      <c r="N172" s="36" t="str">
        <f aca="false">IF($A172="","",$I172*$K172)</f>
        <v/>
      </c>
      <c r="O172" s="35" t="str">
        <f aca="false">IF(OR($A172="",$C172="U",$S172&lt;&gt;Calc!$F$2),"",SUMIFS($I$3:$I$3002,$E$3:$E$3002,$E172,$C$3:$C$3002,"&lt;&gt;U",$S$3:$S$3002,Calc!$F$2))</f>
        <v/>
      </c>
      <c r="P172" s="35" t="str">
        <f aca="false">IF(OR($A172="",$C172="U",$S172&lt;&gt;Calc!$F$2),"",SUMIFS($N$3:$N$3002,$E$3:$E$3002,$E172,$C$3:$C$3002,"&lt;&gt;U",$S$3:$S$3002,Calc!$F$2))</f>
        <v/>
      </c>
      <c r="Q172" s="35" t="str">
        <f aca="false">IF(OR($A172="",$C172="U",$S172&lt;&gt;Calc!$F$2),"",IF(COUNTIFS($E$3:$E172,$E172,$C$3:$C172,"&lt;&gt;U",$S$3:$S172,Calc!$F$2)=1,1,0))</f>
        <v/>
      </c>
      <c r="R172" s="35" t="str">
        <f aca="false">IF($Q172=1,$O172-ROW()/100000,"")</f>
        <v/>
      </c>
      <c r="S172" s="37" t="str">
        <f aca="false">IF($A172="","",INT($A172))</f>
        <v/>
      </c>
      <c r="T172" s="35" t="str">
        <f aca="false">IF($A172="","",IF(COUNTIFS($S$3:$S172,$S172)=1,1,0))</f>
        <v/>
      </c>
      <c r="U172" s="37" t="str">
        <f aca="false">IF($T172=1,$S172,"")</f>
        <v/>
      </c>
    </row>
    <row r="173" customFormat="false" ht="15" hidden="false" customHeight="false" outlineLevel="0" collapsed="false">
      <c r="M173" s="35" t="str">
        <f aca="false">IF($A173="","",HOUR($A173))</f>
        <v/>
      </c>
      <c r="N173" s="36" t="str">
        <f aca="false">IF($A173="","",$I173*$K173)</f>
        <v/>
      </c>
      <c r="O173" s="35" t="str">
        <f aca="false">IF(OR($A173="",$C173="U",$S173&lt;&gt;Calc!$F$2),"",SUMIFS($I$3:$I$3002,$E$3:$E$3002,$E173,$C$3:$C$3002,"&lt;&gt;U",$S$3:$S$3002,Calc!$F$2))</f>
        <v/>
      </c>
      <c r="P173" s="35" t="str">
        <f aca="false">IF(OR($A173="",$C173="U",$S173&lt;&gt;Calc!$F$2),"",SUMIFS($N$3:$N$3002,$E$3:$E$3002,$E173,$C$3:$C$3002,"&lt;&gt;U",$S$3:$S$3002,Calc!$F$2))</f>
        <v/>
      </c>
      <c r="Q173" s="35" t="str">
        <f aca="false">IF(OR($A173="",$C173="U",$S173&lt;&gt;Calc!$F$2),"",IF(COUNTIFS($E$3:$E173,$E173,$C$3:$C173,"&lt;&gt;U",$S$3:$S173,Calc!$F$2)=1,1,0))</f>
        <v/>
      </c>
      <c r="R173" s="35" t="str">
        <f aca="false">IF($Q173=1,$O173-ROW()/100000,"")</f>
        <v/>
      </c>
      <c r="S173" s="37" t="str">
        <f aca="false">IF($A173="","",INT($A173))</f>
        <v/>
      </c>
      <c r="T173" s="35" t="str">
        <f aca="false">IF($A173="","",IF(COUNTIFS($S$3:$S173,$S173)=1,1,0))</f>
        <v/>
      </c>
      <c r="U173" s="37" t="str">
        <f aca="false">IF($T173=1,$S173,"")</f>
        <v/>
      </c>
    </row>
    <row r="174" customFormat="false" ht="15" hidden="false" customHeight="false" outlineLevel="0" collapsed="false">
      <c r="M174" s="35" t="str">
        <f aca="false">IF($A174="","",HOUR($A174))</f>
        <v/>
      </c>
      <c r="N174" s="36" t="str">
        <f aca="false">IF($A174="","",$I174*$K174)</f>
        <v/>
      </c>
      <c r="O174" s="35" t="str">
        <f aca="false">IF(OR($A174="",$C174="U",$S174&lt;&gt;Calc!$F$2),"",SUMIFS($I$3:$I$3002,$E$3:$E$3002,$E174,$C$3:$C$3002,"&lt;&gt;U",$S$3:$S$3002,Calc!$F$2))</f>
        <v/>
      </c>
      <c r="P174" s="35" t="str">
        <f aca="false">IF(OR($A174="",$C174="U",$S174&lt;&gt;Calc!$F$2),"",SUMIFS($N$3:$N$3002,$E$3:$E$3002,$E174,$C$3:$C$3002,"&lt;&gt;U",$S$3:$S$3002,Calc!$F$2))</f>
        <v/>
      </c>
      <c r="Q174" s="35" t="str">
        <f aca="false">IF(OR($A174="",$C174="U",$S174&lt;&gt;Calc!$F$2),"",IF(COUNTIFS($E$3:$E174,$E174,$C$3:$C174,"&lt;&gt;U",$S$3:$S174,Calc!$F$2)=1,1,0))</f>
        <v/>
      </c>
      <c r="R174" s="35" t="str">
        <f aca="false">IF($Q174=1,$O174-ROW()/100000,"")</f>
        <v/>
      </c>
      <c r="S174" s="37" t="str">
        <f aca="false">IF($A174="","",INT($A174))</f>
        <v/>
      </c>
      <c r="T174" s="35" t="str">
        <f aca="false">IF($A174="","",IF(COUNTIFS($S$3:$S174,$S174)=1,1,0))</f>
        <v/>
      </c>
      <c r="U174" s="37" t="str">
        <f aca="false">IF($T174=1,$S174,"")</f>
        <v/>
      </c>
    </row>
    <row r="175" customFormat="false" ht="15" hidden="false" customHeight="false" outlineLevel="0" collapsed="false">
      <c r="M175" s="35" t="str">
        <f aca="false">IF($A175="","",HOUR($A175))</f>
        <v/>
      </c>
      <c r="N175" s="36" t="str">
        <f aca="false">IF($A175="","",$I175*$K175)</f>
        <v/>
      </c>
      <c r="O175" s="35" t="str">
        <f aca="false">IF(OR($A175="",$C175="U",$S175&lt;&gt;Calc!$F$2),"",SUMIFS($I$3:$I$3002,$E$3:$E$3002,$E175,$C$3:$C$3002,"&lt;&gt;U",$S$3:$S$3002,Calc!$F$2))</f>
        <v/>
      </c>
      <c r="P175" s="35" t="str">
        <f aca="false">IF(OR($A175="",$C175="U",$S175&lt;&gt;Calc!$F$2),"",SUMIFS($N$3:$N$3002,$E$3:$E$3002,$E175,$C$3:$C$3002,"&lt;&gt;U",$S$3:$S$3002,Calc!$F$2))</f>
        <v/>
      </c>
      <c r="Q175" s="35" t="str">
        <f aca="false">IF(OR($A175="",$C175="U",$S175&lt;&gt;Calc!$F$2),"",IF(COUNTIFS($E$3:$E175,$E175,$C$3:$C175,"&lt;&gt;U",$S$3:$S175,Calc!$F$2)=1,1,0))</f>
        <v/>
      </c>
      <c r="R175" s="35" t="str">
        <f aca="false">IF($Q175=1,$O175-ROW()/100000,"")</f>
        <v/>
      </c>
      <c r="S175" s="37" t="str">
        <f aca="false">IF($A175="","",INT($A175))</f>
        <v/>
      </c>
      <c r="T175" s="35" t="str">
        <f aca="false">IF($A175="","",IF(COUNTIFS($S$3:$S175,$S175)=1,1,0))</f>
        <v/>
      </c>
      <c r="U175" s="37" t="str">
        <f aca="false">IF($T175=1,$S175,"")</f>
        <v/>
      </c>
    </row>
    <row r="176" customFormat="false" ht="15" hidden="false" customHeight="false" outlineLevel="0" collapsed="false">
      <c r="M176" s="35" t="str">
        <f aca="false">IF($A176="","",HOUR($A176))</f>
        <v/>
      </c>
      <c r="N176" s="36" t="str">
        <f aca="false">IF($A176="","",$I176*$K176)</f>
        <v/>
      </c>
      <c r="O176" s="35" t="str">
        <f aca="false">IF(OR($A176="",$C176="U",$S176&lt;&gt;Calc!$F$2),"",SUMIFS($I$3:$I$3002,$E$3:$E$3002,$E176,$C$3:$C$3002,"&lt;&gt;U",$S$3:$S$3002,Calc!$F$2))</f>
        <v/>
      </c>
      <c r="P176" s="35" t="str">
        <f aca="false">IF(OR($A176="",$C176="U",$S176&lt;&gt;Calc!$F$2),"",SUMIFS($N$3:$N$3002,$E$3:$E$3002,$E176,$C$3:$C$3002,"&lt;&gt;U",$S$3:$S$3002,Calc!$F$2))</f>
        <v/>
      </c>
      <c r="Q176" s="35" t="str">
        <f aca="false">IF(OR($A176="",$C176="U",$S176&lt;&gt;Calc!$F$2),"",IF(COUNTIFS($E$3:$E176,$E176,$C$3:$C176,"&lt;&gt;U",$S$3:$S176,Calc!$F$2)=1,1,0))</f>
        <v/>
      </c>
      <c r="R176" s="35" t="str">
        <f aca="false">IF($Q176=1,$O176-ROW()/100000,"")</f>
        <v/>
      </c>
      <c r="S176" s="37" t="str">
        <f aca="false">IF($A176="","",INT($A176))</f>
        <v/>
      </c>
      <c r="T176" s="35" t="str">
        <f aca="false">IF($A176="","",IF(COUNTIFS($S$3:$S176,$S176)=1,1,0))</f>
        <v/>
      </c>
      <c r="U176" s="37" t="str">
        <f aca="false">IF($T176=1,$S176,"")</f>
        <v/>
      </c>
    </row>
    <row r="177" customFormat="false" ht="15" hidden="false" customHeight="false" outlineLevel="0" collapsed="false">
      <c r="M177" s="35" t="str">
        <f aca="false">IF($A177="","",HOUR($A177))</f>
        <v/>
      </c>
      <c r="N177" s="36" t="str">
        <f aca="false">IF($A177="","",$I177*$K177)</f>
        <v/>
      </c>
      <c r="O177" s="35" t="str">
        <f aca="false">IF(OR($A177="",$C177="U",$S177&lt;&gt;Calc!$F$2),"",SUMIFS($I$3:$I$3002,$E$3:$E$3002,$E177,$C$3:$C$3002,"&lt;&gt;U",$S$3:$S$3002,Calc!$F$2))</f>
        <v/>
      </c>
      <c r="P177" s="35" t="str">
        <f aca="false">IF(OR($A177="",$C177="U",$S177&lt;&gt;Calc!$F$2),"",SUMIFS($N$3:$N$3002,$E$3:$E$3002,$E177,$C$3:$C$3002,"&lt;&gt;U",$S$3:$S$3002,Calc!$F$2))</f>
        <v/>
      </c>
      <c r="Q177" s="35" t="str">
        <f aca="false">IF(OR($A177="",$C177="U",$S177&lt;&gt;Calc!$F$2),"",IF(COUNTIFS($E$3:$E177,$E177,$C$3:$C177,"&lt;&gt;U",$S$3:$S177,Calc!$F$2)=1,1,0))</f>
        <v/>
      </c>
      <c r="R177" s="35" t="str">
        <f aca="false">IF($Q177=1,$O177-ROW()/100000,"")</f>
        <v/>
      </c>
      <c r="S177" s="37" t="str">
        <f aca="false">IF($A177="","",INT($A177))</f>
        <v/>
      </c>
      <c r="T177" s="35" t="str">
        <f aca="false">IF($A177="","",IF(COUNTIFS($S$3:$S177,$S177)=1,1,0))</f>
        <v/>
      </c>
      <c r="U177" s="37" t="str">
        <f aca="false">IF($T177=1,$S177,"")</f>
        <v/>
      </c>
    </row>
    <row r="178" customFormat="false" ht="15" hidden="false" customHeight="false" outlineLevel="0" collapsed="false">
      <c r="M178" s="35" t="str">
        <f aca="false">IF($A178="","",HOUR($A178))</f>
        <v/>
      </c>
      <c r="N178" s="36" t="str">
        <f aca="false">IF($A178="","",$I178*$K178)</f>
        <v/>
      </c>
      <c r="O178" s="35" t="str">
        <f aca="false">IF(OR($A178="",$C178="U",$S178&lt;&gt;Calc!$F$2),"",SUMIFS($I$3:$I$3002,$E$3:$E$3002,$E178,$C$3:$C$3002,"&lt;&gt;U",$S$3:$S$3002,Calc!$F$2))</f>
        <v/>
      </c>
      <c r="P178" s="35" t="str">
        <f aca="false">IF(OR($A178="",$C178="U",$S178&lt;&gt;Calc!$F$2),"",SUMIFS($N$3:$N$3002,$E$3:$E$3002,$E178,$C$3:$C$3002,"&lt;&gt;U",$S$3:$S$3002,Calc!$F$2))</f>
        <v/>
      </c>
      <c r="Q178" s="35" t="str">
        <f aca="false">IF(OR($A178="",$C178="U",$S178&lt;&gt;Calc!$F$2),"",IF(COUNTIFS($E$3:$E178,$E178,$C$3:$C178,"&lt;&gt;U",$S$3:$S178,Calc!$F$2)=1,1,0))</f>
        <v/>
      </c>
      <c r="R178" s="35" t="str">
        <f aca="false">IF($Q178=1,$O178-ROW()/100000,"")</f>
        <v/>
      </c>
      <c r="S178" s="37" t="str">
        <f aca="false">IF($A178="","",INT($A178))</f>
        <v/>
      </c>
      <c r="T178" s="35" t="str">
        <f aca="false">IF($A178="","",IF(COUNTIFS($S$3:$S178,$S178)=1,1,0))</f>
        <v/>
      </c>
      <c r="U178" s="37" t="str">
        <f aca="false">IF($T178=1,$S178,"")</f>
        <v/>
      </c>
    </row>
    <row r="179" customFormat="false" ht="15" hidden="false" customHeight="false" outlineLevel="0" collapsed="false">
      <c r="M179" s="35" t="str">
        <f aca="false">IF($A179="","",HOUR($A179))</f>
        <v/>
      </c>
      <c r="N179" s="36" t="str">
        <f aca="false">IF($A179="","",$I179*$K179)</f>
        <v/>
      </c>
      <c r="O179" s="35" t="str">
        <f aca="false">IF(OR($A179="",$C179="U",$S179&lt;&gt;Calc!$F$2),"",SUMIFS($I$3:$I$3002,$E$3:$E$3002,$E179,$C$3:$C$3002,"&lt;&gt;U",$S$3:$S$3002,Calc!$F$2))</f>
        <v/>
      </c>
      <c r="P179" s="35" t="str">
        <f aca="false">IF(OR($A179="",$C179="U",$S179&lt;&gt;Calc!$F$2),"",SUMIFS($N$3:$N$3002,$E$3:$E$3002,$E179,$C$3:$C$3002,"&lt;&gt;U",$S$3:$S$3002,Calc!$F$2))</f>
        <v/>
      </c>
      <c r="Q179" s="35" t="str">
        <f aca="false">IF(OR($A179="",$C179="U",$S179&lt;&gt;Calc!$F$2),"",IF(COUNTIFS($E$3:$E179,$E179,$C$3:$C179,"&lt;&gt;U",$S$3:$S179,Calc!$F$2)=1,1,0))</f>
        <v/>
      </c>
      <c r="R179" s="35" t="str">
        <f aca="false">IF($Q179=1,$O179-ROW()/100000,"")</f>
        <v/>
      </c>
      <c r="S179" s="37" t="str">
        <f aca="false">IF($A179="","",INT($A179))</f>
        <v/>
      </c>
      <c r="T179" s="35" t="str">
        <f aca="false">IF($A179="","",IF(COUNTIFS($S$3:$S179,$S179)=1,1,0))</f>
        <v/>
      </c>
      <c r="U179" s="37" t="str">
        <f aca="false">IF($T179=1,$S179,"")</f>
        <v/>
      </c>
    </row>
    <row r="180" customFormat="false" ht="15" hidden="false" customHeight="false" outlineLevel="0" collapsed="false">
      <c r="M180" s="35" t="str">
        <f aca="false">IF($A180="","",HOUR($A180))</f>
        <v/>
      </c>
      <c r="N180" s="36" t="str">
        <f aca="false">IF($A180="","",$I180*$K180)</f>
        <v/>
      </c>
      <c r="O180" s="35" t="str">
        <f aca="false">IF(OR($A180="",$C180="U",$S180&lt;&gt;Calc!$F$2),"",SUMIFS($I$3:$I$3002,$E$3:$E$3002,$E180,$C$3:$C$3002,"&lt;&gt;U",$S$3:$S$3002,Calc!$F$2))</f>
        <v/>
      </c>
      <c r="P180" s="35" t="str">
        <f aca="false">IF(OR($A180="",$C180="U",$S180&lt;&gt;Calc!$F$2),"",SUMIFS($N$3:$N$3002,$E$3:$E$3002,$E180,$C$3:$C$3002,"&lt;&gt;U",$S$3:$S$3002,Calc!$F$2))</f>
        <v/>
      </c>
      <c r="Q180" s="35" t="str">
        <f aca="false">IF(OR($A180="",$C180="U",$S180&lt;&gt;Calc!$F$2),"",IF(COUNTIFS($E$3:$E180,$E180,$C$3:$C180,"&lt;&gt;U",$S$3:$S180,Calc!$F$2)=1,1,0))</f>
        <v/>
      </c>
      <c r="R180" s="35" t="str">
        <f aca="false">IF($Q180=1,$O180-ROW()/100000,"")</f>
        <v/>
      </c>
      <c r="S180" s="37" t="str">
        <f aca="false">IF($A180="","",INT($A180))</f>
        <v/>
      </c>
      <c r="T180" s="35" t="str">
        <f aca="false">IF($A180="","",IF(COUNTIFS($S$3:$S180,$S180)=1,1,0))</f>
        <v/>
      </c>
      <c r="U180" s="37" t="str">
        <f aca="false">IF($T180=1,$S180,"")</f>
        <v/>
      </c>
    </row>
    <row r="181" customFormat="false" ht="15" hidden="false" customHeight="false" outlineLevel="0" collapsed="false">
      <c r="M181" s="35" t="str">
        <f aca="false">IF($A181="","",HOUR($A181))</f>
        <v/>
      </c>
      <c r="N181" s="36" t="str">
        <f aca="false">IF($A181="","",$I181*$K181)</f>
        <v/>
      </c>
      <c r="O181" s="35" t="str">
        <f aca="false">IF(OR($A181="",$C181="U",$S181&lt;&gt;Calc!$F$2),"",SUMIFS($I$3:$I$3002,$E$3:$E$3002,$E181,$C$3:$C$3002,"&lt;&gt;U",$S$3:$S$3002,Calc!$F$2))</f>
        <v/>
      </c>
      <c r="P181" s="35" t="str">
        <f aca="false">IF(OR($A181="",$C181="U",$S181&lt;&gt;Calc!$F$2),"",SUMIFS($N$3:$N$3002,$E$3:$E$3002,$E181,$C$3:$C$3002,"&lt;&gt;U",$S$3:$S$3002,Calc!$F$2))</f>
        <v/>
      </c>
      <c r="Q181" s="35" t="str">
        <f aca="false">IF(OR($A181="",$C181="U",$S181&lt;&gt;Calc!$F$2),"",IF(COUNTIFS($E$3:$E181,$E181,$C$3:$C181,"&lt;&gt;U",$S$3:$S181,Calc!$F$2)=1,1,0))</f>
        <v/>
      </c>
      <c r="R181" s="35" t="str">
        <f aca="false">IF($Q181=1,$O181-ROW()/100000,"")</f>
        <v/>
      </c>
      <c r="S181" s="37" t="str">
        <f aca="false">IF($A181="","",INT($A181))</f>
        <v/>
      </c>
      <c r="T181" s="35" t="str">
        <f aca="false">IF($A181="","",IF(COUNTIFS($S$3:$S181,$S181)=1,1,0))</f>
        <v/>
      </c>
      <c r="U181" s="37" t="str">
        <f aca="false">IF($T181=1,$S181,"")</f>
        <v/>
      </c>
    </row>
    <row r="182" customFormat="false" ht="15" hidden="false" customHeight="false" outlineLevel="0" collapsed="false">
      <c r="M182" s="35" t="str">
        <f aca="false">IF($A182="","",HOUR($A182))</f>
        <v/>
      </c>
      <c r="N182" s="36" t="str">
        <f aca="false">IF($A182="","",$I182*$K182)</f>
        <v/>
      </c>
      <c r="O182" s="35" t="str">
        <f aca="false">IF(OR($A182="",$C182="U",$S182&lt;&gt;Calc!$F$2),"",SUMIFS($I$3:$I$3002,$E$3:$E$3002,$E182,$C$3:$C$3002,"&lt;&gt;U",$S$3:$S$3002,Calc!$F$2))</f>
        <v/>
      </c>
      <c r="P182" s="35" t="str">
        <f aca="false">IF(OR($A182="",$C182="U",$S182&lt;&gt;Calc!$F$2),"",SUMIFS($N$3:$N$3002,$E$3:$E$3002,$E182,$C$3:$C$3002,"&lt;&gt;U",$S$3:$S$3002,Calc!$F$2))</f>
        <v/>
      </c>
      <c r="Q182" s="35" t="str">
        <f aca="false">IF(OR($A182="",$C182="U",$S182&lt;&gt;Calc!$F$2),"",IF(COUNTIFS($E$3:$E182,$E182,$C$3:$C182,"&lt;&gt;U",$S$3:$S182,Calc!$F$2)=1,1,0))</f>
        <v/>
      </c>
      <c r="R182" s="35" t="str">
        <f aca="false">IF($Q182=1,$O182-ROW()/100000,"")</f>
        <v/>
      </c>
      <c r="S182" s="37" t="str">
        <f aca="false">IF($A182="","",INT($A182))</f>
        <v/>
      </c>
      <c r="T182" s="35" t="str">
        <f aca="false">IF($A182="","",IF(COUNTIFS($S$3:$S182,$S182)=1,1,0))</f>
        <v/>
      </c>
      <c r="U182" s="37" t="str">
        <f aca="false">IF($T182=1,$S182,"")</f>
        <v/>
      </c>
    </row>
    <row r="183" customFormat="false" ht="15" hidden="false" customHeight="false" outlineLevel="0" collapsed="false">
      <c r="M183" s="35" t="str">
        <f aca="false">IF($A183="","",HOUR($A183))</f>
        <v/>
      </c>
      <c r="N183" s="36" t="str">
        <f aca="false">IF($A183="","",$I183*$K183)</f>
        <v/>
      </c>
      <c r="O183" s="35" t="str">
        <f aca="false">IF(OR($A183="",$C183="U",$S183&lt;&gt;Calc!$F$2),"",SUMIFS($I$3:$I$3002,$E$3:$E$3002,$E183,$C$3:$C$3002,"&lt;&gt;U",$S$3:$S$3002,Calc!$F$2))</f>
        <v/>
      </c>
      <c r="P183" s="35" t="str">
        <f aca="false">IF(OR($A183="",$C183="U",$S183&lt;&gt;Calc!$F$2),"",SUMIFS($N$3:$N$3002,$E$3:$E$3002,$E183,$C$3:$C$3002,"&lt;&gt;U",$S$3:$S$3002,Calc!$F$2))</f>
        <v/>
      </c>
      <c r="Q183" s="35" t="str">
        <f aca="false">IF(OR($A183="",$C183="U",$S183&lt;&gt;Calc!$F$2),"",IF(COUNTIFS($E$3:$E183,$E183,$C$3:$C183,"&lt;&gt;U",$S$3:$S183,Calc!$F$2)=1,1,0))</f>
        <v/>
      </c>
      <c r="R183" s="35" t="str">
        <f aca="false">IF($Q183=1,$O183-ROW()/100000,"")</f>
        <v/>
      </c>
      <c r="S183" s="37" t="str">
        <f aca="false">IF($A183="","",INT($A183))</f>
        <v/>
      </c>
      <c r="T183" s="35" t="str">
        <f aca="false">IF($A183="","",IF(COUNTIFS($S$3:$S183,$S183)=1,1,0))</f>
        <v/>
      </c>
      <c r="U183" s="37" t="str">
        <f aca="false">IF($T183=1,$S183,"")</f>
        <v/>
      </c>
    </row>
    <row r="184" customFormat="false" ht="15" hidden="false" customHeight="false" outlineLevel="0" collapsed="false">
      <c r="M184" s="35" t="str">
        <f aca="false">IF($A184="","",HOUR($A184))</f>
        <v/>
      </c>
      <c r="N184" s="36" t="str">
        <f aca="false">IF($A184="","",$I184*$K184)</f>
        <v/>
      </c>
      <c r="O184" s="35" t="str">
        <f aca="false">IF(OR($A184="",$C184="U",$S184&lt;&gt;Calc!$F$2),"",SUMIFS($I$3:$I$3002,$E$3:$E$3002,$E184,$C$3:$C$3002,"&lt;&gt;U",$S$3:$S$3002,Calc!$F$2))</f>
        <v/>
      </c>
      <c r="P184" s="35" t="str">
        <f aca="false">IF(OR($A184="",$C184="U",$S184&lt;&gt;Calc!$F$2),"",SUMIFS($N$3:$N$3002,$E$3:$E$3002,$E184,$C$3:$C$3002,"&lt;&gt;U",$S$3:$S$3002,Calc!$F$2))</f>
        <v/>
      </c>
      <c r="Q184" s="35" t="str">
        <f aca="false">IF(OR($A184="",$C184="U",$S184&lt;&gt;Calc!$F$2),"",IF(COUNTIFS($E$3:$E184,$E184,$C$3:$C184,"&lt;&gt;U",$S$3:$S184,Calc!$F$2)=1,1,0))</f>
        <v/>
      </c>
      <c r="R184" s="35" t="str">
        <f aca="false">IF($Q184=1,$O184-ROW()/100000,"")</f>
        <v/>
      </c>
      <c r="S184" s="37" t="str">
        <f aca="false">IF($A184="","",INT($A184))</f>
        <v/>
      </c>
      <c r="T184" s="35" t="str">
        <f aca="false">IF($A184="","",IF(COUNTIFS($S$3:$S184,$S184)=1,1,0))</f>
        <v/>
      </c>
      <c r="U184" s="37" t="str">
        <f aca="false">IF($T184=1,$S184,"")</f>
        <v/>
      </c>
    </row>
    <row r="185" customFormat="false" ht="15" hidden="false" customHeight="false" outlineLevel="0" collapsed="false">
      <c r="M185" s="35" t="str">
        <f aca="false">IF($A185="","",HOUR($A185))</f>
        <v/>
      </c>
      <c r="N185" s="36" t="str">
        <f aca="false">IF($A185="","",$I185*$K185)</f>
        <v/>
      </c>
      <c r="O185" s="35" t="str">
        <f aca="false">IF(OR($A185="",$C185="U",$S185&lt;&gt;Calc!$F$2),"",SUMIFS($I$3:$I$3002,$E$3:$E$3002,$E185,$C$3:$C$3002,"&lt;&gt;U",$S$3:$S$3002,Calc!$F$2))</f>
        <v/>
      </c>
      <c r="P185" s="35" t="str">
        <f aca="false">IF(OR($A185="",$C185="U",$S185&lt;&gt;Calc!$F$2),"",SUMIFS($N$3:$N$3002,$E$3:$E$3002,$E185,$C$3:$C$3002,"&lt;&gt;U",$S$3:$S$3002,Calc!$F$2))</f>
        <v/>
      </c>
      <c r="Q185" s="35" t="str">
        <f aca="false">IF(OR($A185="",$C185="U",$S185&lt;&gt;Calc!$F$2),"",IF(COUNTIFS($E$3:$E185,$E185,$C$3:$C185,"&lt;&gt;U",$S$3:$S185,Calc!$F$2)=1,1,0))</f>
        <v/>
      </c>
      <c r="R185" s="35" t="str">
        <f aca="false">IF($Q185=1,$O185-ROW()/100000,"")</f>
        <v/>
      </c>
      <c r="S185" s="37" t="str">
        <f aca="false">IF($A185="","",INT($A185))</f>
        <v/>
      </c>
      <c r="T185" s="35" t="str">
        <f aca="false">IF($A185="","",IF(COUNTIFS($S$3:$S185,$S185)=1,1,0))</f>
        <v/>
      </c>
      <c r="U185" s="37" t="str">
        <f aca="false">IF($T185=1,$S185,"")</f>
        <v/>
      </c>
    </row>
    <row r="186" customFormat="false" ht="15" hidden="false" customHeight="false" outlineLevel="0" collapsed="false">
      <c r="M186" s="35" t="str">
        <f aca="false">IF($A186="","",HOUR($A186))</f>
        <v/>
      </c>
      <c r="N186" s="36" t="str">
        <f aca="false">IF($A186="","",$I186*$K186)</f>
        <v/>
      </c>
      <c r="O186" s="35" t="str">
        <f aca="false">IF(OR($A186="",$C186="U",$S186&lt;&gt;Calc!$F$2),"",SUMIFS($I$3:$I$3002,$E$3:$E$3002,$E186,$C$3:$C$3002,"&lt;&gt;U",$S$3:$S$3002,Calc!$F$2))</f>
        <v/>
      </c>
      <c r="P186" s="35" t="str">
        <f aca="false">IF(OR($A186="",$C186="U",$S186&lt;&gt;Calc!$F$2),"",SUMIFS($N$3:$N$3002,$E$3:$E$3002,$E186,$C$3:$C$3002,"&lt;&gt;U",$S$3:$S$3002,Calc!$F$2))</f>
        <v/>
      </c>
      <c r="Q186" s="35" t="str">
        <f aca="false">IF(OR($A186="",$C186="U",$S186&lt;&gt;Calc!$F$2),"",IF(COUNTIFS($E$3:$E186,$E186,$C$3:$C186,"&lt;&gt;U",$S$3:$S186,Calc!$F$2)=1,1,0))</f>
        <v/>
      </c>
      <c r="R186" s="35" t="str">
        <f aca="false">IF($Q186=1,$O186-ROW()/100000,"")</f>
        <v/>
      </c>
      <c r="S186" s="37" t="str">
        <f aca="false">IF($A186="","",INT($A186))</f>
        <v/>
      </c>
      <c r="T186" s="35" t="str">
        <f aca="false">IF($A186="","",IF(COUNTIFS($S$3:$S186,$S186)=1,1,0))</f>
        <v/>
      </c>
      <c r="U186" s="37" t="str">
        <f aca="false">IF($T186=1,$S186,"")</f>
        <v/>
      </c>
    </row>
    <row r="187" customFormat="false" ht="15" hidden="false" customHeight="false" outlineLevel="0" collapsed="false">
      <c r="M187" s="35" t="str">
        <f aca="false">IF($A187="","",HOUR($A187))</f>
        <v/>
      </c>
      <c r="N187" s="36" t="str">
        <f aca="false">IF($A187="","",$I187*$K187)</f>
        <v/>
      </c>
      <c r="O187" s="35" t="str">
        <f aca="false">IF(OR($A187="",$C187="U",$S187&lt;&gt;Calc!$F$2),"",SUMIFS($I$3:$I$3002,$E$3:$E$3002,$E187,$C$3:$C$3002,"&lt;&gt;U",$S$3:$S$3002,Calc!$F$2))</f>
        <v/>
      </c>
      <c r="P187" s="35" t="str">
        <f aca="false">IF(OR($A187="",$C187="U",$S187&lt;&gt;Calc!$F$2),"",SUMIFS($N$3:$N$3002,$E$3:$E$3002,$E187,$C$3:$C$3002,"&lt;&gt;U",$S$3:$S$3002,Calc!$F$2))</f>
        <v/>
      </c>
      <c r="Q187" s="35" t="str">
        <f aca="false">IF(OR($A187="",$C187="U",$S187&lt;&gt;Calc!$F$2),"",IF(COUNTIFS($E$3:$E187,$E187,$C$3:$C187,"&lt;&gt;U",$S$3:$S187,Calc!$F$2)=1,1,0))</f>
        <v/>
      </c>
      <c r="R187" s="35" t="str">
        <f aca="false">IF($Q187=1,$O187-ROW()/100000,"")</f>
        <v/>
      </c>
      <c r="S187" s="37" t="str">
        <f aca="false">IF($A187="","",INT($A187))</f>
        <v/>
      </c>
      <c r="T187" s="35" t="str">
        <f aca="false">IF($A187="","",IF(COUNTIFS($S$3:$S187,$S187)=1,1,0))</f>
        <v/>
      </c>
      <c r="U187" s="37" t="str">
        <f aca="false">IF($T187=1,$S187,"")</f>
        <v/>
      </c>
    </row>
    <row r="188" customFormat="false" ht="15" hidden="false" customHeight="false" outlineLevel="0" collapsed="false">
      <c r="M188" s="35" t="str">
        <f aca="false">IF($A188="","",HOUR($A188))</f>
        <v/>
      </c>
      <c r="N188" s="36" t="str">
        <f aca="false">IF($A188="","",$I188*$K188)</f>
        <v/>
      </c>
      <c r="O188" s="35" t="str">
        <f aca="false">IF(OR($A188="",$C188="U",$S188&lt;&gt;Calc!$F$2),"",SUMIFS($I$3:$I$3002,$E$3:$E$3002,$E188,$C$3:$C$3002,"&lt;&gt;U",$S$3:$S$3002,Calc!$F$2))</f>
        <v/>
      </c>
      <c r="P188" s="35" t="str">
        <f aca="false">IF(OR($A188="",$C188="U",$S188&lt;&gt;Calc!$F$2),"",SUMIFS($N$3:$N$3002,$E$3:$E$3002,$E188,$C$3:$C$3002,"&lt;&gt;U",$S$3:$S$3002,Calc!$F$2))</f>
        <v/>
      </c>
      <c r="Q188" s="35" t="str">
        <f aca="false">IF(OR($A188="",$C188="U",$S188&lt;&gt;Calc!$F$2),"",IF(COUNTIFS($E$3:$E188,$E188,$C$3:$C188,"&lt;&gt;U",$S$3:$S188,Calc!$F$2)=1,1,0))</f>
        <v/>
      </c>
      <c r="R188" s="35" t="str">
        <f aca="false">IF($Q188=1,$O188-ROW()/100000,"")</f>
        <v/>
      </c>
      <c r="S188" s="37" t="str">
        <f aca="false">IF($A188="","",INT($A188))</f>
        <v/>
      </c>
      <c r="T188" s="35" t="str">
        <f aca="false">IF($A188="","",IF(COUNTIFS($S$3:$S188,$S188)=1,1,0))</f>
        <v/>
      </c>
      <c r="U188" s="37" t="str">
        <f aca="false">IF($T188=1,$S188,"")</f>
        <v/>
      </c>
    </row>
    <row r="189" customFormat="false" ht="15" hidden="false" customHeight="false" outlineLevel="0" collapsed="false">
      <c r="M189" s="35" t="str">
        <f aca="false">IF($A189="","",HOUR($A189))</f>
        <v/>
      </c>
      <c r="N189" s="36" t="str">
        <f aca="false">IF($A189="","",$I189*$K189)</f>
        <v/>
      </c>
      <c r="O189" s="35" t="str">
        <f aca="false">IF(OR($A189="",$C189="U",$S189&lt;&gt;Calc!$F$2),"",SUMIFS($I$3:$I$3002,$E$3:$E$3002,$E189,$C$3:$C$3002,"&lt;&gt;U",$S$3:$S$3002,Calc!$F$2))</f>
        <v/>
      </c>
      <c r="P189" s="35" t="str">
        <f aca="false">IF(OR($A189="",$C189="U",$S189&lt;&gt;Calc!$F$2),"",SUMIFS($N$3:$N$3002,$E$3:$E$3002,$E189,$C$3:$C$3002,"&lt;&gt;U",$S$3:$S$3002,Calc!$F$2))</f>
        <v/>
      </c>
      <c r="Q189" s="35" t="str">
        <f aca="false">IF(OR($A189="",$C189="U",$S189&lt;&gt;Calc!$F$2),"",IF(COUNTIFS($E$3:$E189,$E189,$C$3:$C189,"&lt;&gt;U",$S$3:$S189,Calc!$F$2)=1,1,0))</f>
        <v/>
      </c>
      <c r="R189" s="35" t="str">
        <f aca="false">IF($Q189=1,$O189-ROW()/100000,"")</f>
        <v/>
      </c>
      <c r="S189" s="37" t="str">
        <f aca="false">IF($A189="","",INT($A189))</f>
        <v/>
      </c>
      <c r="T189" s="35" t="str">
        <f aca="false">IF($A189="","",IF(COUNTIFS($S$3:$S189,$S189)=1,1,0))</f>
        <v/>
      </c>
      <c r="U189" s="37" t="str">
        <f aca="false">IF($T189=1,$S189,"")</f>
        <v/>
      </c>
    </row>
    <row r="190" customFormat="false" ht="15" hidden="false" customHeight="false" outlineLevel="0" collapsed="false">
      <c r="M190" s="35" t="str">
        <f aca="false">IF($A190="","",HOUR($A190))</f>
        <v/>
      </c>
      <c r="N190" s="36" t="str">
        <f aca="false">IF($A190="","",$I190*$K190)</f>
        <v/>
      </c>
      <c r="O190" s="35" t="str">
        <f aca="false">IF(OR($A190="",$C190="U",$S190&lt;&gt;Calc!$F$2),"",SUMIFS($I$3:$I$3002,$E$3:$E$3002,$E190,$C$3:$C$3002,"&lt;&gt;U",$S$3:$S$3002,Calc!$F$2))</f>
        <v/>
      </c>
      <c r="P190" s="35" t="str">
        <f aca="false">IF(OR($A190="",$C190="U",$S190&lt;&gt;Calc!$F$2),"",SUMIFS($N$3:$N$3002,$E$3:$E$3002,$E190,$C$3:$C$3002,"&lt;&gt;U",$S$3:$S$3002,Calc!$F$2))</f>
        <v/>
      </c>
      <c r="Q190" s="35" t="str">
        <f aca="false">IF(OR($A190="",$C190="U",$S190&lt;&gt;Calc!$F$2),"",IF(COUNTIFS($E$3:$E190,$E190,$C$3:$C190,"&lt;&gt;U",$S$3:$S190,Calc!$F$2)=1,1,0))</f>
        <v/>
      </c>
      <c r="R190" s="35" t="str">
        <f aca="false">IF($Q190=1,$O190-ROW()/100000,"")</f>
        <v/>
      </c>
      <c r="S190" s="37" t="str">
        <f aca="false">IF($A190="","",INT($A190))</f>
        <v/>
      </c>
      <c r="T190" s="35" t="str">
        <f aca="false">IF($A190="","",IF(COUNTIFS($S$3:$S190,$S190)=1,1,0))</f>
        <v/>
      </c>
      <c r="U190" s="37" t="str">
        <f aca="false">IF($T190=1,$S190,"")</f>
        <v/>
      </c>
    </row>
    <row r="191" customFormat="false" ht="15" hidden="false" customHeight="false" outlineLevel="0" collapsed="false">
      <c r="M191" s="35" t="str">
        <f aca="false">IF($A191="","",HOUR($A191))</f>
        <v/>
      </c>
      <c r="N191" s="36" t="str">
        <f aca="false">IF($A191="","",$I191*$K191)</f>
        <v/>
      </c>
      <c r="O191" s="35" t="str">
        <f aca="false">IF(OR($A191="",$C191="U",$S191&lt;&gt;Calc!$F$2),"",SUMIFS($I$3:$I$3002,$E$3:$E$3002,$E191,$C$3:$C$3002,"&lt;&gt;U",$S$3:$S$3002,Calc!$F$2))</f>
        <v/>
      </c>
      <c r="P191" s="35" t="str">
        <f aca="false">IF(OR($A191="",$C191="U",$S191&lt;&gt;Calc!$F$2),"",SUMIFS($N$3:$N$3002,$E$3:$E$3002,$E191,$C$3:$C$3002,"&lt;&gt;U",$S$3:$S$3002,Calc!$F$2))</f>
        <v/>
      </c>
      <c r="Q191" s="35" t="str">
        <f aca="false">IF(OR($A191="",$C191="U",$S191&lt;&gt;Calc!$F$2),"",IF(COUNTIFS($E$3:$E191,$E191,$C$3:$C191,"&lt;&gt;U",$S$3:$S191,Calc!$F$2)=1,1,0))</f>
        <v/>
      </c>
      <c r="R191" s="35" t="str">
        <f aca="false">IF($Q191=1,$O191-ROW()/100000,"")</f>
        <v/>
      </c>
      <c r="S191" s="37" t="str">
        <f aca="false">IF($A191="","",INT($A191))</f>
        <v/>
      </c>
      <c r="T191" s="35" t="str">
        <f aca="false">IF($A191="","",IF(COUNTIFS($S$3:$S191,$S191)=1,1,0))</f>
        <v/>
      </c>
      <c r="U191" s="37" t="str">
        <f aca="false">IF($T191=1,$S191,"")</f>
        <v/>
      </c>
    </row>
    <row r="192" customFormat="false" ht="15" hidden="false" customHeight="false" outlineLevel="0" collapsed="false">
      <c r="M192" s="35" t="str">
        <f aca="false">IF($A192="","",HOUR($A192))</f>
        <v/>
      </c>
      <c r="N192" s="36" t="str">
        <f aca="false">IF($A192="","",$I192*$K192)</f>
        <v/>
      </c>
      <c r="O192" s="35" t="str">
        <f aca="false">IF(OR($A192="",$C192="U",$S192&lt;&gt;Calc!$F$2),"",SUMIFS($I$3:$I$3002,$E$3:$E$3002,$E192,$C$3:$C$3002,"&lt;&gt;U",$S$3:$S$3002,Calc!$F$2))</f>
        <v/>
      </c>
      <c r="P192" s="35" t="str">
        <f aca="false">IF(OR($A192="",$C192="U",$S192&lt;&gt;Calc!$F$2),"",SUMIFS($N$3:$N$3002,$E$3:$E$3002,$E192,$C$3:$C$3002,"&lt;&gt;U",$S$3:$S$3002,Calc!$F$2))</f>
        <v/>
      </c>
      <c r="Q192" s="35" t="str">
        <f aca="false">IF(OR($A192="",$C192="U",$S192&lt;&gt;Calc!$F$2),"",IF(COUNTIFS($E$3:$E192,$E192,$C$3:$C192,"&lt;&gt;U",$S$3:$S192,Calc!$F$2)=1,1,0))</f>
        <v/>
      </c>
      <c r="R192" s="35" t="str">
        <f aca="false">IF($Q192=1,$O192-ROW()/100000,"")</f>
        <v/>
      </c>
      <c r="S192" s="37" t="str">
        <f aca="false">IF($A192="","",INT($A192))</f>
        <v/>
      </c>
      <c r="T192" s="35" t="str">
        <f aca="false">IF($A192="","",IF(COUNTIFS($S$3:$S192,$S192)=1,1,0))</f>
        <v/>
      </c>
      <c r="U192" s="37" t="str">
        <f aca="false">IF($T192=1,$S192,"")</f>
        <v/>
      </c>
    </row>
    <row r="193" customFormat="false" ht="15" hidden="false" customHeight="false" outlineLevel="0" collapsed="false">
      <c r="M193" s="35" t="str">
        <f aca="false">IF($A193="","",HOUR($A193))</f>
        <v/>
      </c>
      <c r="N193" s="36" t="str">
        <f aca="false">IF($A193="","",$I193*$K193)</f>
        <v/>
      </c>
      <c r="O193" s="35" t="str">
        <f aca="false">IF(OR($A193="",$C193="U",$S193&lt;&gt;Calc!$F$2),"",SUMIFS($I$3:$I$3002,$E$3:$E$3002,$E193,$C$3:$C$3002,"&lt;&gt;U",$S$3:$S$3002,Calc!$F$2))</f>
        <v/>
      </c>
      <c r="P193" s="35" t="str">
        <f aca="false">IF(OR($A193="",$C193="U",$S193&lt;&gt;Calc!$F$2),"",SUMIFS($N$3:$N$3002,$E$3:$E$3002,$E193,$C$3:$C$3002,"&lt;&gt;U",$S$3:$S$3002,Calc!$F$2))</f>
        <v/>
      </c>
      <c r="Q193" s="35" t="str">
        <f aca="false">IF(OR($A193="",$C193="U",$S193&lt;&gt;Calc!$F$2),"",IF(COUNTIFS($E$3:$E193,$E193,$C$3:$C193,"&lt;&gt;U",$S$3:$S193,Calc!$F$2)=1,1,0))</f>
        <v/>
      </c>
      <c r="R193" s="35" t="str">
        <f aca="false">IF($Q193=1,$O193-ROW()/100000,"")</f>
        <v/>
      </c>
      <c r="S193" s="37" t="str">
        <f aca="false">IF($A193="","",INT($A193))</f>
        <v/>
      </c>
      <c r="T193" s="35" t="str">
        <f aca="false">IF($A193="","",IF(COUNTIFS($S$3:$S193,$S193)=1,1,0))</f>
        <v/>
      </c>
      <c r="U193" s="37" t="str">
        <f aca="false">IF($T193=1,$S193,"")</f>
        <v/>
      </c>
    </row>
    <row r="194" customFormat="false" ht="15" hidden="false" customHeight="false" outlineLevel="0" collapsed="false">
      <c r="M194" s="35" t="str">
        <f aca="false">IF($A194="","",HOUR($A194))</f>
        <v/>
      </c>
      <c r="N194" s="36" t="str">
        <f aca="false">IF($A194="","",$I194*$K194)</f>
        <v/>
      </c>
      <c r="O194" s="35" t="str">
        <f aca="false">IF(OR($A194="",$C194="U",$S194&lt;&gt;Calc!$F$2),"",SUMIFS($I$3:$I$3002,$E$3:$E$3002,$E194,$C$3:$C$3002,"&lt;&gt;U",$S$3:$S$3002,Calc!$F$2))</f>
        <v/>
      </c>
      <c r="P194" s="35" t="str">
        <f aca="false">IF(OR($A194="",$C194="U",$S194&lt;&gt;Calc!$F$2),"",SUMIFS($N$3:$N$3002,$E$3:$E$3002,$E194,$C$3:$C$3002,"&lt;&gt;U",$S$3:$S$3002,Calc!$F$2))</f>
        <v/>
      </c>
      <c r="Q194" s="35" t="str">
        <f aca="false">IF(OR($A194="",$C194="U",$S194&lt;&gt;Calc!$F$2),"",IF(COUNTIFS($E$3:$E194,$E194,$C$3:$C194,"&lt;&gt;U",$S$3:$S194,Calc!$F$2)=1,1,0))</f>
        <v/>
      </c>
      <c r="R194" s="35" t="str">
        <f aca="false">IF($Q194=1,$O194-ROW()/100000,"")</f>
        <v/>
      </c>
      <c r="S194" s="37" t="str">
        <f aca="false">IF($A194="","",INT($A194))</f>
        <v/>
      </c>
      <c r="T194" s="35" t="str">
        <f aca="false">IF($A194="","",IF(COUNTIFS($S$3:$S194,$S194)=1,1,0))</f>
        <v/>
      </c>
      <c r="U194" s="37" t="str">
        <f aca="false">IF($T194=1,$S194,"")</f>
        <v/>
      </c>
    </row>
    <row r="195" customFormat="false" ht="15" hidden="false" customHeight="false" outlineLevel="0" collapsed="false">
      <c r="M195" s="35" t="str">
        <f aca="false">IF($A195="","",HOUR($A195))</f>
        <v/>
      </c>
      <c r="N195" s="36" t="str">
        <f aca="false">IF($A195="","",$I195*$K195)</f>
        <v/>
      </c>
      <c r="O195" s="35" t="str">
        <f aca="false">IF(OR($A195="",$C195="U",$S195&lt;&gt;Calc!$F$2),"",SUMIFS($I$3:$I$3002,$E$3:$E$3002,$E195,$C$3:$C$3002,"&lt;&gt;U",$S$3:$S$3002,Calc!$F$2))</f>
        <v/>
      </c>
      <c r="P195" s="35" t="str">
        <f aca="false">IF(OR($A195="",$C195="U",$S195&lt;&gt;Calc!$F$2),"",SUMIFS($N$3:$N$3002,$E$3:$E$3002,$E195,$C$3:$C$3002,"&lt;&gt;U",$S$3:$S$3002,Calc!$F$2))</f>
        <v/>
      </c>
      <c r="Q195" s="35" t="str">
        <f aca="false">IF(OR($A195="",$C195="U",$S195&lt;&gt;Calc!$F$2),"",IF(COUNTIFS($E$3:$E195,$E195,$C$3:$C195,"&lt;&gt;U",$S$3:$S195,Calc!$F$2)=1,1,0))</f>
        <v/>
      </c>
      <c r="R195" s="35" t="str">
        <f aca="false">IF($Q195=1,$O195-ROW()/100000,"")</f>
        <v/>
      </c>
      <c r="S195" s="37" t="str">
        <f aca="false">IF($A195="","",INT($A195))</f>
        <v/>
      </c>
      <c r="T195" s="35" t="str">
        <f aca="false">IF($A195="","",IF(COUNTIFS($S$3:$S195,$S195)=1,1,0))</f>
        <v/>
      </c>
      <c r="U195" s="37" t="str">
        <f aca="false">IF($T195=1,$S195,"")</f>
        <v/>
      </c>
    </row>
    <row r="196" customFormat="false" ht="15" hidden="false" customHeight="false" outlineLevel="0" collapsed="false">
      <c r="M196" s="35" t="str">
        <f aca="false">IF($A196="","",HOUR($A196))</f>
        <v/>
      </c>
      <c r="N196" s="36" t="str">
        <f aca="false">IF($A196="","",$I196*$K196)</f>
        <v/>
      </c>
      <c r="O196" s="35" t="str">
        <f aca="false">IF(OR($A196="",$C196="U",$S196&lt;&gt;Calc!$F$2),"",SUMIFS($I$3:$I$3002,$E$3:$E$3002,$E196,$C$3:$C$3002,"&lt;&gt;U",$S$3:$S$3002,Calc!$F$2))</f>
        <v/>
      </c>
      <c r="P196" s="35" t="str">
        <f aca="false">IF(OR($A196="",$C196="U",$S196&lt;&gt;Calc!$F$2),"",SUMIFS($N$3:$N$3002,$E$3:$E$3002,$E196,$C$3:$C$3002,"&lt;&gt;U",$S$3:$S$3002,Calc!$F$2))</f>
        <v/>
      </c>
      <c r="Q196" s="35" t="str">
        <f aca="false">IF(OR($A196="",$C196="U",$S196&lt;&gt;Calc!$F$2),"",IF(COUNTIFS($E$3:$E196,$E196,$C$3:$C196,"&lt;&gt;U",$S$3:$S196,Calc!$F$2)=1,1,0))</f>
        <v/>
      </c>
      <c r="R196" s="35" t="str">
        <f aca="false">IF($Q196=1,$O196-ROW()/100000,"")</f>
        <v/>
      </c>
      <c r="S196" s="37" t="str">
        <f aca="false">IF($A196="","",INT($A196))</f>
        <v/>
      </c>
      <c r="T196" s="35" t="str">
        <f aca="false">IF($A196="","",IF(COUNTIFS($S$3:$S196,$S196)=1,1,0))</f>
        <v/>
      </c>
      <c r="U196" s="37" t="str">
        <f aca="false">IF($T196=1,$S196,"")</f>
        <v/>
      </c>
    </row>
    <row r="197" customFormat="false" ht="15" hidden="false" customHeight="false" outlineLevel="0" collapsed="false">
      <c r="M197" s="35" t="str">
        <f aca="false">IF($A197="","",HOUR($A197))</f>
        <v/>
      </c>
      <c r="N197" s="36" t="str">
        <f aca="false">IF($A197="","",$I197*$K197)</f>
        <v/>
      </c>
      <c r="O197" s="35" t="str">
        <f aca="false">IF(OR($A197="",$C197="U",$S197&lt;&gt;Calc!$F$2),"",SUMIFS($I$3:$I$3002,$E$3:$E$3002,$E197,$C$3:$C$3002,"&lt;&gt;U",$S$3:$S$3002,Calc!$F$2))</f>
        <v/>
      </c>
      <c r="P197" s="35" t="str">
        <f aca="false">IF(OR($A197="",$C197="U",$S197&lt;&gt;Calc!$F$2),"",SUMIFS($N$3:$N$3002,$E$3:$E$3002,$E197,$C$3:$C$3002,"&lt;&gt;U",$S$3:$S$3002,Calc!$F$2))</f>
        <v/>
      </c>
      <c r="Q197" s="35" t="str">
        <f aca="false">IF(OR($A197="",$C197="U",$S197&lt;&gt;Calc!$F$2),"",IF(COUNTIFS($E$3:$E197,$E197,$C$3:$C197,"&lt;&gt;U",$S$3:$S197,Calc!$F$2)=1,1,0))</f>
        <v/>
      </c>
      <c r="R197" s="35" t="str">
        <f aca="false">IF($Q197=1,$O197-ROW()/100000,"")</f>
        <v/>
      </c>
      <c r="S197" s="37" t="str">
        <f aca="false">IF($A197="","",INT($A197))</f>
        <v/>
      </c>
      <c r="T197" s="35" t="str">
        <f aca="false">IF($A197="","",IF(COUNTIFS($S$3:$S197,$S197)=1,1,0))</f>
        <v/>
      </c>
      <c r="U197" s="37" t="str">
        <f aca="false">IF($T197=1,$S197,"")</f>
        <v/>
      </c>
    </row>
    <row r="198" customFormat="false" ht="15" hidden="false" customHeight="false" outlineLevel="0" collapsed="false">
      <c r="M198" s="35" t="str">
        <f aca="false">IF($A198="","",HOUR($A198))</f>
        <v/>
      </c>
      <c r="N198" s="36" t="str">
        <f aca="false">IF($A198="","",$I198*$K198)</f>
        <v/>
      </c>
      <c r="O198" s="35" t="str">
        <f aca="false">IF(OR($A198="",$C198="U",$S198&lt;&gt;Calc!$F$2),"",SUMIFS($I$3:$I$3002,$E$3:$E$3002,$E198,$C$3:$C$3002,"&lt;&gt;U",$S$3:$S$3002,Calc!$F$2))</f>
        <v/>
      </c>
      <c r="P198" s="35" t="str">
        <f aca="false">IF(OR($A198="",$C198="U",$S198&lt;&gt;Calc!$F$2),"",SUMIFS($N$3:$N$3002,$E$3:$E$3002,$E198,$C$3:$C$3002,"&lt;&gt;U",$S$3:$S$3002,Calc!$F$2))</f>
        <v/>
      </c>
      <c r="Q198" s="35" t="str">
        <f aca="false">IF(OR($A198="",$C198="U",$S198&lt;&gt;Calc!$F$2),"",IF(COUNTIFS($E$3:$E198,$E198,$C$3:$C198,"&lt;&gt;U",$S$3:$S198,Calc!$F$2)=1,1,0))</f>
        <v/>
      </c>
      <c r="R198" s="35" t="str">
        <f aca="false">IF($Q198=1,$O198-ROW()/100000,"")</f>
        <v/>
      </c>
      <c r="S198" s="37" t="str">
        <f aca="false">IF($A198="","",INT($A198))</f>
        <v/>
      </c>
      <c r="T198" s="35" t="str">
        <f aca="false">IF($A198="","",IF(COUNTIFS($S$3:$S198,$S198)=1,1,0))</f>
        <v/>
      </c>
      <c r="U198" s="37" t="str">
        <f aca="false">IF($T198=1,$S198,"")</f>
        <v/>
      </c>
    </row>
    <row r="199" customFormat="false" ht="15" hidden="false" customHeight="false" outlineLevel="0" collapsed="false">
      <c r="M199" s="35" t="str">
        <f aca="false">IF($A199="","",HOUR($A199))</f>
        <v/>
      </c>
      <c r="N199" s="36" t="str">
        <f aca="false">IF($A199="","",$I199*$K199)</f>
        <v/>
      </c>
      <c r="O199" s="35" t="str">
        <f aca="false">IF(OR($A199="",$C199="U",$S199&lt;&gt;Calc!$F$2),"",SUMIFS($I$3:$I$3002,$E$3:$E$3002,$E199,$C$3:$C$3002,"&lt;&gt;U",$S$3:$S$3002,Calc!$F$2))</f>
        <v/>
      </c>
      <c r="P199" s="35" t="str">
        <f aca="false">IF(OR($A199="",$C199="U",$S199&lt;&gt;Calc!$F$2),"",SUMIFS($N$3:$N$3002,$E$3:$E$3002,$E199,$C$3:$C$3002,"&lt;&gt;U",$S$3:$S$3002,Calc!$F$2))</f>
        <v/>
      </c>
      <c r="Q199" s="35" t="str">
        <f aca="false">IF(OR($A199="",$C199="U",$S199&lt;&gt;Calc!$F$2),"",IF(COUNTIFS($E$3:$E199,$E199,$C$3:$C199,"&lt;&gt;U",$S$3:$S199,Calc!$F$2)=1,1,0))</f>
        <v/>
      </c>
      <c r="R199" s="35" t="str">
        <f aca="false">IF($Q199=1,$O199-ROW()/100000,"")</f>
        <v/>
      </c>
      <c r="S199" s="37" t="str">
        <f aca="false">IF($A199="","",INT($A199))</f>
        <v/>
      </c>
      <c r="T199" s="35" t="str">
        <f aca="false">IF($A199="","",IF(COUNTIFS($S$3:$S199,$S199)=1,1,0))</f>
        <v/>
      </c>
      <c r="U199" s="37" t="str">
        <f aca="false">IF($T199=1,$S199,"")</f>
        <v/>
      </c>
    </row>
    <row r="200" customFormat="false" ht="15" hidden="false" customHeight="false" outlineLevel="0" collapsed="false">
      <c r="M200" s="35" t="str">
        <f aca="false">IF($A200="","",HOUR($A200))</f>
        <v/>
      </c>
      <c r="N200" s="36" t="str">
        <f aca="false">IF($A200="","",$I200*$K200)</f>
        <v/>
      </c>
      <c r="O200" s="35" t="str">
        <f aca="false">IF(OR($A200="",$C200="U",$S200&lt;&gt;Calc!$F$2),"",SUMIFS($I$3:$I$3002,$E$3:$E$3002,$E200,$C$3:$C$3002,"&lt;&gt;U",$S$3:$S$3002,Calc!$F$2))</f>
        <v/>
      </c>
      <c r="P200" s="35" t="str">
        <f aca="false">IF(OR($A200="",$C200="U",$S200&lt;&gt;Calc!$F$2),"",SUMIFS($N$3:$N$3002,$E$3:$E$3002,$E200,$C$3:$C$3002,"&lt;&gt;U",$S$3:$S$3002,Calc!$F$2))</f>
        <v/>
      </c>
      <c r="Q200" s="35" t="str">
        <f aca="false">IF(OR($A200="",$C200="U",$S200&lt;&gt;Calc!$F$2),"",IF(COUNTIFS($E$3:$E200,$E200,$C$3:$C200,"&lt;&gt;U",$S$3:$S200,Calc!$F$2)=1,1,0))</f>
        <v/>
      </c>
      <c r="R200" s="35" t="str">
        <f aca="false">IF($Q200=1,$O200-ROW()/100000,"")</f>
        <v/>
      </c>
      <c r="S200" s="37" t="str">
        <f aca="false">IF($A200="","",INT($A200))</f>
        <v/>
      </c>
      <c r="T200" s="35" t="str">
        <f aca="false">IF($A200="","",IF(COUNTIFS($S$3:$S200,$S200)=1,1,0))</f>
        <v/>
      </c>
      <c r="U200" s="37" t="str">
        <f aca="false">IF($T200=1,$S200,"")</f>
        <v/>
      </c>
    </row>
    <row r="201" customFormat="false" ht="15" hidden="false" customHeight="false" outlineLevel="0" collapsed="false">
      <c r="M201" s="35" t="str">
        <f aca="false">IF($A201="","",HOUR($A201))</f>
        <v/>
      </c>
      <c r="N201" s="36" t="str">
        <f aca="false">IF($A201="","",$I201*$K201)</f>
        <v/>
      </c>
      <c r="O201" s="35" t="str">
        <f aca="false">IF(OR($A201="",$C201="U",$S201&lt;&gt;Calc!$F$2),"",SUMIFS($I$3:$I$3002,$E$3:$E$3002,$E201,$C$3:$C$3002,"&lt;&gt;U",$S$3:$S$3002,Calc!$F$2))</f>
        <v/>
      </c>
      <c r="P201" s="35" t="str">
        <f aca="false">IF(OR($A201="",$C201="U",$S201&lt;&gt;Calc!$F$2),"",SUMIFS($N$3:$N$3002,$E$3:$E$3002,$E201,$C$3:$C$3002,"&lt;&gt;U",$S$3:$S$3002,Calc!$F$2))</f>
        <v/>
      </c>
      <c r="Q201" s="35" t="str">
        <f aca="false">IF(OR($A201="",$C201="U",$S201&lt;&gt;Calc!$F$2),"",IF(COUNTIFS($E$3:$E201,$E201,$C$3:$C201,"&lt;&gt;U",$S$3:$S201,Calc!$F$2)=1,1,0))</f>
        <v/>
      </c>
      <c r="R201" s="35" t="str">
        <f aca="false">IF($Q201=1,$O201-ROW()/100000,"")</f>
        <v/>
      </c>
      <c r="S201" s="37" t="str">
        <f aca="false">IF($A201="","",INT($A201))</f>
        <v/>
      </c>
      <c r="T201" s="35" t="str">
        <f aca="false">IF($A201="","",IF(COUNTIFS($S$3:$S201,$S201)=1,1,0))</f>
        <v/>
      </c>
      <c r="U201" s="37" t="str">
        <f aca="false">IF($T201=1,$S201,"")</f>
        <v/>
      </c>
    </row>
    <row r="202" customFormat="false" ht="15" hidden="false" customHeight="false" outlineLevel="0" collapsed="false">
      <c r="M202" s="35" t="str">
        <f aca="false">IF($A202="","",HOUR($A202))</f>
        <v/>
      </c>
      <c r="N202" s="36" t="str">
        <f aca="false">IF($A202="","",$I202*$K202)</f>
        <v/>
      </c>
      <c r="O202" s="35" t="str">
        <f aca="false">IF(OR($A202="",$C202="U",$S202&lt;&gt;Calc!$F$2),"",SUMIFS($I$3:$I$3002,$E$3:$E$3002,$E202,$C$3:$C$3002,"&lt;&gt;U",$S$3:$S$3002,Calc!$F$2))</f>
        <v/>
      </c>
      <c r="P202" s="35" t="str">
        <f aca="false">IF(OR($A202="",$C202="U",$S202&lt;&gt;Calc!$F$2),"",SUMIFS($N$3:$N$3002,$E$3:$E$3002,$E202,$C$3:$C$3002,"&lt;&gt;U",$S$3:$S$3002,Calc!$F$2))</f>
        <v/>
      </c>
      <c r="Q202" s="35" t="str">
        <f aca="false">IF(OR($A202="",$C202="U",$S202&lt;&gt;Calc!$F$2),"",IF(COUNTIFS($E$3:$E202,$E202,$C$3:$C202,"&lt;&gt;U",$S$3:$S202,Calc!$F$2)=1,1,0))</f>
        <v/>
      </c>
      <c r="R202" s="35" t="str">
        <f aca="false">IF($Q202=1,$O202-ROW()/100000,"")</f>
        <v/>
      </c>
      <c r="S202" s="37" t="str">
        <f aca="false">IF($A202="","",INT($A202))</f>
        <v/>
      </c>
      <c r="T202" s="35" t="str">
        <f aca="false">IF($A202="","",IF(COUNTIFS($S$3:$S202,$S202)=1,1,0))</f>
        <v/>
      </c>
      <c r="U202" s="37" t="str">
        <f aca="false">IF($T202=1,$S202,"")</f>
        <v/>
      </c>
    </row>
    <row r="203" customFormat="false" ht="15" hidden="false" customHeight="false" outlineLevel="0" collapsed="false">
      <c r="M203" s="35" t="str">
        <f aca="false">IF($A203="","",HOUR($A203))</f>
        <v/>
      </c>
      <c r="N203" s="36" t="str">
        <f aca="false">IF($A203="","",$I203*$K203)</f>
        <v/>
      </c>
      <c r="O203" s="35" t="str">
        <f aca="false">IF(OR($A203="",$C203="U",$S203&lt;&gt;Calc!$F$2),"",SUMIFS($I$3:$I$3002,$E$3:$E$3002,$E203,$C$3:$C$3002,"&lt;&gt;U",$S$3:$S$3002,Calc!$F$2))</f>
        <v/>
      </c>
      <c r="P203" s="35" t="str">
        <f aca="false">IF(OR($A203="",$C203="U",$S203&lt;&gt;Calc!$F$2),"",SUMIFS($N$3:$N$3002,$E$3:$E$3002,$E203,$C$3:$C$3002,"&lt;&gt;U",$S$3:$S$3002,Calc!$F$2))</f>
        <v/>
      </c>
      <c r="Q203" s="35" t="str">
        <f aca="false">IF(OR($A203="",$C203="U",$S203&lt;&gt;Calc!$F$2),"",IF(COUNTIFS($E$3:$E203,$E203,$C$3:$C203,"&lt;&gt;U",$S$3:$S203,Calc!$F$2)=1,1,0))</f>
        <v/>
      </c>
      <c r="R203" s="35" t="str">
        <f aca="false">IF($Q203=1,$O203-ROW()/100000,"")</f>
        <v/>
      </c>
      <c r="S203" s="37" t="str">
        <f aca="false">IF($A203="","",INT($A203))</f>
        <v/>
      </c>
      <c r="T203" s="35" t="str">
        <f aca="false">IF($A203="","",IF(COUNTIFS($S$3:$S203,$S203)=1,1,0))</f>
        <v/>
      </c>
      <c r="U203" s="37" t="str">
        <f aca="false">IF($T203=1,$S203,"")</f>
        <v/>
      </c>
    </row>
    <row r="204" customFormat="false" ht="15" hidden="false" customHeight="false" outlineLevel="0" collapsed="false">
      <c r="M204" s="35" t="str">
        <f aca="false">IF($A204="","",HOUR($A204))</f>
        <v/>
      </c>
      <c r="N204" s="36" t="str">
        <f aca="false">IF($A204="","",$I204*$K204)</f>
        <v/>
      </c>
      <c r="O204" s="35" t="str">
        <f aca="false">IF(OR($A204="",$C204="U",$S204&lt;&gt;Calc!$F$2),"",SUMIFS($I$3:$I$3002,$E$3:$E$3002,$E204,$C$3:$C$3002,"&lt;&gt;U",$S$3:$S$3002,Calc!$F$2))</f>
        <v/>
      </c>
      <c r="P204" s="35" t="str">
        <f aca="false">IF(OR($A204="",$C204="U",$S204&lt;&gt;Calc!$F$2),"",SUMIFS($N$3:$N$3002,$E$3:$E$3002,$E204,$C$3:$C$3002,"&lt;&gt;U",$S$3:$S$3002,Calc!$F$2))</f>
        <v/>
      </c>
      <c r="Q204" s="35" t="str">
        <f aca="false">IF(OR($A204="",$C204="U",$S204&lt;&gt;Calc!$F$2),"",IF(COUNTIFS($E$3:$E204,$E204,$C$3:$C204,"&lt;&gt;U",$S$3:$S204,Calc!$F$2)=1,1,0))</f>
        <v/>
      </c>
      <c r="R204" s="35" t="str">
        <f aca="false">IF($Q204=1,$O204-ROW()/100000,"")</f>
        <v/>
      </c>
      <c r="S204" s="37" t="str">
        <f aca="false">IF($A204="","",INT($A204))</f>
        <v/>
      </c>
      <c r="T204" s="35" t="str">
        <f aca="false">IF($A204="","",IF(COUNTIFS($S$3:$S204,$S204)=1,1,0))</f>
        <v/>
      </c>
      <c r="U204" s="37" t="str">
        <f aca="false">IF($T204=1,$S204,"")</f>
        <v/>
      </c>
    </row>
    <row r="205" customFormat="false" ht="15" hidden="false" customHeight="false" outlineLevel="0" collapsed="false">
      <c r="M205" s="35" t="str">
        <f aca="false">IF($A205="","",HOUR($A205))</f>
        <v/>
      </c>
      <c r="N205" s="36" t="str">
        <f aca="false">IF($A205="","",$I205*$K205)</f>
        <v/>
      </c>
      <c r="O205" s="35" t="str">
        <f aca="false">IF(OR($A205="",$C205="U",$S205&lt;&gt;Calc!$F$2),"",SUMIFS($I$3:$I$3002,$E$3:$E$3002,$E205,$C$3:$C$3002,"&lt;&gt;U",$S$3:$S$3002,Calc!$F$2))</f>
        <v/>
      </c>
      <c r="P205" s="35" t="str">
        <f aca="false">IF(OR($A205="",$C205="U",$S205&lt;&gt;Calc!$F$2),"",SUMIFS($N$3:$N$3002,$E$3:$E$3002,$E205,$C$3:$C$3002,"&lt;&gt;U",$S$3:$S$3002,Calc!$F$2))</f>
        <v/>
      </c>
      <c r="Q205" s="35" t="str">
        <f aca="false">IF(OR($A205="",$C205="U",$S205&lt;&gt;Calc!$F$2),"",IF(COUNTIFS($E$3:$E205,$E205,$C$3:$C205,"&lt;&gt;U",$S$3:$S205,Calc!$F$2)=1,1,0))</f>
        <v/>
      </c>
      <c r="R205" s="35" t="str">
        <f aca="false">IF($Q205=1,$O205-ROW()/100000,"")</f>
        <v/>
      </c>
      <c r="S205" s="37" t="str">
        <f aca="false">IF($A205="","",INT($A205))</f>
        <v/>
      </c>
      <c r="T205" s="35" t="str">
        <f aca="false">IF($A205="","",IF(COUNTIFS($S$3:$S205,$S205)=1,1,0))</f>
        <v/>
      </c>
      <c r="U205" s="37" t="str">
        <f aca="false">IF($T205=1,$S205,"")</f>
        <v/>
      </c>
    </row>
    <row r="206" customFormat="false" ht="15" hidden="false" customHeight="false" outlineLevel="0" collapsed="false">
      <c r="M206" s="35" t="str">
        <f aca="false">IF($A206="","",HOUR($A206))</f>
        <v/>
      </c>
      <c r="N206" s="36" t="str">
        <f aca="false">IF($A206="","",$I206*$K206)</f>
        <v/>
      </c>
      <c r="O206" s="35" t="str">
        <f aca="false">IF(OR($A206="",$C206="U",$S206&lt;&gt;Calc!$F$2),"",SUMIFS($I$3:$I$3002,$E$3:$E$3002,$E206,$C$3:$C$3002,"&lt;&gt;U",$S$3:$S$3002,Calc!$F$2))</f>
        <v/>
      </c>
      <c r="P206" s="35" t="str">
        <f aca="false">IF(OR($A206="",$C206="U",$S206&lt;&gt;Calc!$F$2),"",SUMIFS($N$3:$N$3002,$E$3:$E$3002,$E206,$C$3:$C$3002,"&lt;&gt;U",$S$3:$S$3002,Calc!$F$2))</f>
        <v/>
      </c>
      <c r="Q206" s="35" t="str">
        <f aca="false">IF(OR($A206="",$C206="U",$S206&lt;&gt;Calc!$F$2),"",IF(COUNTIFS($E$3:$E206,$E206,$C$3:$C206,"&lt;&gt;U",$S$3:$S206,Calc!$F$2)=1,1,0))</f>
        <v/>
      </c>
      <c r="R206" s="35" t="str">
        <f aca="false">IF($Q206=1,$O206-ROW()/100000,"")</f>
        <v/>
      </c>
      <c r="S206" s="37" t="str">
        <f aca="false">IF($A206="","",INT($A206))</f>
        <v/>
      </c>
      <c r="T206" s="35" t="str">
        <f aca="false">IF($A206="","",IF(COUNTIFS($S$3:$S206,$S206)=1,1,0))</f>
        <v/>
      </c>
      <c r="U206" s="37" t="str">
        <f aca="false">IF($T206=1,$S206,"")</f>
        <v/>
      </c>
    </row>
    <row r="207" customFormat="false" ht="15" hidden="false" customHeight="false" outlineLevel="0" collapsed="false">
      <c r="M207" s="35" t="str">
        <f aca="false">IF($A207="","",HOUR($A207))</f>
        <v/>
      </c>
      <c r="N207" s="36" t="str">
        <f aca="false">IF($A207="","",$I207*$K207)</f>
        <v/>
      </c>
      <c r="O207" s="35" t="str">
        <f aca="false">IF(OR($A207="",$C207="U",$S207&lt;&gt;Calc!$F$2),"",SUMIFS($I$3:$I$3002,$E$3:$E$3002,$E207,$C$3:$C$3002,"&lt;&gt;U",$S$3:$S$3002,Calc!$F$2))</f>
        <v/>
      </c>
      <c r="P207" s="35" t="str">
        <f aca="false">IF(OR($A207="",$C207="U",$S207&lt;&gt;Calc!$F$2),"",SUMIFS($N$3:$N$3002,$E$3:$E$3002,$E207,$C$3:$C$3002,"&lt;&gt;U",$S$3:$S$3002,Calc!$F$2))</f>
        <v/>
      </c>
      <c r="Q207" s="35" t="str">
        <f aca="false">IF(OR($A207="",$C207="U",$S207&lt;&gt;Calc!$F$2),"",IF(COUNTIFS($E$3:$E207,$E207,$C$3:$C207,"&lt;&gt;U",$S$3:$S207,Calc!$F$2)=1,1,0))</f>
        <v/>
      </c>
      <c r="R207" s="35" t="str">
        <f aca="false">IF($Q207=1,$O207-ROW()/100000,"")</f>
        <v/>
      </c>
      <c r="S207" s="37" t="str">
        <f aca="false">IF($A207="","",INT($A207))</f>
        <v/>
      </c>
      <c r="T207" s="35" t="str">
        <f aca="false">IF($A207="","",IF(COUNTIFS($S$3:$S207,$S207)=1,1,0))</f>
        <v/>
      </c>
      <c r="U207" s="37" t="str">
        <f aca="false">IF($T207=1,$S207,"")</f>
        <v/>
      </c>
    </row>
    <row r="208" customFormat="false" ht="15" hidden="false" customHeight="false" outlineLevel="0" collapsed="false">
      <c r="M208" s="35" t="str">
        <f aca="false">IF($A208="","",HOUR($A208))</f>
        <v/>
      </c>
      <c r="N208" s="36" t="str">
        <f aca="false">IF($A208="","",$I208*$K208)</f>
        <v/>
      </c>
      <c r="O208" s="35" t="str">
        <f aca="false">IF(OR($A208="",$C208="U",$S208&lt;&gt;Calc!$F$2),"",SUMIFS($I$3:$I$3002,$E$3:$E$3002,$E208,$C$3:$C$3002,"&lt;&gt;U",$S$3:$S$3002,Calc!$F$2))</f>
        <v/>
      </c>
      <c r="P208" s="35" t="str">
        <f aca="false">IF(OR($A208="",$C208="U",$S208&lt;&gt;Calc!$F$2),"",SUMIFS($N$3:$N$3002,$E$3:$E$3002,$E208,$C$3:$C$3002,"&lt;&gt;U",$S$3:$S$3002,Calc!$F$2))</f>
        <v/>
      </c>
      <c r="Q208" s="35" t="str">
        <f aca="false">IF(OR($A208="",$C208="U",$S208&lt;&gt;Calc!$F$2),"",IF(COUNTIFS($E$3:$E208,$E208,$C$3:$C208,"&lt;&gt;U",$S$3:$S208,Calc!$F$2)=1,1,0))</f>
        <v/>
      </c>
      <c r="R208" s="35" t="str">
        <f aca="false">IF($Q208=1,$O208-ROW()/100000,"")</f>
        <v/>
      </c>
      <c r="S208" s="37" t="str">
        <f aca="false">IF($A208="","",INT($A208))</f>
        <v/>
      </c>
      <c r="T208" s="35" t="str">
        <f aca="false">IF($A208="","",IF(COUNTIFS($S$3:$S208,$S208)=1,1,0))</f>
        <v/>
      </c>
      <c r="U208" s="37" t="str">
        <f aca="false">IF($T208=1,$S208,"")</f>
        <v/>
      </c>
    </row>
    <row r="209" customFormat="false" ht="15" hidden="false" customHeight="false" outlineLevel="0" collapsed="false">
      <c r="M209" s="35" t="str">
        <f aca="false">IF($A209="","",HOUR($A209))</f>
        <v/>
      </c>
      <c r="N209" s="36" t="str">
        <f aca="false">IF($A209="","",$I209*$K209)</f>
        <v/>
      </c>
      <c r="O209" s="35" t="str">
        <f aca="false">IF(OR($A209="",$C209="U",$S209&lt;&gt;Calc!$F$2),"",SUMIFS($I$3:$I$3002,$E$3:$E$3002,$E209,$C$3:$C$3002,"&lt;&gt;U",$S$3:$S$3002,Calc!$F$2))</f>
        <v/>
      </c>
      <c r="P209" s="35" t="str">
        <f aca="false">IF(OR($A209="",$C209="U",$S209&lt;&gt;Calc!$F$2),"",SUMIFS($N$3:$N$3002,$E$3:$E$3002,$E209,$C$3:$C$3002,"&lt;&gt;U",$S$3:$S$3002,Calc!$F$2))</f>
        <v/>
      </c>
      <c r="Q209" s="35" t="str">
        <f aca="false">IF(OR($A209="",$C209="U",$S209&lt;&gt;Calc!$F$2),"",IF(COUNTIFS($E$3:$E209,$E209,$C$3:$C209,"&lt;&gt;U",$S$3:$S209,Calc!$F$2)=1,1,0))</f>
        <v/>
      </c>
      <c r="R209" s="35" t="str">
        <f aca="false">IF($Q209=1,$O209-ROW()/100000,"")</f>
        <v/>
      </c>
      <c r="S209" s="37" t="str">
        <f aca="false">IF($A209="","",INT($A209))</f>
        <v/>
      </c>
      <c r="T209" s="35" t="str">
        <f aca="false">IF($A209="","",IF(COUNTIFS($S$3:$S209,$S209)=1,1,0))</f>
        <v/>
      </c>
      <c r="U209" s="37" t="str">
        <f aca="false">IF($T209=1,$S209,"")</f>
        <v/>
      </c>
    </row>
    <row r="210" customFormat="false" ht="15" hidden="false" customHeight="false" outlineLevel="0" collapsed="false">
      <c r="M210" s="35" t="str">
        <f aca="false">IF($A210="","",HOUR($A210))</f>
        <v/>
      </c>
      <c r="N210" s="36" t="str">
        <f aca="false">IF($A210="","",$I210*$K210)</f>
        <v/>
      </c>
      <c r="O210" s="35" t="str">
        <f aca="false">IF(OR($A210="",$C210="U",$S210&lt;&gt;Calc!$F$2),"",SUMIFS($I$3:$I$3002,$E$3:$E$3002,$E210,$C$3:$C$3002,"&lt;&gt;U",$S$3:$S$3002,Calc!$F$2))</f>
        <v/>
      </c>
      <c r="P210" s="35" t="str">
        <f aca="false">IF(OR($A210="",$C210="U",$S210&lt;&gt;Calc!$F$2),"",SUMIFS($N$3:$N$3002,$E$3:$E$3002,$E210,$C$3:$C$3002,"&lt;&gt;U",$S$3:$S$3002,Calc!$F$2))</f>
        <v/>
      </c>
      <c r="Q210" s="35" t="str">
        <f aca="false">IF(OR($A210="",$C210="U",$S210&lt;&gt;Calc!$F$2),"",IF(COUNTIFS($E$3:$E210,$E210,$C$3:$C210,"&lt;&gt;U",$S$3:$S210,Calc!$F$2)=1,1,0))</f>
        <v/>
      </c>
      <c r="R210" s="35" t="str">
        <f aca="false">IF($Q210=1,$O210-ROW()/100000,"")</f>
        <v/>
      </c>
      <c r="S210" s="37" t="str">
        <f aca="false">IF($A210="","",INT($A210))</f>
        <v/>
      </c>
      <c r="T210" s="35" t="str">
        <f aca="false">IF($A210="","",IF(COUNTIFS($S$3:$S210,$S210)=1,1,0))</f>
        <v/>
      </c>
      <c r="U210" s="37" t="str">
        <f aca="false">IF($T210=1,$S210,"")</f>
        <v/>
      </c>
    </row>
    <row r="211" customFormat="false" ht="15" hidden="false" customHeight="false" outlineLevel="0" collapsed="false">
      <c r="M211" s="35" t="str">
        <f aca="false">IF($A211="","",HOUR($A211))</f>
        <v/>
      </c>
      <c r="N211" s="36" t="str">
        <f aca="false">IF($A211="","",$I211*$K211)</f>
        <v/>
      </c>
      <c r="O211" s="35" t="str">
        <f aca="false">IF(OR($A211="",$C211="U",$S211&lt;&gt;Calc!$F$2),"",SUMIFS($I$3:$I$3002,$E$3:$E$3002,$E211,$C$3:$C$3002,"&lt;&gt;U",$S$3:$S$3002,Calc!$F$2))</f>
        <v/>
      </c>
      <c r="P211" s="35" t="str">
        <f aca="false">IF(OR($A211="",$C211="U",$S211&lt;&gt;Calc!$F$2),"",SUMIFS($N$3:$N$3002,$E$3:$E$3002,$E211,$C$3:$C$3002,"&lt;&gt;U",$S$3:$S$3002,Calc!$F$2))</f>
        <v/>
      </c>
      <c r="Q211" s="35" t="str">
        <f aca="false">IF(OR($A211="",$C211="U",$S211&lt;&gt;Calc!$F$2),"",IF(COUNTIFS($E$3:$E211,$E211,$C$3:$C211,"&lt;&gt;U",$S$3:$S211,Calc!$F$2)=1,1,0))</f>
        <v/>
      </c>
      <c r="R211" s="35" t="str">
        <f aca="false">IF($Q211=1,$O211-ROW()/100000,"")</f>
        <v/>
      </c>
      <c r="S211" s="37" t="str">
        <f aca="false">IF($A211="","",INT($A211))</f>
        <v/>
      </c>
      <c r="T211" s="35" t="str">
        <f aca="false">IF($A211="","",IF(COUNTIFS($S$3:$S211,$S211)=1,1,0))</f>
        <v/>
      </c>
      <c r="U211" s="37" t="str">
        <f aca="false">IF($T211=1,$S211,"")</f>
        <v/>
      </c>
    </row>
    <row r="212" customFormat="false" ht="15" hidden="false" customHeight="false" outlineLevel="0" collapsed="false">
      <c r="M212" s="35" t="str">
        <f aca="false">IF($A212="","",HOUR($A212))</f>
        <v/>
      </c>
      <c r="N212" s="36" t="str">
        <f aca="false">IF($A212="","",$I212*$K212)</f>
        <v/>
      </c>
      <c r="O212" s="35" t="str">
        <f aca="false">IF(OR($A212="",$C212="U",$S212&lt;&gt;Calc!$F$2),"",SUMIFS($I$3:$I$3002,$E$3:$E$3002,$E212,$C$3:$C$3002,"&lt;&gt;U",$S$3:$S$3002,Calc!$F$2))</f>
        <v/>
      </c>
      <c r="P212" s="35" t="str">
        <f aca="false">IF(OR($A212="",$C212="U",$S212&lt;&gt;Calc!$F$2),"",SUMIFS($N$3:$N$3002,$E$3:$E$3002,$E212,$C$3:$C$3002,"&lt;&gt;U",$S$3:$S$3002,Calc!$F$2))</f>
        <v/>
      </c>
      <c r="Q212" s="35" t="str">
        <f aca="false">IF(OR($A212="",$C212="U",$S212&lt;&gt;Calc!$F$2),"",IF(COUNTIFS($E$3:$E212,$E212,$C$3:$C212,"&lt;&gt;U",$S$3:$S212,Calc!$F$2)=1,1,0))</f>
        <v/>
      </c>
      <c r="R212" s="35" t="str">
        <f aca="false">IF($Q212=1,$O212-ROW()/100000,"")</f>
        <v/>
      </c>
      <c r="S212" s="37" t="str">
        <f aca="false">IF($A212="","",INT($A212))</f>
        <v/>
      </c>
      <c r="T212" s="35" t="str">
        <f aca="false">IF($A212="","",IF(COUNTIFS($S$3:$S212,$S212)=1,1,0))</f>
        <v/>
      </c>
      <c r="U212" s="37" t="str">
        <f aca="false">IF($T212=1,$S212,"")</f>
        <v/>
      </c>
    </row>
    <row r="213" customFormat="false" ht="15" hidden="false" customHeight="false" outlineLevel="0" collapsed="false">
      <c r="M213" s="35" t="str">
        <f aca="false">IF($A213="","",HOUR($A213))</f>
        <v/>
      </c>
      <c r="N213" s="36" t="str">
        <f aca="false">IF($A213="","",$I213*$K213)</f>
        <v/>
      </c>
      <c r="O213" s="35" t="str">
        <f aca="false">IF(OR($A213="",$C213="U",$S213&lt;&gt;Calc!$F$2),"",SUMIFS($I$3:$I$3002,$E$3:$E$3002,$E213,$C$3:$C$3002,"&lt;&gt;U",$S$3:$S$3002,Calc!$F$2))</f>
        <v/>
      </c>
      <c r="P213" s="35" t="str">
        <f aca="false">IF(OR($A213="",$C213="U",$S213&lt;&gt;Calc!$F$2),"",SUMIFS($N$3:$N$3002,$E$3:$E$3002,$E213,$C$3:$C$3002,"&lt;&gt;U",$S$3:$S$3002,Calc!$F$2))</f>
        <v/>
      </c>
      <c r="Q213" s="35" t="str">
        <f aca="false">IF(OR($A213="",$C213="U",$S213&lt;&gt;Calc!$F$2),"",IF(COUNTIFS($E$3:$E213,$E213,$C$3:$C213,"&lt;&gt;U",$S$3:$S213,Calc!$F$2)=1,1,0))</f>
        <v/>
      </c>
      <c r="R213" s="35" t="str">
        <f aca="false">IF($Q213=1,$O213-ROW()/100000,"")</f>
        <v/>
      </c>
      <c r="S213" s="37" t="str">
        <f aca="false">IF($A213="","",INT($A213))</f>
        <v/>
      </c>
      <c r="T213" s="35" t="str">
        <f aca="false">IF($A213="","",IF(COUNTIFS($S$3:$S213,$S213)=1,1,0))</f>
        <v/>
      </c>
      <c r="U213" s="37" t="str">
        <f aca="false">IF($T213=1,$S213,"")</f>
        <v/>
      </c>
    </row>
    <row r="214" customFormat="false" ht="15" hidden="false" customHeight="false" outlineLevel="0" collapsed="false">
      <c r="M214" s="35" t="str">
        <f aca="false">IF($A214="","",HOUR($A214))</f>
        <v/>
      </c>
      <c r="N214" s="36" t="str">
        <f aca="false">IF($A214="","",$I214*$K214)</f>
        <v/>
      </c>
      <c r="O214" s="35" t="str">
        <f aca="false">IF(OR($A214="",$C214="U",$S214&lt;&gt;Calc!$F$2),"",SUMIFS($I$3:$I$3002,$E$3:$E$3002,$E214,$C$3:$C$3002,"&lt;&gt;U",$S$3:$S$3002,Calc!$F$2))</f>
        <v/>
      </c>
      <c r="P214" s="35" t="str">
        <f aca="false">IF(OR($A214="",$C214="U",$S214&lt;&gt;Calc!$F$2),"",SUMIFS($N$3:$N$3002,$E$3:$E$3002,$E214,$C$3:$C$3002,"&lt;&gt;U",$S$3:$S$3002,Calc!$F$2))</f>
        <v/>
      </c>
      <c r="Q214" s="35" t="str">
        <f aca="false">IF(OR($A214="",$C214="U",$S214&lt;&gt;Calc!$F$2),"",IF(COUNTIFS($E$3:$E214,$E214,$C$3:$C214,"&lt;&gt;U",$S$3:$S214,Calc!$F$2)=1,1,0))</f>
        <v/>
      </c>
      <c r="R214" s="35" t="str">
        <f aca="false">IF($Q214=1,$O214-ROW()/100000,"")</f>
        <v/>
      </c>
      <c r="S214" s="37" t="str">
        <f aca="false">IF($A214="","",INT($A214))</f>
        <v/>
      </c>
      <c r="T214" s="35" t="str">
        <f aca="false">IF($A214="","",IF(COUNTIFS($S$3:$S214,$S214)=1,1,0))</f>
        <v/>
      </c>
      <c r="U214" s="37" t="str">
        <f aca="false">IF($T214=1,$S214,"")</f>
        <v/>
      </c>
    </row>
    <row r="215" customFormat="false" ht="15" hidden="false" customHeight="false" outlineLevel="0" collapsed="false">
      <c r="M215" s="35" t="str">
        <f aca="false">IF($A215="","",HOUR($A215))</f>
        <v/>
      </c>
      <c r="N215" s="36" t="str">
        <f aca="false">IF($A215="","",$I215*$K215)</f>
        <v/>
      </c>
      <c r="O215" s="35" t="str">
        <f aca="false">IF(OR($A215="",$C215="U",$S215&lt;&gt;Calc!$F$2),"",SUMIFS($I$3:$I$3002,$E$3:$E$3002,$E215,$C$3:$C$3002,"&lt;&gt;U",$S$3:$S$3002,Calc!$F$2))</f>
        <v/>
      </c>
      <c r="P215" s="35" t="str">
        <f aca="false">IF(OR($A215="",$C215="U",$S215&lt;&gt;Calc!$F$2),"",SUMIFS($N$3:$N$3002,$E$3:$E$3002,$E215,$C$3:$C$3002,"&lt;&gt;U",$S$3:$S$3002,Calc!$F$2))</f>
        <v/>
      </c>
      <c r="Q215" s="35" t="str">
        <f aca="false">IF(OR($A215="",$C215="U",$S215&lt;&gt;Calc!$F$2),"",IF(COUNTIFS($E$3:$E215,$E215,$C$3:$C215,"&lt;&gt;U",$S$3:$S215,Calc!$F$2)=1,1,0))</f>
        <v/>
      </c>
      <c r="R215" s="35" t="str">
        <f aca="false">IF($Q215=1,$O215-ROW()/100000,"")</f>
        <v/>
      </c>
      <c r="S215" s="37" t="str">
        <f aca="false">IF($A215="","",INT($A215))</f>
        <v/>
      </c>
      <c r="T215" s="35" t="str">
        <f aca="false">IF($A215="","",IF(COUNTIFS($S$3:$S215,$S215)=1,1,0))</f>
        <v/>
      </c>
      <c r="U215" s="37" t="str">
        <f aca="false">IF($T215=1,$S215,"")</f>
        <v/>
      </c>
    </row>
    <row r="216" customFormat="false" ht="15" hidden="false" customHeight="false" outlineLevel="0" collapsed="false">
      <c r="M216" s="35" t="str">
        <f aca="false">IF($A216="","",HOUR($A216))</f>
        <v/>
      </c>
      <c r="N216" s="36" t="str">
        <f aca="false">IF($A216="","",$I216*$K216)</f>
        <v/>
      </c>
      <c r="O216" s="35" t="str">
        <f aca="false">IF(OR($A216="",$C216="U",$S216&lt;&gt;Calc!$F$2),"",SUMIFS($I$3:$I$3002,$E$3:$E$3002,$E216,$C$3:$C$3002,"&lt;&gt;U",$S$3:$S$3002,Calc!$F$2))</f>
        <v/>
      </c>
      <c r="P216" s="35" t="str">
        <f aca="false">IF(OR($A216="",$C216="U",$S216&lt;&gt;Calc!$F$2),"",SUMIFS($N$3:$N$3002,$E$3:$E$3002,$E216,$C$3:$C$3002,"&lt;&gt;U",$S$3:$S$3002,Calc!$F$2))</f>
        <v/>
      </c>
      <c r="Q216" s="35" t="str">
        <f aca="false">IF(OR($A216="",$C216="U",$S216&lt;&gt;Calc!$F$2),"",IF(COUNTIFS($E$3:$E216,$E216,$C$3:$C216,"&lt;&gt;U",$S$3:$S216,Calc!$F$2)=1,1,0))</f>
        <v/>
      </c>
      <c r="R216" s="35" t="str">
        <f aca="false">IF($Q216=1,$O216-ROW()/100000,"")</f>
        <v/>
      </c>
      <c r="S216" s="37" t="str">
        <f aca="false">IF($A216="","",INT($A216))</f>
        <v/>
      </c>
      <c r="T216" s="35" t="str">
        <f aca="false">IF($A216="","",IF(COUNTIFS($S$3:$S216,$S216)=1,1,0))</f>
        <v/>
      </c>
      <c r="U216" s="37" t="str">
        <f aca="false">IF($T216=1,$S216,"")</f>
        <v/>
      </c>
    </row>
    <row r="217" customFormat="false" ht="15" hidden="false" customHeight="false" outlineLevel="0" collapsed="false">
      <c r="M217" s="35" t="str">
        <f aca="false">IF($A217="","",HOUR($A217))</f>
        <v/>
      </c>
      <c r="N217" s="36" t="str">
        <f aca="false">IF($A217="","",$I217*$K217)</f>
        <v/>
      </c>
      <c r="O217" s="35" t="str">
        <f aca="false">IF(OR($A217="",$C217="U",$S217&lt;&gt;Calc!$F$2),"",SUMIFS($I$3:$I$3002,$E$3:$E$3002,$E217,$C$3:$C$3002,"&lt;&gt;U",$S$3:$S$3002,Calc!$F$2))</f>
        <v/>
      </c>
      <c r="P217" s="35" t="str">
        <f aca="false">IF(OR($A217="",$C217="U",$S217&lt;&gt;Calc!$F$2),"",SUMIFS($N$3:$N$3002,$E$3:$E$3002,$E217,$C$3:$C$3002,"&lt;&gt;U",$S$3:$S$3002,Calc!$F$2))</f>
        <v/>
      </c>
      <c r="Q217" s="35" t="str">
        <f aca="false">IF(OR($A217="",$C217="U",$S217&lt;&gt;Calc!$F$2),"",IF(COUNTIFS($E$3:$E217,$E217,$C$3:$C217,"&lt;&gt;U",$S$3:$S217,Calc!$F$2)=1,1,0))</f>
        <v/>
      </c>
      <c r="R217" s="35" t="str">
        <f aca="false">IF($Q217=1,$O217-ROW()/100000,"")</f>
        <v/>
      </c>
      <c r="S217" s="37" t="str">
        <f aca="false">IF($A217="","",INT($A217))</f>
        <v/>
      </c>
      <c r="T217" s="35" t="str">
        <f aca="false">IF($A217="","",IF(COUNTIFS($S$3:$S217,$S217)=1,1,0))</f>
        <v/>
      </c>
      <c r="U217" s="37" t="str">
        <f aca="false">IF($T217=1,$S217,"")</f>
        <v/>
      </c>
    </row>
    <row r="218" customFormat="false" ht="15" hidden="false" customHeight="false" outlineLevel="0" collapsed="false">
      <c r="M218" s="35" t="str">
        <f aca="false">IF($A218="","",HOUR($A218))</f>
        <v/>
      </c>
      <c r="N218" s="36" t="str">
        <f aca="false">IF($A218="","",$I218*$K218)</f>
        <v/>
      </c>
      <c r="O218" s="35" t="str">
        <f aca="false">IF(OR($A218="",$C218="U",$S218&lt;&gt;Calc!$F$2),"",SUMIFS($I$3:$I$3002,$E$3:$E$3002,$E218,$C$3:$C$3002,"&lt;&gt;U",$S$3:$S$3002,Calc!$F$2))</f>
        <v/>
      </c>
      <c r="P218" s="35" t="str">
        <f aca="false">IF(OR($A218="",$C218="U",$S218&lt;&gt;Calc!$F$2),"",SUMIFS($N$3:$N$3002,$E$3:$E$3002,$E218,$C$3:$C$3002,"&lt;&gt;U",$S$3:$S$3002,Calc!$F$2))</f>
        <v/>
      </c>
      <c r="Q218" s="35" t="str">
        <f aca="false">IF(OR($A218="",$C218="U",$S218&lt;&gt;Calc!$F$2),"",IF(COUNTIFS($E$3:$E218,$E218,$C$3:$C218,"&lt;&gt;U",$S$3:$S218,Calc!$F$2)=1,1,0))</f>
        <v/>
      </c>
      <c r="R218" s="35" t="str">
        <f aca="false">IF($Q218=1,$O218-ROW()/100000,"")</f>
        <v/>
      </c>
      <c r="S218" s="37" t="str">
        <f aca="false">IF($A218="","",INT($A218))</f>
        <v/>
      </c>
      <c r="T218" s="35" t="str">
        <f aca="false">IF($A218="","",IF(COUNTIFS($S$3:$S218,$S218)=1,1,0))</f>
        <v/>
      </c>
      <c r="U218" s="37" t="str">
        <f aca="false">IF($T218=1,$S218,"")</f>
        <v/>
      </c>
    </row>
    <row r="219" customFormat="false" ht="15" hidden="false" customHeight="false" outlineLevel="0" collapsed="false">
      <c r="M219" s="35" t="str">
        <f aca="false">IF($A219="","",HOUR($A219))</f>
        <v/>
      </c>
      <c r="N219" s="36" t="str">
        <f aca="false">IF($A219="","",$I219*$K219)</f>
        <v/>
      </c>
      <c r="O219" s="35" t="str">
        <f aca="false">IF(OR($A219="",$C219="U",$S219&lt;&gt;Calc!$F$2),"",SUMIFS($I$3:$I$3002,$E$3:$E$3002,$E219,$C$3:$C$3002,"&lt;&gt;U",$S$3:$S$3002,Calc!$F$2))</f>
        <v/>
      </c>
      <c r="P219" s="35" t="str">
        <f aca="false">IF(OR($A219="",$C219="U",$S219&lt;&gt;Calc!$F$2),"",SUMIFS($N$3:$N$3002,$E$3:$E$3002,$E219,$C$3:$C$3002,"&lt;&gt;U",$S$3:$S$3002,Calc!$F$2))</f>
        <v/>
      </c>
      <c r="Q219" s="35" t="str">
        <f aca="false">IF(OR($A219="",$C219="U",$S219&lt;&gt;Calc!$F$2),"",IF(COUNTIFS($E$3:$E219,$E219,$C$3:$C219,"&lt;&gt;U",$S$3:$S219,Calc!$F$2)=1,1,0))</f>
        <v/>
      </c>
      <c r="R219" s="35" t="str">
        <f aca="false">IF($Q219=1,$O219-ROW()/100000,"")</f>
        <v/>
      </c>
      <c r="S219" s="37" t="str">
        <f aca="false">IF($A219="","",INT($A219))</f>
        <v/>
      </c>
      <c r="T219" s="35" t="str">
        <f aca="false">IF($A219="","",IF(COUNTIFS($S$3:$S219,$S219)=1,1,0))</f>
        <v/>
      </c>
      <c r="U219" s="37" t="str">
        <f aca="false">IF($T219=1,$S219,"")</f>
        <v/>
      </c>
    </row>
    <row r="220" customFormat="false" ht="15" hidden="false" customHeight="false" outlineLevel="0" collapsed="false">
      <c r="M220" s="35" t="str">
        <f aca="false">IF($A220="","",HOUR($A220))</f>
        <v/>
      </c>
      <c r="N220" s="36" t="str">
        <f aca="false">IF($A220="","",$I220*$K220)</f>
        <v/>
      </c>
      <c r="O220" s="35" t="str">
        <f aca="false">IF(OR($A220="",$C220="U",$S220&lt;&gt;Calc!$F$2),"",SUMIFS($I$3:$I$3002,$E$3:$E$3002,$E220,$C$3:$C$3002,"&lt;&gt;U",$S$3:$S$3002,Calc!$F$2))</f>
        <v/>
      </c>
      <c r="P220" s="35" t="str">
        <f aca="false">IF(OR($A220="",$C220="U",$S220&lt;&gt;Calc!$F$2),"",SUMIFS($N$3:$N$3002,$E$3:$E$3002,$E220,$C$3:$C$3002,"&lt;&gt;U",$S$3:$S$3002,Calc!$F$2))</f>
        <v/>
      </c>
      <c r="Q220" s="35" t="str">
        <f aca="false">IF(OR($A220="",$C220="U",$S220&lt;&gt;Calc!$F$2),"",IF(COUNTIFS($E$3:$E220,$E220,$C$3:$C220,"&lt;&gt;U",$S$3:$S220,Calc!$F$2)=1,1,0))</f>
        <v/>
      </c>
      <c r="R220" s="35" t="str">
        <f aca="false">IF($Q220=1,$O220-ROW()/100000,"")</f>
        <v/>
      </c>
      <c r="S220" s="37" t="str">
        <f aca="false">IF($A220="","",INT($A220))</f>
        <v/>
      </c>
      <c r="T220" s="35" t="str">
        <f aca="false">IF($A220="","",IF(COUNTIFS($S$3:$S220,$S220)=1,1,0))</f>
        <v/>
      </c>
      <c r="U220" s="37" t="str">
        <f aca="false">IF($T220=1,$S220,"")</f>
        <v/>
      </c>
    </row>
    <row r="221" customFormat="false" ht="15" hidden="false" customHeight="false" outlineLevel="0" collapsed="false">
      <c r="M221" s="35" t="str">
        <f aca="false">IF($A221="","",HOUR($A221))</f>
        <v/>
      </c>
      <c r="N221" s="36" t="str">
        <f aca="false">IF($A221="","",$I221*$K221)</f>
        <v/>
      </c>
      <c r="O221" s="35" t="str">
        <f aca="false">IF(OR($A221="",$C221="U",$S221&lt;&gt;Calc!$F$2),"",SUMIFS($I$3:$I$3002,$E$3:$E$3002,$E221,$C$3:$C$3002,"&lt;&gt;U",$S$3:$S$3002,Calc!$F$2))</f>
        <v/>
      </c>
      <c r="P221" s="35" t="str">
        <f aca="false">IF(OR($A221="",$C221="U",$S221&lt;&gt;Calc!$F$2),"",SUMIFS($N$3:$N$3002,$E$3:$E$3002,$E221,$C$3:$C$3002,"&lt;&gt;U",$S$3:$S$3002,Calc!$F$2))</f>
        <v/>
      </c>
      <c r="Q221" s="35" t="str">
        <f aca="false">IF(OR($A221="",$C221="U",$S221&lt;&gt;Calc!$F$2),"",IF(COUNTIFS($E$3:$E221,$E221,$C$3:$C221,"&lt;&gt;U",$S$3:$S221,Calc!$F$2)=1,1,0))</f>
        <v/>
      </c>
      <c r="R221" s="35" t="str">
        <f aca="false">IF($Q221=1,$O221-ROW()/100000,"")</f>
        <v/>
      </c>
      <c r="S221" s="37" t="str">
        <f aca="false">IF($A221="","",INT($A221))</f>
        <v/>
      </c>
      <c r="T221" s="35" t="str">
        <f aca="false">IF($A221="","",IF(COUNTIFS($S$3:$S221,$S221)=1,1,0))</f>
        <v/>
      </c>
      <c r="U221" s="37" t="str">
        <f aca="false">IF($T221=1,$S221,"")</f>
        <v/>
      </c>
    </row>
    <row r="222" customFormat="false" ht="15" hidden="false" customHeight="false" outlineLevel="0" collapsed="false">
      <c r="M222" s="35" t="str">
        <f aca="false">IF($A222="","",HOUR($A222))</f>
        <v/>
      </c>
      <c r="N222" s="36" t="str">
        <f aca="false">IF($A222="","",$I222*$K222)</f>
        <v/>
      </c>
      <c r="O222" s="35" t="str">
        <f aca="false">IF(OR($A222="",$C222="U",$S222&lt;&gt;Calc!$F$2),"",SUMIFS($I$3:$I$3002,$E$3:$E$3002,$E222,$C$3:$C$3002,"&lt;&gt;U",$S$3:$S$3002,Calc!$F$2))</f>
        <v/>
      </c>
      <c r="P222" s="35" t="str">
        <f aca="false">IF(OR($A222="",$C222="U",$S222&lt;&gt;Calc!$F$2),"",SUMIFS($N$3:$N$3002,$E$3:$E$3002,$E222,$C$3:$C$3002,"&lt;&gt;U",$S$3:$S$3002,Calc!$F$2))</f>
        <v/>
      </c>
      <c r="Q222" s="35" t="str">
        <f aca="false">IF(OR($A222="",$C222="U",$S222&lt;&gt;Calc!$F$2),"",IF(COUNTIFS($E$3:$E222,$E222,$C$3:$C222,"&lt;&gt;U",$S$3:$S222,Calc!$F$2)=1,1,0))</f>
        <v/>
      </c>
      <c r="R222" s="35" t="str">
        <f aca="false">IF($Q222=1,$O222-ROW()/100000,"")</f>
        <v/>
      </c>
      <c r="S222" s="37" t="str">
        <f aca="false">IF($A222="","",INT($A222))</f>
        <v/>
      </c>
      <c r="T222" s="35" t="str">
        <f aca="false">IF($A222="","",IF(COUNTIFS($S$3:$S222,$S222)=1,1,0))</f>
        <v/>
      </c>
      <c r="U222" s="37" t="str">
        <f aca="false">IF($T222=1,$S222,"")</f>
        <v/>
      </c>
    </row>
    <row r="223" customFormat="false" ht="15" hidden="false" customHeight="false" outlineLevel="0" collapsed="false">
      <c r="M223" s="35" t="str">
        <f aca="false">IF($A223="","",HOUR($A223))</f>
        <v/>
      </c>
      <c r="N223" s="36" t="str">
        <f aca="false">IF($A223="","",$I223*$K223)</f>
        <v/>
      </c>
      <c r="O223" s="35" t="str">
        <f aca="false">IF(OR($A223="",$C223="U",$S223&lt;&gt;Calc!$F$2),"",SUMIFS($I$3:$I$3002,$E$3:$E$3002,$E223,$C$3:$C$3002,"&lt;&gt;U",$S$3:$S$3002,Calc!$F$2))</f>
        <v/>
      </c>
      <c r="P223" s="35" t="str">
        <f aca="false">IF(OR($A223="",$C223="U",$S223&lt;&gt;Calc!$F$2),"",SUMIFS($N$3:$N$3002,$E$3:$E$3002,$E223,$C$3:$C$3002,"&lt;&gt;U",$S$3:$S$3002,Calc!$F$2))</f>
        <v/>
      </c>
      <c r="Q223" s="35" t="str">
        <f aca="false">IF(OR($A223="",$C223="U",$S223&lt;&gt;Calc!$F$2),"",IF(COUNTIFS($E$3:$E223,$E223,$C$3:$C223,"&lt;&gt;U",$S$3:$S223,Calc!$F$2)=1,1,0))</f>
        <v/>
      </c>
      <c r="R223" s="35" t="str">
        <f aca="false">IF($Q223=1,$O223-ROW()/100000,"")</f>
        <v/>
      </c>
      <c r="S223" s="37" t="str">
        <f aca="false">IF($A223="","",INT($A223))</f>
        <v/>
      </c>
      <c r="T223" s="35" t="str">
        <f aca="false">IF($A223="","",IF(COUNTIFS($S$3:$S223,$S223)=1,1,0))</f>
        <v/>
      </c>
      <c r="U223" s="37" t="str">
        <f aca="false">IF($T223=1,$S223,"")</f>
        <v/>
      </c>
    </row>
    <row r="224" customFormat="false" ht="15" hidden="false" customHeight="false" outlineLevel="0" collapsed="false">
      <c r="M224" s="35" t="str">
        <f aca="false">IF($A224="","",HOUR($A224))</f>
        <v/>
      </c>
      <c r="N224" s="36" t="str">
        <f aca="false">IF($A224="","",$I224*$K224)</f>
        <v/>
      </c>
      <c r="O224" s="35" t="str">
        <f aca="false">IF(OR($A224="",$C224="U",$S224&lt;&gt;Calc!$F$2),"",SUMIFS($I$3:$I$3002,$E$3:$E$3002,$E224,$C$3:$C$3002,"&lt;&gt;U",$S$3:$S$3002,Calc!$F$2))</f>
        <v/>
      </c>
      <c r="P224" s="35" t="str">
        <f aca="false">IF(OR($A224="",$C224="U",$S224&lt;&gt;Calc!$F$2),"",SUMIFS($N$3:$N$3002,$E$3:$E$3002,$E224,$C$3:$C$3002,"&lt;&gt;U",$S$3:$S$3002,Calc!$F$2))</f>
        <v/>
      </c>
      <c r="Q224" s="35" t="str">
        <f aca="false">IF(OR($A224="",$C224="U",$S224&lt;&gt;Calc!$F$2),"",IF(COUNTIFS($E$3:$E224,$E224,$C$3:$C224,"&lt;&gt;U",$S$3:$S224,Calc!$F$2)=1,1,0))</f>
        <v/>
      </c>
      <c r="R224" s="35" t="str">
        <f aca="false">IF($Q224=1,$O224-ROW()/100000,"")</f>
        <v/>
      </c>
      <c r="S224" s="37" t="str">
        <f aca="false">IF($A224="","",INT($A224))</f>
        <v/>
      </c>
      <c r="T224" s="35" t="str">
        <f aca="false">IF($A224="","",IF(COUNTIFS($S$3:$S224,$S224)=1,1,0))</f>
        <v/>
      </c>
      <c r="U224" s="37" t="str">
        <f aca="false">IF($T224=1,$S224,"")</f>
        <v/>
      </c>
    </row>
    <row r="225" customFormat="false" ht="15" hidden="false" customHeight="false" outlineLevel="0" collapsed="false">
      <c r="M225" s="35" t="str">
        <f aca="false">IF($A225="","",HOUR($A225))</f>
        <v/>
      </c>
      <c r="N225" s="36" t="str">
        <f aca="false">IF($A225="","",$I225*$K225)</f>
        <v/>
      </c>
      <c r="O225" s="35" t="str">
        <f aca="false">IF(OR($A225="",$C225="U",$S225&lt;&gt;Calc!$F$2),"",SUMIFS($I$3:$I$3002,$E$3:$E$3002,$E225,$C$3:$C$3002,"&lt;&gt;U",$S$3:$S$3002,Calc!$F$2))</f>
        <v/>
      </c>
      <c r="P225" s="35" t="str">
        <f aca="false">IF(OR($A225="",$C225="U",$S225&lt;&gt;Calc!$F$2),"",SUMIFS($N$3:$N$3002,$E$3:$E$3002,$E225,$C$3:$C$3002,"&lt;&gt;U",$S$3:$S$3002,Calc!$F$2))</f>
        <v/>
      </c>
      <c r="Q225" s="35" t="str">
        <f aca="false">IF(OR($A225="",$C225="U",$S225&lt;&gt;Calc!$F$2),"",IF(COUNTIFS($E$3:$E225,$E225,$C$3:$C225,"&lt;&gt;U",$S$3:$S225,Calc!$F$2)=1,1,0))</f>
        <v/>
      </c>
      <c r="R225" s="35" t="str">
        <f aca="false">IF($Q225=1,$O225-ROW()/100000,"")</f>
        <v/>
      </c>
      <c r="S225" s="37" t="str">
        <f aca="false">IF($A225="","",INT($A225))</f>
        <v/>
      </c>
      <c r="T225" s="35" t="str">
        <f aca="false">IF($A225="","",IF(COUNTIFS($S$3:$S225,$S225)=1,1,0))</f>
        <v/>
      </c>
      <c r="U225" s="37" t="str">
        <f aca="false">IF($T225=1,$S225,"")</f>
        <v/>
      </c>
    </row>
    <row r="226" customFormat="false" ht="15" hidden="false" customHeight="false" outlineLevel="0" collapsed="false">
      <c r="M226" s="35" t="str">
        <f aca="false">IF($A226="","",HOUR($A226))</f>
        <v/>
      </c>
      <c r="N226" s="36" t="str">
        <f aca="false">IF($A226="","",$I226*$K226)</f>
        <v/>
      </c>
      <c r="O226" s="35" t="str">
        <f aca="false">IF(OR($A226="",$C226="U",$S226&lt;&gt;Calc!$F$2),"",SUMIFS($I$3:$I$3002,$E$3:$E$3002,$E226,$C$3:$C$3002,"&lt;&gt;U",$S$3:$S$3002,Calc!$F$2))</f>
        <v/>
      </c>
      <c r="P226" s="35" t="str">
        <f aca="false">IF(OR($A226="",$C226="U",$S226&lt;&gt;Calc!$F$2),"",SUMIFS($N$3:$N$3002,$E$3:$E$3002,$E226,$C$3:$C$3002,"&lt;&gt;U",$S$3:$S$3002,Calc!$F$2))</f>
        <v/>
      </c>
      <c r="Q226" s="35" t="str">
        <f aca="false">IF(OR($A226="",$C226="U",$S226&lt;&gt;Calc!$F$2),"",IF(COUNTIFS($E$3:$E226,$E226,$C$3:$C226,"&lt;&gt;U",$S$3:$S226,Calc!$F$2)=1,1,0))</f>
        <v/>
      </c>
      <c r="R226" s="35" t="str">
        <f aca="false">IF($Q226=1,$O226-ROW()/100000,"")</f>
        <v/>
      </c>
      <c r="S226" s="37" t="str">
        <f aca="false">IF($A226="","",INT($A226))</f>
        <v/>
      </c>
      <c r="T226" s="35" t="str">
        <f aca="false">IF($A226="","",IF(COUNTIFS($S$3:$S226,$S226)=1,1,0))</f>
        <v/>
      </c>
      <c r="U226" s="37" t="str">
        <f aca="false">IF($T226=1,$S226,"")</f>
        <v/>
      </c>
    </row>
    <row r="227" customFormat="false" ht="15" hidden="false" customHeight="false" outlineLevel="0" collapsed="false">
      <c r="M227" s="35" t="str">
        <f aca="false">IF($A227="","",HOUR($A227))</f>
        <v/>
      </c>
      <c r="N227" s="36" t="str">
        <f aca="false">IF($A227="","",$I227*$K227)</f>
        <v/>
      </c>
      <c r="O227" s="35" t="str">
        <f aca="false">IF(OR($A227="",$C227="U",$S227&lt;&gt;Calc!$F$2),"",SUMIFS($I$3:$I$3002,$E$3:$E$3002,$E227,$C$3:$C$3002,"&lt;&gt;U",$S$3:$S$3002,Calc!$F$2))</f>
        <v/>
      </c>
      <c r="P227" s="35" t="str">
        <f aca="false">IF(OR($A227="",$C227="U",$S227&lt;&gt;Calc!$F$2),"",SUMIFS($N$3:$N$3002,$E$3:$E$3002,$E227,$C$3:$C$3002,"&lt;&gt;U",$S$3:$S$3002,Calc!$F$2))</f>
        <v/>
      </c>
      <c r="Q227" s="35" t="str">
        <f aca="false">IF(OR($A227="",$C227="U",$S227&lt;&gt;Calc!$F$2),"",IF(COUNTIFS($E$3:$E227,$E227,$C$3:$C227,"&lt;&gt;U",$S$3:$S227,Calc!$F$2)=1,1,0))</f>
        <v/>
      </c>
      <c r="R227" s="35" t="str">
        <f aca="false">IF($Q227=1,$O227-ROW()/100000,"")</f>
        <v/>
      </c>
      <c r="S227" s="37" t="str">
        <f aca="false">IF($A227="","",INT($A227))</f>
        <v/>
      </c>
      <c r="T227" s="35" t="str">
        <f aca="false">IF($A227="","",IF(COUNTIFS($S$3:$S227,$S227)=1,1,0))</f>
        <v/>
      </c>
      <c r="U227" s="37" t="str">
        <f aca="false">IF($T227=1,$S227,"")</f>
        <v/>
      </c>
    </row>
    <row r="228" customFormat="false" ht="15" hidden="false" customHeight="false" outlineLevel="0" collapsed="false">
      <c r="M228" s="35" t="str">
        <f aca="false">IF($A228="","",HOUR($A228))</f>
        <v/>
      </c>
      <c r="N228" s="36" t="str">
        <f aca="false">IF($A228="","",$I228*$K228)</f>
        <v/>
      </c>
      <c r="O228" s="35" t="str">
        <f aca="false">IF(OR($A228="",$C228="U",$S228&lt;&gt;Calc!$F$2),"",SUMIFS($I$3:$I$3002,$E$3:$E$3002,$E228,$C$3:$C$3002,"&lt;&gt;U",$S$3:$S$3002,Calc!$F$2))</f>
        <v/>
      </c>
      <c r="P228" s="35" t="str">
        <f aca="false">IF(OR($A228="",$C228="U",$S228&lt;&gt;Calc!$F$2),"",SUMIFS($N$3:$N$3002,$E$3:$E$3002,$E228,$C$3:$C$3002,"&lt;&gt;U",$S$3:$S$3002,Calc!$F$2))</f>
        <v/>
      </c>
      <c r="Q228" s="35" t="str">
        <f aca="false">IF(OR($A228="",$C228="U",$S228&lt;&gt;Calc!$F$2),"",IF(COUNTIFS($E$3:$E228,$E228,$C$3:$C228,"&lt;&gt;U",$S$3:$S228,Calc!$F$2)=1,1,0))</f>
        <v/>
      </c>
      <c r="R228" s="35" t="str">
        <f aca="false">IF($Q228=1,$O228-ROW()/100000,"")</f>
        <v/>
      </c>
      <c r="S228" s="37" t="str">
        <f aca="false">IF($A228="","",INT($A228))</f>
        <v/>
      </c>
      <c r="T228" s="35" t="str">
        <f aca="false">IF($A228="","",IF(COUNTIFS($S$3:$S228,$S228)=1,1,0))</f>
        <v/>
      </c>
      <c r="U228" s="37" t="str">
        <f aca="false">IF($T228=1,$S228,"")</f>
        <v/>
      </c>
    </row>
    <row r="229" customFormat="false" ht="15" hidden="false" customHeight="false" outlineLevel="0" collapsed="false">
      <c r="M229" s="35" t="str">
        <f aca="false">IF($A229="","",HOUR($A229))</f>
        <v/>
      </c>
      <c r="N229" s="36" t="str">
        <f aca="false">IF($A229="","",$I229*$K229)</f>
        <v/>
      </c>
      <c r="O229" s="35" t="str">
        <f aca="false">IF(OR($A229="",$C229="U",$S229&lt;&gt;Calc!$F$2),"",SUMIFS($I$3:$I$3002,$E$3:$E$3002,$E229,$C$3:$C$3002,"&lt;&gt;U",$S$3:$S$3002,Calc!$F$2))</f>
        <v/>
      </c>
      <c r="P229" s="35" t="str">
        <f aca="false">IF(OR($A229="",$C229="U",$S229&lt;&gt;Calc!$F$2),"",SUMIFS($N$3:$N$3002,$E$3:$E$3002,$E229,$C$3:$C$3002,"&lt;&gt;U",$S$3:$S$3002,Calc!$F$2))</f>
        <v/>
      </c>
      <c r="Q229" s="35" t="str">
        <f aca="false">IF(OR($A229="",$C229="U",$S229&lt;&gt;Calc!$F$2),"",IF(COUNTIFS($E$3:$E229,$E229,$C$3:$C229,"&lt;&gt;U",$S$3:$S229,Calc!$F$2)=1,1,0))</f>
        <v/>
      </c>
      <c r="R229" s="35" t="str">
        <f aca="false">IF($Q229=1,$O229-ROW()/100000,"")</f>
        <v/>
      </c>
      <c r="S229" s="37" t="str">
        <f aca="false">IF($A229="","",INT($A229))</f>
        <v/>
      </c>
      <c r="T229" s="35" t="str">
        <f aca="false">IF($A229="","",IF(COUNTIFS($S$3:$S229,$S229)=1,1,0))</f>
        <v/>
      </c>
      <c r="U229" s="37" t="str">
        <f aca="false">IF($T229=1,$S229,"")</f>
        <v/>
      </c>
    </row>
    <row r="230" customFormat="false" ht="15" hidden="false" customHeight="false" outlineLevel="0" collapsed="false">
      <c r="M230" s="35" t="str">
        <f aca="false">IF($A230="","",HOUR($A230))</f>
        <v/>
      </c>
      <c r="N230" s="36" t="str">
        <f aca="false">IF($A230="","",$I230*$K230)</f>
        <v/>
      </c>
      <c r="O230" s="35" t="str">
        <f aca="false">IF(OR($A230="",$C230="U",$S230&lt;&gt;Calc!$F$2),"",SUMIFS($I$3:$I$3002,$E$3:$E$3002,$E230,$C$3:$C$3002,"&lt;&gt;U",$S$3:$S$3002,Calc!$F$2))</f>
        <v/>
      </c>
      <c r="P230" s="35" t="str">
        <f aca="false">IF(OR($A230="",$C230="U",$S230&lt;&gt;Calc!$F$2),"",SUMIFS($N$3:$N$3002,$E$3:$E$3002,$E230,$C$3:$C$3002,"&lt;&gt;U",$S$3:$S$3002,Calc!$F$2))</f>
        <v/>
      </c>
      <c r="Q230" s="35" t="str">
        <f aca="false">IF(OR($A230="",$C230="U",$S230&lt;&gt;Calc!$F$2),"",IF(COUNTIFS($E$3:$E230,$E230,$C$3:$C230,"&lt;&gt;U",$S$3:$S230,Calc!$F$2)=1,1,0))</f>
        <v/>
      </c>
      <c r="R230" s="35" t="str">
        <f aca="false">IF($Q230=1,$O230-ROW()/100000,"")</f>
        <v/>
      </c>
      <c r="S230" s="37" t="str">
        <f aca="false">IF($A230="","",INT($A230))</f>
        <v/>
      </c>
      <c r="T230" s="35" t="str">
        <f aca="false">IF($A230="","",IF(COUNTIFS($S$3:$S230,$S230)=1,1,0))</f>
        <v/>
      </c>
      <c r="U230" s="37" t="str">
        <f aca="false">IF($T230=1,$S230,"")</f>
        <v/>
      </c>
    </row>
    <row r="231" customFormat="false" ht="15" hidden="false" customHeight="false" outlineLevel="0" collapsed="false">
      <c r="M231" s="35" t="str">
        <f aca="false">IF($A231="","",HOUR($A231))</f>
        <v/>
      </c>
      <c r="N231" s="36" t="str">
        <f aca="false">IF($A231="","",$I231*$K231)</f>
        <v/>
      </c>
      <c r="O231" s="35" t="str">
        <f aca="false">IF(OR($A231="",$C231="U",$S231&lt;&gt;Calc!$F$2),"",SUMIFS($I$3:$I$3002,$E$3:$E$3002,$E231,$C$3:$C$3002,"&lt;&gt;U",$S$3:$S$3002,Calc!$F$2))</f>
        <v/>
      </c>
      <c r="P231" s="35" t="str">
        <f aca="false">IF(OR($A231="",$C231="U",$S231&lt;&gt;Calc!$F$2),"",SUMIFS($N$3:$N$3002,$E$3:$E$3002,$E231,$C$3:$C$3002,"&lt;&gt;U",$S$3:$S$3002,Calc!$F$2))</f>
        <v/>
      </c>
      <c r="Q231" s="35" t="str">
        <f aca="false">IF(OR($A231="",$C231="U",$S231&lt;&gt;Calc!$F$2),"",IF(COUNTIFS($E$3:$E231,$E231,$C$3:$C231,"&lt;&gt;U",$S$3:$S231,Calc!$F$2)=1,1,0))</f>
        <v/>
      </c>
      <c r="R231" s="35" t="str">
        <f aca="false">IF($Q231=1,$O231-ROW()/100000,"")</f>
        <v/>
      </c>
      <c r="S231" s="37" t="str">
        <f aca="false">IF($A231="","",INT($A231))</f>
        <v/>
      </c>
      <c r="T231" s="35" t="str">
        <f aca="false">IF($A231="","",IF(COUNTIFS($S$3:$S231,$S231)=1,1,0))</f>
        <v/>
      </c>
      <c r="U231" s="37" t="str">
        <f aca="false">IF($T231=1,$S231,"")</f>
        <v/>
      </c>
    </row>
    <row r="232" customFormat="false" ht="15" hidden="false" customHeight="false" outlineLevel="0" collapsed="false">
      <c r="M232" s="35" t="str">
        <f aca="false">IF($A232="","",HOUR($A232))</f>
        <v/>
      </c>
      <c r="N232" s="36" t="str">
        <f aca="false">IF($A232="","",$I232*$K232)</f>
        <v/>
      </c>
      <c r="O232" s="35" t="str">
        <f aca="false">IF(OR($A232="",$C232="U",$S232&lt;&gt;Calc!$F$2),"",SUMIFS($I$3:$I$3002,$E$3:$E$3002,$E232,$C$3:$C$3002,"&lt;&gt;U",$S$3:$S$3002,Calc!$F$2))</f>
        <v/>
      </c>
      <c r="P232" s="35" t="str">
        <f aca="false">IF(OR($A232="",$C232="U",$S232&lt;&gt;Calc!$F$2),"",SUMIFS($N$3:$N$3002,$E$3:$E$3002,$E232,$C$3:$C$3002,"&lt;&gt;U",$S$3:$S$3002,Calc!$F$2))</f>
        <v/>
      </c>
      <c r="Q232" s="35" t="str">
        <f aca="false">IF(OR($A232="",$C232="U",$S232&lt;&gt;Calc!$F$2),"",IF(COUNTIFS($E$3:$E232,$E232,$C$3:$C232,"&lt;&gt;U",$S$3:$S232,Calc!$F$2)=1,1,0))</f>
        <v/>
      </c>
      <c r="R232" s="35" t="str">
        <f aca="false">IF($Q232=1,$O232-ROW()/100000,"")</f>
        <v/>
      </c>
      <c r="S232" s="37" t="str">
        <f aca="false">IF($A232="","",INT($A232))</f>
        <v/>
      </c>
      <c r="T232" s="35" t="str">
        <f aca="false">IF($A232="","",IF(COUNTIFS($S$3:$S232,$S232)=1,1,0))</f>
        <v/>
      </c>
      <c r="U232" s="37" t="str">
        <f aca="false">IF($T232=1,$S232,"")</f>
        <v/>
      </c>
    </row>
    <row r="233" customFormat="false" ht="15" hidden="false" customHeight="false" outlineLevel="0" collapsed="false">
      <c r="M233" s="35" t="str">
        <f aca="false">IF($A233="","",HOUR($A233))</f>
        <v/>
      </c>
      <c r="N233" s="36" t="str">
        <f aca="false">IF($A233="","",$I233*$K233)</f>
        <v/>
      </c>
      <c r="O233" s="35" t="str">
        <f aca="false">IF(OR($A233="",$C233="U",$S233&lt;&gt;Calc!$F$2),"",SUMIFS($I$3:$I$3002,$E$3:$E$3002,$E233,$C$3:$C$3002,"&lt;&gt;U",$S$3:$S$3002,Calc!$F$2))</f>
        <v/>
      </c>
      <c r="P233" s="35" t="str">
        <f aca="false">IF(OR($A233="",$C233="U",$S233&lt;&gt;Calc!$F$2),"",SUMIFS($N$3:$N$3002,$E$3:$E$3002,$E233,$C$3:$C$3002,"&lt;&gt;U",$S$3:$S$3002,Calc!$F$2))</f>
        <v/>
      </c>
      <c r="Q233" s="35" t="str">
        <f aca="false">IF(OR($A233="",$C233="U",$S233&lt;&gt;Calc!$F$2),"",IF(COUNTIFS($E$3:$E233,$E233,$C$3:$C233,"&lt;&gt;U",$S$3:$S233,Calc!$F$2)=1,1,0))</f>
        <v/>
      </c>
      <c r="R233" s="35" t="str">
        <f aca="false">IF($Q233=1,$O233-ROW()/100000,"")</f>
        <v/>
      </c>
      <c r="S233" s="37" t="str">
        <f aca="false">IF($A233="","",INT($A233))</f>
        <v/>
      </c>
      <c r="T233" s="35" t="str">
        <f aca="false">IF($A233="","",IF(COUNTIFS($S$3:$S233,$S233)=1,1,0))</f>
        <v/>
      </c>
      <c r="U233" s="37" t="str">
        <f aca="false">IF($T233=1,$S233,"")</f>
        <v/>
      </c>
    </row>
    <row r="234" customFormat="false" ht="15" hidden="false" customHeight="false" outlineLevel="0" collapsed="false">
      <c r="M234" s="35" t="str">
        <f aca="false">IF($A234="","",HOUR($A234))</f>
        <v/>
      </c>
      <c r="N234" s="36" t="str">
        <f aca="false">IF($A234="","",$I234*$K234)</f>
        <v/>
      </c>
      <c r="O234" s="35" t="str">
        <f aca="false">IF(OR($A234="",$C234="U",$S234&lt;&gt;Calc!$F$2),"",SUMIFS($I$3:$I$3002,$E$3:$E$3002,$E234,$C$3:$C$3002,"&lt;&gt;U",$S$3:$S$3002,Calc!$F$2))</f>
        <v/>
      </c>
      <c r="P234" s="35" t="str">
        <f aca="false">IF(OR($A234="",$C234="U",$S234&lt;&gt;Calc!$F$2),"",SUMIFS($N$3:$N$3002,$E$3:$E$3002,$E234,$C$3:$C$3002,"&lt;&gt;U",$S$3:$S$3002,Calc!$F$2))</f>
        <v/>
      </c>
      <c r="Q234" s="35" t="str">
        <f aca="false">IF(OR($A234="",$C234="U",$S234&lt;&gt;Calc!$F$2),"",IF(COUNTIFS($E$3:$E234,$E234,$C$3:$C234,"&lt;&gt;U",$S$3:$S234,Calc!$F$2)=1,1,0))</f>
        <v/>
      </c>
      <c r="R234" s="35" t="str">
        <f aca="false">IF($Q234=1,$O234-ROW()/100000,"")</f>
        <v/>
      </c>
      <c r="S234" s="37" t="str">
        <f aca="false">IF($A234="","",INT($A234))</f>
        <v/>
      </c>
      <c r="T234" s="35" t="str">
        <f aca="false">IF($A234="","",IF(COUNTIFS($S$3:$S234,$S234)=1,1,0))</f>
        <v/>
      </c>
      <c r="U234" s="37" t="str">
        <f aca="false">IF($T234=1,$S234,"")</f>
        <v/>
      </c>
    </row>
    <row r="235" customFormat="false" ht="15" hidden="false" customHeight="false" outlineLevel="0" collapsed="false">
      <c r="M235" s="35" t="str">
        <f aca="false">IF($A235="","",HOUR($A235))</f>
        <v/>
      </c>
      <c r="N235" s="36" t="str">
        <f aca="false">IF($A235="","",$I235*$K235)</f>
        <v/>
      </c>
      <c r="O235" s="35" t="str">
        <f aca="false">IF(OR($A235="",$C235="U",$S235&lt;&gt;Calc!$F$2),"",SUMIFS($I$3:$I$3002,$E$3:$E$3002,$E235,$C$3:$C$3002,"&lt;&gt;U",$S$3:$S$3002,Calc!$F$2))</f>
        <v/>
      </c>
      <c r="P235" s="35" t="str">
        <f aca="false">IF(OR($A235="",$C235="U",$S235&lt;&gt;Calc!$F$2),"",SUMIFS($N$3:$N$3002,$E$3:$E$3002,$E235,$C$3:$C$3002,"&lt;&gt;U",$S$3:$S$3002,Calc!$F$2))</f>
        <v/>
      </c>
      <c r="Q235" s="35" t="str">
        <f aca="false">IF(OR($A235="",$C235="U",$S235&lt;&gt;Calc!$F$2),"",IF(COUNTIFS($E$3:$E235,$E235,$C$3:$C235,"&lt;&gt;U",$S$3:$S235,Calc!$F$2)=1,1,0))</f>
        <v/>
      </c>
      <c r="R235" s="35" t="str">
        <f aca="false">IF($Q235=1,$O235-ROW()/100000,"")</f>
        <v/>
      </c>
      <c r="S235" s="37" t="str">
        <f aca="false">IF($A235="","",INT($A235))</f>
        <v/>
      </c>
      <c r="T235" s="35" t="str">
        <f aca="false">IF($A235="","",IF(COUNTIFS($S$3:$S235,$S235)=1,1,0))</f>
        <v/>
      </c>
      <c r="U235" s="37" t="str">
        <f aca="false">IF($T235=1,$S235,"")</f>
        <v/>
      </c>
    </row>
    <row r="236" customFormat="false" ht="15" hidden="false" customHeight="false" outlineLevel="0" collapsed="false">
      <c r="M236" s="35" t="str">
        <f aca="false">IF($A236="","",HOUR($A236))</f>
        <v/>
      </c>
      <c r="N236" s="36" t="str">
        <f aca="false">IF($A236="","",$I236*$K236)</f>
        <v/>
      </c>
      <c r="O236" s="35" t="str">
        <f aca="false">IF(OR($A236="",$C236="U",$S236&lt;&gt;Calc!$F$2),"",SUMIFS($I$3:$I$3002,$E$3:$E$3002,$E236,$C$3:$C$3002,"&lt;&gt;U",$S$3:$S$3002,Calc!$F$2))</f>
        <v/>
      </c>
      <c r="P236" s="35" t="str">
        <f aca="false">IF(OR($A236="",$C236="U",$S236&lt;&gt;Calc!$F$2),"",SUMIFS($N$3:$N$3002,$E$3:$E$3002,$E236,$C$3:$C$3002,"&lt;&gt;U",$S$3:$S$3002,Calc!$F$2))</f>
        <v/>
      </c>
      <c r="Q236" s="35" t="str">
        <f aca="false">IF(OR($A236="",$C236="U",$S236&lt;&gt;Calc!$F$2),"",IF(COUNTIFS($E$3:$E236,$E236,$C$3:$C236,"&lt;&gt;U",$S$3:$S236,Calc!$F$2)=1,1,0))</f>
        <v/>
      </c>
      <c r="R236" s="35" t="str">
        <f aca="false">IF($Q236=1,$O236-ROW()/100000,"")</f>
        <v/>
      </c>
      <c r="S236" s="37" t="str">
        <f aca="false">IF($A236="","",INT($A236))</f>
        <v/>
      </c>
      <c r="T236" s="35" t="str">
        <f aca="false">IF($A236="","",IF(COUNTIFS($S$3:$S236,$S236)=1,1,0))</f>
        <v/>
      </c>
      <c r="U236" s="37" t="str">
        <f aca="false">IF($T236=1,$S236,"")</f>
        <v/>
      </c>
    </row>
    <row r="237" customFormat="false" ht="15" hidden="false" customHeight="false" outlineLevel="0" collapsed="false">
      <c r="M237" s="35" t="str">
        <f aca="false">IF($A237="","",HOUR($A237))</f>
        <v/>
      </c>
      <c r="N237" s="36" t="str">
        <f aca="false">IF($A237="","",$I237*$K237)</f>
        <v/>
      </c>
      <c r="O237" s="35" t="str">
        <f aca="false">IF(OR($A237="",$C237="U",$S237&lt;&gt;Calc!$F$2),"",SUMIFS($I$3:$I$3002,$E$3:$E$3002,$E237,$C$3:$C$3002,"&lt;&gt;U",$S$3:$S$3002,Calc!$F$2))</f>
        <v/>
      </c>
      <c r="P237" s="35" t="str">
        <f aca="false">IF(OR($A237="",$C237="U",$S237&lt;&gt;Calc!$F$2),"",SUMIFS($N$3:$N$3002,$E$3:$E$3002,$E237,$C$3:$C$3002,"&lt;&gt;U",$S$3:$S$3002,Calc!$F$2))</f>
        <v/>
      </c>
      <c r="Q237" s="35" t="str">
        <f aca="false">IF(OR($A237="",$C237="U",$S237&lt;&gt;Calc!$F$2),"",IF(COUNTIFS($E$3:$E237,$E237,$C$3:$C237,"&lt;&gt;U",$S$3:$S237,Calc!$F$2)=1,1,0))</f>
        <v/>
      </c>
      <c r="R237" s="35" t="str">
        <f aca="false">IF($Q237=1,$O237-ROW()/100000,"")</f>
        <v/>
      </c>
      <c r="S237" s="37" t="str">
        <f aca="false">IF($A237="","",INT($A237))</f>
        <v/>
      </c>
      <c r="T237" s="35" t="str">
        <f aca="false">IF($A237="","",IF(COUNTIFS($S$3:$S237,$S237)=1,1,0))</f>
        <v/>
      </c>
      <c r="U237" s="37" t="str">
        <f aca="false">IF($T237=1,$S237,"")</f>
        <v/>
      </c>
    </row>
    <row r="238" customFormat="false" ht="15" hidden="false" customHeight="false" outlineLevel="0" collapsed="false">
      <c r="M238" s="35" t="str">
        <f aca="false">IF($A238="","",HOUR($A238))</f>
        <v/>
      </c>
      <c r="N238" s="36" t="str">
        <f aca="false">IF($A238="","",$I238*$K238)</f>
        <v/>
      </c>
      <c r="O238" s="35" t="str">
        <f aca="false">IF(OR($A238="",$C238="U",$S238&lt;&gt;Calc!$F$2),"",SUMIFS($I$3:$I$3002,$E$3:$E$3002,$E238,$C$3:$C$3002,"&lt;&gt;U",$S$3:$S$3002,Calc!$F$2))</f>
        <v/>
      </c>
      <c r="P238" s="35" t="str">
        <f aca="false">IF(OR($A238="",$C238="U",$S238&lt;&gt;Calc!$F$2),"",SUMIFS($N$3:$N$3002,$E$3:$E$3002,$E238,$C$3:$C$3002,"&lt;&gt;U",$S$3:$S$3002,Calc!$F$2))</f>
        <v/>
      </c>
      <c r="Q238" s="35" t="str">
        <f aca="false">IF(OR($A238="",$C238="U",$S238&lt;&gt;Calc!$F$2),"",IF(COUNTIFS($E$3:$E238,$E238,$C$3:$C238,"&lt;&gt;U",$S$3:$S238,Calc!$F$2)=1,1,0))</f>
        <v/>
      </c>
      <c r="R238" s="35" t="str">
        <f aca="false">IF($Q238=1,$O238-ROW()/100000,"")</f>
        <v/>
      </c>
      <c r="S238" s="37" t="str">
        <f aca="false">IF($A238="","",INT($A238))</f>
        <v/>
      </c>
      <c r="T238" s="35" t="str">
        <f aca="false">IF($A238="","",IF(COUNTIFS($S$3:$S238,$S238)=1,1,0))</f>
        <v/>
      </c>
      <c r="U238" s="37" t="str">
        <f aca="false">IF($T238=1,$S238,"")</f>
        <v/>
      </c>
    </row>
    <row r="239" customFormat="false" ht="15" hidden="false" customHeight="false" outlineLevel="0" collapsed="false">
      <c r="M239" s="35" t="str">
        <f aca="false">IF($A239="","",HOUR($A239))</f>
        <v/>
      </c>
      <c r="N239" s="36" t="str">
        <f aca="false">IF($A239="","",$I239*$K239)</f>
        <v/>
      </c>
      <c r="O239" s="35" t="str">
        <f aca="false">IF(OR($A239="",$C239="U",$S239&lt;&gt;Calc!$F$2),"",SUMIFS($I$3:$I$3002,$E$3:$E$3002,$E239,$C$3:$C$3002,"&lt;&gt;U",$S$3:$S$3002,Calc!$F$2))</f>
        <v/>
      </c>
      <c r="P239" s="35" t="str">
        <f aca="false">IF(OR($A239="",$C239="U",$S239&lt;&gt;Calc!$F$2),"",SUMIFS($N$3:$N$3002,$E$3:$E$3002,$E239,$C$3:$C$3002,"&lt;&gt;U",$S$3:$S$3002,Calc!$F$2))</f>
        <v/>
      </c>
      <c r="Q239" s="35" t="str">
        <f aca="false">IF(OR($A239="",$C239="U",$S239&lt;&gt;Calc!$F$2),"",IF(COUNTIFS($E$3:$E239,$E239,$C$3:$C239,"&lt;&gt;U",$S$3:$S239,Calc!$F$2)=1,1,0))</f>
        <v/>
      </c>
      <c r="R239" s="35" t="str">
        <f aca="false">IF($Q239=1,$O239-ROW()/100000,"")</f>
        <v/>
      </c>
      <c r="S239" s="37" t="str">
        <f aca="false">IF($A239="","",INT($A239))</f>
        <v/>
      </c>
      <c r="T239" s="35" t="str">
        <f aca="false">IF($A239="","",IF(COUNTIFS($S$3:$S239,$S239)=1,1,0))</f>
        <v/>
      </c>
      <c r="U239" s="37" t="str">
        <f aca="false">IF($T239=1,$S239,"")</f>
        <v/>
      </c>
    </row>
    <row r="240" customFormat="false" ht="15" hidden="false" customHeight="false" outlineLevel="0" collapsed="false">
      <c r="M240" s="35" t="str">
        <f aca="false">IF($A240="","",HOUR($A240))</f>
        <v/>
      </c>
      <c r="N240" s="36" t="str">
        <f aca="false">IF($A240="","",$I240*$K240)</f>
        <v/>
      </c>
      <c r="O240" s="35" t="str">
        <f aca="false">IF(OR($A240="",$C240="U",$S240&lt;&gt;Calc!$F$2),"",SUMIFS($I$3:$I$3002,$E$3:$E$3002,$E240,$C$3:$C$3002,"&lt;&gt;U",$S$3:$S$3002,Calc!$F$2))</f>
        <v/>
      </c>
      <c r="P240" s="35" t="str">
        <f aca="false">IF(OR($A240="",$C240="U",$S240&lt;&gt;Calc!$F$2),"",SUMIFS($N$3:$N$3002,$E$3:$E$3002,$E240,$C$3:$C$3002,"&lt;&gt;U",$S$3:$S$3002,Calc!$F$2))</f>
        <v/>
      </c>
      <c r="Q240" s="35" t="str">
        <f aca="false">IF(OR($A240="",$C240="U",$S240&lt;&gt;Calc!$F$2),"",IF(COUNTIFS($E$3:$E240,$E240,$C$3:$C240,"&lt;&gt;U",$S$3:$S240,Calc!$F$2)=1,1,0))</f>
        <v/>
      </c>
      <c r="R240" s="35" t="str">
        <f aca="false">IF($Q240=1,$O240-ROW()/100000,"")</f>
        <v/>
      </c>
      <c r="S240" s="37" t="str">
        <f aca="false">IF($A240="","",INT($A240))</f>
        <v/>
      </c>
      <c r="T240" s="35" t="str">
        <f aca="false">IF($A240="","",IF(COUNTIFS($S$3:$S240,$S240)=1,1,0))</f>
        <v/>
      </c>
      <c r="U240" s="37" t="str">
        <f aca="false">IF($T240=1,$S240,"")</f>
        <v/>
      </c>
    </row>
    <row r="241" customFormat="false" ht="15" hidden="false" customHeight="false" outlineLevel="0" collapsed="false">
      <c r="M241" s="35" t="str">
        <f aca="false">IF($A241="","",HOUR($A241))</f>
        <v/>
      </c>
      <c r="N241" s="36" t="str">
        <f aca="false">IF($A241="","",$I241*$K241)</f>
        <v/>
      </c>
      <c r="O241" s="35" t="str">
        <f aca="false">IF(OR($A241="",$C241="U",$S241&lt;&gt;Calc!$F$2),"",SUMIFS($I$3:$I$3002,$E$3:$E$3002,$E241,$C$3:$C$3002,"&lt;&gt;U",$S$3:$S$3002,Calc!$F$2))</f>
        <v/>
      </c>
      <c r="P241" s="35" t="str">
        <f aca="false">IF(OR($A241="",$C241="U",$S241&lt;&gt;Calc!$F$2),"",SUMIFS($N$3:$N$3002,$E$3:$E$3002,$E241,$C$3:$C$3002,"&lt;&gt;U",$S$3:$S$3002,Calc!$F$2))</f>
        <v/>
      </c>
      <c r="Q241" s="35" t="str">
        <f aca="false">IF(OR($A241="",$C241="U",$S241&lt;&gt;Calc!$F$2),"",IF(COUNTIFS($E$3:$E241,$E241,$C$3:$C241,"&lt;&gt;U",$S$3:$S241,Calc!$F$2)=1,1,0))</f>
        <v/>
      </c>
      <c r="R241" s="35" t="str">
        <f aca="false">IF($Q241=1,$O241-ROW()/100000,"")</f>
        <v/>
      </c>
      <c r="S241" s="37" t="str">
        <f aca="false">IF($A241="","",INT($A241))</f>
        <v/>
      </c>
      <c r="T241" s="35" t="str">
        <f aca="false">IF($A241="","",IF(COUNTIFS($S$3:$S241,$S241)=1,1,0))</f>
        <v/>
      </c>
      <c r="U241" s="37" t="str">
        <f aca="false">IF($T241=1,$S241,"")</f>
        <v/>
      </c>
    </row>
    <row r="242" customFormat="false" ht="15" hidden="false" customHeight="false" outlineLevel="0" collapsed="false">
      <c r="M242" s="35" t="str">
        <f aca="false">IF($A242="","",HOUR($A242))</f>
        <v/>
      </c>
      <c r="N242" s="36" t="str">
        <f aca="false">IF($A242="","",$I242*$K242)</f>
        <v/>
      </c>
      <c r="O242" s="35" t="str">
        <f aca="false">IF(OR($A242="",$C242="U",$S242&lt;&gt;Calc!$F$2),"",SUMIFS($I$3:$I$3002,$E$3:$E$3002,$E242,$C$3:$C$3002,"&lt;&gt;U",$S$3:$S$3002,Calc!$F$2))</f>
        <v/>
      </c>
      <c r="P242" s="35" t="str">
        <f aca="false">IF(OR($A242="",$C242="U",$S242&lt;&gt;Calc!$F$2),"",SUMIFS($N$3:$N$3002,$E$3:$E$3002,$E242,$C$3:$C$3002,"&lt;&gt;U",$S$3:$S$3002,Calc!$F$2))</f>
        <v/>
      </c>
      <c r="Q242" s="35" t="str">
        <f aca="false">IF(OR($A242="",$C242="U",$S242&lt;&gt;Calc!$F$2),"",IF(COUNTIFS($E$3:$E242,$E242,$C$3:$C242,"&lt;&gt;U",$S$3:$S242,Calc!$F$2)=1,1,0))</f>
        <v/>
      </c>
      <c r="R242" s="35" t="str">
        <f aca="false">IF($Q242=1,$O242-ROW()/100000,"")</f>
        <v/>
      </c>
      <c r="S242" s="37" t="str">
        <f aca="false">IF($A242="","",INT($A242))</f>
        <v/>
      </c>
      <c r="T242" s="35" t="str">
        <f aca="false">IF($A242="","",IF(COUNTIFS($S$3:$S242,$S242)=1,1,0))</f>
        <v/>
      </c>
      <c r="U242" s="37" t="str">
        <f aca="false">IF($T242=1,$S242,"")</f>
        <v/>
      </c>
    </row>
    <row r="243" customFormat="false" ht="15" hidden="false" customHeight="false" outlineLevel="0" collapsed="false">
      <c r="M243" s="35" t="str">
        <f aca="false">IF($A243="","",HOUR($A243))</f>
        <v/>
      </c>
      <c r="N243" s="36" t="str">
        <f aca="false">IF($A243="","",$I243*$K243)</f>
        <v/>
      </c>
      <c r="O243" s="35" t="str">
        <f aca="false">IF(OR($A243="",$C243="U",$S243&lt;&gt;Calc!$F$2),"",SUMIFS($I$3:$I$3002,$E$3:$E$3002,$E243,$C$3:$C$3002,"&lt;&gt;U",$S$3:$S$3002,Calc!$F$2))</f>
        <v/>
      </c>
      <c r="P243" s="35" t="str">
        <f aca="false">IF(OR($A243="",$C243="U",$S243&lt;&gt;Calc!$F$2),"",SUMIFS($N$3:$N$3002,$E$3:$E$3002,$E243,$C$3:$C$3002,"&lt;&gt;U",$S$3:$S$3002,Calc!$F$2))</f>
        <v/>
      </c>
      <c r="Q243" s="35" t="str">
        <f aca="false">IF(OR($A243="",$C243="U",$S243&lt;&gt;Calc!$F$2),"",IF(COUNTIFS($E$3:$E243,$E243,$C$3:$C243,"&lt;&gt;U",$S$3:$S243,Calc!$F$2)=1,1,0))</f>
        <v/>
      </c>
      <c r="R243" s="35" t="str">
        <f aca="false">IF($Q243=1,$O243-ROW()/100000,"")</f>
        <v/>
      </c>
      <c r="S243" s="37" t="str">
        <f aca="false">IF($A243="","",INT($A243))</f>
        <v/>
      </c>
      <c r="T243" s="35" t="str">
        <f aca="false">IF($A243="","",IF(COUNTIFS($S$3:$S243,$S243)=1,1,0))</f>
        <v/>
      </c>
      <c r="U243" s="37" t="str">
        <f aca="false">IF($T243=1,$S243,"")</f>
        <v/>
      </c>
    </row>
    <row r="244" customFormat="false" ht="15" hidden="false" customHeight="false" outlineLevel="0" collapsed="false">
      <c r="M244" s="35" t="str">
        <f aca="false">IF($A244="","",HOUR($A244))</f>
        <v/>
      </c>
      <c r="N244" s="36" t="str">
        <f aca="false">IF($A244="","",$I244*$K244)</f>
        <v/>
      </c>
      <c r="O244" s="35" t="str">
        <f aca="false">IF(OR($A244="",$C244="U",$S244&lt;&gt;Calc!$F$2),"",SUMIFS($I$3:$I$3002,$E$3:$E$3002,$E244,$C$3:$C$3002,"&lt;&gt;U",$S$3:$S$3002,Calc!$F$2))</f>
        <v/>
      </c>
      <c r="P244" s="35" t="str">
        <f aca="false">IF(OR($A244="",$C244="U",$S244&lt;&gt;Calc!$F$2),"",SUMIFS($N$3:$N$3002,$E$3:$E$3002,$E244,$C$3:$C$3002,"&lt;&gt;U",$S$3:$S$3002,Calc!$F$2))</f>
        <v/>
      </c>
      <c r="Q244" s="35" t="str">
        <f aca="false">IF(OR($A244="",$C244="U",$S244&lt;&gt;Calc!$F$2),"",IF(COUNTIFS($E$3:$E244,$E244,$C$3:$C244,"&lt;&gt;U",$S$3:$S244,Calc!$F$2)=1,1,0))</f>
        <v/>
      </c>
      <c r="R244" s="35" t="str">
        <f aca="false">IF($Q244=1,$O244-ROW()/100000,"")</f>
        <v/>
      </c>
      <c r="S244" s="37" t="str">
        <f aca="false">IF($A244="","",INT($A244))</f>
        <v/>
      </c>
      <c r="T244" s="35" t="str">
        <f aca="false">IF($A244="","",IF(COUNTIFS($S$3:$S244,$S244)=1,1,0))</f>
        <v/>
      </c>
      <c r="U244" s="37" t="str">
        <f aca="false">IF($T244=1,$S244,"")</f>
        <v/>
      </c>
    </row>
    <row r="245" customFormat="false" ht="15" hidden="false" customHeight="false" outlineLevel="0" collapsed="false">
      <c r="M245" s="35" t="str">
        <f aca="false">IF($A245="","",HOUR($A245))</f>
        <v/>
      </c>
      <c r="N245" s="36" t="str">
        <f aca="false">IF($A245="","",$I245*$K245)</f>
        <v/>
      </c>
      <c r="O245" s="35" t="str">
        <f aca="false">IF(OR($A245="",$C245="U",$S245&lt;&gt;Calc!$F$2),"",SUMIFS($I$3:$I$3002,$E$3:$E$3002,$E245,$C$3:$C$3002,"&lt;&gt;U",$S$3:$S$3002,Calc!$F$2))</f>
        <v/>
      </c>
      <c r="P245" s="35" t="str">
        <f aca="false">IF(OR($A245="",$C245="U",$S245&lt;&gt;Calc!$F$2),"",SUMIFS($N$3:$N$3002,$E$3:$E$3002,$E245,$C$3:$C$3002,"&lt;&gt;U",$S$3:$S$3002,Calc!$F$2))</f>
        <v/>
      </c>
      <c r="Q245" s="35" t="str">
        <f aca="false">IF(OR($A245="",$C245="U",$S245&lt;&gt;Calc!$F$2),"",IF(COUNTIFS($E$3:$E245,$E245,$C$3:$C245,"&lt;&gt;U",$S$3:$S245,Calc!$F$2)=1,1,0))</f>
        <v/>
      </c>
      <c r="R245" s="35" t="str">
        <f aca="false">IF($Q245=1,$O245-ROW()/100000,"")</f>
        <v/>
      </c>
      <c r="S245" s="37" t="str">
        <f aca="false">IF($A245="","",INT($A245))</f>
        <v/>
      </c>
      <c r="T245" s="35" t="str">
        <f aca="false">IF($A245="","",IF(COUNTIFS($S$3:$S245,$S245)=1,1,0))</f>
        <v/>
      </c>
      <c r="U245" s="37" t="str">
        <f aca="false">IF($T245=1,$S245,"")</f>
        <v/>
      </c>
    </row>
    <row r="246" customFormat="false" ht="15" hidden="false" customHeight="false" outlineLevel="0" collapsed="false">
      <c r="M246" s="35" t="str">
        <f aca="false">IF($A246="","",HOUR($A246))</f>
        <v/>
      </c>
      <c r="N246" s="36" t="str">
        <f aca="false">IF($A246="","",$I246*$K246)</f>
        <v/>
      </c>
      <c r="O246" s="35" t="str">
        <f aca="false">IF(OR($A246="",$C246="U",$S246&lt;&gt;Calc!$F$2),"",SUMIFS($I$3:$I$3002,$E$3:$E$3002,$E246,$C$3:$C$3002,"&lt;&gt;U",$S$3:$S$3002,Calc!$F$2))</f>
        <v/>
      </c>
      <c r="P246" s="35" t="str">
        <f aca="false">IF(OR($A246="",$C246="U",$S246&lt;&gt;Calc!$F$2),"",SUMIFS($N$3:$N$3002,$E$3:$E$3002,$E246,$C$3:$C$3002,"&lt;&gt;U",$S$3:$S$3002,Calc!$F$2))</f>
        <v/>
      </c>
      <c r="Q246" s="35" t="str">
        <f aca="false">IF(OR($A246="",$C246="U",$S246&lt;&gt;Calc!$F$2),"",IF(COUNTIFS($E$3:$E246,$E246,$C$3:$C246,"&lt;&gt;U",$S$3:$S246,Calc!$F$2)=1,1,0))</f>
        <v/>
      </c>
      <c r="R246" s="35" t="str">
        <f aca="false">IF($Q246=1,$O246-ROW()/100000,"")</f>
        <v/>
      </c>
      <c r="S246" s="37" t="str">
        <f aca="false">IF($A246="","",INT($A246))</f>
        <v/>
      </c>
      <c r="T246" s="35" t="str">
        <f aca="false">IF($A246="","",IF(COUNTIFS($S$3:$S246,$S246)=1,1,0))</f>
        <v/>
      </c>
      <c r="U246" s="37" t="str">
        <f aca="false">IF($T246=1,$S246,"")</f>
        <v/>
      </c>
    </row>
    <row r="247" customFormat="false" ht="15" hidden="false" customHeight="false" outlineLevel="0" collapsed="false">
      <c r="M247" s="35" t="str">
        <f aca="false">IF($A247="","",HOUR($A247))</f>
        <v/>
      </c>
      <c r="N247" s="36" t="str">
        <f aca="false">IF($A247="","",$I247*$K247)</f>
        <v/>
      </c>
      <c r="O247" s="35" t="str">
        <f aca="false">IF(OR($A247="",$C247="U",$S247&lt;&gt;Calc!$F$2),"",SUMIFS($I$3:$I$3002,$E$3:$E$3002,$E247,$C$3:$C$3002,"&lt;&gt;U",$S$3:$S$3002,Calc!$F$2))</f>
        <v/>
      </c>
      <c r="P247" s="35" t="str">
        <f aca="false">IF(OR($A247="",$C247="U",$S247&lt;&gt;Calc!$F$2),"",SUMIFS($N$3:$N$3002,$E$3:$E$3002,$E247,$C$3:$C$3002,"&lt;&gt;U",$S$3:$S$3002,Calc!$F$2))</f>
        <v/>
      </c>
      <c r="Q247" s="35" t="str">
        <f aca="false">IF(OR($A247="",$C247="U",$S247&lt;&gt;Calc!$F$2),"",IF(COUNTIFS($E$3:$E247,$E247,$C$3:$C247,"&lt;&gt;U",$S$3:$S247,Calc!$F$2)=1,1,0))</f>
        <v/>
      </c>
      <c r="R247" s="35" t="str">
        <f aca="false">IF($Q247=1,$O247-ROW()/100000,"")</f>
        <v/>
      </c>
      <c r="S247" s="37" t="str">
        <f aca="false">IF($A247="","",INT($A247))</f>
        <v/>
      </c>
      <c r="T247" s="35" t="str">
        <f aca="false">IF($A247="","",IF(COUNTIFS($S$3:$S247,$S247)=1,1,0))</f>
        <v/>
      </c>
      <c r="U247" s="37" t="str">
        <f aca="false">IF($T247=1,$S247,"")</f>
        <v/>
      </c>
    </row>
    <row r="248" customFormat="false" ht="15" hidden="false" customHeight="false" outlineLevel="0" collapsed="false">
      <c r="M248" s="35" t="str">
        <f aca="false">IF($A248="","",HOUR($A248))</f>
        <v/>
      </c>
      <c r="N248" s="36" t="str">
        <f aca="false">IF($A248="","",$I248*$K248)</f>
        <v/>
      </c>
      <c r="O248" s="35" t="str">
        <f aca="false">IF(OR($A248="",$C248="U",$S248&lt;&gt;Calc!$F$2),"",SUMIFS($I$3:$I$3002,$E$3:$E$3002,$E248,$C$3:$C$3002,"&lt;&gt;U",$S$3:$S$3002,Calc!$F$2))</f>
        <v/>
      </c>
      <c r="P248" s="35" t="str">
        <f aca="false">IF(OR($A248="",$C248="U",$S248&lt;&gt;Calc!$F$2),"",SUMIFS($N$3:$N$3002,$E$3:$E$3002,$E248,$C$3:$C$3002,"&lt;&gt;U",$S$3:$S$3002,Calc!$F$2))</f>
        <v/>
      </c>
      <c r="Q248" s="35" t="str">
        <f aca="false">IF(OR($A248="",$C248="U",$S248&lt;&gt;Calc!$F$2),"",IF(COUNTIFS($E$3:$E248,$E248,$C$3:$C248,"&lt;&gt;U",$S$3:$S248,Calc!$F$2)=1,1,0))</f>
        <v/>
      </c>
      <c r="R248" s="35" t="str">
        <f aca="false">IF($Q248=1,$O248-ROW()/100000,"")</f>
        <v/>
      </c>
      <c r="S248" s="37" t="str">
        <f aca="false">IF($A248="","",INT($A248))</f>
        <v/>
      </c>
      <c r="T248" s="35" t="str">
        <f aca="false">IF($A248="","",IF(COUNTIFS($S$3:$S248,$S248)=1,1,0))</f>
        <v/>
      </c>
      <c r="U248" s="37" t="str">
        <f aca="false">IF($T248=1,$S248,"")</f>
        <v/>
      </c>
    </row>
    <row r="249" customFormat="false" ht="15" hidden="false" customHeight="false" outlineLevel="0" collapsed="false">
      <c r="M249" s="35" t="str">
        <f aca="false">IF($A249="","",HOUR($A249))</f>
        <v/>
      </c>
      <c r="N249" s="36" t="str">
        <f aca="false">IF($A249="","",$I249*$K249)</f>
        <v/>
      </c>
      <c r="O249" s="35" t="str">
        <f aca="false">IF(OR($A249="",$C249="U",$S249&lt;&gt;Calc!$F$2),"",SUMIFS($I$3:$I$3002,$E$3:$E$3002,$E249,$C$3:$C$3002,"&lt;&gt;U",$S$3:$S$3002,Calc!$F$2))</f>
        <v/>
      </c>
      <c r="P249" s="35" t="str">
        <f aca="false">IF(OR($A249="",$C249="U",$S249&lt;&gt;Calc!$F$2),"",SUMIFS($N$3:$N$3002,$E$3:$E$3002,$E249,$C$3:$C$3002,"&lt;&gt;U",$S$3:$S$3002,Calc!$F$2))</f>
        <v/>
      </c>
      <c r="Q249" s="35" t="str">
        <f aca="false">IF(OR($A249="",$C249="U",$S249&lt;&gt;Calc!$F$2),"",IF(COUNTIFS($E$3:$E249,$E249,$C$3:$C249,"&lt;&gt;U",$S$3:$S249,Calc!$F$2)=1,1,0))</f>
        <v/>
      </c>
      <c r="R249" s="35" t="str">
        <f aca="false">IF($Q249=1,$O249-ROW()/100000,"")</f>
        <v/>
      </c>
      <c r="S249" s="37" t="str">
        <f aca="false">IF($A249="","",INT($A249))</f>
        <v/>
      </c>
      <c r="T249" s="35" t="str">
        <f aca="false">IF($A249="","",IF(COUNTIFS($S$3:$S249,$S249)=1,1,0))</f>
        <v/>
      </c>
      <c r="U249" s="37" t="str">
        <f aca="false">IF($T249=1,$S249,"")</f>
        <v/>
      </c>
    </row>
    <row r="250" customFormat="false" ht="15" hidden="false" customHeight="false" outlineLevel="0" collapsed="false">
      <c r="M250" s="35" t="str">
        <f aca="false">IF($A250="","",HOUR($A250))</f>
        <v/>
      </c>
      <c r="N250" s="36" t="str">
        <f aca="false">IF($A250="","",$I250*$K250)</f>
        <v/>
      </c>
      <c r="O250" s="35" t="str">
        <f aca="false">IF(OR($A250="",$C250="U",$S250&lt;&gt;Calc!$F$2),"",SUMIFS($I$3:$I$3002,$E$3:$E$3002,$E250,$C$3:$C$3002,"&lt;&gt;U",$S$3:$S$3002,Calc!$F$2))</f>
        <v/>
      </c>
      <c r="P250" s="35" t="str">
        <f aca="false">IF(OR($A250="",$C250="U",$S250&lt;&gt;Calc!$F$2),"",SUMIFS($N$3:$N$3002,$E$3:$E$3002,$E250,$C$3:$C$3002,"&lt;&gt;U",$S$3:$S$3002,Calc!$F$2))</f>
        <v/>
      </c>
      <c r="Q250" s="35" t="str">
        <f aca="false">IF(OR($A250="",$C250="U",$S250&lt;&gt;Calc!$F$2),"",IF(COUNTIFS($E$3:$E250,$E250,$C$3:$C250,"&lt;&gt;U",$S$3:$S250,Calc!$F$2)=1,1,0))</f>
        <v/>
      </c>
      <c r="R250" s="35" t="str">
        <f aca="false">IF($Q250=1,$O250-ROW()/100000,"")</f>
        <v/>
      </c>
      <c r="S250" s="37" t="str">
        <f aca="false">IF($A250="","",INT($A250))</f>
        <v/>
      </c>
      <c r="T250" s="35" t="str">
        <f aca="false">IF($A250="","",IF(COUNTIFS($S$3:$S250,$S250)=1,1,0))</f>
        <v/>
      </c>
      <c r="U250" s="37" t="str">
        <f aca="false">IF($T250=1,$S250,"")</f>
        <v/>
      </c>
    </row>
    <row r="251" customFormat="false" ht="15" hidden="false" customHeight="false" outlineLevel="0" collapsed="false">
      <c r="M251" s="35" t="str">
        <f aca="false">IF($A251="","",HOUR($A251))</f>
        <v/>
      </c>
      <c r="N251" s="36" t="str">
        <f aca="false">IF($A251="","",$I251*$K251)</f>
        <v/>
      </c>
      <c r="O251" s="35" t="str">
        <f aca="false">IF(OR($A251="",$C251="U",$S251&lt;&gt;Calc!$F$2),"",SUMIFS($I$3:$I$3002,$E$3:$E$3002,$E251,$C$3:$C$3002,"&lt;&gt;U",$S$3:$S$3002,Calc!$F$2))</f>
        <v/>
      </c>
      <c r="P251" s="35" t="str">
        <f aca="false">IF(OR($A251="",$C251="U",$S251&lt;&gt;Calc!$F$2),"",SUMIFS($N$3:$N$3002,$E$3:$E$3002,$E251,$C$3:$C$3002,"&lt;&gt;U",$S$3:$S$3002,Calc!$F$2))</f>
        <v/>
      </c>
      <c r="Q251" s="35" t="str">
        <f aca="false">IF(OR($A251="",$C251="U",$S251&lt;&gt;Calc!$F$2),"",IF(COUNTIFS($E$3:$E251,$E251,$C$3:$C251,"&lt;&gt;U",$S$3:$S251,Calc!$F$2)=1,1,0))</f>
        <v/>
      </c>
      <c r="R251" s="35" t="str">
        <f aca="false">IF($Q251=1,$O251-ROW()/100000,"")</f>
        <v/>
      </c>
      <c r="S251" s="37" t="str">
        <f aca="false">IF($A251="","",INT($A251))</f>
        <v/>
      </c>
      <c r="T251" s="35" t="str">
        <f aca="false">IF($A251="","",IF(COUNTIFS($S$3:$S251,$S251)=1,1,0))</f>
        <v/>
      </c>
      <c r="U251" s="37" t="str">
        <f aca="false">IF($T251=1,$S251,"")</f>
        <v/>
      </c>
    </row>
    <row r="252" customFormat="false" ht="15" hidden="false" customHeight="false" outlineLevel="0" collapsed="false">
      <c r="M252" s="35" t="str">
        <f aca="false">IF($A252="","",HOUR($A252))</f>
        <v/>
      </c>
      <c r="N252" s="36" t="str">
        <f aca="false">IF($A252="","",$I252*$K252)</f>
        <v/>
      </c>
      <c r="O252" s="35" t="str">
        <f aca="false">IF(OR($A252="",$C252="U",$S252&lt;&gt;Calc!$F$2),"",SUMIFS($I$3:$I$3002,$E$3:$E$3002,$E252,$C$3:$C$3002,"&lt;&gt;U",$S$3:$S$3002,Calc!$F$2))</f>
        <v/>
      </c>
      <c r="P252" s="35" t="str">
        <f aca="false">IF(OR($A252="",$C252="U",$S252&lt;&gt;Calc!$F$2),"",SUMIFS($N$3:$N$3002,$E$3:$E$3002,$E252,$C$3:$C$3002,"&lt;&gt;U",$S$3:$S$3002,Calc!$F$2))</f>
        <v/>
      </c>
      <c r="Q252" s="35" t="str">
        <f aca="false">IF(OR($A252="",$C252="U",$S252&lt;&gt;Calc!$F$2),"",IF(COUNTIFS($E$3:$E252,$E252,$C$3:$C252,"&lt;&gt;U",$S$3:$S252,Calc!$F$2)=1,1,0))</f>
        <v/>
      </c>
      <c r="R252" s="35" t="str">
        <f aca="false">IF($Q252=1,$O252-ROW()/100000,"")</f>
        <v/>
      </c>
      <c r="S252" s="37" t="str">
        <f aca="false">IF($A252="","",INT($A252))</f>
        <v/>
      </c>
      <c r="T252" s="35" t="str">
        <f aca="false">IF($A252="","",IF(COUNTIFS($S$3:$S252,$S252)=1,1,0))</f>
        <v/>
      </c>
      <c r="U252" s="37" t="str">
        <f aca="false">IF($T252=1,$S252,"")</f>
        <v/>
      </c>
    </row>
    <row r="253" customFormat="false" ht="15" hidden="false" customHeight="false" outlineLevel="0" collapsed="false">
      <c r="M253" s="35" t="str">
        <f aca="false">IF($A253="","",HOUR($A253))</f>
        <v/>
      </c>
      <c r="N253" s="36" t="str">
        <f aca="false">IF($A253="","",$I253*$K253)</f>
        <v/>
      </c>
      <c r="O253" s="35" t="str">
        <f aca="false">IF(OR($A253="",$C253="U",$S253&lt;&gt;Calc!$F$2),"",SUMIFS($I$3:$I$3002,$E$3:$E$3002,$E253,$C$3:$C$3002,"&lt;&gt;U",$S$3:$S$3002,Calc!$F$2))</f>
        <v/>
      </c>
      <c r="P253" s="35" t="str">
        <f aca="false">IF(OR($A253="",$C253="U",$S253&lt;&gt;Calc!$F$2),"",SUMIFS($N$3:$N$3002,$E$3:$E$3002,$E253,$C$3:$C$3002,"&lt;&gt;U",$S$3:$S$3002,Calc!$F$2))</f>
        <v/>
      </c>
      <c r="Q253" s="35" t="str">
        <f aca="false">IF(OR($A253="",$C253="U",$S253&lt;&gt;Calc!$F$2),"",IF(COUNTIFS($E$3:$E253,$E253,$C$3:$C253,"&lt;&gt;U",$S$3:$S253,Calc!$F$2)=1,1,0))</f>
        <v/>
      </c>
      <c r="R253" s="35" t="str">
        <f aca="false">IF($Q253=1,$O253-ROW()/100000,"")</f>
        <v/>
      </c>
      <c r="S253" s="37" t="str">
        <f aca="false">IF($A253="","",INT($A253))</f>
        <v/>
      </c>
      <c r="T253" s="35" t="str">
        <f aca="false">IF($A253="","",IF(COUNTIFS($S$3:$S253,$S253)=1,1,0))</f>
        <v/>
      </c>
      <c r="U253" s="37" t="str">
        <f aca="false">IF($T253=1,$S253,"")</f>
        <v/>
      </c>
    </row>
    <row r="254" customFormat="false" ht="15" hidden="false" customHeight="false" outlineLevel="0" collapsed="false">
      <c r="M254" s="35" t="str">
        <f aca="false">IF($A254="","",HOUR($A254))</f>
        <v/>
      </c>
      <c r="N254" s="36" t="str">
        <f aca="false">IF($A254="","",$I254*$K254)</f>
        <v/>
      </c>
      <c r="O254" s="35" t="str">
        <f aca="false">IF(OR($A254="",$C254="U",$S254&lt;&gt;Calc!$F$2),"",SUMIFS($I$3:$I$3002,$E$3:$E$3002,$E254,$C$3:$C$3002,"&lt;&gt;U",$S$3:$S$3002,Calc!$F$2))</f>
        <v/>
      </c>
      <c r="P254" s="35" t="str">
        <f aca="false">IF(OR($A254="",$C254="U",$S254&lt;&gt;Calc!$F$2),"",SUMIFS($N$3:$N$3002,$E$3:$E$3002,$E254,$C$3:$C$3002,"&lt;&gt;U",$S$3:$S$3002,Calc!$F$2))</f>
        <v/>
      </c>
      <c r="Q254" s="35" t="str">
        <f aca="false">IF(OR($A254="",$C254="U",$S254&lt;&gt;Calc!$F$2),"",IF(COUNTIFS($E$3:$E254,$E254,$C$3:$C254,"&lt;&gt;U",$S$3:$S254,Calc!$F$2)=1,1,0))</f>
        <v/>
      </c>
      <c r="R254" s="35" t="str">
        <f aca="false">IF($Q254=1,$O254-ROW()/100000,"")</f>
        <v/>
      </c>
      <c r="S254" s="37" t="str">
        <f aca="false">IF($A254="","",INT($A254))</f>
        <v/>
      </c>
      <c r="T254" s="35" t="str">
        <f aca="false">IF($A254="","",IF(COUNTIFS($S$3:$S254,$S254)=1,1,0))</f>
        <v/>
      </c>
      <c r="U254" s="37" t="str">
        <f aca="false">IF($T254=1,$S254,"")</f>
        <v/>
      </c>
    </row>
    <row r="255" customFormat="false" ht="15" hidden="false" customHeight="false" outlineLevel="0" collapsed="false">
      <c r="M255" s="35" t="str">
        <f aca="false">IF($A255="","",HOUR($A255))</f>
        <v/>
      </c>
      <c r="N255" s="36" t="str">
        <f aca="false">IF($A255="","",$I255*$K255)</f>
        <v/>
      </c>
      <c r="O255" s="35" t="str">
        <f aca="false">IF(OR($A255="",$C255="U",$S255&lt;&gt;Calc!$F$2),"",SUMIFS($I$3:$I$3002,$E$3:$E$3002,$E255,$C$3:$C$3002,"&lt;&gt;U",$S$3:$S$3002,Calc!$F$2))</f>
        <v/>
      </c>
      <c r="P255" s="35" t="str">
        <f aca="false">IF(OR($A255="",$C255="U",$S255&lt;&gt;Calc!$F$2),"",SUMIFS($N$3:$N$3002,$E$3:$E$3002,$E255,$C$3:$C$3002,"&lt;&gt;U",$S$3:$S$3002,Calc!$F$2))</f>
        <v/>
      </c>
      <c r="Q255" s="35" t="str">
        <f aca="false">IF(OR($A255="",$C255="U",$S255&lt;&gt;Calc!$F$2),"",IF(COUNTIFS($E$3:$E255,$E255,$C$3:$C255,"&lt;&gt;U",$S$3:$S255,Calc!$F$2)=1,1,0))</f>
        <v/>
      </c>
      <c r="R255" s="35" t="str">
        <f aca="false">IF($Q255=1,$O255-ROW()/100000,"")</f>
        <v/>
      </c>
      <c r="S255" s="37" t="str">
        <f aca="false">IF($A255="","",INT($A255))</f>
        <v/>
      </c>
      <c r="T255" s="35" t="str">
        <f aca="false">IF($A255="","",IF(COUNTIFS($S$3:$S255,$S255)=1,1,0))</f>
        <v/>
      </c>
      <c r="U255" s="37" t="str">
        <f aca="false">IF($T255=1,$S255,"")</f>
        <v/>
      </c>
    </row>
    <row r="256" customFormat="false" ht="15" hidden="false" customHeight="false" outlineLevel="0" collapsed="false">
      <c r="M256" s="35" t="str">
        <f aca="false">IF($A256="","",HOUR($A256))</f>
        <v/>
      </c>
      <c r="N256" s="36" t="str">
        <f aca="false">IF($A256="","",$I256*$K256)</f>
        <v/>
      </c>
      <c r="O256" s="35" t="str">
        <f aca="false">IF(OR($A256="",$C256="U",$S256&lt;&gt;Calc!$F$2),"",SUMIFS($I$3:$I$3002,$E$3:$E$3002,$E256,$C$3:$C$3002,"&lt;&gt;U",$S$3:$S$3002,Calc!$F$2))</f>
        <v/>
      </c>
      <c r="P256" s="35" t="str">
        <f aca="false">IF(OR($A256="",$C256="U",$S256&lt;&gt;Calc!$F$2),"",SUMIFS($N$3:$N$3002,$E$3:$E$3002,$E256,$C$3:$C$3002,"&lt;&gt;U",$S$3:$S$3002,Calc!$F$2))</f>
        <v/>
      </c>
      <c r="Q256" s="35" t="str">
        <f aca="false">IF(OR($A256="",$C256="U",$S256&lt;&gt;Calc!$F$2),"",IF(COUNTIFS($E$3:$E256,$E256,$C$3:$C256,"&lt;&gt;U",$S$3:$S256,Calc!$F$2)=1,1,0))</f>
        <v/>
      </c>
      <c r="R256" s="35" t="str">
        <f aca="false">IF($Q256=1,$O256-ROW()/100000,"")</f>
        <v/>
      </c>
      <c r="S256" s="37" t="str">
        <f aca="false">IF($A256="","",INT($A256))</f>
        <v/>
      </c>
      <c r="T256" s="35" t="str">
        <f aca="false">IF($A256="","",IF(COUNTIFS($S$3:$S256,$S256)=1,1,0))</f>
        <v/>
      </c>
      <c r="U256" s="37" t="str">
        <f aca="false">IF($T256=1,$S256,"")</f>
        <v/>
      </c>
    </row>
    <row r="257" customFormat="false" ht="15" hidden="false" customHeight="false" outlineLevel="0" collapsed="false">
      <c r="M257" s="35" t="str">
        <f aca="false">IF($A257="","",HOUR($A257))</f>
        <v/>
      </c>
      <c r="N257" s="36" t="str">
        <f aca="false">IF($A257="","",$I257*$K257)</f>
        <v/>
      </c>
      <c r="O257" s="35" t="str">
        <f aca="false">IF(OR($A257="",$C257="U",$S257&lt;&gt;Calc!$F$2),"",SUMIFS($I$3:$I$3002,$E$3:$E$3002,$E257,$C$3:$C$3002,"&lt;&gt;U",$S$3:$S$3002,Calc!$F$2))</f>
        <v/>
      </c>
      <c r="P257" s="35" t="str">
        <f aca="false">IF(OR($A257="",$C257="U",$S257&lt;&gt;Calc!$F$2),"",SUMIFS($N$3:$N$3002,$E$3:$E$3002,$E257,$C$3:$C$3002,"&lt;&gt;U",$S$3:$S$3002,Calc!$F$2))</f>
        <v/>
      </c>
      <c r="Q257" s="35" t="str">
        <f aca="false">IF(OR($A257="",$C257="U",$S257&lt;&gt;Calc!$F$2),"",IF(COUNTIFS($E$3:$E257,$E257,$C$3:$C257,"&lt;&gt;U",$S$3:$S257,Calc!$F$2)=1,1,0))</f>
        <v/>
      </c>
      <c r="R257" s="35" t="str">
        <f aca="false">IF($Q257=1,$O257-ROW()/100000,"")</f>
        <v/>
      </c>
      <c r="S257" s="37" t="str">
        <f aca="false">IF($A257="","",INT($A257))</f>
        <v/>
      </c>
      <c r="T257" s="35" t="str">
        <f aca="false">IF($A257="","",IF(COUNTIFS($S$3:$S257,$S257)=1,1,0))</f>
        <v/>
      </c>
      <c r="U257" s="37" t="str">
        <f aca="false">IF($T257=1,$S257,"")</f>
        <v/>
      </c>
    </row>
    <row r="258" customFormat="false" ht="15" hidden="false" customHeight="false" outlineLevel="0" collapsed="false">
      <c r="M258" s="35" t="str">
        <f aca="false">IF($A258="","",HOUR($A258))</f>
        <v/>
      </c>
      <c r="N258" s="36" t="str">
        <f aca="false">IF($A258="","",$I258*$K258)</f>
        <v/>
      </c>
      <c r="O258" s="35" t="str">
        <f aca="false">IF(OR($A258="",$C258="U",$S258&lt;&gt;Calc!$F$2),"",SUMIFS($I$3:$I$3002,$E$3:$E$3002,$E258,$C$3:$C$3002,"&lt;&gt;U",$S$3:$S$3002,Calc!$F$2))</f>
        <v/>
      </c>
      <c r="P258" s="35" t="str">
        <f aca="false">IF(OR($A258="",$C258="U",$S258&lt;&gt;Calc!$F$2),"",SUMIFS($N$3:$N$3002,$E$3:$E$3002,$E258,$C$3:$C$3002,"&lt;&gt;U",$S$3:$S$3002,Calc!$F$2))</f>
        <v/>
      </c>
      <c r="Q258" s="35" t="str">
        <f aca="false">IF(OR($A258="",$C258="U",$S258&lt;&gt;Calc!$F$2),"",IF(COUNTIFS($E$3:$E258,$E258,$C$3:$C258,"&lt;&gt;U",$S$3:$S258,Calc!$F$2)=1,1,0))</f>
        <v/>
      </c>
      <c r="R258" s="35" t="str">
        <f aca="false">IF($Q258=1,$O258-ROW()/100000,"")</f>
        <v/>
      </c>
      <c r="S258" s="37" t="str">
        <f aca="false">IF($A258="","",INT($A258))</f>
        <v/>
      </c>
      <c r="T258" s="35" t="str">
        <f aca="false">IF($A258="","",IF(COUNTIFS($S$3:$S258,$S258)=1,1,0))</f>
        <v/>
      </c>
      <c r="U258" s="37" t="str">
        <f aca="false">IF($T258=1,$S258,"")</f>
        <v/>
      </c>
    </row>
    <row r="259" customFormat="false" ht="15" hidden="false" customHeight="false" outlineLevel="0" collapsed="false">
      <c r="M259" s="35" t="str">
        <f aca="false">IF($A259="","",HOUR($A259))</f>
        <v/>
      </c>
      <c r="N259" s="36" t="str">
        <f aca="false">IF($A259="","",$I259*$K259)</f>
        <v/>
      </c>
      <c r="O259" s="35" t="str">
        <f aca="false">IF(OR($A259="",$C259="U",$S259&lt;&gt;Calc!$F$2),"",SUMIFS($I$3:$I$3002,$E$3:$E$3002,$E259,$C$3:$C$3002,"&lt;&gt;U",$S$3:$S$3002,Calc!$F$2))</f>
        <v/>
      </c>
      <c r="P259" s="35" t="str">
        <f aca="false">IF(OR($A259="",$C259="U",$S259&lt;&gt;Calc!$F$2),"",SUMIFS($N$3:$N$3002,$E$3:$E$3002,$E259,$C$3:$C$3002,"&lt;&gt;U",$S$3:$S$3002,Calc!$F$2))</f>
        <v/>
      </c>
      <c r="Q259" s="35" t="str">
        <f aca="false">IF(OR($A259="",$C259="U",$S259&lt;&gt;Calc!$F$2),"",IF(COUNTIFS($E$3:$E259,$E259,$C$3:$C259,"&lt;&gt;U",$S$3:$S259,Calc!$F$2)=1,1,0))</f>
        <v/>
      </c>
      <c r="R259" s="35" t="str">
        <f aca="false">IF($Q259=1,$O259-ROW()/100000,"")</f>
        <v/>
      </c>
      <c r="S259" s="37" t="str">
        <f aca="false">IF($A259="","",INT($A259))</f>
        <v/>
      </c>
      <c r="T259" s="35" t="str">
        <f aca="false">IF($A259="","",IF(COUNTIFS($S$3:$S259,$S259)=1,1,0))</f>
        <v/>
      </c>
      <c r="U259" s="37" t="str">
        <f aca="false">IF($T259=1,$S259,"")</f>
        <v/>
      </c>
    </row>
    <row r="260" customFormat="false" ht="15" hidden="false" customHeight="false" outlineLevel="0" collapsed="false">
      <c r="M260" s="35" t="str">
        <f aca="false">IF($A260="","",HOUR($A260))</f>
        <v/>
      </c>
      <c r="N260" s="36" t="str">
        <f aca="false">IF($A260="","",$I260*$K260)</f>
        <v/>
      </c>
      <c r="O260" s="35" t="str">
        <f aca="false">IF(OR($A260="",$C260="U",$S260&lt;&gt;Calc!$F$2),"",SUMIFS($I$3:$I$3002,$E$3:$E$3002,$E260,$C$3:$C$3002,"&lt;&gt;U",$S$3:$S$3002,Calc!$F$2))</f>
        <v/>
      </c>
      <c r="P260" s="35" t="str">
        <f aca="false">IF(OR($A260="",$C260="U",$S260&lt;&gt;Calc!$F$2),"",SUMIFS($N$3:$N$3002,$E$3:$E$3002,$E260,$C$3:$C$3002,"&lt;&gt;U",$S$3:$S$3002,Calc!$F$2))</f>
        <v/>
      </c>
      <c r="Q260" s="35" t="str">
        <f aca="false">IF(OR($A260="",$C260="U",$S260&lt;&gt;Calc!$F$2),"",IF(COUNTIFS($E$3:$E260,$E260,$C$3:$C260,"&lt;&gt;U",$S$3:$S260,Calc!$F$2)=1,1,0))</f>
        <v/>
      </c>
      <c r="R260" s="35" t="str">
        <f aca="false">IF($Q260=1,$O260-ROW()/100000,"")</f>
        <v/>
      </c>
      <c r="S260" s="37" t="str">
        <f aca="false">IF($A260="","",INT($A260))</f>
        <v/>
      </c>
      <c r="T260" s="35" t="str">
        <f aca="false">IF($A260="","",IF(COUNTIFS($S$3:$S260,$S260)=1,1,0))</f>
        <v/>
      </c>
      <c r="U260" s="37" t="str">
        <f aca="false">IF($T260=1,$S260,"")</f>
        <v/>
      </c>
    </row>
    <row r="261" customFormat="false" ht="15" hidden="false" customHeight="false" outlineLevel="0" collapsed="false">
      <c r="M261" s="35" t="str">
        <f aca="false">IF($A261="","",HOUR($A261))</f>
        <v/>
      </c>
      <c r="N261" s="36" t="str">
        <f aca="false">IF($A261="","",$I261*$K261)</f>
        <v/>
      </c>
      <c r="O261" s="35" t="str">
        <f aca="false">IF(OR($A261="",$C261="U",$S261&lt;&gt;Calc!$F$2),"",SUMIFS($I$3:$I$3002,$E$3:$E$3002,$E261,$C$3:$C$3002,"&lt;&gt;U",$S$3:$S$3002,Calc!$F$2))</f>
        <v/>
      </c>
      <c r="P261" s="35" t="str">
        <f aca="false">IF(OR($A261="",$C261="U",$S261&lt;&gt;Calc!$F$2),"",SUMIFS($N$3:$N$3002,$E$3:$E$3002,$E261,$C$3:$C$3002,"&lt;&gt;U",$S$3:$S$3002,Calc!$F$2))</f>
        <v/>
      </c>
      <c r="Q261" s="35" t="str">
        <f aca="false">IF(OR($A261="",$C261="U",$S261&lt;&gt;Calc!$F$2),"",IF(COUNTIFS($E$3:$E261,$E261,$C$3:$C261,"&lt;&gt;U",$S$3:$S261,Calc!$F$2)=1,1,0))</f>
        <v/>
      </c>
      <c r="R261" s="35" t="str">
        <f aca="false">IF($Q261=1,$O261-ROW()/100000,"")</f>
        <v/>
      </c>
      <c r="S261" s="37" t="str">
        <f aca="false">IF($A261="","",INT($A261))</f>
        <v/>
      </c>
      <c r="T261" s="35" t="str">
        <f aca="false">IF($A261="","",IF(COUNTIFS($S$3:$S261,$S261)=1,1,0))</f>
        <v/>
      </c>
      <c r="U261" s="37" t="str">
        <f aca="false">IF($T261=1,$S261,"")</f>
        <v/>
      </c>
    </row>
    <row r="262" customFormat="false" ht="15" hidden="false" customHeight="false" outlineLevel="0" collapsed="false">
      <c r="M262" s="35" t="str">
        <f aca="false">IF($A262="","",HOUR($A262))</f>
        <v/>
      </c>
      <c r="N262" s="36" t="str">
        <f aca="false">IF($A262="","",$I262*$K262)</f>
        <v/>
      </c>
      <c r="O262" s="35" t="str">
        <f aca="false">IF(OR($A262="",$C262="U",$S262&lt;&gt;Calc!$F$2),"",SUMIFS($I$3:$I$3002,$E$3:$E$3002,$E262,$C$3:$C$3002,"&lt;&gt;U",$S$3:$S$3002,Calc!$F$2))</f>
        <v/>
      </c>
      <c r="P262" s="35" t="str">
        <f aca="false">IF(OR($A262="",$C262="U",$S262&lt;&gt;Calc!$F$2),"",SUMIFS($N$3:$N$3002,$E$3:$E$3002,$E262,$C$3:$C$3002,"&lt;&gt;U",$S$3:$S$3002,Calc!$F$2))</f>
        <v/>
      </c>
      <c r="Q262" s="35" t="str">
        <f aca="false">IF(OR($A262="",$C262="U",$S262&lt;&gt;Calc!$F$2),"",IF(COUNTIFS($E$3:$E262,$E262,$C$3:$C262,"&lt;&gt;U",$S$3:$S262,Calc!$F$2)=1,1,0))</f>
        <v/>
      </c>
      <c r="R262" s="35" t="str">
        <f aca="false">IF($Q262=1,$O262-ROW()/100000,"")</f>
        <v/>
      </c>
      <c r="S262" s="37" t="str">
        <f aca="false">IF($A262="","",INT($A262))</f>
        <v/>
      </c>
      <c r="T262" s="35" t="str">
        <f aca="false">IF($A262="","",IF(COUNTIFS($S$3:$S262,$S262)=1,1,0))</f>
        <v/>
      </c>
      <c r="U262" s="37" t="str">
        <f aca="false">IF($T262=1,$S262,"")</f>
        <v/>
      </c>
    </row>
    <row r="263" customFormat="false" ht="15" hidden="false" customHeight="false" outlineLevel="0" collapsed="false">
      <c r="M263" s="35" t="str">
        <f aca="false">IF($A263="","",HOUR($A263))</f>
        <v/>
      </c>
      <c r="N263" s="36" t="str">
        <f aca="false">IF($A263="","",$I263*$K263)</f>
        <v/>
      </c>
      <c r="O263" s="35" t="str">
        <f aca="false">IF(OR($A263="",$C263="U",$S263&lt;&gt;Calc!$F$2),"",SUMIFS($I$3:$I$3002,$E$3:$E$3002,$E263,$C$3:$C$3002,"&lt;&gt;U",$S$3:$S$3002,Calc!$F$2))</f>
        <v/>
      </c>
      <c r="P263" s="35" t="str">
        <f aca="false">IF(OR($A263="",$C263="U",$S263&lt;&gt;Calc!$F$2),"",SUMIFS($N$3:$N$3002,$E$3:$E$3002,$E263,$C$3:$C$3002,"&lt;&gt;U",$S$3:$S$3002,Calc!$F$2))</f>
        <v/>
      </c>
      <c r="Q263" s="35" t="str">
        <f aca="false">IF(OR($A263="",$C263="U",$S263&lt;&gt;Calc!$F$2),"",IF(COUNTIFS($E$3:$E263,$E263,$C$3:$C263,"&lt;&gt;U",$S$3:$S263,Calc!$F$2)=1,1,0))</f>
        <v/>
      </c>
      <c r="R263" s="35" t="str">
        <f aca="false">IF($Q263=1,$O263-ROW()/100000,"")</f>
        <v/>
      </c>
      <c r="S263" s="37" t="str">
        <f aca="false">IF($A263="","",INT($A263))</f>
        <v/>
      </c>
      <c r="T263" s="35" t="str">
        <f aca="false">IF($A263="","",IF(COUNTIFS($S$3:$S263,$S263)=1,1,0))</f>
        <v/>
      </c>
      <c r="U263" s="37" t="str">
        <f aca="false">IF($T263=1,$S263,"")</f>
        <v/>
      </c>
    </row>
    <row r="264" customFormat="false" ht="15" hidden="false" customHeight="false" outlineLevel="0" collapsed="false">
      <c r="M264" s="35" t="str">
        <f aca="false">IF($A264="","",HOUR($A264))</f>
        <v/>
      </c>
      <c r="N264" s="36" t="str">
        <f aca="false">IF($A264="","",$I264*$K264)</f>
        <v/>
      </c>
      <c r="O264" s="35" t="str">
        <f aca="false">IF(OR($A264="",$C264="U",$S264&lt;&gt;Calc!$F$2),"",SUMIFS($I$3:$I$3002,$E$3:$E$3002,$E264,$C$3:$C$3002,"&lt;&gt;U",$S$3:$S$3002,Calc!$F$2))</f>
        <v/>
      </c>
      <c r="P264" s="35" t="str">
        <f aca="false">IF(OR($A264="",$C264="U",$S264&lt;&gt;Calc!$F$2),"",SUMIFS($N$3:$N$3002,$E$3:$E$3002,$E264,$C$3:$C$3002,"&lt;&gt;U",$S$3:$S$3002,Calc!$F$2))</f>
        <v/>
      </c>
      <c r="Q264" s="35" t="str">
        <f aca="false">IF(OR($A264="",$C264="U",$S264&lt;&gt;Calc!$F$2),"",IF(COUNTIFS($E$3:$E264,$E264,$C$3:$C264,"&lt;&gt;U",$S$3:$S264,Calc!$F$2)=1,1,0))</f>
        <v/>
      </c>
      <c r="R264" s="35" t="str">
        <f aca="false">IF($Q264=1,$O264-ROW()/100000,"")</f>
        <v/>
      </c>
      <c r="S264" s="37" t="str">
        <f aca="false">IF($A264="","",INT($A264))</f>
        <v/>
      </c>
      <c r="T264" s="35" t="str">
        <f aca="false">IF($A264="","",IF(COUNTIFS($S$3:$S264,$S264)=1,1,0))</f>
        <v/>
      </c>
      <c r="U264" s="37" t="str">
        <f aca="false">IF($T264=1,$S264,"")</f>
        <v/>
      </c>
    </row>
    <row r="265" customFormat="false" ht="15" hidden="false" customHeight="false" outlineLevel="0" collapsed="false">
      <c r="M265" s="35" t="str">
        <f aca="false">IF($A265="","",HOUR($A265))</f>
        <v/>
      </c>
      <c r="N265" s="36" t="str">
        <f aca="false">IF($A265="","",$I265*$K265)</f>
        <v/>
      </c>
      <c r="O265" s="35" t="str">
        <f aca="false">IF(OR($A265="",$C265="U",$S265&lt;&gt;Calc!$F$2),"",SUMIFS($I$3:$I$3002,$E$3:$E$3002,$E265,$C$3:$C$3002,"&lt;&gt;U",$S$3:$S$3002,Calc!$F$2))</f>
        <v/>
      </c>
      <c r="P265" s="35" t="str">
        <f aca="false">IF(OR($A265="",$C265="U",$S265&lt;&gt;Calc!$F$2),"",SUMIFS($N$3:$N$3002,$E$3:$E$3002,$E265,$C$3:$C$3002,"&lt;&gt;U",$S$3:$S$3002,Calc!$F$2))</f>
        <v/>
      </c>
      <c r="Q265" s="35" t="str">
        <f aca="false">IF(OR($A265="",$C265="U",$S265&lt;&gt;Calc!$F$2),"",IF(COUNTIFS($E$3:$E265,$E265,$C$3:$C265,"&lt;&gt;U",$S$3:$S265,Calc!$F$2)=1,1,0))</f>
        <v/>
      </c>
      <c r="R265" s="35" t="str">
        <f aca="false">IF($Q265=1,$O265-ROW()/100000,"")</f>
        <v/>
      </c>
      <c r="S265" s="37" t="str">
        <f aca="false">IF($A265="","",INT($A265))</f>
        <v/>
      </c>
      <c r="T265" s="35" t="str">
        <f aca="false">IF($A265="","",IF(COUNTIFS($S$3:$S265,$S265)=1,1,0))</f>
        <v/>
      </c>
      <c r="U265" s="37" t="str">
        <f aca="false">IF($T265=1,$S265,"")</f>
        <v/>
      </c>
    </row>
    <row r="266" customFormat="false" ht="15" hidden="false" customHeight="false" outlineLevel="0" collapsed="false">
      <c r="M266" s="35" t="str">
        <f aca="false">IF($A266="","",HOUR($A266))</f>
        <v/>
      </c>
      <c r="N266" s="36" t="str">
        <f aca="false">IF($A266="","",$I266*$K266)</f>
        <v/>
      </c>
      <c r="O266" s="35" t="str">
        <f aca="false">IF(OR($A266="",$C266="U",$S266&lt;&gt;Calc!$F$2),"",SUMIFS($I$3:$I$3002,$E$3:$E$3002,$E266,$C$3:$C$3002,"&lt;&gt;U",$S$3:$S$3002,Calc!$F$2))</f>
        <v/>
      </c>
      <c r="P266" s="35" t="str">
        <f aca="false">IF(OR($A266="",$C266="U",$S266&lt;&gt;Calc!$F$2),"",SUMIFS($N$3:$N$3002,$E$3:$E$3002,$E266,$C$3:$C$3002,"&lt;&gt;U",$S$3:$S$3002,Calc!$F$2))</f>
        <v/>
      </c>
      <c r="Q266" s="35" t="str">
        <f aca="false">IF(OR($A266="",$C266="U",$S266&lt;&gt;Calc!$F$2),"",IF(COUNTIFS($E$3:$E266,$E266,$C$3:$C266,"&lt;&gt;U",$S$3:$S266,Calc!$F$2)=1,1,0))</f>
        <v/>
      </c>
      <c r="R266" s="35" t="str">
        <f aca="false">IF($Q266=1,$O266-ROW()/100000,"")</f>
        <v/>
      </c>
      <c r="S266" s="37" t="str">
        <f aca="false">IF($A266="","",INT($A266))</f>
        <v/>
      </c>
      <c r="T266" s="35" t="str">
        <f aca="false">IF($A266="","",IF(COUNTIFS($S$3:$S266,$S266)=1,1,0))</f>
        <v/>
      </c>
      <c r="U266" s="37" t="str">
        <f aca="false">IF($T266=1,$S266,"")</f>
        <v/>
      </c>
    </row>
    <row r="267" customFormat="false" ht="15" hidden="false" customHeight="false" outlineLevel="0" collapsed="false">
      <c r="M267" s="35" t="str">
        <f aca="false">IF($A267="","",HOUR($A267))</f>
        <v/>
      </c>
      <c r="N267" s="36" t="str">
        <f aca="false">IF($A267="","",$I267*$K267)</f>
        <v/>
      </c>
      <c r="O267" s="35" t="str">
        <f aca="false">IF(OR($A267="",$C267="U",$S267&lt;&gt;Calc!$F$2),"",SUMIFS($I$3:$I$3002,$E$3:$E$3002,$E267,$C$3:$C$3002,"&lt;&gt;U",$S$3:$S$3002,Calc!$F$2))</f>
        <v/>
      </c>
      <c r="P267" s="35" t="str">
        <f aca="false">IF(OR($A267="",$C267="U",$S267&lt;&gt;Calc!$F$2),"",SUMIFS($N$3:$N$3002,$E$3:$E$3002,$E267,$C$3:$C$3002,"&lt;&gt;U",$S$3:$S$3002,Calc!$F$2))</f>
        <v/>
      </c>
      <c r="Q267" s="35" t="str">
        <f aca="false">IF(OR($A267="",$C267="U",$S267&lt;&gt;Calc!$F$2),"",IF(COUNTIFS($E$3:$E267,$E267,$C$3:$C267,"&lt;&gt;U",$S$3:$S267,Calc!$F$2)=1,1,0))</f>
        <v/>
      </c>
      <c r="R267" s="35" t="str">
        <f aca="false">IF($Q267=1,$O267-ROW()/100000,"")</f>
        <v/>
      </c>
      <c r="S267" s="37" t="str">
        <f aca="false">IF($A267="","",INT($A267))</f>
        <v/>
      </c>
      <c r="T267" s="35" t="str">
        <f aca="false">IF($A267="","",IF(COUNTIFS($S$3:$S267,$S267)=1,1,0))</f>
        <v/>
      </c>
      <c r="U267" s="37" t="str">
        <f aca="false">IF($T267=1,$S267,"")</f>
        <v/>
      </c>
    </row>
    <row r="268" customFormat="false" ht="15" hidden="false" customHeight="false" outlineLevel="0" collapsed="false">
      <c r="M268" s="35" t="str">
        <f aca="false">IF($A268="","",HOUR($A268))</f>
        <v/>
      </c>
      <c r="N268" s="36" t="str">
        <f aca="false">IF($A268="","",$I268*$K268)</f>
        <v/>
      </c>
      <c r="O268" s="35" t="str">
        <f aca="false">IF(OR($A268="",$C268="U",$S268&lt;&gt;Calc!$F$2),"",SUMIFS($I$3:$I$3002,$E$3:$E$3002,$E268,$C$3:$C$3002,"&lt;&gt;U",$S$3:$S$3002,Calc!$F$2))</f>
        <v/>
      </c>
      <c r="P268" s="35" t="str">
        <f aca="false">IF(OR($A268="",$C268="U",$S268&lt;&gt;Calc!$F$2),"",SUMIFS($N$3:$N$3002,$E$3:$E$3002,$E268,$C$3:$C$3002,"&lt;&gt;U",$S$3:$S$3002,Calc!$F$2))</f>
        <v/>
      </c>
      <c r="Q268" s="35" t="str">
        <f aca="false">IF(OR($A268="",$C268="U",$S268&lt;&gt;Calc!$F$2),"",IF(COUNTIFS($E$3:$E268,$E268,$C$3:$C268,"&lt;&gt;U",$S$3:$S268,Calc!$F$2)=1,1,0))</f>
        <v/>
      </c>
      <c r="R268" s="35" t="str">
        <f aca="false">IF($Q268=1,$O268-ROW()/100000,"")</f>
        <v/>
      </c>
      <c r="S268" s="37" t="str">
        <f aca="false">IF($A268="","",INT($A268))</f>
        <v/>
      </c>
      <c r="T268" s="35" t="str">
        <f aca="false">IF($A268="","",IF(COUNTIFS($S$3:$S268,$S268)=1,1,0))</f>
        <v/>
      </c>
      <c r="U268" s="37" t="str">
        <f aca="false">IF($T268=1,$S268,"")</f>
        <v/>
      </c>
    </row>
    <row r="269" customFormat="false" ht="15" hidden="false" customHeight="false" outlineLevel="0" collapsed="false">
      <c r="M269" s="35" t="str">
        <f aca="false">IF($A269="","",HOUR($A269))</f>
        <v/>
      </c>
      <c r="N269" s="36" t="str">
        <f aca="false">IF($A269="","",$I269*$K269)</f>
        <v/>
      </c>
      <c r="O269" s="35" t="str">
        <f aca="false">IF(OR($A269="",$C269="U",$S269&lt;&gt;Calc!$F$2),"",SUMIFS($I$3:$I$3002,$E$3:$E$3002,$E269,$C$3:$C$3002,"&lt;&gt;U",$S$3:$S$3002,Calc!$F$2))</f>
        <v/>
      </c>
      <c r="P269" s="35" t="str">
        <f aca="false">IF(OR($A269="",$C269="U",$S269&lt;&gt;Calc!$F$2),"",SUMIFS($N$3:$N$3002,$E$3:$E$3002,$E269,$C$3:$C$3002,"&lt;&gt;U",$S$3:$S$3002,Calc!$F$2))</f>
        <v/>
      </c>
      <c r="Q269" s="35" t="str">
        <f aca="false">IF(OR($A269="",$C269="U",$S269&lt;&gt;Calc!$F$2),"",IF(COUNTIFS($E$3:$E269,$E269,$C$3:$C269,"&lt;&gt;U",$S$3:$S269,Calc!$F$2)=1,1,0))</f>
        <v/>
      </c>
      <c r="R269" s="35" t="str">
        <f aca="false">IF($Q269=1,$O269-ROW()/100000,"")</f>
        <v/>
      </c>
      <c r="S269" s="37" t="str">
        <f aca="false">IF($A269="","",INT($A269))</f>
        <v/>
      </c>
      <c r="T269" s="35" t="str">
        <f aca="false">IF($A269="","",IF(COUNTIFS($S$3:$S269,$S269)=1,1,0))</f>
        <v/>
      </c>
      <c r="U269" s="37" t="str">
        <f aca="false">IF($T269=1,$S269,"")</f>
        <v/>
      </c>
    </row>
    <row r="270" customFormat="false" ht="15" hidden="false" customHeight="false" outlineLevel="0" collapsed="false">
      <c r="M270" s="35" t="str">
        <f aca="false">IF($A270="","",HOUR($A270))</f>
        <v/>
      </c>
      <c r="N270" s="36" t="str">
        <f aca="false">IF($A270="","",$I270*$K270)</f>
        <v/>
      </c>
      <c r="O270" s="35" t="str">
        <f aca="false">IF(OR($A270="",$C270="U",$S270&lt;&gt;Calc!$F$2),"",SUMIFS($I$3:$I$3002,$E$3:$E$3002,$E270,$C$3:$C$3002,"&lt;&gt;U",$S$3:$S$3002,Calc!$F$2))</f>
        <v/>
      </c>
      <c r="P270" s="35" t="str">
        <f aca="false">IF(OR($A270="",$C270="U",$S270&lt;&gt;Calc!$F$2),"",SUMIFS($N$3:$N$3002,$E$3:$E$3002,$E270,$C$3:$C$3002,"&lt;&gt;U",$S$3:$S$3002,Calc!$F$2))</f>
        <v/>
      </c>
      <c r="Q270" s="35" t="str">
        <f aca="false">IF(OR($A270="",$C270="U",$S270&lt;&gt;Calc!$F$2),"",IF(COUNTIFS($E$3:$E270,$E270,$C$3:$C270,"&lt;&gt;U",$S$3:$S270,Calc!$F$2)=1,1,0))</f>
        <v/>
      </c>
      <c r="R270" s="35" t="str">
        <f aca="false">IF($Q270=1,$O270-ROW()/100000,"")</f>
        <v/>
      </c>
      <c r="S270" s="37" t="str">
        <f aca="false">IF($A270="","",INT($A270))</f>
        <v/>
      </c>
      <c r="T270" s="35" t="str">
        <f aca="false">IF($A270="","",IF(COUNTIFS($S$3:$S270,$S270)=1,1,0))</f>
        <v/>
      </c>
      <c r="U270" s="37" t="str">
        <f aca="false">IF($T270=1,$S270,"")</f>
        <v/>
      </c>
    </row>
    <row r="271" customFormat="false" ht="15" hidden="false" customHeight="false" outlineLevel="0" collapsed="false">
      <c r="M271" s="35" t="str">
        <f aca="false">IF($A271="","",HOUR($A271))</f>
        <v/>
      </c>
      <c r="N271" s="36" t="str">
        <f aca="false">IF($A271="","",$I271*$K271)</f>
        <v/>
      </c>
      <c r="O271" s="35" t="str">
        <f aca="false">IF(OR($A271="",$C271="U",$S271&lt;&gt;Calc!$F$2),"",SUMIFS($I$3:$I$3002,$E$3:$E$3002,$E271,$C$3:$C$3002,"&lt;&gt;U",$S$3:$S$3002,Calc!$F$2))</f>
        <v/>
      </c>
      <c r="P271" s="35" t="str">
        <f aca="false">IF(OR($A271="",$C271="U",$S271&lt;&gt;Calc!$F$2),"",SUMIFS($N$3:$N$3002,$E$3:$E$3002,$E271,$C$3:$C$3002,"&lt;&gt;U",$S$3:$S$3002,Calc!$F$2))</f>
        <v/>
      </c>
      <c r="Q271" s="35" t="str">
        <f aca="false">IF(OR($A271="",$C271="U",$S271&lt;&gt;Calc!$F$2),"",IF(COUNTIFS($E$3:$E271,$E271,$C$3:$C271,"&lt;&gt;U",$S$3:$S271,Calc!$F$2)=1,1,0))</f>
        <v/>
      </c>
      <c r="R271" s="35" t="str">
        <f aca="false">IF($Q271=1,$O271-ROW()/100000,"")</f>
        <v/>
      </c>
      <c r="S271" s="37" t="str">
        <f aca="false">IF($A271="","",INT($A271))</f>
        <v/>
      </c>
      <c r="T271" s="35" t="str">
        <f aca="false">IF($A271="","",IF(COUNTIFS($S$3:$S271,$S271)=1,1,0))</f>
        <v/>
      </c>
      <c r="U271" s="37" t="str">
        <f aca="false">IF($T271=1,$S271,"")</f>
        <v/>
      </c>
    </row>
    <row r="272" customFormat="false" ht="15" hidden="false" customHeight="false" outlineLevel="0" collapsed="false">
      <c r="M272" s="35" t="str">
        <f aca="false">IF($A272="","",HOUR($A272))</f>
        <v/>
      </c>
      <c r="N272" s="36" t="str">
        <f aca="false">IF($A272="","",$I272*$K272)</f>
        <v/>
      </c>
      <c r="O272" s="35" t="str">
        <f aca="false">IF(OR($A272="",$C272="U",$S272&lt;&gt;Calc!$F$2),"",SUMIFS($I$3:$I$3002,$E$3:$E$3002,$E272,$C$3:$C$3002,"&lt;&gt;U",$S$3:$S$3002,Calc!$F$2))</f>
        <v/>
      </c>
      <c r="P272" s="35" t="str">
        <f aca="false">IF(OR($A272="",$C272="U",$S272&lt;&gt;Calc!$F$2),"",SUMIFS($N$3:$N$3002,$E$3:$E$3002,$E272,$C$3:$C$3002,"&lt;&gt;U",$S$3:$S$3002,Calc!$F$2))</f>
        <v/>
      </c>
      <c r="Q272" s="35" t="str">
        <f aca="false">IF(OR($A272="",$C272="U",$S272&lt;&gt;Calc!$F$2),"",IF(COUNTIFS($E$3:$E272,$E272,$C$3:$C272,"&lt;&gt;U",$S$3:$S272,Calc!$F$2)=1,1,0))</f>
        <v/>
      </c>
      <c r="R272" s="35" t="str">
        <f aca="false">IF($Q272=1,$O272-ROW()/100000,"")</f>
        <v/>
      </c>
      <c r="S272" s="37" t="str">
        <f aca="false">IF($A272="","",INT($A272))</f>
        <v/>
      </c>
      <c r="T272" s="35" t="str">
        <f aca="false">IF($A272="","",IF(COUNTIFS($S$3:$S272,$S272)=1,1,0))</f>
        <v/>
      </c>
      <c r="U272" s="37" t="str">
        <f aca="false">IF($T272=1,$S272,"")</f>
        <v/>
      </c>
    </row>
    <row r="273" customFormat="false" ht="15" hidden="false" customHeight="false" outlineLevel="0" collapsed="false">
      <c r="M273" s="35" t="str">
        <f aca="false">IF($A273="","",HOUR($A273))</f>
        <v/>
      </c>
      <c r="N273" s="36" t="str">
        <f aca="false">IF($A273="","",$I273*$K273)</f>
        <v/>
      </c>
      <c r="O273" s="35" t="str">
        <f aca="false">IF(OR($A273="",$C273="U",$S273&lt;&gt;Calc!$F$2),"",SUMIFS($I$3:$I$3002,$E$3:$E$3002,$E273,$C$3:$C$3002,"&lt;&gt;U",$S$3:$S$3002,Calc!$F$2))</f>
        <v/>
      </c>
      <c r="P273" s="35" t="str">
        <f aca="false">IF(OR($A273="",$C273="U",$S273&lt;&gt;Calc!$F$2),"",SUMIFS($N$3:$N$3002,$E$3:$E$3002,$E273,$C$3:$C$3002,"&lt;&gt;U",$S$3:$S$3002,Calc!$F$2))</f>
        <v/>
      </c>
      <c r="Q273" s="35" t="str">
        <f aca="false">IF(OR($A273="",$C273="U",$S273&lt;&gt;Calc!$F$2),"",IF(COUNTIFS($E$3:$E273,$E273,$C$3:$C273,"&lt;&gt;U",$S$3:$S273,Calc!$F$2)=1,1,0))</f>
        <v/>
      </c>
      <c r="R273" s="35" t="str">
        <f aca="false">IF($Q273=1,$O273-ROW()/100000,"")</f>
        <v/>
      </c>
      <c r="S273" s="37" t="str">
        <f aca="false">IF($A273="","",INT($A273))</f>
        <v/>
      </c>
      <c r="T273" s="35" t="str">
        <f aca="false">IF($A273="","",IF(COUNTIFS($S$3:$S273,$S273)=1,1,0))</f>
        <v/>
      </c>
      <c r="U273" s="37" t="str">
        <f aca="false">IF($T273=1,$S273,"")</f>
        <v/>
      </c>
    </row>
    <row r="274" customFormat="false" ht="15" hidden="false" customHeight="false" outlineLevel="0" collapsed="false">
      <c r="M274" s="35" t="str">
        <f aca="false">IF($A274="","",HOUR($A274))</f>
        <v/>
      </c>
      <c r="N274" s="36" t="str">
        <f aca="false">IF($A274="","",$I274*$K274)</f>
        <v/>
      </c>
      <c r="O274" s="35" t="str">
        <f aca="false">IF(OR($A274="",$C274="U",$S274&lt;&gt;Calc!$F$2),"",SUMIFS($I$3:$I$3002,$E$3:$E$3002,$E274,$C$3:$C$3002,"&lt;&gt;U",$S$3:$S$3002,Calc!$F$2))</f>
        <v/>
      </c>
      <c r="P274" s="35" t="str">
        <f aca="false">IF(OR($A274="",$C274="U",$S274&lt;&gt;Calc!$F$2),"",SUMIFS($N$3:$N$3002,$E$3:$E$3002,$E274,$C$3:$C$3002,"&lt;&gt;U",$S$3:$S$3002,Calc!$F$2))</f>
        <v/>
      </c>
      <c r="Q274" s="35" t="str">
        <f aca="false">IF(OR($A274="",$C274="U",$S274&lt;&gt;Calc!$F$2),"",IF(COUNTIFS($E$3:$E274,$E274,$C$3:$C274,"&lt;&gt;U",$S$3:$S274,Calc!$F$2)=1,1,0))</f>
        <v/>
      </c>
      <c r="R274" s="35" t="str">
        <f aca="false">IF($Q274=1,$O274-ROW()/100000,"")</f>
        <v/>
      </c>
      <c r="S274" s="37" t="str">
        <f aca="false">IF($A274="","",INT($A274))</f>
        <v/>
      </c>
      <c r="T274" s="35" t="str">
        <f aca="false">IF($A274="","",IF(COUNTIFS($S$3:$S274,$S274)=1,1,0))</f>
        <v/>
      </c>
      <c r="U274" s="37" t="str">
        <f aca="false">IF($T274=1,$S274,"")</f>
        <v/>
      </c>
    </row>
    <row r="275" customFormat="false" ht="15" hidden="false" customHeight="false" outlineLevel="0" collapsed="false">
      <c r="M275" s="35" t="str">
        <f aca="false">IF($A275="","",HOUR($A275))</f>
        <v/>
      </c>
      <c r="N275" s="36" t="str">
        <f aca="false">IF($A275="","",$I275*$K275)</f>
        <v/>
      </c>
      <c r="O275" s="35" t="str">
        <f aca="false">IF(OR($A275="",$C275="U",$S275&lt;&gt;Calc!$F$2),"",SUMIFS($I$3:$I$3002,$E$3:$E$3002,$E275,$C$3:$C$3002,"&lt;&gt;U",$S$3:$S$3002,Calc!$F$2))</f>
        <v/>
      </c>
      <c r="P275" s="35" t="str">
        <f aca="false">IF(OR($A275="",$C275="U",$S275&lt;&gt;Calc!$F$2),"",SUMIFS($N$3:$N$3002,$E$3:$E$3002,$E275,$C$3:$C$3002,"&lt;&gt;U",$S$3:$S$3002,Calc!$F$2))</f>
        <v/>
      </c>
      <c r="Q275" s="35" t="str">
        <f aca="false">IF(OR($A275="",$C275="U",$S275&lt;&gt;Calc!$F$2),"",IF(COUNTIFS($E$3:$E275,$E275,$C$3:$C275,"&lt;&gt;U",$S$3:$S275,Calc!$F$2)=1,1,0))</f>
        <v/>
      </c>
      <c r="R275" s="35" t="str">
        <f aca="false">IF($Q275=1,$O275-ROW()/100000,"")</f>
        <v/>
      </c>
      <c r="S275" s="37" t="str">
        <f aca="false">IF($A275="","",INT($A275))</f>
        <v/>
      </c>
      <c r="T275" s="35" t="str">
        <f aca="false">IF($A275="","",IF(COUNTIFS($S$3:$S275,$S275)=1,1,0))</f>
        <v/>
      </c>
      <c r="U275" s="37" t="str">
        <f aca="false">IF($T275=1,$S275,"")</f>
        <v/>
      </c>
    </row>
    <row r="276" customFormat="false" ht="15" hidden="false" customHeight="false" outlineLevel="0" collapsed="false">
      <c r="M276" s="35" t="str">
        <f aca="false">IF($A276="","",HOUR($A276))</f>
        <v/>
      </c>
      <c r="N276" s="36" t="str">
        <f aca="false">IF($A276="","",$I276*$K276)</f>
        <v/>
      </c>
      <c r="O276" s="35" t="str">
        <f aca="false">IF(OR($A276="",$C276="U",$S276&lt;&gt;Calc!$F$2),"",SUMIFS($I$3:$I$3002,$E$3:$E$3002,$E276,$C$3:$C$3002,"&lt;&gt;U",$S$3:$S$3002,Calc!$F$2))</f>
        <v/>
      </c>
      <c r="P276" s="35" t="str">
        <f aca="false">IF(OR($A276="",$C276="U",$S276&lt;&gt;Calc!$F$2),"",SUMIFS($N$3:$N$3002,$E$3:$E$3002,$E276,$C$3:$C$3002,"&lt;&gt;U",$S$3:$S$3002,Calc!$F$2))</f>
        <v/>
      </c>
      <c r="Q276" s="35" t="str">
        <f aca="false">IF(OR($A276="",$C276="U",$S276&lt;&gt;Calc!$F$2),"",IF(COUNTIFS($E$3:$E276,$E276,$C$3:$C276,"&lt;&gt;U",$S$3:$S276,Calc!$F$2)=1,1,0))</f>
        <v/>
      </c>
      <c r="R276" s="35" t="str">
        <f aca="false">IF($Q276=1,$O276-ROW()/100000,"")</f>
        <v/>
      </c>
      <c r="S276" s="37" t="str">
        <f aca="false">IF($A276="","",INT($A276))</f>
        <v/>
      </c>
      <c r="T276" s="35" t="str">
        <f aca="false">IF($A276="","",IF(COUNTIFS($S$3:$S276,$S276)=1,1,0))</f>
        <v/>
      </c>
      <c r="U276" s="37" t="str">
        <f aca="false">IF($T276=1,$S276,"")</f>
        <v/>
      </c>
    </row>
    <row r="277" customFormat="false" ht="15" hidden="false" customHeight="false" outlineLevel="0" collapsed="false">
      <c r="M277" s="35" t="str">
        <f aca="false">IF($A277="","",HOUR($A277))</f>
        <v/>
      </c>
      <c r="N277" s="36" t="str">
        <f aca="false">IF($A277="","",$I277*$K277)</f>
        <v/>
      </c>
      <c r="O277" s="35" t="str">
        <f aca="false">IF(OR($A277="",$C277="U",$S277&lt;&gt;Calc!$F$2),"",SUMIFS($I$3:$I$3002,$E$3:$E$3002,$E277,$C$3:$C$3002,"&lt;&gt;U",$S$3:$S$3002,Calc!$F$2))</f>
        <v/>
      </c>
      <c r="P277" s="35" t="str">
        <f aca="false">IF(OR($A277="",$C277="U",$S277&lt;&gt;Calc!$F$2),"",SUMIFS($N$3:$N$3002,$E$3:$E$3002,$E277,$C$3:$C$3002,"&lt;&gt;U",$S$3:$S$3002,Calc!$F$2))</f>
        <v/>
      </c>
      <c r="Q277" s="35" t="str">
        <f aca="false">IF(OR($A277="",$C277="U",$S277&lt;&gt;Calc!$F$2),"",IF(COUNTIFS($E$3:$E277,$E277,$C$3:$C277,"&lt;&gt;U",$S$3:$S277,Calc!$F$2)=1,1,0))</f>
        <v/>
      </c>
      <c r="R277" s="35" t="str">
        <f aca="false">IF($Q277=1,$O277-ROW()/100000,"")</f>
        <v/>
      </c>
      <c r="S277" s="37" t="str">
        <f aca="false">IF($A277="","",INT($A277))</f>
        <v/>
      </c>
      <c r="T277" s="35" t="str">
        <f aca="false">IF($A277="","",IF(COUNTIFS($S$3:$S277,$S277)=1,1,0))</f>
        <v/>
      </c>
      <c r="U277" s="37" t="str">
        <f aca="false">IF($T277=1,$S277,"")</f>
        <v/>
      </c>
    </row>
    <row r="278" customFormat="false" ht="15" hidden="false" customHeight="false" outlineLevel="0" collapsed="false">
      <c r="M278" s="35" t="str">
        <f aca="false">IF($A278="","",HOUR($A278))</f>
        <v/>
      </c>
      <c r="N278" s="36" t="str">
        <f aca="false">IF($A278="","",$I278*$K278)</f>
        <v/>
      </c>
      <c r="O278" s="35" t="str">
        <f aca="false">IF(OR($A278="",$C278="U",$S278&lt;&gt;Calc!$F$2),"",SUMIFS($I$3:$I$3002,$E$3:$E$3002,$E278,$C$3:$C$3002,"&lt;&gt;U",$S$3:$S$3002,Calc!$F$2))</f>
        <v/>
      </c>
      <c r="P278" s="35" t="str">
        <f aca="false">IF(OR($A278="",$C278="U",$S278&lt;&gt;Calc!$F$2),"",SUMIFS($N$3:$N$3002,$E$3:$E$3002,$E278,$C$3:$C$3002,"&lt;&gt;U",$S$3:$S$3002,Calc!$F$2))</f>
        <v/>
      </c>
      <c r="Q278" s="35" t="str">
        <f aca="false">IF(OR($A278="",$C278="U",$S278&lt;&gt;Calc!$F$2),"",IF(COUNTIFS($E$3:$E278,$E278,$C$3:$C278,"&lt;&gt;U",$S$3:$S278,Calc!$F$2)=1,1,0))</f>
        <v/>
      </c>
      <c r="R278" s="35" t="str">
        <f aca="false">IF($Q278=1,$O278-ROW()/100000,"")</f>
        <v/>
      </c>
      <c r="S278" s="37" t="str">
        <f aca="false">IF($A278="","",INT($A278))</f>
        <v/>
      </c>
      <c r="T278" s="35" t="str">
        <f aca="false">IF($A278="","",IF(COUNTIFS($S$3:$S278,$S278)=1,1,0))</f>
        <v/>
      </c>
      <c r="U278" s="37" t="str">
        <f aca="false">IF($T278=1,$S278,"")</f>
        <v/>
      </c>
    </row>
    <row r="279" customFormat="false" ht="15" hidden="false" customHeight="false" outlineLevel="0" collapsed="false">
      <c r="M279" s="35" t="str">
        <f aca="false">IF($A279="","",HOUR($A279))</f>
        <v/>
      </c>
      <c r="N279" s="36" t="str">
        <f aca="false">IF($A279="","",$I279*$K279)</f>
        <v/>
      </c>
      <c r="O279" s="35" t="str">
        <f aca="false">IF(OR($A279="",$C279="U",$S279&lt;&gt;Calc!$F$2),"",SUMIFS($I$3:$I$3002,$E$3:$E$3002,$E279,$C$3:$C$3002,"&lt;&gt;U",$S$3:$S$3002,Calc!$F$2))</f>
        <v/>
      </c>
      <c r="P279" s="35" t="str">
        <f aca="false">IF(OR($A279="",$C279="U",$S279&lt;&gt;Calc!$F$2),"",SUMIFS($N$3:$N$3002,$E$3:$E$3002,$E279,$C$3:$C$3002,"&lt;&gt;U",$S$3:$S$3002,Calc!$F$2))</f>
        <v/>
      </c>
      <c r="Q279" s="35" t="str">
        <f aca="false">IF(OR($A279="",$C279="U",$S279&lt;&gt;Calc!$F$2),"",IF(COUNTIFS($E$3:$E279,$E279,$C$3:$C279,"&lt;&gt;U",$S$3:$S279,Calc!$F$2)=1,1,0))</f>
        <v/>
      </c>
      <c r="R279" s="35" t="str">
        <f aca="false">IF($Q279=1,$O279-ROW()/100000,"")</f>
        <v/>
      </c>
      <c r="S279" s="37" t="str">
        <f aca="false">IF($A279="","",INT($A279))</f>
        <v/>
      </c>
      <c r="T279" s="35" t="str">
        <f aca="false">IF($A279="","",IF(COUNTIFS($S$3:$S279,$S279)=1,1,0))</f>
        <v/>
      </c>
      <c r="U279" s="37" t="str">
        <f aca="false">IF($T279=1,$S279,"")</f>
        <v/>
      </c>
    </row>
    <row r="280" customFormat="false" ht="15" hidden="false" customHeight="false" outlineLevel="0" collapsed="false">
      <c r="M280" s="35" t="str">
        <f aca="false">IF($A280="","",HOUR($A280))</f>
        <v/>
      </c>
      <c r="N280" s="36" t="str">
        <f aca="false">IF($A280="","",$I280*$K280)</f>
        <v/>
      </c>
      <c r="O280" s="35" t="str">
        <f aca="false">IF(OR($A280="",$C280="U",$S280&lt;&gt;Calc!$F$2),"",SUMIFS($I$3:$I$3002,$E$3:$E$3002,$E280,$C$3:$C$3002,"&lt;&gt;U",$S$3:$S$3002,Calc!$F$2))</f>
        <v/>
      </c>
      <c r="P280" s="35" t="str">
        <f aca="false">IF(OR($A280="",$C280="U",$S280&lt;&gt;Calc!$F$2),"",SUMIFS($N$3:$N$3002,$E$3:$E$3002,$E280,$C$3:$C$3002,"&lt;&gt;U",$S$3:$S$3002,Calc!$F$2))</f>
        <v/>
      </c>
      <c r="Q280" s="35" t="str">
        <f aca="false">IF(OR($A280="",$C280="U",$S280&lt;&gt;Calc!$F$2),"",IF(COUNTIFS($E$3:$E280,$E280,$C$3:$C280,"&lt;&gt;U",$S$3:$S280,Calc!$F$2)=1,1,0))</f>
        <v/>
      </c>
      <c r="R280" s="35" t="str">
        <f aca="false">IF($Q280=1,$O280-ROW()/100000,"")</f>
        <v/>
      </c>
      <c r="S280" s="37" t="str">
        <f aca="false">IF($A280="","",INT($A280))</f>
        <v/>
      </c>
      <c r="T280" s="35" t="str">
        <f aca="false">IF($A280="","",IF(COUNTIFS($S$3:$S280,$S280)=1,1,0))</f>
        <v/>
      </c>
      <c r="U280" s="37" t="str">
        <f aca="false">IF($T280=1,$S280,"")</f>
        <v/>
      </c>
    </row>
    <row r="281" customFormat="false" ht="15" hidden="false" customHeight="false" outlineLevel="0" collapsed="false">
      <c r="M281" s="35" t="str">
        <f aca="false">IF($A281="","",HOUR($A281))</f>
        <v/>
      </c>
      <c r="N281" s="36" t="str">
        <f aca="false">IF($A281="","",$I281*$K281)</f>
        <v/>
      </c>
      <c r="O281" s="35" t="str">
        <f aca="false">IF(OR($A281="",$C281="U",$S281&lt;&gt;Calc!$F$2),"",SUMIFS($I$3:$I$3002,$E$3:$E$3002,$E281,$C$3:$C$3002,"&lt;&gt;U",$S$3:$S$3002,Calc!$F$2))</f>
        <v/>
      </c>
      <c r="P281" s="35" t="str">
        <f aca="false">IF(OR($A281="",$C281="U",$S281&lt;&gt;Calc!$F$2),"",SUMIFS($N$3:$N$3002,$E$3:$E$3002,$E281,$C$3:$C$3002,"&lt;&gt;U",$S$3:$S$3002,Calc!$F$2))</f>
        <v/>
      </c>
      <c r="Q281" s="35" t="str">
        <f aca="false">IF(OR($A281="",$C281="U",$S281&lt;&gt;Calc!$F$2),"",IF(COUNTIFS($E$3:$E281,$E281,$C$3:$C281,"&lt;&gt;U",$S$3:$S281,Calc!$F$2)=1,1,0))</f>
        <v/>
      </c>
      <c r="R281" s="35" t="str">
        <f aca="false">IF($Q281=1,$O281-ROW()/100000,"")</f>
        <v/>
      </c>
      <c r="S281" s="37" t="str">
        <f aca="false">IF($A281="","",INT($A281))</f>
        <v/>
      </c>
      <c r="T281" s="35" t="str">
        <f aca="false">IF($A281="","",IF(COUNTIFS($S$3:$S281,$S281)=1,1,0))</f>
        <v/>
      </c>
      <c r="U281" s="37" t="str">
        <f aca="false">IF($T281=1,$S281,"")</f>
        <v/>
      </c>
    </row>
    <row r="282" customFormat="false" ht="15" hidden="false" customHeight="false" outlineLevel="0" collapsed="false">
      <c r="M282" s="35" t="str">
        <f aca="false">IF($A282="","",HOUR($A282))</f>
        <v/>
      </c>
      <c r="N282" s="36" t="str">
        <f aca="false">IF($A282="","",$I282*$K282)</f>
        <v/>
      </c>
      <c r="O282" s="35" t="str">
        <f aca="false">IF(OR($A282="",$C282="U",$S282&lt;&gt;Calc!$F$2),"",SUMIFS($I$3:$I$3002,$E$3:$E$3002,$E282,$C$3:$C$3002,"&lt;&gt;U",$S$3:$S$3002,Calc!$F$2))</f>
        <v/>
      </c>
      <c r="P282" s="35" t="str">
        <f aca="false">IF(OR($A282="",$C282="U",$S282&lt;&gt;Calc!$F$2),"",SUMIFS($N$3:$N$3002,$E$3:$E$3002,$E282,$C$3:$C$3002,"&lt;&gt;U",$S$3:$S$3002,Calc!$F$2))</f>
        <v/>
      </c>
      <c r="Q282" s="35" t="str">
        <f aca="false">IF(OR($A282="",$C282="U",$S282&lt;&gt;Calc!$F$2),"",IF(COUNTIFS($E$3:$E282,$E282,$C$3:$C282,"&lt;&gt;U",$S$3:$S282,Calc!$F$2)=1,1,0))</f>
        <v/>
      </c>
      <c r="R282" s="35" t="str">
        <f aca="false">IF($Q282=1,$O282-ROW()/100000,"")</f>
        <v/>
      </c>
      <c r="S282" s="37" t="str">
        <f aca="false">IF($A282="","",INT($A282))</f>
        <v/>
      </c>
      <c r="T282" s="35" t="str">
        <f aca="false">IF($A282="","",IF(COUNTIFS($S$3:$S282,$S282)=1,1,0))</f>
        <v/>
      </c>
      <c r="U282" s="37" t="str">
        <f aca="false">IF($T282=1,$S282,"")</f>
        <v/>
      </c>
    </row>
    <row r="283" customFormat="false" ht="15" hidden="false" customHeight="false" outlineLevel="0" collapsed="false">
      <c r="M283" s="35" t="str">
        <f aca="false">IF($A283="","",HOUR($A283))</f>
        <v/>
      </c>
      <c r="N283" s="36" t="str">
        <f aca="false">IF($A283="","",$I283*$K283)</f>
        <v/>
      </c>
      <c r="O283" s="35" t="str">
        <f aca="false">IF(OR($A283="",$C283="U",$S283&lt;&gt;Calc!$F$2),"",SUMIFS($I$3:$I$3002,$E$3:$E$3002,$E283,$C$3:$C$3002,"&lt;&gt;U",$S$3:$S$3002,Calc!$F$2))</f>
        <v/>
      </c>
      <c r="P283" s="35" t="str">
        <f aca="false">IF(OR($A283="",$C283="U",$S283&lt;&gt;Calc!$F$2),"",SUMIFS($N$3:$N$3002,$E$3:$E$3002,$E283,$C$3:$C$3002,"&lt;&gt;U",$S$3:$S$3002,Calc!$F$2))</f>
        <v/>
      </c>
      <c r="Q283" s="35" t="str">
        <f aca="false">IF(OR($A283="",$C283="U",$S283&lt;&gt;Calc!$F$2),"",IF(COUNTIFS($E$3:$E283,$E283,$C$3:$C283,"&lt;&gt;U",$S$3:$S283,Calc!$F$2)=1,1,0))</f>
        <v/>
      </c>
      <c r="R283" s="35" t="str">
        <f aca="false">IF($Q283=1,$O283-ROW()/100000,"")</f>
        <v/>
      </c>
      <c r="S283" s="37" t="str">
        <f aca="false">IF($A283="","",INT($A283))</f>
        <v/>
      </c>
      <c r="T283" s="35" t="str">
        <f aca="false">IF($A283="","",IF(COUNTIFS($S$3:$S283,$S283)=1,1,0))</f>
        <v/>
      </c>
      <c r="U283" s="37" t="str">
        <f aca="false">IF($T283=1,$S283,"")</f>
        <v/>
      </c>
    </row>
    <row r="284" customFormat="false" ht="15" hidden="false" customHeight="false" outlineLevel="0" collapsed="false">
      <c r="M284" s="35" t="str">
        <f aca="false">IF($A284="","",HOUR($A284))</f>
        <v/>
      </c>
      <c r="N284" s="36" t="str">
        <f aca="false">IF($A284="","",$I284*$K284)</f>
        <v/>
      </c>
      <c r="O284" s="35" t="str">
        <f aca="false">IF(OR($A284="",$C284="U",$S284&lt;&gt;Calc!$F$2),"",SUMIFS($I$3:$I$3002,$E$3:$E$3002,$E284,$C$3:$C$3002,"&lt;&gt;U",$S$3:$S$3002,Calc!$F$2))</f>
        <v/>
      </c>
      <c r="P284" s="35" t="str">
        <f aca="false">IF(OR($A284="",$C284="U",$S284&lt;&gt;Calc!$F$2),"",SUMIFS($N$3:$N$3002,$E$3:$E$3002,$E284,$C$3:$C$3002,"&lt;&gt;U",$S$3:$S$3002,Calc!$F$2))</f>
        <v/>
      </c>
      <c r="Q284" s="35" t="str">
        <f aca="false">IF(OR($A284="",$C284="U",$S284&lt;&gt;Calc!$F$2),"",IF(COUNTIFS($E$3:$E284,$E284,$C$3:$C284,"&lt;&gt;U",$S$3:$S284,Calc!$F$2)=1,1,0))</f>
        <v/>
      </c>
      <c r="R284" s="35" t="str">
        <f aca="false">IF($Q284=1,$O284-ROW()/100000,"")</f>
        <v/>
      </c>
      <c r="S284" s="37" t="str">
        <f aca="false">IF($A284="","",INT($A284))</f>
        <v/>
      </c>
      <c r="T284" s="35" t="str">
        <f aca="false">IF($A284="","",IF(COUNTIFS($S$3:$S284,$S284)=1,1,0))</f>
        <v/>
      </c>
      <c r="U284" s="37" t="str">
        <f aca="false">IF($T284=1,$S284,"")</f>
        <v/>
      </c>
    </row>
    <row r="285" customFormat="false" ht="15" hidden="false" customHeight="false" outlineLevel="0" collapsed="false">
      <c r="M285" s="35" t="str">
        <f aca="false">IF($A285="","",HOUR($A285))</f>
        <v/>
      </c>
      <c r="N285" s="36" t="str">
        <f aca="false">IF($A285="","",$I285*$K285)</f>
        <v/>
      </c>
      <c r="O285" s="35" t="str">
        <f aca="false">IF(OR($A285="",$C285="U",$S285&lt;&gt;Calc!$F$2),"",SUMIFS($I$3:$I$3002,$E$3:$E$3002,$E285,$C$3:$C$3002,"&lt;&gt;U",$S$3:$S$3002,Calc!$F$2))</f>
        <v/>
      </c>
      <c r="P285" s="35" t="str">
        <f aca="false">IF(OR($A285="",$C285="U",$S285&lt;&gt;Calc!$F$2),"",SUMIFS($N$3:$N$3002,$E$3:$E$3002,$E285,$C$3:$C$3002,"&lt;&gt;U",$S$3:$S$3002,Calc!$F$2))</f>
        <v/>
      </c>
      <c r="Q285" s="35" t="str">
        <f aca="false">IF(OR($A285="",$C285="U",$S285&lt;&gt;Calc!$F$2),"",IF(COUNTIFS($E$3:$E285,$E285,$C$3:$C285,"&lt;&gt;U",$S$3:$S285,Calc!$F$2)=1,1,0))</f>
        <v/>
      </c>
      <c r="R285" s="35" t="str">
        <f aca="false">IF($Q285=1,$O285-ROW()/100000,"")</f>
        <v/>
      </c>
      <c r="S285" s="37" t="str">
        <f aca="false">IF($A285="","",INT($A285))</f>
        <v/>
      </c>
      <c r="T285" s="35" t="str">
        <f aca="false">IF($A285="","",IF(COUNTIFS($S$3:$S285,$S285)=1,1,0))</f>
        <v/>
      </c>
      <c r="U285" s="37" t="str">
        <f aca="false">IF($T285=1,$S285,"")</f>
        <v/>
      </c>
    </row>
    <row r="286" customFormat="false" ht="15" hidden="false" customHeight="false" outlineLevel="0" collapsed="false">
      <c r="M286" s="35" t="str">
        <f aca="false">IF($A286="","",HOUR($A286))</f>
        <v/>
      </c>
      <c r="N286" s="36" t="str">
        <f aca="false">IF($A286="","",$I286*$K286)</f>
        <v/>
      </c>
      <c r="O286" s="35" t="str">
        <f aca="false">IF(OR($A286="",$C286="U",$S286&lt;&gt;Calc!$F$2),"",SUMIFS($I$3:$I$3002,$E$3:$E$3002,$E286,$C$3:$C$3002,"&lt;&gt;U",$S$3:$S$3002,Calc!$F$2))</f>
        <v/>
      </c>
      <c r="P286" s="35" t="str">
        <f aca="false">IF(OR($A286="",$C286="U",$S286&lt;&gt;Calc!$F$2),"",SUMIFS($N$3:$N$3002,$E$3:$E$3002,$E286,$C$3:$C$3002,"&lt;&gt;U",$S$3:$S$3002,Calc!$F$2))</f>
        <v/>
      </c>
      <c r="Q286" s="35" t="str">
        <f aca="false">IF(OR($A286="",$C286="U",$S286&lt;&gt;Calc!$F$2),"",IF(COUNTIFS($E$3:$E286,$E286,$C$3:$C286,"&lt;&gt;U",$S$3:$S286,Calc!$F$2)=1,1,0))</f>
        <v/>
      </c>
      <c r="R286" s="35" t="str">
        <f aca="false">IF($Q286=1,$O286-ROW()/100000,"")</f>
        <v/>
      </c>
      <c r="S286" s="37" t="str">
        <f aca="false">IF($A286="","",INT($A286))</f>
        <v/>
      </c>
      <c r="T286" s="35" t="str">
        <f aca="false">IF($A286="","",IF(COUNTIFS($S$3:$S286,$S286)=1,1,0))</f>
        <v/>
      </c>
      <c r="U286" s="37" t="str">
        <f aca="false">IF($T286=1,$S286,"")</f>
        <v/>
      </c>
    </row>
    <row r="287" customFormat="false" ht="15" hidden="false" customHeight="false" outlineLevel="0" collapsed="false">
      <c r="M287" s="35" t="str">
        <f aca="false">IF($A287="","",HOUR($A287))</f>
        <v/>
      </c>
      <c r="N287" s="36" t="str">
        <f aca="false">IF($A287="","",$I287*$K287)</f>
        <v/>
      </c>
      <c r="O287" s="35" t="str">
        <f aca="false">IF(OR($A287="",$C287="U",$S287&lt;&gt;Calc!$F$2),"",SUMIFS($I$3:$I$3002,$E$3:$E$3002,$E287,$C$3:$C$3002,"&lt;&gt;U",$S$3:$S$3002,Calc!$F$2))</f>
        <v/>
      </c>
      <c r="P287" s="35" t="str">
        <f aca="false">IF(OR($A287="",$C287="U",$S287&lt;&gt;Calc!$F$2),"",SUMIFS($N$3:$N$3002,$E$3:$E$3002,$E287,$C$3:$C$3002,"&lt;&gt;U",$S$3:$S$3002,Calc!$F$2))</f>
        <v/>
      </c>
      <c r="Q287" s="35" t="str">
        <f aca="false">IF(OR($A287="",$C287="U",$S287&lt;&gt;Calc!$F$2),"",IF(COUNTIFS($E$3:$E287,$E287,$C$3:$C287,"&lt;&gt;U",$S$3:$S287,Calc!$F$2)=1,1,0))</f>
        <v/>
      </c>
      <c r="R287" s="35" t="str">
        <f aca="false">IF($Q287=1,$O287-ROW()/100000,"")</f>
        <v/>
      </c>
      <c r="S287" s="37" t="str">
        <f aca="false">IF($A287="","",INT($A287))</f>
        <v/>
      </c>
      <c r="T287" s="35" t="str">
        <f aca="false">IF($A287="","",IF(COUNTIFS($S$3:$S287,$S287)=1,1,0))</f>
        <v/>
      </c>
      <c r="U287" s="37" t="str">
        <f aca="false">IF($T287=1,$S287,"")</f>
        <v/>
      </c>
    </row>
    <row r="288" customFormat="false" ht="15" hidden="false" customHeight="false" outlineLevel="0" collapsed="false">
      <c r="M288" s="35" t="str">
        <f aca="false">IF($A288="","",HOUR($A288))</f>
        <v/>
      </c>
      <c r="N288" s="36" t="str">
        <f aca="false">IF($A288="","",$I288*$K288)</f>
        <v/>
      </c>
      <c r="O288" s="35" t="str">
        <f aca="false">IF(OR($A288="",$C288="U",$S288&lt;&gt;Calc!$F$2),"",SUMIFS($I$3:$I$3002,$E$3:$E$3002,$E288,$C$3:$C$3002,"&lt;&gt;U",$S$3:$S$3002,Calc!$F$2))</f>
        <v/>
      </c>
      <c r="P288" s="35" t="str">
        <f aca="false">IF(OR($A288="",$C288="U",$S288&lt;&gt;Calc!$F$2),"",SUMIFS($N$3:$N$3002,$E$3:$E$3002,$E288,$C$3:$C$3002,"&lt;&gt;U",$S$3:$S$3002,Calc!$F$2))</f>
        <v/>
      </c>
      <c r="Q288" s="35" t="str">
        <f aca="false">IF(OR($A288="",$C288="U",$S288&lt;&gt;Calc!$F$2),"",IF(COUNTIFS($E$3:$E288,$E288,$C$3:$C288,"&lt;&gt;U",$S$3:$S288,Calc!$F$2)=1,1,0))</f>
        <v/>
      </c>
      <c r="R288" s="35" t="str">
        <f aca="false">IF($Q288=1,$O288-ROW()/100000,"")</f>
        <v/>
      </c>
      <c r="S288" s="37" t="str">
        <f aca="false">IF($A288="","",INT($A288))</f>
        <v/>
      </c>
      <c r="T288" s="35" t="str">
        <f aca="false">IF($A288="","",IF(COUNTIFS($S$3:$S288,$S288)=1,1,0))</f>
        <v/>
      </c>
      <c r="U288" s="37" t="str">
        <f aca="false">IF($T288=1,$S288,"")</f>
        <v/>
      </c>
    </row>
    <row r="289" customFormat="false" ht="15" hidden="false" customHeight="false" outlineLevel="0" collapsed="false">
      <c r="M289" s="35" t="str">
        <f aca="false">IF($A289="","",HOUR($A289))</f>
        <v/>
      </c>
      <c r="N289" s="36" t="str">
        <f aca="false">IF($A289="","",$I289*$K289)</f>
        <v/>
      </c>
      <c r="O289" s="35" t="str">
        <f aca="false">IF(OR($A289="",$C289="U",$S289&lt;&gt;Calc!$F$2),"",SUMIFS($I$3:$I$3002,$E$3:$E$3002,$E289,$C$3:$C$3002,"&lt;&gt;U",$S$3:$S$3002,Calc!$F$2))</f>
        <v/>
      </c>
      <c r="P289" s="35" t="str">
        <f aca="false">IF(OR($A289="",$C289="U",$S289&lt;&gt;Calc!$F$2),"",SUMIFS($N$3:$N$3002,$E$3:$E$3002,$E289,$C$3:$C$3002,"&lt;&gt;U",$S$3:$S$3002,Calc!$F$2))</f>
        <v/>
      </c>
      <c r="Q289" s="35" t="str">
        <f aca="false">IF(OR($A289="",$C289="U",$S289&lt;&gt;Calc!$F$2),"",IF(COUNTIFS($E$3:$E289,$E289,$C$3:$C289,"&lt;&gt;U",$S$3:$S289,Calc!$F$2)=1,1,0))</f>
        <v/>
      </c>
      <c r="R289" s="35" t="str">
        <f aca="false">IF($Q289=1,$O289-ROW()/100000,"")</f>
        <v/>
      </c>
      <c r="S289" s="37" t="str">
        <f aca="false">IF($A289="","",INT($A289))</f>
        <v/>
      </c>
      <c r="T289" s="35" t="str">
        <f aca="false">IF($A289="","",IF(COUNTIFS($S$3:$S289,$S289)=1,1,0))</f>
        <v/>
      </c>
      <c r="U289" s="37" t="str">
        <f aca="false">IF($T289=1,$S289,"")</f>
        <v/>
      </c>
    </row>
    <row r="290" customFormat="false" ht="15" hidden="false" customHeight="false" outlineLevel="0" collapsed="false">
      <c r="M290" s="35" t="str">
        <f aca="false">IF($A290="","",HOUR($A290))</f>
        <v/>
      </c>
      <c r="N290" s="36" t="str">
        <f aca="false">IF($A290="","",$I290*$K290)</f>
        <v/>
      </c>
      <c r="O290" s="35" t="str">
        <f aca="false">IF(OR($A290="",$C290="U",$S290&lt;&gt;Calc!$F$2),"",SUMIFS($I$3:$I$3002,$E$3:$E$3002,$E290,$C$3:$C$3002,"&lt;&gt;U",$S$3:$S$3002,Calc!$F$2))</f>
        <v/>
      </c>
      <c r="P290" s="35" t="str">
        <f aca="false">IF(OR($A290="",$C290="U",$S290&lt;&gt;Calc!$F$2),"",SUMIFS($N$3:$N$3002,$E$3:$E$3002,$E290,$C$3:$C$3002,"&lt;&gt;U",$S$3:$S$3002,Calc!$F$2))</f>
        <v/>
      </c>
      <c r="Q290" s="35" t="str">
        <f aca="false">IF(OR($A290="",$C290="U",$S290&lt;&gt;Calc!$F$2),"",IF(COUNTIFS($E$3:$E290,$E290,$C$3:$C290,"&lt;&gt;U",$S$3:$S290,Calc!$F$2)=1,1,0))</f>
        <v/>
      </c>
      <c r="R290" s="35" t="str">
        <f aca="false">IF($Q290=1,$O290-ROW()/100000,"")</f>
        <v/>
      </c>
      <c r="S290" s="37" t="str">
        <f aca="false">IF($A290="","",INT($A290))</f>
        <v/>
      </c>
      <c r="T290" s="35" t="str">
        <f aca="false">IF($A290="","",IF(COUNTIFS($S$3:$S290,$S290)=1,1,0))</f>
        <v/>
      </c>
      <c r="U290" s="37" t="str">
        <f aca="false">IF($T290=1,$S290,"")</f>
        <v/>
      </c>
    </row>
    <row r="291" customFormat="false" ht="15" hidden="false" customHeight="false" outlineLevel="0" collapsed="false">
      <c r="M291" s="35" t="str">
        <f aca="false">IF($A291="","",HOUR($A291))</f>
        <v/>
      </c>
      <c r="N291" s="36" t="str">
        <f aca="false">IF($A291="","",$I291*$K291)</f>
        <v/>
      </c>
      <c r="O291" s="35" t="str">
        <f aca="false">IF(OR($A291="",$C291="U",$S291&lt;&gt;Calc!$F$2),"",SUMIFS($I$3:$I$3002,$E$3:$E$3002,$E291,$C$3:$C$3002,"&lt;&gt;U",$S$3:$S$3002,Calc!$F$2))</f>
        <v/>
      </c>
      <c r="P291" s="35" t="str">
        <f aca="false">IF(OR($A291="",$C291="U",$S291&lt;&gt;Calc!$F$2),"",SUMIFS($N$3:$N$3002,$E$3:$E$3002,$E291,$C$3:$C$3002,"&lt;&gt;U",$S$3:$S$3002,Calc!$F$2))</f>
        <v/>
      </c>
      <c r="Q291" s="35" t="str">
        <f aca="false">IF(OR($A291="",$C291="U",$S291&lt;&gt;Calc!$F$2),"",IF(COUNTIFS($E$3:$E291,$E291,$C$3:$C291,"&lt;&gt;U",$S$3:$S291,Calc!$F$2)=1,1,0))</f>
        <v/>
      </c>
      <c r="R291" s="35" t="str">
        <f aca="false">IF($Q291=1,$O291-ROW()/100000,"")</f>
        <v/>
      </c>
      <c r="S291" s="37" t="str">
        <f aca="false">IF($A291="","",INT($A291))</f>
        <v/>
      </c>
      <c r="T291" s="35" t="str">
        <f aca="false">IF($A291="","",IF(COUNTIFS($S$3:$S291,$S291)=1,1,0))</f>
        <v/>
      </c>
      <c r="U291" s="37" t="str">
        <f aca="false">IF($T291=1,$S291,"")</f>
        <v/>
      </c>
    </row>
    <row r="292" customFormat="false" ht="15" hidden="false" customHeight="false" outlineLevel="0" collapsed="false">
      <c r="M292" s="35" t="str">
        <f aca="false">IF($A292="","",HOUR($A292))</f>
        <v/>
      </c>
      <c r="N292" s="36" t="str">
        <f aca="false">IF($A292="","",$I292*$K292)</f>
        <v/>
      </c>
      <c r="O292" s="35" t="str">
        <f aca="false">IF(OR($A292="",$C292="U",$S292&lt;&gt;Calc!$F$2),"",SUMIFS($I$3:$I$3002,$E$3:$E$3002,$E292,$C$3:$C$3002,"&lt;&gt;U",$S$3:$S$3002,Calc!$F$2))</f>
        <v/>
      </c>
      <c r="P292" s="35" t="str">
        <f aca="false">IF(OR($A292="",$C292="U",$S292&lt;&gt;Calc!$F$2),"",SUMIFS($N$3:$N$3002,$E$3:$E$3002,$E292,$C$3:$C$3002,"&lt;&gt;U",$S$3:$S$3002,Calc!$F$2))</f>
        <v/>
      </c>
      <c r="Q292" s="35" t="str">
        <f aca="false">IF(OR($A292="",$C292="U",$S292&lt;&gt;Calc!$F$2),"",IF(COUNTIFS($E$3:$E292,$E292,$C$3:$C292,"&lt;&gt;U",$S$3:$S292,Calc!$F$2)=1,1,0))</f>
        <v/>
      </c>
      <c r="R292" s="35" t="str">
        <f aca="false">IF($Q292=1,$O292-ROW()/100000,"")</f>
        <v/>
      </c>
      <c r="S292" s="37" t="str">
        <f aca="false">IF($A292="","",INT($A292))</f>
        <v/>
      </c>
      <c r="T292" s="35" t="str">
        <f aca="false">IF($A292="","",IF(COUNTIFS($S$3:$S292,$S292)=1,1,0))</f>
        <v/>
      </c>
      <c r="U292" s="37" t="str">
        <f aca="false">IF($T292=1,$S292,"")</f>
        <v/>
      </c>
    </row>
    <row r="293" customFormat="false" ht="15" hidden="false" customHeight="false" outlineLevel="0" collapsed="false">
      <c r="M293" s="35" t="str">
        <f aca="false">IF($A293="","",HOUR($A293))</f>
        <v/>
      </c>
      <c r="N293" s="36" t="str">
        <f aca="false">IF($A293="","",$I293*$K293)</f>
        <v/>
      </c>
      <c r="O293" s="35" t="str">
        <f aca="false">IF(OR($A293="",$C293="U",$S293&lt;&gt;Calc!$F$2),"",SUMIFS($I$3:$I$3002,$E$3:$E$3002,$E293,$C$3:$C$3002,"&lt;&gt;U",$S$3:$S$3002,Calc!$F$2))</f>
        <v/>
      </c>
      <c r="P293" s="35" t="str">
        <f aca="false">IF(OR($A293="",$C293="U",$S293&lt;&gt;Calc!$F$2),"",SUMIFS($N$3:$N$3002,$E$3:$E$3002,$E293,$C$3:$C$3002,"&lt;&gt;U",$S$3:$S$3002,Calc!$F$2))</f>
        <v/>
      </c>
      <c r="Q293" s="35" t="str">
        <f aca="false">IF(OR($A293="",$C293="U",$S293&lt;&gt;Calc!$F$2),"",IF(COUNTIFS($E$3:$E293,$E293,$C$3:$C293,"&lt;&gt;U",$S$3:$S293,Calc!$F$2)=1,1,0))</f>
        <v/>
      </c>
      <c r="R293" s="35" t="str">
        <f aca="false">IF($Q293=1,$O293-ROW()/100000,"")</f>
        <v/>
      </c>
      <c r="S293" s="37" t="str">
        <f aca="false">IF($A293="","",INT($A293))</f>
        <v/>
      </c>
      <c r="T293" s="35" t="str">
        <f aca="false">IF($A293="","",IF(COUNTIFS($S$3:$S293,$S293)=1,1,0))</f>
        <v/>
      </c>
      <c r="U293" s="37" t="str">
        <f aca="false">IF($T293=1,$S293,"")</f>
        <v/>
      </c>
    </row>
    <row r="294" customFormat="false" ht="15" hidden="false" customHeight="false" outlineLevel="0" collapsed="false">
      <c r="M294" s="35" t="str">
        <f aca="false">IF($A294="","",HOUR($A294))</f>
        <v/>
      </c>
      <c r="N294" s="36" t="str">
        <f aca="false">IF($A294="","",$I294*$K294)</f>
        <v/>
      </c>
      <c r="O294" s="35" t="str">
        <f aca="false">IF(OR($A294="",$C294="U",$S294&lt;&gt;Calc!$F$2),"",SUMIFS($I$3:$I$3002,$E$3:$E$3002,$E294,$C$3:$C$3002,"&lt;&gt;U",$S$3:$S$3002,Calc!$F$2))</f>
        <v/>
      </c>
      <c r="P294" s="35" t="str">
        <f aca="false">IF(OR($A294="",$C294="U",$S294&lt;&gt;Calc!$F$2),"",SUMIFS($N$3:$N$3002,$E$3:$E$3002,$E294,$C$3:$C$3002,"&lt;&gt;U",$S$3:$S$3002,Calc!$F$2))</f>
        <v/>
      </c>
      <c r="Q294" s="35" t="str">
        <f aca="false">IF(OR($A294="",$C294="U",$S294&lt;&gt;Calc!$F$2),"",IF(COUNTIFS($E$3:$E294,$E294,$C$3:$C294,"&lt;&gt;U",$S$3:$S294,Calc!$F$2)=1,1,0))</f>
        <v/>
      </c>
      <c r="R294" s="35" t="str">
        <f aca="false">IF($Q294=1,$O294-ROW()/100000,"")</f>
        <v/>
      </c>
      <c r="S294" s="37" t="str">
        <f aca="false">IF($A294="","",INT($A294))</f>
        <v/>
      </c>
      <c r="T294" s="35" t="str">
        <f aca="false">IF($A294="","",IF(COUNTIFS($S$3:$S294,$S294)=1,1,0))</f>
        <v/>
      </c>
      <c r="U294" s="37" t="str">
        <f aca="false">IF($T294=1,$S294,"")</f>
        <v/>
      </c>
    </row>
    <row r="295" customFormat="false" ht="15" hidden="false" customHeight="false" outlineLevel="0" collapsed="false">
      <c r="M295" s="35" t="str">
        <f aca="false">IF($A295="","",HOUR($A295))</f>
        <v/>
      </c>
      <c r="N295" s="36" t="str">
        <f aca="false">IF($A295="","",$I295*$K295)</f>
        <v/>
      </c>
      <c r="O295" s="35" t="str">
        <f aca="false">IF(OR($A295="",$C295="U",$S295&lt;&gt;Calc!$F$2),"",SUMIFS($I$3:$I$3002,$E$3:$E$3002,$E295,$C$3:$C$3002,"&lt;&gt;U",$S$3:$S$3002,Calc!$F$2))</f>
        <v/>
      </c>
      <c r="P295" s="35" t="str">
        <f aca="false">IF(OR($A295="",$C295="U",$S295&lt;&gt;Calc!$F$2),"",SUMIFS($N$3:$N$3002,$E$3:$E$3002,$E295,$C$3:$C$3002,"&lt;&gt;U",$S$3:$S$3002,Calc!$F$2))</f>
        <v/>
      </c>
      <c r="Q295" s="35" t="str">
        <f aca="false">IF(OR($A295="",$C295="U",$S295&lt;&gt;Calc!$F$2),"",IF(COUNTIFS($E$3:$E295,$E295,$C$3:$C295,"&lt;&gt;U",$S$3:$S295,Calc!$F$2)=1,1,0))</f>
        <v/>
      </c>
      <c r="R295" s="35" t="str">
        <f aca="false">IF($Q295=1,$O295-ROW()/100000,"")</f>
        <v/>
      </c>
      <c r="S295" s="37" t="str">
        <f aca="false">IF($A295="","",INT($A295))</f>
        <v/>
      </c>
      <c r="T295" s="35" t="str">
        <f aca="false">IF($A295="","",IF(COUNTIFS($S$3:$S295,$S295)=1,1,0))</f>
        <v/>
      </c>
      <c r="U295" s="37" t="str">
        <f aca="false">IF($T295=1,$S295,"")</f>
        <v/>
      </c>
    </row>
    <row r="296" customFormat="false" ht="15" hidden="false" customHeight="false" outlineLevel="0" collapsed="false">
      <c r="M296" s="35" t="str">
        <f aca="false">IF($A296="","",HOUR($A296))</f>
        <v/>
      </c>
      <c r="N296" s="36" t="str">
        <f aca="false">IF($A296="","",$I296*$K296)</f>
        <v/>
      </c>
      <c r="O296" s="35" t="str">
        <f aca="false">IF(OR($A296="",$C296="U",$S296&lt;&gt;Calc!$F$2),"",SUMIFS($I$3:$I$3002,$E$3:$E$3002,$E296,$C$3:$C$3002,"&lt;&gt;U",$S$3:$S$3002,Calc!$F$2))</f>
        <v/>
      </c>
      <c r="P296" s="35" t="str">
        <f aca="false">IF(OR($A296="",$C296="U",$S296&lt;&gt;Calc!$F$2),"",SUMIFS($N$3:$N$3002,$E$3:$E$3002,$E296,$C$3:$C$3002,"&lt;&gt;U",$S$3:$S$3002,Calc!$F$2))</f>
        <v/>
      </c>
      <c r="Q296" s="35" t="str">
        <f aca="false">IF(OR($A296="",$C296="U",$S296&lt;&gt;Calc!$F$2),"",IF(COUNTIFS($E$3:$E296,$E296,$C$3:$C296,"&lt;&gt;U",$S$3:$S296,Calc!$F$2)=1,1,0))</f>
        <v/>
      </c>
      <c r="R296" s="35" t="str">
        <f aca="false">IF($Q296=1,$O296-ROW()/100000,"")</f>
        <v/>
      </c>
      <c r="S296" s="37" t="str">
        <f aca="false">IF($A296="","",INT($A296))</f>
        <v/>
      </c>
      <c r="T296" s="35" t="str">
        <f aca="false">IF($A296="","",IF(COUNTIFS($S$3:$S296,$S296)=1,1,0))</f>
        <v/>
      </c>
      <c r="U296" s="37" t="str">
        <f aca="false">IF($T296=1,$S296,"")</f>
        <v/>
      </c>
    </row>
    <row r="297" customFormat="false" ht="15" hidden="false" customHeight="false" outlineLevel="0" collapsed="false">
      <c r="M297" s="35" t="str">
        <f aca="false">IF($A297="","",HOUR($A297))</f>
        <v/>
      </c>
      <c r="N297" s="36" t="str">
        <f aca="false">IF($A297="","",$I297*$K297)</f>
        <v/>
      </c>
      <c r="O297" s="35" t="str">
        <f aca="false">IF(OR($A297="",$C297="U",$S297&lt;&gt;Calc!$F$2),"",SUMIFS($I$3:$I$3002,$E$3:$E$3002,$E297,$C$3:$C$3002,"&lt;&gt;U",$S$3:$S$3002,Calc!$F$2))</f>
        <v/>
      </c>
      <c r="P297" s="35" t="str">
        <f aca="false">IF(OR($A297="",$C297="U",$S297&lt;&gt;Calc!$F$2),"",SUMIFS($N$3:$N$3002,$E$3:$E$3002,$E297,$C$3:$C$3002,"&lt;&gt;U",$S$3:$S$3002,Calc!$F$2))</f>
        <v/>
      </c>
      <c r="Q297" s="35" t="str">
        <f aca="false">IF(OR($A297="",$C297="U",$S297&lt;&gt;Calc!$F$2),"",IF(COUNTIFS($E$3:$E297,$E297,$C$3:$C297,"&lt;&gt;U",$S$3:$S297,Calc!$F$2)=1,1,0))</f>
        <v/>
      </c>
      <c r="R297" s="35" t="str">
        <f aca="false">IF($Q297=1,$O297-ROW()/100000,"")</f>
        <v/>
      </c>
      <c r="S297" s="37" t="str">
        <f aca="false">IF($A297="","",INT($A297))</f>
        <v/>
      </c>
      <c r="T297" s="35" t="str">
        <f aca="false">IF($A297="","",IF(COUNTIFS($S$3:$S297,$S297)=1,1,0))</f>
        <v/>
      </c>
      <c r="U297" s="37" t="str">
        <f aca="false">IF($T297=1,$S297,"")</f>
        <v/>
      </c>
    </row>
    <row r="298" customFormat="false" ht="15" hidden="false" customHeight="false" outlineLevel="0" collapsed="false">
      <c r="M298" s="35" t="str">
        <f aca="false">IF($A298="","",HOUR($A298))</f>
        <v/>
      </c>
      <c r="N298" s="36" t="str">
        <f aca="false">IF($A298="","",$I298*$K298)</f>
        <v/>
      </c>
      <c r="O298" s="35" t="str">
        <f aca="false">IF(OR($A298="",$C298="U",$S298&lt;&gt;Calc!$F$2),"",SUMIFS($I$3:$I$3002,$E$3:$E$3002,$E298,$C$3:$C$3002,"&lt;&gt;U",$S$3:$S$3002,Calc!$F$2))</f>
        <v/>
      </c>
      <c r="P298" s="35" t="str">
        <f aca="false">IF(OR($A298="",$C298="U",$S298&lt;&gt;Calc!$F$2),"",SUMIFS($N$3:$N$3002,$E$3:$E$3002,$E298,$C$3:$C$3002,"&lt;&gt;U",$S$3:$S$3002,Calc!$F$2))</f>
        <v/>
      </c>
      <c r="Q298" s="35" t="str">
        <f aca="false">IF(OR($A298="",$C298="U",$S298&lt;&gt;Calc!$F$2),"",IF(COUNTIFS($E$3:$E298,$E298,$C$3:$C298,"&lt;&gt;U",$S$3:$S298,Calc!$F$2)=1,1,0))</f>
        <v/>
      </c>
      <c r="R298" s="35" t="str">
        <f aca="false">IF($Q298=1,$O298-ROW()/100000,"")</f>
        <v/>
      </c>
      <c r="S298" s="37" t="str">
        <f aca="false">IF($A298="","",INT($A298))</f>
        <v/>
      </c>
      <c r="T298" s="35" t="str">
        <f aca="false">IF($A298="","",IF(COUNTIFS($S$3:$S298,$S298)=1,1,0))</f>
        <v/>
      </c>
      <c r="U298" s="37" t="str">
        <f aca="false">IF($T298=1,$S298,"")</f>
        <v/>
      </c>
    </row>
    <row r="299" customFormat="false" ht="15" hidden="false" customHeight="false" outlineLevel="0" collapsed="false">
      <c r="M299" s="35" t="str">
        <f aca="false">IF($A299="","",HOUR($A299))</f>
        <v/>
      </c>
      <c r="N299" s="36" t="str">
        <f aca="false">IF($A299="","",$I299*$K299)</f>
        <v/>
      </c>
      <c r="O299" s="35" t="str">
        <f aca="false">IF(OR($A299="",$C299="U",$S299&lt;&gt;Calc!$F$2),"",SUMIFS($I$3:$I$3002,$E$3:$E$3002,$E299,$C$3:$C$3002,"&lt;&gt;U",$S$3:$S$3002,Calc!$F$2))</f>
        <v/>
      </c>
      <c r="P299" s="35" t="str">
        <f aca="false">IF(OR($A299="",$C299="U",$S299&lt;&gt;Calc!$F$2),"",SUMIFS($N$3:$N$3002,$E$3:$E$3002,$E299,$C$3:$C$3002,"&lt;&gt;U",$S$3:$S$3002,Calc!$F$2))</f>
        <v/>
      </c>
      <c r="Q299" s="35" t="str">
        <f aca="false">IF(OR($A299="",$C299="U",$S299&lt;&gt;Calc!$F$2),"",IF(COUNTIFS($E$3:$E299,$E299,$C$3:$C299,"&lt;&gt;U",$S$3:$S299,Calc!$F$2)=1,1,0))</f>
        <v/>
      </c>
      <c r="R299" s="35" t="str">
        <f aca="false">IF($Q299=1,$O299-ROW()/100000,"")</f>
        <v/>
      </c>
      <c r="S299" s="37" t="str">
        <f aca="false">IF($A299="","",INT($A299))</f>
        <v/>
      </c>
      <c r="T299" s="35" t="str">
        <f aca="false">IF($A299="","",IF(COUNTIFS($S$3:$S299,$S299)=1,1,0))</f>
        <v/>
      </c>
      <c r="U299" s="37" t="str">
        <f aca="false">IF($T299=1,$S299,"")</f>
        <v/>
      </c>
    </row>
    <row r="300" customFormat="false" ht="15" hidden="false" customHeight="false" outlineLevel="0" collapsed="false">
      <c r="M300" s="35" t="str">
        <f aca="false">IF($A300="","",HOUR($A300))</f>
        <v/>
      </c>
      <c r="N300" s="36" t="str">
        <f aca="false">IF($A300="","",$I300*$K300)</f>
        <v/>
      </c>
      <c r="O300" s="35" t="str">
        <f aca="false">IF(OR($A300="",$C300="U",$S300&lt;&gt;Calc!$F$2),"",SUMIFS($I$3:$I$3002,$E$3:$E$3002,$E300,$C$3:$C$3002,"&lt;&gt;U",$S$3:$S$3002,Calc!$F$2))</f>
        <v/>
      </c>
      <c r="P300" s="35" t="str">
        <f aca="false">IF(OR($A300="",$C300="U",$S300&lt;&gt;Calc!$F$2),"",SUMIFS($N$3:$N$3002,$E$3:$E$3002,$E300,$C$3:$C$3002,"&lt;&gt;U",$S$3:$S$3002,Calc!$F$2))</f>
        <v/>
      </c>
      <c r="Q300" s="35" t="str">
        <f aca="false">IF(OR($A300="",$C300="U",$S300&lt;&gt;Calc!$F$2),"",IF(COUNTIFS($E$3:$E300,$E300,$C$3:$C300,"&lt;&gt;U",$S$3:$S300,Calc!$F$2)=1,1,0))</f>
        <v/>
      </c>
      <c r="R300" s="35" t="str">
        <f aca="false">IF($Q300=1,$O300-ROW()/100000,"")</f>
        <v/>
      </c>
      <c r="S300" s="37" t="str">
        <f aca="false">IF($A300="","",INT($A300))</f>
        <v/>
      </c>
      <c r="T300" s="35" t="str">
        <f aca="false">IF($A300="","",IF(COUNTIFS($S$3:$S300,$S300)=1,1,0))</f>
        <v/>
      </c>
      <c r="U300" s="37" t="str">
        <f aca="false">IF($T300=1,$S300,"")</f>
        <v/>
      </c>
    </row>
    <row r="301" customFormat="false" ht="15" hidden="false" customHeight="false" outlineLevel="0" collapsed="false">
      <c r="M301" s="35" t="str">
        <f aca="false">IF($A301="","",HOUR($A301))</f>
        <v/>
      </c>
      <c r="N301" s="36" t="str">
        <f aca="false">IF($A301="","",$I301*$K301)</f>
        <v/>
      </c>
      <c r="O301" s="35" t="str">
        <f aca="false">IF(OR($A301="",$C301="U",$S301&lt;&gt;Calc!$F$2),"",SUMIFS($I$3:$I$3002,$E$3:$E$3002,$E301,$C$3:$C$3002,"&lt;&gt;U",$S$3:$S$3002,Calc!$F$2))</f>
        <v/>
      </c>
      <c r="P301" s="35" t="str">
        <f aca="false">IF(OR($A301="",$C301="U",$S301&lt;&gt;Calc!$F$2),"",SUMIFS($N$3:$N$3002,$E$3:$E$3002,$E301,$C$3:$C$3002,"&lt;&gt;U",$S$3:$S$3002,Calc!$F$2))</f>
        <v/>
      </c>
      <c r="Q301" s="35" t="str">
        <f aca="false">IF(OR($A301="",$C301="U",$S301&lt;&gt;Calc!$F$2),"",IF(COUNTIFS($E$3:$E301,$E301,$C$3:$C301,"&lt;&gt;U",$S$3:$S301,Calc!$F$2)=1,1,0))</f>
        <v/>
      </c>
      <c r="R301" s="35" t="str">
        <f aca="false">IF($Q301=1,$O301-ROW()/100000,"")</f>
        <v/>
      </c>
      <c r="S301" s="37" t="str">
        <f aca="false">IF($A301="","",INT($A301))</f>
        <v/>
      </c>
      <c r="T301" s="35" t="str">
        <f aca="false">IF($A301="","",IF(COUNTIFS($S$3:$S301,$S301)=1,1,0))</f>
        <v/>
      </c>
      <c r="U301" s="37" t="str">
        <f aca="false">IF($T301=1,$S301,"")</f>
        <v/>
      </c>
    </row>
    <row r="302" customFormat="false" ht="15" hidden="false" customHeight="false" outlineLevel="0" collapsed="false">
      <c r="M302" s="35" t="str">
        <f aca="false">IF($A302="","",HOUR($A302))</f>
        <v/>
      </c>
      <c r="N302" s="36" t="str">
        <f aca="false">IF($A302="","",$I302*$K302)</f>
        <v/>
      </c>
      <c r="O302" s="35" t="str">
        <f aca="false">IF(OR($A302="",$C302="U",$S302&lt;&gt;Calc!$F$2),"",SUMIFS($I$3:$I$3002,$E$3:$E$3002,$E302,$C$3:$C$3002,"&lt;&gt;U",$S$3:$S$3002,Calc!$F$2))</f>
        <v/>
      </c>
      <c r="P302" s="35" t="str">
        <f aca="false">IF(OR($A302="",$C302="U",$S302&lt;&gt;Calc!$F$2),"",SUMIFS($N$3:$N$3002,$E$3:$E$3002,$E302,$C$3:$C$3002,"&lt;&gt;U",$S$3:$S$3002,Calc!$F$2))</f>
        <v/>
      </c>
      <c r="Q302" s="35" t="str">
        <f aca="false">IF(OR($A302="",$C302="U",$S302&lt;&gt;Calc!$F$2),"",IF(COUNTIFS($E$3:$E302,$E302,$C$3:$C302,"&lt;&gt;U",$S$3:$S302,Calc!$F$2)=1,1,0))</f>
        <v/>
      </c>
      <c r="R302" s="35" t="str">
        <f aca="false">IF($Q302=1,$O302-ROW()/100000,"")</f>
        <v/>
      </c>
      <c r="S302" s="37" t="str">
        <f aca="false">IF($A302="","",INT($A302))</f>
        <v/>
      </c>
      <c r="T302" s="35" t="str">
        <f aca="false">IF($A302="","",IF(COUNTIFS($S$3:$S302,$S302)=1,1,0))</f>
        <v/>
      </c>
      <c r="U302" s="37" t="str">
        <f aca="false">IF($T302=1,$S302,"")</f>
        <v/>
      </c>
    </row>
    <row r="303" customFormat="false" ht="15" hidden="false" customHeight="false" outlineLevel="0" collapsed="false">
      <c r="M303" s="35" t="str">
        <f aca="false">IF($A303="","",HOUR($A303))</f>
        <v/>
      </c>
      <c r="N303" s="36" t="str">
        <f aca="false">IF($A303="","",$I303*$K303)</f>
        <v/>
      </c>
      <c r="O303" s="35" t="str">
        <f aca="false">IF(OR($A303="",$C303="U",$S303&lt;&gt;Calc!$F$2),"",SUMIFS($I$3:$I$3002,$E$3:$E$3002,$E303,$C$3:$C$3002,"&lt;&gt;U",$S$3:$S$3002,Calc!$F$2))</f>
        <v/>
      </c>
      <c r="P303" s="35" t="str">
        <f aca="false">IF(OR($A303="",$C303="U",$S303&lt;&gt;Calc!$F$2),"",SUMIFS($N$3:$N$3002,$E$3:$E$3002,$E303,$C$3:$C$3002,"&lt;&gt;U",$S$3:$S$3002,Calc!$F$2))</f>
        <v/>
      </c>
      <c r="Q303" s="35" t="str">
        <f aca="false">IF(OR($A303="",$C303="U",$S303&lt;&gt;Calc!$F$2),"",IF(COUNTIFS($E$3:$E303,$E303,$C$3:$C303,"&lt;&gt;U",$S$3:$S303,Calc!$F$2)=1,1,0))</f>
        <v/>
      </c>
      <c r="R303" s="35" t="str">
        <f aca="false">IF($Q303=1,$O303-ROW()/100000,"")</f>
        <v/>
      </c>
      <c r="S303" s="37" t="str">
        <f aca="false">IF($A303="","",INT($A303))</f>
        <v/>
      </c>
      <c r="T303" s="35" t="str">
        <f aca="false">IF($A303="","",IF(COUNTIFS($S$3:$S303,$S303)=1,1,0))</f>
        <v/>
      </c>
      <c r="U303" s="37" t="str">
        <f aca="false">IF($T303=1,$S303,"")</f>
        <v/>
      </c>
    </row>
    <row r="304" customFormat="false" ht="15" hidden="false" customHeight="false" outlineLevel="0" collapsed="false">
      <c r="M304" s="35" t="str">
        <f aca="false">IF($A304="","",HOUR($A304))</f>
        <v/>
      </c>
      <c r="N304" s="36" t="str">
        <f aca="false">IF($A304="","",$I304*$K304)</f>
        <v/>
      </c>
      <c r="O304" s="35" t="str">
        <f aca="false">IF(OR($A304="",$C304="U",$S304&lt;&gt;Calc!$F$2),"",SUMIFS($I$3:$I$3002,$E$3:$E$3002,$E304,$C$3:$C$3002,"&lt;&gt;U",$S$3:$S$3002,Calc!$F$2))</f>
        <v/>
      </c>
      <c r="P304" s="35" t="str">
        <f aca="false">IF(OR($A304="",$C304="U",$S304&lt;&gt;Calc!$F$2),"",SUMIFS($N$3:$N$3002,$E$3:$E$3002,$E304,$C$3:$C$3002,"&lt;&gt;U",$S$3:$S$3002,Calc!$F$2))</f>
        <v/>
      </c>
      <c r="Q304" s="35" t="str">
        <f aca="false">IF(OR($A304="",$C304="U",$S304&lt;&gt;Calc!$F$2),"",IF(COUNTIFS($E$3:$E304,$E304,$C$3:$C304,"&lt;&gt;U",$S$3:$S304,Calc!$F$2)=1,1,0))</f>
        <v/>
      </c>
      <c r="R304" s="35" t="str">
        <f aca="false">IF($Q304=1,$O304-ROW()/100000,"")</f>
        <v/>
      </c>
      <c r="S304" s="37" t="str">
        <f aca="false">IF($A304="","",INT($A304))</f>
        <v/>
      </c>
      <c r="T304" s="35" t="str">
        <f aca="false">IF($A304="","",IF(COUNTIFS($S$3:$S304,$S304)=1,1,0))</f>
        <v/>
      </c>
      <c r="U304" s="37" t="str">
        <f aca="false">IF($T304=1,$S304,"")</f>
        <v/>
      </c>
    </row>
    <row r="305" customFormat="false" ht="15" hidden="false" customHeight="false" outlineLevel="0" collapsed="false">
      <c r="M305" s="35" t="str">
        <f aca="false">IF($A305="","",HOUR($A305))</f>
        <v/>
      </c>
      <c r="N305" s="36" t="str">
        <f aca="false">IF($A305="","",$I305*$K305)</f>
        <v/>
      </c>
      <c r="O305" s="35" t="str">
        <f aca="false">IF(OR($A305="",$C305="U",$S305&lt;&gt;Calc!$F$2),"",SUMIFS($I$3:$I$3002,$E$3:$E$3002,$E305,$C$3:$C$3002,"&lt;&gt;U",$S$3:$S$3002,Calc!$F$2))</f>
        <v/>
      </c>
      <c r="P305" s="35" t="str">
        <f aca="false">IF(OR($A305="",$C305="U",$S305&lt;&gt;Calc!$F$2),"",SUMIFS($N$3:$N$3002,$E$3:$E$3002,$E305,$C$3:$C$3002,"&lt;&gt;U",$S$3:$S$3002,Calc!$F$2))</f>
        <v/>
      </c>
      <c r="Q305" s="35" t="str">
        <f aca="false">IF(OR($A305="",$C305="U",$S305&lt;&gt;Calc!$F$2),"",IF(COUNTIFS($E$3:$E305,$E305,$C$3:$C305,"&lt;&gt;U",$S$3:$S305,Calc!$F$2)=1,1,0))</f>
        <v/>
      </c>
      <c r="R305" s="35" t="str">
        <f aca="false">IF($Q305=1,$O305-ROW()/100000,"")</f>
        <v/>
      </c>
      <c r="S305" s="37" t="str">
        <f aca="false">IF($A305="","",INT($A305))</f>
        <v/>
      </c>
      <c r="T305" s="35" t="str">
        <f aca="false">IF($A305="","",IF(COUNTIFS($S$3:$S305,$S305)=1,1,0))</f>
        <v/>
      </c>
      <c r="U305" s="37" t="str">
        <f aca="false">IF($T305=1,$S305,"")</f>
        <v/>
      </c>
    </row>
    <row r="306" customFormat="false" ht="15" hidden="false" customHeight="false" outlineLevel="0" collapsed="false">
      <c r="M306" s="35" t="str">
        <f aca="false">IF($A306="","",HOUR($A306))</f>
        <v/>
      </c>
      <c r="N306" s="36" t="str">
        <f aca="false">IF($A306="","",$I306*$K306)</f>
        <v/>
      </c>
      <c r="O306" s="35" t="str">
        <f aca="false">IF(OR($A306="",$C306="U",$S306&lt;&gt;Calc!$F$2),"",SUMIFS($I$3:$I$3002,$E$3:$E$3002,$E306,$C$3:$C$3002,"&lt;&gt;U",$S$3:$S$3002,Calc!$F$2))</f>
        <v/>
      </c>
      <c r="P306" s="35" t="str">
        <f aca="false">IF(OR($A306="",$C306="U",$S306&lt;&gt;Calc!$F$2),"",SUMIFS($N$3:$N$3002,$E$3:$E$3002,$E306,$C$3:$C$3002,"&lt;&gt;U",$S$3:$S$3002,Calc!$F$2))</f>
        <v/>
      </c>
      <c r="Q306" s="35" t="str">
        <f aca="false">IF(OR($A306="",$C306="U",$S306&lt;&gt;Calc!$F$2),"",IF(COUNTIFS($E$3:$E306,$E306,$C$3:$C306,"&lt;&gt;U",$S$3:$S306,Calc!$F$2)=1,1,0))</f>
        <v/>
      </c>
      <c r="R306" s="35" t="str">
        <f aca="false">IF($Q306=1,$O306-ROW()/100000,"")</f>
        <v/>
      </c>
      <c r="S306" s="37" t="str">
        <f aca="false">IF($A306="","",INT($A306))</f>
        <v/>
      </c>
      <c r="T306" s="35" t="str">
        <f aca="false">IF($A306="","",IF(COUNTIFS($S$3:$S306,$S306)=1,1,0))</f>
        <v/>
      </c>
      <c r="U306" s="37" t="str">
        <f aca="false">IF($T306=1,$S306,"")</f>
        <v/>
      </c>
    </row>
    <row r="307" customFormat="false" ht="15" hidden="false" customHeight="false" outlineLevel="0" collapsed="false">
      <c r="M307" s="35" t="str">
        <f aca="false">IF($A307="","",HOUR($A307))</f>
        <v/>
      </c>
      <c r="N307" s="36" t="str">
        <f aca="false">IF($A307="","",$I307*$K307)</f>
        <v/>
      </c>
      <c r="O307" s="35" t="str">
        <f aca="false">IF(OR($A307="",$C307="U",$S307&lt;&gt;Calc!$F$2),"",SUMIFS($I$3:$I$3002,$E$3:$E$3002,$E307,$C$3:$C$3002,"&lt;&gt;U",$S$3:$S$3002,Calc!$F$2))</f>
        <v/>
      </c>
      <c r="P307" s="35" t="str">
        <f aca="false">IF(OR($A307="",$C307="U",$S307&lt;&gt;Calc!$F$2),"",SUMIFS($N$3:$N$3002,$E$3:$E$3002,$E307,$C$3:$C$3002,"&lt;&gt;U",$S$3:$S$3002,Calc!$F$2))</f>
        <v/>
      </c>
      <c r="Q307" s="35" t="str">
        <f aca="false">IF(OR($A307="",$C307="U",$S307&lt;&gt;Calc!$F$2),"",IF(COUNTIFS($E$3:$E307,$E307,$C$3:$C307,"&lt;&gt;U",$S$3:$S307,Calc!$F$2)=1,1,0))</f>
        <v/>
      </c>
      <c r="R307" s="35" t="str">
        <f aca="false">IF($Q307=1,$O307-ROW()/100000,"")</f>
        <v/>
      </c>
      <c r="S307" s="37" t="str">
        <f aca="false">IF($A307="","",INT($A307))</f>
        <v/>
      </c>
      <c r="T307" s="35" t="str">
        <f aca="false">IF($A307="","",IF(COUNTIFS($S$3:$S307,$S307)=1,1,0))</f>
        <v/>
      </c>
      <c r="U307" s="37" t="str">
        <f aca="false">IF($T307=1,$S307,"")</f>
        <v/>
      </c>
    </row>
    <row r="308" customFormat="false" ht="15" hidden="false" customHeight="false" outlineLevel="0" collapsed="false">
      <c r="M308" s="35" t="str">
        <f aca="false">IF($A308="","",HOUR($A308))</f>
        <v/>
      </c>
      <c r="N308" s="36" t="str">
        <f aca="false">IF($A308="","",$I308*$K308)</f>
        <v/>
      </c>
      <c r="O308" s="35" t="str">
        <f aca="false">IF(OR($A308="",$C308="U",$S308&lt;&gt;Calc!$F$2),"",SUMIFS($I$3:$I$3002,$E$3:$E$3002,$E308,$C$3:$C$3002,"&lt;&gt;U",$S$3:$S$3002,Calc!$F$2))</f>
        <v/>
      </c>
      <c r="P308" s="35" t="str">
        <f aca="false">IF(OR($A308="",$C308="U",$S308&lt;&gt;Calc!$F$2),"",SUMIFS($N$3:$N$3002,$E$3:$E$3002,$E308,$C$3:$C$3002,"&lt;&gt;U",$S$3:$S$3002,Calc!$F$2))</f>
        <v/>
      </c>
      <c r="Q308" s="35" t="str">
        <f aca="false">IF(OR($A308="",$C308="U",$S308&lt;&gt;Calc!$F$2),"",IF(COUNTIFS($E$3:$E308,$E308,$C$3:$C308,"&lt;&gt;U",$S$3:$S308,Calc!$F$2)=1,1,0))</f>
        <v/>
      </c>
      <c r="R308" s="35" t="str">
        <f aca="false">IF($Q308=1,$O308-ROW()/100000,"")</f>
        <v/>
      </c>
      <c r="S308" s="37" t="str">
        <f aca="false">IF($A308="","",INT($A308))</f>
        <v/>
      </c>
      <c r="T308" s="35" t="str">
        <f aca="false">IF($A308="","",IF(COUNTIFS($S$3:$S308,$S308)=1,1,0))</f>
        <v/>
      </c>
      <c r="U308" s="37" t="str">
        <f aca="false">IF($T308=1,$S308,"")</f>
        <v/>
      </c>
    </row>
    <row r="309" customFormat="false" ht="15" hidden="false" customHeight="false" outlineLevel="0" collapsed="false">
      <c r="M309" s="35" t="str">
        <f aca="false">IF($A309="","",HOUR($A309))</f>
        <v/>
      </c>
      <c r="N309" s="36" t="str">
        <f aca="false">IF($A309="","",$I309*$K309)</f>
        <v/>
      </c>
      <c r="O309" s="35" t="str">
        <f aca="false">IF(OR($A309="",$C309="U",$S309&lt;&gt;Calc!$F$2),"",SUMIFS($I$3:$I$3002,$E$3:$E$3002,$E309,$C$3:$C$3002,"&lt;&gt;U",$S$3:$S$3002,Calc!$F$2))</f>
        <v/>
      </c>
      <c r="P309" s="35" t="str">
        <f aca="false">IF(OR($A309="",$C309="U",$S309&lt;&gt;Calc!$F$2),"",SUMIFS($N$3:$N$3002,$E$3:$E$3002,$E309,$C$3:$C$3002,"&lt;&gt;U",$S$3:$S$3002,Calc!$F$2))</f>
        <v/>
      </c>
      <c r="Q309" s="35" t="str">
        <f aca="false">IF(OR($A309="",$C309="U",$S309&lt;&gt;Calc!$F$2),"",IF(COUNTIFS($E$3:$E309,$E309,$C$3:$C309,"&lt;&gt;U",$S$3:$S309,Calc!$F$2)=1,1,0))</f>
        <v/>
      </c>
      <c r="R309" s="35" t="str">
        <f aca="false">IF($Q309=1,$O309-ROW()/100000,"")</f>
        <v/>
      </c>
      <c r="S309" s="37" t="str">
        <f aca="false">IF($A309="","",INT($A309))</f>
        <v/>
      </c>
      <c r="T309" s="35" t="str">
        <f aca="false">IF($A309="","",IF(COUNTIFS($S$3:$S309,$S309)=1,1,0))</f>
        <v/>
      </c>
      <c r="U309" s="37" t="str">
        <f aca="false">IF($T309=1,$S309,"")</f>
        <v/>
      </c>
    </row>
    <row r="310" customFormat="false" ht="15" hidden="false" customHeight="false" outlineLevel="0" collapsed="false">
      <c r="M310" s="35" t="str">
        <f aca="false">IF($A310="","",HOUR($A310))</f>
        <v/>
      </c>
      <c r="N310" s="36" t="str">
        <f aca="false">IF($A310="","",$I310*$K310)</f>
        <v/>
      </c>
      <c r="O310" s="35" t="str">
        <f aca="false">IF(OR($A310="",$C310="U",$S310&lt;&gt;Calc!$F$2),"",SUMIFS($I$3:$I$3002,$E$3:$E$3002,$E310,$C$3:$C$3002,"&lt;&gt;U",$S$3:$S$3002,Calc!$F$2))</f>
        <v/>
      </c>
      <c r="P310" s="35" t="str">
        <f aca="false">IF(OR($A310="",$C310="U",$S310&lt;&gt;Calc!$F$2),"",SUMIFS($N$3:$N$3002,$E$3:$E$3002,$E310,$C$3:$C$3002,"&lt;&gt;U",$S$3:$S$3002,Calc!$F$2))</f>
        <v/>
      </c>
      <c r="Q310" s="35" t="str">
        <f aca="false">IF(OR($A310="",$C310="U",$S310&lt;&gt;Calc!$F$2),"",IF(COUNTIFS($E$3:$E310,$E310,$C$3:$C310,"&lt;&gt;U",$S$3:$S310,Calc!$F$2)=1,1,0))</f>
        <v/>
      </c>
      <c r="R310" s="35" t="str">
        <f aca="false">IF($Q310=1,$O310-ROW()/100000,"")</f>
        <v/>
      </c>
      <c r="S310" s="37" t="str">
        <f aca="false">IF($A310="","",INT($A310))</f>
        <v/>
      </c>
      <c r="T310" s="35" t="str">
        <f aca="false">IF($A310="","",IF(COUNTIFS($S$3:$S310,$S310)=1,1,0))</f>
        <v/>
      </c>
      <c r="U310" s="37" t="str">
        <f aca="false">IF($T310=1,$S310,"")</f>
        <v/>
      </c>
    </row>
    <row r="311" customFormat="false" ht="15" hidden="false" customHeight="false" outlineLevel="0" collapsed="false">
      <c r="M311" s="35" t="str">
        <f aca="false">IF($A311="","",HOUR($A311))</f>
        <v/>
      </c>
      <c r="N311" s="36" t="str">
        <f aca="false">IF($A311="","",$I311*$K311)</f>
        <v/>
      </c>
      <c r="O311" s="35" t="str">
        <f aca="false">IF(OR($A311="",$C311="U",$S311&lt;&gt;Calc!$F$2),"",SUMIFS($I$3:$I$3002,$E$3:$E$3002,$E311,$C$3:$C$3002,"&lt;&gt;U",$S$3:$S$3002,Calc!$F$2))</f>
        <v/>
      </c>
      <c r="P311" s="35" t="str">
        <f aca="false">IF(OR($A311="",$C311="U",$S311&lt;&gt;Calc!$F$2),"",SUMIFS($N$3:$N$3002,$E$3:$E$3002,$E311,$C$3:$C$3002,"&lt;&gt;U",$S$3:$S$3002,Calc!$F$2))</f>
        <v/>
      </c>
      <c r="Q311" s="35" t="str">
        <f aca="false">IF(OR($A311="",$C311="U",$S311&lt;&gt;Calc!$F$2),"",IF(COUNTIFS($E$3:$E311,$E311,$C$3:$C311,"&lt;&gt;U",$S$3:$S311,Calc!$F$2)=1,1,0))</f>
        <v/>
      </c>
      <c r="R311" s="35" t="str">
        <f aca="false">IF($Q311=1,$O311-ROW()/100000,"")</f>
        <v/>
      </c>
      <c r="S311" s="37" t="str">
        <f aca="false">IF($A311="","",INT($A311))</f>
        <v/>
      </c>
      <c r="T311" s="35" t="str">
        <f aca="false">IF($A311="","",IF(COUNTIFS($S$3:$S311,$S311)=1,1,0))</f>
        <v/>
      </c>
      <c r="U311" s="37" t="str">
        <f aca="false">IF($T311=1,$S311,"")</f>
        <v/>
      </c>
    </row>
    <row r="312" customFormat="false" ht="15" hidden="false" customHeight="false" outlineLevel="0" collapsed="false">
      <c r="M312" s="35" t="str">
        <f aca="false">IF($A312="","",HOUR($A312))</f>
        <v/>
      </c>
      <c r="N312" s="36" t="str">
        <f aca="false">IF($A312="","",$I312*$K312)</f>
        <v/>
      </c>
      <c r="O312" s="35" t="str">
        <f aca="false">IF(OR($A312="",$C312="U",$S312&lt;&gt;Calc!$F$2),"",SUMIFS($I$3:$I$3002,$E$3:$E$3002,$E312,$C$3:$C$3002,"&lt;&gt;U",$S$3:$S$3002,Calc!$F$2))</f>
        <v/>
      </c>
      <c r="P312" s="35" t="str">
        <f aca="false">IF(OR($A312="",$C312="U",$S312&lt;&gt;Calc!$F$2),"",SUMIFS($N$3:$N$3002,$E$3:$E$3002,$E312,$C$3:$C$3002,"&lt;&gt;U",$S$3:$S$3002,Calc!$F$2))</f>
        <v/>
      </c>
      <c r="Q312" s="35" t="str">
        <f aca="false">IF(OR($A312="",$C312="U",$S312&lt;&gt;Calc!$F$2),"",IF(COUNTIFS($E$3:$E312,$E312,$C$3:$C312,"&lt;&gt;U",$S$3:$S312,Calc!$F$2)=1,1,0))</f>
        <v/>
      </c>
      <c r="R312" s="35" t="str">
        <f aca="false">IF($Q312=1,$O312-ROW()/100000,"")</f>
        <v/>
      </c>
      <c r="S312" s="37" t="str">
        <f aca="false">IF($A312="","",INT($A312))</f>
        <v/>
      </c>
      <c r="T312" s="35" t="str">
        <f aca="false">IF($A312="","",IF(COUNTIFS($S$3:$S312,$S312)=1,1,0))</f>
        <v/>
      </c>
      <c r="U312" s="37" t="str">
        <f aca="false">IF($T312=1,$S312,"")</f>
        <v/>
      </c>
    </row>
    <row r="313" customFormat="false" ht="15" hidden="false" customHeight="false" outlineLevel="0" collapsed="false">
      <c r="M313" s="35" t="str">
        <f aca="false">IF($A313="","",HOUR($A313))</f>
        <v/>
      </c>
      <c r="N313" s="36" t="str">
        <f aca="false">IF($A313="","",$I313*$K313)</f>
        <v/>
      </c>
      <c r="O313" s="35" t="str">
        <f aca="false">IF(OR($A313="",$C313="U",$S313&lt;&gt;Calc!$F$2),"",SUMIFS($I$3:$I$3002,$E$3:$E$3002,$E313,$C$3:$C$3002,"&lt;&gt;U",$S$3:$S$3002,Calc!$F$2))</f>
        <v/>
      </c>
      <c r="P313" s="35" t="str">
        <f aca="false">IF(OR($A313="",$C313="U",$S313&lt;&gt;Calc!$F$2),"",SUMIFS($N$3:$N$3002,$E$3:$E$3002,$E313,$C$3:$C$3002,"&lt;&gt;U",$S$3:$S$3002,Calc!$F$2))</f>
        <v/>
      </c>
      <c r="Q313" s="35" t="str">
        <f aca="false">IF(OR($A313="",$C313="U",$S313&lt;&gt;Calc!$F$2),"",IF(COUNTIFS($E$3:$E313,$E313,$C$3:$C313,"&lt;&gt;U",$S$3:$S313,Calc!$F$2)=1,1,0))</f>
        <v/>
      </c>
      <c r="R313" s="35" t="str">
        <f aca="false">IF($Q313=1,$O313-ROW()/100000,"")</f>
        <v/>
      </c>
      <c r="S313" s="37" t="str">
        <f aca="false">IF($A313="","",INT($A313))</f>
        <v/>
      </c>
      <c r="T313" s="35" t="str">
        <f aca="false">IF($A313="","",IF(COUNTIFS($S$3:$S313,$S313)=1,1,0))</f>
        <v/>
      </c>
      <c r="U313" s="37" t="str">
        <f aca="false">IF($T313=1,$S313,"")</f>
        <v/>
      </c>
    </row>
    <row r="314" customFormat="false" ht="15" hidden="false" customHeight="false" outlineLevel="0" collapsed="false">
      <c r="M314" s="35" t="str">
        <f aca="false">IF($A314="","",HOUR($A314))</f>
        <v/>
      </c>
      <c r="N314" s="36" t="str">
        <f aca="false">IF($A314="","",$I314*$K314)</f>
        <v/>
      </c>
      <c r="O314" s="35" t="str">
        <f aca="false">IF(OR($A314="",$C314="U",$S314&lt;&gt;Calc!$F$2),"",SUMIFS($I$3:$I$3002,$E$3:$E$3002,$E314,$C$3:$C$3002,"&lt;&gt;U",$S$3:$S$3002,Calc!$F$2))</f>
        <v/>
      </c>
      <c r="P314" s="35" t="str">
        <f aca="false">IF(OR($A314="",$C314="U",$S314&lt;&gt;Calc!$F$2),"",SUMIFS($N$3:$N$3002,$E$3:$E$3002,$E314,$C$3:$C$3002,"&lt;&gt;U",$S$3:$S$3002,Calc!$F$2))</f>
        <v/>
      </c>
      <c r="Q314" s="35" t="str">
        <f aca="false">IF(OR($A314="",$C314="U",$S314&lt;&gt;Calc!$F$2),"",IF(COUNTIFS($E$3:$E314,$E314,$C$3:$C314,"&lt;&gt;U",$S$3:$S314,Calc!$F$2)=1,1,0))</f>
        <v/>
      </c>
      <c r="R314" s="35" t="str">
        <f aca="false">IF($Q314=1,$O314-ROW()/100000,"")</f>
        <v/>
      </c>
      <c r="S314" s="37" t="str">
        <f aca="false">IF($A314="","",INT($A314))</f>
        <v/>
      </c>
      <c r="T314" s="35" t="str">
        <f aca="false">IF($A314="","",IF(COUNTIFS($S$3:$S314,$S314)=1,1,0))</f>
        <v/>
      </c>
      <c r="U314" s="37" t="str">
        <f aca="false">IF($T314=1,$S314,"")</f>
        <v/>
      </c>
    </row>
    <row r="315" customFormat="false" ht="15" hidden="false" customHeight="false" outlineLevel="0" collapsed="false">
      <c r="M315" s="35" t="str">
        <f aca="false">IF($A315="","",HOUR($A315))</f>
        <v/>
      </c>
      <c r="N315" s="36" t="str">
        <f aca="false">IF($A315="","",$I315*$K315)</f>
        <v/>
      </c>
      <c r="O315" s="35" t="str">
        <f aca="false">IF(OR($A315="",$C315="U",$S315&lt;&gt;Calc!$F$2),"",SUMIFS($I$3:$I$3002,$E$3:$E$3002,$E315,$C$3:$C$3002,"&lt;&gt;U",$S$3:$S$3002,Calc!$F$2))</f>
        <v/>
      </c>
      <c r="P315" s="35" t="str">
        <f aca="false">IF(OR($A315="",$C315="U",$S315&lt;&gt;Calc!$F$2),"",SUMIFS($N$3:$N$3002,$E$3:$E$3002,$E315,$C$3:$C$3002,"&lt;&gt;U",$S$3:$S$3002,Calc!$F$2))</f>
        <v/>
      </c>
      <c r="Q315" s="35" t="str">
        <f aca="false">IF(OR($A315="",$C315="U",$S315&lt;&gt;Calc!$F$2),"",IF(COUNTIFS($E$3:$E315,$E315,$C$3:$C315,"&lt;&gt;U",$S$3:$S315,Calc!$F$2)=1,1,0))</f>
        <v/>
      </c>
      <c r="R315" s="35" t="str">
        <f aca="false">IF($Q315=1,$O315-ROW()/100000,"")</f>
        <v/>
      </c>
      <c r="S315" s="37" t="str">
        <f aca="false">IF($A315="","",INT($A315))</f>
        <v/>
      </c>
      <c r="T315" s="35" t="str">
        <f aca="false">IF($A315="","",IF(COUNTIFS($S$3:$S315,$S315)=1,1,0))</f>
        <v/>
      </c>
      <c r="U315" s="37" t="str">
        <f aca="false">IF($T315=1,$S315,"")</f>
        <v/>
      </c>
    </row>
    <row r="316" customFormat="false" ht="15" hidden="false" customHeight="false" outlineLevel="0" collapsed="false">
      <c r="M316" s="35" t="str">
        <f aca="false">IF($A316="","",HOUR($A316))</f>
        <v/>
      </c>
      <c r="N316" s="36" t="str">
        <f aca="false">IF($A316="","",$I316*$K316)</f>
        <v/>
      </c>
      <c r="O316" s="35" t="str">
        <f aca="false">IF(OR($A316="",$C316="U",$S316&lt;&gt;Calc!$F$2),"",SUMIFS($I$3:$I$3002,$E$3:$E$3002,$E316,$C$3:$C$3002,"&lt;&gt;U",$S$3:$S$3002,Calc!$F$2))</f>
        <v/>
      </c>
      <c r="P316" s="35" t="str">
        <f aca="false">IF(OR($A316="",$C316="U",$S316&lt;&gt;Calc!$F$2),"",SUMIFS($N$3:$N$3002,$E$3:$E$3002,$E316,$C$3:$C$3002,"&lt;&gt;U",$S$3:$S$3002,Calc!$F$2))</f>
        <v/>
      </c>
      <c r="Q316" s="35" t="str">
        <f aca="false">IF(OR($A316="",$C316="U",$S316&lt;&gt;Calc!$F$2),"",IF(COUNTIFS($E$3:$E316,$E316,$C$3:$C316,"&lt;&gt;U",$S$3:$S316,Calc!$F$2)=1,1,0))</f>
        <v/>
      </c>
      <c r="R316" s="35" t="str">
        <f aca="false">IF($Q316=1,$O316-ROW()/100000,"")</f>
        <v/>
      </c>
      <c r="S316" s="37" t="str">
        <f aca="false">IF($A316="","",INT($A316))</f>
        <v/>
      </c>
      <c r="T316" s="35" t="str">
        <f aca="false">IF($A316="","",IF(COUNTIFS($S$3:$S316,$S316)=1,1,0))</f>
        <v/>
      </c>
      <c r="U316" s="37" t="str">
        <f aca="false">IF($T316=1,$S316,"")</f>
        <v/>
      </c>
    </row>
    <row r="317" customFormat="false" ht="15" hidden="false" customHeight="false" outlineLevel="0" collapsed="false">
      <c r="M317" s="35" t="str">
        <f aca="false">IF($A317="","",HOUR($A317))</f>
        <v/>
      </c>
      <c r="N317" s="36" t="str">
        <f aca="false">IF($A317="","",$I317*$K317)</f>
        <v/>
      </c>
      <c r="O317" s="35" t="str">
        <f aca="false">IF(OR($A317="",$C317="U",$S317&lt;&gt;Calc!$F$2),"",SUMIFS($I$3:$I$3002,$E$3:$E$3002,$E317,$C$3:$C$3002,"&lt;&gt;U",$S$3:$S$3002,Calc!$F$2))</f>
        <v/>
      </c>
      <c r="P317" s="35" t="str">
        <f aca="false">IF(OR($A317="",$C317="U",$S317&lt;&gt;Calc!$F$2),"",SUMIFS($N$3:$N$3002,$E$3:$E$3002,$E317,$C$3:$C$3002,"&lt;&gt;U",$S$3:$S$3002,Calc!$F$2))</f>
        <v/>
      </c>
      <c r="Q317" s="35" t="str">
        <f aca="false">IF(OR($A317="",$C317="U",$S317&lt;&gt;Calc!$F$2),"",IF(COUNTIFS($E$3:$E317,$E317,$C$3:$C317,"&lt;&gt;U",$S$3:$S317,Calc!$F$2)=1,1,0))</f>
        <v/>
      </c>
      <c r="R317" s="35" t="str">
        <f aca="false">IF($Q317=1,$O317-ROW()/100000,"")</f>
        <v/>
      </c>
      <c r="S317" s="37" t="str">
        <f aca="false">IF($A317="","",INT($A317))</f>
        <v/>
      </c>
      <c r="T317" s="35" t="str">
        <f aca="false">IF($A317="","",IF(COUNTIFS($S$3:$S317,$S317)=1,1,0))</f>
        <v/>
      </c>
      <c r="U317" s="37" t="str">
        <f aca="false">IF($T317=1,$S317,"")</f>
        <v/>
      </c>
    </row>
    <row r="318" customFormat="false" ht="15" hidden="false" customHeight="false" outlineLevel="0" collapsed="false">
      <c r="M318" s="35" t="str">
        <f aca="false">IF($A318="","",HOUR($A318))</f>
        <v/>
      </c>
      <c r="N318" s="36" t="str">
        <f aca="false">IF($A318="","",$I318*$K318)</f>
        <v/>
      </c>
      <c r="O318" s="35" t="str">
        <f aca="false">IF(OR($A318="",$C318="U",$S318&lt;&gt;Calc!$F$2),"",SUMIFS($I$3:$I$3002,$E$3:$E$3002,$E318,$C$3:$C$3002,"&lt;&gt;U",$S$3:$S$3002,Calc!$F$2))</f>
        <v/>
      </c>
      <c r="P318" s="35" t="str">
        <f aca="false">IF(OR($A318="",$C318="U",$S318&lt;&gt;Calc!$F$2),"",SUMIFS($N$3:$N$3002,$E$3:$E$3002,$E318,$C$3:$C$3002,"&lt;&gt;U",$S$3:$S$3002,Calc!$F$2))</f>
        <v/>
      </c>
      <c r="Q318" s="35" t="str">
        <f aca="false">IF(OR($A318="",$C318="U",$S318&lt;&gt;Calc!$F$2),"",IF(COUNTIFS($E$3:$E318,$E318,$C$3:$C318,"&lt;&gt;U",$S$3:$S318,Calc!$F$2)=1,1,0))</f>
        <v/>
      </c>
      <c r="R318" s="35" t="str">
        <f aca="false">IF($Q318=1,$O318-ROW()/100000,"")</f>
        <v/>
      </c>
      <c r="S318" s="37" t="str">
        <f aca="false">IF($A318="","",INT($A318))</f>
        <v/>
      </c>
      <c r="T318" s="35" t="str">
        <f aca="false">IF($A318="","",IF(COUNTIFS($S$3:$S318,$S318)=1,1,0))</f>
        <v/>
      </c>
      <c r="U318" s="37" t="str">
        <f aca="false">IF($T318=1,$S318,"")</f>
        <v/>
      </c>
    </row>
    <row r="319" customFormat="false" ht="15" hidden="false" customHeight="false" outlineLevel="0" collapsed="false">
      <c r="M319" s="35" t="str">
        <f aca="false">IF($A319="","",HOUR($A319))</f>
        <v/>
      </c>
      <c r="N319" s="36" t="str">
        <f aca="false">IF($A319="","",$I319*$K319)</f>
        <v/>
      </c>
      <c r="O319" s="35" t="str">
        <f aca="false">IF(OR($A319="",$C319="U",$S319&lt;&gt;Calc!$F$2),"",SUMIFS($I$3:$I$3002,$E$3:$E$3002,$E319,$C$3:$C$3002,"&lt;&gt;U",$S$3:$S$3002,Calc!$F$2))</f>
        <v/>
      </c>
      <c r="P319" s="35" t="str">
        <f aca="false">IF(OR($A319="",$C319="U",$S319&lt;&gt;Calc!$F$2),"",SUMIFS($N$3:$N$3002,$E$3:$E$3002,$E319,$C$3:$C$3002,"&lt;&gt;U",$S$3:$S$3002,Calc!$F$2))</f>
        <v/>
      </c>
      <c r="Q319" s="35" t="str">
        <f aca="false">IF(OR($A319="",$C319="U",$S319&lt;&gt;Calc!$F$2),"",IF(COUNTIFS($E$3:$E319,$E319,$C$3:$C319,"&lt;&gt;U",$S$3:$S319,Calc!$F$2)=1,1,0))</f>
        <v/>
      </c>
      <c r="R319" s="35" t="str">
        <f aca="false">IF($Q319=1,$O319-ROW()/100000,"")</f>
        <v/>
      </c>
      <c r="S319" s="37" t="str">
        <f aca="false">IF($A319="","",INT($A319))</f>
        <v/>
      </c>
      <c r="T319" s="35" t="str">
        <f aca="false">IF($A319="","",IF(COUNTIFS($S$3:$S319,$S319)=1,1,0))</f>
        <v/>
      </c>
      <c r="U319" s="37" t="str">
        <f aca="false">IF($T319=1,$S319,"")</f>
        <v/>
      </c>
    </row>
    <row r="320" customFormat="false" ht="15" hidden="false" customHeight="false" outlineLevel="0" collapsed="false">
      <c r="M320" s="35" t="str">
        <f aca="false">IF($A320="","",HOUR($A320))</f>
        <v/>
      </c>
      <c r="N320" s="36" t="str">
        <f aca="false">IF($A320="","",$I320*$K320)</f>
        <v/>
      </c>
      <c r="O320" s="35" t="str">
        <f aca="false">IF(OR($A320="",$C320="U",$S320&lt;&gt;Calc!$F$2),"",SUMIFS($I$3:$I$3002,$E$3:$E$3002,$E320,$C$3:$C$3002,"&lt;&gt;U",$S$3:$S$3002,Calc!$F$2))</f>
        <v/>
      </c>
      <c r="P320" s="35" t="str">
        <f aca="false">IF(OR($A320="",$C320="U",$S320&lt;&gt;Calc!$F$2),"",SUMIFS($N$3:$N$3002,$E$3:$E$3002,$E320,$C$3:$C$3002,"&lt;&gt;U",$S$3:$S$3002,Calc!$F$2))</f>
        <v/>
      </c>
      <c r="Q320" s="35" t="str">
        <f aca="false">IF(OR($A320="",$C320="U",$S320&lt;&gt;Calc!$F$2),"",IF(COUNTIFS($E$3:$E320,$E320,$C$3:$C320,"&lt;&gt;U",$S$3:$S320,Calc!$F$2)=1,1,0))</f>
        <v/>
      </c>
      <c r="R320" s="35" t="str">
        <f aca="false">IF($Q320=1,$O320-ROW()/100000,"")</f>
        <v/>
      </c>
      <c r="S320" s="37" t="str">
        <f aca="false">IF($A320="","",INT($A320))</f>
        <v/>
      </c>
      <c r="T320" s="35" t="str">
        <f aca="false">IF($A320="","",IF(COUNTIFS($S$3:$S320,$S320)=1,1,0))</f>
        <v/>
      </c>
      <c r="U320" s="37" t="str">
        <f aca="false">IF($T320=1,$S320,"")</f>
        <v/>
      </c>
    </row>
    <row r="321" customFormat="false" ht="15" hidden="false" customHeight="false" outlineLevel="0" collapsed="false">
      <c r="M321" s="35" t="str">
        <f aca="false">IF($A321="","",HOUR($A321))</f>
        <v/>
      </c>
      <c r="N321" s="36" t="str">
        <f aca="false">IF($A321="","",$I321*$K321)</f>
        <v/>
      </c>
      <c r="O321" s="35" t="str">
        <f aca="false">IF(OR($A321="",$C321="U",$S321&lt;&gt;Calc!$F$2),"",SUMIFS($I$3:$I$3002,$E$3:$E$3002,$E321,$C$3:$C$3002,"&lt;&gt;U",$S$3:$S$3002,Calc!$F$2))</f>
        <v/>
      </c>
      <c r="P321" s="35" t="str">
        <f aca="false">IF(OR($A321="",$C321="U",$S321&lt;&gt;Calc!$F$2),"",SUMIFS($N$3:$N$3002,$E$3:$E$3002,$E321,$C$3:$C$3002,"&lt;&gt;U",$S$3:$S$3002,Calc!$F$2))</f>
        <v/>
      </c>
      <c r="Q321" s="35" t="str">
        <f aca="false">IF(OR($A321="",$C321="U",$S321&lt;&gt;Calc!$F$2),"",IF(COUNTIFS($E$3:$E321,$E321,$C$3:$C321,"&lt;&gt;U",$S$3:$S321,Calc!$F$2)=1,1,0))</f>
        <v/>
      </c>
      <c r="R321" s="35" t="str">
        <f aca="false">IF($Q321=1,$O321-ROW()/100000,"")</f>
        <v/>
      </c>
      <c r="S321" s="37" t="str">
        <f aca="false">IF($A321="","",INT($A321))</f>
        <v/>
      </c>
      <c r="T321" s="35" t="str">
        <f aca="false">IF($A321="","",IF(COUNTIFS($S$3:$S321,$S321)=1,1,0))</f>
        <v/>
      </c>
      <c r="U321" s="37" t="str">
        <f aca="false">IF($T321=1,$S321,"")</f>
        <v/>
      </c>
    </row>
    <row r="322" customFormat="false" ht="15" hidden="false" customHeight="false" outlineLevel="0" collapsed="false">
      <c r="M322" s="35" t="str">
        <f aca="false">IF($A322="","",HOUR($A322))</f>
        <v/>
      </c>
      <c r="N322" s="36" t="str">
        <f aca="false">IF($A322="","",$I322*$K322)</f>
        <v/>
      </c>
      <c r="O322" s="35" t="str">
        <f aca="false">IF(OR($A322="",$C322="U",$S322&lt;&gt;Calc!$F$2),"",SUMIFS($I$3:$I$3002,$E$3:$E$3002,$E322,$C$3:$C$3002,"&lt;&gt;U",$S$3:$S$3002,Calc!$F$2))</f>
        <v/>
      </c>
      <c r="P322" s="35" t="str">
        <f aca="false">IF(OR($A322="",$C322="U",$S322&lt;&gt;Calc!$F$2),"",SUMIFS($N$3:$N$3002,$E$3:$E$3002,$E322,$C$3:$C$3002,"&lt;&gt;U",$S$3:$S$3002,Calc!$F$2))</f>
        <v/>
      </c>
      <c r="Q322" s="35" t="str">
        <f aca="false">IF(OR($A322="",$C322="U",$S322&lt;&gt;Calc!$F$2),"",IF(COUNTIFS($E$3:$E322,$E322,$C$3:$C322,"&lt;&gt;U",$S$3:$S322,Calc!$F$2)=1,1,0))</f>
        <v/>
      </c>
      <c r="R322" s="35" t="str">
        <f aca="false">IF($Q322=1,$O322-ROW()/100000,"")</f>
        <v/>
      </c>
      <c r="S322" s="37" t="str">
        <f aca="false">IF($A322="","",INT($A322))</f>
        <v/>
      </c>
      <c r="T322" s="35" t="str">
        <f aca="false">IF($A322="","",IF(COUNTIFS($S$3:$S322,$S322)=1,1,0))</f>
        <v/>
      </c>
      <c r="U322" s="37" t="str">
        <f aca="false">IF($T322=1,$S322,"")</f>
        <v/>
      </c>
    </row>
    <row r="323" customFormat="false" ht="15" hidden="false" customHeight="false" outlineLevel="0" collapsed="false">
      <c r="M323" s="35" t="str">
        <f aca="false">IF($A323="","",HOUR($A323))</f>
        <v/>
      </c>
      <c r="N323" s="36" t="str">
        <f aca="false">IF($A323="","",$I323*$K323)</f>
        <v/>
      </c>
      <c r="O323" s="35" t="str">
        <f aca="false">IF(OR($A323="",$C323="U",$S323&lt;&gt;Calc!$F$2),"",SUMIFS($I$3:$I$3002,$E$3:$E$3002,$E323,$C$3:$C$3002,"&lt;&gt;U",$S$3:$S$3002,Calc!$F$2))</f>
        <v/>
      </c>
      <c r="P323" s="35" t="str">
        <f aca="false">IF(OR($A323="",$C323="U",$S323&lt;&gt;Calc!$F$2),"",SUMIFS($N$3:$N$3002,$E$3:$E$3002,$E323,$C$3:$C$3002,"&lt;&gt;U",$S$3:$S$3002,Calc!$F$2))</f>
        <v/>
      </c>
      <c r="Q323" s="35" t="str">
        <f aca="false">IF(OR($A323="",$C323="U",$S323&lt;&gt;Calc!$F$2),"",IF(COUNTIFS($E$3:$E323,$E323,$C$3:$C323,"&lt;&gt;U",$S$3:$S323,Calc!$F$2)=1,1,0))</f>
        <v/>
      </c>
      <c r="R323" s="35" t="str">
        <f aca="false">IF($Q323=1,$O323-ROW()/100000,"")</f>
        <v/>
      </c>
      <c r="S323" s="37" t="str">
        <f aca="false">IF($A323="","",INT($A323))</f>
        <v/>
      </c>
      <c r="T323" s="35" t="str">
        <f aca="false">IF($A323="","",IF(COUNTIFS($S$3:$S323,$S323)=1,1,0))</f>
        <v/>
      </c>
      <c r="U323" s="37" t="str">
        <f aca="false">IF($T323=1,$S323,"")</f>
        <v/>
      </c>
    </row>
    <row r="324" customFormat="false" ht="15" hidden="false" customHeight="false" outlineLevel="0" collapsed="false">
      <c r="M324" s="35" t="str">
        <f aca="false">IF($A324="","",HOUR($A324))</f>
        <v/>
      </c>
      <c r="N324" s="36" t="str">
        <f aca="false">IF($A324="","",$I324*$K324)</f>
        <v/>
      </c>
      <c r="O324" s="35" t="str">
        <f aca="false">IF(OR($A324="",$C324="U",$S324&lt;&gt;Calc!$F$2),"",SUMIFS($I$3:$I$3002,$E$3:$E$3002,$E324,$C$3:$C$3002,"&lt;&gt;U",$S$3:$S$3002,Calc!$F$2))</f>
        <v/>
      </c>
      <c r="P324" s="35" t="str">
        <f aca="false">IF(OR($A324="",$C324="U",$S324&lt;&gt;Calc!$F$2),"",SUMIFS($N$3:$N$3002,$E$3:$E$3002,$E324,$C$3:$C$3002,"&lt;&gt;U",$S$3:$S$3002,Calc!$F$2))</f>
        <v/>
      </c>
      <c r="Q324" s="35" t="str">
        <f aca="false">IF(OR($A324="",$C324="U",$S324&lt;&gt;Calc!$F$2),"",IF(COUNTIFS($E$3:$E324,$E324,$C$3:$C324,"&lt;&gt;U",$S$3:$S324,Calc!$F$2)=1,1,0))</f>
        <v/>
      </c>
      <c r="R324" s="35" t="str">
        <f aca="false">IF($Q324=1,$O324-ROW()/100000,"")</f>
        <v/>
      </c>
      <c r="S324" s="37" t="str">
        <f aca="false">IF($A324="","",INT($A324))</f>
        <v/>
      </c>
      <c r="T324" s="35" t="str">
        <f aca="false">IF($A324="","",IF(COUNTIFS($S$3:$S324,$S324)=1,1,0))</f>
        <v/>
      </c>
      <c r="U324" s="37" t="str">
        <f aca="false">IF($T324=1,$S324,"")</f>
        <v/>
      </c>
    </row>
    <row r="325" customFormat="false" ht="15" hidden="false" customHeight="false" outlineLevel="0" collapsed="false">
      <c r="M325" s="35" t="str">
        <f aca="false">IF($A325="","",HOUR($A325))</f>
        <v/>
      </c>
      <c r="N325" s="36" t="str">
        <f aca="false">IF($A325="","",$I325*$K325)</f>
        <v/>
      </c>
      <c r="O325" s="35" t="str">
        <f aca="false">IF(OR($A325="",$C325="U",$S325&lt;&gt;Calc!$F$2),"",SUMIFS($I$3:$I$3002,$E$3:$E$3002,$E325,$C$3:$C$3002,"&lt;&gt;U",$S$3:$S$3002,Calc!$F$2))</f>
        <v/>
      </c>
      <c r="P325" s="35" t="str">
        <f aca="false">IF(OR($A325="",$C325="U",$S325&lt;&gt;Calc!$F$2),"",SUMIFS($N$3:$N$3002,$E$3:$E$3002,$E325,$C$3:$C$3002,"&lt;&gt;U",$S$3:$S$3002,Calc!$F$2))</f>
        <v/>
      </c>
      <c r="Q325" s="35" t="str">
        <f aca="false">IF(OR($A325="",$C325="U",$S325&lt;&gt;Calc!$F$2),"",IF(COUNTIFS($E$3:$E325,$E325,$C$3:$C325,"&lt;&gt;U",$S$3:$S325,Calc!$F$2)=1,1,0))</f>
        <v/>
      </c>
      <c r="R325" s="35" t="str">
        <f aca="false">IF($Q325=1,$O325-ROW()/100000,"")</f>
        <v/>
      </c>
      <c r="S325" s="37" t="str">
        <f aca="false">IF($A325="","",INT($A325))</f>
        <v/>
      </c>
      <c r="T325" s="35" t="str">
        <f aca="false">IF($A325="","",IF(COUNTIFS($S$3:$S325,$S325)=1,1,0))</f>
        <v/>
      </c>
      <c r="U325" s="37" t="str">
        <f aca="false">IF($T325=1,$S325,"")</f>
        <v/>
      </c>
    </row>
    <row r="326" customFormat="false" ht="15" hidden="false" customHeight="false" outlineLevel="0" collapsed="false">
      <c r="M326" s="35" t="str">
        <f aca="false">IF($A326="","",HOUR($A326))</f>
        <v/>
      </c>
      <c r="N326" s="36" t="str">
        <f aca="false">IF($A326="","",$I326*$K326)</f>
        <v/>
      </c>
      <c r="O326" s="35" t="str">
        <f aca="false">IF(OR($A326="",$C326="U",$S326&lt;&gt;Calc!$F$2),"",SUMIFS($I$3:$I$3002,$E$3:$E$3002,$E326,$C$3:$C$3002,"&lt;&gt;U",$S$3:$S$3002,Calc!$F$2))</f>
        <v/>
      </c>
      <c r="P326" s="35" t="str">
        <f aca="false">IF(OR($A326="",$C326="U",$S326&lt;&gt;Calc!$F$2),"",SUMIFS($N$3:$N$3002,$E$3:$E$3002,$E326,$C$3:$C$3002,"&lt;&gt;U",$S$3:$S$3002,Calc!$F$2))</f>
        <v/>
      </c>
      <c r="Q326" s="35" t="str">
        <f aca="false">IF(OR($A326="",$C326="U",$S326&lt;&gt;Calc!$F$2),"",IF(COUNTIFS($E$3:$E326,$E326,$C$3:$C326,"&lt;&gt;U",$S$3:$S326,Calc!$F$2)=1,1,0))</f>
        <v/>
      </c>
      <c r="R326" s="35" t="str">
        <f aca="false">IF($Q326=1,$O326-ROW()/100000,"")</f>
        <v/>
      </c>
      <c r="S326" s="37" t="str">
        <f aca="false">IF($A326="","",INT($A326))</f>
        <v/>
      </c>
      <c r="T326" s="35" t="str">
        <f aca="false">IF($A326="","",IF(COUNTIFS($S$3:$S326,$S326)=1,1,0))</f>
        <v/>
      </c>
      <c r="U326" s="37" t="str">
        <f aca="false">IF($T326=1,$S326,"")</f>
        <v/>
      </c>
    </row>
    <row r="327" customFormat="false" ht="15" hidden="false" customHeight="false" outlineLevel="0" collapsed="false">
      <c r="M327" s="35" t="str">
        <f aca="false">IF($A327="","",HOUR($A327))</f>
        <v/>
      </c>
      <c r="N327" s="36" t="str">
        <f aca="false">IF($A327="","",$I327*$K327)</f>
        <v/>
      </c>
      <c r="O327" s="35" t="str">
        <f aca="false">IF(OR($A327="",$C327="U",$S327&lt;&gt;Calc!$F$2),"",SUMIFS($I$3:$I$3002,$E$3:$E$3002,$E327,$C$3:$C$3002,"&lt;&gt;U",$S$3:$S$3002,Calc!$F$2))</f>
        <v/>
      </c>
      <c r="P327" s="35" t="str">
        <f aca="false">IF(OR($A327="",$C327="U",$S327&lt;&gt;Calc!$F$2),"",SUMIFS($N$3:$N$3002,$E$3:$E$3002,$E327,$C$3:$C$3002,"&lt;&gt;U",$S$3:$S$3002,Calc!$F$2))</f>
        <v/>
      </c>
      <c r="Q327" s="35" t="str">
        <f aca="false">IF(OR($A327="",$C327="U",$S327&lt;&gt;Calc!$F$2),"",IF(COUNTIFS($E$3:$E327,$E327,$C$3:$C327,"&lt;&gt;U",$S$3:$S327,Calc!$F$2)=1,1,0))</f>
        <v/>
      </c>
      <c r="R327" s="35" t="str">
        <f aca="false">IF($Q327=1,$O327-ROW()/100000,"")</f>
        <v/>
      </c>
      <c r="S327" s="37" t="str">
        <f aca="false">IF($A327="","",INT($A327))</f>
        <v/>
      </c>
      <c r="T327" s="35" t="str">
        <f aca="false">IF($A327="","",IF(COUNTIFS($S$3:$S327,$S327)=1,1,0))</f>
        <v/>
      </c>
      <c r="U327" s="37" t="str">
        <f aca="false">IF($T327=1,$S327,"")</f>
        <v/>
      </c>
    </row>
    <row r="328" customFormat="false" ht="15" hidden="false" customHeight="false" outlineLevel="0" collapsed="false">
      <c r="M328" s="35" t="str">
        <f aca="false">IF($A328="","",HOUR($A328))</f>
        <v/>
      </c>
      <c r="N328" s="36" t="str">
        <f aca="false">IF($A328="","",$I328*$K328)</f>
        <v/>
      </c>
      <c r="O328" s="35" t="str">
        <f aca="false">IF(OR($A328="",$C328="U",$S328&lt;&gt;Calc!$F$2),"",SUMIFS($I$3:$I$3002,$E$3:$E$3002,$E328,$C$3:$C$3002,"&lt;&gt;U",$S$3:$S$3002,Calc!$F$2))</f>
        <v/>
      </c>
      <c r="P328" s="35" t="str">
        <f aca="false">IF(OR($A328="",$C328="U",$S328&lt;&gt;Calc!$F$2),"",SUMIFS($N$3:$N$3002,$E$3:$E$3002,$E328,$C$3:$C$3002,"&lt;&gt;U",$S$3:$S$3002,Calc!$F$2))</f>
        <v/>
      </c>
      <c r="Q328" s="35" t="str">
        <f aca="false">IF(OR($A328="",$C328="U",$S328&lt;&gt;Calc!$F$2),"",IF(COUNTIFS($E$3:$E328,$E328,$C$3:$C328,"&lt;&gt;U",$S$3:$S328,Calc!$F$2)=1,1,0))</f>
        <v/>
      </c>
      <c r="R328" s="35" t="str">
        <f aca="false">IF($Q328=1,$O328-ROW()/100000,"")</f>
        <v/>
      </c>
      <c r="S328" s="37" t="str">
        <f aca="false">IF($A328="","",INT($A328))</f>
        <v/>
      </c>
      <c r="T328" s="35" t="str">
        <f aca="false">IF($A328="","",IF(COUNTIFS($S$3:$S328,$S328)=1,1,0))</f>
        <v/>
      </c>
      <c r="U328" s="37" t="str">
        <f aca="false">IF($T328=1,$S328,"")</f>
        <v/>
      </c>
    </row>
    <row r="329" customFormat="false" ht="15" hidden="false" customHeight="false" outlineLevel="0" collapsed="false">
      <c r="M329" s="35" t="str">
        <f aca="false">IF($A329="","",HOUR($A329))</f>
        <v/>
      </c>
      <c r="N329" s="36" t="str">
        <f aca="false">IF($A329="","",$I329*$K329)</f>
        <v/>
      </c>
      <c r="O329" s="35" t="str">
        <f aca="false">IF(OR($A329="",$C329="U",$S329&lt;&gt;Calc!$F$2),"",SUMIFS($I$3:$I$3002,$E$3:$E$3002,$E329,$C$3:$C$3002,"&lt;&gt;U",$S$3:$S$3002,Calc!$F$2))</f>
        <v/>
      </c>
      <c r="P329" s="35" t="str">
        <f aca="false">IF(OR($A329="",$C329="U",$S329&lt;&gt;Calc!$F$2),"",SUMIFS($N$3:$N$3002,$E$3:$E$3002,$E329,$C$3:$C$3002,"&lt;&gt;U",$S$3:$S$3002,Calc!$F$2))</f>
        <v/>
      </c>
      <c r="Q329" s="35" t="str">
        <f aca="false">IF(OR($A329="",$C329="U",$S329&lt;&gt;Calc!$F$2),"",IF(COUNTIFS($E$3:$E329,$E329,$C$3:$C329,"&lt;&gt;U",$S$3:$S329,Calc!$F$2)=1,1,0))</f>
        <v/>
      </c>
      <c r="R329" s="35" t="str">
        <f aca="false">IF($Q329=1,$O329-ROW()/100000,"")</f>
        <v/>
      </c>
      <c r="S329" s="37" t="str">
        <f aca="false">IF($A329="","",INT($A329))</f>
        <v/>
      </c>
      <c r="T329" s="35" t="str">
        <f aca="false">IF($A329="","",IF(COUNTIFS($S$3:$S329,$S329)=1,1,0))</f>
        <v/>
      </c>
      <c r="U329" s="37" t="str">
        <f aca="false">IF($T329=1,$S329,"")</f>
        <v/>
      </c>
    </row>
    <row r="330" customFormat="false" ht="15" hidden="false" customHeight="false" outlineLevel="0" collapsed="false">
      <c r="M330" s="35" t="str">
        <f aca="false">IF($A330="","",HOUR($A330))</f>
        <v/>
      </c>
      <c r="N330" s="36" t="str">
        <f aca="false">IF($A330="","",$I330*$K330)</f>
        <v/>
      </c>
      <c r="O330" s="35" t="str">
        <f aca="false">IF(OR($A330="",$C330="U",$S330&lt;&gt;Calc!$F$2),"",SUMIFS($I$3:$I$3002,$E$3:$E$3002,$E330,$C$3:$C$3002,"&lt;&gt;U",$S$3:$S$3002,Calc!$F$2))</f>
        <v/>
      </c>
      <c r="P330" s="35" t="str">
        <f aca="false">IF(OR($A330="",$C330="U",$S330&lt;&gt;Calc!$F$2),"",SUMIFS($N$3:$N$3002,$E$3:$E$3002,$E330,$C$3:$C$3002,"&lt;&gt;U",$S$3:$S$3002,Calc!$F$2))</f>
        <v/>
      </c>
      <c r="Q330" s="35" t="str">
        <f aca="false">IF(OR($A330="",$C330="U",$S330&lt;&gt;Calc!$F$2),"",IF(COUNTIFS($E$3:$E330,$E330,$C$3:$C330,"&lt;&gt;U",$S$3:$S330,Calc!$F$2)=1,1,0))</f>
        <v/>
      </c>
      <c r="R330" s="35" t="str">
        <f aca="false">IF($Q330=1,$O330-ROW()/100000,"")</f>
        <v/>
      </c>
      <c r="S330" s="37" t="str">
        <f aca="false">IF($A330="","",INT($A330))</f>
        <v/>
      </c>
      <c r="T330" s="35" t="str">
        <f aca="false">IF($A330="","",IF(COUNTIFS($S$3:$S330,$S330)=1,1,0))</f>
        <v/>
      </c>
      <c r="U330" s="37" t="str">
        <f aca="false">IF($T330=1,$S330,"")</f>
        <v/>
      </c>
    </row>
    <row r="331" customFormat="false" ht="15" hidden="false" customHeight="false" outlineLevel="0" collapsed="false">
      <c r="M331" s="35" t="str">
        <f aca="false">IF($A331="","",HOUR($A331))</f>
        <v/>
      </c>
      <c r="N331" s="36" t="str">
        <f aca="false">IF($A331="","",$I331*$K331)</f>
        <v/>
      </c>
      <c r="O331" s="35" t="str">
        <f aca="false">IF(OR($A331="",$C331="U",$S331&lt;&gt;Calc!$F$2),"",SUMIFS($I$3:$I$3002,$E$3:$E$3002,$E331,$C$3:$C$3002,"&lt;&gt;U",$S$3:$S$3002,Calc!$F$2))</f>
        <v/>
      </c>
      <c r="P331" s="35" t="str">
        <f aca="false">IF(OR($A331="",$C331="U",$S331&lt;&gt;Calc!$F$2),"",SUMIFS($N$3:$N$3002,$E$3:$E$3002,$E331,$C$3:$C$3002,"&lt;&gt;U",$S$3:$S$3002,Calc!$F$2))</f>
        <v/>
      </c>
      <c r="Q331" s="35" t="str">
        <f aca="false">IF(OR($A331="",$C331="U",$S331&lt;&gt;Calc!$F$2),"",IF(COUNTIFS($E$3:$E331,$E331,$C$3:$C331,"&lt;&gt;U",$S$3:$S331,Calc!$F$2)=1,1,0))</f>
        <v/>
      </c>
      <c r="R331" s="35" t="str">
        <f aca="false">IF($Q331=1,$O331-ROW()/100000,"")</f>
        <v/>
      </c>
      <c r="S331" s="37" t="str">
        <f aca="false">IF($A331="","",INT($A331))</f>
        <v/>
      </c>
      <c r="T331" s="35" t="str">
        <f aca="false">IF($A331="","",IF(COUNTIFS($S$3:$S331,$S331)=1,1,0))</f>
        <v/>
      </c>
      <c r="U331" s="37" t="str">
        <f aca="false">IF($T331=1,$S331,"")</f>
        <v/>
      </c>
    </row>
    <row r="332" customFormat="false" ht="15" hidden="false" customHeight="false" outlineLevel="0" collapsed="false">
      <c r="M332" s="35" t="str">
        <f aca="false">IF($A332="","",HOUR($A332))</f>
        <v/>
      </c>
      <c r="N332" s="36" t="str">
        <f aca="false">IF($A332="","",$I332*$K332)</f>
        <v/>
      </c>
      <c r="O332" s="35" t="str">
        <f aca="false">IF(OR($A332="",$C332="U",$S332&lt;&gt;Calc!$F$2),"",SUMIFS($I$3:$I$3002,$E$3:$E$3002,$E332,$C$3:$C$3002,"&lt;&gt;U",$S$3:$S$3002,Calc!$F$2))</f>
        <v/>
      </c>
      <c r="P332" s="35" t="str">
        <f aca="false">IF(OR($A332="",$C332="U",$S332&lt;&gt;Calc!$F$2),"",SUMIFS($N$3:$N$3002,$E$3:$E$3002,$E332,$C$3:$C$3002,"&lt;&gt;U",$S$3:$S$3002,Calc!$F$2))</f>
        <v/>
      </c>
      <c r="Q332" s="35" t="str">
        <f aca="false">IF(OR($A332="",$C332="U",$S332&lt;&gt;Calc!$F$2),"",IF(COUNTIFS($E$3:$E332,$E332,$C$3:$C332,"&lt;&gt;U",$S$3:$S332,Calc!$F$2)=1,1,0))</f>
        <v/>
      </c>
      <c r="R332" s="35" t="str">
        <f aca="false">IF($Q332=1,$O332-ROW()/100000,"")</f>
        <v/>
      </c>
      <c r="S332" s="37" t="str">
        <f aca="false">IF($A332="","",INT($A332))</f>
        <v/>
      </c>
      <c r="T332" s="35" t="str">
        <f aca="false">IF($A332="","",IF(COUNTIFS($S$3:$S332,$S332)=1,1,0))</f>
        <v/>
      </c>
      <c r="U332" s="37" t="str">
        <f aca="false">IF($T332=1,$S332,"")</f>
        <v/>
      </c>
    </row>
    <row r="333" customFormat="false" ht="15" hidden="false" customHeight="false" outlineLevel="0" collapsed="false">
      <c r="M333" s="35" t="str">
        <f aca="false">IF($A333="","",HOUR($A333))</f>
        <v/>
      </c>
      <c r="N333" s="36" t="str">
        <f aca="false">IF($A333="","",$I333*$K333)</f>
        <v/>
      </c>
      <c r="O333" s="35" t="str">
        <f aca="false">IF(OR($A333="",$C333="U",$S333&lt;&gt;Calc!$F$2),"",SUMIFS($I$3:$I$3002,$E$3:$E$3002,$E333,$C$3:$C$3002,"&lt;&gt;U",$S$3:$S$3002,Calc!$F$2))</f>
        <v/>
      </c>
      <c r="P333" s="35" t="str">
        <f aca="false">IF(OR($A333="",$C333="U",$S333&lt;&gt;Calc!$F$2),"",SUMIFS($N$3:$N$3002,$E$3:$E$3002,$E333,$C$3:$C$3002,"&lt;&gt;U",$S$3:$S$3002,Calc!$F$2))</f>
        <v/>
      </c>
      <c r="Q333" s="35" t="str">
        <f aca="false">IF(OR($A333="",$C333="U",$S333&lt;&gt;Calc!$F$2),"",IF(COUNTIFS($E$3:$E333,$E333,$C$3:$C333,"&lt;&gt;U",$S$3:$S333,Calc!$F$2)=1,1,0))</f>
        <v/>
      </c>
      <c r="R333" s="35" t="str">
        <f aca="false">IF($Q333=1,$O333-ROW()/100000,"")</f>
        <v/>
      </c>
      <c r="S333" s="37" t="str">
        <f aca="false">IF($A333="","",INT($A333))</f>
        <v/>
      </c>
      <c r="T333" s="35" t="str">
        <f aca="false">IF($A333="","",IF(COUNTIFS($S$3:$S333,$S333)=1,1,0))</f>
        <v/>
      </c>
      <c r="U333" s="37" t="str">
        <f aca="false">IF($T333=1,$S333,"")</f>
        <v/>
      </c>
    </row>
    <row r="334" customFormat="false" ht="15" hidden="false" customHeight="false" outlineLevel="0" collapsed="false">
      <c r="M334" s="35" t="str">
        <f aca="false">IF($A334="","",HOUR($A334))</f>
        <v/>
      </c>
      <c r="N334" s="36" t="str">
        <f aca="false">IF($A334="","",$I334*$K334)</f>
        <v/>
      </c>
      <c r="O334" s="35" t="str">
        <f aca="false">IF(OR($A334="",$C334="U",$S334&lt;&gt;Calc!$F$2),"",SUMIFS($I$3:$I$3002,$E$3:$E$3002,$E334,$C$3:$C$3002,"&lt;&gt;U",$S$3:$S$3002,Calc!$F$2))</f>
        <v/>
      </c>
      <c r="P334" s="35" t="str">
        <f aca="false">IF(OR($A334="",$C334="U",$S334&lt;&gt;Calc!$F$2),"",SUMIFS($N$3:$N$3002,$E$3:$E$3002,$E334,$C$3:$C$3002,"&lt;&gt;U",$S$3:$S$3002,Calc!$F$2))</f>
        <v/>
      </c>
      <c r="Q334" s="35" t="str">
        <f aca="false">IF(OR($A334="",$C334="U",$S334&lt;&gt;Calc!$F$2),"",IF(COUNTIFS($E$3:$E334,$E334,$C$3:$C334,"&lt;&gt;U",$S$3:$S334,Calc!$F$2)=1,1,0))</f>
        <v/>
      </c>
      <c r="R334" s="35" t="str">
        <f aca="false">IF($Q334=1,$O334-ROW()/100000,"")</f>
        <v/>
      </c>
      <c r="S334" s="37" t="str">
        <f aca="false">IF($A334="","",INT($A334))</f>
        <v/>
      </c>
      <c r="T334" s="35" t="str">
        <f aca="false">IF($A334="","",IF(COUNTIFS($S$3:$S334,$S334)=1,1,0))</f>
        <v/>
      </c>
      <c r="U334" s="37" t="str">
        <f aca="false">IF($T334=1,$S334,"")</f>
        <v/>
      </c>
    </row>
    <row r="335" customFormat="false" ht="15" hidden="false" customHeight="false" outlineLevel="0" collapsed="false">
      <c r="M335" s="35" t="str">
        <f aca="false">IF($A335="","",HOUR($A335))</f>
        <v/>
      </c>
      <c r="N335" s="36" t="str">
        <f aca="false">IF($A335="","",$I335*$K335)</f>
        <v/>
      </c>
      <c r="O335" s="35" t="str">
        <f aca="false">IF(OR($A335="",$C335="U",$S335&lt;&gt;Calc!$F$2),"",SUMIFS($I$3:$I$3002,$E$3:$E$3002,$E335,$C$3:$C$3002,"&lt;&gt;U",$S$3:$S$3002,Calc!$F$2))</f>
        <v/>
      </c>
      <c r="P335" s="35" t="str">
        <f aca="false">IF(OR($A335="",$C335="U",$S335&lt;&gt;Calc!$F$2),"",SUMIFS($N$3:$N$3002,$E$3:$E$3002,$E335,$C$3:$C$3002,"&lt;&gt;U",$S$3:$S$3002,Calc!$F$2))</f>
        <v/>
      </c>
      <c r="Q335" s="35" t="str">
        <f aca="false">IF(OR($A335="",$C335="U",$S335&lt;&gt;Calc!$F$2),"",IF(COUNTIFS($E$3:$E335,$E335,$C$3:$C335,"&lt;&gt;U",$S$3:$S335,Calc!$F$2)=1,1,0))</f>
        <v/>
      </c>
      <c r="R335" s="35" t="str">
        <f aca="false">IF($Q335=1,$O335-ROW()/100000,"")</f>
        <v/>
      </c>
      <c r="S335" s="37" t="str">
        <f aca="false">IF($A335="","",INT($A335))</f>
        <v/>
      </c>
      <c r="T335" s="35" t="str">
        <f aca="false">IF($A335="","",IF(COUNTIFS($S$3:$S335,$S335)=1,1,0))</f>
        <v/>
      </c>
      <c r="U335" s="37" t="str">
        <f aca="false">IF($T335=1,$S335,"")</f>
        <v/>
      </c>
    </row>
    <row r="336" customFormat="false" ht="15" hidden="false" customHeight="false" outlineLevel="0" collapsed="false">
      <c r="M336" s="35" t="str">
        <f aca="false">IF($A336="","",HOUR($A336))</f>
        <v/>
      </c>
      <c r="N336" s="36" t="str">
        <f aca="false">IF($A336="","",$I336*$K336)</f>
        <v/>
      </c>
      <c r="O336" s="35" t="str">
        <f aca="false">IF(OR($A336="",$C336="U",$S336&lt;&gt;Calc!$F$2),"",SUMIFS($I$3:$I$3002,$E$3:$E$3002,$E336,$C$3:$C$3002,"&lt;&gt;U",$S$3:$S$3002,Calc!$F$2))</f>
        <v/>
      </c>
      <c r="P336" s="35" t="str">
        <f aca="false">IF(OR($A336="",$C336="U",$S336&lt;&gt;Calc!$F$2),"",SUMIFS($N$3:$N$3002,$E$3:$E$3002,$E336,$C$3:$C$3002,"&lt;&gt;U",$S$3:$S$3002,Calc!$F$2))</f>
        <v/>
      </c>
      <c r="Q336" s="35" t="str">
        <f aca="false">IF(OR($A336="",$C336="U",$S336&lt;&gt;Calc!$F$2),"",IF(COUNTIFS($E$3:$E336,$E336,$C$3:$C336,"&lt;&gt;U",$S$3:$S336,Calc!$F$2)=1,1,0))</f>
        <v/>
      </c>
      <c r="R336" s="35" t="str">
        <f aca="false">IF($Q336=1,$O336-ROW()/100000,"")</f>
        <v/>
      </c>
      <c r="S336" s="37" t="str">
        <f aca="false">IF($A336="","",INT($A336))</f>
        <v/>
      </c>
      <c r="T336" s="35" t="str">
        <f aca="false">IF($A336="","",IF(COUNTIFS($S$3:$S336,$S336)=1,1,0))</f>
        <v/>
      </c>
      <c r="U336" s="37" t="str">
        <f aca="false">IF($T336=1,$S336,"")</f>
        <v/>
      </c>
    </row>
    <row r="337" customFormat="false" ht="15" hidden="false" customHeight="false" outlineLevel="0" collapsed="false">
      <c r="M337" s="35" t="str">
        <f aca="false">IF($A337="","",HOUR($A337))</f>
        <v/>
      </c>
      <c r="N337" s="36" t="str">
        <f aca="false">IF($A337="","",$I337*$K337)</f>
        <v/>
      </c>
      <c r="O337" s="35" t="str">
        <f aca="false">IF(OR($A337="",$C337="U",$S337&lt;&gt;Calc!$F$2),"",SUMIFS($I$3:$I$3002,$E$3:$E$3002,$E337,$C$3:$C$3002,"&lt;&gt;U",$S$3:$S$3002,Calc!$F$2))</f>
        <v/>
      </c>
      <c r="P337" s="35" t="str">
        <f aca="false">IF(OR($A337="",$C337="U",$S337&lt;&gt;Calc!$F$2),"",SUMIFS($N$3:$N$3002,$E$3:$E$3002,$E337,$C$3:$C$3002,"&lt;&gt;U",$S$3:$S$3002,Calc!$F$2))</f>
        <v/>
      </c>
      <c r="Q337" s="35" t="str">
        <f aca="false">IF(OR($A337="",$C337="U",$S337&lt;&gt;Calc!$F$2),"",IF(COUNTIFS($E$3:$E337,$E337,$C$3:$C337,"&lt;&gt;U",$S$3:$S337,Calc!$F$2)=1,1,0))</f>
        <v/>
      </c>
      <c r="R337" s="35" t="str">
        <f aca="false">IF($Q337=1,$O337-ROW()/100000,"")</f>
        <v/>
      </c>
      <c r="S337" s="37" t="str">
        <f aca="false">IF($A337="","",INT($A337))</f>
        <v/>
      </c>
      <c r="T337" s="35" t="str">
        <f aca="false">IF($A337="","",IF(COUNTIFS($S$3:$S337,$S337)=1,1,0))</f>
        <v/>
      </c>
      <c r="U337" s="37" t="str">
        <f aca="false">IF($T337=1,$S337,"")</f>
        <v/>
      </c>
    </row>
    <row r="338" customFormat="false" ht="15" hidden="false" customHeight="false" outlineLevel="0" collapsed="false">
      <c r="M338" s="35" t="str">
        <f aca="false">IF($A338="","",HOUR($A338))</f>
        <v/>
      </c>
      <c r="N338" s="36" t="str">
        <f aca="false">IF($A338="","",$I338*$K338)</f>
        <v/>
      </c>
      <c r="O338" s="35" t="str">
        <f aca="false">IF(OR($A338="",$C338="U",$S338&lt;&gt;Calc!$F$2),"",SUMIFS($I$3:$I$3002,$E$3:$E$3002,$E338,$C$3:$C$3002,"&lt;&gt;U",$S$3:$S$3002,Calc!$F$2))</f>
        <v/>
      </c>
      <c r="P338" s="35" t="str">
        <f aca="false">IF(OR($A338="",$C338="U",$S338&lt;&gt;Calc!$F$2),"",SUMIFS($N$3:$N$3002,$E$3:$E$3002,$E338,$C$3:$C$3002,"&lt;&gt;U",$S$3:$S$3002,Calc!$F$2))</f>
        <v/>
      </c>
      <c r="Q338" s="35" t="str">
        <f aca="false">IF(OR($A338="",$C338="U",$S338&lt;&gt;Calc!$F$2),"",IF(COUNTIFS($E$3:$E338,$E338,$C$3:$C338,"&lt;&gt;U",$S$3:$S338,Calc!$F$2)=1,1,0))</f>
        <v/>
      </c>
      <c r="R338" s="35" t="str">
        <f aca="false">IF($Q338=1,$O338-ROW()/100000,"")</f>
        <v/>
      </c>
      <c r="S338" s="37" t="str">
        <f aca="false">IF($A338="","",INT($A338))</f>
        <v/>
      </c>
      <c r="T338" s="35" t="str">
        <f aca="false">IF($A338="","",IF(COUNTIFS($S$3:$S338,$S338)=1,1,0))</f>
        <v/>
      </c>
      <c r="U338" s="37" t="str">
        <f aca="false">IF($T338=1,$S338,"")</f>
        <v/>
      </c>
    </row>
    <row r="339" customFormat="false" ht="15" hidden="false" customHeight="false" outlineLevel="0" collapsed="false">
      <c r="M339" s="35" t="str">
        <f aca="false">IF($A339="","",HOUR($A339))</f>
        <v/>
      </c>
      <c r="N339" s="36" t="str">
        <f aca="false">IF($A339="","",$I339*$K339)</f>
        <v/>
      </c>
      <c r="O339" s="35" t="str">
        <f aca="false">IF(OR($A339="",$C339="U",$S339&lt;&gt;Calc!$F$2),"",SUMIFS($I$3:$I$3002,$E$3:$E$3002,$E339,$C$3:$C$3002,"&lt;&gt;U",$S$3:$S$3002,Calc!$F$2))</f>
        <v/>
      </c>
      <c r="P339" s="35" t="str">
        <f aca="false">IF(OR($A339="",$C339="U",$S339&lt;&gt;Calc!$F$2),"",SUMIFS($N$3:$N$3002,$E$3:$E$3002,$E339,$C$3:$C$3002,"&lt;&gt;U",$S$3:$S$3002,Calc!$F$2))</f>
        <v/>
      </c>
      <c r="Q339" s="35" t="str">
        <f aca="false">IF(OR($A339="",$C339="U",$S339&lt;&gt;Calc!$F$2),"",IF(COUNTIFS($E$3:$E339,$E339,$C$3:$C339,"&lt;&gt;U",$S$3:$S339,Calc!$F$2)=1,1,0))</f>
        <v/>
      </c>
      <c r="R339" s="35" t="str">
        <f aca="false">IF($Q339=1,$O339-ROW()/100000,"")</f>
        <v/>
      </c>
      <c r="S339" s="37" t="str">
        <f aca="false">IF($A339="","",INT($A339))</f>
        <v/>
      </c>
      <c r="T339" s="35" t="str">
        <f aca="false">IF($A339="","",IF(COUNTIFS($S$3:$S339,$S339)=1,1,0))</f>
        <v/>
      </c>
      <c r="U339" s="37" t="str">
        <f aca="false">IF($T339=1,$S339,"")</f>
        <v/>
      </c>
    </row>
    <row r="340" customFormat="false" ht="15" hidden="false" customHeight="false" outlineLevel="0" collapsed="false">
      <c r="M340" s="35" t="str">
        <f aca="false">IF($A340="","",HOUR($A340))</f>
        <v/>
      </c>
      <c r="N340" s="36" t="str">
        <f aca="false">IF($A340="","",$I340*$K340)</f>
        <v/>
      </c>
      <c r="O340" s="35" t="str">
        <f aca="false">IF(OR($A340="",$C340="U",$S340&lt;&gt;Calc!$F$2),"",SUMIFS($I$3:$I$3002,$E$3:$E$3002,$E340,$C$3:$C$3002,"&lt;&gt;U",$S$3:$S$3002,Calc!$F$2))</f>
        <v/>
      </c>
      <c r="P340" s="35" t="str">
        <f aca="false">IF(OR($A340="",$C340="U",$S340&lt;&gt;Calc!$F$2),"",SUMIFS($N$3:$N$3002,$E$3:$E$3002,$E340,$C$3:$C$3002,"&lt;&gt;U",$S$3:$S$3002,Calc!$F$2))</f>
        <v/>
      </c>
      <c r="Q340" s="35" t="str">
        <f aca="false">IF(OR($A340="",$C340="U",$S340&lt;&gt;Calc!$F$2),"",IF(COUNTIFS($E$3:$E340,$E340,$C$3:$C340,"&lt;&gt;U",$S$3:$S340,Calc!$F$2)=1,1,0))</f>
        <v/>
      </c>
      <c r="R340" s="35" t="str">
        <f aca="false">IF($Q340=1,$O340-ROW()/100000,"")</f>
        <v/>
      </c>
      <c r="S340" s="37" t="str">
        <f aca="false">IF($A340="","",INT($A340))</f>
        <v/>
      </c>
      <c r="T340" s="35" t="str">
        <f aca="false">IF($A340="","",IF(COUNTIFS($S$3:$S340,$S340)=1,1,0))</f>
        <v/>
      </c>
      <c r="U340" s="37" t="str">
        <f aca="false">IF($T340=1,$S340,"")</f>
        <v/>
      </c>
    </row>
    <row r="341" customFormat="false" ht="15" hidden="false" customHeight="false" outlineLevel="0" collapsed="false">
      <c r="M341" s="35" t="str">
        <f aca="false">IF($A341="","",HOUR($A341))</f>
        <v/>
      </c>
      <c r="N341" s="36" t="str">
        <f aca="false">IF($A341="","",$I341*$K341)</f>
        <v/>
      </c>
      <c r="O341" s="35" t="str">
        <f aca="false">IF(OR($A341="",$C341="U",$S341&lt;&gt;Calc!$F$2),"",SUMIFS($I$3:$I$3002,$E$3:$E$3002,$E341,$C$3:$C$3002,"&lt;&gt;U",$S$3:$S$3002,Calc!$F$2))</f>
        <v/>
      </c>
      <c r="P341" s="35" t="str">
        <f aca="false">IF(OR($A341="",$C341="U",$S341&lt;&gt;Calc!$F$2),"",SUMIFS($N$3:$N$3002,$E$3:$E$3002,$E341,$C$3:$C$3002,"&lt;&gt;U",$S$3:$S$3002,Calc!$F$2))</f>
        <v/>
      </c>
      <c r="Q341" s="35" t="str">
        <f aca="false">IF(OR($A341="",$C341="U",$S341&lt;&gt;Calc!$F$2),"",IF(COUNTIFS($E$3:$E341,$E341,$C$3:$C341,"&lt;&gt;U",$S$3:$S341,Calc!$F$2)=1,1,0))</f>
        <v/>
      </c>
      <c r="R341" s="35" t="str">
        <f aca="false">IF($Q341=1,$O341-ROW()/100000,"")</f>
        <v/>
      </c>
      <c r="S341" s="37" t="str">
        <f aca="false">IF($A341="","",INT($A341))</f>
        <v/>
      </c>
      <c r="T341" s="35" t="str">
        <f aca="false">IF($A341="","",IF(COUNTIFS($S$3:$S341,$S341)=1,1,0))</f>
        <v/>
      </c>
      <c r="U341" s="37" t="str">
        <f aca="false">IF($T341=1,$S341,"")</f>
        <v/>
      </c>
    </row>
    <row r="342" customFormat="false" ht="15" hidden="false" customHeight="false" outlineLevel="0" collapsed="false">
      <c r="M342" s="35" t="str">
        <f aca="false">IF($A342="","",HOUR($A342))</f>
        <v/>
      </c>
      <c r="N342" s="36" t="str">
        <f aca="false">IF($A342="","",$I342*$K342)</f>
        <v/>
      </c>
      <c r="O342" s="35" t="str">
        <f aca="false">IF(OR($A342="",$C342="U",$S342&lt;&gt;Calc!$F$2),"",SUMIFS($I$3:$I$3002,$E$3:$E$3002,$E342,$C$3:$C$3002,"&lt;&gt;U",$S$3:$S$3002,Calc!$F$2))</f>
        <v/>
      </c>
      <c r="P342" s="35" t="str">
        <f aca="false">IF(OR($A342="",$C342="U",$S342&lt;&gt;Calc!$F$2),"",SUMIFS($N$3:$N$3002,$E$3:$E$3002,$E342,$C$3:$C$3002,"&lt;&gt;U",$S$3:$S$3002,Calc!$F$2))</f>
        <v/>
      </c>
      <c r="Q342" s="35" t="str">
        <f aca="false">IF(OR($A342="",$C342="U",$S342&lt;&gt;Calc!$F$2),"",IF(COUNTIFS($E$3:$E342,$E342,$C$3:$C342,"&lt;&gt;U",$S$3:$S342,Calc!$F$2)=1,1,0))</f>
        <v/>
      </c>
      <c r="R342" s="35" t="str">
        <f aca="false">IF($Q342=1,$O342-ROW()/100000,"")</f>
        <v/>
      </c>
      <c r="S342" s="37" t="str">
        <f aca="false">IF($A342="","",INT($A342))</f>
        <v/>
      </c>
      <c r="T342" s="35" t="str">
        <f aca="false">IF($A342="","",IF(COUNTIFS($S$3:$S342,$S342)=1,1,0))</f>
        <v/>
      </c>
      <c r="U342" s="37" t="str">
        <f aca="false">IF($T342=1,$S342,"")</f>
        <v/>
      </c>
    </row>
    <row r="343" customFormat="false" ht="15" hidden="false" customHeight="false" outlineLevel="0" collapsed="false">
      <c r="M343" s="35" t="str">
        <f aca="false">IF($A343="","",HOUR($A343))</f>
        <v/>
      </c>
      <c r="N343" s="36" t="str">
        <f aca="false">IF($A343="","",$I343*$K343)</f>
        <v/>
      </c>
      <c r="O343" s="35" t="str">
        <f aca="false">IF(OR($A343="",$C343="U",$S343&lt;&gt;Calc!$F$2),"",SUMIFS($I$3:$I$3002,$E$3:$E$3002,$E343,$C$3:$C$3002,"&lt;&gt;U",$S$3:$S$3002,Calc!$F$2))</f>
        <v/>
      </c>
      <c r="P343" s="35" t="str">
        <f aca="false">IF(OR($A343="",$C343="U",$S343&lt;&gt;Calc!$F$2),"",SUMIFS($N$3:$N$3002,$E$3:$E$3002,$E343,$C$3:$C$3002,"&lt;&gt;U",$S$3:$S$3002,Calc!$F$2))</f>
        <v/>
      </c>
      <c r="Q343" s="35" t="str">
        <f aca="false">IF(OR($A343="",$C343="U",$S343&lt;&gt;Calc!$F$2),"",IF(COUNTIFS($E$3:$E343,$E343,$C$3:$C343,"&lt;&gt;U",$S$3:$S343,Calc!$F$2)=1,1,0))</f>
        <v/>
      </c>
      <c r="R343" s="35" t="str">
        <f aca="false">IF($Q343=1,$O343-ROW()/100000,"")</f>
        <v/>
      </c>
      <c r="S343" s="37" t="str">
        <f aca="false">IF($A343="","",INT($A343))</f>
        <v/>
      </c>
      <c r="T343" s="35" t="str">
        <f aca="false">IF($A343="","",IF(COUNTIFS($S$3:$S343,$S343)=1,1,0))</f>
        <v/>
      </c>
      <c r="U343" s="37" t="str">
        <f aca="false">IF($T343=1,$S343,"")</f>
        <v/>
      </c>
    </row>
    <row r="344" customFormat="false" ht="15" hidden="false" customHeight="false" outlineLevel="0" collapsed="false">
      <c r="M344" s="35" t="str">
        <f aca="false">IF($A344="","",HOUR($A344))</f>
        <v/>
      </c>
      <c r="N344" s="36" t="str">
        <f aca="false">IF($A344="","",$I344*$K344)</f>
        <v/>
      </c>
      <c r="O344" s="35" t="str">
        <f aca="false">IF(OR($A344="",$C344="U",$S344&lt;&gt;Calc!$F$2),"",SUMIFS($I$3:$I$3002,$E$3:$E$3002,$E344,$C$3:$C$3002,"&lt;&gt;U",$S$3:$S$3002,Calc!$F$2))</f>
        <v/>
      </c>
      <c r="P344" s="35" t="str">
        <f aca="false">IF(OR($A344="",$C344="U",$S344&lt;&gt;Calc!$F$2),"",SUMIFS($N$3:$N$3002,$E$3:$E$3002,$E344,$C$3:$C$3002,"&lt;&gt;U",$S$3:$S$3002,Calc!$F$2))</f>
        <v/>
      </c>
      <c r="Q344" s="35" t="str">
        <f aca="false">IF(OR($A344="",$C344="U",$S344&lt;&gt;Calc!$F$2),"",IF(COUNTIFS($E$3:$E344,$E344,$C$3:$C344,"&lt;&gt;U",$S$3:$S344,Calc!$F$2)=1,1,0))</f>
        <v/>
      </c>
      <c r="R344" s="35" t="str">
        <f aca="false">IF($Q344=1,$O344-ROW()/100000,"")</f>
        <v/>
      </c>
      <c r="S344" s="37" t="str">
        <f aca="false">IF($A344="","",INT($A344))</f>
        <v/>
      </c>
      <c r="T344" s="35" t="str">
        <f aca="false">IF($A344="","",IF(COUNTIFS($S$3:$S344,$S344)=1,1,0))</f>
        <v/>
      </c>
      <c r="U344" s="37" t="str">
        <f aca="false">IF($T344=1,$S344,"")</f>
        <v/>
      </c>
    </row>
    <row r="345" customFormat="false" ht="15" hidden="false" customHeight="false" outlineLevel="0" collapsed="false">
      <c r="M345" s="35" t="str">
        <f aca="false">IF($A345="","",HOUR($A345))</f>
        <v/>
      </c>
      <c r="N345" s="36" t="str">
        <f aca="false">IF($A345="","",$I345*$K345)</f>
        <v/>
      </c>
      <c r="O345" s="35" t="str">
        <f aca="false">IF(OR($A345="",$C345="U",$S345&lt;&gt;Calc!$F$2),"",SUMIFS($I$3:$I$3002,$E$3:$E$3002,$E345,$C$3:$C$3002,"&lt;&gt;U",$S$3:$S$3002,Calc!$F$2))</f>
        <v/>
      </c>
      <c r="P345" s="35" t="str">
        <f aca="false">IF(OR($A345="",$C345="U",$S345&lt;&gt;Calc!$F$2),"",SUMIFS($N$3:$N$3002,$E$3:$E$3002,$E345,$C$3:$C$3002,"&lt;&gt;U",$S$3:$S$3002,Calc!$F$2))</f>
        <v/>
      </c>
      <c r="Q345" s="35" t="str">
        <f aca="false">IF(OR($A345="",$C345="U",$S345&lt;&gt;Calc!$F$2),"",IF(COUNTIFS($E$3:$E345,$E345,$C$3:$C345,"&lt;&gt;U",$S$3:$S345,Calc!$F$2)=1,1,0))</f>
        <v/>
      </c>
      <c r="R345" s="35" t="str">
        <f aca="false">IF($Q345=1,$O345-ROW()/100000,"")</f>
        <v/>
      </c>
      <c r="S345" s="37" t="str">
        <f aca="false">IF($A345="","",INT($A345))</f>
        <v/>
      </c>
      <c r="T345" s="35" t="str">
        <f aca="false">IF($A345="","",IF(COUNTIFS($S$3:$S345,$S345)=1,1,0))</f>
        <v/>
      </c>
      <c r="U345" s="37" t="str">
        <f aca="false">IF($T345=1,$S345,"")</f>
        <v/>
      </c>
    </row>
    <row r="346" customFormat="false" ht="15" hidden="false" customHeight="false" outlineLevel="0" collapsed="false">
      <c r="M346" s="35" t="str">
        <f aca="false">IF($A346="","",HOUR($A346))</f>
        <v/>
      </c>
      <c r="N346" s="36" t="str">
        <f aca="false">IF($A346="","",$I346*$K346)</f>
        <v/>
      </c>
      <c r="O346" s="35" t="str">
        <f aca="false">IF(OR($A346="",$C346="U",$S346&lt;&gt;Calc!$F$2),"",SUMIFS($I$3:$I$3002,$E$3:$E$3002,$E346,$C$3:$C$3002,"&lt;&gt;U",$S$3:$S$3002,Calc!$F$2))</f>
        <v/>
      </c>
      <c r="P346" s="35" t="str">
        <f aca="false">IF(OR($A346="",$C346="U",$S346&lt;&gt;Calc!$F$2),"",SUMIFS($N$3:$N$3002,$E$3:$E$3002,$E346,$C$3:$C$3002,"&lt;&gt;U",$S$3:$S$3002,Calc!$F$2))</f>
        <v/>
      </c>
      <c r="Q346" s="35" t="str">
        <f aca="false">IF(OR($A346="",$C346="U",$S346&lt;&gt;Calc!$F$2),"",IF(COUNTIFS($E$3:$E346,$E346,$C$3:$C346,"&lt;&gt;U",$S$3:$S346,Calc!$F$2)=1,1,0))</f>
        <v/>
      </c>
      <c r="R346" s="35" t="str">
        <f aca="false">IF($Q346=1,$O346-ROW()/100000,"")</f>
        <v/>
      </c>
      <c r="S346" s="37" t="str">
        <f aca="false">IF($A346="","",INT($A346))</f>
        <v/>
      </c>
      <c r="T346" s="35" t="str">
        <f aca="false">IF($A346="","",IF(COUNTIFS($S$3:$S346,$S346)=1,1,0))</f>
        <v/>
      </c>
      <c r="U346" s="37" t="str">
        <f aca="false">IF($T346=1,$S346,"")</f>
        <v/>
      </c>
    </row>
    <row r="347" customFormat="false" ht="15" hidden="false" customHeight="false" outlineLevel="0" collapsed="false">
      <c r="M347" s="35" t="str">
        <f aca="false">IF($A347="","",HOUR($A347))</f>
        <v/>
      </c>
      <c r="N347" s="36" t="str">
        <f aca="false">IF($A347="","",$I347*$K347)</f>
        <v/>
      </c>
      <c r="O347" s="35" t="str">
        <f aca="false">IF(OR($A347="",$C347="U",$S347&lt;&gt;Calc!$F$2),"",SUMIFS($I$3:$I$3002,$E$3:$E$3002,$E347,$C$3:$C$3002,"&lt;&gt;U",$S$3:$S$3002,Calc!$F$2))</f>
        <v/>
      </c>
      <c r="P347" s="35" t="str">
        <f aca="false">IF(OR($A347="",$C347="U",$S347&lt;&gt;Calc!$F$2),"",SUMIFS($N$3:$N$3002,$E$3:$E$3002,$E347,$C$3:$C$3002,"&lt;&gt;U",$S$3:$S$3002,Calc!$F$2))</f>
        <v/>
      </c>
      <c r="Q347" s="35" t="str">
        <f aca="false">IF(OR($A347="",$C347="U",$S347&lt;&gt;Calc!$F$2),"",IF(COUNTIFS($E$3:$E347,$E347,$C$3:$C347,"&lt;&gt;U",$S$3:$S347,Calc!$F$2)=1,1,0))</f>
        <v/>
      </c>
      <c r="R347" s="35" t="str">
        <f aca="false">IF($Q347=1,$O347-ROW()/100000,"")</f>
        <v/>
      </c>
      <c r="S347" s="37" t="str">
        <f aca="false">IF($A347="","",INT($A347))</f>
        <v/>
      </c>
      <c r="T347" s="35" t="str">
        <f aca="false">IF($A347="","",IF(COUNTIFS($S$3:$S347,$S347)=1,1,0))</f>
        <v/>
      </c>
      <c r="U347" s="37" t="str">
        <f aca="false">IF($T347=1,$S347,"")</f>
        <v/>
      </c>
    </row>
    <row r="348" customFormat="false" ht="15" hidden="false" customHeight="false" outlineLevel="0" collapsed="false">
      <c r="M348" s="35" t="str">
        <f aca="false">IF($A348="","",HOUR($A348))</f>
        <v/>
      </c>
      <c r="N348" s="36" t="str">
        <f aca="false">IF($A348="","",$I348*$K348)</f>
        <v/>
      </c>
      <c r="O348" s="35" t="str">
        <f aca="false">IF(OR($A348="",$C348="U",$S348&lt;&gt;Calc!$F$2),"",SUMIFS($I$3:$I$3002,$E$3:$E$3002,$E348,$C$3:$C$3002,"&lt;&gt;U",$S$3:$S$3002,Calc!$F$2))</f>
        <v/>
      </c>
      <c r="P348" s="35" t="str">
        <f aca="false">IF(OR($A348="",$C348="U",$S348&lt;&gt;Calc!$F$2),"",SUMIFS($N$3:$N$3002,$E$3:$E$3002,$E348,$C$3:$C$3002,"&lt;&gt;U",$S$3:$S$3002,Calc!$F$2))</f>
        <v/>
      </c>
      <c r="Q348" s="35" t="str">
        <f aca="false">IF(OR($A348="",$C348="U",$S348&lt;&gt;Calc!$F$2),"",IF(COUNTIFS($E$3:$E348,$E348,$C$3:$C348,"&lt;&gt;U",$S$3:$S348,Calc!$F$2)=1,1,0))</f>
        <v/>
      </c>
      <c r="R348" s="35" t="str">
        <f aca="false">IF($Q348=1,$O348-ROW()/100000,"")</f>
        <v/>
      </c>
      <c r="S348" s="37" t="str">
        <f aca="false">IF($A348="","",INT($A348))</f>
        <v/>
      </c>
      <c r="T348" s="35" t="str">
        <f aca="false">IF($A348="","",IF(COUNTIFS($S$3:$S348,$S348)=1,1,0))</f>
        <v/>
      </c>
      <c r="U348" s="37" t="str">
        <f aca="false">IF($T348=1,$S348,"")</f>
        <v/>
      </c>
    </row>
    <row r="349" customFormat="false" ht="15" hidden="false" customHeight="false" outlineLevel="0" collapsed="false">
      <c r="M349" s="35" t="str">
        <f aca="false">IF($A349="","",HOUR($A349))</f>
        <v/>
      </c>
      <c r="N349" s="36" t="str">
        <f aca="false">IF($A349="","",$I349*$K349)</f>
        <v/>
      </c>
      <c r="O349" s="35" t="str">
        <f aca="false">IF(OR($A349="",$C349="U",$S349&lt;&gt;Calc!$F$2),"",SUMIFS($I$3:$I$3002,$E$3:$E$3002,$E349,$C$3:$C$3002,"&lt;&gt;U",$S$3:$S$3002,Calc!$F$2))</f>
        <v/>
      </c>
      <c r="P349" s="35" t="str">
        <f aca="false">IF(OR($A349="",$C349="U",$S349&lt;&gt;Calc!$F$2),"",SUMIFS($N$3:$N$3002,$E$3:$E$3002,$E349,$C$3:$C$3002,"&lt;&gt;U",$S$3:$S$3002,Calc!$F$2))</f>
        <v/>
      </c>
      <c r="Q349" s="35" t="str">
        <f aca="false">IF(OR($A349="",$C349="U",$S349&lt;&gt;Calc!$F$2),"",IF(COUNTIFS($E$3:$E349,$E349,$C$3:$C349,"&lt;&gt;U",$S$3:$S349,Calc!$F$2)=1,1,0))</f>
        <v/>
      </c>
      <c r="R349" s="35" t="str">
        <f aca="false">IF($Q349=1,$O349-ROW()/100000,"")</f>
        <v/>
      </c>
      <c r="S349" s="37" t="str">
        <f aca="false">IF($A349="","",INT($A349))</f>
        <v/>
      </c>
      <c r="T349" s="35" t="str">
        <f aca="false">IF($A349="","",IF(COUNTIFS($S$3:$S349,$S349)=1,1,0))</f>
        <v/>
      </c>
      <c r="U349" s="37" t="str">
        <f aca="false">IF($T349=1,$S349,"")</f>
        <v/>
      </c>
    </row>
    <row r="350" customFormat="false" ht="15" hidden="false" customHeight="false" outlineLevel="0" collapsed="false">
      <c r="M350" s="35" t="str">
        <f aca="false">IF($A350="","",HOUR($A350))</f>
        <v/>
      </c>
      <c r="N350" s="36" t="str">
        <f aca="false">IF($A350="","",$I350*$K350)</f>
        <v/>
      </c>
      <c r="O350" s="35" t="str">
        <f aca="false">IF(OR($A350="",$C350="U",$S350&lt;&gt;Calc!$F$2),"",SUMIFS($I$3:$I$3002,$E$3:$E$3002,$E350,$C$3:$C$3002,"&lt;&gt;U",$S$3:$S$3002,Calc!$F$2))</f>
        <v/>
      </c>
      <c r="P350" s="35" t="str">
        <f aca="false">IF(OR($A350="",$C350="U",$S350&lt;&gt;Calc!$F$2),"",SUMIFS($N$3:$N$3002,$E$3:$E$3002,$E350,$C$3:$C$3002,"&lt;&gt;U",$S$3:$S$3002,Calc!$F$2))</f>
        <v/>
      </c>
      <c r="Q350" s="35" t="str">
        <f aca="false">IF(OR($A350="",$C350="U",$S350&lt;&gt;Calc!$F$2),"",IF(COUNTIFS($E$3:$E350,$E350,$C$3:$C350,"&lt;&gt;U",$S$3:$S350,Calc!$F$2)=1,1,0))</f>
        <v/>
      </c>
      <c r="R350" s="35" t="str">
        <f aca="false">IF($Q350=1,$O350-ROW()/100000,"")</f>
        <v/>
      </c>
      <c r="S350" s="37" t="str">
        <f aca="false">IF($A350="","",INT($A350))</f>
        <v/>
      </c>
      <c r="T350" s="35" t="str">
        <f aca="false">IF($A350="","",IF(COUNTIFS($S$3:$S350,$S350)=1,1,0))</f>
        <v/>
      </c>
      <c r="U350" s="37" t="str">
        <f aca="false">IF($T350=1,$S350,"")</f>
        <v/>
      </c>
    </row>
    <row r="351" customFormat="false" ht="15" hidden="false" customHeight="false" outlineLevel="0" collapsed="false">
      <c r="M351" s="35" t="str">
        <f aca="false">IF($A351="","",HOUR($A351))</f>
        <v/>
      </c>
      <c r="N351" s="36" t="str">
        <f aca="false">IF($A351="","",$I351*$K351)</f>
        <v/>
      </c>
      <c r="O351" s="35" t="str">
        <f aca="false">IF(OR($A351="",$C351="U",$S351&lt;&gt;Calc!$F$2),"",SUMIFS($I$3:$I$3002,$E$3:$E$3002,$E351,$C$3:$C$3002,"&lt;&gt;U",$S$3:$S$3002,Calc!$F$2))</f>
        <v/>
      </c>
      <c r="P351" s="35" t="str">
        <f aca="false">IF(OR($A351="",$C351="U",$S351&lt;&gt;Calc!$F$2),"",SUMIFS($N$3:$N$3002,$E$3:$E$3002,$E351,$C$3:$C$3002,"&lt;&gt;U",$S$3:$S$3002,Calc!$F$2))</f>
        <v/>
      </c>
      <c r="Q351" s="35" t="str">
        <f aca="false">IF(OR($A351="",$C351="U",$S351&lt;&gt;Calc!$F$2),"",IF(COUNTIFS($E$3:$E351,$E351,$C$3:$C351,"&lt;&gt;U",$S$3:$S351,Calc!$F$2)=1,1,0))</f>
        <v/>
      </c>
      <c r="R351" s="35" t="str">
        <f aca="false">IF($Q351=1,$O351-ROW()/100000,"")</f>
        <v/>
      </c>
      <c r="S351" s="37" t="str">
        <f aca="false">IF($A351="","",INT($A351))</f>
        <v/>
      </c>
      <c r="T351" s="35" t="str">
        <f aca="false">IF($A351="","",IF(COUNTIFS($S$3:$S351,$S351)=1,1,0))</f>
        <v/>
      </c>
      <c r="U351" s="37" t="str">
        <f aca="false">IF($T351=1,$S351,"")</f>
        <v/>
      </c>
    </row>
    <row r="352" customFormat="false" ht="15" hidden="false" customHeight="false" outlineLevel="0" collapsed="false">
      <c r="M352" s="35" t="str">
        <f aca="false">IF($A352="","",HOUR($A352))</f>
        <v/>
      </c>
      <c r="N352" s="36" t="str">
        <f aca="false">IF($A352="","",$I352*$K352)</f>
        <v/>
      </c>
      <c r="O352" s="35" t="str">
        <f aca="false">IF(OR($A352="",$C352="U",$S352&lt;&gt;Calc!$F$2),"",SUMIFS($I$3:$I$3002,$E$3:$E$3002,$E352,$C$3:$C$3002,"&lt;&gt;U",$S$3:$S$3002,Calc!$F$2))</f>
        <v/>
      </c>
      <c r="P352" s="35" t="str">
        <f aca="false">IF(OR($A352="",$C352="U",$S352&lt;&gt;Calc!$F$2),"",SUMIFS($N$3:$N$3002,$E$3:$E$3002,$E352,$C$3:$C$3002,"&lt;&gt;U",$S$3:$S$3002,Calc!$F$2))</f>
        <v/>
      </c>
      <c r="Q352" s="35" t="str">
        <f aca="false">IF(OR($A352="",$C352="U",$S352&lt;&gt;Calc!$F$2),"",IF(COUNTIFS($E$3:$E352,$E352,$C$3:$C352,"&lt;&gt;U",$S$3:$S352,Calc!$F$2)=1,1,0))</f>
        <v/>
      </c>
      <c r="R352" s="35" t="str">
        <f aca="false">IF($Q352=1,$O352-ROW()/100000,"")</f>
        <v/>
      </c>
      <c r="S352" s="37" t="str">
        <f aca="false">IF($A352="","",INT($A352))</f>
        <v/>
      </c>
      <c r="T352" s="35" t="str">
        <f aca="false">IF($A352="","",IF(COUNTIFS($S$3:$S352,$S352)=1,1,0))</f>
        <v/>
      </c>
      <c r="U352" s="37" t="str">
        <f aca="false">IF($T352=1,$S352,"")</f>
        <v/>
      </c>
    </row>
    <row r="353" customFormat="false" ht="15" hidden="false" customHeight="false" outlineLevel="0" collapsed="false">
      <c r="M353" s="35" t="str">
        <f aca="false">IF($A353="","",HOUR($A353))</f>
        <v/>
      </c>
      <c r="N353" s="36" t="str">
        <f aca="false">IF($A353="","",$I353*$K353)</f>
        <v/>
      </c>
      <c r="O353" s="35" t="str">
        <f aca="false">IF(OR($A353="",$C353="U",$S353&lt;&gt;Calc!$F$2),"",SUMIFS($I$3:$I$3002,$E$3:$E$3002,$E353,$C$3:$C$3002,"&lt;&gt;U",$S$3:$S$3002,Calc!$F$2))</f>
        <v/>
      </c>
      <c r="P353" s="35" t="str">
        <f aca="false">IF(OR($A353="",$C353="U",$S353&lt;&gt;Calc!$F$2),"",SUMIFS($N$3:$N$3002,$E$3:$E$3002,$E353,$C$3:$C$3002,"&lt;&gt;U",$S$3:$S$3002,Calc!$F$2))</f>
        <v/>
      </c>
      <c r="Q353" s="35" t="str">
        <f aca="false">IF(OR($A353="",$C353="U",$S353&lt;&gt;Calc!$F$2),"",IF(COUNTIFS($E$3:$E353,$E353,$C$3:$C353,"&lt;&gt;U",$S$3:$S353,Calc!$F$2)=1,1,0))</f>
        <v/>
      </c>
      <c r="R353" s="35" t="str">
        <f aca="false">IF($Q353=1,$O353-ROW()/100000,"")</f>
        <v/>
      </c>
      <c r="S353" s="37" t="str">
        <f aca="false">IF($A353="","",INT($A353))</f>
        <v/>
      </c>
      <c r="T353" s="35" t="str">
        <f aca="false">IF($A353="","",IF(COUNTIFS($S$3:$S353,$S353)=1,1,0))</f>
        <v/>
      </c>
      <c r="U353" s="37" t="str">
        <f aca="false">IF($T353=1,$S353,"")</f>
        <v/>
      </c>
    </row>
    <row r="354" customFormat="false" ht="15" hidden="false" customHeight="false" outlineLevel="0" collapsed="false">
      <c r="M354" s="35" t="str">
        <f aca="false">IF($A354="","",HOUR($A354))</f>
        <v/>
      </c>
      <c r="N354" s="36" t="str">
        <f aca="false">IF($A354="","",$I354*$K354)</f>
        <v/>
      </c>
      <c r="O354" s="35" t="str">
        <f aca="false">IF(OR($A354="",$C354="U",$S354&lt;&gt;Calc!$F$2),"",SUMIFS($I$3:$I$3002,$E$3:$E$3002,$E354,$C$3:$C$3002,"&lt;&gt;U",$S$3:$S$3002,Calc!$F$2))</f>
        <v/>
      </c>
      <c r="P354" s="35" t="str">
        <f aca="false">IF(OR($A354="",$C354="U",$S354&lt;&gt;Calc!$F$2),"",SUMIFS($N$3:$N$3002,$E$3:$E$3002,$E354,$C$3:$C$3002,"&lt;&gt;U",$S$3:$S$3002,Calc!$F$2))</f>
        <v/>
      </c>
      <c r="Q354" s="35" t="str">
        <f aca="false">IF(OR($A354="",$C354="U",$S354&lt;&gt;Calc!$F$2),"",IF(COUNTIFS($E$3:$E354,$E354,$C$3:$C354,"&lt;&gt;U",$S$3:$S354,Calc!$F$2)=1,1,0))</f>
        <v/>
      </c>
      <c r="R354" s="35" t="str">
        <f aca="false">IF($Q354=1,$O354-ROW()/100000,"")</f>
        <v/>
      </c>
      <c r="S354" s="37" t="str">
        <f aca="false">IF($A354="","",INT($A354))</f>
        <v/>
      </c>
      <c r="T354" s="35" t="str">
        <f aca="false">IF($A354="","",IF(COUNTIFS($S$3:$S354,$S354)=1,1,0))</f>
        <v/>
      </c>
      <c r="U354" s="37" t="str">
        <f aca="false">IF($T354=1,$S354,"")</f>
        <v/>
      </c>
    </row>
    <row r="355" customFormat="false" ht="15" hidden="false" customHeight="false" outlineLevel="0" collapsed="false">
      <c r="M355" s="35" t="str">
        <f aca="false">IF($A355="","",HOUR($A355))</f>
        <v/>
      </c>
      <c r="N355" s="36" t="str">
        <f aca="false">IF($A355="","",$I355*$K355)</f>
        <v/>
      </c>
      <c r="O355" s="35" t="str">
        <f aca="false">IF(OR($A355="",$C355="U",$S355&lt;&gt;Calc!$F$2),"",SUMIFS($I$3:$I$3002,$E$3:$E$3002,$E355,$C$3:$C$3002,"&lt;&gt;U",$S$3:$S$3002,Calc!$F$2))</f>
        <v/>
      </c>
      <c r="P355" s="35" t="str">
        <f aca="false">IF(OR($A355="",$C355="U",$S355&lt;&gt;Calc!$F$2),"",SUMIFS($N$3:$N$3002,$E$3:$E$3002,$E355,$C$3:$C$3002,"&lt;&gt;U",$S$3:$S$3002,Calc!$F$2))</f>
        <v/>
      </c>
      <c r="Q355" s="35" t="str">
        <f aca="false">IF(OR($A355="",$C355="U",$S355&lt;&gt;Calc!$F$2),"",IF(COUNTIFS($E$3:$E355,$E355,$C$3:$C355,"&lt;&gt;U",$S$3:$S355,Calc!$F$2)=1,1,0))</f>
        <v/>
      </c>
      <c r="R355" s="35" t="str">
        <f aca="false">IF($Q355=1,$O355-ROW()/100000,"")</f>
        <v/>
      </c>
      <c r="S355" s="37" t="str">
        <f aca="false">IF($A355="","",INT($A355))</f>
        <v/>
      </c>
      <c r="T355" s="35" t="str">
        <f aca="false">IF($A355="","",IF(COUNTIFS($S$3:$S355,$S355)=1,1,0))</f>
        <v/>
      </c>
      <c r="U355" s="37" t="str">
        <f aca="false">IF($T355=1,$S355,"")</f>
        <v/>
      </c>
    </row>
    <row r="356" customFormat="false" ht="15" hidden="false" customHeight="false" outlineLevel="0" collapsed="false">
      <c r="M356" s="35" t="str">
        <f aca="false">IF($A356="","",HOUR($A356))</f>
        <v/>
      </c>
      <c r="N356" s="36" t="str">
        <f aca="false">IF($A356="","",$I356*$K356)</f>
        <v/>
      </c>
      <c r="O356" s="35" t="str">
        <f aca="false">IF(OR($A356="",$C356="U",$S356&lt;&gt;Calc!$F$2),"",SUMIFS($I$3:$I$3002,$E$3:$E$3002,$E356,$C$3:$C$3002,"&lt;&gt;U",$S$3:$S$3002,Calc!$F$2))</f>
        <v/>
      </c>
      <c r="P356" s="35" t="str">
        <f aca="false">IF(OR($A356="",$C356="U",$S356&lt;&gt;Calc!$F$2),"",SUMIFS($N$3:$N$3002,$E$3:$E$3002,$E356,$C$3:$C$3002,"&lt;&gt;U",$S$3:$S$3002,Calc!$F$2))</f>
        <v/>
      </c>
      <c r="Q356" s="35" t="str">
        <f aca="false">IF(OR($A356="",$C356="U",$S356&lt;&gt;Calc!$F$2),"",IF(COUNTIFS($E$3:$E356,$E356,$C$3:$C356,"&lt;&gt;U",$S$3:$S356,Calc!$F$2)=1,1,0))</f>
        <v/>
      </c>
      <c r="R356" s="35" t="str">
        <f aca="false">IF($Q356=1,$O356-ROW()/100000,"")</f>
        <v/>
      </c>
      <c r="S356" s="37" t="str">
        <f aca="false">IF($A356="","",INT($A356))</f>
        <v/>
      </c>
      <c r="T356" s="35" t="str">
        <f aca="false">IF($A356="","",IF(COUNTIFS($S$3:$S356,$S356)=1,1,0))</f>
        <v/>
      </c>
      <c r="U356" s="37" t="str">
        <f aca="false">IF($T356=1,$S356,"")</f>
        <v/>
      </c>
    </row>
    <row r="357" customFormat="false" ht="15" hidden="false" customHeight="false" outlineLevel="0" collapsed="false">
      <c r="M357" s="35" t="str">
        <f aca="false">IF($A357="","",HOUR($A357))</f>
        <v/>
      </c>
      <c r="N357" s="36" t="str">
        <f aca="false">IF($A357="","",$I357*$K357)</f>
        <v/>
      </c>
      <c r="O357" s="35" t="str">
        <f aca="false">IF(OR($A357="",$C357="U",$S357&lt;&gt;Calc!$F$2),"",SUMIFS($I$3:$I$3002,$E$3:$E$3002,$E357,$C$3:$C$3002,"&lt;&gt;U",$S$3:$S$3002,Calc!$F$2))</f>
        <v/>
      </c>
      <c r="P357" s="35" t="str">
        <f aca="false">IF(OR($A357="",$C357="U",$S357&lt;&gt;Calc!$F$2),"",SUMIFS($N$3:$N$3002,$E$3:$E$3002,$E357,$C$3:$C$3002,"&lt;&gt;U",$S$3:$S$3002,Calc!$F$2))</f>
        <v/>
      </c>
      <c r="Q357" s="35" t="str">
        <f aca="false">IF(OR($A357="",$C357="U",$S357&lt;&gt;Calc!$F$2),"",IF(COUNTIFS($E$3:$E357,$E357,$C$3:$C357,"&lt;&gt;U",$S$3:$S357,Calc!$F$2)=1,1,0))</f>
        <v/>
      </c>
      <c r="R357" s="35" t="str">
        <f aca="false">IF($Q357=1,$O357-ROW()/100000,"")</f>
        <v/>
      </c>
      <c r="S357" s="37" t="str">
        <f aca="false">IF($A357="","",INT($A357))</f>
        <v/>
      </c>
      <c r="T357" s="35" t="str">
        <f aca="false">IF($A357="","",IF(COUNTIFS($S$3:$S357,$S357)=1,1,0))</f>
        <v/>
      </c>
      <c r="U357" s="37" t="str">
        <f aca="false">IF($T357=1,$S357,"")</f>
        <v/>
      </c>
    </row>
    <row r="358" customFormat="false" ht="15" hidden="false" customHeight="false" outlineLevel="0" collapsed="false">
      <c r="M358" s="35" t="str">
        <f aca="false">IF($A358="","",HOUR($A358))</f>
        <v/>
      </c>
      <c r="N358" s="36" t="str">
        <f aca="false">IF($A358="","",$I358*$K358)</f>
        <v/>
      </c>
      <c r="O358" s="35" t="str">
        <f aca="false">IF(OR($A358="",$C358="U",$S358&lt;&gt;Calc!$F$2),"",SUMIFS($I$3:$I$3002,$E$3:$E$3002,$E358,$C$3:$C$3002,"&lt;&gt;U",$S$3:$S$3002,Calc!$F$2))</f>
        <v/>
      </c>
      <c r="P358" s="35" t="str">
        <f aca="false">IF(OR($A358="",$C358="U",$S358&lt;&gt;Calc!$F$2),"",SUMIFS($N$3:$N$3002,$E$3:$E$3002,$E358,$C$3:$C$3002,"&lt;&gt;U",$S$3:$S$3002,Calc!$F$2))</f>
        <v/>
      </c>
      <c r="Q358" s="35" t="str">
        <f aca="false">IF(OR($A358="",$C358="U",$S358&lt;&gt;Calc!$F$2),"",IF(COUNTIFS($E$3:$E358,$E358,$C$3:$C358,"&lt;&gt;U",$S$3:$S358,Calc!$F$2)=1,1,0))</f>
        <v/>
      </c>
      <c r="R358" s="35" t="str">
        <f aca="false">IF($Q358=1,$O358-ROW()/100000,"")</f>
        <v/>
      </c>
      <c r="S358" s="37" t="str">
        <f aca="false">IF($A358="","",INT($A358))</f>
        <v/>
      </c>
      <c r="T358" s="35" t="str">
        <f aca="false">IF($A358="","",IF(COUNTIFS($S$3:$S358,$S358)=1,1,0))</f>
        <v/>
      </c>
      <c r="U358" s="37" t="str">
        <f aca="false">IF($T358=1,$S358,"")</f>
        <v/>
      </c>
    </row>
    <row r="359" customFormat="false" ht="15" hidden="false" customHeight="false" outlineLevel="0" collapsed="false">
      <c r="M359" s="35" t="str">
        <f aca="false">IF($A359="","",HOUR($A359))</f>
        <v/>
      </c>
      <c r="N359" s="36" t="str">
        <f aca="false">IF($A359="","",$I359*$K359)</f>
        <v/>
      </c>
      <c r="O359" s="35" t="str">
        <f aca="false">IF(OR($A359="",$C359="U",$S359&lt;&gt;Calc!$F$2),"",SUMIFS($I$3:$I$3002,$E$3:$E$3002,$E359,$C$3:$C$3002,"&lt;&gt;U",$S$3:$S$3002,Calc!$F$2))</f>
        <v/>
      </c>
      <c r="P359" s="35" t="str">
        <f aca="false">IF(OR($A359="",$C359="U",$S359&lt;&gt;Calc!$F$2),"",SUMIFS($N$3:$N$3002,$E$3:$E$3002,$E359,$C$3:$C$3002,"&lt;&gt;U",$S$3:$S$3002,Calc!$F$2))</f>
        <v/>
      </c>
      <c r="Q359" s="35" t="str">
        <f aca="false">IF(OR($A359="",$C359="U",$S359&lt;&gt;Calc!$F$2),"",IF(COUNTIFS($E$3:$E359,$E359,$C$3:$C359,"&lt;&gt;U",$S$3:$S359,Calc!$F$2)=1,1,0))</f>
        <v/>
      </c>
      <c r="R359" s="35" t="str">
        <f aca="false">IF($Q359=1,$O359-ROW()/100000,"")</f>
        <v/>
      </c>
      <c r="S359" s="37" t="str">
        <f aca="false">IF($A359="","",INT($A359))</f>
        <v/>
      </c>
      <c r="T359" s="35" t="str">
        <f aca="false">IF($A359="","",IF(COUNTIFS($S$3:$S359,$S359)=1,1,0))</f>
        <v/>
      </c>
      <c r="U359" s="37" t="str">
        <f aca="false">IF($T359=1,$S359,"")</f>
        <v/>
      </c>
    </row>
    <row r="360" customFormat="false" ht="15" hidden="false" customHeight="false" outlineLevel="0" collapsed="false">
      <c r="M360" s="35" t="str">
        <f aca="false">IF($A360="","",HOUR($A360))</f>
        <v/>
      </c>
      <c r="N360" s="36" t="str">
        <f aca="false">IF($A360="","",$I360*$K360)</f>
        <v/>
      </c>
      <c r="O360" s="35" t="str">
        <f aca="false">IF(OR($A360="",$C360="U",$S360&lt;&gt;Calc!$F$2),"",SUMIFS($I$3:$I$3002,$E$3:$E$3002,$E360,$C$3:$C$3002,"&lt;&gt;U",$S$3:$S$3002,Calc!$F$2))</f>
        <v/>
      </c>
      <c r="P360" s="35" t="str">
        <f aca="false">IF(OR($A360="",$C360="U",$S360&lt;&gt;Calc!$F$2),"",SUMIFS($N$3:$N$3002,$E$3:$E$3002,$E360,$C$3:$C$3002,"&lt;&gt;U",$S$3:$S$3002,Calc!$F$2))</f>
        <v/>
      </c>
      <c r="Q360" s="35" t="str">
        <f aca="false">IF(OR($A360="",$C360="U",$S360&lt;&gt;Calc!$F$2),"",IF(COUNTIFS($E$3:$E360,$E360,$C$3:$C360,"&lt;&gt;U",$S$3:$S360,Calc!$F$2)=1,1,0))</f>
        <v/>
      </c>
      <c r="R360" s="35" t="str">
        <f aca="false">IF($Q360=1,$O360-ROW()/100000,"")</f>
        <v/>
      </c>
      <c r="S360" s="37" t="str">
        <f aca="false">IF($A360="","",INT($A360))</f>
        <v/>
      </c>
      <c r="T360" s="35" t="str">
        <f aca="false">IF($A360="","",IF(COUNTIFS($S$3:$S360,$S360)=1,1,0))</f>
        <v/>
      </c>
      <c r="U360" s="37" t="str">
        <f aca="false">IF($T360=1,$S360,"")</f>
        <v/>
      </c>
    </row>
    <row r="361" customFormat="false" ht="15" hidden="false" customHeight="false" outlineLevel="0" collapsed="false">
      <c r="M361" s="35" t="str">
        <f aca="false">IF($A361="","",HOUR($A361))</f>
        <v/>
      </c>
      <c r="N361" s="36" t="str">
        <f aca="false">IF($A361="","",$I361*$K361)</f>
        <v/>
      </c>
      <c r="O361" s="35" t="str">
        <f aca="false">IF(OR($A361="",$C361="U",$S361&lt;&gt;Calc!$F$2),"",SUMIFS($I$3:$I$3002,$E$3:$E$3002,$E361,$C$3:$C$3002,"&lt;&gt;U",$S$3:$S$3002,Calc!$F$2))</f>
        <v/>
      </c>
      <c r="P361" s="35" t="str">
        <f aca="false">IF(OR($A361="",$C361="U",$S361&lt;&gt;Calc!$F$2),"",SUMIFS($N$3:$N$3002,$E$3:$E$3002,$E361,$C$3:$C$3002,"&lt;&gt;U",$S$3:$S$3002,Calc!$F$2))</f>
        <v/>
      </c>
      <c r="Q361" s="35" t="str">
        <f aca="false">IF(OR($A361="",$C361="U",$S361&lt;&gt;Calc!$F$2),"",IF(COUNTIFS($E$3:$E361,$E361,$C$3:$C361,"&lt;&gt;U",$S$3:$S361,Calc!$F$2)=1,1,0))</f>
        <v/>
      </c>
      <c r="R361" s="35" t="str">
        <f aca="false">IF($Q361=1,$O361-ROW()/100000,"")</f>
        <v/>
      </c>
      <c r="S361" s="37" t="str">
        <f aca="false">IF($A361="","",INT($A361))</f>
        <v/>
      </c>
      <c r="T361" s="35" t="str">
        <f aca="false">IF($A361="","",IF(COUNTIFS($S$3:$S361,$S361)=1,1,0))</f>
        <v/>
      </c>
      <c r="U361" s="37" t="str">
        <f aca="false">IF($T361=1,$S361,"")</f>
        <v/>
      </c>
    </row>
    <row r="362" customFormat="false" ht="15" hidden="false" customHeight="false" outlineLevel="0" collapsed="false">
      <c r="M362" s="35" t="str">
        <f aca="false">IF($A362="","",HOUR($A362))</f>
        <v/>
      </c>
      <c r="N362" s="36" t="str">
        <f aca="false">IF($A362="","",$I362*$K362)</f>
        <v/>
      </c>
      <c r="O362" s="35" t="str">
        <f aca="false">IF(OR($A362="",$C362="U",$S362&lt;&gt;Calc!$F$2),"",SUMIFS($I$3:$I$3002,$E$3:$E$3002,$E362,$C$3:$C$3002,"&lt;&gt;U",$S$3:$S$3002,Calc!$F$2))</f>
        <v/>
      </c>
      <c r="P362" s="35" t="str">
        <f aca="false">IF(OR($A362="",$C362="U",$S362&lt;&gt;Calc!$F$2),"",SUMIFS($N$3:$N$3002,$E$3:$E$3002,$E362,$C$3:$C$3002,"&lt;&gt;U",$S$3:$S$3002,Calc!$F$2))</f>
        <v/>
      </c>
      <c r="Q362" s="35" t="str">
        <f aca="false">IF(OR($A362="",$C362="U",$S362&lt;&gt;Calc!$F$2),"",IF(COUNTIFS($E$3:$E362,$E362,$C$3:$C362,"&lt;&gt;U",$S$3:$S362,Calc!$F$2)=1,1,0))</f>
        <v/>
      </c>
      <c r="R362" s="35" t="str">
        <f aca="false">IF($Q362=1,$O362-ROW()/100000,"")</f>
        <v/>
      </c>
      <c r="S362" s="37" t="str">
        <f aca="false">IF($A362="","",INT($A362))</f>
        <v/>
      </c>
      <c r="T362" s="35" t="str">
        <f aca="false">IF($A362="","",IF(COUNTIFS($S$3:$S362,$S362)=1,1,0))</f>
        <v/>
      </c>
      <c r="U362" s="37" t="str">
        <f aca="false">IF($T362=1,$S362,"")</f>
        <v/>
      </c>
    </row>
    <row r="363" customFormat="false" ht="15" hidden="false" customHeight="false" outlineLevel="0" collapsed="false">
      <c r="M363" s="35" t="str">
        <f aca="false">IF($A363="","",HOUR($A363))</f>
        <v/>
      </c>
      <c r="N363" s="36" t="str">
        <f aca="false">IF($A363="","",$I363*$K363)</f>
        <v/>
      </c>
      <c r="O363" s="35" t="str">
        <f aca="false">IF(OR($A363="",$C363="U",$S363&lt;&gt;Calc!$F$2),"",SUMIFS($I$3:$I$3002,$E$3:$E$3002,$E363,$C$3:$C$3002,"&lt;&gt;U",$S$3:$S$3002,Calc!$F$2))</f>
        <v/>
      </c>
      <c r="P363" s="35" t="str">
        <f aca="false">IF(OR($A363="",$C363="U",$S363&lt;&gt;Calc!$F$2),"",SUMIFS($N$3:$N$3002,$E$3:$E$3002,$E363,$C$3:$C$3002,"&lt;&gt;U",$S$3:$S$3002,Calc!$F$2))</f>
        <v/>
      </c>
      <c r="Q363" s="35" t="str">
        <f aca="false">IF(OR($A363="",$C363="U",$S363&lt;&gt;Calc!$F$2),"",IF(COUNTIFS($E$3:$E363,$E363,$C$3:$C363,"&lt;&gt;U",$S$3:$S363,Calc!$F$2)=1,1,0))</f>
        <v/>
      </c>
      <c r="R363" s="35" t="str">
        <f aca="false">IF($Q363=1,$O363-ROW()/100000,"")</f>
        <v/>
      </c>
      <c r="S363" s="37" t="str">
        <f aca="false">IF($A363="","",INT($A363))</f>
        <v/>
      </c>
      <c r="T363" s="35" t="str">
        <f aca="false">IF($A363="","",IF(COUNTIFS($S$3:$S363,$S363)=1,1,0))</f>
        <v/>
      </c>
      <c r="U363" s="37" t="str">
        <f aca="false">IF($T363=1,$S363,"")</f>
        <v/>
      </c>
    </row>
    <row r="364" customFormat="false" ht="15" hidden="false" customHeight="false" outlineLevel="0" collapsed="false">
      <c r="M364" s="35" t="str">
        <f aca="false">IF($A364="","",HOUR($A364))</f>
        <v/>
      </c>
      <c r="N364" s="36" t="str">
        <f aca="false">IF($A364="","",$I364*$K364)</f>
        <v/>
      </c>
      <c r="O364" s="35" t="str">
        <f aca="false">IF(OR($A364="",$C364="U",$S364&lt;&gt;Calc!$F$2),"",SUMIFS($I$3:$I$3002,$E$3:$E$3002,$E364,$C$3:$C$3002,"&lt;&gt;U",$S$3:$S$3002,Calc!$F$2))</f>
        <v/>
      </c>
      <c r="P364" s="35" t="str">
        <f aca="false">IF(OR($A364="",$C364="U",$S364&lt;&gt;Calc!$F$2),"",SUMIFS($N$3:$N$3002,$E$3:$E$3002,$E364,$C$3:$C$3002,"&lt;&gt;U",$S$3:$S$3002,Calc!$F$2))</f>
        <v/>
      </c>
      <c r="Q364" s="35" t="str">
        <f aca="false">IF(OR($A364="",$C364="U",$S364&lt;&gt;Calc!$F$2),"",IF(COUNTIFS($E$3:$E364,$E364,$C$3:$C364,"&lt;&gt;U",$S$3:$S364,Calc!$F$2)=1,1,0))</f>
        <v/>
      </c>
      <c r="R364" s="35" t="str">
        <f aca="false">IF($Q364=1,$O364-ROW()/100000,"")</f>
        <v/>
      </c>
      <c r="S364" s="37" t="str">
        <f aca="false">IF($A364="","",INT($A364))</f>
        <v/>
      </c>
      <c r="T364" s="35" t="str">
        <f aca="false">IF($A364="","",IF(COUNTIFS($S$3:$S364,$S364)=1,1,0))</f>
        <v/>
      </c>
      <c r="U364" s="37" t="str">
        <f aca="false">IF($T364=1,$S364,"")</f>
        <v/>
      </c>
    </row>
    <row r="365" customFormat="false" ht="15" hidden="false" customHeight="false" outlineLevel="0" collapsed="false">
      <c r="M365" s="35" t="str">
        <f aca="false">IF($A365="","",HOUR($A365))</f>
        <v/>
      </c>
      <c r="N365" s="36" t="str">
        <f aca="false">IF($A365="","",$I365*$K365)</f>
        <v/>
      </c>
      <c r="O365" s="35" t="str">
        <f aca="false">IF(OR($A365="",$C365="U",$S365&lt;&gt;Calc!$F$2),"",SUMIFS($I$3:$I$3002,$E$3:$E$3002,$E365,$C$3:$C$3002,"&lt;&gt;U",$S$3:$S$3002,Calc!$F$2))</f>
        <v/>
      </c>
      <c r="P365" s="35" t="str">
        <f aca="false">IF(OR($A365="",$C365="U",$S365&lt;&gt;Calc!$F$2),"",SUMIFS($N$3:$N$3002,$E$3:$E$3002,$E365,$C$3:$C$3002,"&lt;&gt;U",$S$3:$S$3002,Calc!$F$2))</f>
        <v/>
      </c>
      <c r="Q365" s="35" t="str">
        <f aca="false">IF(OR($A365="",$C365="U",$S365&lt;&gt;Calc!$F$2),"",IF(COUNTIFS($E$3:$E365,$E365,$C$3:$C365,"&lt;&gt;U",$S$3:$S365,Calc!$F$2)=1,1,0))</f>
        <v/>
      </c>
      <c r="R365" s="35" t="str">
        <f aca="false">IF($Q365=1,$O365-ROW()/100000,"")</f>
        <v/>
      </c>
      <c r="S365" s="37" t="str">
        <f aca="false">IF($A365="","",INT($A365))</f>
        <v/>
      </c>
      <c r="T365" s="35" t="str">
        <f aca="false">IF($A365="","",IF(COUNTIFS($S$3:$S365,$S365)=1,1,0))</f>
        <v/>
      </c>
      <c r="U365" s="37" t="str">
        <f aca="false">IF($T365=1,$S365,"")</f>
        <v/>
      </c>
    </row>
    <row r="366" customFormat="false" ht="15" hidden="false" customHeight="false" outlineLevel="0" collapsed="false">
      <c r="M366" s="35" t="str">
        <f aca="false">IF($A366="","",HOUR($A366))</f>
        <v/>
      </c>
      <c r="N366" s="36" t="str">
        <f aca="false">IF($A366="","",$I366*$K366)</f>
        <v/>
      </c>
      <c r="O366" s="35" t="str">
        <f aca="false">IF(OR($A366="",$C366="U",$S366&lt;&gt;Calc!$F$2),"",SUMIFS($I$3:$I$3002,$E$3:$E$3002,$E366,$C$3:$C$3002,"&lt;&gt;U",$S$3:$S$3002,Calc!$F$2))</f>
        <v/>
      </c>
      <c r="P366" s="35" t="str">
        <f aca="false">IF(OR($A366="",$C366="U",$S366&lt;&gt;Calc!$F$2),"",SUMIFS($N$3:$N$3002,$E$3:$E$3002,$E366,$C$3:$C$3002,"&lt;&gt;U",$S$3:$S$3002,Calc!$F$2))</f>
        <v/>
      </c>
      <c r="Q366" s="35" t="str">
        <f aca="false">IF(OR($A366="",$C366="U",$S366&lt;&gt;Calc!$F$2),"",IF(COUNTIFS($E$3:$E366,$E366,$C$3:$C366,"&lt;&gt;U",$S$3:$S366,Calc!$F$2)=1,1,0))</f>
        <v/>
      </c>
      <c r="R366" s="35" t="str">
        <f aca="false">IF($Q366=1,$O366-ROW()/100000,"")</f>
        <v/>
      </c>
      <c r="S366" s="37" t="str">
        <f aca="false">IF($A366="","",INT($A366))</f>
        <v/>
      </c>
      <c r="T366" s="35" t="str">
        <f aca="false">IF($A366="","",IF(COUNTIFS($S$3:$S366,$S366)=1,1,0))</f>
        <v/>
      </c>
      <c r="U366" s="37" t="str">
        <f aca="false">IF($T366=1,$S366,"")</f>
        <v/>
      </c>
    </row>
    <row r="367" customFormat="false" ht="15" hidden="false" customHeight="false" outlineLevel="0" collapsed="false">
      <c r="M367" s="35" t="str">
        <f aca="false">IF($A367="","",HOUR($A367))</f>
        <v/>
      </c>
      <c r="N367" s="36" t="str">
        <f aca="false">IF($A367="","",$I367*$K367)</f>
        <v/>
      </c>
      <c r="O367" s="35" t="str">
        <f aca="false">IF(OR($A367="",$C367="U",$S367&lt;&gt;Calc!$F$2),"",SUMIFS($I$3:$I$3002,$E$3:$E$3002,$E367,$C$3:$C$3002,"&lt;&gt;U",$S$3:$S$3002,Calc!$F$2))</f>
        <v/>
      </c>
      <c r="P367" s="35" t="str">
        <f aca="false">IF(OR($A367="",$C367="U",$S367&lt;&gt;Calc!$F$2),"",SUMIFS($N$3:$N$3002,$E$3:$E$3002,$E367,$C$3:$C$3002,"&lt;&gt;U",$S$3:$S$3002,Calc!$F$2))</f>
        <v/>
      </c>
      <c r="Q367" s="35" t="str">
        <f aca="false">IF(OR($A367="",$C367="U",$S367&lt;&gt;Calc!$F$2),"",IF(COUNTIFS($E$3:$E367,$E367,$C$3:$C367,"&lt;&gt;U",$S$3:$S367,Calc!$F$2)=1,1,0))</f>
        <v/>
      </c>
      <c r="R367" s="35" t="str">
        <f aca="false">IF($Q367=1,$O367-ROW()/100000,"")</f>
        <v/>
      </c>
      <c r="S367" s="37" t="str">
        <f aca="false">IF($A367="","",INT($A367))</f>
        <v/>
      </c>
      <c r="T367" s="35" t="str">
        <f aca="false">IF($A367="","",IF(COUNTIFS($S$3:$S367,$S367)=1,1,0))</f>
        <v/>
      </c>
      <c r="U367" s="37" t="str">
        <f aca="false">IF($T367=1,$S367,"")</f>
        <v/>
      </c>
    </row>
    <row r="368" customFormat="false" ht="15" hidden="false" customHeight="false" outlineLevel="0" collapsed="false">
      <c r="M368" s="35" t="str">
        <f aca="false">IF($A368="","",HOUR($A368))</f>
        <v/>
      </c>
      <c r="N368" s="36" t="str">
        <f aca="false">IF($A368="","",$I368*$K368)</f>
        <v/>
      </c>
      <c r="O368" s="35" t="str">
        <f aca="false">IF(OR($A368="",$C368="U",$S368&lt;&gt;Calc!$F$2),"",SUMIFS($I$3:$I$3002,$E$3:$E$3002,$E368,$C$3:$C$3002,"&lt;&gt;U",$S$3:$S$3002,Calc!$F$2))</f>
        <v/>
      </c>
      <c r="P368" s="35" t="str">
        <f aca="false">IF(OR($A368="",$C368="U",$S368&lt;&gt;Calc!$F$2),"",SUMIFS($N$3:$N$3002,$E$3:$E$3002,$E368,$C$3:$C$3002,"&lt;&gt;U",$S$3:$S$3002,Calc!$F$2))</f>
        <v/>
      </c>
      <c r="Q368" s="35" t="str">
        <f aca="false">IF(OR($A368="",$C368="U",$S368&lt;&gt;Calc!$F$2),"",IF(COUNTIFS($E$3:$E368,$E368,$C$3:$C368,"&lt;&gt;U",$S$3:$S368,Calc!$F$2)=1,1,0))</f>
        <v/>
      </c>
      <c r="R368" s="35" t="str">
        <f aca="false">IF($Q368=1,$O368-ROW()/100000,"")</f>
        <v/>
      </c>
      <c r="S368" s="37" t="str">
        <f aca="false">IF($A368="","",INT($A368))</f>
        <v/>
      </c>
      <c r="T368" s="35" t="str">
        <f aca="false">IF($A368="","",IF(COUNTIFS($S$3:$S368,$S368)=1,1,0))</f>
        <v/>
      </c>
      <c r="U368" s="37" t="str">
        <f aca="false">IF($T368=1,$S368,"")</f>
        <v/>
      </c>
    </row>
    <row r="369" customFormat="false" ht="15" hidden="false" customHeight="false" outlineLevel="0" collapsed="false">
      <c r="M369" s="35" t="str">
        <f aca="false">IF($A369="","",HOUR($A369))</f>
        <v/>
      </c>
      <c r="N369" s="36" t="str">
        <f aca="false">IF($A369="","",$I369*$K369)</f>
        <v/>
      </c>
      <c r="O369" s="35" t="str">
        <f aca="false">IF(OR($A369="",$C369="U",$S369&lt;&gt;Calc!$F$2),"",SUMIFS($I$3:$I$3002,$E$3:$E$3002,$E369,$C$3:$C$3002,"&lt;&gt;U",$S$3:$S$3002,Calc!$F$2))</f>
        <v/>
      </c>
      <c r="P369" s="35" t="str">
        <f aca="false">IF(OR($A369="",$C369="U",$S369&lt;&gt;Calc!$F$2),"",SUMIFS($N$3:$N$3002,$E$3:$E$3002,$E369,$C$3:$C$3002,"&lt;&gt;U",$S$3:$S$3002,Calc!$F$2))</f>
        <v/>
      </c>
      <c r="Q369" s="35" t="str">
        <f aca="false">IF(OR($A369="",$C369="U",$S369&lt;&gt;Calc!$F$2),"",IF(COUNTIFS($E$3:$E369,$E369,$C$3:$C369,"&lt;&gt;U",$S$3:$S369,Calc!$F$2)=1,1,0))</f>
        <v/>
      </c>
      <c r="R369" s="35" t="str">
        <f aca="false">IF($Q369=1,$O369-ROW()/100000,"")</f>
        <v/>
      </c>
      <c r="S369" s="37" t="str">
        <f aca="false">IF($A369="","",INT($A369))</f>
        <v/>
      </c>
      <c r="T369" s="35" t="str">
        <f aca="false">IF($A369="","",IF(COUNTIFS($S$3:$S369,$S369)=1,1,0))</f>
        <v/>
      </c>
      <c r="U369" s="37" t="str">
        <f aca="false">IF($T369=1,$S369,"")</f>
        <v/>
      </c>
    </row>
    <row r="370" customFormat="false" ht="15" hidden="false" customHeight="false" outlineLevel="0" collapsed="false">
      <c r="M370" s="35" t="str">
        <f aca="false">IF($A370="","",HOUR($A370))</f>
        <v/>
      </c>
      <c r="N370" s="36" t="str">
        <f aca="false">IF($A370="","",$I370*$K370)</f>
        <v/>
      </c>
      <c r="O370" s="35" t="str">
        <f aca="false">IF(OR($A370="",$C370="U",$S370&lt;&gt;Calc!$F$2),"",SUMIFS($I$3:$I$3002,$E$3:$E$3002,$E370,$C$3:$C$3002,"&lt;&gt;U",$S$3:$S$3002,Calc!$F$2))</f>
        <v/>
      </c>
      <c r="P370" s="35" t="str">
        <f aca="false">IF(OR($A370="",$C370="U",$S370&lt;&gt;Calc!$F$2),"",SUMIFS($N$3:$N$3002,$E$3:$E$3002,$E370,$C$3:$C$3002,"&lt;&gt;U",$S$3:$S$3002,Calc!$F$2))</f>
        <v/>
      </c>
      <c r="Q370" s="35" t="str">
        <f aca="false">IF(OR($A370="",$C370="U",$S370&lt;&gt;Calc!$F$2),"",IF(COUNTIFS($E$3:$E370,$E370,$C$3:$C370,"&lt;&gt;U",$S$3:$S370,Calc!$F$2)=1,1,0))</f>
        <v/>
      </c>
      <c r="R370" s="35" t="str">
        <f aca="false">IF($Q370=1,$O370-ROW()/100000,"")</f>
        <v/>
      </c>
      <c r="S370" s="37" t="str">
        <f aca="false">IF($A370="","",INT($A370))</f>
        <v/>
      </c>
      <c r="T370" s="35" t="str">
        <f aca="false">IF($A370="","",IF(COUNTIFS($S$3:$S370,$S370)=1,1,0))</f>
        <v/>
      </c>
      <c r="U370" s="37" t="str">
        <f aca="false">IF($T370=1,$S370,"")</f>
        <v/>
      </c>
    </row>
    <row r="371" customFormat="false" ht="15" hidden="false" customHeight="false" outlineLevel="0" collapsed="false">
      <c r="M371" s="35" t="str">
        <f aca="false">IF($A371="","",HOUR($A371))</f>
        <v/>
      </c>
      <c r="N371" s="36" t="str">
        <f aca="false">IF($A371="","",$I371*$K371)</f>
        <v/>
      </c>
      <c r="O371" s="35" t="str">
        <f aca="false">IF(OR($A371="",$C371="U",$S371&lt;&gt;Calc!$F$2),"",SUMIFS($I$3:$I$3002,$E$3:$E$3002,$E371,$C$3:$C$3002,"&lt;&gt;U",$S$3:$S$3002,Calc!$F$2))</f>
        <v/>
      </c>
      <c r="P371" s="35" t="str">
        <f aca="false">IF(OR($A371="",$C371="U",$S371&lt;&gt;Calc!$F$2),"",SUMIFS($N$3:$N$3002,$E$3:$E$3002,$E371,$C$3:$C$3002,"&lt;&gt;U",$S$3:$S$3002,Calc!$F$2))</f>
        <v/>
      </c>
      <c r="Q371" s="35" t="str">
        <f aca="false">IF(OR($A371="",$C371="U",$S371&lt;&gt;Calc!$F$2),"",IF(COUNTIFS($E$3:$E371,$E371,$C$3:$C371,"&lt;&gt;U",$S$3:$S371,Calc!$F$2)=1,1,0))</f>
        <v/>
      </c>
      <c r="R371" s="35" t="str">
        <f aca="false">IF($Q371=1,$O371-ROW()/100000,"")</f>
        <v/>
      </c>
      <c r="S371" s="37" t="str">
        <f aca="false">IF($A371="","",INT($A371))</f>
        <v/>
      </c>
      <c r="T371" s="35" t="str">
        <f aca="false">IF($A371="","",IF(COUNTIFS($S$3:$S371,$S371)=1,1,0))</f>
        <v/>
      </c>
      <c r="U371" s="37" t="str">
        <f aca="false">IF($T371=1,$S371,"")</f>
        <v/>
      </c>
    </row>
    <row r="372" customFormat="false" ht="15" hidden="false" customHeight="false" outlineLevel="0" collapsed="false">
      <c r="M372" s="35" t="str">
        <f aca="false">IF($A372="","",HOUR($A372))</f>
        <v/>
      </c>
      <c r="N372" s="36" t="str">
        <f aca="false">IF($A372="","",$I372*$K372)</f>
        <v/>
      </c>
      <c r="O372" s="35" t="str">
        <f aca="false">IF(OR($A372="",$C372="U",$S372&lt;&gt;Calc!$F$2),"",SUMIFS($I$3:$I$3002,$E$3:$E$3002,$E372,$C$3:$C$3002,"&lt;&gt;U",$S$3:$S$3002,Calc!$F$2))</f>
        <v/>
      </c>
      <c r="P372" s="35" t="str">
        <f aca="false">IF(OR($A372="",$C372="U",$S372&lt;&gt;Calc!$F$2),"",SUMIFS($N$3:$N$3002,$E$3:$E$3002,$E372,$C$3:$C$3002,"&lt;&gt;U",$S$3:$S$3002,Calc!$F$2))</f>
        <v/>
      </c>
      <c r="Q372" s="35" t="str">
        <f aca="false">IF(OR($A372="",$C372="U",$S372&lt;&gt;Calc!$F$2),"",IF(COUNTIFS($E$3:$E372,$E372,$C$3:$C372,"&lt;&gt;U",$S$3:$S372,Calc!$F$2)=1,1,0))</f>
        <v/>
      </c>
      <c r="R372" s="35" t="str">
        <f aca="false">IF($Q372=1,$O372-ROW()/100000,"")</f>
        <v/>
      </c>
      <c r="S372" s="37" t="str">
        <f aca="false">IF($A372="","",INT($A372))</f>
        <v/>
      </c>
      <c r="T372" s="35" t="str">
        <f aca="false">IF($A372="","",IF(COUNTIFS($S$3:$S372,$S372)=1,1,0))</f>
        <v/>
      </c>
      <c r="U372" s="37" t="str">
        <f aca="false">IF($T372=1,$S372,"")</f>
        <v/>
      </c>
    </row>
    <row r="373" customFormat="false" ht="15" hidden="false" customHeight="false" outlineLevel="0" collapsed="false">
      <c r="M373" s="35" t="str">
        <f aca="false">IF($A373="","",HOUR($A373))</f>
        <v/>
      </c>
      <c r="N373" s="36" t="str">
        <f aca="false">IF($A373="","",$I373*$K373)</f>
        <v/>
      </c>
      <c r="O373" s="35" t="str">
        <f aca="false">IF(OR($A373="",$C373="U",$S373&lt;&gt;Calc!$F$2),"",SUMIFS($I$3:$I$3002,$E$3:$E$3002,$E373,$C$3:$C$3002,"&lt;&gt;U",$S$3:$S$3002,Calc!$F$2))</f>
        <v/>
      </c>
      <c r="P373" s="35" t="str">
        <f aca="false">IF(OR($A373="",$C373="U",$S373&lt;&gt;Calc!$F$2),"",SUMIFS($N$3:$N$3002,$E$3:$E$3002,$E373,$C$3:$C$3002,"&lt;&gt;U",$S$3:$S$3002,Calc!$F$2))</f>
        <v/>
      </c>
      <c r="Q373" s="35" t="str">
        <f aca="false">IF(OR($A373="",$C373="U",$S373&lt;&gt;Calc!$F$2),"",IF(COUNTIFS($E$3:$E373,$E373,$C$3:$C373,"&lt;&gt;U",$S$3:$S373,Calc!$F$2)=1,1,0))</f>
        <v/>
      </c>
      <c r="R373" s="35" t="str">
        <f aca="false">IF($Q373=1,$O373-ROW()/100000,"")</f>
        <v/>
      </c>
      <c r="S373" s="37" t="str">
        <f aca="false">IF($A373="","",INT($A373))</f>
        <v/>
      </c>
      <c r="T373" s="35" t="str">
        <f aca="false">IF($A373="","",IF(COUNTIFS($S$3:$S373,$S373)=1,1,0))</f>
        <v/>
      </c>
      <c r="U373" s="37" t="str">
        <f aca="false">IF($T373=1,$S373,"")</f>
        <v/>
      </c>
    </row>
    <row r="374" customFormat="false" ht="15" hidden="false" customHeight="false" outlineLevel="0" collapsed="false">
      <c r="M374" s="35" t="str">
        <f aca="false">IF($A374="","",HOUR($A374))</f>
        <v/>
      </c>
      <c r="N374" s="36" t="str">
        <f aca="false">IF($A374="","",$I374*$K374)</f>
        <v/>
      </c>
      <c r="O374" s="35" t="str">
        <f aca="false">IF(OR($A374="",$C374="U",$S374&lt;&gt;Calc!$F$2),"",SUMIFS($I$3:$I$3002,$E$3:$E$3002,$E374,$C$3:$C$3002,"&lt;&gt;U",$S$3:$S$3002,Calc!$F$2))</f>
        <v/>
      </c>
      <c r="P374" s="35" t="str">
        <f aca="false">IF(OR($A374="",$C374="U",$S374&lt;&gt;Calc!$F$2),"",SUMIFS($N$3:$N$3002,$E$3:$E$3002,$E374,$C$3:$C$3002,"&lt;&gt;U",$S$3:$S$3002,Calc!$F$2))</f>
        <v/>
      </c>
      <c r="Q374" s="35" t="str">
        <f aca="false">IF(OR($A374="",$C374="U",$S374&lt;&gt;Calc!$F$2),"",IF(COUNTIFS($E$3:$E374,$E374,$C$3:$C374,"&lt;&gt;U",$S$3:$S374,Calc!$F$2)=1,1,0))</f>
        <v/>
      </c>
      <c r="R374" s="35" t="str">
        <f aca="false">IF($Q374=1,$O374-ROW()/100000,"")</f>
        <v/>
      </c>
      <c r="S374" s="37" t="str">
        <f aca="false">IF($A374="","",INT($A374))</f>
        <v/>
      </c>
      <c r="T374" s="35" t="str">
        <f aca="false">IF($A374="","",IF(COUNTIFS($S$3:$S374,$S374)=1,1,0))</f>
        <v/>
      </c>
      <c r="U374" s="37" t="str">
        <f aca="false">IF($T374=1,$S374,"")</f>
        <v/>
      </c>
    </row>
    <row r="375" customFormat="false" ht="15" hidden="false" customHeight="false" outlineLevel="0" collapsed="false">
      <c r="M375" s="35" t="str">
        <f aca="false">IF($A375="","",HOUR($A375))</f>
        <v/>
      </c>
      <c r="N375" s="36" t="str">
        <f aca="false">IF($A375="","",$I375*$K375)</f>
        <v/>
      </c>
      <c r="O375" s="35" t="str">
        <f aca="false">IF(OR($A375="",$C375="U",$S375&lt;&gt;Calc!$F$2),"",SUMIFS($I$3:$I$3002,$E$3:$E$3002,$E375,$C$3:$C$3002,"&lt;&gt;U",$S$3:$S$3002,Calc!$F$2))</f>
        <v/>
      </c>
      <c r="P375" s="35" t="str">
        <f aca="false">IF(OR($A375="",$C375="U",$S375&lt;&gt;Calc!$F$2),"",SUMIFS($N$3:$N$3002,$E$3:$E$3002,$E375,$C$3:$C$3002,"&lt;&gt;U",$S$3:$S$3002,Calc!$F$2))</f>
        <v/>
      </c>
      <c r="Q375" s="35" t="str">
        <f aca="false">IF(OR($A375="",$C375="U",$S375&lt;&gt;Calc!$F$2),"",IF(COUNTIFS($E$3:$E375,$E375,$C$3:$C375,"&lt;&gt;U",$S$3:$S375,Calc!$F$2)=1,1,0))</f>
        <v/>
      </c>
      <c r="R375" s="35" t="str">
        <f aca="false">IF($Q375=1,$O375-ROW()/100000,"")</f>
        <v/>
      </c>
      <c r="S375" s="37" t="str">
        <f aca="false">IF($A375="","",INT($A375))</f>
        <v/>
      </c>
      <c r="T375" s="35" t="str">
        <f aca="false">IF($A375="","",IF(COUNTIFS($S$3:$S375,$S375)=1,1,0))</f>
        <v/>
      </c>
      <c r="U375" s="37" t="str">
        <f aca="false">IF($T375=1,$S375,"")</f>
        <v/>
      </c>
    </row>
    <row r="376" customFormat="false" ht="15" hidden="false" customHeight="false" outlineLevel="0" collapsed="false">
      <c r="M376" s="35" t="str">
        <f aca="false">IF($A376="","",HOUR($A376))</f>
        <v/>
      </c>
      <c r="N376" s="36" t="str">
        <f aca="false">IF($A376="","",$I376*$K376)</f>
        <v/>
      </c>
      <c r="O376" s="35" t="str">
        <f aca="false">IF(OR($A376="",$C376="U",$S376&lt;&gt;Calc!$F$2),"",SUMIFS($I$3:$I$3002,$E$3:$E$3002,$E376,$C$3:$C$3002,"&lt;&gt;U",$S$3:$S$3002,Calc!$F$2))</f>
        <v/>
      </c>
      <c r="P376" s="35" t="str">
        <f aca="false">IF(OR($A376="",$C376="U",$S376&lt;&gt;Calc!$F$2),"",SUMIFS($N$3:$N$3002,$E$3:$E$3002,$E376,$C$3:$C$3002,"&lt;&gt;U",$S$3:$S$3002,Calc!$F$2))</f>
        <v/>
      </c>
      <c r="Q376" s="35" t="str">
        <f aca="false">IF(OR($A376="",$C376="U",$S376&lt;&gt;Calc!$F$2),"",IF(COUNTIFS($E$3:$E376,$E376,$C$3:$C376,"&lt;&gt;U",$S$3:$S376,Calc!$F$2)=1,1,0))</f>
        <v/>
      </c>
      <c r="R376" s="35" t="str">
        <f aca="false">IF($Q376=1,$O376-ROW()/100000,"")</f>
        <v/>
      </c>
      <c r="S376" s="37" t="str">
        <f aca="false">IF($A376="","",INT($A376))</f>
        <v/>
      </c>
      <c r="T376" s="35" t="str">
        <f aca="false">IF($A376="","",IF(COUNTIFS($S$3:$S376,$S376)=1,1,0))</f>
        <v/>
      </c>
      <c r="U376" s="37" t="str">
        <f aca="false">IF($T376=1,$S376,"")</f>
        <v/>
      </c>
    </row>
    <row r="377" customFormat="false" ht="15" hidden="false" customHeight="false" outlineLevel="0" collapsed="false">
      <c r="M377" s="35" t="str">
        <f aca="false">IF($A377="","",HOUR($A377))</f>
        <v/>
      </c>
      <c r="N377" s="36" t="str">
        <f aca="false">IF($A377="","",$I377*$K377)</f>
        <v/>
      </c>
      <c r="O377" s="35" t="str">
        <f aca="false">IF(OR($A377="",$C377="U",$S377&lt;&gt;Calc!$F$2),"",SUMIFS($I$3:$I$3002,$E$3:$E$3002,$E377,$C$3:$C$3002,"&lt;&gt;U",$S$3:$S$3002,Calc!$F$2))</f>
        <v/>
      </c>
      <c r="P377" s="35" t="str">
        <f aca="false">IF(OR($A377="",$C377="U",$S377&lt;&gt;Calc!$F$2),"",SUMIFS($N$3:$N$3002,$E$3:$E$3002,$E377,$C$3:$C$3002,"&lt;&gt;U",$S$3:$S$3002,Calc!$F$2))</f>
        <v/>
      </c>
      <c r="Q377" s="35" t="str">
        <f aca="false">IF(OR($A377="",$C377="U",$S377&lt;&gt;Calc!$F$2),"",IF(COUNTIFS($E$3:$E377,$E377,$C$3:$C377,"&lt;&gt;U",$S$3:$S377,Calc!$F$2)=1,1,0))</f>
        <v/>
      </c>
      <c r="R377" s="35" t="str">
        <f aca="false">IF($Q377=1,$O377-ROW()/100000,"")</f>
        <v/>
      </c>
      <c r="S377" s="37" t="str">
        <f aca="false">IF($A377="","",INT($A377))</f>
        <v/>
      </c>
      <c r="T377" s="35" t="str">
        <f aca="false">IF($A377="","",IF(COUNTIFS($S$3:$S377,$S377)=1,1,0))</f>
        <v/>
      </c>
      <c r="U377" s="37" t="str">
        <f aca="false">IF($T377=1,$S377,"")</f>
        <v/>
      </c>
    </row>
    <row r="378" customFormat="false" ht="15" hidden="false" customHeight="false" outlineLevel="0" collapsed="false">
      <c r="M378" s="35" t="str">
        <f aca="false">IF($A378="","",HOUR($A378))</f>
        <v/>
      </c>
      <c r="N378" s="36" t="str">
        <f aca="false">IF($A378="","",$I378*$K378)</f>
        <v/>
      </c>
      <c r="O378" s="35" t="str">
        <f aca="false">IF(OR($A378="",$C378="U",$S378&lt;&gt;Calc!$F$2),"",SUMIFS($I$3:$I$3002,$E$3:$E$3002,$E378,$C$3:$C$3002,"&lt;&gt;U",$S$3:$S$3002,Calc!$F$2))</f>
        <v/>
      </c>
      <c r="P378" s="35" t="str">
        <f aca="false">IF(OR($A378="",$C378="U",$S378&lt;&gt;Calc!$F$2),"",SUMIFS($N$3:$N$3002,$E$3:$E$3002,$E378,$C$3:$C$3002,"&lt;&gt;U",$S$3:$S$3002,Calc!$F$2))</f>
        <v/>
      </c>
      <c r="Q378" s="35" t="str">
        <f aca="false">IF(OR($A378="",$C378="U",$S378&lt;&gt;Calc!$F$2),"",IF(COUNTIFS($E$3:$E378,$E378,$C$3:$C378,"&lt;&gt;U",$S$3:$S378,Calc!$F$2)=1,1,0))</f>
        <v/>
      </c>
      <c r="R378" s="35" t="str">
        <f aca="false">IF($Q378=1,$O378-ROW()/100000,"")</f>
        <v/>
      </c>
      <c r="S378" s="37" t="str">
        <f aca="false">IF($A378="","",INT($A378))</f>
        <v/>
      </c>
      <c r="T378" s="35" t="str">
        <f aca="false">IF($A378="","",IF(COUNTIFS($S$3:$S378,$S378)=1,1,0))</f>
        <v/>
      </c>
      <c r="U378" s="37" t="str">
        <f aca="false">IF($T378=1,$S378,"")</f>
        <v/>
      </c>
    </row>
    <row r="379" customFormat="false" ht="15" hidden="false" customHeight="false" outlineLevel="0" collapsed="false">
      <c r="M379" s="35" t="str">
        <f aca="false">IF($A379="","",HOUR($A379))</f>
        <v/>
      </c>
      <c r="N379" s="36" t="str">
        <f aca="false">IF($A379="","",$I379*$K379)</f>
        <v/>
      </c>
      <c r="O379" s="35" t="str">
        <f aca="false">IF(OR($A379="",$C379="U",$S379&lt;&gt;Calc!$F$2),"",SUMIFS($I$3:$I$3002,$E$3:$E$3002,$E379,$C$3:$C$3002,"&lt;&gt;U",$S$3:$S$3002,Calc!$F$2))</f>
        <v/>
      </c>
      <c r="P379" s="35" t="str">
        <f aca="false">IF(OR($A379="",$C379="U",$S379&lt;&gt;Calc!$F$2),"",SUMIFS($N$3:$N$3002,$E$3:$E$3002,$E379,$C$3:$C$3002,"&lt;&gt;U",$S$3:$S$3002,Calc!$F$2))</f>
        <v/>
      </c>
      <c r="Q379" s="35" t="str">
        <f aca="false">IF(OR($A379="",$C379="U",$S379&lt;&gt;Calc!$F$2),"",IF(COUNTIFS($E$3:$E379,$E379,$C$3:$C379,"&lt;&gt;U",$S$3:$S379,Calc!$F$2)=1,1,0))</f>
        <v/>
      </c>
      <c r="R379" s="35" t="str">
        <f aca="false">IF($Q379=1,$O379-ROW()/100000,"")</f>
        <v/>
      </c>
      <c r="S379" s="37" t="str">
        <f aca="false">IF($A379="","",INT($A379))</f>
        <v/>
      </c>
      <c r="T379" s="35" t="str">
        <f aca="false">IF($A379="","",IF(COUNTIFS($S$3:$S379,$S379)=1,1,0))</f>
        <v/>
      </c>
      <c r="U379" s="37" t="str">
        <f aca="false">IF($T379=1,$S379,"")</f>
        <v/>
      </c>
    </row>
    <row r="380" customFormat="false" ht="15" hidden="false" customHeight="false" outlineLevel="0" collapsed="false">
      <c r="M380" s="35" t="str">
        <f aca="false">IF($A380="","",HOUR($A380))</f>
        <v/>
      </c>
      <c r="N380" s="36" t="str">
        <f aca="false">IF($A380="","",$I380*$K380)</f>
        <v/>
      </c>
      <c r="O380" s="35" t="str">
        <f aca="false">IF(OR($A380="",$C380="U",$S380&lt;&gt;Calc!$F$2),"",SUMIFS($I$3:$I$3002,$E$3:$E$3002,$E380,$C$3:$C$3002,"&lt;&gt;U",$S$3:$S$3002,Calc!$F$2))</f>
        <v/>
      </c>
      <c r="P380" s="35" t="str">
        <f aca="false">IF(OR($A380="",$C380="U",$S380&lt;&gt;Calc!$F$2),"",SUMIFS($N$3:$N$3002,$E$3:$E$3002,$E380,$C$3:$C$3002,"&lt;&gt;U",$S$3:$S$3002,Calc!$F$2))</f>
        <v/>
      </c>
      <c r="Q380" s="35" t="str">
        <f aca="false">IF(OR($A380="",$C380="U",$S380&lt;&gt;Calc!$F$2),"",IF(COUNTIFS($E$3:$E380,$E380,$C$3:$C380,"&lt;&gt;U",$S$3:$S380,Calc!$F$2)=1,1,0))</f>
        <v/>
      </c>
      <c r="R380" s="35" t="str">
        <f aca="false">IF($Q380=1,$O380-ROW()/100000,"")</f>
        <v/>
      </c>
      <c r="S380" s="37" t="str">
        <f aca="false">IF($A380="","",INT($A380))</f>
        <v/>
      </c>
      <c r="T380" s="35" t="str">
        <f aca="false">IF($A380="","",IF(COUNTIFS($S$3:$S380,$S380)=1,1,0))</f>
        <v/>
      </c>
      <c r="U380" s="37" t="str">
        <f aca="false">IF($T380=1,$S380,"")</f>
        <v/>
      </c>
    </row>
    <row r="381" customFormat="false" ht="15" hidden="false" customHeight="false" outlineLevel="0" collapsed="false">
      <c r="M381" s="35" t="str">
        <f aca="false">IF($A381="","",HOUR($A381))</f>
        <v/>
      </c>
      <c r="N381" s="36" t="str">
        <f aca="false">IF($A381="","",$I381*$K381)</f>
        <v/>
      </c>
      <c r="O381" s="35" t="str">
        <f aca="false">IF(OR($A381="",$C381="U",$S381&lt;&gt;Calc!$F$2),"",SUMIFS($I$3:$I$3002,$E$3:$E$3002,$E381,$C$3:$C$3002,"&lt;&gt;U",$S$3:$S$3002,Calc!$F$2))</f>
        <v/>
      </c>
      <c r="P381" s="35" t="str">
        <f aca="false">IF(OR($A381="",$C381="U",$S381&lt;&gt;Calc!$F$2),"",SUMIFS($N$3:$N$3002,$E$3:$E$3002,$E381,$C$3:$C$3002,"&lt;&gt;U",$S$3:$S$3002,Calc!$F$2))</f>
        <v/>
      </c>
      <c r="Q381" s="35" t="str">
        <f aca="false">IF(OR($A381="",$C381="U",$S381&lt;&gt;Calc!$F$2),"",IF(COUNTIFS($E$3:$E381,$E381,$C$3:$C381,"&lt;&gt;U",$S$3:$S381,Calc!$F$2)=1,1,0))</f>
        <v/>
      </c>
      <c r="R381" s="35" t="str">
        <f aca="false">IF($Q381=1,$O381-ROW()/100000,"")</f>
        <v/>
      </c>
      <c r="S381" s="37" t="str">
        <f aca="false">IF($A381="","",INT($A381))</f>
        <v/>
      </c>
      <c r="T381" s="35" t="str">
        <f aca="false">IF($A381="","",IF(COUNTIFS($S$3:$S381,$S381)=1,1,0))</f>
        <v/>
      </c>
      <c r="U381" s="37" t="str">
        <f aca="false">IF($T381=1,$S381,"")</f>
        <v/>
      </c>
    </row>
    <row r="382" customFormat="false" ht="15" hidden="false" customHeight="false" outlineLevel="0" collapsed="false">
      <c r="M382" s="35" t="str">
        <f aca="false">IF($A382="","",HOUR($A382))</f>
        <v/>
      </c>
      <c r="N382" s="36" t="str">
        <f aca="false">IF($A382="","",$I382*$K382)</f>
        <v/>
      </c>
      <c r="O382" s="35" t="str">
        <f aca="false">IF(OR($A382="",$C382="U",$S382&lt;&gt;Calc!$F$2),"",SUMIFS($I$3:$I$3002,$E$3:$E$3002,$E382,$C$3:$C$3002,"&lt;&gt;U",$S$3:$S$3002,Calc!$F$2))</f>
        <v/>
      </c>
      <c r="P382" s="35" t="str">
        <f aca="false">IF(OR($A382="",$C382="U",$S382&lt;&gt;Calc!$F$2),"",SUMIFS($N$3:$N$3002,$E$3:$E$3002,$E382,$C$3:$C$3002,"&lt;&gt;U",$S$3:$S$3002,Calc!$F$2))</f>
        <v/>
      </c>
      <c r="Q382" s="35" t="str">
        <f aca="false">IF(OR($A382="",$C382="U",$S382&lt;&gt;Calc!$F$2),"",IF(COUNTIFS($E$3:$E382,$E382,$C$3:$C382,"&lt;&gt;U",$S$3:$S382,Calc!$F$2)=1,1,0))</f>
        <v/>
      </c>
      <c r="R382" s="35" t="str">
        <f aca="false">IF($Q382=1,$O382-ROW()/100000,"")</f>
        <v/>
      </c>
      <c r="S382" s="37" t="str">
        <f aca="false">IF($A382="","",INT($A382))</f>
        <v/>
      </c>
      <c r="T382" s="35" t="str">
        <f aca="false">IF($A382="","",IF(COUNTIFS($S$3:$S382,$S382)=1,1,0))</f>
        <v/>
      </c>
      <c r="U382" s="37" t="str">
        <f aca="false">IF($T382=1,$S382,"")</f>
        <v/>
      </c>
    </row>
    <row r="383" customFormat="false" ht="15" hidden="false" customHeight="false" outlineLevel="0" collapsed="false">
      <c r="M383" s="35" t="str">
        <f aca="false">IF($A383="","",HOUR($A383))</f>
        <v/>
      </c>
      <c r="N383" s="36" t="str">
        <f aca="false">IF($A383="","",$I383*$K383)</f>
        <v/>
      </c>
      <c r="O383" s="35" t="str">
        <f aca="false">IF(OR($A383="",$C383="U",$S383&lt;&gt;Calc!$F$2),"",SUMIFS($I$3:$I$3002,$E$3:$E$3002,$E383,$C$3:$C$3002,"&lt;&gt;U",$S$3:$S$3002,Calc!$F$2))</f>
        <v/>
      </c>
      <c r="P383" s="35" t="str">
        <f aca="false">IF(OR($A383="",$C383="U",$S383&lt;&gt;Calc!$F$2),"",SUMIFS($N$3:$N$3002,$E$3:$E$3002,$E383,$C$3:$C$3002,"&lt;&gt;U",$S$3:$S$3002,Calc!$F$2))</f>
        <v/>
      </c>
      <c r="Q383" s="35" t="str">
        <f aca="false">IF(OR($A383="",$C383="U",$S383&lt;&gt;Calc!$F$2),"",IF(COUNTIFS($E$3:$E383,$E383,$C$3:$C383,"&lt;&gt;U",$S$3:$S383,Calc!$F$2)=1,1,0))</f>
        <v/>
      </c>
      <c r="R383" s="35" t="str">
        <f aca="false">IF($Q383=1,$O383-ROW()/100000,"")</f>
        <v/>
      </c>
      <c r="S383" s="37" t="str">
        <f aca="false">IF($A383="","",INT($A383))</f>
        <v/>
      </c>
      <c r="T383" s="35" t="str">
        <f aca="false">IF($A383="","",IF(COUNTIFS($S$3:$S383,$S383)=1,1,0))</f>
        <v/>
      </c>
      <c r="U383" s="37" t="str">
        <f aca="false">IF($T383=1,$S383,"")</f>
        <v/>
      </c>
    </row>
    <row r="384" customFormat="false" ht="15" hidden="false" customHeight="false" outlineLevel="0" collapsed="false">
      <c r="M384" s="35" t="str">
        <f aca="false">IF($A384="","",HOUR($A384))</f>
        <v/>
      </c>
      <c r="N384" s="36" t="str">
        <f aca="false">IF($A384="","",$I384*$K384)</f>
        <v/>
      </c>
      <c r="O384" s="35" t="str">
        <f aca="false">IF(OR($A384="",$C384="U",$S384&lt;&gt;Calc!$F$2),"",SUMIFS($I$3:$I$3002,$E$3:$E$3002,$E384,$C$3:$C$3002,"&lt;&gt;U",$S$3:$S$3002,Calc!$F$2))</f>
        <v/>
      </c>
      <c r="P384" s="35" t="str">
        <f aca="false">IF(OR($A384="",$C384="U",$S384&lt;&gt;Calc!$F$2),"",SUMIFS($N$3:$N$3002,$E$3:$E$3002,$E384,$C$3:$C$3002,"&lt;&gt;U",$S$3:$S$3002,Calc!$F$2))</f>
        <v/>
      </c>
      <c r="Q384" s="35" t="str">
        <f aca="false">IF(OR($A384="",$C384="U",$S384&lt;&gt;Calc!$F$2),"",IF(COUNTIFS($E$3:$E384,$E384,$C$3:$C384,"&lt;&gt;U",$S$3:$S384,Calc!$F$2)=1,1,0))</f>
        <v/>
      </c>
      <c r="R384" s="35" t="str">
        <f aca="false">IF($Q384=1,$O384-ROW()/100000,"")</f>
        <v/>
      </c>
      <c r="S384" s="37" t="str">
        <f aca="false">IF($A384="","",INT($A384))</f>
        <v/>
      </c>
      <c r="T384" s="35" t="str">
        <f aca="false">IF($A384="","",IF(COUNTIFS($S$3:$S384,$S384)=1,1,0))</f>
        <v/>
      </c>
      <c r="U384" s="37" t="str">
        <f aca="false">IF($T384=1,$S384,"")</f>
        <v/>
      </c>
    </row>
    <row r="385" customFormat="false" ht="15" hidden="false" customHeight="false" outlineLevel="0" collapsed="false">
      <c r="M385" s="35" t="str">
        <f aca="false">IF($A385="","",HOUR($A385))</f>
        <v/>
      </c>
      <c r="N385" s="36" t="str">
        <f aca="false">IF($A385="","",$I385*$K385)</f>
        <v/>
      </c>
      <c r="O385" s="35" t="str">
        <f aca="false">IF(OR($A385="",$C385="U",$S385&lt;&gt;Calc!$F$2),"",SUMIFS($I$3:$I$3002,$E$3:$E$3002,$E385,$C$3:$C$3002,"&lt;&gt;U",$S$3:$S$3002,Calc!$F$2))</f>
        <v/>
      </c>
      <c r="P385" s="35" t="str">
        <f aca="false">IF(OR($A385="",$C385="U",$S385&lt;&gt;Calc!$F$2),"",SUMIFS($N$3:$N$3002,$E$3:$E$3002,$E385,$C$3:$C$3002,"&lt;&gt;U",$S$3:$S$3002,Calc!$F$2))</f>
        <v/>
      </c>
      <c r="Q385" s="35" t="str">
        <f aca="false">IF(OR($A385="",$C385="U",$S385&lt;&gt;Calc!$F$2),"",IF(COUNTIFS($E$3:$E385,$E385,$C$3:$C385,"&lt;&gt;U",$S$3:$S385,Calc!$F$2)=1,1,0))</f>
        <v/>
      </c>
      <c r="R385" s="35" t="str">
        <f aca="false">IF($Q385=1,$O385-ROW()/100000,"")</f>
        <v/>
      </c>
      <c r="S385" s="37" t="str">
        <f aca="false">IF($A385="","",INT($A385))</f>
        <v/>
      </c>
      <c r="T385" s="35" t="str">
        <f aca="false">IF($A385="","",IF(COUNTIFS($S$3:$S385,$S385)=1,1,0))</f>
        <v/>
      </c>
      <c r="U385" s="37" t="str">
        <f aca="false">IF($T385=1,$S385,"")</f>
        <v/>
      </c>
    </row>
    <row r="386" customFormat="false" ht="15" hidden="false" customHeight="false" outlineLevel="0" collapsed="false">
      <c r="M386" s="35" t="str">
        <f aca="false">IF($A386="","",HOUR($A386))</f>
        <v/>
      </c>
      <c r="N386" s="36" t="str">
        <f aca="false">IF($A386="","",$I386*$K386)</f>
        <v/>
      </c>
      <c r="O386" s="35" t="str">
        <f aca="false">IF(OR($A386="",$C386="U",$S386&lt;&gt;Calc!$F$2),"",SUMIFS($I$3:$I$3002,$E$3:$E$3002,$E386,$C$3:$C$3002,"&lt;&gt;U",$S$3:$S$3002,Calc!$F$2))</f>
        <v/>
      </c>
      <c r="P386" s="35" t="str">
        <f aca="false">IF(OR($A386="",$C386="U",$S386&lt;&gt;Calc!$F$2),"",SUMIFS($N$3:$N$3002,$E$3:$E$3002,$E386,$C$3:$C$3002,"&lt;&gt;U",$S$3:$S$3002,Calc!$F$2))</f>
        <v/>
      </c>
      <c r="Q386" s="35" t="str">
        <f aca="false">IF(OR($A386="",$C386="U",$S386&lt;&gt;Calc!$F$2),"",IF(COUNTIFS($E$3:$E386,$E386,$C$3:$C386,"&lt;&gt;U",$S$3:$S386,Calc!$F$2)=1,1,0))</f>
        <v/>
      </c>
      <c r="R386" s="35" t="str">
        <f aca="false">IF($Q386=1,$O386-ROW()/100000,"")</f>
        <v/>
      </c>
      <c r="S386" s="37" t="str">
        <f aca="false">IF($A386="","",INT($A386))</f>
        <v/>
      </c>
      <c r="T386" s="35" t="str">
        <f aca="false">IF($A386="","",IF(COUNTIFS($S$3:$S386,$S386)=1,1,0))</f>
        <v/>
      </c>
      <c r="U386" s="37" t="str">
        <f aca="false">IF($T386=1,$S386,"")</f>
        <v/>
      </c>
    </row>
    <row r="387" customFormat="false" ht="15" hidden="false" customHeight="false" outlineLevel="0" collapsed="false">
      <c r="M387" s="35" t="str">
        <f aca="false">IF($A387="","",HOUR($A387))</f>
        <v/>
      </c>
      <c r="N387" s="36" t="str">
        <f aca="false">IF($A387="","",$I387*$K387)</f>
        <v/>
      </c>
      <c r="O387" s="35" t="str">
        <f aca="false">IF(OR($A387="",$C387="U",$S387&lt;&gt;Calc!$F$2),"",SUMIFS($I$3:$I$3002,$E$3:$E$3002,$E387,$C$3:$C$3002,"&lt;&gt;U",$S$3:$S$3002,Calc!$F$2))</f>
        <v/>
      </c>
      <c r="P387" s="35" t="str">
        <f aca="false">IF(OR($A387="",$C387="U",$S387&lt;&gt;Calc!$F$2),"",SUMIFS($N$3:$N$3002,$E$3:$E$3002,$E387,$C$3:$C$3002,"&lt;&gt;U",$S$3:$S$3002,Calc!$F$2))</f>
        <v/>
      </c>
      <c r="Q387" s="35" t="str">
        <f aca="false">IF(OR($A387="",$C387="U",$S387&lt;&gt;Calc!$F$2),"",IF(COUNTIFS($E$3:$E387,$E387,$C$3:$C387,"&lt;&gt;U",$S$3:$S387,Calc!$F$2)=1,1,0))</f>
        <v/>
      </c>
      <c r="R387" s="35" t="str">
        <f aca="false">IF($Q387=1,$O387-ROW()/100000,"")</f>
        <v/>
      </c>
      <c r="S387" s="37" t="str">
        <f aca="false">IF($A387="","",INT($A387))</f>
        <v/>
      </c>
      <c r="T387" s="35" t="str">
        <f aca="false">IF($A387="","",IF(COUNTIFS($S$3:$S387,$S387)=1,1,0))</f>
        <v/>
      </c>
      <c r="U387" s="37" t="str">
        <f aca="false">IF($T387=1,$S387,"")</f>
        <v/>
      </c>
    </row>
    <row r="388" customFormat="false" ht="15" hidden="false" customHeight="false" outlineLevel="0" collapsed="false">
      <c r="M388" s="35" t="str">
        <f aca="false">IF($A388="","",HOUR($A388))</f>
        <v/>
      </c>
      <c r="N388" s="36" t="str">
        <f aca="false">IF($A388="","",$I388*$K388)</f>
        <v/>
      </c>
      <c r="O388" s="35" t="str">
        <f aca="false">IF(OR($A388="",$C388="U",$S388&lt;&gt;Calc!$F$2),"",SUMIFS($I$3:$I$3002,$E$3:$E$3002,$E388,$C$3:$C$3002,"&lt;&gt;U",$S$3:$S$3002,Calc!$F$2))</f>
        <v/>
      </c>
      <c r="P388" s="35" t="str">
        <f aca="false">IF(OR($A388="",$C388="U",$S388&lt;&gt;Calc!$F$2),"",SUMIFS($N$3:$N$3002,$E$3:$E$3002,$E388,$C$3:$C$3002,"&lt;&gt;U",$S$3:$S$3002,Calc!$F$2))</f>
        <v/>
      </c>
      <c r="Q388" s="35" t="str">
        <f aca="false">IF(OR($A388="",$C388="U",$S388&lt;&gt;Calc!$F$2),"",IF(COUNTIFS($E$3:$E388,$E388,$C$3:$C388,"&lt;&gt;U",$S$3:$S388,Calc!$F$2)=1,1,0))</f>
        <v/>
      </c>
      <c r="R388" s="35" t="str">
        <f aca="false">IF($Q388=1,$O388-ROW()/100000,"")</f>
        <v/>
      </c>
      <c r="S388" s="37" t="str">
        <f aca="false">IF($A388="","",INT($A388))</f>
        <v/>
      </c>
      <c r="T388" s="35" t="str">
        <f aca="false">IF($A388="","",IF(COUNTIFS($S$3:$S388,$S388)=1,1,0))</f>
        <v/>
      </c>
      <c r="U388" s="37" t="str">
        <f aca="false">IF($T388=1,$S388,"")</f>
        <v/>
      </c>
    </row>
    <row r="389" customFormat="false" ht="15" hidden="false" customHeight="false" outlineLevel="0" collapsed="false">
      <c r="M389" s="35" t="str">
        <f aca="false">IF($A389="","",HOUR($A389))</f>
        <v/>
      </c>
      <c r="N389" s="36" t="str">
        <f aca="false">IF($A389="","",$I389*$K389)</f>
        <v/>
      </c>
      <c r="O389" s="35" t="str">
        <f aca="false">IF(OR($A389="",$C389="U",$S389&lt;&gt;Calc!$F$2),"",SUMIFS($I$3:$I$3002,$E$3:$E$3002,$E389,$C$3:$C$3002,"&lt;&gt;U",$S$3:$S$3002,Calc!$F$2))</f>
        <v/>
      </c>
      <c r="P389" s="35" t="str">
        <f aca="false">IF(OR($A389="",$C389="U",$S389&lt;&gt;Calc!$F$2),"",SUMIFS($N$3:$N$3002,$E$3:$E$3002,$E389,$C$3:$C$3002,"&lt;&gt;U",$S$3:$S$3002,Calc!$F$2))</f>
        <v/>
      </c>
      <c r="Q389" s="35" t="str">
        <f aca="false">IF(OR($A389="",$C389="U",$S389&lt;&gt;Calc!$F$2),"",IF(COUNTIFS($E$3:$E389,$E389,$C$3:$C389,"&lt;&gt;U",$S$3:$S389,Calc!$F$2)=1,1,0))</f>
        <v/>
      </c>
      <c r="R389" s="35" t="str">
        <f aca="false">IF($Q389=1,$O389-ROW()/100000,"")</f>
        <v/>
      </c>
      <c r="S389" s="37" t="str">
        <f aca="false">IF($A389="","",INT($A389))</f>
        <v/>
      </c>
      <c r="T389" s="35" t="str">
        <f aca="false">IF($A389="","",IF(COUNTIFS($S$3:$S389,$S389)=1,1,0))</f>
        <v/>
      </c>
      <c r="U389" s="37" t="str">
        <f aca="false">IF($T389=1,$S389,"")</f>
        <v/>
      </c>
    </row>
    <row r="390" customFormat="false" ht="15" hidden="false" customHeight="false" outlineLevel="0" collapsed="false">
      <c r="M390" s="35" t="str">
        <f aca="false">IF($A390="","",HOUR($A390))</f>
        <v/>
      </c>
      <c r="N390" s="36" t="str">
        <f aca="false">IF($A390="","",$I390*$K390)</f>
        <v/>
      </c>
      <c r="O390" s="35" t="str">
        <f aca="false">IF(OR($A390="",$C390="U",$S390&lt;&gt;Calc!$F$2),"",SUMIFS($I$3:$I$3002,$E$3:$E$3002,$E390,$C$3:$C$3002,"&lt;&gt;U",$S$3:$S$3002,Calc!$F$2))</f>
        <v/>
      </c>
      <c r="P390" s="35" t="str">
        <f aca="false">IF(OR($A390="",$C390="U",$S390&lt;&gt;Calc!$F$2),"",SUMIFS($N$3:$N$3002,$E$3:$E$3002,$E390,$C$3:$C$3002,"&lt;&gt;U",$S$3:$S$3002,Calc!$F$2))</f>
        <v/>
      </c>
      <c r="Q390" s="35" t="str">
        <f aca="false">IF(OR($A390="",$C390="U",$S390&lt;&gt;Calc!$F$2),"",IF(COUNTIFS($E$3:$E390,$E390,$C$3:$C390,"&lt;&gt;U",$S$3:$S390,Calc!$F$2)=1,1,0))</f>
        <v/>
      </c>
      <c r="R390" s="35" t="str">
        <f aca="false">IF($Q390=1,$O390-ROW()/100000,"")</f>
        <v/>
      </c>
      <c r="S390" s="37" t="str">
        <f aca="false">IF($A390="","",INT($A390))</f>
        <v/>
      </c>
      <c r="T390" s="35" t="str">
        <f aca="false">IF($A390="","",IF(COUNTIFS($S$3:$S390,$S390)=1,1,0))</f>
        <v/>
      </c>
      <c r="U390" s="37" t="str">
        <f aca="false">IF($T390=1,$S390,"")</f>
        <v/>
      </c>
    </row>
    <row r="391" customFormat="false" ht="15" hidden="false" customHeight="false" outlineLevel="0" collapsed="false">
      <c r="M391" s="35" t="str">
        <f aca="false">IF($A391="","",HOUR($A391))</f>
        <v/>
      </c>
      <c r="N391" s="36" t="str">
        <f aca="false">IF($A391="","",$I391*$K391)</f>
        <v/>
      </c>
      <c r="O391" s="35" t="str">
        <f aca="false">IF(OR($A391="",$C391="U",$S391&lt;&gt;Calc!$F$2),"",SUMIFS($I$3:$I$3002,$E$3:$E$3002,$E391,$C$3:$C$3002,"&lt;&gt;U",$S$3:$S$3002,Calc!$F$2))</f>
        <v/>
      </c>
      <c r="P391" s="35" t="str">
        <f aca="false">IF(OR($A391="",$C391="U",$S391&lt;&gt;Calc!$F$2),"",SUMIFS($N$3:$N$3002,$E$3:$E$3002,$E391,$C$3:$C$3002,"&lt;&gt;U",$S$3:$S$3002,Calc!$F$2))</f>
        <v/>
      </c>
      <c r="Q391" s="35" t="str">
        <f aca="false">IF(OR($A391="",$C391="U",$S391&lt;&gt;Calc!$F$2),"",IF(COUNTIFS($E$3:$E391,$E391,$C$3:$C391,"&lt;&gt;U",$S$3:$S391,Calc!$F$2)=1,1,0))</f>
        <v/>
      </c>
      <c r="R391" s="35" t="str">
        <f aca="false">IF($Q391=1,$O391-ROW()/100000,"")</f>
        <v/>
      </c>
      <c r="S391" s="37" t="str">
        <f aca="false">IF($A391="","",INT($A391))</f>
        <v/>
      </c>
      <c r="T391" s="35" t="str">
        <f aca="false">IF($A391="","",IF(COUNTIFS($S$3:$S391,$S391)=1,1,0))</f>
        <v/>
      </c>
      <c r="U391" s="37" t="str">
        <f aca="false">IF($T391=1,$S391,"")</f>
        <v/>
      </c>
    </row>
    <row r="392" customFormat="false" ht="15" hidden="false" customHeight="false" outlineLevel="0" collapsed="false">
      <c r="M392" s="35" t="str">
        <f aca="false">IF($A392="","",HOUR($A392))</f>
        <v/>
      </c>
      <c r="N392" s="36" t="str">
        <f aca="false">IF($A392="","",$I392*$K392)</f>
        <v/>
      </c>
      <c r="O392" s="35" t="str">
        <f aca="false">IF(OR($A392="",$C392="U",$S392&lt;&gt;Calc!$F$2),"",SUMIFS($I$3:$I$3002,$E$3:$E$3002,$E392,$C$3:$C$3002,"&lt;&gt;U",$S$3:$S$3002,Calc!$F$2))</f>
        <v/>
      </c>
      <c r="P392" s="35" t="str">
        <f aca="false">IF(OR($A392="",$C392="U",$S392&lt;&gt;Calc!$F$2),"",SUMIFS($N$3:$N$3002,$E$3:$E$3002,$E392,$C$3:$C$3002,"&lt;&gt;U",$S$3:$S$3002,Calc!$F$2))</f>
        <v/>
      </c>
      <c r="Q392" s="35" t="str">
        <f aca="false">IF(OR($A392="",$C392="U",$S392&lt;&gt;Calc!$F$2),"",IF(COUNTIFS($E$3:$E392,$E392,$C$3:$C392,"&lt;&gt;U",$S$3:$S392,Calc!$F$2)=1,1,0))</f>
        <v/>
      </c>
      <c r="R392" s="35" t="str">
        <f aca="false">IF($Q392=1,$O392-ROW()/100000,"")</f>
        <v/>
      </c>
      <c r="S392" s="37" t="str">
        <f aca="false">IF($A392="","",INT($A392))</f>
        <v/>
      </c>
      <c r="T392" s="35" t="str">
        <f aca="false">IF($A392="","",IF(COUNTIFS($S$3:$S392,$S392)=1,1,0))</f>
        <v/>
      </c>
      <c r="U392" s="37" t="str">
        <f aca="false">IF($T392=1,$S392,"")</f>
        <v/>
      </c>
    </row>
    <row r="393" customFormat="false" ht="15" hidden="false" customHeight="false" outlineLevel="0" collapsed="false">
      <c r="M393" s="35" t="str">
        <f aca="false">IF($A393="","",HOUR($A393))</f>
        <v/>
      </c>
      <c r="N393" s="36" t="str">
        <f aca="false">IF($A393="","",$I393*$K393)</f>
        <v/>
      </c>
      <c r="O393" s="35" t="str">
        <f aca="false">IF(OR($A393="",$C393="U",$S393&lt;&gt;Calc!$F$2),"",SUMIFS($I$3:$I$3002,$E$3:$E$3002,$E393,$C$3:$C$3002,"&lt;&gt;U",$S$3:$S$3002,Calc!$F$2))</f>
        <v/>
      </c>
      <c r="P393" s="35" t="str">
        <f aca="false">IF(OR($A393="",$C393="U",$S393&lt;&gt;Calc!$F$2),"",SUMIFS($N$3:$N$3002,$E$3:$E$3002,$E393,$C$3:$C$3002,"&lt;&gt;U",$S$3:$S$3002,Calc!$F$2))</f>
        <v/>
      </c>
      <c r="Q393" s="35" t="str">
        <f aca="false">IF(OR($A393="",$C393="U",$S393&lt;&gt;Calc!$F$2),"",IF(COUNTIFS($E$3:$E393,$E393,$C$3:$C393,"&lt;&gt;U",$S$3:$S393,Calc!$F$2)=1,1,0))</f>
        <v/>
      </c>
      <c r="R393" s="35" t="str">
        <f aca="false">IF($Q393=1,$O393-ROW()/100000,"")</f>
        <v/>
      </c>
      <c r="S393" s="37" t="str">
        <f aca="false">IF($A393="","",INT($A393))</f>
        <v/>
      </c>
      <c r="T393" s="35" t="str">
        <f aca="false">IF($A393="","",IF(COUNTIFS($S$3:$S393,$S393)=1,1,0))</f>
        <v/>
      </c>
      <c r="U393" s="37" t="str">
        <f aca="false">IF($T393=1,$S393,"")</f>
        <v/>
      </c>
    </row>
    <row r="394" customFormat="false" ht="15" hidden="false" customHeight="false" outlineLevel="0" collapsed="false">
      <c r="M394" s="35" t="str">
        <f aca="false">IF($A394="","",HOUR($A394))</f>
        <v/>
      </c>
      <c r="N394" s="36" t="str">
        <f aca="false">IF($A394="","",$I394*$K394)</f>
        <v/>
      </c>
      <c r="O394" s="35" t="str">
        <f aca="false">IF(OR($A394="",$C394="U",$S394&lt;&gt;Calc!$F$2),"",SUMIFS($I$3:$I$3002,$E$3:$E$3002,$E394,$C$3:$C$3002,"&lt;&gt;U",$S$3:$S$3002,Calc!$F$2))</f>
        <v/>
      </c>
      <c r="P394" s="35" t="str">
        <f aca="false">IF(OR($A394="",$C394="U",$S394&lt;&gt;Calc!$F$2),"",SUMIFS($N$3:$N$3002,$E$3:$E$3002,$E394,$C$3:$C$3002,"&lt;&gt;U",$S$3:$S$3002,Calc!$F$2))</f>
        <v/>
      </c>
      <c r="Q394" s="35" t="str">
        <f aca="false">IF(OR($A394="",$C394="U",$S394&lt;&gt;Calc!$F$2),"",IF(COUNTIFS($E$3:$E394,$E394,$C$3:$C394,"&lt;&gt;U",$S$3:$S394,Calc!$F$2)=1,1,0))</f>
        <v/>
      </c>
      <c r="R394" s="35" t="str">
        <f aca="false">IF($Q394=1,$O394-ROW()/100000,"")</f>
        <v/>
      </c>
      <c r="S394" s="37" t="str">
        <f aca="false">IF($A394="","",INT($A394))</f>
        <v/>
      </c>
      <c r="T394" s="35" t="str">
        <f aca="false">IF($A394="","",IF(COUNTIFS($S$3:$S394,$S394)=1,1,0))</f>
        <v/>
      </c>
      <c r="U394" s="37" t="str">
        <f aca="false">IF($T394=1,$S394,"")</f>
        <v/>
      </c>
    </row>
    <row r="395" customFormat="false" ht="15" hidden="false" customHeight="false" outlineLevel="0" collapsed="false">
      <c r="M395" s="35" t="str">
        <f aca="false">IF($A395="","",HOUR($A395))</f>
        <v/>
      </c>
      <c r="N395" s="36" t="str">
        <f aca="false">IF($A395="","",$I395*$K395)</f>
        <v/>
      </c>
      <c r="O395" s="35" t="str">
        <f aca="false">IF(OR($A395="",$C395="U",$S395&lt;&gt;Calc!$F$2),"",SUMIFS($I$3:$I$3002,$E$3:$E$3002,$E395,$C$3:$C$3002,"&lt;&gt;U",$S$3:$S$3002,Calc!$F$2))</f>
        <v/>
      </c>
      <c r="P395" s="35" t="str">
        <f aca="false">IF(OR($A395="",$C395="U",$S395&lt;&gt;Calc!$F$2),"",SUMIFS($N$3:$N$3002,$E$3:$E$3002,$E395,$C$3:$C$3002,"&lt;&gt;U",$S$3:$S$3002,Calc!$F$2))</f>
        <v/>
      </c>
      <c r="Q395" s="35" t="str">
        <f aca="false">IF(OR($A395="",$C395="U",$S395&lt;&gt;Calc!$F$2),"",IF(COUNTIFS($E$3:$E395,$E395,$C$3:$C395,"&lt;&gt;U",$S$3:$S395,Calc!$F$2)=1,1,0))</f>
        <v/>
      </c>
      <c r="R395" s="35" t="str">
        <f aca="false">IF($Q395=1,$O395-ROW()/100000,"")</f>
        <v/>
      </c>
      <c r="S395" s="37" t="str">
        <f aca="false">IF($A395="","",INT($A395))</f>
        <v/>
      </c>
      <c r="T395" s="35" t="str">
        <f aca="false">IF($A395="","",IF(COUNTIFS($S$3:$S395,$S395)=1,1,0))</f>
        <v/>
      </c>
      <c r="U395" s="37" t="str">
        <f aca="false">IF($T395=1,$S395,"")</f>
        <v/>
      </c>
    </row>
    <row r="396" customFormat="false" ht="15" hidden="false" customHeight="false" outlineLevel="0" collapsed="false">
      <c r="M396" s="35" t="str">
        <f aca="false">IF($A396="","",HOUR($A396))</f>
        <v/>
      </c>
      <c r="N396" s="36" t="str">
        <f aca="false">IF($A396="","",$I396*$K396)</f>
        <v/>
      </c>
      <c r="O396" s="35" t="str">
        <f aca="false">IF(OR($A396="",$C396="U",$S396&lt;&gt;Calc!$F$2),"",SUMIFS($I$3:$I$3002,$E$3:$E$3002,$E396,$C$3:$C$3002,"&lt;&gt;U",$S$3:$S$3002,Calc!$F$2))</f>
        <v/>
      </c>
      <c r="P396" s="35" t="str">
        <f aca="false">IF(OR($A396="",$C396="U",$S396&lt;&gt;Calc!$F$2),"",SUMIFS($N$3:$N$3002,$E$3:$E$3002,$E396,$C$3:$C$3002,"&lt;&gt;U",$S$3:$S$3002,Calc!$F$2))</f>
        <v/>
      </c>
      <c r="Q396" s="35" t="str">
        <f aca="false">IF(OR($A396="",$C396="U",$S396&lt;&gt;Calc!$F$2),"",IF(COUNTIFS($E$3:$E396,$E396,$C$3:$C396,"&lt;&gt;U",$S$3:$S396,Calc!$F$2)=1,1,0))</f>
        <v/>
      </c>
      <c r="R396" s="35" t="str">
        <f aca="false">IF($Q396=1,$O396-ROW()/100000,"")</f>
        <v/>
      </c>
      <c r="S396" s="37" t="str">
        <f aca="false">IF($A396="","",INT($A396))</f>
        <v/>
      </c>
      <c r="T396" s="35" t="str">
        <f aca="false">IF($A396="","",IF(COUNTIFS($S$3:$S396,$S396)=1,1,0))</f>
        <v/>
      </c>
      <c r="U396" s="37" t="str">
        <f aca="false">IF($T396=1,$S396,"")</f>
        <v/>
      </c>
    </row>
    <row r="397" customFormat="false" ht="15" hidden="false" customHeight="false" outlineLevel="0" collapsed="false">
      <c r="M397" s="35" t="str">
        <f aca="false">IF($A397="","",HOUR($A397))</f>
        <v/>
      </c>
      <c r="N397" s="36" t="str">
        <f aca="false">IF($A397="","",$I397*$K397)</f>
        <v/>
      </c>
      <c r="O397" s="35" t="str">
        <f aca="false">IF(OR($A397="",$C397="U",$S397&lt;&gt;Calc!$F$2),"",SUMIFS($I$3:$I$3002,$E$3:$E$3002,$E397,$C$3:$C$3002,"&lt;&gt;U",$S$3:$S$3002,Calc!$F$2))</f>
        <v/>
      </c>
      <c r="P397" s="35" t="str">
        <f aca="false">IF(OR($A397="",$C397="U",$S397&lt;&gt;Calc!$F$2),"",SUMIFS($N$3:$N$3002,$E$3:$E$3002,$E397,$C$3:$C$3002,"&lt;&gt;U",$S$3:$S$3002,Calc!$F$2))</f>
        <v/>
      </c>
      <c r="Q397" s="35" t="str">
        <f aca="false">IF(OR($A397="",$C397="U",$S397&lt;&gt;Calc!$F$2),"",IF(COUNTIFS($E$3:$E397,$E397,$C$3:$C397,"&lt;&gt;U",$S$3:$S397,Calc!$F$2)=1,1,0))</f>
        <v/>
      </c>
      <c r="R397" s="35" t="str">
        <f aca="false">IF($Q397=1,$O397-ROW()/100000,"")</f>
        <v/>
      </c>
      <c r="S397" s="37" t="str">
        <f aca="false">IF($A397="","",INT($A397))</f>
        <v/>
      </c>
      <c r="T397" s="35" t="str">
        <f aca="false">IF($A397="","",IF(COUNTIFS($S$3:$S397,$S397)=1,1,0))</f>
        <v/>
      </c>
      <c r="U397" s="37" t="str">
        <f aca="false">IF($T397=1,$S397,"")</f>
        <v/>
      </c>
    </row>
    <row r="398" customFormat="false" ht="15" hidden="false" customHeight="false" outlineLevel="0" collapsed="false">
      <c r="M398" s="35" t="str">
        <f aca="false">IF($A398="","",HOUR($A398))</f>
        <v/>
      </c>
      <c r="N398" s="36" t="str">
        <f aca="false">IF($A398="","",$I398*$K398)</f>
        <v/>
      </c>
      <c r="O398" s="35" t="str">
        <f aca="false">IF(OR($A398="",$C398="U",$S398&lt;&gt;Calc!$F$2),"",SUMIFS($I$3:$I$3002,$E$3:$E$3002,$E398,$C$3:$C$3002,"&lt;&gt;U",$S$3:$S$3002,Calc!$F$2))</f>
        <v/>
      </c>
      <c r="P398" s="35" t="str">
        <f aca="false">IF(OR($A398="",$C398="U",$S398&lt;&gt;Calc!$F$2),"",SUMIFS($N$3:$N$3002,$E$3:$E$3002,$E398,$C$3:$C$3002,"&lt;&gt;U",$S$3:$S$3002,Calc!$F$2))</f>
        <v/>
      </c>
      <c r="Q398" s="35" t="str">
        <f aca="false">IF(OR($A398="",$C398="U",$S398&lt;&gt;Calc!$F$2),"",IF(COUNTIFS($E$3:$E398,$E398,$C$3:$C398,"&lt;&gt;U",$S$3:$S398,Calc!$F$2)=1,1,0))</f>
        <v/>
      </c>
      <c r="R398" s="35" t="str">
        <f aca="false">IF($Q398=1,$O398-ROW()/100000,"")</f>
        <v/>
      </c>
      <c r="S398" s="37" t="str">
        <f aca="false">IF($A398="","",INT($A398))</f>
        <v/>
      </c>
      <c r="T398" s="35" t="str">
        <f aca="false">IF($A398="","",IF(COUNTIFS($S$3:$S398,$S398)=1,1,0))</f>
        <v/>
      </c>
      <c r="U398" s="37" t="str">
        <f aca="false">IF($T398=1,$S398,"")</f>
        <v/>
      </c>
    </row>
    <row r="399" customFormat="false" ht="15" hidden="false" customHeight="false" outlineLevel="0" collapsed="false">
      <c r="M399" s="35" t="str">
        <f aca="false">IF($A399="","",HOUR($A399))</f>
        <v/>
      </c>
      <c r="N399" s="36" t="str">
        <f aca="false">IF($A399="","",$I399*$K399)</f>
        <v/>
      </c>
      <c r="O399" s="35" t="str">
        <f aca="false">IF(OR($A399="",$C399="U",$S399&lt;&gt;Calc!$F$2),"",SUMIFS($I$3:$I$3002,$E$3:$E$3002,$E399,$C$3:$C$3002,"&lt;&gt;U",$S$3:$S$3002,Calc!$F$2))</f>
        <v/>
      </c>
      <c r="P399" s="35" t="str">
        <f aca="false">IF(OR($A399="",$C399="U",$S399&lt;&gt;Calc!$F$2),"",SUMIFS($N$3:$N$3002,$E$3:$E$3002,$E399,$C$3:$C$3002,"&lt;&gt;U",$S$3:$S$3002,Calc!$F$2))</f>
        <v/>
      </c>
      <c r="Q399" s="35" t="str">
        <f aca="false">IF(OR($A399="",$C399="U",$S399&lt;&gt;Calc!$F$2),"",IF(COUNTIFS($E$3:$E399,$E399,$C$3:$C399,"&lt;&gt;U",$S$3:$S399,Calc!$F$2)=1,1,0))</f>
        <v/>
      </c>
      <c r="R399" s="35" t="str">
        <f aca="false">IF($Q399=1,$O399-ROW()/100000,"")</f>
        <v/>
      </c>
      <c r="S399" s="37" t="str">
        <f aca="false">IF($A399="","",INT($A399))</f>
        <v/>
      </c>
      <c r="T399" s="35" t="str">
        <f aca="false">IF($A399="","",IF(COUNTIFS($S$3:$S399,$S399)=1,1,0))</f>
        <v/>
      </c>
      <c r="U399" s="37" t="str">
        <f aca="false">IF($T399=1,$S399,"")</f>
        <v/>
      </c>
    </row>
    <row r="400" customFormat="false" ht="15" hidden="false" customHeight="false" outlineLevel="0" collapsed="false">
      <c r="M400" s="35" t="str">
        <f aca="false">IF($A400="","",HOUR($A400))</f>
        <v/>
      </c>
      <c r="N400" s="36" t="str">
        <f aca="false">IF($A400="","",$I400*$K400)</f>
        <v/>
      </c>
      <c r="O400" s="35" t="str">
        <f aca="false">IF(OR($A400="",$C400="U",$S400&lt;&gt;Calc!$F$2),"",SUMIFS($I$3:$I$3002,$E$3:$E$3002,$E400,$C$3:$C$3002,"&lt;&gt;U",$S$3:$S$3002,Calc!$F$2))</f>
        <v/>
      </c>
      <c r="P400" s="35" t="str">
        <f aca="false">IF(OR($A400="",$C400="U",$S400&lt;&gt;Calc!$F$2),"",SUMIFS($N$3:$N$3002,$E$3:$E$3002,$E400,$C$3:$C$3002,"&lt;&gt;U",$S$3:$S$3002,Calc!$F$2))</f>
        <v/>
      </c>
      <c r="Q400" s="35" t="str">
        <f aca="false">IF(OR($A400="",$C400="U",$S400&lt;&gt;Calc!$F$2),"",IF(COUNTIFS($E$3:$E400,$E400,$C$3:$C400,"&lt;&gt;U",$S$3:$S400,Calc!$F$2)=1,1,0))</f>
        <v/>
      </c>
      <c r="R400" s="35" t="str">
        <f aca="false">IF($Q400=1,$O400-ROW()/100000,"")</f>
        <v/>
      </c>
      <c r="S400" s="37" t="str">
        <f aca="false">IF($A400="","",INT($A400))</f>
        <v/>
      </c>
      <c r="T400" s="35" t="str">
        <f aca="false">IF($A400="","",IF(COUNTIFS($S$3:$S400,$S400)=1,1,0))</f>
        <v/>
      </c>
      <c r="U400" s="37" t="str">
        <f aca="false">IF($T400=1,$S400,"")</f>
        <v/>
      </c>
    </row>
    <row r="401" customFormat="false" ht="15" hidden="false" customHeight="false" outlineLevel="0" collapsed="false">
      <c r="M401" s="35" t="str">
        <f aca="false">IF($A401="","",HOUR($A401))</f>
        <v/>
      </c>
      <c r="N401" s="36" t="str">
        <f aca="false">IF($A401="","",$I401*$K401)</f>
        <v/>
      </c>
      <c r="O401" s="35" t="str">
        <f aca="false">IF(OR($A401="",$C401="U",$S401&lt;&gt;Calc!$F$2),"",SUMIFS($I$3:$I$3002,$E$3:$E$3002,$E401,$C$3:$C$3002,"&lt;&gt;U",$S$3:$S$3002,Calc!$F$2))</f>
        <v/>
      </c>
      <c r="P401" s="35" t="str">
        <f aca="false">IF(OR($A401="",$C401="U",$S401&lt;&gt;Calc!$F$2),"",SUMIFS($N$3:$N$3002,$E$3:$E$3002,$E401,$C$3:$C$3002,"&lt;&gt;U",$S$3:$S$3002,Calc!$F$2))</f>
        <v/>
      </c>
      <c r="Q401" s="35" t="str">
        <f aca="false">IF(OR($A401="",$C401="U",$S401&lt;&gt;Calc!$F$2),"",IF(COUNTIFS($E$3:$E401,$E401,$C$3:$C401,"&lt;&gt;U",$S$3:$S401,Calc!$F$2)=1,1,0))</f>
        <v/>
      </c>
      <c r="R401" s="35" t="str">
        <f aca="false">IF($Q401=1,$O401-ROW()/100000,"")</f>
        <v/>
      </c>
      <c r="S401" s="37" t="str">
        <f aca="false">IF($A401="","",INT($A401))</f>
        <v/>
      </c>
      <c r="T401" s="35" t="str">
        <f aca="false">IF($A401="","",IF(COUNTIFS($S$3:$S401,$S401)=1,1,0))</f>
        <v/>
      </c>
      <c r="U401" s="37" t="str">
        <f aca="false">IF($T401=1,$S401,"")</f>
        <v/>
      </c>
    </row>
    <row r="402" customFormat="false" ht="15" hidden="false" customHeight="false" outlineLevel="0" collapsed="false">
      <c r="M402" s="35" t="str">
        <f aca="false">IF($A402="","",HOUR($A402))</f>
        <v/>
      </c>
      <c r="N402" s="36" t="str">
        <f aca="false">IF($A402="","",$I402*$K402)</f>
        <v/>
      </c>
      <c r="O402" s="35" t="str">
        <f aca="false">IF(OR($A402="",$C402="U",$S402&lt;&gt;Calc!$F$2),"",SUMIFS($I$3:$I$3002,$E$3:$E$3002,$E402,$C$3:$C$3002,"&lt;&gt;U",$S$3:$S$3002,Calc!$F$2))</f>
        <v/>
      </c>
      <c r="P402" s="35" t="str">
        <f aca="false">IF(OR($A402="",$C402="U",$S402&lt;&gt;Calc!$F$2),"",SUMIFS($N$3:$N$3002,$E$3:$E$3002,$E402,$C$3:$C$3002,"&lt;&gt;U",$S$3:$S$3002,Calc!$F$2))</f>
        <v/>
      </c>
      <c r="Q402" s="35" t="str">
        <f aca="false">IF(OR($A402="",$C402="U",$S402&lt;&gt;Calc!$F$2),"",IF(COUNTIFS($E$3:$E402,$E402,$C$3:$C402,"&lt;&gt;U",$S$3:$S402,Calc!$F$2)=1,1,0))</f>
        <v/>
      </c>
      <c r="R402" s="35" t="str">
        <f aca="false">IF($Q402=1,$O402-ROW()/100000,"")</f>
        <v/>
      </c>
      <c r="S402" s="37" t="str">
        <f aca="false">IF($A402="","",INT($A402))</f>
        <v/>
      </c>
      <c r="T402" s="35" t="str">
        <f aca="false">IF($A402="","",IF(COUNTIFS($S$3:$S402,$S402)=1,1,0))</f>
        <v/>
      </c>
      <c r="U402" s="37" t="str">
        <f aca="false">IF($T402=1,$S402,"")</f>
        <v/>
      </c>
    </row>
    <row r="403" customFormat="false" ht="15" hidden="false" customHeight="false" outlineLevel="0" collapsed="false">
      <c r="M403" s="35" t="str">
        <f aca="false">IF($A403="","",HOUR($A403))</f>
        <v/>
      </c>
      <c r="N403" s="36" t="str">
        <f aca="false">IF($A403="","",$I403*$K403)</f>
        <v/>
      </c>
      <c r="O403" s="35" t="str">
        <f aca="false">IF(OR($A403="",$C403="U",$S403&lt;&gt;Calc!$F$2),"",SUMIFS($I$3:$I$3002,$E$3:$E$3002,$E403,$C$3:$C$3002,"&lt;&gt;U",$S$3:$S$3002,Calc!$F$2))</f>
        <v/>
      </c>
      <c r="P403" s="35" t="str">
        <f aca="false">IF(OR($A403="",$C403="U",$S403&lt;&gt;Calc!$F$2),"",SUMIFS($N$3:$N$3002,$E$3:$E$3002,$E403,$C$3:$C$3002,"&lt;&gt;U",$S$3:$S$3002,Calc!$F$2))</f>
        <v/>
      </c>
      <c r="Q403" s="35" t="str">
        <f aca="false">IF(OR($A403="",$C403="U",$S403&lt;&gt;Calc!$F$2),"",IF(COUNTIFS($E$3:$E403,$E403,$C$3:$C403,"&lt;&gt;U",$S$3:$S403,Calc!$F$2)=1,1,0))</f>
        <v/>
      </c>
      <c r="R403" s="35" t="str">
        <f aca="false">IF($Q403=1,$O403-ROW()/100000,"")</f>
        <v/>
      </c>
      <c r="S403" s="37" t="str">
        <f aca="false">IF($A403="","",INT($A403))</f>
        <v/>
      </c>
      <c r="T403" s="35" t="str">
        <f aca="false">IF($A403="","",IF(COUNTIFS($S$3:$S403,$S403)=1,1,0))</f>
        <v/>
      </c>
      <c r="U403" s="37" t="str">
        <f aca="false">IF($T403=1,$S403,"")</f>
        <v/>
      </c>
    </row>
    <row r="404" customFormat="false" ht="15" hidden="false" customHeight="false" outlineLevel="0" collapsed="false">
      <c r="M404" s="35" t="str">
        <f aca="false">IF($A404="","",HOUR($A404))</f>
        <v/>
      </c>
      <c r="N404" s="36" t="str">
        <f aca="false">IF($A404="","",$I404*$K404)</f>
        <v/>
      </c>
      <c r="O404" s="35" t="str">
        <f aca="false">IF(OR($A404="",$C404="U",$S404&lt;&gt;Calc!$F$2),"",SUMIFS($I$3:$I$3002,$E$3:$E$3002,$E404,$C$3:$C$3002,"&lt;&gt;U",$S$3:$S$3002,Calc!$F$2))</f>
        <v/>
      </c>
      <c r="P404" s="35" t="str">
        <f aca="false">IF(OR($A404="",$C404="U",$S404&lt;&gt;Calc!$F$2),"",SUMIFS($N$3:$N$3002,$E$3:$E$3002,$E404,$C$3:$C$3002,"&lt;&gt;U",$S$3:$S$3002,Calc!$F$2))</f>
        <v/>
      </c>
      <c r="Q404" s="35" t="str">
        <f aca="false">IF(OR($A404="",$C404="U",$S404&lt;&gt;Calc!$F$2),"",IF(COUNTIFS($E$3:$E404,$E404,$C$3:$C404,"&lt;&gt;U",$S$3:$S404,Calc!$F$2)=1,1,0))</f>
        <v/>
      </c>
      <c r="R404" s="35" t="str">
        <f aca="false">IF($Q404=1,$O404-ROW()/100000,"")</f>
        <v/>
      </c>
      <c r="S404" s="37" t="str">
        <f aca="false">IF($A404="","",INT($A404))</f>
        <v/>
      </c>
      <c r="T404" s="35" t="str">
        <f aca="false">IF($A404="","",IF(COUNTIFS($S$3:$S404,$S404)=1,1,0))</f>
        <v/>
      </c>
      <c r="U404" s="37" t="str">
        <f aca="false">IF($T404=1,$S404,"")</f>
        <v/>
      </c>
    </row>
    <row r="405" customFormat="false" ht="15" hidden="false" customHeight="false" outlineLevel="0" collapsed="false">
      <c r="M405" s="35" t="str">
        <f aca="false">IF($A405="","",HOUR($A405))</f>
        <v/>
      </c>
      <c r="N405" s="36" t="str">
        <f aca="false">IF($A405="","",$I405*$K405)</f>
        <v/>
      </c>
      <c r="O405" s="35" t="str">
        <f aca="false">IF(OR($A405="",$C405="U",$S405&lt;&gt;Calc!$F$2),"",SUMIFS($I$3:$I$3002,$E$3:$E$3002,$E405,$C$3:$C$3002,"&lt;&gt;U",$S$3:$S$3002,Calc!$F$2))</f>
        <v/>
      </c>
      <c r="P405" s="35" t="str">
        <f aca="false">IF(OR($A405="",$C405="U",$S405&lt;&gt;Calc!$F$2),"",SUMIFS($N$3:$N$3002,$E$3:$E$3002,$E405,$C$3:$C$3002,"&lt;&gt;U",$S$3:$S$3002,Calc!$F$2))</f>
        <v/>
      </c>
      <c r="Q405" s="35" t="str">
        <f aca="false">IF(OR($A405="",$C405="U",$S405&lt;&gt;Calc!$F$2),"",IF(COUNTIFS($E$3:$E405,$E405,$C$3:$C405,"&lt;&gt;U",$S$3:$S405,Calc!$F$2)=1,1,0))</f>
        <v/>
      </c>
      <c r="R405" s="35" t="str">
        <f aca="false">IF($Q405=1,$O405-ROW()/100000,"")</f>
        <v/>
      </c>
      <c r="S405" s="37" t="str">
        <f aca="false">IF($A405="","",INT($A405))</f>
        <v/>
      </c>
      <c r="T405" s="35" t="str">
        <f aca="false">IF($A405="","",IF(COUNTIFS($S$3:$S405,$S405)=1,1,0))</f>
        <v/>
      </c>
      <c r="U405" s="37" t="str">
        <f aca="false">IF($T405=1,$S405,"")</f>
        <v/>
      </c>
    </row>
    <row r="406" customFormat="false" ht="15" hidden="false" customHeight="false" outlineLevel="0" collapsed="false">
      <c r="M406" s="35" t="str">
        <f aca="false">IF($A406="","",HOUR($A406))</f>
        <v/>
      </c>
      <c r="N406" s="36" t="str">
        <f aca="false">IF($A406="","",$I406*$K406)</f>
        <v/>
      </c>
      <c r="O406" s="35" t="str">
        <f aca="false">IF(OR($A406="",$C406="U",$S406&lt;&gt;Calc!$F$2),"",SUMIFS($I$3:$I$3002,$E$3:$E$3002,$E406,$C$3:$C$3002,"&lt;&gt;U",$S$3:$S$3002,Calc!$F$2))</f>
        <v/>
      </c>
      <c r="P406" s="35" t="str">
        <f aca="false">IF(OR($A406="",$C406="U",$S406&lt;&gt;Calc!$F$2),"",SUMIFS($N$3:$N$3002,$E$3:$E$3002,$E406,$C$3:$C$3002,"&lt;&gt;U",$S$3:$S$3002,Calc!$F$2))</f>
        <v/>
      </c>
      <c r="Q406" s="35" t="str">
        <f aca="false">IF(OR($A406="",$C406="U",$S406&lt;&gt;Calc!$F$2),"",IF(COUNTIFS($E$3:$E406,$E406,$C$3:$C406,"&lt;&gt;U",$S$3:$S406,Calc!$F$2)=1,1,0))</f>
        <v/>
      </c>
      <c r="R406" s="35" t="str">
        <f aca="false">IF($Q406=1,$O406-ROW()/100000,"")</f>
        <v/>
      </c>
      <c r="S406" s="37" t="str">
        <f aca="false">IF($A406="","",INT($A406))</f>
        <v/>
      </c>
      <c r="T406" s="35" t="str">
        <f aca="false">IF($A406="","",IF(COUNTIFS($S$3:$S406,$S406)=1,1,0))</f>
        <v/>
      </c>
      <c r="U406" s="37" t="str">
        <f aca="false">IF($T406=1,$S406,"")</f>
        <v/>
      </c>
    </row>
    <row r="407" customFormat="false" ht="15" hidden="false" customHeight="false" outlineLevel="0" collapsed="false">
      <c r="M407" s="35" t="str">
        <f aca="false">IF($A407="","",HOUR($A407))</f>
        <v/>
      </c>
      <c r="N407" s="36" t="str">
        <f aca="false">IF($A407="","",$I407*$K407)</f>
        <v/>
      </c>
      <c r="O407" s="35" t="str">
        <f aca="false">IF(OR($A407="",$C407="U",$S407&lt;&gt;Calc!$F$2),"",SUMIFS($I$3:$I$3002,$E$3:$E$3002,$E407,$C$3:$C$3002,"&lt;&gt;U",$S$3:$S$3002,Calc!$F$2))</f>
        <v/>
      </c>
      <c r="P407" s="35" t="str">
        <f aca="false">IF(OR($A407="",$C407="U",$S407&lt;&gt;Calc!$F$2),"",SUMIFS($N$3:$N$3002,$E$3:$E$3002,$E407,$C$3:$C$3002,"&lt;&gt;U",$S$3:$S$3002,Calc!$F$2))</f>
        <v/>
      </c>
      <c r="Q407" s="35" t="str">
        <f aca="false">IF(OR($A407="",$C407="U",$S407&lt;&gt;Calc!$F$2),"",IF(COUNTIFS($E$3:$E407,$E407,$C$3:$C407,"&lt;&gt;U",$S$3:$S407,Calc!$F$2)=1,1,0))</f>
        <v/>
      </c>
      <c r="R407" s="35" t="str">
        <f aca="false">IF($Q407=1,$O407-ROW()/100000,"")</f>
        <v/>
      </c>
      <c r="S407" s="37" t="str">
        <f aca="false">IF($A407="","",INT($A407))</f>
        <v/>
      </c>
      <c r="T407" s="35" t="str">
        <f aca="false">IF($A407="","",IF(COUNTIFS($S$3:$S407,$S407)=1,1,0))</f>
        <v/>
      </c>
      <c r="U407" s="37" t="str">
        <f aca="false">IF($T407=1,$S407,"")</f>
        <v/>
      </c>
    </row>
    <row r="408" customFormat="false" ht="15" hidden="false" customHeight="false" outlineLevel="0" collapsed="false">
      <c r="M408" s="35" t="str">
        <f aca="false">IF($A408="","",HOUR($A408))</f>
        <v/>
      </c>
      <c r="N408" s="36" t="str">
        <f aca="false">IF($A408="","",$I408*$K408)</f>
        <v/>
      </c>
      <c r="O408" s="35" t="str">
        <f aca="false">IF(OR($A408="",$C408="U",$S408&lt;&gt;Calc!$F$2),"",SUMIFS($I$3:$I$3002,$E$3:$E$3002,$E408,$C$3:$C$3002,"&lt;&gt;U",$S$3:$S$3002,Calc!$F$2))</f>
        <v/>
      </c>
      <c r="P408" s="35" t="str">
        <f aca="false">IF(OR($A408="",$C408="U",$S408&lt;&gt;Calc!$F$2),"",SUMIFS($N$3:$N$3002,$E$3:$E$3002,$E408,$C$3:$C$3002,"&lt;&gt;U",$S$3:$S$3002,Calc!$F$2))</f>
        <v/>
      </c>
      <c r="Q408" s="35" t="str">
        <f aca="false">IF(OR($A408="",$C408="U",$S408&lt;&gt;Calc!$F$2),"",IF(COUNTIFS($E$3:$E408,$E408,$C$3:$C408,"&lt;&gt;U",$S$3:$S408,Calc!$F$2)=1,1,0))</f>
        <v/>
      </c>
      <c r="R408" s="35" t="str">
        <f aca="false">IF($Q408=1,$O408-ROW()/100000,"")</f>
        <v/>
      </c>
      <c r="S408" s="37" t="str">
        <f aca="false">IF($A408="","",INT($A408))</f>
        <v/>
      </c>
      <c r="T408" s="35" t="str">
        <f aca="false">IF($A408="","",IF(COUNTIFS($S$3:$S408,$S408)=1,1,0))</f>
        <v/>
      </c>
      <c r="U408" s="37" t="str">
        <f aca="false">IF($T408=1,$S408,"")</f>
        <v/>
      </c>
    </row>
    <row r="409" customFormat="false" ht="15" hidden="false" customHeight="false" outlineLevel="0" collapsed="false">
      <c r="M409" s="35" t="str">
        <f aca="false">IF($A409="","",HOUR($A409))</f>
        <v/>
      </c>
      <c r="N409" s="36" t="str">
        <f aca="false">IF($A409="","",$I409*$K409)</f>
        <v/>
      </c>
      <c r="O409" s="35" t="str">
        <f aca="false">IF(OR($A409="",$C409="U",$S409&lt;&gt;Calc!$F$2),"",SUMIFS($I$3:$I$3002,$E$3:$E$3002,$E409,$C$3:$C$3002,"&lt;&gt;U",$S$3:$S$3002,Calc!$F$2))</f>
        <v/>
      </c>
      <c r="P409" s="35" t="str">
        <f aca="false">IF(OR($A409="",$C409="U",$S409&lt;&gt;Calc!$F$2),"",SUMIFS($N$3:$N$3002,$E$3:$E$3002,$E409,$C$3:$C$3002,"&lt;&gt;U",$S$3:$S$3002,Calc!$F$2))</f>
        <v/>
      </c>
      <c r="Q409" s="35" t="str">
        <f aca="false">IF(OR($A409="",$C409="U",$S409&lt;&gt;Calc!$F$2),"",IF(COUNTIFS($E$3:$E409,$E409,$C$3:$C409,"&lt;&gt;U",$S$3:$S409,Calc!$F$2)=1,1,0))</f>
        <v/>
      </c>
      <c r="R409" s="35" t="str">
        <f aca="false">IF($Q409=1,$O409-ROW()/100000,"")</f>
        <v/>
      </c>
      <c r="S409" s="37" t="str">
        <f aca="false">IF($A409="","",INT($A409))</f>
        <v/>
      </c>
      <c r="T409" s="35" t="str">
        <f aca="false">IF($A409="","",IF(COUNTIFS($S$3:$S409,$S409)=1,1,0))</f>
        <v/>
      </c>
      <c r="U409" s="37" t="str">
        <f aca="false">IF($T409=1,$S409,"")</f>
        <v/>
      </c>
    </row>
    <row r="410" customFormat="false" ht="15" hidden="false" customHeight="false" outlineLevel="0" collapsed="false">
      <c r="M410" s="35" t="str">
        <f aca="false">IF($A410="","",HOUR($A410))</f>
        <v/>
      </c>
      <c r="N410" s="36" t="str">
        <f aca="false">IF($A410="","",$I410*$K410)</f>
        <v/>
      </c>
      <c r="O410" s="35" t="str">
        <f aca="false">IF(OR($A410="",$C410="U",$S410&lt;&gt;Calc!$F$2),"",SUMIFS($I$3:$I$3002,$E$3:$E$3002,$E410,$C$3:$C$3002,"&lt;&gt;U",$S$3:$S$3002,Calc!$F$2))</f>
        <v/>
      </c>
      <c r="P410" s="35" t="str">
        <f aca="false">IF(OR($A410="",$C410="U",$S410&lt;&gt;Calc!$F$2),"",SUMIFS($N$3:$N$3002,$E$3:$E$3002,$E410,$C$3:$C$3002,"&lt;&gt;U",$S$3:$S$3002,Calc!$F$2))</f>
        <v/>
      </c>
      <c r="Q410" s="35" t="str">
        <f aca="false">IF(OR($A410="",$C410="U",$S410&lt;&gt;Calc!$F$2),"",IF(COUNTIFS($E$3:$E410,$E410,$C$3:$C410,"&lt;&gt;U",$S$3:$S410,Calc!$F$2)=1,1,0))</f>
        <v/>
      </c>
      <c r="R410" s="35" t="str">
        <f aca="false">IF($Q410=1,$O410-ROW()/100000,"")</f>
        <v/>
      </c>
      <c r="S410" s="37" t="str">
        <f aca="false">IF($A410="","",INT($A410))</f>
        <v/>
      </c>
      <c r="T410" s="35" t="str">
        <f aca="false">IF($A410="","",IF(COUNTIFS($S$3:$S410,$S410)=1,1,0))</f>
        <v/>
      </c>
      <c r="U410" s="37" t="str">
        <f aca="false">IF($T410=1,$S410,"")</f>
        <v/>
      </c>
    </row>
    <row r="411" customFormat="false" ht="15" hidden="false" customHeight="false" outlineLevel="0" collapsed="false">
      <c r="M411" s="35" t="str">
        <f aca="false">IF($A411="","",HOUR($A411))</f>
        <v/>
      </c>
      <c r="N411" s="36" t="str">
        <f aca="false">IF($A411="","",$I411*$K411)</f>
        <v/>
      </c>
      <c r="O411" s="35" t="str">
        <f aca="false">IF(OR($A411="",$C411="U",$S411&lt;&gt;Calc!$F$2),"",SUMIFS($I$3:$I$3002,$E$3:$E$3002,$E411,$C$3:$C$3002,"&lt;&gt;U",$S$3:$S$3002,Calc!$F$2))</f>
        <v/>
      </c>
      <c r="P411" s="35" t="str">
        <f aca="false">IF(OR($A411="",$C411="U",$S411&lt;&gt;Calc!$F$2),"",SUMIFS($N$3:$N$3002,$E$3:$E$3002,$E411,$C$3:$C$3002,"&lt;&gt;U",$S$3:$S$3002,Calc!$F$2))</f>
        <v/>
      </c>
      <c r="Q411" s="35" t="str">
        <f aca="false">IF(OR($A411="",$C411="U",$S411&lt;&gt;Calc!$F$2),"",IF(COUNTIFS($E$3:$E411,$E411,$C$3:$C411,"&lt;&gt;U",$S$3:$S411,Calc!$F$2)=1,1,0))</f>
        <v/>
      </c>
      <c r="R411" s="35" t="str">
        <f aca="false">IF($Q411=1,$O411-ROW()/100000,"")</f>
        <v/>
      </c>
      <c r="S411" s="37" t="str">
        <f aca="false">IF($A411="","",INT($A411))</f>
        <v/>
      </c>
      <c r="T411" s="35" t="str">
        <f aca="false">IF($A411="","",IF(COUNTIFS($S$3:$S411,$S411)=1,1,0))</f>
        <v/>
      </c>
      <c r="U411" s="37" t="str">
        <f aca="false">IF($T411=1,$S411,"")</f>
        <v/>
      </c>
    </row>
    <row r="412" customFormat="false" ht="15" hidden="false" customHeight="false" outlineLevel="0" collapsed="false">
      <c r="M412" s="35" t="str">
        <f aca="false">IF($A412="","",HOUR($A412))</f>
        <v/>
      </c>
      <c r="N412" s="36" t="str">
        <f aca="false">IF($A412="","",$I412*$K412)</f>
        <v/>
      </c>
      <c r="O412" s="35" t="str">
        <f aca="false">IF(OR($A412="",$C412="U",$S412&lt;&gt;Calc!$F$2),"",SUMIFS($I$3:$I$3002,$E$3:$E$3002,$E412,$C$3:$C$3002,"&lt;&gt;U",$S$3:$S$3002,Calc!$F$2))</f>
        <v/>
      </c>
      <c r="P412" s="35" t="str">
        <f aca="false">IF(OR($A412="",$C412="U",$S412&lt;&gt;Calc!$F$2),"",SUMIFS($N$3:$N$3002,$E$3:$E$3002,$E412,$C$3:$C$3002,"&lt;&gt;U",$S$3:$S$3002,Calc!$F$2))</f>
        <v/>
      </c>
      <c r="Q412" s="35" t="str">
        <f aca="false">IF(OR($A412="",$C412="U",$S412&lt;&gt;Calc!$F$2),"",IF(COUNTIFS($E$3:$E412,$E412,$C$3:$C412,"&lt;&gt;U",$S$3:$S412,Calc!$F$2)=1,1,0))</f>
        <v/>
      </c>
      <c r="R412" s="35" t="str">
        <f aca="false">IF($Q412=1,$O412-ROW()/100000,"")</f>
        <v/>
      </c>
      <c r="S412" s="37" t="str">
        <f aca="false">IF($A412="","",INT($A412))</f>
        <v/>
      </c>
      <c r="T412" s="35" t="str">
        <f aca="false">IF($A412="","",IF(COUNTIFS($S$3:$S412,$S412)=1,1,0))</f>
        <v/>
      </c>
      <c r="U412" s="37" t="str">
        <f aca="false">IF($T412=1,$S412,"")</f>
        <v/>
      </c>
    </row>
    <row r="413" customFormat="false" ht="15" hidden="false" customHeight="false" outlineLevel="0" collapsed="false">
      <c r="M413" s="35" t="str">
        <f aca="false">IF($A413="","",HOUR($A413))</f>
        <v/>
      </c>
      <c r="N413" s="36" t="str">
        <f aca="false">IF($A413="","",$I413*$K413)</f>
        <v/>
      </c>
      <c r="O413" s="35" t="str">
        <f aca="false">IF(OR($A413="",$C413="U",$S413&lt;&gt;Calc!$F$2),"",SUMIFS($I$3:$I$3002,$E$3:$E$3002,$E413,$C$3:$C$3002,"&lt;&gt;U",$S$3:$S$3002,Calc!$F$2))</f>
        <v/>
      </c>
      <c r="P413" s="35" t="str">
        <f aca="false">IF(OR($A413="",$C413="U",$S413&lt;&gt;Calc!$F$2),"",SUMIFS($N$3:$N$3002,$E$3:$E$3002,$E413,$C$3:$C$3002,"&lt;&gt;U",$S$3:$S$3002,Calc!$F$2))</f>
        <v/>
      </c>
      <c r="Q413" s="35" t="str">
        <f aca="false">IF(OR($A413="",$C413="U",$S413&lt;&gt;Calc!$F$2),"",IF(COUNTIFS($E$3:$E413,$E413,$C$3:$C413,"&lt;&gt;U",$S$3:$S413,Calc!$F$2)=1,1,0))</f>
        <v/>
      </c>
      <c r="R413" s="35" t="str">
        <f aca="false">IF($Q413=1,$O413-ROW()/100000,"")</f>
        <v/>
      </c>
      <c r="S413" s="37" t="str">
        <f aca="false">IF($A413="","",INT($A413))</f>
        <v/>
      </c>
      <c r="T413" s="35" t="str">
        <f aca="false">IF($A413="","",IF(COUNTIFS($S$3:$S413,$S413)=1,1,0))</f>
        <v/>
      </c>
      <c r="U413" s="37" t="str">
        <f aca="false">IF($T413=1,$S413,"")</f>
        <v/>
      </c>
    </row>
    <row r="414" customFormat="false" ht="15" hidden="false" customHeight="false" outlineLevel="0" collapsed="false">
      <c r="M414" s="35" t="str">
        <f aca="false">IF($A414="","",HOUR($A414))</f>
        <v/>
      </c>
      <c r="N414" s="36" t="str">
        <f aca="false">IF($A414="","",$I414*$K414)</f>
        <v/>
      </c>
      <c r="O414" s="35" t="str">
        <f aca="false">IF(OR($A414="",$C414="U",$S414&lt;&gt;Calc!$F$2),"",SUMIFS($I$3:$I$3002,$E$3:$E$3002,$E414,$C$3:$C$3002,"&lt;&gt;U",$S$3:$S$3002,Calc!$F$2))</f>
        <v/>
      </c>
      <c r="P414" s="35" t="str">
        <f aca="false">IF(OR($A414="",$C414="U",$S414&lt;&gt;Calc!$F$2),"",SUMIFS($N$3:$N$3002,$E$3:$E$3002,$E414,$C$3:$C$3002,"&lt;&gt;U",$S$3:$S$3002,Calc!$F$2))</f>
        <v/>
      </c>
      <c r="Q414" s="35" t="str">
        <f aca="false">IF(OR($A414="",$C414="U",$S414&lt;&gt;Calc!$F$2),"",IF(COUNTIFS($E$3:$E414,$E414,$C$3:$C414,"&lt;&gt;U",$S$3:$S414,Calc!$F$2)=1,1,0))</f>
        <v/>
      </c>
      <c r="R414" s="35" t="str">
        <f aca="false">IF($Q414=1,$O414-ROW()/100000,"")</f>
        <v/>
      </c>
      <c r="S414" s="37" t="str">
        <f aca="false">IF($A414="","",INT($A414))</f>
        <v/>
      </c>
      <c r="T414" s="35" t="str">
        <f aca="false">IF($A414="","",IF(COUNTIFS($S$3:$S414,$S414)=1,1,0))</f>
        <v/>
      </c>
      <c r="U414" s="37" t="str">
        <f aca="false">IF($T414=1,$S414,"")</f>
        <v/>
      </c>
    </row>
    <row r="415" customFormat="false" ht="15" hidden="false" customHeight="false" outlineLevel="0" collapsed="false">
      <c r="M415" s="35" t="str">
        <f aca="false">IF($A415="","",HOUR($A415))</f>
        <v/>
      </c>
      <c r="N415" s="36" t="str">
        <f aca="false">IF($A415="","",$I415*$K415)</f>
        <v/>
      </c>
      <c r="O415" s="35" t="str">
        <f aca="false">IF(OR($A415="",$C415="U",$S415&lt;&gt;Calc!$F$2),"",SUMIFS($I$3:$I$3002,$E$3:$E$3002,$E415,$C$3:$C$3002,"&lt;&gt;U",$S$3:$S$3002,Calc!$F$2))</f>
        <v/>
      </c>
      <c r="P415" s="35" t="str">
        <f aca="false">IF(OR($A415="",$C415="U",$S415&lt;&gt;Calc!$F$2),"",SUMIFS($N$3:$N$3002,$E$3:$E$3002,$E415,$C$3:$C$3002,"&lt;&gt;U",$S$3:$S$3002,Calc!$F$2))</f>
        <v/>
      </c>
      <c r="Q415" s="35" t="str">
        <f aca="false">IF(OR($A415="",$C415="U",$S415&lt;&gt;Calc!$F$2),"",IF(COUNTIFS($E$3:$E415,$E415,$C$3:$C415,"&lt;&gt;U",$S$3:$S415,Calc!$F$2)=1,1,0))</f>
        <v/>
      </c>
      <c r="R415" s="35" t="str">
        <f aca="false">IF($Q415=1,$O415-ROW()/100000,"")</f>
        <v/>
      </c>
      <c r="S415" s="37" t="str">
        <f aca="false">IF($A415="","",INT($A415))</f>
        <v/>
      </c>
      <c r="T415" s="35" t="str">
        <f aca="false">IF($A415="","",IF(COUNTIFS($S$3:$S415,$S415)=1,1,0))</f>
        <v/>
      </c>
      <c r="U415" s="37" t="str">
        <f aca="false">IF($T415=1,$S415,"")</f>
        <v/>
      </c>
    </row>
    <row r="416" customFormat="false" ht="15" hidden="false" customHeight="false" outlineLevel="0" collapsed="false">
      <c r="M416" s="35" t="str">
        <f aca="false">IF($A416="","",HOUR($A416))</f>
        <v/>
      </c>
      <c r="N416" s="36" t="str">
        <f aca="false">IF($A416="","",$I416*$K416)</f>
        <v/>
      </c>
      <c r="O416" s="35" t="str">
        <f aca="false">IF(OR($A416="",$C416="U",$S416&lt;&gt;Calc!$F$2),"",SUMIFS($I$3:$I$3002,$E$3:$E$3002,$E416,$C$3:$C$3002,"&lt;&gt;U",$S$3:$S$3002,Calc!$F$2))</f>
        <v/>
      </c>
      <c r="P416" s="35" t="str">
        <f aca="false">IF(OR($A416="",$C416="U",$S416&lt;&gt;Calc!$F$2),"",SUMIFS($N$3:$N$3002,$E$3:$E$3002,$E416,$C$3:$C$3002,"&lt;&gt;U",$S$3:$S$3002,Calc!$F$2))</f>
        <v/>
      </c>
      <c r="Q416" s="35" t="str">
        <f aca="false">IF(OR($A416="",$C416="U",$S416&lt;&gt;Calc!$F$2),"",IF(COUNTIFS($E$3:$E416,$E416,$C$3:$C416,"&lt;&gt;U",$S$3:$S416,Calc!$F$2)=1,1,0))</f>
        <v/>
      </c>
      <c r="R416" s="35" t="str">
        <f aca="false">IF($Q416=1,$O416-ROW()/100000,"")</f>
        <v/>
      </c>
      <c r="S416" s="37" t="str">
        <f aca="false">IF($A416="","",INT($A416))</f>
        <v/>
      </c>
      <c r="T416" s="35" t="str">
        <f aca="false">IF($A416="","",IF(COUNTIFS($S$3:$S416,$S416)=1,1,0))</f>
        <v/>
      </c>
      <c r="U416" s="37" t="str">
        <f aca="false">IF($T416=1,$S416,"")</f>
        <v/>
      </c>
    </row>
    <row r="417" customFormat="false" ht="15" hidden="false" customHeight="false" outlineLevel="0" collapsed="false">
      <c r="M417" s="35" t="str">
        <f aca="false">IF($A417="","",HOUR($A417))</f>
        <v/>
      </c>
      <c r="N417" s="36" t="str">
        <f aca="false">IF($A417="","",$I417*$K417)</f>
        <v/>
      </c>
      <c r="O417" s="35" t="str">
        <f aca="false">IF(OR($A417="",$C417="U",$S417&lt;&gt;Calc!$F$2),"",SUMIFS($I$3:$I$3002,$E$3:$E$3002,$E417,$C$3:$C$3002,"&lt;&gt;U",$S$3:$S$3002,Calc!$F$2))</f>
        <v/>
      </c>
      <c r="P417" s="35" t="str">
        <f aca="false">IF(OR($A417="",$C417="U",$S417&lt;&gt;Calc!$F$2),"",SUMIFS($N$3:$N$3002,$E$3:$E$3002,$E417,$C$3:$C$3002,"&lt;&gt;U",$S$3:$S$3002,Calc!$F$2))</f>
        <v/>
      </c>
      <c r="Q417" s="35" t="str">
        <f aca="false">IF(OR($A417="",$C417="U",$S417&lt;&gt;Calc!$F$2),"",IF(COUNTIFS($E$3:$E417,$E417,$C$3:$C417,"&lt;&gt;U",$S$3:$S417,Calc!$F$2)=1,1,0))</f>
        <v/>
      </c>
      <c r="R417" s="35" t="str">
        <f aca="false">IF($Q417=1,$O417-ROW()/100000,"")</f>
        <v/>
      </c>
      <c r="S417" s="37" t="str">
        <f aca="false">IF($A417="","",INT($A417))</f>
        <v/>
      </c>
      <c r="T417" s="35" t="str">
        <f aca="false">IF($A417="","",IF(COUNTIFS($S$3:$S417,$S417)=1,1,0))</f>
        <v/>
      </c>
      <c r="U417" s="37" t="str">
        <f aca="false">IF($T417=1,$S417,"")</f>
        <v/>
      </c>
    </row>
    <row r="418" customFormat="false" ht="15" hidden="false" customHeight="false" outlineLevel="0" collapsed="false">
      <c r="M418" s="35" t="str">
        <f aca="false">IF($A418="","",HOUR($A418))</f>
        <v/>
      </c>
      <c r="N418" s="36" t="str">
        <f aca="false">IF($A418="","",$I418*$K418)</f>
        <v/>
      </c>
      <c r="O418" s="35" t="str">
        <f aca="false">IF(OR($A418="",$C418="U",$S418&lt;&gt;Calc!$F$2),"",SUMIFS($I$3:$I$3002,$E$3:$E$3002,$E418,$C$3:$C$3002,"&lt;&gt;U",$S$3:$S$3002,Calc!$F$2))</f>
        <v/>
      </c>
      <c r="P418" s="35" t="str">
        <f aca="false">IF(OR($A418="",$C418="U",$S418&lt;&gt;Calc!$F$2),"",SUMIFS($N$3:$N$3002,$E$3:$E$3002,$E418,$C$3:$C$3002,"&lt;&gt;U",$S$3:$S$3002,Calc!$F$2))</f>
        <v/>
      </c>
      <c r="Q418" s="35" t="str">
        <f aca="false">IF(OR($A418="",$C418="U",$S418&lt;&gt;Calc!$F$2),"",IF(COUNTIFS($E$3:$E418,$E418,$C$3:$C418,"&lt;&gt;U",$S$3:$S418,Calc!$F$2)=1,1,0))</f>
        <v/>
      </c>
      <c r="R418" s="35" t="str">
        <f aca="false">IF($Q418=1,$O418-ROW()/100000,"")</f>
        <v/>
      </c>
      <c r="S418" s="37" t="str">
        <f aca="false">IF($A418="","",INT($A418))</f>
        <v/>
      </c>
      <c r="T418" s="35" t="str">
        <f aca="false">IF($A418="","",IF(COUNTIFS($S$3:$S418,$S418)=1,1,0))</f>
        <v/>
      </c>
      <c r="U418" s="37" t="str">
        <f aca="false">IF($T418=1,$S418,"")</f>
        <v/>
      </c>
    </row>
    <row r="419" customFormat="false" ht="15" hidden="false" customHeight="false" outlineLevel="0" collapsed="false">
      <c r="M419" s="35" t="str">
        <f aca="false">IF($A419="","",HOUR($A419))</f>
        <v/>
      </c>
      <c r="N419" s="36" t="str">
        <f aca="false">IF($A419="","",$I419*$K419)</f>
        <v/>
      </c>
      <c r="O419" s="35" t="str">
        <f aca="false">IF(OR($A419="",$C419="U",$S419&lt;&gt;Calc!$F$2),"",SUMIFS($I$3:$I$3002,$E$3:$E$3002,$E419,$C$3:$C$3002,"&lt;&gt;U",$S$3:$S$3002,Calc!$F$2))</f>
        <v/>
      </c>
      <c r="P419" s="35" t="str">
        <f aca="false">IF(OR($A419="",$C419="U",$S419&lt;&gt;Calc!$F$2),"",SUMIFS($N$3:$N$3002,$E$3:$E$3002,$E419,$C$3:$C$3002,"&lt;&gt;U",$S$3:$S$3002,Calc!$F$2))</f>
        <v/>
      </c>
      <c r="Q419" s="35" t="str">
        <f aca="false">IF(OR($A419="",$C419="U",$S419&lt;&gt;Calc!$F$2),"",IF(COUNTIFS($E$3:$E419,$E419,$C$3:$C419,"&lt;&gt;U",$S$3:$S419,Calc!$F$2)=1,1,0))</f>
        <v/>
      </c>
      <c r="R419" s="35" t="str">
        <f aca="false">IF($Q419=1,$O419-ROW()/100000,"")</f>
        <v/>
      </c>
      <c r="S419" s="37" t="str">
        <f aca="false">IF($A419="","",INT($A419))</f>
        <v/>
      </c>
      <c r="T419" s="35" t="str">
        <f aca="false">IF($A419="","",IF(COUNTIFS($S$3:$S419,$S419)=1,1,0))</f>
        <v/>
      </c>
      <c r="U419" s="37" t="str">
        <f aca="false">IF($T419=1,$S419,"")</f>
        <v/>
      </c>
    </row>
    <row r="420" customFormat="false" ht="15" hidden="false" customHeight="false" outlineLevel="0" collapsed="false">
      <c r="M420" s="35" t="str">
        <f aca="false">IF($A420="","",HOUR($A420))</f>
        <v/>
      </c>
      <c r="N420" s="36" t="str">
        <f aca="false">IF($A420="","",$I420*$K420)</f>
        <v/>
      </c>
      <c r="O420" s="35" t="str">
        <f aca="false">IF(OR($A420="",$C420="U",$S420&lt;&gt;Calc!$F$2),"",SUMIFS($I$3:$I$3002,$E$3:$E$3002,$E420,$C$3:$C$3002,"&lt;&gt;U",$S$3:$S$3002,Calc!$F$2))</f>
        <v/>
      </c>
      <c r="P420" s="35" t="str">
        <f aca="false">IF(OR($A420="",$C420="U",$S420&lt;&gt;Calc!$F$2),"",SUMIFS($N$3:$N$3002,$E$3:$E$3002,$E420,$C$3:$C$3002,"&lt;&gt;U",$S$3:$S$3002,Calc!$F$2))</f>
        <v/>
      </c>
      <c r="Q420" s="35" t="str">
        <f aca="false">IF(OR($A420="",$C420="U",$S420&lt;&gt;Calc!$F$2),"",IF(COUNTIFS($E$3:$E420,$E420,$C$3:$C420,"&lt;&gt;U",$S$3:$S420,Calc!$F$2)=1,1,0))</f>
        <v/>
      </c>
      <c r="R420" s="35" t="str">
        <f aca="false">IF($Q420=1,$O420-ROW()/100000,"")</f>
        <v/>
      </c>
      <c r="S420" s="37" t="str">
        <f aca="false">IF($A420="","",INT($A420))</f>
        <v/>
      </c>
      <c r="T420" s="35" t="str">
        <f aca="false">IF($A420="","",IF(COUNTIFS($S$3:$S420,$S420)=1,1,0))</f>
        <v/>
      </c>
      <c r="U420" s="37" t="str">
        <f aca="false">IF($T420=1,$S420,"")</f>
        <v/>
      </c>
    </row>
    <row r="421" customFormat="false" ht="15" hidden="false" customHeight="false" outlineLevel="0" collapsed="false">
      <c r="M421" s="35" t="str">
        <f aca="false">IF($A421="","",HOUR($A421))</f>
        <v/>
      </c>
      <c r="N421" s="36" t="str">
        <f aca="false">IF($A421="","",$I421*$K421)</f>
        <v/>
      </c>
      <c r="O421" s="35" t="str">
        <f aca="false">IF(OR($A421="",$C421="U",$S421&lt;&gt;Calc!$F$2),"",SUMIFS($I$3:$I$3002,$E$3:$E$3002,$E421,$C$3:$C$3002,"&lt;&gt;U",$S$3:$S$3002,Calc!$F$2))</f>
        <v/>
      </c>
      <c r="P421" s="35" t="str">
        <f aca="false">IF(OR($A421="",$C421="U",$S421&lt;&gt;Calc!$F$2),"",SUMIFS($N$3:$N$3002,$E$3:$E$3002,$E421,$C$3:$C$3002,"&lt;&gt;U",$S$3:$S$3002,Calc!$F$2))</f>
        <v/>
      </c>
      <c r="Q421" s="35" t="str">
        <f aca="false">IF(OR($A421="",$C421="U",$S421&lt;&gt;Calc!$F$2),"",IF(COUNTIFS($E$3:$E421,$E421,$C$3:$C421,"&lt;&gt;U",$S$3:$S421,Calc!$F$2)=1,1,0))</f>
        <v/>
      </c>
      <c r="R421" s="35" t="str">
        <f aca="false">IF($Q421=1,$O421-ROW()/100000,"")</f>
        <v/>
      </c>
      <c r="S421" s="37" t="str">
        <f aca="false">IF($A421="","",INT($A421))</f>
        <v/>
      </c>
      <c r="T421" s="35" t="str">
        <f aca="false">IF($A421="","",IF(COUNTIFS($S$3:$S421,$S421)=1,1,0))</f>
        <v/>
      </c>
      <c r="U421" s="37" t="str">
        <f aca="false">IF($T421=1,$S421,"")</f>
        <v/>
      </c>
    </row>
    <row r="422" customFormat="false" ht="15" hidden="false" customHeight="false" outlineLevel="0" collapsed="false">
      <c r="M422" s="35" t="str">
        <f aca="false">IF($A422="","",HOUR($A422))</f>
        <v/>
      </c>
      <c r="N422" s="36" t="str">
        <f aca="false">IF($A422="","",$I422*$K422)</f>
        <v/>
      </c>
      <c r="O422" s="35" t="str">
        <f aca="false">IF(OR($A422="",$C422="U",$S422&lt;&gt;Calc!$F$2),"",SUMIFS($I$3:$I$3002,$E$3:$E$3002,$E422,$C$3:$C$3002,"&lt;&gt;U",$S$3:$S$3002,Calc!$F$2))</f>
        <v/>
      </c>
      <c r="P422" s="35" t="str">
        <f aca="false">IF(OR($A422="",$C422="U",$S422&lt;&gt;Calc!$F$2),"",SUMIFS($N$3:$N$3002,$E$3:$E$3002,$E422,$C$3:$C$3002,"&lt;&gt;U",$S$3:$S$3002,Calc!$F$2))</f>
        <v/>
      </c>
      <c r="Q422" s="35" t="str">
        <f aca="false">IF(OR($A422="",$C422="U",$S422&lt;&gt;Calc!$F$2),"",IF(COUNTIFS($E$3:$E422,$E422,$C$3:$C422,"&lt;&gt;U",$S$3:$S422,Calc!$F$2)=1,1,0))</f>
        <v/>
      </c>
      <c r="R422" s="35" t="str">
        <f aca="false">IF($Q422=1,$O422-ROW()/100000,"")</f>
        <v/>
      </c>
      <c r="S422" s="37" t="str">
        <f aca="false">IF($A422="","",INT($A422))</f>
        <v/>
      </c>
      <c r="T422" s="35" t="str">
        <f aca="false">IF($A422="","",IF(COUNTIFS($S$3:$S422,$S422)=1,1,0))</f>
        <v/>
      </c>
      <c r="U422" s="37" t="str">
        <f aca="false">IF($T422=1,$S422,"")</f>
        <v/>
      </c>
    </row>
    <row r="423" customFormat="false" ht="15" hidden="false" customHeight="false" outlineLevel="0" collapsed="false">
      <c r="M423" s="35" t="str">
        <f aca="false">IF($A423="","",HOUR($A423))</f>
        <v/>
      </c>
      <c r="N423" s="36" t="str">
        <f aca="false">IF($A423="","",$I423*$K423)</f>
        <v/>
      </c>
      <c r="O423" s="35" t="str">
        <f aca="false">IF(OR($A423="",$C423="U",$S423&lt;&gt;Calc!$F$2),"",SUMIFS($I$3:$I$3002,$E$3:$E$3002,$E423,$C$3:$C$3002,"&lt;&gt;U",$S$3:$S$3002,Calc!$F$2))</f>
        <v/>
      </c>
      <c r="P423" s="35" t="str">
        <f aca="false">IF(OR($A423="",$C423="U",$S423&lt;&gt;Calc!$F$2),"",SUMIFS($N$3:$N$3002,$E$3:$E$3002,$E423,$C$3:$C$3002,"&lt;&gt;U",$S$3:$S$3002,Calc!$F$2))</f>
        <v/>
      </c>
      <c r="Q423" s="35" t="str">
        <f aca="false">IF(OR($A423="",$C423="U",$S423&lt;&gt;Calc!$F$2),"",IF(COUNTIFS($E$3:$E423,$E423,$C$3:$C423,"&lt;&gt;U",$S$3:$S423,Calc!$F$2)=1,1,0))</f>
        <v/>
      </c>
      <c r="R423" s="35" t="str">
        <f aca="false">IF($Q423=1,$O423-ROW()/100000,"")</f>
        <v/>
      </c>
      <c r="S423" s="37" t="str">
        <f aca="false">IF($A423="","",INT($A423))</f>
        <v/>
      </c>
      <c r="T423" s="35" t="str">
        <f aca="false">IF($A423="","",IF(COUNTIFS($S$3:$S423,$S423)=1,1,0))</f>
        <v/>
      </c>
      <c r="U423" s="37" t="str">
        <f aca="false">IF($T423=1,$S423,"")</f>
        <v/>
      </c>
    </row>
    <row r="424" customFormat="false" ht="15" hidden="false" customHeight="false" outlineLevel="0" collapsed="false">
      <c r="M424" s="35" t="str">
        <f aca="false">IF($A424="","",HOUR($A424))</f>
        <v/>
      </c>
      <c r="N424" s="36" t="str">
        <f aca="false">IF($A424="","",$I424*$K424)</f>
        <v/>
      </c>
      <c r="O424" s="35" t="str">
        <f aca="false">IF(OR($A424="",$C424="U",$S424&lt;&gt;Calc!$F$2),"",SUMIFS($I$3:$I$3002,$E$3:$E$3002,$E424,$C$3:$C$3002,"&lt;&gt;U",$S$3:$S$3002,Calc!$F$2))</f>
        <v/>
      </c>
      <c r="P424" s="35" t="str">
        <f aca="false">IF(OR($A424="",$C424="U",$S424&lt;&gt;Calc!$F$2),"",SUMIFS($N$3:$N$3002,$E$3:$E$3002,$E424,$C$3:$C$3002,"&lt;&gt;U",$S$3:$S$3002,Calc!$F$2))</f>
        <v/>
      </c>
      <c r="Q424" s="35" t="str">
        <f aca="false">IF(OR($A424="",$C424="U",$S424&lt;&gt;Calc!$F$2),"",IF(COUNTIFS($E$3:$E424,$E424,$C$3:$C424,"&lt;&gt;U",$S$3:$S424,Calc!$F$2)=1,1,0))</f>
        <v/>
      </c>
      <c r="R424" s="35" t="str">
        <f aca="false">IF($Q424=1,$O424-ROW()/100000,"")</f>
        <v/>
      </c>
      <c r="S424" s="37" t="str">
        <f aca="false">IF($A424="","",INT($A424))</f>
        <v/>
      </c>
      <c r="T424" s="35" t="str">
        <f aca="false">IF($A424="","",IF(COUNTIFS($S$3:$S424,$S424)=1,1,0))</f>
        <v/>
      </c>
      <c r="U424" s="37" t="str">
        <f aca="false">IF($T424=1,$S424,"")</f>
        <v/>
      </c>
    </row>
    <row r="425" customFormat="false" ht="15" hidden="false" customHeight="false" outlineLevel="0" collapsed="false">
      <c r="M425" s="35" t="str">
        <f aca="false">IF($A425="","",HOUR($A425))</f>
        <v/>
      </c>
      <c r="N425" s="36" t="str">
        <f aca="false">IF($A425="","",$I425*$K425)</f>
        <v/>
      </c>
      <c r="O425" s="35" t="str">
        <f aca="false">IF(OR($A425="",$C425="U",$S425&lt;&gt;Calc!$F$2),"",SUMIFS($I$3:$I$3002,$E$3:$E$3002,$E425,$C$3:$C$3002,"&lt;&gt;U",$S$3:$S$3002,Calc!$F$2))</f>
        <v/>
      </c>
      <c r="P425" s="35" t="str">
        <f aca="false">IF(OR($A425="",$C425="U",$S425&lt;&gt;Calc!$F$2),"",SUMIFS($N$3:$N$3002,$E$3:$E$3002,$E425,$C$3:$C$3002,"&lt;&gt;U",$S$3:$S$3002,Calc!$F$2))</f>
        <v/>
      </c>
      <c r="Q425" s="35" t="str">
        <f aca="false">IF(OR($A425="",$C425="U",$S425&lt;&gt;Calc!$F$2),"",IF(COUNTIFS($E$3:$E425,$E425,$C$3:$C425,"&lt;&gt;U",$S$3:$S425,Calc!$F$2)=1,1,0))</f>
        <v/>
      </c>
      <c r="R425" s="35" t="str">
        <f aca="false">IF($Q425=1,$O425-ROW()/100000,"")</f>
        <v/>
      </c>
      <c r="S425" s="37" t="str">
        <f aca="false">IF($A425="","",INT($A425))</f>
        <v/>
      </c>
      <c r="T425" s="35" t="str">
        <f aca="false">IF($A425="","",IF(COUNTIFS($S$3:$S425,$S425)=1,1,0))</f>
        <v/>
      </c>
      <c r="U425" s="37" t="str">
        <f aca="false">IF($T425=1,$S425,"")</f>
        <v/>
      </c>
    </row>
    <row r="426" customFormat="false" ht="15" hidden="false" customHeight="false" outlineLevel="0" collapsed="false">
      <c r="M426" s="35" t="str">
        <f aca="false">IF($A426="","",HOUR($A426))</f>
        <v/>
      </c>
      <c r="N426" s="36" t="str">
        <f aca="false">IF($A426="","",$I426*$K426)</f>
        <v/>
      </c>
      <c r="O426" s="35" t="str">
        <f aca="false">IF(OR($A426="",$C426="U",$S426&lt;&gt;Calc!$F$2),"",SUMIFS($I$3:$I$3002,$E$3:$E$3002,$E426,$C$3:$C$3002,"&lt;&gt;U",$S$3:$S$3002,Calc!$F$2))</f>
        <v/>
      </c>
      <c r="P426" s="35" t="str">
        <f aca="false">IF(OR($A426="",$C426="U",$S426&lt;&gt;Calc!$F$2),"",SUMIFS($N$3:$N$3002,$E$3:$E$3002,$E426,$C$3:$C$3002,"&lt;&gt;U",$S$3:$S$3002,Calc!$F$2))</f>
        <v/>
      </c>
      <c r="Q426" s="35" t="str">
        <f aca="false">IF(OR($A426="",$C426="U",$S426&lt;&gt;Calc!$F$2),"",IF(COUNTIFS($E$3:$E426,$E426,$C$3:$C426,"&lt;&gt;U",$S$3:$S426,Calc!$F$2)=1,1,0))</f>
        <v/>
      </c>
      <c r="R426" s="35" t="str">
        <f aca="false">IF($Q426=1,$O426-ROW()/100000,"")</f>
        <v/>
      </c>
      <c r="S426" s="37" t="str">
        <f aca="false">IF($A426="","",INT($A426))</f>
        <v/>
      </c>
      <c r="T426" s="35" t="str">
        <f aca="false">IF($A426="","",IF(COUNTIFS($S$3:$S426,$S426)=1,1,0))</f>
        <v/>
      </c>
      <c r="U426" s="37" t="str">
        <f aca="false">IF($T426=1,$S426,"")</f>
        <v/>
      </c>
    </row>
    <row r="427" customFormat="false" ht="15" hidden="false" customHeight="false" outlineLevel="0" collapsed="false">
      <c r="M427" s="35" t="str">
        <f aca="false">IF($A427="","",HOUR($A427))</f>
        <v/>
      </c>
      <c r="N427" s="36" t="str">
        <f aca="false">IF($A427="","",$I427*$K427)</f>
        <v/>
      </c>
      <c r="O427" s="35" t="str">
        <f aca="false">IF(OR($A427="",$C427="U",$S427&lt;&gt;Calc!$F$2),"",SUMIFS($I$3:$I$3002,$E$3:$E$3002,$E427,$C$3:$C$3002,"&lt;&gt;U",$S$3:$S$3002,Calc!$F$2))</f>
        <v/>
      </c>
      <c r="P427" s="35" t="str">
        <f aca="false">IF(OR($A427="",$C427="U",$S427&lt;&gt;Calc!$F$2),"",SUMIFS($N$3:$N$3002,$E$3:$E$3002,$E427,$C$3:$C$3002,"&lt;&gt;U",$S$3:$S$3002,Calc!$F$2))</f>
        <v/>
      </c>
      <c r="Q427" s="35" t="str">
        <f aca="false">IF(OR($A427="",$C427="U",$S427&lt;&gt;Calc!$F$2),"",IF(COUNTIFS($E$3:$E427,$E427,$C$3:$C427,"&lt;&gt;U",$S$3:$S427,Calc!$F$2)=1,1,0))</f>
        <v/>
      </c>
      <c r="R427" s="35" t="str">
        <f aca="false">IF($Q427=1,$O427-ROW()/100000,"")</f>
        <v/>
      </c>
      <c r="S427" s="37" t="str">
        <f aca="false">IF($A427="","",INT($A427))</f>
        <v/>
      </c>
      <c r="T427" s="35" t="str">
        <f aca="false">IF($A427="","",IF(COUNTIFS($S$3:$S427,$S427)=1,1,0))</f>
        <v/>
      </c>
      <c r="U427" s="37" t="str">
        <f aca="false">IF($T427=1,$S427,"")</f>
        <v/>
      </c>
    </row>
    <row r="428" customFormat="false" ht="15" hidden="false" customHeight="false" outlineLevel="0" collapsed="false">
      <c r="M428" s="35" t="str">
        <f aca="false">IF($A428="","",HOUR($A428))</f>
        <v/>
      </c>
      <c r="N428" s="36" t="str">
        <f aca="false">IF($A428="","",$I428*$K428)</f>
        <v/>
      </c>
      <c r="O428" s="35" t="str">
        <f aca="false">IF(OR($A428="",$C428="U",$S428&lt;&gt;Calc!$F$2),"",SUMIFS($I$3:$I$3002,$E$3:$E$3002,$E428,$C$3:$C$3002,"&lt;&gt;U",$S$3:$S$3002,Calc!$F$2))</f>
        <v/>
      </c>
      <c r="P428" s="35" t="str">
        <f aca="false">IF(OR($A428="",$C428="U",$S428&lt;&gt;Calc!$F$2),"",SUMIFS($N$3:$N$3002,$E$3:$E$3002,$E428,$C$3:$C$3002,"&lt;&gt;U",$S$3:$S$3002,Calc!$F$2))</f>
        <v/>
      </c>
      <c r="Q428" s="35" t="str">
        <f aca="false">IF(OR($A428="",$C428="U",$S428&lt;&gt;Calc!$F$2),"",IF(COUNTIFS($E$3:$E428,$E428,$C$3:$C428,"&lt;&gt;U",$S$3:$S428,Calc!$F$2)=1,1,0))</f>
        <v/>
      </c>
      <c r="R428" s="35" t="str">
        <f aca="false">IF($Q428=1,$O428-ROW()/100000,"")</f>
        <v/>
      </c>
      <c r="S428" s="37" t="str">
        <f aca="false">IF($A428="","",INT($A428))</f>
        <v/>
      </c>
      <c r="T428" s="35" t="str">
        <f aca="false">IF($A428="","",IF(COUNTIFS($S$3:$S428,$S428)=1,1,0))</f>
        <v/>
      </c>
      <c r="U428" s="37" t="str">
        <f aca="false">IF($T428=1,$S428,"")</f>
        <v/>
      </c>
    </row>
    <row r="429" customFormat="false" ht="15" hidden="false" customHeight="false" outlineLevel="0" collapsed="false">
      <c r="M429" s="35" t="str">
        <f aca="false">IF($A429="","",HOUR($A429))</f>
        <v/>
      </c>
      <c r="N429" s="36" t="str">
        <f aca="false">IF($A429="","",$I429*$K429)</f>
        <v/>
      </c>
      <c r="O429" s="35" t="str">
        <f aca="false">IF(OR($A429="",$C429="U",$S429&lt;&gt;Calc!$F$2),"",SUMIFS($I$3:$I$3002,$E$3:$E$3002,$E429,$C$3:$C$3002,"&lt;&gt;U",$S$3:$S$3002,Calc!$F$2))</f>
        <v/>
      </c>
      <c r="P429" s="35" t="str">
        <f aca="false">IF(OR($A429="",$C429="U",$S429&lt;&gt;Calc!$F$2),"",SUMIFS($N$3:$N$3002,$E$3:$E$3002,$E429,$C$3:$C$3002,"&lt;&gt;U",$S$3:$S$3002,Calc!$F$2))</f>
        <v/>
      </c>
      <c r="Q429" s="35" t="str">
        <f aca="false">IF(OR($A429="",$C429="U",$S429&lt;&gt;Calc!$F$2),"",IF(COUNTIFS($E$3:$E429,$E429,$C$3:$C429,"&lt;&gt;U",$S$3:$S429,Calc!$F$2)=1,1,0))</f>
        <v/>
      </c>
      <c r="R429" s="35" t="str">
        <f aca="false">IF($Q429=1,$O429-ROW()/100000,"")</f>
        <v/>
      </c>
      <c r="S429" s="37" t="str">
        <f aca="false">IF($A429="","",INT($A429))</f>
        <v/>
      </c>
      <c r="T429" s="35" t="str">
        <f aca="false">IF($A429="","",IF(COUNTIFS($S$3:$S429,$S429)=1,1,0))</f>
        <v/>
      </c>
      <c r="U429" s="37" t="str">
        <f aca="false">IF($T429=1,$S429,"")</f>
        <v/>
      </c>
    </row>
    <row r="430" customFormat="false" ht="15" hidden="false" customHeight="false" outlineLevel="0" collapsed="false">
      <c r="M430" s="35" t="str">
        <f aca="false">IF($A430="","",HOUR($A430))</f>
        <v/>
      </c>
      <c r="N430" s="36" t="str">
        <f aca="false">IF($A430="","",$I430*$K430)</f>
        <v/>
      </c>
      <c r="O430" s="35" t="str">
        <f aca="false">IF(OR($A430="",$C430="U",$S430&lt;&gt;Calc!$F$2),"",SUMIFS($I$3:$I$3002,$E$3:$E$3002,$E430,$C$3:$C$3002,"&lt;&gt;U",$S$3:$S$3002,Calc!$F$2))</f>
        <v/>
      </c>
      <c r="P430" s="35" t="str">
        <f aca="false">IF(OR($A430="",$C430="U",$S430&lt;&gt;Calc!$F$2),"",SUMIFS($N$3:$N$3002,$E$3:$E$3002,$E430,$C$3:$C$3002,"&lt;&gt;U",$S$3:$S$3002,Calc!$F$2))</f>
        <v/>
      </c>
      <c r="Q430" s="35" t="str">
        <f aca="false">IF(OR($A430="",$C430="U",$S430&lt;&gt;Calc!$F$2),"",IF(COUNTIFS($E$3:$E430,$E430,$C$3:$C430,"&lt;&gt;U",$S$3:$S430,Calc!$F$2)=1,1,0))</f>
        <v/>
      </c>
      <c r="R430" s="35" t="str">
        <f aca="false">IF($Q430=1,$O430-ROW()/100000,"")</f>
        <v/>
      </c>
      <c r="S430" s="37" t="str">
        <f aca="false">IF($A430="","",INT($A430))</f>
        <v/>
      </c>
      <c r="T430" s="35" t="str">
        <f aca="false">IF($A430="","",IF(COUNTIFS($S$3:$S430,$S430)=1,1,0))</f>
        <v/>
      </c>
      <c r="U430" s="37" t="str">
        <f aca="false">IF($T430=1,$S430,"")</f>
        <v/>
      </c>
    </row>
    <row r="431" customFormat="false" ht="15" hidden="false" customHeight="false" outlineLevel="0" collapsed="false">
      <c r="M431" s="35" t="str">
        <f aca="false">IF($A431="","",HOUR($A431))</f>
        <v/>
      </c>
      <c r="N431" s="36" t="str">
        <f aca="false">IF($A431="","",$I431*$K431)</f>
        <v/>
      </c>
      <c r="O431" s="35" t="str">
        <f aca="false">IF(OR($A431="",$C431="U",$S431&lt;&gt;Calc!$F$2),"",SUMIFS($I$3:$I$3002,$E$3:$E$3002,$E431,$C$3:$C$3002,"&lt;&gt;U",$S$3:$S$3002,Calc!$F$2))</f>
        <v/>
      </c>
      <c r="P431" s="35" t="str">
        <f aca="false">IF(OR($A431="",$C431="U",$S431&lt;&gt;Calc!$F$2),"",SUMIFS($N$3:$N$3002,$E$3:$E$3002,$E431,$C$3:$C$3002,"&lt;&gt;U",$S$3:$S$3002,Calc!$F$2))</f>
        <v/>
      </c>
      <c r="Q431" s="35" t="str">
        <f aca="false">IF(OR($A431="",$C431="U",$S431&lt;&gt;Calc!$F$2),"",IF(COUNTIFS($E$3:$E431,$E431,$C$3:$C431,"&lt;&gt;U",$S$3:$S431,Calc!$F$2)=1,1,0))</f>
        <v/>
      </c>
      <c r="R431" s="35" t="str">
        <f aca="false">IF($Q431=1,$O431-ROW()/100000,"")</f>
        <v/>
      </c>
      <c r="S431" s="37" t="str">
        <f aca="false">IF($A431="","",INT($A431))</f>
        <v/>
      </c>
      <c r="T431" s="35" t="str">
        <f aca="false">IF($A431="","",IF(COUNTIFS($S$3:$S431,$S431)=1,1,0))</f>
        <v/>
      </c>
      <c r="U431" s="37" t="str">
        <f aca="false">IF($T431=1,$S431,"")</f>
        <v/>
      </c>
    </row>
    <row r="432" customFormat="false" ht="15" hidden="false" customHeight="false" outlineLevel="0" collapsed="false">
      <c r="M432" s="35" t="str">
        <f aca="false">IF($A432="","",HOUR($A432))</f>
        <v/>
      </c>
      <c r="N432" s="36" t="str">
        <f aca="false">IF($A432="","",$I432*$K432)</f>
        <v/>
      </c>
      <c r="O432" s="35" t="str">
        <f aca="false">IF(OR($A432="",$C432="U",$S432&lt;&gt;Calc!$F$2),"",SUMIFS($I$3:$I$3002,$E$3:$E$3002,$E432,$C$3:$C$3002,"&lt;&gt;U",$S$3:$S$3002,Calc!$F$2))</f>
        <v/>
      </c>
      <c r="P432" s="35" t="str">
        <f aca="false">IF(OR($A432="",$C432="U",$S432&lt;&gt;Calc!$F$2),"",SUMIFS($N$3:$N$3002,$E$3:$E$3002,$E432,$C$3:$C$3002,"&lt;&gt;U",$S$3:$S$3002,Calc!$F$2))</f>
        <v/>
      </c>
      <c r="Q432" s="35" t="str">
        <f aca="false">IF(OR($A432="",$C432="U",$S432&lt;&gt;Calc!$F$2),"",IF(COUNTIFS($E$3:$E432,$E432,$C$3:$C432,"&lt;&gt;U",$S$3:$S432,Calc!$F$2)=1,1,0))</f>
        <v/>
      </c>
      <c r="R432" s="35" t="str">
        <f aca="false">IF($Q432=1,$O432-ROW()/100000,"")</f>
        <v/>
      </c>
      <c r="S432" s="37" t="str">
        <f aca="false">IF($A432="","",INT($A432))</f>
        <v/>
      </c>
      <c r="T432" s="35" t="str">
        <f aca="false">IF($A432="","",IF(COUNTIFS($S$3:$S432,$S432)=1,1,0))</f>
        <v/>
      </c>
      <c r="U432" s="37" t="str">
        <f aca="false">IF($T432=1,$S432,"")</f>
        <v/>
      </c>
    </row>
    <row r="433" customFormat="false" ht="15" hidden="false" customHeight="false" outlineLevel="0" collapsed="false">
      <c r="M433" s="35" t="str">
        <f aca="false">IF($A433="","",HOUR($A433))</f>
        <v/>
      </c>
      <c r="N433" s="36" t="str">
        <f aca="false">IF($A433="","",$I433*$K433)</f>
        <v/>
      </c>
      <c r="O433" s="35" t="str">
        <f aca="false">IF(OR($A433="",$C433="U",$S433&lt;&gt;Calc!$F$2),"",SUMIFS($I$3:$I$3002,$E$3:$E$3002,$E433,$C$3:$C$3002,"&lt;&gt;U",$S$3:$S$3002,Calc!$F$2))</f>
        <v/>
      </c>
      <c r="P433" s="35" t="str">
        <f aca="false">IF(OR($A433="",$C433="U",$S433&lt;&gt;Calc!$F$2),"",SUMIFS($N$3:$N$3002,$E$3:$E$3002,$E433,$C$3:$C$3002,"&lt;&gt;U",$S$3:$S$3002,Calc!$F$2))</f>
        <v/>
      </c>
      <c r="Q433" s="35" t="str">
        <f aca="false">IF(OR($A433="",$C433="U",$S433&lt;&gt;Calc!$F$2),"",IF(COUNTIFS($E$3:$E433,$E433,$C$3:$C433,"&lt;&gt;U",$S$3:$S433,Calc!$F$2)=1,1,0))</f>
        <v/>
      </c>
      <c r="R433" s="35" t="str">
        <f aca="false">IF($Q433=1,$O433-ROW()/100000,"")</f>
        <v/>
      </c>
      <c r="S433" s="37" t="str">
        <f aca="false">IF($A433="","",INT($A433))</f>
        <v/>
      </c>
      <c r="T433" s="35" t="str">
        <f aca="false">IF($A433="","",IF(COUNTIFS($S$3:$S433,$S433)=1,1,0))</f>
        <v/>
      </c>
      <c r="U433" s="37" t="str">
        <f aca="false">IF($T433=1,$S433,"")</f>
        <v/>
      </c>
    </row>
    <row r="434" customFormat="false" ht="15" hidden="false" customHeight="false" outlineLevel="0" collapsed="false">
      <c r="M434" s="35" t="str">
        <f aca="false">IF($A434="","",HOUR($A434))</f>
        <v/>
      </c>
      <c r="N434" s="36" t="str">
        <f aca="false">IF($A434="","",$I434*$K434)</f>
        <v/>
      </c>
      <c r="O434" s="35" t="str">
        <f aca="false">IF(OR($A434="",$C434="U",$S434&lt;&gt;Calc!$F$2),"",SUMIFS($I$3:$I$3002,$E$3:$E$3002,$E434,$C$3:$C$3002,"&lt;&gt;U",$S$3:$S$3002,Calc!$F$2))</f>
        <v/>
      </c>
      <c r="P434" s="35" t="str">
        <f aca="false">IF(OR($A434="",$C434="U",$S434&lt;&gt;Calc!$F$2),"",SUMIFS($N$3:$N$3002,$E$3:$E$3002,$E434,$C$3:$C$3002,"&lt;&gt;U",$S$3:$S$3002,Calc!$F$2))</f>
        <v/>
      </c>
      <c r="Q434" s="35" t="str">
        <f aca="false">IF(OR($A434="",$C434="U",$S434&lt;&gt;Calc!$F$2),"",IF(COUNTIFS($E$3:$E434,$E434,$C$3:$C434,"&lt;&gt;U",$S$3:$S434,Calc!$F$2)=1,1,0))</f>
        <v/>
      </c>
      <c r="R434" s="35" t="str">
        <f aca="false">IF($Q434=1,$O434-ROW()/100000,"")</f>
        <v/>
      </c>
      <c r="S434" s="37" t="str">
        <f aca="false">IF($A434="","",INT($A434))</f>
        <v/>
      </c>
      <c r="T434" s="35" t="str">
        <f aca="false">IF($A434="","",IF(COUNTIFS($S$3:$S434,$S434)=1,1,0))</f>
        <v/>
      </c>
      <c r="U434" s="37" t="str">
        <f aca="false">IF($T434=1,$S434,"")</f>
        <v/>
      </c>
    </row>
    <row r="435" customFormat="false" ht="15" hidden="false" customHeight="false" outlineLevel="0" collapsed="false">
      <c r="M435" s="35" t="str">
        <f aca="false">IF($A435="","",HOUR($A435))</f>
        <v/>
      </c>
      <c r="N435" s="36" t="str">
        <f aca="false">IF($A435="","",$I435*$K435)</f>
        <v/>
      </c>
      <c r="O435" s="35" t="str">
        <f aca="false">IF(OR($A435="",$C435="U",$S435&lt;&gt;Calc!$F$2),"",SUMIFS($I$3:$I$3002,$E$3:$E$3002,$E435,$C$3:$C$3002,"&lt;&gt;U",$S$3:$S$3002,Calc!$F$2))</f>
        <v/>
      </c>
      <c r="P435" s="35" t="str">
        <f aca="false">IF(OR($A435="",$C435="U",$S435&lt;&gt;Calc!$F$2),"",SUMIFS($N$3:$N$3002,$E$3:$E$3002,$E435,$C$3:$C$3002,"&lt;&gt;U",$S$3:$S$3002,Calc!$F$2))</f>
        <v/>
      </c>
      <c r="Q435" s="35" t="str">
        <f aca="false">IF(OR($A435="",$C435="U",$S435&lt;&gt;Calc!$F$2),"",IF(COUNTIFS($E$3:$E435,$E435,$C$3:$C435,"&lt;&gt;U",$S$3:$S435,Calc!$F$2)=1,1,0))</f>
        <v/>
      </c>
      <c r="R435" s="35" t="str">
        <f aca="false">IF($Q435=1,$O435-ROW()/100000,"")</f>
        <v/>
      </c>
      <c r="S435" s="37" t="str">
        <f aca="false">IF($A435="","",INT($A435))</f>
        <v/>
      </c>
      <c r="T435" s="35" t="str">
        <f aca="false">IF($A435="","",IF(COUNTIFS($S$3:$S435,$S435)=1,1,0))</f>
        <v/>
      </c>
      <c r="U435" s="37" t="str">
        <f aca="false">IF($T435=1,$S435,"")</f>
        <v/>
      </c>
    </row>
    <row r="436" customFormat="false" ht="15" hidden="false" customHeight="false" outlineLevel="0" collapsed="false">
      <c r="M436" s="35" t="str">
        <f aca="false">IF($A436="","",HOUR($A436))</f>
        <v/>
      </c>
      <c r="N436" s="36" t="str">
        <f aca="false">IF($A436="","",$I436*$K436)</f>
        <v/>
      </c>
      <c r="O436" s="35" t="str">
        <f aca="false">IF(OR($A436="",$C436="U",$S436&lt;&gt;Calc!$F$2),"",SUMIFS($I$3:$I$3002,$E$3:$E$3002,$E436,$C$3:$C$3002,"&lt;&gt;U",$S$3:$S$3002,Calc!$F$2))</f>
        <v/>
      </c>
      <c r="P436" s="35" t="str">
        <f aca="false">IF(OR($A436="",$C436="U",$S436&lt;&gt;Calc!$F$2),"",SUMIFS($N$3:$N$3002,$E$3:$E$3002,$E436,$C$3:$C$3002,"&lt;&gt;U",$S$3:$S$3002,Calc!$F$2))</f>
        <v/>
      </c>
      <c r="Q436" s="35" t="str">
        <f aca="false">IF(OR($A436="",$C436="U",$S436&lt;&gt;Calc!$F$2),"",IF(COUNTIFS($E$3:$E436,$E436,$C$3:$C436,"&lt;&gt;U",$S$3:$S436,Calc!$F$2)=1,1,0))</f>
        <v/>
      </c>
      <c r="R436" s="35" t="str">
        <f aca="false">IF($Q436=1,$O436-ROW()/100000,"")</f>
        <v/>
      </c>
      <c r="S436" s="37" t="str">
        <f aca="false">IF($A436="","",INT($A436))</f>
        <v/>
      </c>
      <c r="T436" s="35" t="str">
        <f aca="false">IF($A436="","",IF(COUNTIFS($S$3:$S436,$S436)=1,1,0))</f>
        <v/>
      </c>
      <c r="U436" s="37" t="str">
        <f aca="false">IF($T436=1,$S436,"")</f>
        <v/>
      </c>
    </row>
    <row r="437" customFormat="false" ht="15" hidden="false" customHeight="false" outlineLevel="0" collapsed="false">
      <c r="M437" s="35" t="str">
        <f aca="false">IF($A437="","",HOUR($A437))</f>
        <v/>
      </c>
      <c r="N437" s="36" t="str">
        <f aca="false">IF($A437="","",$I437*$K437)</f>
        <v/>
      </c>
      <c r="O437" s="35" t="str">
        <f aca="false">IF(OR($A437="",$C437="U",$S437&lt;&gt;Calc!$F$2),"",SUMIFS($I$3:$I$3002,$E$3:$E$3002,$E437,$C$3:$C$3002,"&lt;&gt;U",$S$3:$S$3002,Calc!$F$2))</f>
        <v/>
      </c>
      <c r="P437" s="35" t="str">
        <f aca="false">IF(OR($A437="",$C437="U",$S437&lt;&gt;Calc!$F$2),"",SUMIFS($N$3:$N$3002,$E$3:$E$3002,$E437,$C$3:$C$3002,"&lt;&gt;U",$S$3:$S$3002,Calc!$F$2))</f>
        <v/>
      </c>
      <c r="Q437" s="35" t="str">
        <f aca="false">IF(OR($A437="",$C437="U",$S437&lt;&gt;Calc!$F$2),"",IF(COUNTIFS($E$3:$E437,$E437,$C$3:$C437,"&lt;&gt;U",$S$3:$S437,Calc!$F$2)=1,1,0))</f>
        <v/>
      </c>
      <c r="R437" s="35" t="str">
        <f aca="false">IF($Q437=1,$O437-ROW()/100000,"")</f>
        <v/>
      </c>
      <c r="S437" s="37" t="str">
        <f aca="false">IF($A437="","",INT($A437))</f>
        <v/>
      </c>
      <c r="T437" s="35" t="str">
        <f aca="false">IF($A437="","",IF(COUNTIFS($S$3:$S437,$S437)=1,1,0))</f>
        <v/>
      </c>
      <c r="U437" s="37" t="str">
        <f aca="false">IF($T437=1,$S437,"")</f>
        <v/>
      </c>
    </row>
    <row r="438" customFormat="false" ht="15" hidden="false" customHeight="false" outlineLevel="0" collapsed="false">
      <c r="M438" s="35" t="str">
        <f aca="false">IF($A438="","",HOUR($A438))</f>
        <v/>
      </c>
      <c r="N438" s="36" t="str">
        <f aca="false">IF($A438="","",$I438*$K438)</f>
        <v/>
      </c>
      <c r="O438" s="35" t="str">
        <f aca="false">IF(OR($A438="",$C438="U",$S438&lt;&gt;Calc!$F$2),"",SUMIFS($I$3:$I$3002,$E$3:$E$3002,$E438,$C$3:$C$3002,"&lt;&gt;U",$S$3:$S$3002,Calc!$F$2))</f>
        <v/>
      </c>
      <c r="P438" s="35" t="str">
        <f aca="false">IF(OR($A438="",$C438="U",$S438&lt;&gt;Calc!$F$2),"",SUMIFS($N$3:$N$3002,$E$3:$E$3002,$E438,$C$3:$C$3002,"&lt;&gt;U",$S$3:$S$3002,Calc!$F$2))</f>
        <v/>
      </c>
      <c r="Q438" s="35" t="str">
        <f aca="false">IF(OR($A438="",$C438="U",$S438&lt;&gt;Calc!$F$2),"",IF(COUNTIFS($E$3:$E438,$E438,$C$3:$C438,"&lt;&gt;U",$S$3:$S438,Calc!$F$2)=1,1,0))</f>
        <v/>
      </c>
      <c r="R438" s="35" t="str">
        <f aca="false">IF($Q438=1,$O438-ROW()/100000,"")</f>
        <v/>
      </c>
      <c r="S438" s="37" t="str">
        <f aca="false">IF($A438="","",INT($A438))</f>
        <v/>
      </c>
      <c r="T438" s="35" t="str">
        <f aca="false">IF($A438="","",IF(COUNTIFS($S$3:$S438,$S438)=1,1,0))</f>
        <v/>
      </c>
      <c r="U438" s="37" t="str">
        <f aca="false">IF($T438=1,$S438,"")</f>
        <v/>
      </c>
    </row>
    <row r="439" customFormat="false" ht="15" hidden="false" customHeight="false" outlineLevel="0" collapsed="false">
      <c r="M439" s="35" t="str">
        <f aca="false">IF($A439="","",HOUR($A439))</f>
        <v/>
      </c>
      <c r="N439" s="36" t="str">
        <f aca="false">IF($A439="","",$I439*$K439)</f>
        <v/>
      </c>
      <c r="O439" s="35" t="str">
        <f aca="false">IF(OR($A439="",$C439="U",$S439&lt;&gt;Calc!$F$2),"",SUMIFS($I$3:$I$3002,$E$3:$E$3002,$E439,$C$3:$C$3002,"&lt;&gt;U",$S$3:$S$3002,Calc!$F$2))</f>
        <v/>
      </c>
      <c r="P439" s="35" t="str">
        <f aca="false">IF(OR($A439="",$C439="U",$S439&lt;&gt;Calc!$F$2),"",SUMIFS($N$3:$N$3002,$E$3:$E$3002,$E439,$C$3:$C$3002,"&lt;&gt;U",$S$3:$S$3002,Calc!$F$2))</f>
        <v/>
      </c>
      <c r="Q439" s="35" t="str">
        <f aca="false">IF(OR($A439="",$C439="U",$S439&lt;&gt;Calc!$F$2),"",IF(COUNTIFS($E$3:$E439,$E439,$C$3:$C439,"&lt;&gt;U",$S$3:$S439,Calc!$F$2)=1,1,0))</f>
        <v/>
      </c>
      <c r="R439" s="35" t="str">
        <f aca="false">IF($Q439=1,$O439-ROW()/100000,"")</f>
        <v/>
      </c>
      <c r="S439" s="37" t="str">
        <f aca="false">IF($A439="","",INT($A439))</f>
        <v/>
      </c>
      <c r="T439" s="35" t="str">
        <f aca="false">IF($A439="","",IF(COUNTIFS($S$3:$S439,$S439)=1,1,0))</f>
        <v/>
      </c>
      <c r="U439" s="37" t="str">
        <f aca="false">IF($T439=1,$S439,"")</f>
        <v/>
      </c>
    </row>
    <row r="440" customFormat="false" ht="15" hidden="false" customHeight="false" outlineLevel="0" collapsed="false">
      <c r="M440" s="35" t="str">
        <f aca="false">IF($A440="","",HOUR($A440))</f>
        <v/>
      </c>
      <c r="N440" s="36" t="str">
        <f aca="false">IF($A440="","",$I440*$K440)</f>
        <v/>
      </c>
      <c r="O440" s="35" t="str">
        <f aca="false">IF(OR($A440="",$C440="U",$S440&lt;&gt;Calc!$F$2),"",SUMIFS($I$3:$I$3002,$E$3:$E$3002,$E440,$C$3:$C$3002,"&lt;&gt;U",$S$3:$S$3002,Calc!$F$2))</f>
        <v/>
      </c>
      <c r="P440" s="35" t="str">
        <f aca="false">IF(OR($A440="",$C440="U",$S440&lt;&gt;Calc!$F$2),"",SUMIFS($N$3:$N$3002,$E$3:$E$3002,$E440,$C$3:$C$3002,"&lt;&gt;U",$S$3:$S$3002,Calc!$F$2))</f>
        <v/>
      </c>
      <c r="Q440" s="35" t="str">
        <f aca="false">IF(OR($A440="",$C440="U",$S440&lt;&gt;Calc!$F$2),"",IF(COUNTIFS($E$3:$E440,$E440,$C$3:$C440,"&lt;&gt;U",$S$3:$S440,Calc!$F$2)=1,1,0))</f>
        <v/>
      </c>
      <c r="R440" s="35" t="str">
        <f aca="false">IF($Q440=1,$O440-ROW()/100000,"")</f>
        <v/>
      </c>
      <c r="S440" s="37" t="str">
        <f aca="false">IF($A440="","",INT($A440))</f>
        <v/>
      </c>
      <c r="T440" s="35" t="str">
        <f aca="false">IF($A440="","",IF(COUNTIFS($S$3:$S440,$S440)=1,1,0))</f>
        <v/>
      </c>
      <c r="U440" s="37" t="str">
        <f aca="false">IF($T440=1,$S440,"")</f>
        <v/>
      </c>
    </row>
    <row r="441" customFormat="false" ht="15" hidden="false" customHeight="false" outlineLevel="0" collapsed="false">
      <c r="M441" s="35" t="str">
        <f aca="false">IF($A441="","",HOUR($A441))</f>
        <v/>
      </c>
      <c r="N441" s="36" t="str">
        <f aca="false">IF($A441="","",$I441*$K441)</f>
        <v/>
      </c>
      <c r="O441" s="35" t="str">
        <f aca="false">IF(OR($A441="",$C441="U",$S441&lt;&gt;Calc!$F$2),"",SUMIFS($I$3:$I$3002,$E$3:$E$3002,$E441,$C$3:$C$3002,"&lt;&gt;U",$S$3:$S$3002,Calc!$F$2))</f>
        <v/>
      </c>
      <c r="P441" s="35" t="str">
        <f aca="false">IF(OR($A441="",$C441="U",$S441&lt;&gt;Calc!$F$2),"",SUMIFS($N$3:$N$3002,$E$3:$E$3002,$E441,$C$3:$C$3002,"&lt;&gt;U",$S$3:$S$3002,Calc!$F$2))</f>
        <v/>
      </c>
      <c r="Q441" s="35" t="str">
        <f aca="false">IF(OR($A441="",$C441="U",$S441&lt;&gt;Calc!$F$2),"",IF(COUNTIFS($E$3:$E441,$E441,$C$3:$C441,"&lt;&gt;U",$S$3:$S441,Calc!$F$2)=1,1,0))</f>
        <v/>
      </c>
      <c r="R441" s="35" t="str">
        <f aca="false">IF($Q441=1,$O441-ROW()/100000,"")</f>
        <v/>
      </c>
      <c r="S441" s="37" t="str">
        <f aca="false">IF($A441="","",INT($A441))</f>
        <v/>
      </c>
      <c r="T441" s="35" t="str">
        <f aca="false">IF($A441="","",IF(COUNTIFS($S$3:$S441,$S441)=1,1,0))</f>
        <v/>
      </c>
      <c r="U441" s="37" t="str">
        <f aca="false">IF($T441=1,$S441,"")</f>
        <v/>
      </c>
    </row>
    <row r="442" customFormat="false" ht="15" hidden="false" customHeight="false" outlineLevel="0" collapsed="false">
      <c r="M442" s="35" t="str">
        <f aca="false">IF($A442="","",HOUR($A442))</f>
        <v/>
      </c>
      <c r="N442" s="36" t="str">
        <f aca="false">IF($A442="","",$I442*$K442)</f>
        <v/>
      </c>
      <c r="O442" s="35" t="str">
        <f aca="false">IF(OR($A442="",$C442="U",$S442&lt;&gt;Calc!$F$2),"",SUMIFS($I$3:$I$3002,$E$3:$E$3002,$E442,$C$3:$C$3002,"&lt;&gt;U",$S$3:$S$3002,Calc!$F$2))</f>
        <v/>
      </c>
      <c r="P442" s="35" t="str">
        <f aca="false">IF(OR($A442="",$C442="U",$S442&lt;&gt;Calc!$F$2),"",SUMIFS($N$3:$N$3002,$E$3:$E$3002,$E442,$C$3:$C$3002,"&lt;&gt;U",$S$3:$S$3002,Calc!$F$2))</f>
        <v/>
      </c>
      <c r="Q442" s="35" t="str">
        <f aca="false">IF(OR($A442="",$C442="U",$S442&lt;&gt;Calc!$F$2),"",IF(COUNTIFS($E$3:$E442,$E442,$C$3:$C442,"&lt;&gt;U",$S$3:$S442,Calc!$F$2)=1,1,0))</f>
        <v/>
      </c>
      <c r="R442" s="35" t="str">
        <f aca="false">IF($Q442=1,$O442-ROW()/100000,"")</f>
        <v/>
      </c>
      <c r="S442" s="37" t="str">
        <f aca="false">IF($A442="","",INT($A442))</f>
        <v/>
      </c>
      <c r="T442" s="35" t="str">
        <f aca="false">IF($A442="","",IF(COUNTIFS($S$3:$S442,$S442)=1,1,0))</f>
        <v/>
      </c>
      <c r="U442" s="37" t="str">
        <f aca="false">IF($T442=1,$S442,"")</f>
        <v/>
      </c>
    </row>
    <row r="443" customFormat="false" ht="15" hidden="false" customHeight="false" outlineLevel="0" collapsed="false">
      <c r="M443" s="35" t="str">
        <f aca="false">IF($A443="","",HOUR($A443))</f>
        <v/>
      </c>
      <c r="N443" s="36" t="str">
        <f aca="false">IF($A443="","",$I443*$K443)</f>
        <v/>
      </c>
      <c r="O443" s="35" t="str">
        <f aca="false">IF(OR($A443="",$C443="U",$S443&lt;&gt;Calc!$F$2),"",SUMIFS($I$3:$I$3002,$E$3:$E$3002,$E443,$C$3:$C$3002,"&lt;&gt;U",$S$3:$S$3002,Calc!$F$2))</f>
        <v/>
      </c>
      <c r="P443" s="35" t="str">
        <f aca="false">IF(OR($A443="",$C443="U",$S443&lt;&gt;Calc!$F$2),"",SUMIFS($N$3:$N$3002,$E$3:$E$3002,$E443,$C$3:$C$3002,"&lt;&gt;U",$S$3:$S$3002,Calc!$F$2))</f>
        <v/>
      </c>
      <c r="Q443" s="35" t="str">
        <f aca="false">IF(OR($A443="",$C443="U",$S443&lt;&gt;Calc!$F$2),"",IF(COUNTIFS($E$3:$E443,$E443,$C$3:$C443,"&lt;&gt;U",$S$3:$S443,Calc!$F$2)=1,1,0))</f>
        <v/>
      </c>
      <c r="R443" s="35" t="str">
        <f aca="false">IF($Q443=1,$O443-ROW()/100000,"")</f>
        <v/>
      </c>
      <c r="S443" s="37" t="str">
        <f aca="false">IF($A443="","",INT($A443))</f>
        <v/>
      </c>
      <c r="T443" s="35" t="str">
        <f aca="false">IF($A443="","",IF(COUNTIFS($S$3:$S443,$S443)=1,1,0))</f>
        <v/>
      </c>
      <c r="U443" s="37" t="str">
        <f aca="false">IF($T443=1,$S443,"")</f>
        <v/>
      </c>
    </row>
    <row r="444" customFormat="false" ht="15" hidden="false" customHeight="false" outlineLevel="0" collapsed="false">
      <c r="M444" s="35" t="str">
        <f aca="false">IF($A444="","",HOUR($A444))</f>
        <v/>
      </c>
      <c r="N444" s="36" t="str">
        <f aca="false">IF($A444="","",$I444*$K444)</f>
        <v/>
      </c>
      <c r="O444" s="35" t="str">
        <f aca="false">IF(OR($A444="",$C444="U",$S444&lt;&gt;Calc!$F$2),"",SUMIFS($I$3:$I$3002,$E$3:$E$3002,$E444,$C$3:$C$3002,"&lt;&gt;U",$S$3:$S$3002,Calc!$F$2))</f>
        <v/>
      </c>
      <c r="P444" s="35" t="str">
        <f aca="false">IF(OR($A444="",$C444="U",$S444&lt;&gt;Calc!$F$2),"",SUMIFS($N$3:$N$3002,$E$3:$E$3002,$E444,$C$3:$C$3002,"&lt;&gt;U",$S$3:$S$3002,Calc!$F$2))</f>
        <v/>
      </c>
      <c r="Q444" s="35" t="str">
        <f aca="false">IF(OR($A444="",$C444="U",$S444&lt;&gt;Calc!$F$2),"",IF(COUNTIFS($E$3:$E444,$E444,$C$3:$C444,"&lt;&gt;U",$S$3:$S444,Calc!$F$2)=1,1,0))</f>
        <v/>
      </c>
      <c r="R444" s="35" t="str">
        <f aca="false">IF($Q444=1,$O444-ROW()/100000,"")</f>
        <v/>
      </c>
      <c r="S444" s="37" t="str">
        <f aca="false">IF($A444="","",INT($A444))</f>
        <v/>
      </c>
      <c r="T444" s="35" t="str">
        <f aca="false">IF($A444="","",IF(COUNTIFS($S$3:$S444,$S444)=1,1,0))</f>
        <v/>
      </c>
      <c r="U444" s="37" t="str">
        <f aca="false">IF($T444=1,$S444,"")</f>
        <v/>
      </c>
    </row>
    <row r="445" customFormat="false" ht="15" hidden="false" customHeight="false" outlineLevel="0" collapsed="false">
      <c r="M445" s="35" t="str">
        <f aca="false">IF($A445="","",HOUR($A445))</f>
        <v/>
      </c>
      <c r="N445" s="36" t="str">
        <f aca="false">IF($A445="","",$I445*$K445)</f>
        <v/>
      </c>
      <c r="O445" s="35" t="str">
        <f aca="false">IF(OR($A445="",$C445="U",$S445&lt;&gt;Calc!$F$2),"",SUMIFS($I$3:$I$3002,$E$3:$E$3002,$E445,$C$3:$C$3002,"&lt;&gt;U",$S$3:$S$3002,Calc!$F$2))</f>
        <v/>
      </c>
      <c r="P445" s="35" t="str">
        <f aca="false">IF(OR($A445="",$C445="U",$S445&lt;&gt;Calc!$F$2),"",SUMIFS($N$3:$N$3002,$E$3:$E$3002,$E445,$C$3:$C$3002,"&lt;&gt;U",$S$3:$S$3002,Calc!$F$2))</f>
        <v/>
      </c>
      <c r="Q445" s="35" t="str">
        <f aca="false">IF(OR($A445="",$C445="U",$S445&lt;&gt;Calc!$F$2),"",IF(COUNTIFS($E$3:$E445,$E445,$C$3:$C445,"&lt;&gt;U",$S$3:$S445,Calc!$F$2)=1,1,0))</f>
        <v/>
      </c>
      <c r="R445" s="35" t="str">
        <f aca="false">IF($Q445=1,$O445-ROW()/100000,"")</f>
        <v/>
      </c>
      <c r="S445" s="37" t="str">
        <f aca="false">IF($A445="","",INT($A445))</f>
        <v/>
      </c>
      <c r="T445" s="35" t="str">
        <f aca="false">IF($A445="","",IF(COUNTIFS($S$3:$S445,$S445)=1,1,0))</f>
        <v/>
      </c>
      <c r="U445" s="37" t="str">
        <f aca="false">IF($T445=1,$S445,"")</f>
        <v/>
      </c>
    </row>
    <row r="446" customFormat="false" ht="15" hidden="false" customHeight="false" outlineLevel="0" collapsed="false">
      <c r="M446" s="35" t="str">
        <f aca="false">IF($A446="","",HOUR($A446))</f>
        <v/>
      </c>
      <c r="N446" s="36" t="str">
        <f aca="false">IF($A446="","",$I446*$K446)</f>
        <v/>
      </c>
      <c r="O446" s="35" t="str">
        <f aca="false">IF(OR($A446="",$C446="U",$S446&lt;&gt;Calc!$F$2),"",SUMIFS($I$3:$I$3002,$E$3:$E$3002,$E446,$C$3:$C$3002,"&lt;&gt;U",$S$3:$S$3002,Calc!$F$2))</f>
        <v/>
      </c>
      <c r="P446" s="35" t="str">
        <f aca="false">IF(OR($A446="",$C446="U",$S446&lt;&gt;Calc!$F$2),"",SUMIFS($N$3:$N$3002,$E$3:$E$3002,$E446,$C$3:$C$3002,"&lt;&gt;U",$S$3:$S$3002,Calc!$F$2))</f>
        <v/>
      </c>
      <c r="Q446" s="35" t="str">
        <f aca="false">IF(OR($A446="",$C446="U",$S446&lt;&gt;Calc!$F$2),"",IF(COUNTIFS($E$3:$E446,$E446,$C$3:$C446,"&lt;&gt;U",$S$3:$S446,Calc!$F$2)=1,1,0))</f>
        <v/>
      </c>
      <c r="R446" s="35" t="str">
        <f aca="false">IF($Q446=1,$O446-ROW()/100000,"")</f>
        <v/>
      </c>
      <c r="S446" s="37" t="str">
        <f aca="false">IF($A446="","",INT($A446))</f>
        <v/>
      </c>
      <c r="T446" s="35" t="str">
        <f aca="false">IF($A446="","",IF(COUNTIFS($S$3:$S446,$S446)=1,1,0))</f>
        <v/>
      </c>
      <c r="U446" s="37" t="str">
        <f aca="false">IF($T446=1,$S446,"")</f>
        <v/>
      </c>
    </row>
    <row r="447" customFormat="false" ht="15" hidden="false" customHeight="false" outlineLevel="0" collapsed="false">
      <c r="M447" s="35" t="str">
        <f aca="false">IF($A447="","",HOUR($A447))</f>
        <v/>
      </c>
      <c r="N447" s="36" t="str">
        <f aca="false">IF($A447="","",$I447*$K447)</f>
        <v/>
      </c>
      <c r="O447" s="35" t="str">
        <f aca="false">IF(OR($A447="",$C447="U",$S447&lt;&gt;Calc!$F$2),"",SUMIFS($I$3:$I$3002,$E$3:$E$3002,$E447,$C$3:$C$3002,"&lt;&gt;U",$S$3:$S$3002,Calc!$F$2))</f>
        <v/>
      </c>
      <c r="P447" s="35" t="str">
        <f aca="false">IF(OR($A447="",$C447="U",$S447&lt;&gt;Calc!$F$2),"",SUMIFS($N$3:$N$3002,$E$3:$E$3002,$E447,$C$3:$C$3002,"&lt;&gt;U",$S$3:$S$3002,Calc!$F$2))</f>
        <v/>
      </c>
      <c r="Q447" s="35" t="str">
        <f aca="false">IF(OR($A447="",$C447="U",$S447&lt;&gt;Calc!$F$2),"",IF(COUNTIFS($E$3:$E447,$E447,$C$3:$C447,"&lt;&gt;U",$S$3:$S447,Calc!$F$2)=1,1,0))</f>
        <v/>
      </c>
      <c r="R447" s="35" t="str">
        <f aca="false">IF($Q447=1,$O447-ROW()/100000,"")</f>
        <v/>
      </c>
      <c r="S447" s="37" t="str">
        <f aca="false">IF($A447="","",INT($A447))</f>
        <v/>
      </c>
      <c r="T447" s="35" t="str">
        <f aca="false">IF($A447="","",IF(COUNTIFS($S$3:$S447,$S447)=1,1,0))</f>
        <v/>
      </c>
      <c r="U447" s="37" t="str">
        <f aca="false">IF($T447=1,$S447,"")</f>
        <v/>
      </c>
    </row>
    <row r="448" customFormat="false" ht="15" hidden="false" customHeight="false" outlineLevel="0" collapsed="false">
      <c r="M448" s="35" t="str">
        <f aca="false">IF($A448="","",HOUR($A448))</f>
        <v/>
      </c>
      <c r="N448" s="36" t="str">
        <f aca="false">IF($A448="","",$I448*$K448)</f>
        <v/>
      </c>
      <c r="O448" s="35" t="str">
        <f aca="false">IF(OR($A448="",$C448="U",$S448&lt;&gt;Calc!$F$2),"",SUMIFS($I$3:$I$3002,$E$3:$E$3002,$E448,$C$3:$C$3002,"&lt;&gt;U",$S$3:$S$3002,Calc!$F$2))</f>
        <v/>
      </c>
      <c r="P448" s="35" t="str">
        <f aca="false">IF(OR($A448="",$C448="U",$S448&lt;&gt;Calc!$F$2),"",SUMIFS($N$3:$N$3002,$E$3:$E$3002,$E448,$C$3:$C$3002,"&lt;&gt;U",$S$3:$S$3002,Calc!$F$2))</f>
        <v/>
      </c>
      <c r="Q448" s="35" t="str">
        <f aca="false">IF(OR($A448="",$C448="U",$S448&lt;&gt;Calc!$F$2),"",IF(COUNTIFS($E$3:$E448,$E448,$C$3:$C448,"&lt;&gt;U",$S$3:$S448,Calc!$F$2)=1,1,0))</f>
        <v/>
      </c>
      <c r="R448" s="35" t="str">
        <f aca="false">IF($Q448=1,$O448-ROW()/100000,"")</f>
        <v/>
      </c>
      <c r="S448" s="37" t="str">
        <f aca="false">IF($A448="","",INT($A448))</f>
        <v/>
      </c>
      <c r="T448" s="35" t="str">
        <f aca="false">IF($A448="","",IF(COUNTIFS($S$3:$S448,$S448)=1,1,0))</f>
        <v/>
      </c>
      <c r="U448" s="37" t="str">
        <f aca="false">IF($T448=1,$S448,"")</f>
        <v/>
      </c>
    </row>
    <row r="449" customFormat="false" ht="15" hidden="false" customHeight="false" outlineLevel="0" collapsed="false">
      <c r="M449" s="35" t="str">
        <f aca="false">IF($A449="","",HOUR($A449))</f>
        <v/>
      </c>
      <c r="N449" s="36" t="str">
        <f aca="false">IF($A449="","",$I449*$K449)</f>
        <v/>
      </c>
      <c r="O449" s="35" t="str">
        <f aca="false">IF(OR($A449="",$C449="U",$S449&lt;&gt;Calc!$F$2),"",SUMIFS($I$3:$I$3002,$E$3:$E$3002,$E449,$C$3:$C$3002,"&lt;&gt;U",$S$3:$S$3002,Calc!$F$2))</f>
        <v/>
      </c>
      <c r="P449" s="35" t="str">
        <f aca="false">IF(OR($A449="",$C449="U",$S449&lt;&gt;Calc!$F$2),"",SUMIFS($N$3:$N$3002,$E$3:$E$3002,$E449,$C$3:$C$3002,"&lt;&gt;U",$S$3:$S$3002,Calc!$F$2))</f>
        <v/>
      </c>
      <c r="Q449" s="35" t="str">
        <f aca="false">IF(OR($A449="",$C449="U",$S449&lt;&gt;Calc!$F$2),"",IF(COUNTIFS($E$3:$E449,$E449,$C$3:$C449,"&lt;&gt;U",$S$3:$S449,Calc!$F$2)=1,1,0))</f>
        <v/>
      </c>
      <c r="R449" s="35" t="str">
        <f aca="false">IF($Q449=1,$O449-ROW()/100000,"")</f>
        <v/>
      </c>
      <c r="S449" s="37" t="str">
        <f aca="false">IF($A449="","",INT($A449))</f>
        <v/>
      </c>
      <c r="T449" s="35" t="str">
        <f aca="false">IF($A449="","",IF(COUNTIFS($S$3:$S449,$S449)=1,1,0))</f>
        <v/>
      </c>
      <c r="U449" s="37" t="str">
        <f aca="false">IF($T449=1,$S449,"")</f>
        <v/>
      </c>
    </row>
    <row r="450" customFormat="false" ht="15" hidden="false" customHeight="false" outlineLevel="0" collapsed="false">
      <c r="M450" s="35" t="str">
        <f aca="false">IF($A450="","",HOUR($A450))</f>
        <v/>
      </c>
      <c r="N450" s="36" t="str">
        <f aca="false">IF($A450="","",$I450*$K450)</f>
        <v/>
      </c>
      <c r="O450" s="35" t="str">
        <f aca="false">IF(OR($A450="",$C450="U",$S450&lt;&gt;Calc!$F$2),"",SUMIFS($I$3:$I$3002,$E$3:$E$3002,$E450,$C$3:$C$3002,"&lt;&gt;U",$S$3:$S$3002,Calc!$F$2))</f>
        <v/>
      </c>
      <c r="P450" s="35" t="str">
        <f aca="false">IF(OR($A450="",$C450="U",$S450&lt;&gt;Calc!$F$2),"",SUMIFS($N$3:$N$3002,$E$3:$E$3002,$E450,$C$3:$C$3002,"&lt;&gt;U",$S$3:$S$3002,Calc!$F$2))</f>
        <v/>
      </c>
      <c r="Q450" s="35" t="str">
        <f aca="false">IF(OR($A450="",$C450="U",$S450&lt;&gt;Calc!$F$2),"",IF(COUNTIFS($E$3:$E450,$E450,$C$3:$C450,"&lt;&gt;U",$S$3:$S450,Calc!$F$2)=1,1,0))</f>
        <v/>
      </c>
      <c r="R450" s="35" t="str">
        <f aca="false">IF($Q450=1,$O450-ROW()/100000,"")</f>
        <v/>
      </c>
      <c r="S450" s="37" t="str">
        <f aca="false">IF($A450="","",INT($A450))</f>
        <v/>
      </c>
      <c r="T450" s="35" t="str">
        <f aca="false">IF($A450="","",IF(COUNTIFS($S$3:$S450,$S450)=1,1,0))</f>
        <v/>
      </c>
      <c r="U450" s="37" t="str">
        <f aca="false">IF($T450=1,$S450,"")</f>
        <v/>
      </c>
    </row>
    <row r="451" customFormat="false" ht="15" hidden="false" customHeight="false" outlineLevel="0" collapsed="false">
      <c r="M451" s="35" t="str">
        <f aca="false">IF($A451="","",HOUR($A451))</f>
        <v/>
      </c>
      <c r="N451" s="36" t="str">
        <f aca="false">IF($A451="","",$I451*$K451)</f>
        <v/>
      </c>
      <c r="O451" s="35" t="str">
        <f aca="false">IF(OR($A451="",$C451="U",$S451&lt;&gt;Calc!$F$2),"",SUMIFS($I$3:$I$3002,$E$3:$E$3002,$E451,$C$3:$C$3002,"&lt;&gt;U",$S$3:$S$3002,Calc!$F$2))</f>
        <v/>
      </c>
      <c r="P451" s="35" t="str">
        <f aca="false">IF(OR($A451="",$C451="U",$S451&lt;&gt;Calc!$F$2),"",SUMIFS($N$3:$N$3002,$E$3:$E$3002,$E451,$C$3:$C$3002,"&lt;&gt;U",$S$3:$S$3002,Calc!$F$2))</f>
        <v/>
      </c>
      <c r="Q451" s="35" t="str">
        <f aca="false">IF(OR($A451="",$C451="U",$S451&lt;&gt;Calc!$F$2),"",IF(COUNTIFS($E$3:$E451,$E451,$C$3:$C451,"&lt;&gt;U",$S$3:$S451,Calc!$F$2)=1,1,0))</f>
        <v/>
      </c>
      <c r="R451" s="35" t="str">
        <f aca="false">IF($Q451=1,$O451-ROW()/100000,"")</f>
        <v/>
      </c>
      <c r="S451" s="37" t="str">
        <f aca="false">IF($A451="","",INT($A451))</f>
        <v/>
      </c>
      <c r="T451" s="35" t="str">
        <f aca="false">IF($A451="","",IF(COUNTIFS($S$3:$S451,$S451)=1,1,0))</f>
        <v/>
      </c>
      <c r="U451" s="37" t="str">
        <f aca="false">IF($T451=1,$S451,"")</f>
        <v/>
      </c>
    </row>
    <row r="452" customFormat="false" ht="15" hidden="false" customHeight="false" outlineLevel="0" collapsed="false">
      <c r="M452" s="35" t="str">
        <f aca="false">IF($A452="","",HOUR($A452))</f>
        <v/>
      </c>
      <c r="N452" s="36" t="str">
        <f aca="false">IF($A452="","",$I452*$K452)</f>
        <v/>
      </c>
      <c r="O452" s="35" t="str">
        <f aca="false">IF(OR($A452="",$C452="U",$S452&lt;&gt;Calc!$F$2),"",SUMIFS($I$3:$I$3002,$E$3:$E$3002,$E452,$C$3:$C$3002,"&lt;&gt;U",$S$3:$S$3002,Calc!$F$2))</f>
        <v/>
      </c>
      <c r="P452" s="35" t="str">
        <f aca="false">IF(OR($A452="",$C452="U",$S452&lt;&gt;Calc!$F$2),"",SUMIFS($N$3:$N$3002,$E$3:$E$3002,$E452,$C$3:$C$3002,"&lt;&gt;U",$S$3:$S$3002,Calc!$F$2))</f>
        <v/>
      </c>
      <c r="Q452" s="35" t="str">
        <f aca="false">IF(OR($A452="",$C452="U",$S452&lt;&gt;Calc!$F$2),"",IF(COUNTIFS($E$3:$E452,$E452,$C$3:$C452,"&lt;&gt;U",$S$3:$S452,Calc!$F$2)=1,1,0))</f>
        <v/>
      </c>
      <c r="R452" s="35" t="str">
        <f aca="false">IF($Q452=1,$O452-ROW()/100000,"")</f>
        <v/>
      </c>
      <c r="S452" s="37" t="str">
        <f aca="false">IF($A452="","",INT($A452))</f>
        <v/>
      </c>
      <c r="T452" s="35" t="str">
        <f aca="false">IF($A452="","",IF(COUNTIFS($S$3:$S452,$S452)=1,1,0))</f>
        <v/>
      </c>
      <c r="U452" s="37" t="str">
        <f aca="false">IF($T452=1,$S452,"")</f>
        <v/>
      </c>
    </row>
    <row r="453" customFormat="false" ht="15" hidden="false" customHeight="false" outlineLevel="0" collapsed="false">
      <c r="M453" s="35" t="str">
        <f aca="false">IF($A453="","",HOUR($A453))</f>
        <v/>
      </c>
      <c r="N453" s="36" t="str">
        <f aca="false">IF($A453="","",$I453*$K453)</f>
        <v/>
      </c>
      <c r="O453" s="35" t="str">
        <f aca="false">IF(OR($A453="",$C453="U",$S453&lt;&gt;Calc!$F$2),"",SUMIFS($I$3:$I$3002,$E$3:$E$3002,$E453,$C$3:$C$3002,"&lt;&gt;U",$S$3:$S$3002,Calc!$F$2))</f>
        <v/>
      </c>
      <c r="P453" s="35" t="str">
        <f aca="false">IF(OR($A453="",$C453="U",$S453&lt;&gt;Calc!$F$2),"",SUMIFS($N$3:$N$3002,$E$3:$E$3002,$E453,$C$3:$C$3002,"&lt;&gt;U",$S$3:$S$3002,Calc!$F$2))</f>
        <v/>
      </c>
      <c r="Q453" s="35" t="str">
        <f aca="false">IF(OR($A453="",$C453="U",$S453&lt;&gt;Calc!$F$2),"",IF(COUNTIFS($E$3:$E453,$E453,$C$3:$C453,"&lt;&gt;U",$S$3:$S453,Calc!$F$2)=1,1,0))</f>
        <v/>
      </c>
      <c r="R453" s="35" t="str">
        <f aca="false">IF($Q453=1,$O453-ROW()/100000,"")</f>
        <v/>
      </c>
      <c r="S453" s="37" t="str">
        <f aca="false">IF($A453="","",INT($A453))</f>
        <v/>
      </c>
      <c r="T453" s="35" t="str">
        <f aca="false">IF($A453="","",IF(COUNTIFS($S$3:$S453,$S453)=1,1,0))</f>
        <v/>
      </c>
      <c r="U453" s="37" t="str">
        <f aca="false">IF($T453=1,$S453,"")</f>
        <v/>
      </c>
    </row>
    <row r="454" customFormat="false" ht="15" hidden="false" customHeight="false" outlineLevel="0" collapsed="false">
      <c r="M454" s="35" t="str">
        <f aca="false">IF($A454="","",HOUR($A454))</f>
        <v/>
      </c>
      <c r="N454" s="36" t="str">
        <f aca="false">IF($A454="","",$I454*$K454)</f>
        <v/>
      </c>
      <c r="O454" s="35" t="str">
        <f aca="false">IF(OR($A454="",$C454="U",$S454&lt;&gt;Calc!$F$2),"",SUMIFS($I$3:$I$3002,$E$3:$E$3002,$E454,$C$3:$C$3002,"&lt;&gt;U",$S$3:$S$3002,Calc!$F$2))</f>
        <v/>
      </c>
      <c r="P454" s="35" t="str">
        <f aca="false">IF(OR($A454="",$C454="U",$S454&lt;&gt;Calc!$F$2),"",SUMIFS($N$3:$N$3002,$E$3:$E$3002,$E454,$C$3:$C$3002,"&lt;&gt;U",$S$3:$S$3002,Calc!$F$2))</f>
        <v/>
      </c>
      <c r="Q454" s="35" t="str">
        <f aca="false">IF(OR($A454="",$C454="U",$S454&lt;&gt;Calc!$F$2),"",IF(COUNTIFS($E$3:$E454,$E454,$C$3:$C454,"&lt;&gt;U",$S$3:$S454,Calc!$F$2)=1,1,0))</f>
        <v/>
      </c>
      <c r="R454" s="35" t="str">
        <f aca="false">IF($Q454=1,$O454-ROW()/100000,"")</f>
        <v/>
      </c>
      <c r="S454" s="37" t="str">
        <f aca="false">IF($A454="","",INT($A454))</f>
        <v/>
      </c>
      <c r="T454" s="35" t="str">
        <f aca="false">IF($A454="","",IF(COUNTIFS($S$3:$S454,$S454)=1,1,0))</f>
        <v/>
      </c>
      <c r="U454" s="37" t="str">
        <f aca="false">IF($T454=1,$S454,"")</f>
        <v/>
      </c>
    </row>
    <row r="455" customFormat="false" ht="15" hidden="false" customHeight="false" outlineLevel="0" collapsed="false">
      <c r="M455" s="35" t="str">
        <f aca="false">IF($A455="","",HOUR($A455))</f>
        <v/>
      </c>
      <c r="N455" s="36" t="str">
        <f aca="false">IF($A455="","",$I455*$K455)</f>
        <v/>
      </c>
      <c r="O455" s="35" t="str">
        <f aca="false">IF(OR($A455="",$C455="U",$S455&lt;&gt;Calc!$F$2),"",SUMIFS($I$3:$I$3002,$E$3:$E$3002,$E455,$C$3:$C$3002,"&lt;&gt;U",$S$3:$S$3002,Calc!$F$2))</f>
        <v/>
      </c>
      <c r="P455" s="35" t="str">
        <f aca="false">IF(OR($A455="",$C455="U",$S455&lt;&gt;Calc!$F$2),"",SUMIFS($N$3:$N$3002,$E$3:$E$3002,$E455,$C$3:$C$3002,"&lt;&gt;U",$S$3:$S$3002,Calc!$F$2))</f>
        <v/>
      </c>
      <c r="Q455" s="35" t="str">
        <f aca="false">IF(OR($A455="",$C455="U",$S455&lt;&gt;Calc!$F$2),"",IF(COUNTIFS($E$3:$E455,$E455,$C$3:$C455,"&lt;&gt;U",$S$3:$S455,Calc!$F$2)=1,1,0))</f>
        <v/>
      </c>
      <c r="R455" s="35" t="str">
        <f aca="false">IF($Q455=1,$O455-ROW()/100000,"")</f>
        <v/>
      </c>
      <c r="S455" s="37" t="str">
        <f aca="false">IF($A455="","",INT($A455))</f>
        <v/>
      </c>
      <c r="T455" s="35" t="str">
        <f aca="false">IF($A455="","",IF(COUNTIFS($S$3:$S455,$S455)=1,1,0))</f>
        <v/>
      </c>
      <c r="U455" s="37" t="str">
        <f aca="false">IF($T455=1,$S455,"")</f>
        <v/>
      </c>
    </row>
    <row r="456" customFormat="false" ht="15" hidden="false" customHeight="false" outlineLevel="0" collapsed="false">
      <c r="M456" s="35" t="str">
        <f aca="false">IF($A456="","",HOUR($A456))</f>
        <v/>
      </c>
      <c r="N456" s="36" t="str">
        <f aca="false">IF($A456="","",$I456*$K456)</f>
        <v/>
      </c>
      <c r="O456" s="35" t="str">
        <f aca="false">IF(OR($A456="",$C456="U",$S456&lt;&gt;Calc!$F$2),"",SUMIFS($I$3:$I$3002,$E$3:$E$3002,$E456,$C$3:$C$3002,"&lt;&gt;U",$S$3:$S$3002,Calc!$F$2))</f>
        <v/>
      </c>
      <c r="P456" s="35" t="str">
        <f aca="false">IF(OR($A456="",$C456="U",$S456&lt;&gt;Calc!$F$2),"",SUMIFS($N$3:$N$3002,$E$3:$E$3002,$E456,$C$3:$C$3002,"&lt;&gt;U",$S$3:$S$3002,Calc!$F$2))</f>
        <v/>
      </c>
      <c r="Q456" s="35" t="str">
        <f aca="false">IF(OR($A456="",$C456="U",$S456&lt;&gt;Calc!$F$2),"",IF(COUNTIFS($E$3:$E456,$E456,$C$3:$C456,"&lt;&gt;U",$S$3:$S456,Calc!$F$2)=1,1,0))</f>
        <v/>
      </c>
      <c r="R456" s="35" t="str">
        <f aca="false">IF($Q456=1,$O456-ROW()/100000,"")</f>
        <v/>
      </c>
      <c r="S456" s="37" t="str">
        <f aca="false">IF($A456="","",INT($A456))</f>
        <v/>
      </c>
      <c r="T456" s="35" t="str">
        <f aca="false">IF($A456="","",IF(COUNTIFS($S$3:$S456,$S456)=1,1,0))</f>
        <v/>
      </c>
      <c r="U456" s="37" t="str">
        <f aca="false">IF($T456=1,$S456,"")</f>
        <v/>
      </c>
    </row>
    <row r="457" customFormat="false" ht="15" hidden="false" customHeight="false" outlineLevel="0" collapsed="false">
      <c r="M457" s="35" t="str">
        <f aca="false">IF($A457="","",HOUR($A457))</f>
        <v/>
      </c>
      <c r="N457" s="36" t="str">
        <f aca="false">IF($A457="","",$I457*$K457)</f>
        <v/>
      </c>
      <c r="O457" s="35" t="str">
        <f aca="false">IF(OR($A457="",$C457="U",$S457&lt;&gt;Calc!$F$2),"",SUMIFS($I$3:$I$3002,$E$3:$E$3002,$E457,$C$3:$C$3002,"&lt;&gt;U",$S$3:$S$3002,Calc!$F$2))</f>
        <v/>
      </c>
      <c r="P457" s="35" t="str">
        <f aca="false">IF(OR($A457="",$C457="U",$S457&lt;&gt;Calc!$F$2),"",SUMIFS($N$3:$N$3002,$E$3:$E$3002,$E457,$C$3:$C$3002,"&lt;&gt;U",$S$3:$S$3002,Calc!$F$2))</f>
        <v/>
      </c>
      <c r="Q457" s="35" t="str">
        <f aca="false">IF(OR($A457="",$C457="U",$S457&lt;&gt;Calc!$F$2),"",IF(COUNTIFS($E$3:$E457,$E457,$C$3:$C457,"&lt;&gt;U",$S$3:$S457,Calc!$F$2)=1,1,0))</f>
        <v/>
      </c>
      <c r="R457" s="35" t="str">
        <f aca="false">IF($Q457=1,$O457-ROW()/100000,"")</f>
        <v/>
      </c>
      <c r="S457" s="37" t="str">
        <f aca="false">IF($A457="","",INT($A457))</f>
        <v/>
      </c>
      <c r="T457" s="35" t="str">
        <f aca="false">IF($A457="","",IF(COUNTIFS($S$3:$S457,$S457)=1,1,0))</f>
        <v/>
      </c>
      <c r="U457" s="37" t="str">
        <f aca="false">IF($T457=1,$S457,"")</f>
        <v/>
      </c>
    </row>
    <row r="458" customFormat="false" ht="15" hidden="false" customHeight="false" outlineLevel="0" collapsed="false">
      <c r="M458" s="35" t="str">
        <f aca="false">IF($A458="","",HOUR($A458))</f>
        <v/>
      </c>
      <c r="N458" s="36" t="str">
        <f aca="false">IF($A458="","",$I458*$K458)</f>
        <v/>
      </c>
      <c r="O458" s="35" t="str">
        <f aca="false">IF(OR($A458="",$C458="U",$S458&lt;&gt;Calc!$F$2),"",SUMIFS($I$3:$I$3002,$E$3:$E$3002,$E458,$C$3:$C$3002,"&lt;&gt;U",$S$3:$S$3002,Calc!$F$2))</f>
        <v/>
      </c>
      <c r="P458" s="35" t="str">
        <f aca="false">IF(OR($A458="",$C458="U",$S458&lt;&gt;Calc!$F$2),"",SUMIFS($N$3:$N$3002,$E$3:$E$3002,$E458,$C$3:$C$3002,"&lt;&gt;U",$S$3:$S$3002,Calc!$F$2))</f>
        <v/>
      </c>
      <c r="Q458" s="35" t="str">
        <f aca="false">IF(OR($A458="",$C458="U",$S458&lt;&gt;Calc!$F$2),"",IF(COUNTIFS($E$3:$E458,$E458,$C$3:$C458,"&lt;&gt;U",$S$3:$S458,Calc!$F$2)=1,1,0))</f>
        <v/>
      </c>
      <c r="R458" s="35" t="str">
        <f aca="false">IF($Q458=1,$O458-ROW()/100000,"")</f>
        <v/>
      </c>
      <c r="S458" s="37" t="str">
        <f aca="false">IF($A458="","",INT($A458))</f>
        <v/>
      </c>
      <c r="T458" s="35" t="str">
        <f aca="false">IF($A458="","",IF(COUNTIFS($S$3:$S458,$S458)=1,1,0))</f>
        <v/>
      </c>
      <c r="U458" s="37" t="str">
        <f aca="false">IF($T458=1,$S458,"")</f>
        <v/>
      </c>
    </row>
    <row r="459" customFormat="false" ht="15" hidden="false" customHeight="false" outlineLevel="0" collapsed="false">
      <c r="M459" s="35" t="str">
        <f aca="false">IF($A459="","",HOUR($A459))</f>
        <v/>
      </c>
      <c r="N459" s="36" t="str">
        <f aca="false">IF($A459="","",$I459*$K459)</f>
        <v/>
      </c>
      <c r="O459" s="35" t="str">
        <f aca="false">IF(OR($A459="",$C459="U",$S459&lt;&gt;Calc!$F$2),"",SUMIFS($I$3:$I$3002,$E$3:$E$3002,$E459,$C$3:$C$3002,"&lt;&gt;U",$S$3:$S$3002,Calc!$F$2))</f>
        <v/>
      </c>
      <c r="P459" s="35" t="str">
        <f aca="false">IF(OR($A459="",$C459="U",$S459&lt;&gt;Calc!$F$2),"",SUMIFS($N$3:$N$3002,$E$3:$E$3002,$E459,$C$3:$C$3002,"&lt;&gt;U",$S$3:$S$3002,Calc!$F$2))</f>
        <v/>
      </c>
      <c r="Q459" s="35" t="str">
        <f aca="false">IF(OR($A459="",$C459="U",$S459&lt;&gt;Calc!$F$2),"",IF(COUNTIFS($E$3:$E459,$E459,$C$3:$C459,"&lt;&gt;U",$S$3:$S459,Calc!$F$2)=1,1,0))</f>
        <v/>
      </c>
      <c r="R459" s="35" t="str">
        <f aca="false">IF($Q459=1,$O459-ROW()/100000,"")</f>
        <v/>
      </c>
      <c r="S459" s="37" t="str">
        <f aca="false">IF($A459="","",INT($A459))</f>
        <v/>
      </c>
      <c r="T459" s="35" t="str">
        <f aca="false">IF($A459="","",IF(COUNTIFS($S$3:$S459,$S459)=1,1,0))</f>
        <v/>
      </c>
      <c r="U459" s="37" t="str">
        <f aca="false">IF($T459=1,$S459,"")</f>
        <v/>
      </c>
    </row>
    <row r="460" customFormat="false" ht="15" hidden="false" customHeight="false" outlineLevel="0" collapsed="false">
      <c r="M460" s="35" t="str">
        <f aca="false">IF($A460="","",HOUR($A460))</f>
        <v/>
      </c>
      <c r="N460" s="36" t="str">
        <f aca="false">IF($A460="","",$I460*$K460)</f>
        <v/>
      </c>
      <c r="O460" s="35" t="str">
        <f aca="false">IF(OR($A460="",$C460="U",$S460&lt;&gt;Calc!$F$2),"",SUMIFS($I$3:$I$3002,$E$3:$E$3002,$E460,$C$3:$C$3002,"&lt;&gt;U",$S$3:$S$3002,Calc!$F$2))</f>
        <v/>
      </c>
      <c r="P460" s="35" t="str">
        <f aca="false">IF(OR($A460="",$C460="U",$S460&lt;&gt;Calc!$F$2),"",SUMIFS($N$3:$N$3002,$E$3:$E$3002,$E460,$C$3:$C$3002,"&lt;&gt;U",$S$3:$S$3002,Calc!$F$2))</f>
        <v/>
      </c>
      <c r="Q460" s="35" t="str">
        <f aca="false">IF(OR($A460="",$C460="U",$S460&lt;&gt;Calc!$F$2),"",IF(COUNTIFS($E$3:$E460,$E460,$C$3:$C460,"&lt;&gt;U",$S$3:$S460,Calc!$F$2)=1,1,0))</f>
        <v/>
      </c>
      <c r="R460" s="35" t="str">
        <f aca="false">IF($Q460=1,$O460-ROW()/100000,"")</f>
        <v/>
      </c>
      <c r="S460" s="37" t="str">
        <f aca="false">IF($A460="","",INT($A460))</f>
        <v/>
      </c>
      <c r="T460" s="35" t="str">
        <f aca="false">IF($A460="","",IF(COUNTIFS($S$3:$S460,$S460)=1,1,0))</f>
        <v/>
      </c>
      <c r="U460" s="37" t="str">
        <f aca="false">IF($T460=1,$S460,"")</f>
        <v/>
      </c>
    </row>
    <row r="461" customFormat="false" ht="15" hidden="false" customHeight="false" outlineLevel="0" collapsed="false">
      <c r="M461" s="35" t="str">
        <f aca="false">IF($A461="","",HOUR($A461))</f>
        <v/>
      </c>
      <c r="N461" s="36" t="str">
        <f aca="false">IF($A461="","",$I461*$K461)</f>
        <v/>
      </c>
      <c r="O461" s="35" t="str">
        <f aca="false">IF(OR($A461="",$C461="U",$S461&lt;&gt;Calc!$F$2),"",SUMIFS($I$3:$I$3002,$E$3:$E$3002,$E461,$C$3:$C$3002,"&lt;&gt;U",$S$3:$S$3002,Calc!$F$2))</f>
        <v/>
      </c>
      <c r="P461" s="35" t="str">
        <f aca="false">IF(OR($A461="",$C461="U",$S461&lt;&gt;Calc!$F$2),"",SUMIFS($N$3:$N$3002,$E$3:$E$3002,$E461,$C$3:$C$3002,"&lt;&gt;U",$S$3:$S$3002,Calc!$F$2))</f>
        <v/>
      </c>
      <c r="Q461" s="35" t="str">
        <f aca="false">IF(OR($A461="",$C461="U",$S461&lt;&gt;Calc!$F$2),"",IF(COUNTIFS($E$3:$E461,$E461,$C$3:$C461,"&lt;&gt;U",$S$3:$S461,Calc!$F$2)=1,1,0))</f>
        <v/>
      </c>
      <c r="R461" s="35" t="str">
        <f aca="false">IF($Q461=1,$O461-ROW()/100000,"")</f>
        <v/>
      </c>
      <c r="S461" s="37" t="str">
        <f aca="false">IF($A461="","",INT($A461))</f>
        <v/>
      </c>
      <c r="T461" s="35" t="str">
        <f aca="false">IF($A461="","",IF(COUNTIFS($S$3:$S461,$S461)=1,1,0))</f>
        <v/>
      </c>
      <c r="U461" s="37" t="str">
        <f aca="false">IF($T461=1,$S461,"")</f>
        <v/>
      </c>
    </row>
    <row r="462" customFormat="false" ht="15" hidden="false" customHeight="false" outlineLevel="0" collapsed="false">
      <c r="M462" s="35" t="str">
        <f aca="false">IF($A462="","",HOUR($A462))</f>
        <v/>
      </c>
      <c r="N462" s="36" t="str">
        <f aca="false">IF($A462="","",$I462*$K462)</f>
        <v/>
      </c>
      <c r="O462" s="35" t="str">
        <f aca="false">IF(OR($A462="",$C462="U",$S462&lt;&gt;Calc!$F$2),"",SUMIFS($I$3:$I$3002,$E$3:$E$3002,$E462,$C$3:$C$3002,"&lt;&gt;U",$S$3:$S$3002,Calc!$F$2))</f>
        <v/>
      </c>
      <c r="P462" s="35" t="str">
        <f aca="false">IF(OR($A462="",$C462="U",$S462&lt;&gt;Calc!$F$2),"",SUMIFS($N$3:$N$3002,$E$3:$E$3002,$E462,$C$3:$C$3002,"&lt;&gt;U",$S$3:$S$3002,Calc!$F$2))</f>
        <v/>
      </c>
      <c r="Q462" s="35" t="str">
        <f aca="false">IF(OR($A462="",$C462="U",$S462&lt;&gt;Calc!$F$2),"",IF(COUNTIFS($E$3:$E462,$E462,$C$3:$C462,"&lt;&gt;U",$S$3:$S462,Calc!$F$2)=1,1,0))</f>
        <v/>
      </c>
      <c r="R462" s="35" t="str">
        <f aca="false">IF($Q462=1,$O462-ROW()/100000,"")</f>
        <v/>
      </c>
      <c r="S462" s="37" t="str">
        <f aca="false">IF($A462="","",INT($A462))</f>
        <v/>
      </c>
      <c r="T462" s="35" t="str">
        <f aca="false">IF($A462="","",IF(COUNTIFS($S$3:$S462,$S462)=1,1,0))</f>
        <v/>
      </c>
      <c r="U462" s="37" t="str">
        <f aca="false">IF($T462=1,$S462,"")</f>
        <v/>
      </c>
    </row>
    <row r="463" customFormat="false" ht="15" hidden="false" customHeight="false" outlineLevel="0" collapsed="false">
      <c r="M463" s="35" t="str">
        <f aca="false">IF($A463="","",HOUR($A463))</f>
        <v/>
      </c>
      <c r="N463" s="36" t="str">
        <f aca="false">IF($A463="","",$I463*$K463)</f>
        <v/>
      </c>
      <c r="O463" s="35" t="str">
        <f aca="false">IF(OR($A463="",$C463="U",$S463&lt;&gt;Calc!$F$2),"",SUMIFS($I$3:$I$3002,$E$3:$E$3002,$E463,$C$3:$C$3002,"&lt;&gt;U",$S$3:$S$3002,Calc!$F$2))</f>
        <v/>
      </c>
      <c r="P463" s="35" t="str">
        <f aca="false">IF(OR($A463="",$C463="U",$S463&lt;&gt;Calc!$F$2),"",SUMIFS($N$3:$N$3002,$E$3:$E$3002,$E463,$C$3:$C$3002,"&lt;&gt;U",$S$3:$S$3002,Calc!$F$2))</f>
        <v/>
      </c>
      <c r="Q463" s="35" t="str">
        <f aca="false">IF(OR($A463="",$C463="U",$S463&lt;&gt;Calc!$F$2),"",IF(COUNTIFS($E$3:$E463,$E463,$C$3:$C463,"&lt;&gt;U",$S$3:$S463,Calc!$F$2)=1,1,0))</f>
        <v/>
      </c>
      <c r="R463" s="35" t="str">
        <f aca="false">IF($Q463=1,$O463-ROW()/100000,"")</f>
        <v/>
      </c>
      <c r="S463" s="37" t="str">
        <f aca="false">IF($A463="","",INT($A463))</f>
        <v/>
      </c>
      <c r="T463" s="35" t="str">
        <f aca="false">IF($A463="","",IF(COUNTIFS($S$3:$S463,$S463)=1,1,0))</f>
        <v/>
      </c>
      <c r="U463" s="37" t="str">
        <f aca="false">IF($T463=1,$S463,"")</f>
        <v/>
      </c>
    </row>
    <row r="464" customFormat="false" ht="15" hidden="false" customHeight="false" outlineLevel="0" collapsed="false">
      <c r="M464" s="35" t="str">
        <f aca="false">IF($A464="","",HOUR($A464))</f>
        <v/>
      </c>
      <c r="N464" s="36" t="str">
        <f aca="false">IF($A464="","",$I464*$K464)</f>
        <v/>
      </c>
      <c r="O464" s="35" t="str">
        <f aca="false">IF(OR($A464="",$C464="U",$S464&lt;&gt;Calc!$F$2),"",SUMIFS($I$3:$I$3002,$E$3:$E$3002,$E464,$C$3:$C$3002,"&lt;&gt;U",$S$3:$S$3002,Calc!$F$2))</f>
        <v/>
      </c>
      <c r="P464" s="35" t="str">
        <f aca="false">IF(OR($A464="",$C464="U",$S464&lt;&gt;Calc!$F$2),"",SUMIFS($N$3:$N$3002,$E$3:$E$3002,$E464,$C$3:$C$3002,"&lt;&gt;U",$S$3:$S$3002,Calc!$F$2))</f>
        <v/>
      </c>
      <c r="Q464" s="35" t="str">
        <f aca="false">IF(OR($A464="",$C464="U",$S464&lt;&gt;Calc!$F$2),"",IF(COUNTIFS($E$3:$E464,$E464,$C$3:$C464,"&lt;&gt;U",$S$3:$S464,Calc!$F$2)=1,1,0))</f>
        <v/>
      </c>
      <c r="R464" s="35" t="str">
        <f aca="false">IF($Q464=1,$O464-ROW()/100000,"")</f>
        <v/>
      </c>
      <c r="S464" s="37" t="str">
        <f aca="false">IF($A464="","",INT($A464))</f>
        <v/>
      </c>
      <c r="T464" s="35" t="str">
        <f aca="false">IF($A464="","",IF(COUNTIFS($S$3:$S464,$S464)=1,1,0))</f>
        <v/>
      </c>
      <c r="U464" s="37" t="str">
        <f aca="false">IF($T464=1,$S464,"")</f>
        <v/>
      </c>
    </row>
    <row r="465" customFormat="false" ht="15" hidden="false" customHeight="false" outlineLevel="0" collapsed="false">
      <c r="M465" s="35" t="str">
        <f aca="false">IF($A465="","",HOUR($A465))</f>
        <v/>
      </c>
      <c r="N465" s="36" t="str">
        <f aca="false">IF($A465="","",$I465*$K465)</f>
        <v/>
      </c>
      <c r="O465" s="35" t="str">
        <f aca="false">IF(OR($A465="",$C465="U",$S465&lt;&gt;Calc!$F$2),"",SUMIFS($I$3:$I$3002,$E$3:$E$3002,$E465,$C$3:$C$3002,"&lt;&gt;U",$S$3:$S$3002,Calc!$F$2))</f>
        <v/>
      </c>
      <c r="P465" s="35" t="str">
        <f aca="false">IF(OR($A465="",$C465="U",$S465&lt;&gt;Calc!$F$2),"",SUMIFS($N$3:$N$3002,$E$3:$E$3002,$E465,$C$3:$C$3002,"&lt;&gt;U",$S$3:$S$3002,Calc!$F$2))</f>
        <v/>
      </c>
      <c r="Q465" s="35" t="str">
        <f aca="false">IF(OR($A465="",$C465="U",$S465&lt;&gt;Calc!$F$2),"",IF(COUNTIFS($E$3:$E465,$E465,$C$3:$C465,"&lt;&gt;U",$S$3:$S465,Calc!$F$2)=1,1,0))</f>
        <v/>
      </c>
      <c r="R465" s="35" t="str">
        <f aca="false">IF($Q465=1,$O465-ROW()/100000,"")</f>
        <v/>
      </c>
      <c r="S465" s="37" t="str">
        <f aca="false">IF($A465="","",INT($A465))</f>
        <v/>
      </c>
      <c r="T465" s="35" t="str">
        <f aca="false">IF($A465="","",IF(COUNTIFS($S$3:$S465,$S465)=1,1,0))</f>
        <v/>
      </c>
      <c r="U465" s="37" t="str">
        <f aca="false">IF($T465=1,$S465,"")</f>
        <v/>
      </c>
    </row>
    <row r="466" customFormat="false" ht="15" hidden="false" customHeight="false" outlineLevel="0" collapsed="false">
      <c r="M466" s="35" t="str">
        <f aca="false">IF($A466="","",HOUR($A466))</f>
        <v/>
      </c>
      <c r="N466" s="36" t="str">
        <f aca="false">IF($A466="","",$I466*$K466)</f>
        <v/>
      </c>
      <c r="O466" s="35" t="str">
        <f aca="false">IF(OR($A466="",$C466="U",$S466&lt;&gt;Calc!$F$2),"",SUMIFS($I$3:$I$3002,$E$3:$E$3002,$E466,$C$3:$C$3002,"&lt;&gt;U",$S$3:$S$3002,Calc!$F$2))</f>
        <v/>
      </c>
      <c r="P466" s="35" t="str">
        <f aca="false">IF(OR($A466="",$C466="U",$S466&lt;&gt;Calc!$F$2),"",SUMIFS($N$3:$N$3002,$E$3:$E$3002,$E466,$C$3:$C$3002,"&lt;&gt;U",$S$3:$S$3002,Calc!$F$2))</f>
        <v/>
      </c>
      <c r="Q466" s="35" t="str">
        <f aca="false">IF(OR($A466="",$C466="U",$S466&lt;&gt;Calc!$F$2),"",IF(COUNTIFS($E$3:$E466,$E466,$C$3:$C466,"&lt;&gt;U",$S$3:$S466,Calc!$F$2)=1,1,0))</f>
        <v/>
      </c>
      <c r="R466" s="35" t="str">
        <f aca="false">IF($Q466=1,$O466-ROW()/100000,"")</f>
        <v/>
      </c>
      <c r="S466" s="37" t="str">
        <f aca="false">IF($A466="","",INT($A466))</f>
        <v/>
      </c>
      <c r="T466" s="35" t="str">
        <f aca="false">IF($A466="","",IF(COUNTIFS($S$3:$S466,$S466)=1,1,0))</f>
        <v/>
      </c>
      <c r="U466" s="37" t="str">
        <f aca="false">IF($T466=1,$S466,"")</f>
        <v/>
      </c>
    </row>
    <row r="467" customFormat="false" ht="15" hidden="false" customHeight="false" outlineLevel="0" collapsed="false">
      <c r="M467" s="35" t="str">
        <f aca="false">IF($A467="","",HOUR($A467))</f>
        <v/>
      </c>
      <c r="N467" s="36" t="str">
        <f aca="false">IF($A467="","",$I467*$K467)</f>
        <v/>
      </c>
      <c r="O467" s="35" t="str">
        <f aca="false">IF(OR($A467="",$C467="U",$S467&lt;&gt;Calc!$F$2),"",SUMIFS($I$3:$I$3002,$E$3:$E$3002,$E467,$C$3:$C$3002,"&lt;&gt;U",$S$3:$S$3002,Calc!$F$2))</f>
        <v/>
      </c>
      <c r="P467" s="35" t="str">
        <f aca="false">IF(OR($A467="",$C467="U",$S467&lt;&gt;Calc!$F$2),"",SUMIFS($N$3:$N$3002,$E$3:$E$3002,$E467,$C$3:$C$3002,"&lt;&gt;U",$S$3:$S$3002,Calc!$F$2))</f>
        <v/>
      </c>
      <c r="Q467" s="35" t="str">
        <f aca="false">IF(OR($A467="",$C467="U",$S467&lt;&gt;Calc!$F$2),"",IF(COUNTIFS($E$3:$E467,$E467,$C$3:$C467,"&lt;&gt;U",$S$3:$S467,Calc!$F$2)=1,1,0))</f>
        <v/>
      </c>
      <c r="R467" s="35" t="str">
        <f aca="false">IF($Q467=1,$O467-ROW()/100000,"")</f>
        <v/>
      </c>
      <c r="S467" s="37" t="str">
        <f aca="false">IF($A467="","",INT($A467))</f>
        <v/>
      </c>
      <c r="T467" s="35" t="str">
        <f aca="false">IF($A467="","",IF(COUNTIFS($S$3:$S467,$S467)=1,1,0))</f>
        <v/>
      </c>
      <c r="U467" s="37" t="str">
        <f aca="false">IF($T467=1,$S467,"")</f>
        <v/>
      </c>
    </row>
    <row r="468" customFormat="false" ht="15" hidden="false" customHeight="false" outlineLevel="0" collapsed="false">
      <c r="M468" s="35" t="str">
        <f aca="false">IF($A468="","",HOUR($A468))</f>
        <v/>
      </c>
      <c r="N468" s="36" t="str">
        <f aca="false">IF($A468="","",$I468*$K468)</f>
        <v/>
      </c>
      <c r="O468" s="35" t="str">
        <f aca="false">IF(OR($A468="",$C468="U",$S468&lt;&gt;Calc!$F$2),"",SUMIFS($I$3:$I$3002,$E$3:$E$3002,$E468,$C$3:$C$3002,"&lt;&gt;U",$S$3:$S$3002,Calc!$F$2))</f>
        <v/>
      </c>
      <c r="P468" s="35" t="str">
        <f aca="false">IF(OR($A468="",$C468="U",$S468&lt;&gt;Calc!$F$2),"",SUMIFS($N$3:$N$3002,$E$3:$E$3002,$E468,$C$3:$C$3002,"&lt;&gt;U",$S$3:$S$3002,Calc!$F$2))</f>
        <v/>
      </c>
      <c r="Q468" s="35" t="str">
        <f aca="false">IF(OR($A468="",$C468="U",$S468&lt;&gt;Calc!$F$2),"",IF(COUNTIFS($E$3:$E468,$E468,$C$3:$C468,"&lt;&gt;U",$S$3:$S468,Calc!$F$2)=1,1,0))</f>
        <v/>
      </c>
      <c r="R468" s="35" t="str">
        <f aca="false">IF($Q468=1,$O468-ROW()/100000,"")</f>
        <v/>
      </c>
      <c r="S468" s="37" t="str">
        <f aca="false">IF($A468="","",INT($A468))</f>
        <v/>
      </c>
      <c r="T468" s="35" t="str">
        <f aca="false">IF($A468="","",IF(COUNTIFS($S$3:$S468,$S468)=1,1,0))</f>
        <v/>
      </c>
      <c r="U468" s="37" t="str">
        <f aca="false">IF($T468=1,$S468,"")</f>
        <v/>
      </c>
    </row>
    <row r="469" customFormat="false" ht="15" hidden="false" customHeight="false" outlineLevel="0" collapsed="false">
      <c r="M469" s="35" t="str">
        <f aca="false">IF($A469="","",HOUR($A469))</f>
        <v/>
      </c>
      <c r="N469" s="36" t="str">
        <f aca="false">IF($A469="","",$I469*$K469)</f>
        <v/>
      </c>
      <c r="O469" s="35" t="str">
        <f aca="false">IF(OR($A469="",$C469="U",$S469&lt;&gt;Calc!$F$2),"",SUMIFS($I$3:$I$3002,$E$3:$E$3002,$E469,$C$3:$C$3002,"&lt;&gt;U",$S$3:$S$3002,Calc!$F$2))</f>
        <v/>
      </c>
      <c r="P469" s="35" t="str">
        <f aca="false">IF(OR($A469="",$C469="U",$S469&lt;&gt;Calc!$F$2),"",SUMIFS($N$3:$N$3002,$E$3:$E$3002,$E469,$C$3:$C$3002,"&lt;&gt;U",$S$3:$S$3002,Calc!$F$2))</f>
        <v/>
      </c>
      <c r="Q469" s="35" t="str">
        <f aca="false">IF(OR($A469="",$C469="U",$S469&lt;&gt;Calc!$F$2),"",IF(COUNTIFS($E$3:$E469,$E469,$C$3:$C469,"&lt;&gt;U",$S$3:$S469,Calc!$F$2)=1,1,0))</f>
        <v/>
      </c>
      <c r="R469" s="35" t="str">
        <f aca="false">IF($Q469=1,$O469-ROW()/100000,"")</f>
        <v/>
      </c>
      <c r="S469" s="37" t="str">
        <f aca="false">IF($A469="","",INT($A469))</f>
        <v/>
      </c>
      <c r="T469" s="35" t="str">
        <f aca="false">IF($A469="","",IF(COUNTIFS($S$3:$S469,$S469)=1,1,0))</f>
        <v/>
      </c>
      <c r="U469" s="37" t="str">
        <f aca="false">IF($T469=1,$S469,"")</f>
        <v/>
      </c>
    </row>
    <row r="470" customFormat="false" ht="15" hidden="false" customHeight="false" outlineLevel="0" collapsed="false">
      <c r="M470" s="35" t="str">
        <f aca="false">IF($A470="","",HOUR($A470))</f>
        <v/>
      </c>
      <c r="N470" s="36" t="str">
        <f aca="false">IF($A470="","",$I470*$K470)</f>
        <v/>
      </c>
      <c r="O470" s="35" t="str">
        <f aca="false">IF(OR($A470="",$C470="U",$S470&lt;&gt;Calc!$F$2),"",SUMIFS($I$3:$I$3002,$E$3:$E$3002,$E470,$C$3:$C$3002,"&lt;&gt;U",$S$3:$S$3002,Calc!$F$2))</f>
        <v/>
      </c>
      <c r="P470" s="35" t="str">
        <f aca="false">IF(OR($A470="",$C470="U",$S470&lt;&gt;Calc!$F$2),"",SUMIFS($N$3:$N$3002,$E$3:$E$3002,$E470,$C$3:$C$3002,"&lt;&gt;U",$S$3:$S$3002,Calc!$F$2))</f>
        <v/>
      </c>
      <c r="Q470" s="35" t="str">
        <f aca="false">IF(OR($A470="",$C470="U",$S470&lt;&gt;Calc!$F$2),"",IF(COUNTIFS($E$3:$E470,$E470,$C$3:$C470,"&lt;&gt;U",$S$3:$S470,Calc!$F$2)=1,1,0))</f>
        <v/>
      </c>
      <c r="R470" s="35" t="str">
        <f aca="false">IF($Q470=1,$O470-ROW()/100000,"")</f>
        <v/>
      </c>
      <c r="S470" s="37" t="str">
        <f aca="false">IF($A470="","",INT($A470))</f>
        <v/>
      </c>
      <c r="T470" s="35" t="str">
        <f aca="false">IF($A470="","",IF(COUNTIFS($S$3:$S470,$S470)=1,1,0))</f>
        <v/>
      </c>
      <c r="U470" s="37" t="str">
        <f aca="false">IF($T470=1,$S470,"")</f>
        <v/>
      </c>
    </row>
    <row r="471" customFormat="false" ht="15" hidden="false" customHeight="false" outlineLevel="0" collapsed="false">
      <c r="M471" s="35" t="str">
        <f aca="false">IF($A471="","",HOUR($A471))</f>
        <v/>
      </c>
      <c r="N471" s="36" t="str">
        <f aca="false">IF($A471="","",$I471*$K471)</f>
        <v/>
      </c>
      <c r="O471" s="35" t="str">
        <f aca="false">IF(OR($A471="",$C471="U",$S471&lt;&gt;Calc!$F$2),"",SUMIFS($I$3:$I$3002,$E$3:$E$3002,$E471,$C$3:$C$3002,"&lt;&gt;U",$S$3:$S$3002,Calc!$F$2))</f>
        <v/>
      </c>
      <c r="P471" s="35" t="str">
        <f aca="false">IF(OR($A471="",$C471="U",$S471&lt;&gt;Calc!$F$2),"",SUMIFS($N$3:$N$3002,$E$3:$E$3002,$E471,$C$3:$C$3002,"&lt;&gt;U",$S$3:$S$3002,Calc!$F$2))</f>
        <v/>
      </c>
      <c r="Q471" s="35" t="str">
        <f aca="false">IF(OR($A471="",$C471="U",$S471&lt;&gt;Calc!$F$2),"",IF(COUNTIFS($E$3:$E471,$E471,$C$3:$C471,"&lt;&gt;U",$S$3:$S471,Calc!$F$2)=1,1,0))</f>
        <v/>
      </c>
      <c r="R471" s="35" t="str">
        <f aca="false">IF($Q471=1,$O471-ROW()/100000,"")</f>
        <v/>
      </c>
      <c r="S471" s="37" t="str">
        <f aca="false">IF($A471="","",INT($A471))</f>
        <v/>
      </c>
      <c r="T471" s="35" t="str">
        <f aca="false">IF($A471="","",IF(COUNTIFS($S$3:$S471,$S471)=1,1,0))</f>
        <v/>
      </c>
      <c r="U471" s="37" t="str">
        <f aca="false">IF($T471=1,$S471,"")</f>
        <v/>
      </c>
    </row>
    <row r="472" customFormat="false" ht="15" hidden="false" customHeight="false" outlineLevel="0" collapsed="false">
      <c r="M472" s="35" t="str">
        <f aca="false">IF($A472="","",HOUR($A472))</f>
        <v/>
      </c>
      <c r="N472" s="36" t="str">
        <f aca="false">IF($A472="","",$I472*$K472)</f>
        <v/>
      </c>
      <c r="O472" s="35" t="str">
        <f aca="false">IF(OR($A472="",$C472="U",$S472&lt;&gt;Calc!$F$2),"",SUMIFS($I$3:$I$3002,$E$3:$E$3002,$E472,$C$3:$C$3002,"&lt;&gt;U",$S$3:$S$3002,Calc!$F$2))</f>
        <v/>
      </c>
      <c r="P472" s="35" t="str">
        <f aca="false">IF(OR($A472="",$C472="U",$S472&lt;&gt;Calc!$F$2),"",SUMIFS($N$3:$N$3002,$E$3:$E$3002,$E472,$C$3:$C$3002,"&lt;&gt;U",$S$3:$S$3002,Calc!$F$2))</f>
        <v/>
      </c>
      <c r="Q472" s="35" t="str">
        <f aca="false">IF(OR($A472="",$C472="U",$S472&lt;&gt;Calc!$F$2),"",IF(COUNTIFS($E$3:$E472,$E472,$C$3:$C472,"&lt;&gt;U",$S$3:$S472,Calc!$F$2)=1,1,0))</f>
        <v/>
      </c>
      <c r="R472" s="35" t="str">
        <f aca="false">IF($Q472=1,$O472-ROW()/100000,"")</f>
        <v/>
      </c>
      <c r="S472" s="37" t="str">
        <f aca="false">IF($A472="","",INT($A472))</f>
        <v/>
      </c>
      <c r="T472" s="35" t="str">
        <f aca="false">IF($A472="","",IF(COUNTIFS($S$3:$S472,$S472)=1,1,0))</f>
        <v/>
      </c>
      <c r="U472" s="37" t="str">
        <f aca="false">IF($T472=1,$S472,"")</f>
        <v/>
      </c>
    </row>
    <row r="473" customFormat="false" ht="15" hidden="false" customHeight="false" outlineLevel="0" collapsed="false">
      <c r="M473" s="35" t="str">
        <f aca="false">IF($A473="","",HOUR($A473))</f>
        <v/>
      </c>
      <c r="N473" s="36" t="str">
        <f aca="false">IF($A473="","",$I473*$K473)</f>
        <v/>
      </c>
      <c r="O473" s="35" t="str">
        <f aca="false">IF(OR($A473="",$C473="U",$S473&lt;&gt;Calc!$F$2),"",SUMIFS($I$3:$I$3002,$E$3:$E$3002,$E473,$C$3:$C$3002,"&lt;&gt;U",$S$3:$S$3002,Calc!$F$2))</f>
        <v/>
      </c>
      <c r="P473" s="35" t="str">
        <f aca="false">IF(OR($A473="",$C473="U",$S473&lt;&gt;Calc!$F$2),"",SUMIFS($N$3:$N$3002,$E$3:$E$3002,$E473,$C$3:$C$3002,"&lt;&gt;U",$S$3:$S$3002,Calc!$F$2))</f>
        <v/>
      </c>
      <c r="Q473" s="35" t="str">
        <f aca="false">IF(OR($A473="",$C473="U",$S473&lt;&gt;Calc!$F$2),"",IF(COUNTIFS($E$3:$E473,$E473,$C$3:$C473,"&lt;&gt;U",$S$3:$S473,Calc!$F$2)=1,1,0))</f>
        <v/>
      </c>
      <c r="R473" s="35" t="str">
        <f aca="false">IF($Q473=1,$O473-ROW()/100000,"")</f>
        <v/>
      </c>
      <c r="S473" s="37" t="str">
        <f aca="false">IF($A473="","",INT($A473))</f>
        <v/>
      </c>
      <c r="T473" s="35" t="str">
        <f aca="false">IF($A473="","",IF(COUNTIFS($S$3:$S473,$S473)=1,1,0))</f>
        <v/>
      </c>
      <c r="U473" s="37" t="str">
        <f aca="false">IF($T473=1,$S473,"")</f>
        <v/>
      </c>
    </row>
    <row r="474" customFormat="false" ht="15" hidden="false" customHeight="false" outlineLevel="0" collapsed="false">
      <c r="M474" s="35" t="str">
        <f aca="false">IF($A474="","",HOUR($A474))</f>
        <v/>
      </c>
      <c r="N474" s="36" t="str">
        <f aca="false">IF($A474="","",$I474*$K474)</f>
        <v/>
      </c>
      <c r="O474" s="35" t="str">
        <f aca="false">IF(OR($A474="",$C474="U",$S474&lt;&gt;Calc!$F$2),"",SUMIFS($I$3:$I$3002,$E$3:$E$3002,$E474,$C$3:$C$3002,"&lt;&gt;U",$S$3:$S$3002,Calc!$F$2))</f>
        <v/>
      </c>
      <c r="P474" s="35" t="str">
        <f aca="false">IF(OR($A474="",$C474="U",$S474&lt;&gt;Calc!$F$2),"",SUMIFS($N$3:$N$3002,$E$3:$E$3002,$E474,$C$3:$C$3002,"&lt;&gt;U",$S$3:$S$3002,Calc!$F$2))</f>
        <v/>
      </c>
      <c r="Q474" s="35" t="str">
        <f aca="false">IF(OR($A474="",$C474="U",$S474&lt;&gt;Calc!$F$2),"",IF(COUNTIFS($E$3:$E474,$E474,$C$3:$C474,"&lt;&gt;U",$S$3:$S474,Calc!$F$2)=1,1,0))</f>
        <v/>
      </c>
      <c r="R474" s="35" t="str">
        <f aca="false">IF($Q474=1,$O474-ROW()/100000,"")</f>
        <v/>
      </c>
      <c r="S474" s="37" t="str">
        <f aca="false">IF($A474="","",INT($A474))</f>
        <v/>
      </c>
      <c r="T474" s="35" t="str">
        <f aca="false">IF($A474="","",IF(COUNTIFS($S$3:$S474,$S474)=1,1,0))</f>
        <v/>
      </c>
      <c r="U474" s="37" t="str">
        <f aca="false">IF($T474=1,$S474,"")</f>
        <v/>
      </c>
    </row>
    <row r="475" customFormat="false" ht="15" hidden="false" customHeight="false" outlineLevel="0" collapsed="false">
      <c r="M475" s="35" t="str">
        <f aca="false">IF($A475="","",HOUR($A475))</f>
        <v/>
      </c>
      <c r="N475" s="36" t="str">
        <f aca="false">IF($A475="","",$I475*$K475)</f>
        <v/>
      </c>
      <c r="O475" s="35" t="str">
        <f aca="false">IF(OR($A475="",$C475="U",$S475&lt;&gt;Calc!$F$2),"",SUMIFS($I$3:$I$3002,$E$3:$E$3002,$E475,$C$3:$C$3002,"&lt;&gt;U",$S$3:$S$3002,Calc!$F$2))</f>
        <v/>
      </c>
      <c r="P475" s="35" t="str">
        <f aca="false">IF(OR($A475="",$C475="U",$S475&lt;&gt;Calc!$F$2),"",SUMIFS($N$3:$N$3002,$E$3:$E$3002,$E475,$C$3:$C$3002,"&lt;&gt;U",$S$3:$S$3002,Calc!$F$2))</f>
        <v/>
      </c>
      <c r="Q475" s="35" t="str">
        <f aca="false">IF(OR($A475="",$C475="U",$S475&lt;&gt;Calc!$F$2),"",IF(COUNTIFS($E$3:$E475,$E475,$C$3:$C475,"&lt;&gt;U",$S$3:$S475,Calc!$F$2)=1,1,0))</f>
        <v/>
      </c>
      <c r="R475" s="35" t="str">
        <f aca="false">IF($Q475=1,$O475-ROW()/100000,"")</f>
        <v/>
      </c>
      <c r="S475" s="37" t="str">
        <f aca="false">IF($A475="","",INT($A475))</f>
        <v/>
      </c>
      <c r="T475" s="35" t="str">
        <f aca="false">IF($A475="","",IF(COUNTIFS($S$3:$S475,$S475)=1,1,0))</f>
        <v/>
      </c>
      <c r="U475" s="37" t="str">
        <f aca="false">IF($T475=1,$S475,"")</f>
        <v/>
      </c>
    </row>
    <row r="476" customFormat="false" ht="15" hidden="false" customHeight="false" outlineLevel="0" collapsed="false">
      <c r="M476" s="35" t="str">
        <f aca="false">IF($A476="","",HOUR($A476))</f>
        <v/>
      </c>
      <c r="N476" s="36" t="str">
        <f aca="false">IF($A476="","",$I476*$K476)</f>
        <v/>
      </c>
      <c r="O476" s="35" t="str">
        <f aca="false">IF(OR($A476="",$C476="U",$S476&lt;&gt;Calc!$F$2),"",SUMIFS($I$3:$I$3002,$E$3:$E$3002,$E476,$C$3:$C$3002,"&lt;&gt;U",$S$3:$S$3002,Calc!$F$2))</f>
        <v/>
      </c>
      <c r="P476" s="35" t="str">
        <f aca="false">IF(OR($A476="",$C476="U",$S476&lt;&gt;Calc!$F$2),"",SUMIFS($N$3:$N$3002,$E$3:$E$3002,$E476,$C$3:$C$3002,"&lt;&gt;U",$S$3:$S$3002,Calc!$F$2))</f>
        <v/>
      </c>
      <c r="Q476" s="35" t="str">
        <f aca="false">IF(OR($A476="",$C476="U",$S476&lt;&gt;Calc!$F$2),"",IF(COUNTIFS($E$3:$E476,$E476,$C$3:$C476,"&lt;&gt;U",$S$3:$S476,Calc!$F$2)=1,1,0))</f>
        <v/>
      </c>
      <c r="R476" s="35" t="str">
        <f aca="false">IF($Q476=1,$O476-ROW()/100000,"")</f>
        <v/>
      </c>
      <c r="S476" s="37" t="str">
        <f aca="false">IF($A476="","",INT($A476))</f>
        <v/>
      </c>
      <c r="T476" s="35" t="str">
        <f aca="false">IF($A476="","",IF(COUNTIFS($S$3:$S476,$S476)=1,1,0))</f>
        <v/>
      </c>
      <c r="U476" s="37" t="str">
        <f aca="false">IF($T476=1,$S476,"")</f>
        <v/>
      </c>
    </row>
    <row r="477" customFormat="false" ht="15" hidden="false" customHeight="false" outlineLevel="0" collapsed="false">
      <c r="M477" s="35" t="str">
        <f aca="false">IF($A477="","",HOUR($A477))</f>
        <v/>
      </c>
      <c r="N477" s="36" t="str">
        <f aca="false">IF($A477="","",$I477*$K477)</f>
        <v/>
      </c>
      <c r="O477" s="35" t="str">
        <f aca="false">IF(OR($A477="",$C477="U",$S477&lt;&gt;Calc!$F$2),"",SUMIFS($I$3:$I$3002,$E$3:$E$3002,$E477,$C$3:$C$3002,"&lt;&gt;U",$S$3:$S$3002,Calc!$F$2))</f>
        <v/>
      </c>
      <c r="P477" s="35" t="str">
        <f aca="false">IF(OR($A477="",$C477="U",$S477&lt;&gt;Calc!$F$2),"",SUMIFS($N$3:$N$3002,$E$3:$E$3002,$E477,$C$3:$C$3002,"&lt;&gt;U",$S$3:$S$3002,Calc!$F$2))</f>
        <v/>
      </c>
      <c r="Q477" s="35" t="str">
        <f aca="false">IF(OR($A477="",$C477="U",$S477&lt;&gt;Calc!$F$2),"",IF(COUNTIFS($E$3:$E477,$E477,$C$3:$C477,"&lt;&gt;U",$S$3:$S477,Calc!$F$2)=1,1,0))</f>
        <v/>
      </c>
      <c r="R477" s="35" t="str">
        <f aca="false">IF($Q477=1,$O477-ROW()/100000,"")</f>
        <v/>
      </c>
      <c r="S477" s="37" t="str">
        <f aca="false">IF($A477="","",INT($A477))</f>
        <v/>
      </c>
      <c r="T477" s="35" t="str">
        <f aca="false">IF($A477="","",IF(COUNTIFS($S$3:$S477,$S477)=1,1,0))</f>
        <v/>
      </c>
      <c r="U477" s="37" t="str">
        <f aca="false">IF($T477=1,$S477,"")</f>
        <v/>
      </c>
    </row>
    <row r="478" customFormat="false" ht="15" hidden="false" customHeight="false" outlineLevel="0" collapsed="false">
      <c r="M478" s="35" t="str">
        <f aca="false">IF($A478="","",HOUR($A478))</f>
        <v/>
      </c>
      <c r="N478" s="36" t="str">
        <f aca="false">IF($A478="","",$I478*$K478)</f>
        <v/>
      </c>
      <c r="O478" s="35" t="str">
        <f aca="false">IF(OR($A478="",$C478="U",$S478&lt;&gt;Calc!$F$2),"",SUMIFS($I$3:$I$3002,$E$3:$E$3002,$E478,$C$3:$C$3002,"&lt;&gt;U",$S$3:$S$3002,Calc!$F$2))</f>
        <v/>
      </c>
      <c r="P478" s="35" t="str">
        <f aca="false">IF(OR($A478="",$C478="U",$S478&lt;&gt;Calc!$F$2),"",SUMIFS($N$3:$N$3002,$E$3:$E$3002,$E478,$C$3:$C$3002,"&lt;&gt;U",$S$3:$S$3002,Calc!$F$2))</f>
        <v/>
      </c>
      <c r="Q478" s="35" t="str">
        <f aca="false">IF(OR($A478="",$C478="U",$S478&lt;&gt;Calc!$F$2),"",IF(COUNTIFS($E$3:$E478,$E478,$C$3:$C478,"&lt;&gt;U",$S$3:$S478,Calc!$F$2)=1,1,0))</f>
        <v/>
      </c>
      <c r="R478" s="35" t="str">
        <f aca="false">IF($Q478=1,$O478-ROW()/100000,"")</f>
        <v/>
      </c>
      <c r="S478" s="37" t="str">
        <f aca="false">IF($A478="","",INT($A478))</f>
        <v/>
      </c>
      <c r="T478" s="35" t="str">
        <f aca="false">IF($A478="","",IF(COUNTIFS($S$3:$S478,$S478)=1,1,0))</f>
        <v/>
      </c>
      <c r="U478" s="37" t="str">
        <f aca="false">IF($T478=1,$S478,"")</f>
        <v/>
      </c>
    </row>
    <row r="479" customFormat="false" ht="15" hidden="false" customHeight="false" outlineLevel="0" collapsed="false">
      <c r="M479" s="35" t="str">
        <f aca="false">IF($A479="","",HOUR($A479))</f>
        <v/>
      </c>
      <c r="N479" s="36" t="str">
        <f aca="false">IF($A479="","",$I479*$K479)</f>
        <v/>
      </c>
      <c r="O479" s="35" t="str">
        <f aca="false">IF(OR($A479="",$C479="U",$S479&lt;&gt;Calc!$F$2),"",SUMIFS($I$3:$I$3002,$E$3:$E$3002,$E479,$C$3:$C$3002,"&lt;&gt;U",$S$3:$S$3002,Calc!$F$2))</f>
        <v/>
      </c>
      <c r="P479" s="35" t="str">
        <f aca="false">IF(OR($A479="",$C479="U",$S479&lt;&gt;Calc!$F$2),"",SUMIFS($N$3:$N$3002,$E$3:$E$3002,$E479,$C$3:$C$3002,"&lt;&gt;U",$S$3:$S$3002,Calc!$F$2))</f>
        <v/>
      </c>
      <c r="Q479" s="35" t="str">
        <f aca="false">IF(OR($A479="",$C479="U",$S479&lt;&gt;Calc!$F$2),"",IF(COUNTIFS($E$3:$E479,$E479,$C$3:$C479,"&lt;&gt;U",$S$3:$S479,Calc!$F$2)=1,1,0))</f>
        <v/>
      </c>
      <c r="R479" s="35" t="str">
        <f aca="false">IF($Q479=1,$O479-ROW()/100000,"")</f>
        <v/>
      </c>
      <c r="S479" s="37" t="str">
        <f aca="false">IF($A479="","",INT($A479))</f>
        <v/>
      </c>
      <c r="T479" s="35" t="str">
        <f aca="false">IF($A479="","",IF(COUNTIFS($S$3:$S479,$S479)=1,1,0))</f>
        <v/>
      </c>
      <c r="U479" s="37" t="str">
        <f aca="false">IF($T479=1,$S479,"")</f>
        <v/>
      </c>
    </row>
    <row r="480" customFormat="false" ht="15" hidden="false" customHeight="false" outlineLevel="0" collapsed="false">
      <c r="M480" s="35" t="str">
        <f aca="false">IF($A480="","",HOUR($A480))</f>
        <v/>
      </c>
      <c r="N480" s="36" t="str">
        <f aca="false">IF($A480="","",$I480*$K480)</f>
        <v/>
      </c>
      <c r="O480" s="35" t="str">
        <f aca="false">IF(OR($A480="",$C480="U",$S480&lt;&gt;Calc!$F$2),"",SUMIFS($I$3:$I$3002,$E$3:$E$3002,$E480,$C$3:$C$3002,"&lt;&gt;U",$S$3:$S$3002,Calc!$F$2))</f>
        <v/>
      </c>
      <c r="P480" s="35" t="str">
        <f aca="false">IF(OR($A480="",$C480="U",$S480&lt;&gt;Calc!$F$2),"",SUMIFS($N$3:$N$3002,$E$3:$E$3002,$E480,$C$3:$C$3002,"&lt;&gt;U",$S$3:$S$3002,Calc!$F$2))</f>
        <v/>
      </c>
      <c r="Q480" s="35" t="str">
        <f aca="false">IF(OR($A480="",$C480="U",$S480&lt;&gt;Calc!$F$2),"",IF(COUNTIFS($E$3:$E480,$E480,$C$3:$C480,"&lt;&gt;U",$S$3:$S480,Calc!$F$2)=1,1,0))</f>
        <v/>
      </c>
      <c r="R480" s="35" t="str">
        <f aca="false">IF($Q480=1,$O480-ROW()/100000,"")</f>
        <v/>
      </c>
      <c r="S480" s="37" t="str">
        <f aca="false">IF($A480="","",INT($A480))</f>
        <v/>
      </c>
      <c r="T480" s="35" t="str">
        <f aca="false">IF($A480="","",IF(COUNTIFS($S$3:$S480,$S480)=1,1,0))</f>
        <v/>
      </c>
      <c r="U480" s="37" t="str">
        <f aca="false">IF($T480=1,$S480,"")</f>
        <v/>
      </c>
    </row>
    <row r="481" customFormat="false" ht="15" hidden="false" customHeight="false" outlineLevel="0" collapsed="false">
      <c r="M481" s="35" t="str">
        <f aca="false">IF($A481="","",HOUR($A481))</f>
        <v/>
      </c>
      <c r="N481" s="36" t="str">
        <f aca="false">IF($A481="","",$I481*$K481)</f>
        <v/>
      </c>
      <c r="O481" s="35" t="str">
        <f aca="false">IF(OR($A481="",$C481="U",$S481&lt;&gt;Calc!$F$2),"",SUMIFS($I$3:$I$3002,$E$3:$E$3002,$E481,$C$3:$C$3002,"&lt;&gt;U",$S$3:$S$3002,Calc!$F$2))</f>
        <v/>
      </c>
      <c r="P481" s="35" t="str">
        <f aca="false">IF(OR($A481="",$C481="U",$S481&lt;&gt;Calc!$F$2),"",SUMIFS($N$3:$N$3002,$E$3:$E$3002,$E481,$C$3:$C$3002,"&lt;&gt;U",$S$3:$S$3002,Calc!$F$2))</f>
        <v/>
      </c>
      <c r="Q481" s="35" t="str">
        <f aca="false">IF(OR($A481="",$C481="U",$S481&lt;&gt;Calc!$F$2),"",IF(COUNTIFS($E$3:$E481,$E481,$C$3:$C481,"&lt;&gt;U",$S$3:$S481,Calc!$F$2)=1,1,0))</f>
        <v/>
      </c>
      <c r="R481" s="35" t="str">
        <f aca="false">IF($Q481=1,$O481-ROW()/100000,"")</f>
        <v/>
      </c>
      <c r="S481" s="37" t="str">
        <f aca="false">IF($A481="","",INT($A481))</f>
        <v/>
      </c>
      <c r="T481" s="35" t="str">
        <f aca="false">IF($A481="","",IF(COUNTIFS($S$3:$S481,$S481)=1,1,0))</f>
        <v/>
      </c>
      <c r="U481" s="37" t="str">
        <f aca="false">IF($T481=1,$S481,"")</f>
        <v/>
      </c>
    </row>
    <row r="482" customFormat="false" ht="15" hidden="false" customHeight="false" outlineLevel="0" collapsed="false">
      <c r="M482" s="35" t="str">
        <f aca="false">IF($A482="","",HOUR($A482))</f>
        <v/>
      </c>
      <c r="N482" s="36" t="str">
        <f aca="false">IF($A482="","",$I482*$K482)</f>
        <v/>
      </c>
      <c r="O482" s="35" t="str">
        <f aca="false">IF(OR($A482="",$C482="U",$S482&lt;&gt;Calc!$F$2),"",SUMIFS($I$3:$I$3002,$E$3:$E$3002,$E482,$C$3:$C$3002,"&lt;&gt;U",$S$3:$S$3002,Calc!$F$2))</f>
        <v/>
      </c>
      <c r="P482" s="35" t="str">
        <f aca="false">IF(OR($A482="",$C482="U",$S482&lt;&gt;Calc!$F$2),"",SUMIFS($N$3:$N$3002,$E$3:$E$3002,$E482,$C$3:$C$3002,"&lt;&gt;U",$S$3:$S$3002,Calc!$F$2))</f>
        <v/>
      </c>
      <c r="Q482" s="35" t="str">
        <f aca="false">IF(OR($A482="",$C482="U",$S482&lt;&gt;Calc!$F$2),"",IF(COUNTIFS($E$3:$E482,$E482,$C$3:$C482,"&lt;&gt;U",$S$3:$S482,Calc!$F$2)=1,1,0))</f>
        <v/>
      </c>
      <c r="R482" s="35" t="str">
        <f aca="false">IF($Q482=1,$O482-ROW()/100000,"")</f>
        <v/>
      </c>
      <c r="S482" s="37" t="str">
        <f aca="false">IF($A482="","",INT($A482))</f>
        <v/>
      </c>
      <c r="T482" s="35" t="str">
        <f aca="false">IF($A482="","",IF(COUNTIFS($S$3:$S482,$S482)=1,1,0))</f>
        <v/>
      </c>
      <c r="U482" s="37" t="str">
        <f aca="false">IF($T482=1,$S482,"")</f>
        <v/>
      </c>
    </row>
    <row r="483" customFormat="false" ht="15" hidden="false" customHeight="false" outlineLevel="0" collapsed="false">
      <c r="M483" s="35" t="str">
        <f aca="false">IF($A483="","",HOUR($A483))</f>
        <v/>
      </c>
      <c r="N483" s="36" t="str">
        <f aca="false">IF($A483="","",$I483*$K483)</f>
        <v/>
      </c>
      <c r="O483" s="35" t="str">
        <f aca="false">IF(OR($A483="",$C483="U",$S483&lt;&gt;Calc!$F$2),"",SUMIFS($I$3:$I$3002,$E$3:$E$3002,$E483,$C$3:$C$3002,"&lt;&gt;U",$S$3:$S$3002,Calc!$F$2))</f>
        <v/>
      </c>
      <c r="P483" s="35" t="str">
        <f aca="false">IF(OR($A483="",$C483="U",$S483&lt;&gt;Calc!$F$2),"",SUMIFS($N$3:$N$3002,$E$3:$E$3002,$E483,$C$3:$C$3002,"&lt;&gt;U",$S$3:$S$3002,Calc!$F$2))</f>
        <v/>
      </c>
      <c r="Q483" s="35" t="str">
        <f aca="false">IF(OR($A483="",$C483="U",$S483&lt;&gt;Calc!$F$2),"",IF(COUNTIFS($E$3:$E483,$E483,$C$3:$C483,"&lt;&gt;U",$S$3:$S483,Calc!$F$2)=1,1,0))</f>
        <v/>
      </c>
      <c r="R483" s="35" t="str">
        <f aca="false">IF($Q483=1,$O483-ROW()/100000,"")</f>
        <v/>
      </c>
      <c r="S483" s="37" t="str">
        <f aca="false">IF($A483="","",INT($A483))</f>
        <v/>
      </c>
      <c r="T483" s="35" t="str">
        <f aca="false">IF($A483="","",IF(COUNTIFS($S$3:$S483,$S483)=1,1,0))</f>
        <v/>
      </c>
      <c r="U483" s="37" t="str">
        <f aca="false">IF($T483=1,$S483,"")</f>
        <v/>
      </c>
    </row>
    <row r="484" customFormat="false" ht="15" hidden="false" customHeight="false" outlineLevel="0" collapsed="false">
      <c r="M484" s="35" t="str">
        <f aca="false">IF($A484="","",HOUR($A484))</f>
        <v/>
      </c>
      <c r="N484" s="36" t="str">
        <f aca="false">IF($A484="","",$I484*$K484)</f>
        <v/>
      </c>
      <c r="O484" s="35" t="str">
        <f aca="false">IF(OR($A484="",$C484="U",$S484&lt;&gt;Calc!$F$2),"",SUMIFS($I$3:$I$3002,$E$3:$E$3002,$E484,$C$3:$C$3002,"&lt;&gt;U",$S$3:$S$3002,Calc!$F$2))</f>
        <v/>
      </c>
      <c r="P484" s="35" t="str">
        <f aca="false">IF(OR($A484="",$C484="U",$S484&lt;&gt;Calc!$F$2),"",SUMIFS($N$3:$N$3002,$E$3:$E$3002,$E484,$C$3:$C$3002,"&lt;&gt;U",$S$3:$S$3002,Calc!$F$2))</f>
        <v/>
      </c>
      <c r="Q484" s="35" t="str">
        <f aca="false">IF(OR($A484="",$C484="U",$S484&lt;&gt;Calc!$F$2),"",IF(COUNTIFS($E$3:$E484,$E484,$C$3:$C484,"&lt;&gt;U",$S$3:$S484,Calc!$F$2)=1,1,0))</f>
        <v/>
      </c>
      <c r="R484" s="35" t="str">
        <f aca="false">IF($Q484=1,$O484-ROW()/100000,"")</f>
        <v/>
      </c>
      <c r="S484" s="37" t="str">
        <f aca="false">IF($A484="","",INT($A484))</f>
        <v/>
      </c>
      <c r="T484" s="35" t="str">
        <f aca="false">IF($A484="","",IF(COUNTIFS($S$3:$S484,$S484)=1,1,0))</f>
        <v/>
      </c>
      <c r="U484" s="37" t="str">
        <f aca="false">IF($T484=1,$S484,"")</f>
        <v/>
      </c>
    </row>
    <row r="485" customFormat="false" ht="15" hidden="false" customHeight="false" outlineLevel="0" collapsed="false">
      <c r="M485" s="35" t="str">
        <f aca="false">IF($A485="","",HOUR($A485))</f>
        <v/>
      </c>
      <c r="N485" s="36" t="str">
        <f aca="false">IF($A485="","",$I485*$K485)</f>
        <v/>
      </c>
      <c r="O485" s="35" t="str">
        <f aca="false">IF(OR($A485="",$C485="U",$S485&lt;&gt;Calc!$F$2),"",SUMIFS($I$3:$I$3002,$E$3:$E$3002,$E485,$C$3:$C$3002,"&lt;&gt;U",$S$3:$S$3002,Calc!$F$2))</f>
        <v/>
      </c>
      <c r="P485" s="35" t="str">
        <f aca="false">IF(OR($A485="",$C485="U",$S485&lt;&gt;Calc!$F$2),"",SUMIFS($N$3:$N$3002,$E$3:$E$3002,$E485,$C$3:$C$3002,"&lt;&gt;U",$S$3:$S$3002,Calc!$F$2))</f>
        <v/>
      </c>
      <c r="Q485" s="35" t="str">
        <f aca="false">IF(OR($A485="",$C485="U",$S485&lt;&gt;Calc!$F$2),"",IF(COUNTIFS($E$3:$E485,$E485,$C$3:$C485,"&lt;&gt;U",$S$3:$S485,Calc!$F$2)=1,1,0))</f>
        <v/>
      </c>
      <c r="R485" s="35" t="str">
        <f aca="false">IF($Q485=1,$O485-ROW()/100000,"")</f>
        <v/>
      </c>
      <c r="S485" s="37" t="str">
        <f aca="false">IF($A485="","",INT($A485))</f>
        <v/>
      </c>
      <c r="T485" s="35" t="str">
        <f aca="false">IF($A485="","",IF(COUNTIFS($S$3:$S485,$S485)=1,1,0))</f>
        <v/>
      </c>
      <c r="U485" s="37" t="str">
        <f aca="false">IF($T485=1,$S485,"")</f>
        <v/>
      </c>
    </row>
    <row r="486" customFormat="false" ht="15" hidden="false" customHeight="false" outlineLevel="0" collapsed="false">
      <c r="M486" s="35" t="str">
        <f aca="false">IF($A486="","",HOUR($A486))</f>
        <v/>
      </c>
      <c r="N486" s="36" t="str">
        <f aca="false">IF($A486="","",$I486*$K486)</f>
        <v/>
      </c>
      <c r="O486" s="35" t="str">
        <f aca="false">IF(OR($A486="",$C486="U",$S486&lt;&gt;Calc!$F$2),"",SUMIFS($I$3:$I$3002,$E$3:$E$3002,$E486,$C$3:$C$3002,"&lt;&gt;U",$S$3:$S$3002,Calc!$F$2))</f>
        <v/>
      </c>
      <c r="P486" s="35" t="str">
        <f aca="false">IF(OR($A486="",$C486="U",$S486&lt;&gt;Calc!$F$2),"",SUMIFS($N$3:$N$3002,$E$3:$E$3002,$E486,$C$3:$C$3002,"&lt;&gt;U",$S$3:$S$3002,Calc!$F$2))</f>
        <v/>
      </c>
      <c r="Q486" s="35" t="str">
        <f aca="false">IF(OR($A486="",$C486="U",$S486&lt;&gt;Calc!$F$2),"",IF(COUNTIFS($E$3:$E486,$E486,$C$3:$C486,"&lt;&gt;U",$S$3:$S486,Calc!$F$2)=1,1,0))</f>
        <v/>
      </c>
      <c r="R486" s="35" t="str">
        <f aca="false">IF($Q486=1,$O486-ROW()/100000,"")</f>
        <v/>
      </c>
      <c r="S486" s="37" t="str">
        <f aca="false">IF($A486="","",INT($A486))</f>
        <v/>
      </c>
      <c r="T486" s="35" t="str">
        <f aca="false">IF($A486="","",IF(COUNTIFS($S$3:$S486,$S486)=1,1,0))</f>
        <v/>
      </c>
      <c r="U486" s="37" t="str">
        <f aca="false">IF($T486=1,$S486,"")</f>
        <v/>
      </c>
    </row>
    <row r="487" customFormat="false" ht="15" hidden="false" customHeight="false" outlineLevel="0" collapsed="false">
      <c r="M487" s="35" t="str">
        <f aca="false">IF($A487="","",HOUR($A487))</f>
        <v/>
      </c>
      <c r="N487" s="36" t="str">
        <f aca="false">IF($A487="","",$I487*$K487)</f>
        <v/>
      </c>
      <c r="O487" s="35" t="str">
        <f aca="false">IF(OR($A487="",$C487="U",$S487&lt;&gt;Calc!$F$2),"",SUMIFS($I$3:$I$3002,$E$3:$E$3002,$E487,$C$3:$C$3002,"&lt;&gt;U",$S$3:$S$3002,Calc!$F$2))</f>
        <v/>
      </c>
      <c r="P487" s="35" t="str">
        <f aca="false">IF(OR($A487="",$C487="U",$S487&lt;&gt;Calc!$F$2),"",SUMIFS($N$3:$N$3002,$E$3:$E$3002,$E487,$C$3:$C$3002,"&lt;&gt;U",$S$3:$S$3002,Calc!$F$2))</f>
        <v/>
      </c>
      <c r="Q487" s="35" t="str">
        <f aca="false">IF(OR($A487="",$C487="U",$S487&lt;&gt;Calc!$F$2),"",IF(COUNTIFS($E$3:$E487,$E487,$C$3:$C487,"&lt;&gt;U",$S$3:$S487,Calc!$F$2)=1,1,0))</f>
        <v/>
      </c>
      <c r="R487" s="35" t="str">
        <f aca="false">IF($Q487=1,$O487-ROW()/100000,"")</f>
        <v/>
      </c>
      <c r="S487" s="37" t="str">
        <f aca="false">IF($A487="","",INT($A487))</f>
        <v/>
      </c>
      <c r="T487" s="35" t="str">
        <f aca="false">IF($A487="","",IF(COUNTIFS($S$3:$S487,$S487)=1,1,0))</f>
        <v/>
      </c>
      <c r="U487" s="37" t="str">
        <f aca="false">IF($T487=1,$S487,"")</f>
        <v/>
      </c>
    </row>
    <row r="488" customFormat="false" ht="15" hidden="false" customHeight="false" outlineLevel="0" collapsed="false">
      <c r="M488" s="35" t="str">
        <f aca="false">IF($A488="","",HOUR($A488))</f>
        <v/>
      </c>
      <c r="N488" s="36" t="str">
        <f aca="false">IF($A488="","",$I488*$K488)</f>
        <v/>
      </c>
      <c r="O488" s="35" t="str">
        <f aca="false">IF(OR($A488="",$C488="U",$S488&lt;&gt;Calc!$F$2),"",SUMIFS($I$3:$I$3002,$E$3:$E$3002,$E488,$C$3:$C$3002,"&lt;&gt;U",$S$3:$S$3002,Calc!$F$2))</f>
        <v/>
      </c>
      <c r="P488" s="35" t="str">
        <f aca="false">IF(OR($A488="",$C488="U",$S488&lt;&gt;Calc!$F$2),"",SUMIFS($N$3:$N$3002,$E$3:$E$3002,$E488,$C$3:$C$3002,"&lt;&gt;U",$S$3:$S$3002,Calc!$F$2))</f>
        <v/>
      </c>
      <c r="Q488" s="35" t="str">
        <f aca="false">IF(OR($A488="",$C488="U",$S488&lt;&gt;Calc!$F$2),"",IF(COUNTIFS($E$3:$E488,$E488,$C$3:$C488,"&lt;&gt;U",$S$3:$S488,Calc!$F$2)=1,1,0))</f>
        <v/>
      </c>
      <c r="R488" s="35" t="str">
        <f aca="false">IF($Q488=1,$O488-ROW()/100000,"")</f>
        <v/>
      </c>
      <c r="S488" s="37" t="str">
        <f aca="false">IF($A488="","",INT($A488))</f>
        <v/>
      </c>
      <c r="T488" s="35" t="str">
        <f aca="false">IF($A488="","",IF(COUNTIFS($S$3:$S488,$S488)=1,1,0))</f>
        <v/>
      </c>
      <c r="U488" s="37" t="str">
        <f aca="false">IF($T488=1,$S488,"")</f>
        <v/>
      </c>
    </row>
    <row r="489" customFormat="false" ht="15" hidden="false" customHeight="false" outlineLevel="0" collapsed="false">
      <c r="M489" s="35" t="str">
        <f aca="false">IF($A489="","",HOUR($A489))</f>
        <v/>
      </c>
      <c r="N489" s="36" t="str">
        <f aca="false">IF($A489="","",$I489*$K489)</f>
        <v/>
      </c>
      <c r="O489" s="35" t="str">
        <f aca="false">IF(OR($A489="",$C489="U",$S489&lt;&gt;Calc!$F$2),"",SUMIFS($I$3:$I$3002,$E$3:$E$3002,$E489,$C$3:$C$3002,"&lt;&gt;U",$S$3:$S$3002,Calc!$F$2))</f>
        <v/>
      </c>
      <c r="P489" s="35" t="str">
        <f aca="false">IF(OR($A489="",$C489="U",$S489&lt;&gt;Calc!$F$2),"",SUMIFS($N$3:$N$3002,$E$3:$E$3002,$E489,$C$3:$C$3002,"&lt;&gt;U",$S$3:$S$3002,Calc!$F$2))</f>
        <v/>
      </c>
      <c r="Q489" s="35" t="str">
        <f aca="false">IF(OR($A489="",$C489="U",$S489&lt;&gt;Calc!$F$2),"",IF(COUNTIFS($E$3:$E489,$E489,$C$3:$C489,"&lt;&gt;U",$S$3:$S489,Calc!$F$2)=1,1,0))</f>
        <v/>
      </c>
      <c r="R489" s="35" t="str">
        <f aca="false">IF($Q489=1,$O489-ROW()/100000,"")</f>
        <v/>
      </c>
      <c r="S489" s="37" t="str">
        <f aca="false">IF($A489="","",INT($A489))</f>
        <v/>
      </c>
      <c r="T489" s="35" t="str">
        <f aca="false">IF($A489="","",IF(COUNTIFS($S$3:$S489,$S489)=1,1,0))</f>
        <v/>
      </c>
      <c r="U489" s="37" t="str">
        <f aca="false">IF($T489=1,$S489,"")</f>
        <v/>
      </c>
    </row>
    <row r="490" customFormat="false" ht="15" hidden="false" customHeight="false" outlineLevel="0" collapsed="false">
      <c r="M490" s="35" t="str">
        <f aca="false">IF($A490="","",HOUR($A490))</f>
        <v/>
      </c>
      <c r="N490" s="36" t="str">
        <f aca="false">IF($A490="","",$I490*$K490)</f>
        <v/>
      </c>
      <c r="O490" s="35" t="str">
        <f aca="false">IF(OR($A490="",$C490="U",$S490&lt;&gt;Calc!$F$2),"",SUMIFS($I$3:$I$3002,$E$3:$E$3002,$E490,$C$3:$C$3002,"&lt;&gt;U",$S$3:$S$3002,Calc!$F$2))</f>
        <v/>
      </c>
      <c r="P490" s="35" t="str">
        <f aca="false">IF(OR($A490="",$C490="U",$S490&lt;&gt;Calc!$F$2),"",SUMIFS($N$3:$N$3002,$E$3:$E$3002,$E490,$C$3:$C$3002,"&lt;&gt;U",$S$3:$S$3002,Calc!$F$2))</f>
        <v/>
      </c>
      <c r="Q490" s="35" t="str">
        <f aca="false">IF(OR($A490="",$C490="U",$S490&lt;&gt;Calc!$F$2),"",IF(COUNTIFS($E$3:$E490,$E490,$C$3:$C490,"&lt;&gt;U",$S$3:$S490,Calc!$F$2)=1,1,0))</f>
        <v/>
      </c>
      <c r="R490" s="35" t="str">
        <f aca="false">IF($Q490=1,$O490-ROW()/100000,"")</f>
        <v/>
      </c>
      <c r="S490" s="37" t="str">
        <f aca="false">IF($A490="","",INT($A490))</f>
        <v/>
      </c>
      <c r="T490" s="35" t="str">
        <f aca="false">IF($A490="","",IF(COUNTIFS($S$3:$S490,$S490)=1,1,0))</f>
        <v/>
      </c>
      <c r="U490" s="37" t="str">
        <f aca="false">IF($T490=1,$S490,"")</f>
        <v/>
      </c>
    </row>
    <row r="491" customFormat="false" ht="15" hidden="false" customHeight="false" outlineLevel="0" collapsed="false">
      <c r="M491" s="35" t="str">
        <f aca="false">IF($A491="","",HOUR($A491))</f>
        <v/>
      </c>
      <c r="N491" s="36" t="str">
        <f aca="false">IF($A491="","",$I491*$K491)</f>
        <v/>
      </c>
      <c r="O491" s="35" t="str">
        <f aca="false">IF(OR($A491="",$C491="U",$S491&lt;&gt;Calc!$F$2),"",SUMIFS($I$3:$I$3002,$E$3:$E$3002,$E491,$C$3:$C$3002,"&lt;&gt;U",$S$3:$S$3002,Calc!$F$2))</f>
        <v/>
      </c>
      <c r="P491" s="35" t="str">
        <f aca="false">IF(OR($A491="",$C491="U",$S491&lt;&gt;Calc!$F$2),"",SUMIFS($N$3:$N$3002,$E$3:$E$3002,$E491,$C$3:$C$3002,"&lt;&gt;U",$S$3:$S$3002,Calc!$F$2))</f>
        <v/>
      </c>
      <c r="Q491" s="35" t="str">
        <f aca="false">IF(OR($A491="",$C491="U",$S491&lt;&gt;Calc!$F$2),"",IF(COUNTIFS($E$3:$E491,$E491,$C$3:$C491,"&lt;&gt;U",$S$3:$S491,Calc!$F$2)=1,1,0))</f>
        <v/>
      </c>
      <c r="R491" s="35" t="str">
        <f aca="false">IF($Q491=1,$O491-ROW()/100000,"")</f>
        <v/>
      </c>
      <c r="S491" s="37" t="str">
        <f aca="false">IF($A491="","",INT($A491))</f>
        <v/>
      </c>
      <c r="T491" s="35" t="str">
        <f aca="false">IF($A491="","",IF(COUNTIFS($S$3:$S491,$S491)=1,1,0))</f>
        <v/>
      </c>
      <c r="U491" s="37" t="str">
        <f aca="false">IF($T491=1,$S491,"")</f>
        <v/>
      </c>
    </row>
    <row r="492" customFormat="false" ht="15" hidden="false" customHeight="false" outlineLevel="0" collapsed="false">
      <c r="M492" s="35" t="str">
        <f aca="false">IF($A492="","",HOUR($A492))</f>
        <v/>
      </c>
      <c r="N492" s="36" t="str">
        <f aca="false">IF($A492="","",$I492*$K492)</f>
        <v/>
      </c>
      <c r="O492" s="35" t="str">
        <f aca="false">IF(OR($A492="",$C492="U",$S492&lt;&gt;Calc!$F$2),"",SUMIFS($I$3:$I$3002,$E$3:$E$3002,$E492,$C$3:$C$3002,"&lt;&gt;U",$S$3:$S$3002,Calc!$F$2))</f>
        <v/>
      </c>
      <c r="P492" s="35" t="str">
        <f aca="false">IF(OR($A492="",$C492="U",$S492&lt;&gt;Calc!$F$2),"",SUMIFS($N$3:$N$3002,$E$3:$E$3002,$E492,$C$3:$C$3002,"&lt;&gt;U",$S$3:$S$3002,Calc!$F$2))</f>
        <v/>
      </c>
      <c r="Q492" s="35" t="str">
        <f aca="false">IF(OR($A492="",$C492="U",$S492&lt;&gt;Calc!$F$2),"",IF(COUNTIFS($E$3:$E492,$E492,$C$3:$C492,"&lt;&gt;U",$S$3:$S492,Calc!$F$2)=1,1,0))</f>
        <v/>
      </c>
      <c r="R492" s="35" t="str">
        <f aca="false">IF($Q492=1,$O492-ROW()/100000,"")</f>
        <v/>
      </c>
      <c r="S492" s="37" t="str">
        <f aca="false">IF($A492="","",INT($A492))</f>
        <v/>
      </c>
      <c r="T492" s="35" t="str">
        <f aca="false">IF($A492="","",IF(COUNTIFS($S$3:$S492,$S492)=1,1,0))</f>
        <v/>
      </c>
      <c r="U492" s="37" t="str">
        <f aca="false">IF($T492=1,$S492,"")</f>
        <v/>
      </c>
    </row>
    <row r="493" customFormat="false" ht="15" hidden="false" customHeight="false" outlineLevel="0" collapsed="false">
      <c r="M493" s="35" t="str">
        <f aca="false">IF($A493="","",HOUR($A493))</f>
        <v/>
      </c>
      <c r="N493" s="36" t="str">
        <f aca="false">IF($A493="","",$I493*$K493)</f>
        <v/>
      </c>
      <c r="O493" s="35" t="str">
        <f aca="false">IF(OR($A493="",$C493="U",$S493&lt;&gt;Calc!$F$2),"",SUMIFS($I$3:$I$3002,$E$3:$E$3002,$E493,$C$3:$C$3002,"&lt;&gt;U",$S$3:$S$3002,Calc!$F$2))</f>
        <v/>
      </c>
      <c r="P493" s="35" t="str">
        <f aca="false">IF(OR($A493="",$C493="U",$S493&lt;&gt;Calc!$F$2),"",SUMIFS($N$3:$N$3002,$E$3:$E$3002,$E493,$C$3:$C$3002,"&lt;&gt;U",$S$3:$S$3002,Calc!$F$2))</f>
        <v/>
      </c>
      <c r="Q493" s="35" t="str">
        <f aca="false">IF(OR($A493="",$C493="U",$S493&lt;&gt;Calc!$F$2),"",IF(COUNTIFS($E$3:$E493,$E493,$C$3:$C493,"&lt;&gt;U",$S$3:$S493,Calc!$F$2)=1,1,0))</f>
        <v/>
      </c>
      <c r="R493" s="35" t="str">
        <f aca="false">IF($Q493=1,$O493-ROW()/100000,"")</f>
        <v/>
      </c>
      <c r="S493" s="37" t="str">
        <f aca="false">IF($A493="","",INT($A493))</f>
        <v/>
      </c>
      <c r="T493" s="35" t="str">
        <f aca="false">IF($A493="","",IF(COUNTIFS($S$3:$S493,$S493)=1,1,0))</f>
        <v/>
      </c>
      <c r="U493" s="37" t="str">
        <f aca="false">IF($T493=1,$S493,"")</f>
        <v/>
      </c>
    </row>
    <row r="494" customFormat="false" ht="15" hidden="false" customHeight="false" outlineLevel="0" collapsed="false">
      <c r="M494" s="35" t="str">
        <f aca="false">IF($A494="","",HOUR($A494))</f>
        <v/>
      </c>
      <c r="N494" s="36" t="str">
        <f aca="false">IF($A494="","",$I494*$K494)</f>
        <v/>
      </c>
      <c r="O494" s="35" t="str">
        <f aca="false">IF(OR($A494="",$C494="U",$S494&lt;&gt;Calc!$F$2),"",SUMIFS($I$3:$I$3002,$E$3:$E$3002,$E494,$C$3:$C$3002,"&lt;&gt;U",$S$3:$S$3002,Calc!$F$2))</f>
        <v/>
      </c>
      <c r="P494" s="35" t="str">
        <f aca="false">IF(OR($A494="",$C494="U",$S494&lt;&gt;Calc!$F$2),"",SUMIFS($N$3:$N$3002,$E$3:$E$3002,$E494,$C$3:$C$3002,"&lt;&gt;U",$S$3:$S$3002,Calc!$F$2))</f>
        <v/>
      </c>
      <c r="Q494" s="35" t="str">
        <f aca="false">IF(OR($A494="",$C494="U",$S494&lt;&gt;Calc!$F$2),"",IF(COUNTIFS($E$3:$E494,$E494,$C$3:$C494,"&lt;&gt;U",$S$3:$S494,Calc!$F$2)=1,1,0))</f>
        <v/>
      </c>
      <c r="R494" s="35" t="str">
        <f aca="false">IF($Q494=1,$O494-ROW()/100000,"")</f>
        <v/>
      </c>
      <c r="S494" s="37" t="str">
        <f aca="false">IF($A494="","",INT($A494))</f>
        <v/>
      </c>
      <c r="T494" s="35" t="str">
        <f aca="false">IF($A494="","",IF(COUNTIFS($S$3:$S494,$S494)=1,1,0))</f>
        <v/>
      </c>
      <c r="U494" s="37" t="str">
        <f aca="false">IF($T494=1,$S494,"")</f>
        <v/>
      </c>
    </row>
    <row r="495" customFormat="false" ht="15" hidden="false" customHeight="false" outlineLevel="0" collapsed="false">
      <c r="M495" s="35" t="str">
        <f aca="false">IF($A495="","",HOUR($A495))</f>
        <v/>
      </c>
      <c r="N495" s="36" t="str">
        <f aca="false">IF($A495="","",$I495*$K495)</f>
        <v/>
      </c>
      <c r="O495" s="35" t="str">
        <f aca="false">IF(OR($A495="",$C495="U",$S495&lt;&gt;Calc!$F$2),"",SUMIFS($I$3:$I$3002,$E$3:$E$3002,$E495,$C$3:$C$3002,"&lt;&gt;U",$S$3:$S$3002,Calc!$F$2))</f>
        <v/>
      </c>
      <c r="P495" s="35" t="str">
        <f aca="false">IF(OR($A495="",$C495="U",$S495&lt;&gt;Calc!$F$2),"",SUMIFS($N$3:$N$3002,$E$3:$E$3002,$E495,$C$3:$C$3002,"&lt;&gt;U",$S$3:$S$3002,Calc!$F$2))</f>
        <v/>
      </c>
      <c r="Q495" s="35" t="str">
        <f aca="false">IF(OR($A495="",$C495="U",$S495&lt;&gt;Calc!$F$2),"",IF(COUNTIFS($E$3:$E495,$E495,$C$3:$C495,"&lt;&gt;U",$S$3:$S495,Calc!$F$2)=1,1,0))</f>
        <v/>
      </c>
      <c r="R495" s="35" t="str">
        <f aca="false">IF($Q495=1,$O495-ROW()/100000,"")</f>
        <v/>
      </c>
      <c r="S495" s="37" t="str">
        <f aca="false">IF($A495="","",INT($A495))</f>
        <v/>
      </c>
      <c r="T495" s="35" t="str">
        <f aca="false">IF($A495="","",IF(COUNTIFS($S$3:$S495,$S495)=1,1,0))</f>
        <v/>
      </c>
      <c r="U495" s="37" t="str">
        <f aca="false">IF($T495=1,$S495,"")</f>
        <v/>
      </c>
    </row>
    <row r="496" customFormat="false" ht="15" hidden="false" customHeight="false" outlineLevel="0" collapsed="false">
      <c r="M496" s="35" t="str">
        <f aca="false">IF($A496="","",HOUR($A496))</f>
        <v/>
      </c>
      <c r="N496" s="36" t="str">
        <f aca="false">IF($A496="","",$I496*$K496)</f>
        <v/>
      </c>
      <c r="O496" s="35" t="str">
        <f aca="false">IF(OR($A496="",$C496="U",$S496&lt;&gt;Calc!$F$2),"",SUMIFS($I$3:$I$3002,$E$3:$E$3002,$E496,$C$3:$C$3002,"&lt;&gt;U",$S$3:$S$3002,Calc!$F$2))</f>
        <v/>
      </c>
      <c r="P496" s="35" t="str">
        <f aca="false">IF(OR($A496="",$C496="U",$S496&lt;&gt;Calc!$F$2),"",SUMIFS($N$3:$N$3002,$E$3:$E$3002,$E496,$C$3:$C$3002,"&lt;&gt;U",$S$3:$S$3002,Calc!$F$2))</f>
        <v/>
      </c>
      <c r="Q496" s="35" t="str">
        <f aca="false">IF(OR($A496="",$C496="U",$S496&lt;&gt;Calc!$F$2),"",IF(COUNTIFS($E$3:$E496,$E496,$C$3:$C496,"&lt;&gt;U",$S$3:$S496,Calc!$F$2)=1,1,0))</f>
        <v/>
      </c>
      <c r="R496" s="35" t="str">
        <f aca="false">IF($Q496=1,$O496-ROW()/100000,"")</f>
        <v/>
      </c>
      <c r="S496" s="37" t="str">
        <f aca="false">IF($A496="","",INT($A496))</f>
        <v/>
      </c>
      <c r="T496" s="35" t="str">
        <f aca="false">IF($A496="","",IF(COUNTIFS($S$3:$S496,$S496)=1,1,0))</f>
        <v/>
      </c>
      <c r="U496" s="37" t="str">
        <f aca="false">IF($T496=1,$S496,"")</f>
        <v/>
      </c>
    </row>
    <row r="497" customFormat="false" ht="15" hidden="false" customHeight="false" outlineLevel="0" collapsed="false">
      <c r="M497" s="35" t="str">
        <f aca="false">IF($A497="","",HOUR($A497))</f>
        <v/>
      </c>
      <c r="N497" s="36" t="str">
        <f aca="false">IF($A497="","",$I497*$K497)</f>
        <v/>
      </c>
      <c r="O497" s="35" t="str">
        <f aca="false">IF(OR($A497="",$C497="U",$S497&lt;&gt;Calc!$F$2),"",SUMIFS($I$3:$I$3002,$E$3:$E$3002,$E497,$C$3:$C$3002,"&lt;&gt;U",$S$3:$S$3002,Calc!$F$2))</f>
        <v/>
      </c>
      <c r="P497" s="35" t="str">
        <f aca="false">IF(OR($A497="",$C497="U",$S497&lt;&gt;Calc!$F$2),"",SUMIFS($N$3:$N$3002,$E$3:$E$3002,$E497,$C$3:$C$3002,"&lt;&gt;U",$S$3:$S$3002,Calc!$F$2))</f>
        <v/>
      </c>
      <c r="Q497" s="35" t="str">
        <f aca="false">IF(OR($A497="",$C497="U",$S497&lt;&gt;Calc!$F$2),"",IF(COUNTIFS($E$3:$E497,$E497,$C$3:$C497,"&lt;&gt;U",$S$3:$S497,Calc!$F$2)=1,1,0))</f>
        <v/>
      </c>
      <c r="R497" s="35" t="str">
        <f aca="false">IF($Q497=1,$O497-ROW()/100000,"")</f>
        <v/>
      </c>
      <c r="S497" s="37" t="str">
        <f aca="false">IF($A497="","",INT($A497))</f>
        <v/>
      </c>
      <c r="T497" s="35" t="str">
        <f aca="false">IF($A497="","",IF(COUNTIFS($S$3:$S497,$S497)=1,1,0))</f>
        <v/>
      </c>
      <c r="U497" s="37" t="str">
        <f aca="false">IF($T497=1,$S497,"")</f>
        <v/>
      </c>
    </row>
    <row r="498" customFormat="false" ht="15" hidden="false" customHeight="false" outlineLevel="0" collapsed="false">
      <c r="M498" s="35" t="str">
        <f aca="false">IF($A498="","",HOUR($A498))</f>
        <v/>
      </c>
      <c r="N498" s="36" t="str">
        <f aca="false">IF($A498="","",$I498*$K498)</f>
        <v/>
      </c>
      <c r="O498" s="35" t="str">
        <f aca="false">IF(OR($A498="",$C498="U",$S498&lt;&gt;Calc!$F$2),"",SUMIFS($I$3:$I$3002,$E$3:$E$3002,$E498,$C$3:$C$3002,"&lt;&gt;U",$S$3:$S$3002,Calc!$F$2))</f>
        <v/>
      </c>
      <c r="P498" s="35" t="str">
        <f aca="false">IF(OR($A498="",$C498="U",$S498&lt;&gt;Calc!$F$2),"",SUMIFS($N$3:$N$3002,$E$3:$E$3002,$E498,$C$3:$C$3002,"&lt;&gt;U",$S$3:$S$3002,Calc!$F$2))</f>
        <v/>
      </c>
      <c r="Q498" s="35" t="str">
        <f aca="false">IF(OR($A498="",$C498="U",$S498&lt;&gt;Calc!$F$2),"",IF(COUNTIFS($E$3:$E498,$E498,$C$3:$C498,"&lt;&gt;U",$S$3:$S498,Calc!$F$2)=1,1,0))</f>
        <v/>
      </c>
      <c r="R498" s="35" t="str">
        <f aca="false">IF($Q498=1,$O498-ROW()/100000,"")</f>
        <v/>
      </c>
      <c r="S498" s="37" t="str">
        <f aca="false">IF($A498="","",INT($A498))</f>
        <v/>
      </c>
      <c r="T498" s="35" t="str">
        <f aca="false">IF($A498="","",IF(COUNTIFS($S$3:$S498,$S498)=1,1,0))</f>
        <v/>
      </c>
      <c r="U498" s="37" t="str">
        <f aca="false">IF($T498=1,$S498,"")</f>
        <v/>
      </c>
    </row>
    <row r="499" customFormat="false" ht="15" hidden="false" customHeight="false" outlineLevel="0" collapsed="false">
      <c r="M499" s="35" t="str">
        <f aca="false">IF($A499="","",HOUR($A499))</f>
        <v/>
      </c>
      <c r="N499" s="36" t="str">
        <f aca="false">IF($A499="","",$I499*$K499)</f>
        <v/>
      </c>
      <c r="O499" s="35" t="str">
        <f aca="false">IF(OR($A499="",$C499="U",$S499&lt;&gt;Calc!$F$2),"",SUMIFS($I$3:$I$3002,$E$3:$E$3002,$E499,$C$3:$C$3002,"&lt;&gt;U",$S$3:$S$3002,Calc!$F$2))</f>
        <v/>
      </c>
      <c r="P499" s="35" t="str">
        <f aca="false">IF(OR($A499="",$C499="U",$S499&lt;&gt;Calc!$F$2),"",SUMIFS($N$3:$N$3002,$E$3:$E$3002,$E499,$C$3:$C$3002,"&lt;&gt;U",$S$3:$S$3002,Calc!$F$2))</f>
        <v/>
      </c>
      <c r="Q499" s="35" t="str">
        <f aca="false">IF(OR($A499="",$C499="U",$S499&lt;&gt;Calc!$F$2),"",IF(COUNTIFS($E$3:$E499,$E499,$C$3:$C499,"&lt;&gt;U",$S$3:$S499,Calc!$F$2)=1,1,0))</f>
        <v/>
      </c>
      <c r="R499" s="35" t="str">
        <f aca="false">IF($Q499=1,$O499-ROW()/100000,"")</f>
        <v/>
      </c>
      <c r="S499" s="37" t="str">
        <f aca="false">IF($A499="","",INT($A499))</f>
        <v/>
      </c>
      <c r="T499" s="35" t="str">
        <f aca="false">IF($A499="","",IF(COUNTIFS($S$3:$S499,$S499)=1,1,0))</f>
        <v/>
      </c>
      <c r="U499" s="37" t="str">
        <f aca="false">IF($T499=1,$S499,"")</f>
        <v/>
      </c>
    </row>
    <row r="500" customFormat="false" ht="15" hidden="false" customHeight="false" outlineLevel="0" collapsed="false">
      <c r="M500" s="35" t="str">
        <f aca="false">IF($A500="","",HOUR($A500))</f>
        <v/>
      </c>
      <c r="N500" s="36" t="str">
        <f aca="false">IF($A500="","",$I500*$K500)</f>
        <v/>
      </c>
      <c r="O500" s="35" t="str">
        <f aca="false">IF(OR($A500="",$C500="U",$S500&lt;&gt;Calc!$F$2),"",SUMIFS($I$3:$I$3002,$E$3:$E$3002,$E500,$C$3:$C$3002,"&lt;&gt;U",$S$3:$S$3002,Calc!$F$2))</f>
        <v/>
      </c>
      <c r="P500" s="35" t="str">
        <f aca="false">IF(OR($A500="",$C500="U",$S500&lt;&gt;Calc!$F$2),"",SUMIFS($N$3:$N$3002,$E$3:$E$3002,$E500,$C$3:$C$3002,"&lt;&gt;U",$S$3:$S$3002,Calc!$F$2))</f>
        <v/>
      </c>
      <c r="Q500" s="35" t="str">
        <f aca="false">IF(OR($A500="",$C500="U",$S500&lt;&gt;Calc!$F$2),"",IF(COUNTIFS($E$3:$E500,$E500,$C$3:$C500,"&lt;&gt;U",$S$3:$S500,Calc!$F$2)=1,1,0))</f>
        <v/>
      </c>
      <c r="R500" s="35" t="str">
        <f aca="false">IF($Q500=1,$O500-ROW()/100000,"")</f>
        <v/>
      </c>
      <c r="S500" s="37" t="str">
        <f aca="false">IF($A500="","",INT($A500))</f>
        <v/>
      </c>
      <c r="T500" s="35" t="str">
        <f aca="false">IF($A500="","",IF(COUNTIFS($S$3:$S500,$S500)=1,1,0))</f>
        <v/>
      </c>
      <c r="U500" s="37" t="str">
        <f aca="false">IF($T500=1,$S500,"")</f>
        <v/>
      </c>
    </row>
    <row r="501" customFormat="false" ht="15" hidden="false" customHeight="false" outlineLevel="0" collapsed="false">
      <c r="M501" s="35" t="str">
        <f aca="false">IF($A501="","",HOUR($A501))</f>
        <v/>
      </c>
      <c r="N501" s="36" t="str">
        <f aca="false">IF($A501="","",$I501*$K501)</f>
        <v/>
      </c>
      <c r="O501" s="35" t="str">
        <f aca="false">IF(OR($A501="",$C501="U",$S501&lt;&gt;Calc!$F$2),"",SUMIFS($I$3:$I$3002,$E$3:$E$3002,$E501,$C$3:$C$3002,"&lt;&gt;U",$S$3:$S$3002,Calc!$F$2))</f>
        <v/>
      </c>
      <c r="P501" s="35" t="str">
        <f aca="false">IF(OR($A501="",$C501="U",$S501&lt;&gt;Calc!$F$2),"",SUMIFS($N$3:$N$3002,$E$3:$E$3002,$E501,$C$3:$C$3002,"&lt;&gt;U",$S$3:$S$3002,Calc!$F$2))</f>
        <v/>
      </c>
      <c r="Q501" s="35" t="str">
        <f aca="false">IF(OR($A501="",$C501="U",$S501&lt;&gt;Calc!$F$2),"",IF(COUNTIFS($E$3:$E501,$E501,$C$3:$C501,"&lt;&gt;U",$S$3:$S501,Calc!$F$2)=1,1,0))</f>
        <v/>
      </c>
      <c r="R501" s="35" t="str">
        <f aca="false">IF($Q501=1,$O501-ROW()/100000,"")</f>
        <v/>
      </c>
      <c r="S501" s="37" t="str">
        <f aca="false">IF($A501="","",INT($A501))</f>
        <v/>
      </c>
      <c r="T501" s="35" t="str">
        <f aca="false">IF($A501="","",IF(COUNTIFS($S$3:$S501,$S501)=1,1,0))</f>
        <v/>
      </c>
      <c r="U501" s="37" t="str">
        <f aca="false">IF($T501=1,$S501,"")</f>
        <v/>
      </c>
    </row>
    <row r="502" customFormat="false" ht="15" hidden="false" customHeight="false" outlineLevel="0" collapsed="false">
      <c r="M502" s="35" t="str">
        <f aca="false">IF($A502="","",HOUR($A502))</f>
        <v/>
      </c>
      <c r="N502" s="36" t="str">
        <f aca="false">IF($A502="","",$I502*$K502)</f>
        <v/>
      </c>
      <c r="O502" s="35" t="str">
        <f aca="false">IF(OR($A502="",$C502="U",$S502&lt;&gt;Calc!$F$2),"",SUMIFS($I$3:$I$3002,$E$3:$E$3002,$E502,$C$3:$C$3002,"&lt;&gt;U",$S$3:$S$3002,Calc!$F$2))</f>
        <v/>
      </c>
      <c r="P502" s="35" t="str">
        <f aca="false">IF(OR($A502="",$C502="U",$S502&lt;&gt;Calc!$F$2),"",SUMIFS($N$3:$N$3002,$E$3:$E$3002,$E502,$C$3:$C$3002,"&lt;&gt;U",$S$3:$S$3002,Calc!$F$2))</f>
        <v/>
      </c>
      <c r="Q502" s="35" t="str">
        <f aca="false">IF(OR($A502="",$C502="U",$S502&lt;&gt;Calc!$F$2),"",IF(COUNTIFS($E$3:$E502,$E502,$C$3:$C502,"&lt;&gt;U",$S$3:$S502,Calc!$F$2)=1,1,0))</f>
        <v/>
      </c>
      <c r="R502" s="35" t="str">
        <f aca="false">IF($Q502=1,$O502-ROW()/100000,"")</f>
        <v/>
      </c>
      <c r="S502" s="37" t="str">
        <f aca="false">IF($A502="","",INT($A502))</f>
        <v/>
      </c>
      <c r="T502" s="35" t="str">
        <f aca="false">IF($A502="","",IF(COUNTIFS($S$3:$S502,$S502)=1,1,0))</f>
        <v/>
      </c>
      <c r="U502" s="37" t="str">
        <f aca="false">IF($T502=1,$S502,"")</f>
        <v/>
      </c>
    </row>
    <row r="503" customFormat="false" ht="15" hidden="false" customHeight="false" outlineLevel="0" collapsed="false">
      <c r="M503" s="35" t="str">
        <f aca="false">IF($A503="","",HOUR($A503))</f>
        <v/>
      </c>
      <c r="N503" s="36" t="str">
        <f aca="false">IF($A503="","",$I503*$K503)</f>
        <v/>
      </c>
      <c r="O503" s="35" t="str">
        <f aca="false">IF(OR($A503="",$C503="U",$S503&lt;&gt;Calc!$F$2),"",SUMIFS($I$3:$I$3002,$E$3:$E$3002,$E503,$C$3:$C$3002,"&lt;&gt;U",$S$3:$S$3002,Calc!$F$2))</f>
        <v/>
      </c>
      <c r="P503" s="35" t="str">
        <f aca="false">IF(OR($A503="",$C503="U",$S503&lt;&gt;Calc!$F$2),"",SUMIFS($N$3:$N$3002,$E$3:$E$3002,$E503,$C$3:$C$3002,"&lt;&gt;U",$S$3:$S$3002,Calc!$F$2))</f>
        <v/>
      </c>
      <c r="Q503" s="35" t="str">
        <f aca="false">IF(OR($A503="",$C503="U",$S503&lt;&gt;Calc!$F$2),"",IF(COUNTIFS($E$3:$E503,$E503,$C$3:$C503,"&lt;&gt;U",$S$3:$S503,Calc!$F$2)=1,1,0))</f>
        <v/>
      </c>
      <c r="R503" s="35" t="str">
        <f aca="false">IF($Q503=1,$O503-ROW()/100000,"")</f>
        <v/>
      </c>
      <c r="S503" s="37" t="str">
        <f aca="false">IF($A503="","",INT($A503))</f>
        <v/>
      </c>
      <c r="T503" s="35" t="str">
        <f aca="false">IF($A503="","",IF(COUNTIFS($S$3:$S503,$S503)=1,1,0))</f>
        <v/>
      </c>
      <c r="U503" s="37" t="str">
        <f aca="false">IF($T503=1,$S503,"")</f>
        <v/>
      </c>
    </row>
    <row r="504" customFormat="false" ht="15" hidden="false" customHeight="false" outlineLevel="0" collapsed="false">
      <c r="M504" s="35" t="str">
        <f aca="false">IF($A504="","",HOUR($A504))</f>
        <v/>
      </c>
      <c r="N504" s="36" t="str">
        <f aca="false">IF($A504="","",$I504*$K504)</f>
        <v/>
      </c>
      <c r="O504" s="35" t="str">
        <f aca="false">IF(OR($A504="",$C504="U",$S504&lt;&gt;Calc!$F$2),"",SUMIFS($I$3:$I$3002,$E$3:$E$3002,$E504,$C$3:$C$3002,"&lt;&gt;U",$S$3:$S$3002,Calc!$F$2))</f>
        <v/>
      </c>
      <c r="P504" s="35" t="str">
        <f aca="false">IF(OR($A504="",$C504="U",$S504&lt;&gt;Calc!$F$2),"",SUMIFS($N$3:$N$3002,$E$3:$E$3002,$E504,$C$3:$C$3002,"&lt;&gt;U",$S$3:$S$3002,Calc!$F$2))</f>
        <v/>
      </c>
      <c r="Q504" s="35" t="str">
        <f aca="false">IF(OR($A504="",$C504="U",$S504&lt;&gt;Calc!$F$2),"",IF(COUNTIFS($E$3:$E504,$E504,$C$3:$C504,"&lt;&gt;U",$S$3:$S504,Calc!$F$2)=1,1,0))</f>
        <v/>
      </c>
      <c r="R504" s="35" t="str">
        <f aca="false">IF($Q504=1,$O504-ROW()/100000,"")</f>
        <v/>
      </c>
      <c r="S504" s="37" t="str">
        <f aca="false">IF($A504="","",INT($A504))</f>
        <v/>
      </c>
      <c r="T504" s="35" t="str">
        <f aca="false">IF($A504="","",IF(COUNTIFS($S$3:$S504,$S504)=1,1,0))</f>
        <v/>
      </c>
      <c r="U504" s="37" t="str">
        <f aca="false">IF($T504=1,$S504,"")</f>
        <v/>
      </c>
    </row>
    <row r="505" customFormat="false" ht="15" hidden="false" customHeight="false" outlineLevel="0" collapsed="false">
      <c r="M505" s="35" t="str">
        <f aca="false">IF($A505="","",HOUR($A505))</f>
        <v/>
      </c>
      <c r="N505" s="36" t="str">
        <f aca="false">IF($A505="","",$I505*$K505)</f>
        <v/>
      </c>
      <c r="O505" s="35" t="str">
        <f aca="false">IF(OR($A505="",$C505="U",$S505&lt;&gt;Calc!$F$2),"",SUMIFS($I$3:$I$3002,$E$3:$E$3002,$E505,$C$3:$C$3002,"&lt;&gt;U",$S$3:$S$3002,Calc!$F$2))</f>
        <v/>
      </c>
      <c r="P505" s="35" t="str">
        <f aca="false">IF(OR($A505="",$C505="U",$S505&lt;&gt;Calc!$F$2),"",SUMIFS($N$3:$N$3002,$E$3:$E$3002,$E505,$C$3:$C$3002,"&lt;&gt;U",$S$3:$S$3002,Calc!$F$2))</f>
        <v/>
      </c>
      <c r="Q505" s="35" t="str">
        <f aca="false">IF(OR($A505="",$C505="U",$S505&lt;&gt;Calc!$F$2),"",IF(COUNTIFS($E$3:$E505,$E505,$C$3:$C505,"&lt;&gt;U",$S$3:$S505,Calc!$F$2)=1,1,0))</f>
        <v/>
      </c>
      <c r="R505" s="35" t="str">
        <f aca="false">IF($Q505=1,$O505-ROW()/100000,"")</f>
        <v/>
      </c>
      <c r="S505" s="37" t="str">
        <f aca="false">IF($A505="","",INT($A505))</f>
        <v/>
      </c>
      <c r="T505" s="35" t="str">
        <f aca="false">IF($A505="","",IF(COUNTIFS($S$3:$S505,$S505)=1,1,0))</f>
        <v/>
      </c>
      <c r="U505" s="37" t="str">
        <f aca="false">IF($T505=1,$S505,"")</f>
        <v/>
      </c>
    </row>
    <row r="506" customFormat="false" ht="15" hidden="false" customHeight="false" outlineLevel="0" collapsed="false">
      <c r="M506" s="35" t="str">
        <f aca="false">IF($A506="","",HOUR($A506))</f>
        <v/>
      </c>
      <c r="N506" s="36" t="str">
        <f aca="false">IF($A506="","",$I506*$K506)</f>
        <v/>
      </c>
      <c r="O506" s="35" t="str">
        <f aca="false">IF(OR($A506="",$C506="U",$S506&lt;&gt;Calc!$F$2),"",SUMIFS($I$3:$I$3002,$E$3:$E$3002,$E506,$C$3:$C$3002,"&lt;&gt;U",$S$3:$S$3002,Calc!$F$2))</f>
        <v/>
      </c>
      <c r="P506" s="35" t="str">
        <f aca="false">IF(OR($A506="",$C506="U",$S506&lt;&gt;Calc!$F$2),"",SUMIFS($N$3:$N$3002,$E$3:$E$3002,$E506,$C$3:$C$3002,"&lt;&gt;U",$S$3:$S$3002,Calc!$F$2))</f>
        <v/>
      </c>
      <c r="Q506" s="35" t="str">
        <f aca="false">IF(OR($A506="",$C506="U",$S506&lt;&gt;Calc!$F$2),"",IF(COUNTIFS($E$3:$E506,$E506,$C$3:$C506,"&lt;&gt;U",$S$3:$S506,Calc!$F$2)=1,1,0))</f>
        <v/>
      </c>
      <c r="R506" s="35" t="str">
        <f aca="false">IF($Q506=1,$O506-ROW()/100000,"")</f>
        <v/>
      </c>
      <c r="S506" s="37" t="str">
        <f aca="false">IF($A506="","",INT($A506))</f>
        <v/>
      </c>
      <c r="T506" s="35" t="str">
        <f aca="false">IF($A506="","",IF(COUNTIFS($S$3:$S506,$S506)=1,1,0))</f>
        <v/>
      </c>
      <c r="U506" s="37" t="str">
        <f aca="false">IF($T506=1,$S506,"")</f>
        <v/>
      </c>
    </row>
    <row r="507" customFormat="false" ht="15" hidden="false" customHeight="false" outlineLevel="0" collapsed="false">
      <c r="M507" s="35" t="str">
        <f aca="false">IF($A507="","",HOUR($A507))</f>
        <v/>
      </c>
      <c r="N507" s="36" t="str">
        <f aca="false">IF($A507="","",$I507*$K507)</f>
        <v/>
      </c>
      <c r="O507" s="35" t="str">
        <f aca="false">IF(OR($A507="",$C507="U",$S507&lt;&gt;Calc!$F$2),"",SUMIFS($I$3:$I$3002,$E$3:$E$3002,$E507,$C$3:$C$3002,"&lt;&gt;U",$S$3:$S$3002,Calc!$F$2))</f>
        <v/>
      </c>
      <c r="P507" s="35" t="str">
        <f aca="false">IF(OR($A507="",$C507="U",$S507&lt;&gt;Calc!$F$2),"",SUMIFS($N$3:$N$3002,$E$3:$E$3002,$E507,$C$3:$C$3002,"&lt;&gt;U",$S$3:$S$3002,Calc!$F$2))</f>
        <v/>
      </c>
      <c r="Q507" s="35" t="str">
        <f aca="false">IF(OR($A507="",$C507="U",$S507&lt;&gt;Calc!$F$2),"",IF(COUNTIFS($E$3:$E507,$E507,$C$3:$C507,"&lt;&gt;U",$S$3:$S507,Calc!$F$2)=1,1,0))</f>
        <v/>
      </c>
      <c r="R507" s="35" t="str">
        <f aca="false">IF($Q507=1,$O507-ROW()/100000,"")</f>
        <v/>
      </c>
      <c r="S507" s="37" t="str">
        <f aca="false">IF($A507="","",INT($A507))</f>
        <v/>
      </c>
      <c r="T507" s="35" t="str">
        <f aca="false">IF($A507="","",IF(COUNTIFS($S$3:$S507,$S507)=1,1,0))</f>
        <v/>
      </c>
      <c r="U507" s="37" t="str">
        <f aca="false">IF($T507=1,$S507,"")</f>
        <v/>
      </c>
    </row>
    <row r="508" customFormat="false" ht="15" hidden="false" customHeight="false" outlineLevel="0" collapsed="false">
      <c r="M508" s="35" t="str">
        <f aca="false">IF($A508="","",HOUR($A508))</f>
        <v/>
      </c>
      <c r="N508" s="36" t="str">
        <f aca="false">IF($A508="","",$I508*$K508)</f>
        <v/>
      </c>
      <c r="O508" s="35" t="str">
        <f aca="false">IF(OR($A508="",$C508="U",$S508&lt;&gt;Calc!$F$2),"",SUMIFS($I$3:$I$3002,$E$3:$E$3002,$E508,$C$3:$C$3002,"&lt;&gt;U",$S$3:$S$3002,Calc!$F$2))</f>
        <v/>
      </c>
      <c r="P508" s="35" t="str">
        <f aca="false">IF(OR($A508="",$C508="U",$S508&lt;&gt;Calc!$F$2),"",SUMIFS($N$3:$N$3002,$E$3:$E$3002,$E508,$C$3:$C$3002,"&lt;&gt;U",$S$3:$S$3002,Calc!$F$2))</f>
        <v/>
      </c>
      <c r="Q508" s="35" t="str">
        <f aca="false">IF(OR($A508="",$C508="U",$S508&lt;&gt;Calc!$F$2),"",IF(COUNTIFS($E$3:$E508,$E508,$C$3:$C508,"&lt;&gt;U",$S$3:$S508,Calc!$F$2)=1,1,0))</f>
        <v/>
      </c>
      <c r="R508" s="35" t="str">
        <f aca="false">IF($Q508=1,$O508-ROW()/100000,"")</f>
        <v/>
      </c>
      <c r="S508" s="37" t="str">
        <f aca="false">IF($A508="","",INT($A508))</f>
        <v/>
      </c>
      <c r="T508" s="35" t="str">
        <f aca="false">IF($A508="","",IF(COUNTIFS($S$3:$S508,$S508)=1,1,0))</f>
        <v/>
      </c>
      <c r="U508" s="37" t="str">
        <f aca="false">IF($T508=1,$S508,"")</f>
        <v/>
      </c>
    </row>
    <row r="509" customFormat="false" ht="15" hidden="false" customHeight="false" outlineLevel="0" collapsed="false">
      <c r="M509" s="35" t="str">
        <f aca="false">IF($A509="","",HOUR($A509))</f>
        <v/>
      </c>
      <c r="N509" s="36" t="str">
        <f aca="false">IF($A509="","",$I509*$K509)</f>
        <v/>
      </c>
      <c r="O509" s="35" t="str">
        <f aca="false">IF(OR($A509="",$C509="U",$S509&lt;&gt;Calc!$F$2),"",SUMIFS($I$3:$I$3002,$E$3:$E$3002,$E509,$C$3:$C$3002,"&lt;&gt;U",$S$3:$S$3002,Calc!$F$2))</f>
        <v/>
      </c>
      <c r="P509" s="35" t="str">
        <f aca="false">IF(OR($A509="",$C509="U",$S509&lt;&gt;Calc!$F$2),"",SUMIFS($N$3:$N$3002,$E$3:$E$3002,$E509,$C$3:$C$3002,"&lt;&gt;U",$S$3:$S$3002,Calc!$F$2))</f>
        <v/>
      </c>
      <c r="Q509" s="35" t="str">
        <f aca="false">IF(OR($A509="",$C509="U",$S509&lt;&gt;Calc!$F$2),"",IF(COUNTIFS($E$3:$E509,$E509,$C$3:$C509,"&lt;&gt;U",$S$3:$S509,Calc!$F$2)=1,1,0))</f>
        <v/>
      </c>
      <c r="R509" s="35" t="str">
        <f aca="false">IF($Q509=1,$O509-ROW()/100000,"")</f>
        <v/>
      </c>
      <c r="S509" s="37" t="str">
        <f aca="false">IF($A509="","",INT($A509))</f>
        <v/>
      </c>
      <c r="T509" s="35" t="str">
        <f aca="false">IF($A509="","",IF(COUNTIFS($S$3:$S509,$S509)=1,1,0))</f>
        <v/>
      </c>
      <c r="U509" s="37" t="str">
        <f aca="false">IF($T509=1,$S509,"")</f>
        <v/>
      </c>
    </row>
    <row r="510" customFormat="false" ht="15" hidden="false" customHeight="false" outlineLevel="0" collapsed="false">
      <c r="M510" s="35" t="str">
        <f aca="false">IF($A510="","",HOUR($A510))</f>
        <v/>
      </c>
      <c r="N510" s="36" t="str">
        <f aca="false">IF($A510="","",$I510*$K510)</f>
        <v/>
      </c>
      <c r="O510" s="35" t="str">
        <f aca="false">IF(OR($A510="",$C510="U",$S510&lt;&gt;Calc!$F$2),"",SUMIFS($I$3:$I$3002,$E$3:$E$3002,$E510,$C$3:$C$3002,"&lt;&gt;U",$S$3:$S$3002,Calc!$F$2))</f>
        <v/>
      </c>
      <c r="P510" s="35" t="str">
        <f aca="false">IF(OR($A510="",$C510="U",$S510&lt;&gt;Calc!$F$2),"",SUMIFS($N$3:$N$3002,$E$3:$E$3002,$E510,$C$3:$C$3002,"&lt;&gt;U",$S$3:$S$3002,Calc!$F$2))</f>
        <v/>
      </c>
      <c r="Q510" s="35" t="str">
        <f aca="false">IF(OR($A510="",$C510="U",$S510&lt;&gt;Calc!$F$2),"",IF(COUNTIFS($E$3:$E510,$E510,$C$3:$C510,"&lt;&gt;U",$S$3:$S510,Calc!$F$2)=1,1,0))</f>
        <v/>
      </c>
      <c r="R510" s="35" t="str">
        <f aca="false">IF($Q510=1,$O510-ROW()/100000,"")</f>
        <v/>
      </c>
      <c r="S510" s="37" t="str">
        <f aca="false">IF($A510="","",INT($A510))</f>
        <v/>
      </c>
      <c r="T510" s="35" t="str">
        <f aca="false">IF($A510="","",IF(COUNTIFS($S$3:$S510,$S510)=1,1,0))</f>
        <v/>
      </c>
      <c r="U510" s="37" t="str">
        <f aca="false">IF($T510=1,$S510,"")</f>
        <v/>
      </c>
    </row>
    <row r="511" customFormat="false" ht="15" hidden="false" customHeight="false" outlineLevel="0" collapsed="false">
      <c r="M511" s="35" t="str">
        <f aca="false">IF($A511="","",HOUR($A511))</f>
        <v/>
      </c>
      <c r="N511" s="36" t="str">
        <f aca="false">IF($A511="","",$I511*$K511)</f>
        <v/>
      </c>
      <c r="O511" s="35" t="str">
        <f aca="false">IF(OR($A511="",$C511="U",$S511&lt;&gt;Calc!$F$2),"",SUMIFS($I$3:$I$3002,$E$3:$E$3002,$E511,$C$3:$C$3002,"&lt;&gt;U",$S$3:$S$3002,Calc!$F$2))</f>
        <v/>
      </c>
      <c r="P511" s="35" t="str">
        <f aca="false">IF(OR($A511="",$C511="U",$S511&lt;&gt;Calc!$F$2),"",SUMIFS($N$3:$N$3002,$E$3:$E$3002,$E511,$C$3:$C$3002,"&lt;&gt;U",$S$3:$S$3002,Calc!$F$2))</f>
        <v/>
      </c>
      <c r="Q511" s="35" t="str">
        <f aca="false">IF(OR($A511="",$C511="U",$S511&lt;&gt;Calc!$F$2),"",IF(COUNTIFS($E$3:$E511,$E511,$C$3:$C511,"&lt;&gt;U",$S$3:$S511,Calc!$F$2)=1,1,0))</f>
        <v/>
      </c>
      <c r="R511" s="35" t="str">
        <f aca="false">IF($Q511=1,$O511-ROW()/100000,"")</f>
        <v/>
      </c>
      <c r="S511" s="37" t="str">
        <f aca="false">IF($A511="","",INT($A511))</f>
        <v/>
      </c>
      <c r="T511" s="35" t="str">
        <f aca="false">IF($A511="","",IF(COUNTIFS($S$3:$S511,$S511)=1,1,0))</f>
        <v/>
      </c>
      <c r="U511" s="37" t="str">
        <f aca="false">IF($T511=1,$S511,"")</f>
        <v/>
      </c>
    </row>
    <row r="512" customFormat="false" ht="15" hidden="false" customHeight="false" outlineLevel="0" collapsed="false">
      <c r="M512" s="35" t="str">
        <f aca="false">IF($A512="","",HOUR($A512))</f>
        <v/>
      </c>
      <c r="N512" s="36" t="str">
        <f aca="false">IF($A512="","",$I512*$K512)</f>
        <v/>
      </c>
      <c r="O512" s="35" t="str">
        <f aca="false">IF(OR($A512="",$C512="U",$S512&lt;&gt;Calc!$F$2),"",SUMIFS($I$3:$I$3002,$E$3:$E$3002,$E512,$C$3:$C$3002,"&lt;&gt;U",$S$3:$S$3002,Calc!$F$2))</f>
        <v/>
      </c>
      <c r="P512" s="35" t="str">
        <f aca="false">IF(OR($A512="",$C512="U",$S512&lt;&gt;Calc!$F$2),"",SUMIFS($N$3:$N$3002,$E$3:$E$3002,$E512,$C$3:$C$3002,"&lt;&gt;U",$S$3:$S$3002,Calc!$F$2))</f>
        <v/>
      </c>
      <c r="Q512" s="35" t="str">
        <f aca="false">IF(OR($A512="",$C512="U",$S512&lt;&gt;Calc!$F$2),"",IF(COUNTIFS($E$3:$E512,$E512,$C$3:$C512,"&lt;&gt;U",$S$3:$S512,Calc!$F$2)=1,1,0))</f>
        <v/>
      </c>
      <c r="R512" s="35" t="str">
        <f aca="false">IF($Q512=1,$O512-ROW()/100000,"")</f>
        <v/>
      </c>
      <c r="S512" s="37" t="str">
        <f aca="false">IF($A512="","",INT($A512))</f>
        <v/>
      </c>
      <c r="T512" s="35" t="str">
        <f aca="false">IF($A512="","",IF(COUNTIFS($S$3:$S512,$S512)=1,1,0))</f>
        <v/>
      </c>
      <c r="U512" s="37" t="str">
        <f aca="false">IF($T512=1,$S512,"")</f>
        <v/>
      </c>
    </row>
    <row r="513" customFormat="false" ht="15" hidden="false" customHeight="false" outlineLevel="0" collapsed="false">
      <c r="M513" s="35" t="str">
        <f aca="false">IF($A513="","",HOUR($A513))</f>
        <v/>
      </c>
      <c r="N513" s="36" t="str">
        <f aca="false">IF($A513="","",$I513*$K513)</f>
        <v/>
      </c>
      <c r="O513" s="35" t="str">
        <f aca="false">IF(OR($A513="",$C513="U",$S513&lt;&gt;Calc!$F$2),"",SUMIFS($I$3:$I$3002,$E$3:$E$3002,$E513,$C$3:$C$3002,"&lt;&gt;U",$S$3:$S$3002,Calc!$F$2))</f>
        <v/>
      </c>
      <c r="P513" s="35" t="str">
        <f aca="false">IF(OR($A513="",$C513="U",$S513&lt;&gt;Calc!$F$2),"",SUMIFS($N$3:$N$3002,$E$3:$E$3002,$E513,$C$3:$C$3002,"&lt;&gt;U",$S$3:$S$3002,Calc!$F$2))</f>
        <v/>
      </c>
      <c r="Q513" s="35" t="str">
        <f aca="false">IF(OR($A513="",$C513="U",$S513&lt;&gt;Calc!$F$2),"",IF(COUNTIFS($E$3:$E513,$E513,$C$3:$C513,"&lt;&gt;U",$S$3:$S513,Calc!$F$2)=1,1,0))</f>
        <v/>
      </c>
      <c r="R513" s="35" t="str">
        <f aca="false">IF($Q513=1,$O513-ROW()/100000,"")</f>
        <v/>
      </c>
      <c r="S513" s="37" t="str">
        <f aca="false">IF($A513="","",INT($A513))</f>
        <v/>
      </c>
      <c r="T513" s="35" t="str">
        <f aca="false">IF($A513="","",IF(COUNTIFS($S$3:$S513,$S513)=1,1,0))</f>
        <v/>
      </c>
      <c r="U513" s="37" t="str">
        <f aca="false">IF($T513=1,$S513,"")</f>
        <v/>
      </c>
    </row>
    <row r="514" customFormat="false" ht="15" hidden="false" customHeight="false" outlineLevel="0" collapsed="false">
      <c r="M514" s="35" t="str">
        <f aca="false">IF($A514="","",HOUR($A514))</f>
        <v/>
      </c>
      <c r="N514" s="36" t="str">
        <f aca="false">IF($A514="","",$I514*$K514)</f>
        <v/>
      </c>
      <c r="O514" s="35" t="str">
        <f aca="false">IF(OR($A514="",$C514="U",$S514&lt;&gt;Calc!$F$2),"",SUMIFS($I$3:$I$3002,$E$3:$E$3002,$E514,$C$3:$C$3002,"&lt;&gt;U",$S$3:$S$3002,Calc!$F$2))</f>
        <v/>
      </c>
      <c r="P514" s="35" t="str">
        <f aca="false">IF(OR($A514="",$C514="U",$S514&lt;&gt;Calc!$F$2),"",SUMIFS($N$3:$N$3002,$E$3:$E$3002,$E514,$C$3:$C$3002,"&lt;&gt;U",$S$3:$S$3002,Calc!$F$2))</f>
        <v/>
      </c>
      <c r="Q514" s="35" t="str">
        <f aca="false">IF(OR($A514="",$C514="U",$S514&lt;&gt;Calc!$F$2),"",IF(COUNTIFS($E$3:$E514,$E514,$C$3:$C514,"&lt;&gt;U",$S$3:$S514,Calc!$F$2)=1,1,0))</f>
        <v/>
      </c>
      <c r="R514" s="35" t="str">
        <f aca="false">IF($Q514=1,$O514-ROW()/100000,"")</f>
        <v/>
      </c>
      <c r="S514" s="37" t="str">
        <f aca="false">IF($A514="","",INT($A514))</f>
        <v/>
      </c>
      <c r="T514" s="35" t="str">
        <f aca="false">IF($A514="","",IF(COUNTIFS($S$3:$S514,$S514)=1,1,0))</f>
        <v/>
      </c>
      <c r="U514" s="37" t="str">
        <f aca="false">IF($T514=1,$S514,"")</f>
        <v/>
      </c>
    </row>
    <row r="515" customFormat="false" ht="15" hidden="false" customHeight="false" outlineLevel="0" collapsed="false">
      <c r="M515" s="35" t="str">
        <f aca="false">IF($A515="","",HOUR($A515))</f>
        <v/>
      </c>
      <c r="N515" s="36" t="str">
        <f aca="false">IF($A515="","",$I515*$K515)</f>
        <v/>
      </c>
      <c r="O515" s="35" t="str">
        <f aca="false">IF(OR($A515="",$C515="U",$S515&lt;&gt;Calc!$F$2),"",SUMIFS($I$3:$I$3002,$E$3:$E$3002,$E515,$C$3:$C$3002,"&lt;&gt;U",$S$3:$S$3002,Calc!$F$2))</f>
        <v/>
      </c>
      <c r="P515" s="35" t="str">
        <f aca="false">IF(OR($A515="",$C515="U",$S515&lt;&gt;Calc!$F$2),"",SUMIFS($N$3:$N$3002,$E$3:$E$3002,$E515,$C$3:$C$3002,"&lt;&gt;U",$S$3:$S$3002,Calc!$F$2))</f>
        <v/>
      </c>
      <c r="Q515" s="35" t="str">
        <f aca="false">IF(OR($A515="",$C515="U",$S515&lt;&gt;Calc!$F$2),"",IF(COUNTIFS($E$3:$E515,$E515,$C$3:$C515,"&lt;&gt;U",$S$3:$S515,Calc!$F$2)=1,1,0))</f>
        <v/>
      </c>
      <c r="R515" s="35" t="str">
        <f aca="false">IF($Q515=1,$O515-ROW()/100000,"")</f>
        <v/>
      </c>
      <c r="S515" s="37" t="str">
        <f aca="false">IF($A515="","",INT($A515))</f>
        <v/>
      </c>
      <c r="T515" s="35" t="str">
        <f aca="false">IF($A515="","",IF(COUNTIFS($S$3:$S515,$S515)=1,1,0))</f>
        <v/>
      </c>
      <c r="U515" s="37" t="str">
        <f aca="false">IF($T515=1,$S515,"")</f>
        <v/>
      </c>
    </row>
    <row r="516" customFormat="false" ht="15" hidden="false" customHeight="false" outlineLevel="0" collapsed="false">
      <c r="M516" s="35" t="str">
        <f aca="false">IF($A516="","",HOUR($A516))</f>
        <v/>
      </c>
      <c r="N516" s="36" t="str">
        <f aca="false">IF($A516="","",$I516*$K516)</f>
        <v/>
      </c>
      <c r="O516" s="35" t="str">
        <f aca="false">IF(OR($A516="",$C516="U",$S516&lt;&gt;Calc!$F$2),"",SUMIFS($I$3:$I$3002,$E$3:$E$3002,$E516,$C$3:$C$3002,"&lt;&gt;U",$S$3:$S$3002,Calc!$F$2))</f>
        <v/>
      </c>
      <c r="P516" s="35" t="str">
        <f aca="false">IF(OR($A516="",$C516="U",$S516&lt;&gt;Calc!$F$2),"",SUMIFS($N$3:$N$3002,$E$3:$E$3002,$E516,$C$3:$C$3002,"&lt;&gt;U",$S$3:$S$3002,Calc!$F$2))</f>
        <v/>
      </c>
      <c r="Q516" s="35" t="str">
        <f aca="false">IF(OR($A516="",$C516="U",$S516&lt;&gt;Calc!$F$2),"",IF(COUNTIFS($E$3:$E516,$E516,$C$3:$C516,"&lt;&gt;U",$S$3:$S516,Calc!$F$2)=1,1,0))</f>
        <v/>
      </c>
      <c r="R516" s="35" t="str">
        <f aca="false">IF($Q516=1,$O516-ROW()/100000,"")</f>
        <v/>
      </c>
      <c r="S516" s="37" t="str">
        <f aca="false">IF($A516="","",INT($A516))</f>
        <v/>
      </c>
      <c r="T516" s="35" t="str">
        <f aca="false">IF($A516="","",IF(COUNTIFS($S$3:$S516,$S516)=1,1,0))</f>
        <v/>
      </c>
      <c r="U516" s="37" t="str">
        <f aca="false">IF($T516=1,$S516,"")</f>
        <v/>
      </c>
    </row>
    <row r="517" customFormat="false" ht="15" hidden="false" customHeight="false" outlineLevel="0" collapsed="false">
      <c r="M517" s="35" t="str">
        <f aca="false">IF($A517="","",HOUR($A517))</f>
        <v/>
      </c>
      <c r="N517" s="36" t="str">
        <f aca="false">IF($A517="","",$I517*$K517)</f>
        <v/>
      </c>
      <c r="O517" s="35" t="str">
        <f aca="false">IF(OR($A517="",$C517="U",$S517&lt;&gt;Calc!$F$2),"",SUMIFS($I$3:$I$3002,$E$3:$E$3002,$E517,$C$3:$C$3002,"&lt;&gt;U",$S$3:$S$3002,Calc!$F$2))</f>
        <v/>
      </c>
      <c r="P517" s="35" t="str">
        <f aca="false">IF(OR($A517="",$C517="U",$S517&lt;&gt;Calc!$F$2),"",SUMIFS($N$3:$N$3002,$E$3:$E$3002,$E517,$C$3:$C$3002,"&lt;&gt;U",$S$3:$S$3002,Calc!$F$2))</f>
        <v/>
      </c>
      <c r="Q517" s="35" t="str">
        <f aca="false">IF(OR($A517="",$C517="U",$S517&lt;&gt;Calc!$F$2),"",IF(COUNTIFS($E$3:$E517,$E517,$C$3:$C517,"&lt;&gt;U",$S$3:$S517,Calc!$F$2)=1,1,0))</f>
        <v/>
      </c>
      <c r="R517" s="35" t="str">
        <f aca="false">IF($Q517=1,$O517-ROW()/100000,"")</f>
        <v/>
      </c>
      <c r="S517" s="37" t="str">
        <f aca="false">IF($A517="","",INT($A517))</f>
        <v/>
      </c>
      <c r="T517" s="35" t="str">
        <f aca="false">IF($A517="","",IF(COUNTIFS($S$3:$S517,$S517)=1,1,0))</f>
        <v/>
      </c>
      <c r="U517" s="37" t="str">
        <f aca="false">IF($T517=1,$S517,"")</f>
        <v/>
      </c>
    </row>
    <row r="518" customFormat="false" ht="15" hidden="false" customHeight="false" outlineLevel="0" collapsed="false">
      <c r="M518" s="35" t="str">
        <f aca="false">IF($A518="","",HOUR($A518))</f>
        <v/>
      </c>
      <c r="N518" s="36" t="str">
        <f aca="false">IF($A518="","",$I518*$K518)</f>
        <v/>
      </c>
      <c r="O518" s="35" t="str">
        <f aca="false">IF(OR($A518="",$C518="U",$S518&lt;&gt;Calc!$F$2),"",SUMIFS($I$3:$I$3002,$E$3:$E$3002,$E518,$C$3:$C$3002,"&lt;&gt;U",$S$3:$S$3002,Calc!$F$2))</f>
        <v/>
      </c>
      <c r="P518" s="35" t="str">
        <f aca="false">IF(OR($A518="",$C518="U",$S518&lt;&gt;Calc!$F$2),"",SUMIFS($N$3:$N$3002,$E$3:$E$3002,$E518,$C$3:$C$3002,"&lt;&gt;U",$S$3:$S$3002,Calc!$F$2))</f>
        <v/>
      </c>
      <c r="Q518" s="35" t="str">
        <f aca="false">IF(OR($A518="",$C518="U",$S518&lt;&gt;Calc!$F$2),"",IF(COUNTIFS($E$3:$E518,$E518,$C$3:$C518,"&lt;&gt;U",$S$3:$S518,Calc!$F$2)=1,1,0))</f>
        <v/>
      </c>
      <c r="R518" s="35" t="str">
        <f aca="false">IF($Q518=1,$O518-ROW()/100000,"")</f>
        <v/>
      </c>
      <c r="S518" s="37" t="str">
        <f aca="false">IF($A518="","",INT($A518))</f>
        <v/>
      </c>
      <c r="T518" s="35" t="str">
        <f aca="false">IF($A518="","",IF(COUNTIFS($S$3:$S518,$S518)=1,1,0))</f>
        <v/>
      </c>
      <c r="U518" s="37" t="str">
        <f aca="false">IF($T518=1,$S518,"")</f>
        <v/>
      </c>
    </row>
    <row r="519" customFormat="false" ht="15" hidden="false" customHeight="false" outlineLevel="0" collapsed="false">
      <c r="M519" s="35" t="str">
        <f aca="false">IF($A519="","",HOUR($A519))</f>
        <v/>
      </c>
      <c r="N519" s="36" t="str">
        <f aca="false">IF($A519="","",$I519*$K519)</f>
        <v/>
      </c>
      <c r="O519" s="35" t="str">
        <f aca="false">IF(OR($A519="",$C519="U",$S519&lt;&gt;Calc!$F$2),"",SUMIFS($I$3:$I$3002,$E$3:$E$3002,$E519,$C$3:$C$3002,"&lt;&gt;U",$S$3:$S$3002,Calc!$F$2))</f>
        <v/>
      </c>
      <c r="P519" s="35" t="str">
        <f aca="false">IF(OR($A519="",$C519="U",$S519&lt;&gt;Calc!$F$2),"",SUMIFS($N$3:$N$3002,$E$3:$E$3002,$E519,$C$3:$C$3002,"&lt;&gt;U",$S$3:$S$3002,Calc!$F$2))</f>
        <v/>
      </c>
      <c r="Q519" s="35" t="str">
        <f aca="false">IF(OR($A519="",$C519="U",$S519&lt;&gt;Calc!$F$2),"",IF(COUNTIFS($E$3:$E519,$E519,$C$3:$C519,"&lt;&gt;U",$S$3:$S519,Calc!$F$2)=1,1,0))</f>
        <v/>
      </c>
      <c r="R519" s="35" t="str">
        <f aca="false">IF($Q519=1,$O519-ROW()/100000,"")</f>
        <v/>
      </c>
      <c r="S519" s="37" t="str">
        <f aca="false">IF($A519="","",INT($A519))</f>
        <v/>
      </c>
      <c r="T519" s="35" t="str">
        <f aca="false">IF($A519="","",IF(COUNTIFS($S$3:$S519,$S519)=1,1,0))</f>
        <v/>
      </c>
      <c r="U519" s="37" t="str">
        <f aca="false">IF($T519=1,$S519,"")</f>
        <v/>
      </c>
    </row>
    <row r="520" customFormat="false" ht="15" hidden="false" customHeight="false" outlineLevel="0" collapsed="false">
      <c r="M520" s="35" t="str">
        <f aca="false">IF($A520="","",HOUR($A520))</f>
        <v/>
      </c>
      <c r="N520" s="36" t="str">
        <f aca="false">IF($A520="","",$I520*$K520)</f>
        <v/>
      </c>
      <c r="O520" s="35" t="str">
        <f aca="false">IF(OR($A520="",$C520="U",$S520&lt;&gt;Calc!$F$2),"",SUMIFS($I$3:$I$3002,$E$3:$E$3002,$E520,$C$3:$C$3002,"&lt;&gt;U",$S$3:$S$3002,Calc!$F$2))</f>
        <v/>
      </c>
      <c r="P520" s="35" t="str">
        <f aca="false">IF(OR($A520="",$C520="U",$S520&lt;&gt;Calc!$F$2),"",SUMIFS($N$3:$N$3002,$E$3:$E$3002,$E520,$C$3:$C$3002,"&lt;&gt;U",$S$3:$S$3002,Calc!$F$2))</f>
        <v/>
      </c>
      <c r="Q520" s="35" t="str">
        <f aca="false">IF(OR($A520="",$C520="U",$S520&lt;&gt;Calc!$F$2),"",IF(COUNTIFS($E$3:$E520,$E520,$C$3:$C520,"&lt;&gt;U",$S$3:$S520,Calc!$F$2)=1,1,0))</f>
        <v/>
      </c>
      <c r="R520" s="35" t="str">
        <f aca="false">IF($Q520=1,$O520-ROW()/100000,"")</f>
        <v/>
      </c>
      <c r="S520" s="37" t="str">
        <f aca="false">IF($A520="","",INT($A520))</f>
        <v/>
      </c>
      <c r="T520" s="35" t="str">
        <f aca="false">IF($A520="","",IF(COUNTIFS($S$3:$S520,$S520)=1,1,0))</f>
        <v/>
      </c>
      <c r="U520" s="37" t="str">
        <f aca="false">IF($T520=1,$S520,"")</f>
        <v/>
      </c>
    </row>
    <row r="521" customFormat="false" ht="15" hidden="false" customHeight="false" outlineLevel="0" collapsed="false">
      <c r="M521" s="35" t="str">
        <f aca="false">IF($A521="","",HOUR($A521))</f>
        <v/>
      </c>
      <c r="N521" s="36" t="str">
        <f aca="false">IF($A521="","",$I521*$K521)</f>
        <v/>
      </c>
      <c r="O521" s="35" t="str">
        <f aca="false">IF(OR($A521="",$C521="U",$S521&lt;&gt;Calc!$F$2),"",SUMIFS($I$3:$I$3002,$E$3:$E$3002,$E521,$C$3:$C$3002,"&lt;&gt;U",$S$3:$S$3002,Calc!$F$2))</f>
        <v/>
      </c>
      <c r="P521" s="35" t="str">
        <f aca="false">IF(OR($A521="",$C521="U",$S521&lt;&gt;Calc!$F$2),"",SUMIFS($N$3:$N$3002,$E$3:$E$3002,$E521,$C$3:$C$3002,"&lt;&gt;U",$S$3:$S$3002,Calc!$F$2))</f>
        <v/>
      </c>
      <c r="Q521" s="35" t="str">
        <f aca="false">IF(OR($A521="",$C521="U",$S521&lt;&gt;Calc!$F$2),"",IF(COUNTIFS($E$3:$E521,$E521,$C$3:$C521,"&lt;&gt;U",$S$3:$S521,Calc!$F$2)=1,1,0))</f>
        <v/>
      </c>
      <c r="R521" s="35" t="str">
        <f aca="false">IF($Q521=1,$O521-ROW()/100000,"")</f>
        <v/>
      </c>
      <c r="S521" s="37" t="str">
        <f aca="false">IF($A521="","",INT($A521))</f>
        <v/>
      </c>
      <c r="T521" s="35" t="str">
        <f aca="false">IF($A521="","",IF(COUNTIFS($S$3:$S521,$S521)=1,1,0))</f>
        <v/>
      </c>
      <c r="U521" s="37" t="str">
        <f aca="false">IF($T521=1,$S521,"")</f>
        <v/>
      </c>
    </row>
    <row r="522" customFormat="false" ht="15" hidden="false" customHeight="false" outlineLevel="0" collapsed="false">
      <c r="M522" s="35" t="str">
        <f aca="false">IF($A522="","",HOUR($A522))</f>
        <v/>
      </c>
      <c r="N522" s="36" t="str">
        <f aca="false">IF($A522="","",$I522*$K522)</f>
        <v/>
      </c>
      <c r="O522" s="35" t="str">
        <f aca="false">IF(OR($A522="",$C522="U",$S522&lt;&gt;Calc!$F$2),"",SUMIFS($I$3:$I$3002,$E$3:$E$3002,$E522,$C$3:$C$3002,"&lt;&gt;U",$S$3:$S$3002,Calc!$F$2))</f>
        <v/>
      </c>
      <c r="P522" s="35" t="str">
        <f aca="false">IF(OR($A522="",$C522="U",$S522&lt;&gt;Calc!$F$2),"",SUMIFS($N$3:$N$3002,$E$3:$E$3002,$E522,$C$3:$C$3002,"&lt;&gt;U",$S$3:$S$3002,Calc!$F$2))</f>
        <v/>
      </c>
      <c r="Q522" s="35" t="str">
        <f aca="false">IF(OR($A522="",$C522="U",$S522&lt;&gt;Calc!$F$2),"",IF(COUNTIFS($E$3:$E522,$E522,$C$3:$C522,"&lt;&gt;U",$S$3:$S522,Calc!$F$2)=1,1,0))</f>
        <v/>
      </c>
      <c r="R522" s="35" t="str">
        <f aca="false">IF($Q522=1,$O522-ROW()/100000,"")</f>
        <v/>
      </c>
      <c r="S522" s="37" t="str">
        <f aca="false">IF($A522="","",INT($A522))</f>
        <v/>
      </c>
      <c r="T522" s="35" t="str">
        <f aca="false">IF($A522="","",IF(COUNTIFS($S$3:$S522,$S522)=1,1,0))</f>
        <v/>
      </c>
      <c r="U522" s="37" t="str">
        <f aca="false">IF($T522=1,$S522,"")</f>
        <v/>
      </c>
    </row>
    <row r="523" customFormat="false" ht="15" hidden="false" customHeight="false" outlineLevel="0" collapsed="false">
      <c r="M523" s="35" t="str">
        <f aca="false">IF($A523="","",HOUR($A523))</f>
        <v/>
      </c>
      <c r="N523" s="36" t="str">
        <f aca="false">IF($A523="","",$I523*$K523)</f>
        <v/>
      </c>
      <c r="O523" s="35" t="str">
        <f aca="false">IF(OR($A523="",$C523="U",$S523&lt;&gt;Calc!$F$2),"",SUMIFS($I$3:$I$3002,$E$3:$E$3002,$E523,$C$3:$C$3002,"&lt;&gt;U",$S$3:$S$3002,Calc!$F$2))</f>
        <v/>
      </c>
      <c r="P523" s="35" t="str">
        <f aca="false">IF(OR($A523="",$C523="U",$S523&lt;&gt;Calc!$F$2),"",SUMIFS($N$3:$N$3002,$E$3:$E$3002,$E523,$C$3:$C$3002,"&lt;&gt;U",$S$3:$S$3002,Calc!$F$2))</f>
        <v/>
      </c>
      <c r="Q523" s="35" t="str">
        <f aca="false">IF(OR($A523="",$C523="U",$S523&lt;&gt;Calc!$F$2),"",IF(COUNTIFS($E$3:$E523,$E523,$C$3:$C523,"&lt;&gt;U",$S$3:$S523,Calc!$F$2)=1,1,0))</f>
        <v/>
      </c>
      <c r="R523" s="35" t="str">
        <f aca="false">IF($Q523=1,$O523-ROW()/100000,"")</f>
        <v/>
      </c>
      <c r="S523" s="37" t="str">
        <f aca="false">IF($A523="","",INT($A523))</f>
        <v/>
      </c>
      <c r="T523" s="35" t="str">
        <f aca="false">IF($A523="","",IF(COUNTIFS($S$3:$S523,$S523)=1,1,0))</f>
        <v/>
      </c>
      <c r="U523" s="37" t="str">
        <f aca="false">IF($T523=1,$S523,"")</f>
        <v/>
      </c>
    </row>
    <row r="524" customFormat="false" ht="15" hidden="false" customHeight="false" outlineLevel="0" collapsed="false">
      <c r="M524" s="35" t="str">
        <f aca="false">IF($A524="","",HOUR($A524))</f>
        <v/>
      </c>
      <c r="N524" s="36" t="str">
        <f aca="false">IF($A524="","",$I524*$K524)</f>
        <v/>
      </c>
      <c r="O524" s="35" t="str">
        <f aca="false">IF(OR($A524="",$C524="U",$S524&lt;&gt;Calc!$F$2),"",SUMIFS($I$3:$I$3002,$E$3:$E$3002,$E524,$C$3:$C$3002,"&lt;&gt;U",$S$3:$S$3002,Calc!$F$2))</f>
        <v/>
      </c>
      <c r="P524" s="35" t="str">
        <f aca="false">IF(OR($A524="",$C524="U",$S524&lt;&gt;Calc!$F$2),"",SUMIFS($N$3:$N$3002,$E$3:$E$3002,$E524,$C$3:$C$3002,"&lt;&gt;U",$S$3:$S$3002,Calc!$F$2))</f>
        <v/>
      </c>
      <c r="Q524" s="35" t="str">
        <f aca="false">IF(OR($A524="",$C524="U",$S524&lt;&gt;Calc!$F$2),"",IF(COUNTIFS($E$3:$E524,$E524,$C$3:$C524,"&lt;&gt;U",$S$3:$S524,Calc!$F$2)=1,1,0))</f>
        <v/>
      </c>
      <c r="R524" s="35" t="str">
        <f aca="false">IF($Q524=1,$O524-ROW()/100000,"")</f>
        <v/>
      </c>
      <c r="S524" s="37" t="str">
        <f aca="false">IF($A524="","",INT($A524))</f>
        <v/>
      </c>
      <c r="T524" s="35" t="str">
        <f aca="false">IF($A524="","",IF(COUNTIFS($S$3:$S524,$S524)=1,1,0))</f>
        <v/>
      </c>
      <c r="U524" s="37" t="str">
        <f aca="false">IF($T524=1,$S524,"")</f>
        <v/>
      </c>
    </row>
    <row r="525" customFormat="false" ht="15" hidden="false" customHeight="false" outlineLevel="0" collapsed="false">
      <c r="M525" s="35" t="str">
        <f aca="false">IF($A525="","",HOUR($A525))</f>
        <v/>
      </c>
      <c r="N525" s="36" t="str">
        <f aca="false">IF($A525="","",$I525*$K525)</f>
        <v/>
      </c>
      <c r="O525" s="35" t="str">
        <f aca="false">IF(OR($A525="",$C525="U",$S525&lt;&gt;Calc!$F$2),"",SUMIFS($I$3:$I$3002,$E$3:$E$3002,$E525,$C$3:$C$3002,"&lt;&gt;U",$S$3:$S$3002,Calc!$F$2))</f>
        <v/>
      </c>
      <c r="P525" s="35" t="str">
        <f aca="false">IF(OR($A525="",$C525="U",$S525&lt;&gt;Calc!$F$2),"",SUMIFS($N$3:$N$3002,$E$3:$E$3002,$E525,$C$3:$C$3002,"&lt;&gt;U",$S$3:$S$3002,Calc!$F$2))</f>
        <v/>
      </c>
      <c r="Q525" s="35" t="str">
        <f aca="false">IF(OR($A525="",$C525="U",$S525&lt;&gt;Calc!$F$2),"",IF(COUNTIFS($E$3:$E525,$E525,$C$3:$C525,"&lt;&gt;U",$S$3:$S525,Calc!$F$2)=1,1,0))</f>
        <v/>
      </c>
      <c r="R525" s="35" t="str">
        <f aca="false">IF($Q525=1,$O525-ROW()/100000,"")</f>
        <v/>
      </c>
      <c r="S525" s="37" t="str">
        <f aca="false">IF($A525="","",INT($A525))</f>
        <v/>
      </c>
      <c r="T525" s="35" t="str">
        <f aca="false">IF($A525="","",IF(COUNTIFS($S$3:$S525,$S525)=1,1,0))</f>
        <v/>
      </c>
      <c r="U525" s="37" t="str">
        <f aca="false">IF($T525=1,$S525,"")</f>
        <v/>
      </c>
    </row>
    <row r="526" customFormat="false" ht="15" hidden="false" customHeight="false" outlineLevel="0" collapsed="false">
      <c r="M526" s="35" t="str">
        <f aca="false">IF($A526="","",HOUR($A526))</f>
        <v/>
      </c>
      <c r="N526" s="36" t="str">
        <f aca="false">IF($A526="","",$I526*$K526)</f>
        <v/>
      </c>
      <c r="O526" s="35" t="str">
        <f aca="false">IF(OR($A526="",$C526="U",$S526&lt;&gt;Calc!$F$2),"",SUMIFS($I$3:$I$3002,$E$3:$E$3002,$E526,$C$3:$C$3002,"&lt;&gt;U",$S$3:$S$3002,Calc!$F$2))</f>
        <v/>
      </c>
      <c r="P526" s="35" t="str">
        <f aca="false">IF(OR($A526="",$C526="U",$S526&lt;&gt;Calc!$F$2),"",SUMIFS($N$3:$N$3002,$E$3:$E$3002,$E526,$C$3:$C$3002,"&lt;&gt;U",$S$3:$S$3002,Calc!$F$2))</f>
        <v/>
      </c>
      <c r="Q526" s="35" t="str">
        <f aca="false">IF(OR($A526="",$C526="U",$S526&lt;&gt;Calc!$F$2),"",IF(COUNTIFS($E$3:$E526,$E526,$C$3:$C526,"&lt;&gt;U",$S$3:$S526,Calc!$F$2)=1,1,0))</f>
        <v/>
      </c>
      <c r="R526" s="35" t="str">
        <f aca="false">IF($Q526=1,$O526-ROW()/100000,"")</f>
        <v/>
      </c>
      <c r="S526" s="37" t="str">
        <f aca="false">IF($A526="","",INT($A526))</f>
        <v/>
      </c>
      <c r="T526" s="35" t="str">
        <f aca="false">IF($A526="","",IF(COUNTIFS($S$3:$S526,$S526)=1,1,0))</f>
        <v/>
      </c>
      <c r="U526" s="37" t="str">
        <f aca="false">IF($T526=1,$S526,"")</f>
        <v/>
      </c>
    </row>
    <row r="527" customFormat="false" ht="15" hidden="false" customHeight="false" outlineLevel="0" collapsed="false">
      <c r="M527" s="35" t="str">
        <f aca="false">IF($A527="","",HOUR($A527))</f>
        <v/>
      </c>
      <c r="N527" s="36" t="str">
        <f aca="false">IF($A527="","",$I527*$K527)</f>
        <v/>
      </c>
      <c r="O527" s="35" t="str">
        <f aca="false">IF(OR($A527="",$C527="U",$S527&lt;&gt;Calc!$F$2),"",SUMIFS($I$3:$I$3002,$E$3:$E$3002,$E527,$C$3:$C$3002,"&lt;&gt;U",$S$3:$S$3002,Calc!$F$2))</f>
        <v/>
      </c>
      <c r="P527" s="35" t="str">
        <f aca="false">IF(OR($A527="",$C527="U",$S527&lt;&gt;Calc!$F$2),"",SUMIFS($N$3:$N$3002,$E$3:$E$3002,$E527,$C$3:$C$3002,"&lt;&gt;U",$S$3:$S$3002,Calc!$F$2))</f>
        <v/>
      </c>
      <c r="Q527" s="35" t="str">
        <f aca="false">IF(OR($A527="",$C527="U",$S527&lt;&gt;Calc!$F$2),"",IF(COUNTIFS($E$3:$E527,$E527,$C$3:$C527,"&lt;&gt;U",$S$3:$S527,Calc!$F$2)=1,1,0))</f>
        <v/>
      </c>
      <c r="R527" s="35" t="str">
        <f aca="false">IF($Q527=1,$O527-ROW()/100000,"")</f>
        <v/>
      </c>
      <c r="S527" s="37" t="str">
        <f aca="false">IF($A527="","",INT($A527))</f>
        <v/>
      </c>
      <c r="T527" s="35" t="str">
        <f aca="false">IF($A527="","",IF(COUNTIFS($S$3:$S527,$S527)=1,1,0))</f>
        <v/>
      </c>
      <c r="U527" s="37" t="str">
        <f aca="false">IF($T527=1,$S527,"")</f>
        <v/>
      </c>
    </row>
    <row r="528" customFormat="false" ht="15" hidden="false" customHeight="false" outlineLevel="0" collapsed="false">
      <c r="M528" s="35" t="str">
        <f aca="false">IF($A528="","",HOUR($A528))</f>
        <v/>
      </c>
      <c r="N528" s="36" t="str">
        <f aca="false">IF($A528="","",$I528*$K528)</f>
        <v/>
      </c>
      <c r="O528" s="35" t="str">
        <f aca="false">IF(OR($A528="",$C528="U",$S528&lt;&gt;Calc!$F$2),"",SUMIFS($I$3:$I$3002,$E$3:$E$3002,$E528,$C$3:$C$3002,"&lt;&gt;U",$S$3:$S$3002,Calc!$F$2))</f>
        <v/>
      </c>
      <c r="P528" s="35" t="str">
        <f aca="false">IF(OR($A528="",$C528="U",$S528&lt;&gt;Calc!$F$2),"",SUMIFS($N$3:$N$3002,$E$3:$E$3002,$E528,$C$3:$C$3002,"&lt;&gt;U",$S$3:$S$3002,Calc!$F$2))</f>
        <v/>
      </c>
      <c r="Q528" s="35" t="str">
        <f aca="false">IF(OR($A528="",$C528="U",$S528&lt;&gt;Calc!$F$2),"",IF(COUNTIFS($E$3:$E528,$E528,$C$3:$C528,"&lt;&gt;U",$S$3:$S528,Calc!$F$2)=1,1,0))</f>
        <v/>
      </c>
      <c r="R528" s="35" t="str">
        <f aca="false">IF($Q528=1,$O528-ROW()/100000,"")</f>
        <v/>
      </c>
      <c r="S528" s="37" t="str">
        <f aca="false">IF($A528="","",INT($A528))</f>
        <v/>
      </c>
      <c r="T528" s="35" t="str">
        <f aca="false">IF($A528="","",IF(COUNTIFS($S$3:$S528,$S528)=1,1,0))</f>
        <v/>
      </c>
      <c r="U528" s="37" t="str">
        <f aca="false">IF($T528=1,$S528,"")</f>
        <v/>
      </c>
    </row>
    <row r="529" customFormat="false" ht="15" hidden="false" customHeight="false" outlineLevel="0" collapsed="false">
      <c r="M529" s="35" t="str">
        <f aca="false">IF($A529="","",HOUR($A529))</f>
        <v/>
      </c>
      <c r="N529" s="36" t="str">
        <f aca="false">IF($A529="","",$I529*$K529)</f>
        <v/>
      </c>
      <c r="O529" s="35" t="str">
        <f aca="false">IF(OR($A529="",$C529="U",$S529&lt;&gt;Calc!$F$2),"",SUMIFS($I$3:$I$3002,$E$3:$E$3002,$E529,$C$3:$C$3002,"&lt;&gt;U",$S$3:$S$3002,Calc!$F$2))</f>
        <v/>
      </c>
      <c r="P529" s="35" t="str">
        <f aca="false">IF(OR($A529="",$C529="U",$S529&lt;&gt;Calc!$F$2),"",SUMIFS($N$3:$N$3002,$E$3:$E$3002,$E529,$C$3:$C$3002,"&lt;&gt;U",$S$3:$S$3002,Calc!$F$2))</f>
        <v/>
      </c>
      <c r="Q529" s="35" t="str">
        <f aca="false">IF(OR($A529="",$C529="U",$S529&lt;&gt;Calc!$F$2),"",IF(COUNTIFS($E$3:$E529,$E529,$C$3:$C529,"&lt;&gt;U",$S$3:$S529,Calc!$F$2)=1,1,0))</f>
        <v/>
      </c>
      <c r="R529" s="35" t="str">
        <f aca="false">IF($Q529=1,$O529-ROW()/100000,"")</f>
        <v/>
      </c>
      <c r="S529" s="37" t="str">
        <f aca="false">IF($A529="","",INT($A529))</f>
        <v/>
      </c>
      <c r="T529" s="35" t="str">
        <f aca="false">IF($A529="","",IF(COUNTIFS($S$3:$S529,$S529)=1,1,0))</f>
        <v/>
      </c>
      <c r="U529" s="37" t="str">
        <f aca="false">IF($T529=1,$S529,"")</f>
        <v/>
      </c>
    </row>
    <row r="530" customFormat="false" ht="15" hidden="false" customHeight="false" outlineLevel="0" collapsed="false">
      <c r="M530" s="35" t="str">
        <f aca="false">IF($A530="","",HOUR($A530))</f>
        <v/>
      </c>
      <c r="N530" s="36" t="str">
        <f aca="false">IF($A530="","",$I530*$K530)</f>
        <v/>
      </c>
      <c r="O530" s="35" t="str">
        <f aca="false">IF(OR($A530="",$C530="U",$S530&lt;&gt;Calc!$F$2),"",SUMIFS($I$3:$I$3002,$E$3:$E$3002,$E530,$C$3:$C$3002,"&lt;&gt;U",$S$3:$S$3002,Calc!$F$2))</f>
        <v/>
      </c>
      <c r="P530" s="35" t="str">
        <f aca="false">IF(OR($A530="",$C530="U",$S530&lt;&gt;Calc!$F$2),"",SUMIFS($N$3:$N$3002,$E$3:$E$3002,$E530,$C$3:$C$3002,"&lt;&gt;U",$S$3:$S$3002,Calc!$F$2))</f>
        <v/>
      </c>
      <c r="Q530" s="35" t="str">
        <f aca="false">IF(OR($A530="",$C530="U",$S530&lt;&gt;Calc!$F$2),"",IF(COUNTIFS($E$3:$E530,$E530,$C$3:$C530,"&lt;&gt;U",$S$3:$S530,Calc!$F$2)=1,1,0))</f>
        <v/>
      </c>
      <c r="R530" s="35" t="str">
        <f aca="false">IF($Q530=1,$O530-ROW()/100000,"")</f>
        <v/>
      </c>
      <c r="S530" s="37" t="str">
        <f aca="false">IF($A530="","",INT($A530))</f>
        <v/>
      </c>
      <c r="T530" s="35" t="str">
        <f aca="false">IF($A530="","",IF(COUNTIFS($S$3:$S530,$S530)=1,1,0))</f>
        <v/>
      </c>
      <c r="U530" s="37" t="str">
        <f aca="false">IF($T530=1,$S530,"")</f>
        <v/>
      </c>
    </row>
    <row r="531" customFormat="false" ht="15" hidden="false" customHeight="false" outlineLevel="0" collapsed="false">
      <c r="M531" s="35" t="str">
        <f aca="false">IF($A531="","",HOUR($A531))</f>
        <v/>
      </c>
      <c r="N531" s="36" t="str">
        <f aca="false">IF($A531="","",$I531*$K531)</f>
        <v/>
      </c>
      <c r="O531" s="35" t="str">
        <f aca="false">IF(OR($A531="",$C531="U",$S531&lt;&gt;Calc!$F$2),"",SUMIFS($I$3:$I$3002,$E$3:$E$3002,$E531,$C$3:$C$3002,"&lt;&gt;U",$S$3:$S$3002,Calc!$F$2))</f>
        <v/>
      </c>
      <c r="P531" s="35" t="str">
        <f aca="false">IF(OR($A531="",$C531="U",$S531&lt;&gt;Calc!$F$2),"",SUMIFS($N$3:$N$3002,$E$3:$E$3002,$E531,$C$3:$C$3002,"&lt;&gt;U",$S$3:$S$3002,Calc!$F$2))</f>
        <v/>
      </c>
      <c r="Q531" s="35" t="str">
        <f aca="false">IF(OR($A531="",$C531="U",$S531&lt;&gt;Calc!$F$2),"",IF(COUNTIFS($E$3:$E531,$E531,$C$3:$C531,"&lt;&gt;U",$S$3:$S531,Calc!$F$2)=1,1,0))</f>
        <v/>
      </c>
      <c r="R531" s="35" t="str">
        <f aca="false">IF($Q531=1,$O531-ROW()/100000,"")</f>
        <v/>
      </c>
      <c r="S531" s="37" t="str">
        <f aca="false">IF($A531="","",INT($A531))</f>
        <v/>
      </c>
      <c r="T531" s="35" t="str">
        <f aca="false">IF($A531="","",IF(COUNTIFS($S$3:$S531,$S531)=1,1,0))</f>
        <v/>
      </c>
      <c r="U531" s="37" t="str">
        <f aca="false">IF($T531=1,$S531,"")</f>
        <v/>
      </c>
    </row>
    <row r="532" customFormat="false" ht="15" hidden="false" customHeight="false" outlineLevel="0" collapsed="false">
      <c r="M532" s="35" t="str">
        <f aca="false">IF($A532="","",HOUR($A532))</f>
        <v/>
      </c>
      <c r="N532" s="36" t="str">
        <f aca="false">IF($A532="","",$I532*$K532)</f>
        <v/>
      </c>
      <c r="O532" s="35" t="str">
        <f aca="false">IF(OR($A532="",$C532="U",$S532&lt;&gt;Calc!$F$2),"",SUMIFS($I$3:$I$3002,$E$3:$E$3002,$E532,$C$3:$C$3002,"&lt;&gt;U",$S$3:$S$3002,Calc!$F$2))</f>
        <v/>
      </c>
      <c r="P532" s="35" t="str">
        <f aca="false">IF(OR($A532="",$C532="U",$S532&lt;&gt;Calc!$F$2),"",SUMIFS($N$3:$N$3002,$E$3:$E$3002,$E532,$C$3:$C$3002,"&lt;&gt;U",$S$3:$S$3002,Calc!$F$2))</f>
        <v/>
      </c>
      <c r="Q532" s="35" t="str">
        <f aca="false">IF(OR($A532="",$C532="U",$S532&lt;&gt;Calc!$F$2),"",IF(COUNTIFS($E$3:$E532,$E532,$C$3:$C532,"&lt;&gt;U",$S$3:$S532,Calc!$F$2)=1,1,0))</f>
        <v/>
      </c>
      <c r="R532" s="35" t="str">
        <f aca="false">IF($Q532=1,$O532-ROW()/100000,"")</f>
        <v/>
      </c>
      <c r="S532" s="37" t="str">
        <f aca="false">IF($A532="","",INT($A532))</f>
        <v/>
      </c>
      <c r="T532" s="35" t="str">
        <f aca="false">IF($A532="","",IF(COUNTIFS($S$3:$S532,$S532)=1,1,0))</f>
        <v/>
      </c>
      <c r="U532" s="37" t="str">
        <f aca="false">IF($T532=1,$S532,"")</f>
        <v/>
      </c>
    </row>
    <row r="533" customFormat="false" ht="15" hidden="false" customHeight="false" outlineLevel="0" collapsed="false">
      <c r="M533" s="35" t="str">
        <f aca="false">IF($A533="","",HOUR($A533))</f>
        <v/>
      </c>
      <c r="N533" s="36" t="str">
        <f aca="false">IF($A533="","",$I533*$K533)</f>
        <v/>
      </c>
      <c r="O533" s="35" t="str">
        <f aca="false">IF(OR($A533="",$C533="U",$S533&lt;&gt;Calc!$F$2),"",SUMIFS($I$3:$I$3002,$E$3:$E$3002,$E533,$C$3:$C$3002,"&lt;&gt;U",$S$3:$S$3002,Calc!$F$2))</f>
        <v/>
      </c>
      <c r="P533" s="35" t="str">
        <f aca="false">IF(OR($A533="",$C533="U",$S533&lt;&gt;Calc!$F$2),"",SUMIFS($N$3:$N$3002,$E$3:$E$3002,$E533,$C$3:$C$3002,"&lt;&gt;U",$S$3:$S$3002,Calc!$F$2))</f>
        <v/>
      </c>
      <c r="Q533" s="35" t="str">
        <f aca="false">IF(OR($A533="",$C533="U",$S533&lt;&gt;Calc!$F$2),"",IF(COUNTIFS($E$3:$E533,$E533,$C$3:$C533,"&lt;&gt;U",$S$3:$S533,Calc!$F$2)=1,1,0))</f>
        <v/>
      </c>
      <c r="R533" s="35" t="str">
        <f aca="false">IF($Q533=1,$O533-ROW()/100000,"")</f>
        <v/>
      </c>
      <c r="S533" s="37" t="str">
        <f aca="false">IF($A533="","",INT($A533))</f>
        <v/>
      </c>
      <c r="T533" s="35" t="str">
        <f aca="false">IF($A533="","",IF(COUNTIFS($S$3:$S533,$S533)=1,1,0))</f>
        <v/>
      </c>
      <c r="U533" s="37" t="str">
        <f aca="false">IF($T533=1,$S533,"")</f>
        <v/>
      </c>
    </row>
    <row r="534" customFormat="false" ht="15" hidden="false" customHeight="false" outlineLevel="0" collapsed="false">
      <c r="M534" s="35" t="str">
        <f aca="false">IF($A534="","",HOUR($A534))</f>
        <v/>
      </c>
      <c r="N534" s="36" t="str">
        <f aca="false">IF($A534="","",$I534*$K534)</f>
        <v/>
      </c>
      <c r="O534" s="35" t="str">
        <f aca="false">IF(OR($A534="",$C534="U",$S534&lt;&gt;Calc!$F$2),"",SUMIFS($I$3:$I$3002,$E$3:$E$3002,$E534,$C$3:$C$3002,"&lt;&gt;U",$S$3:$S$3002,Calc!$F$2))</f>
        <v/>
      </c>
      <c r="P534" s="35" t="str">
        <f aca="false">IF(OR($A534="",$C534="U",$S534&lt;&gt;Calc!$F$2),"",SUMIFS($N$3:$N$3002,$E$3:$E$3002,$E534,$C$3:$C$3002,"&lt;&gt;U",$S$3:$S$3002,Calc!$F$2))</f>
        <v/>
      </c>
      <c r="Q534" s="35" t="str">
        <f aca="false">IF(OR($A534="",$C534="U",$S534&lt;&gt;Calc!$F$2),"",IF(COUNTIFS($E$3:$E534,$E534,$C$3:$C534,"&lt;&gt;U",$S$3:$S534,Calc!$F$2)=1,1,0))</f>
        <v/>
      </c>
      <c r="R534" s="35" t="str">
        <f aca="false">IF($Q534=1,$O534-ROW()/100000,"")</f>
        <v/>
      </c>
      <c r="S534" s="37" t="str">
        <f aca="false">IF($A534="","",INT($A534))</f>
        <v/>
      </c>
      <c r="T534" s="35" t="str">
        <f aca="false">IF($A534="","",IF(COUNTIFS($S$3:$S534,$S534)=1,1,0))</f>
        <v/>
      </c>
      <c r="U534" s="37" t="str">
        <f aca="false">IF($T534=1,$S534,"")</f>
        <v/>
      </c>
    </row>
    <row r="535" customFormat="false" ht="15" hidden="false" customHeight="false" outlineLevel="0" collapsed="false">
      <c r="M535" s="35" t="str">
        <f aca="false">IF($A535="","",HOUR($A535))</f>
        <v/>
      </c>
      <c r="N535" s="36" t="str">
        <f aca="false">IF($A535="","",$I535*$K535)</f>
        <v/>
      </c>
      <c r="O535" s="35" t="str">
        <f aca="false">IF(OR($A535="",$C535="U",$S535&lt;&gt;Calc!$F$2),"",SUMIFS($I$3:$I$3002,$E$3:$E$3002,$E535,$C$3:$C$3002,"&lt;&gt;U",$S$3:$S$3002,Calc!$F$2))</f>
        <v/>
      </c>
      <c r="P535" s="35" t="str">
        <f aca="false">IF(OR($A535="",$C535="U",$S535&lt;&gt;Calc!$F$2),"",SUMIFS($N$3:$N$3002,$E$3:$E$3002,$E535,$C$3:$C$3002,"&lt;&gt;U",$S$3:$S$3002,Calc!$F$2))</f>
        <v/>
      </c>
      <c r="Q535" s="35" t="str">
        <f aca="false">IF(OR($A535="",$C535="U",$S535&lt;&gt;Calc!$F$2),"",IF(COUNTIFS($E$3:$E535,$E535,$C$3:$C535,"&lt;&gt;U",$S$3:$S535,Calc!$F$2)=1,1,0))</f>
        <v/>
      </c>
      <c r="R535" s="35" t="str">
        <f aca="false">IF($Q535=1,$O535-ROW()/100000,"")</f>
        <v/>
      </c>
      <c r="S535" s="37" t="str">
        <f aca="false">IF($A535="","",INT($A535))</f>
        <v/>
      </c>
      <c r="T535" s="35" t="str">
        <f aca="false">IF($A535="","",IF(COUNTIFS($S$3:$S535,$S535)=1,1,0))</f>
        <v/>
      </c>
      <c r="U535" s="37" t="str">
        <f aca="false">IF($T535=1,$S535,"")</f>
        <v/>
      </c>
    </row>
    <row r="536" customFormat="false" ht="15" hidden="false" customHeight="false" outlineLevel="0" collapsed="false">
      <c r="M536" s="35" t="str">
        <f aca="false">IF($A536="","",HOUR($A536))</f>
        <v/>
      </c>
      <c r="N536" s="36" t="str">
        <f aca="false">IF($A536="","",$I536*$K536)</f>
        <v/>
      </c>
      <c r="O536" s="35" t="str">
        <f aca="false">IF(OR($A536="",$C536="U",$S536&lt;&gt;Calc!$F$2),"",SUMIFS($I$3:$I$3002,$E$3:$E$3002,$E536,$C$3:$C$3002,"&lt;&gt;U",$S$3:$S$3002,Calc!$F$2))</f>
        <v/>
      </c>
      <c r="P536" s="35" t="str">
        <f aca="false">IF(OR($A536="",$C536="U",$S536&lt;&gt;Calc!$F$2),"",SUMIFS($N$3:$N$3002,$E$3:$E$3002,$E536,$C$3:$C$3002,"&lt;&gt;U",$S$3:$S$3002,Calc!$F$2))</f>
        <v/>
      </c>
      <c r="Q536" s="35" t="str">
        <f aca="false">IF(OR($A536="",$C536="U",$S536&lt;&gt;Calc!$F$2),"",IF(COUNTIFS($E$3:$E536,$E536,$C$3:$C536,"&lt;&gt;U",$S$3:$S536,Calc!$F$2)=1,1,0))</f>
        <v/>
      </c>
      <c r="R536" s="35" t="str">
        <f aca="false">IF($Q536=1,$O536-ROW()/100000,"")</f>
        <v/>
      </c>
      <c r="S536" s="37" t="str">
        <f aca="false">IF($A536="","",INT($A536))</f>
        <v/>
      </c>
      <c r="T536" s="35" t="str">
        <f aca="false">IF($A536="","",IF(COUNTIFS($S$3:$S536,$S536)=1,1,0))</f>
        <v/>
      </c>
      <c r="U536" s="37" t="str">
        <f aca="false">IF($T536=1,$S536,"")</f>
        <v/>
      </c>
    </row>
    <row r="537" customFormat="false" ht="15" hidden="false" customHeight="false" outlineLevel="0" collapsed="false">
      <c r="M537" s="35" t="str">
        <f aca="false">IF($A537="","",HOUR($A537))</f>
        <v/>
      </c>
      <c r="N537" s="36" t="str">
        <f aca="false">IF($A537="","",$I537*$K537)</f>
        <v/>
      </c>
      <c r="O537" s="35" t="str">
        <f aca="false">IF(OR($A537="",$C537="U",$S537&lt;&gt;Calc!$F$2),"",SUMIFS($I$3:$I$3002,$E$3:$E$3002,$E537,$C$3:$C$3002,"&lt;&gt;U",$S$3:$S$3002,Calc!$F$2))</f>
        <v/>
      </c>
      <c r="P537" s="35" t="str">
        <f aca="false">IF(OR($A537="",$C537="U",$S537&lt;&gt;Calc!$F$2),"",SUMIFS($N$3:$N$3002,$E$3:$E$3002,$E537,$C$3:$C$3002,"&lt;&gt;U",$S$3:$S$3002,Calc!$F$2))</f>
        <v/>
      </c>
      <c r="Q537" s="35" t="str">
        <f aca="false">IF(OR($A537="",$C537="U",$S537&lt;&gt;Calc!$F$2),"",IF(COUNTIFS($E$3:$E537,$E537,$C$3:$C537,"&lt;&gt;U",$S$3:$S537,Calc!$F$2)=1,1,0))</f>
        <v/>
      </c>
      <c r="R537" s="35" t="str">
        <f aca="false">IF($Q537=1,$O537-ROW()/100000,"")</f>
        <v/>
      </c>
      <c r="S537" s="37" t="str">
        <f aca="false">IF($A537="","",INT($A537))</f>
        <v/>
      </c>
      <c r="T537" s="35" t="str">
        <f aca="false">IF($A537="","",IF(COUNTIFS($S$3:$S537,$S537)=1,1,0))</f>
        <v/>
      </c>
      <c r="U537" s="37" t="str">
        <f aca="false">IF($T537=1,$S537,"")</f>
        <v/>
      </c>
    </row>
    <row r="538" customFormat="false" ht="15" hidden="false" customHeight="false" outlineLevel="0" collapsed="false">
      <c r="M538" s="35" t="str">
        <f aca="false">IF($A538="","",HOUR($A538))</f>
        <v/>
      </c>
      <c r="N538" s="36" t="str">
        <f aca="false">IF($A538="","",$I538*$K538)</f>
        <v/>
      </c>
      <c r="O538" s="35" t="str">
        <f aca="false">IF(OR($A538="",$C538="U",$S538&lt;&gt;Calc!$F$2),"",SUMIFS($I$3:$I$3002,$E$3:$E$3002,$E538,$C$3:$C$3002,"&lt;&gt;U",$S$3:$S$3002,Calc!$F$2))</f>
        <v/>
      </c>
      <c r="P538" s="35" t="str">
        <f aca="false">IF(OR($A538="",$C538="U",$S538&lt;&gt;Calc!$F$2),"",SUMIFS($N$3:$N$3002,$E$3:$E$3002,$E538,$C$3:$C$3002,"&lt;&gt;U",$S$3:$S$3002,Calc!$F$2))</f>
        <v/>
      </c>
      <c r="Q538" s="35" t="str">
        <f aca="false">IF(OR($A538="",$C538="U",$S538&lt;&gt;Calc!$F$2),"",IF(COUNTIFS($E$3:$E538,$E538,$C$3:$C538,"&lt;&gt;U",$S$3:$S538,Calc!$F$2)=1,1,0))</f>
        <v/>
      </c>
      <c r="R538" s="35" t="str">
        <f aca="false">IF($Q538=1,$O538-ROW()/100000,"")</f>
        <v/>
      </c>
      <c r="S538" s="37" t="str">
        <f aca="false">IF($A538="","",INT($A538))</f>
        <v/>
      </c>
      <c r="T538" s="35" t="str">
        <f aca="false">IF($A538="","",IF(COUNTIFS($S$3:$S538,$S538)=1,1,0))</f>
        <v/>
      </c>
      <c r="U538" s="37" t="str">
        <f aca="false">IF($T538=1,$S538,"")</f>
        <v/>
      </c>
    </row>
    <row r="539" customFormat="false" ht="15" hidden="false" customHeight="false" outlineLevel="0" collapsed="false">
      <c r="M539" s="35" t="str">
        <f aca="false">IF($A539="","",HOUR($A539))</f>
        <v/>
      </c>
      <c r="N539" s="36" t="str">
        <f aca="false">IF($A539="","",$I539*$K539)</f>
        <v/>
      </c>
      <c r="O539" s="35" t="str">
        <f aca="false">IF(OR($A539="",$C539="U",$S539&lt;&gt;Calc!$F$2),"",SUMIFS($I$3:$I$3002,$E$3:$E$3002,$E539,$C$3:$C$3002,"&lt;&gt;U",$S$3:$S$3002,Calc!$F$2))</f>
        <v/>
      </c>
      <c r="P539" s="35" t="str">
        <f aca="false">IF(OR($A539="",$C539="U",$S539&lt;&gt;Calc!$F$2),"",SUMIFS($N$3:$N$3002,$E$3:$E$3002,$E539,$C$3:$C$3002,"&lt;&gt;U",$S$3:$S$3002,Calc!$F$2))</f>
        <v/>
      </c>
      <c r="Q539" s="35" t="str">
        <f aca="false">IF(OR($A539="",$C539="U",$S539&lt;&gt;Calc!$F$2),"",IF(COUNTIFS($E$3:$E539,$E539,$C$3:$C539,"&lt;&gt;U",$S$3:$S539,Calc!$F$2)=1,1,0))</f>
        <v/>
      </c>
      <c r="R539" s="35" t="str">
        <f aca="false">IF($Q539=1,$O539-ROW()/100000,"")</f>
        <v/>
      </c>
      <c r="S539" s="37" t="str">
        <f aca="false">IF($A539="","",INT($A539))</f>
        <v/>
      </c>
      <c r="T539" s="35" t="str">
        <f aca="false">IF($A539="","",IF(COUNTIFS($S$3:$S539,$S539)=1,1,0))</f>
        <v/>
      </c>
      <c r="U539" s="37" t="str">
        <f aca="false">IF($T539=1,$S539,"")</f>
        <v/>
      </c>
    </row>
    <row r="540" customFormat="false" ht="15" hidden="false" customHeight="false" outlineLevel="0" collapsed="false">
      <c r="M540" s="35" t="str">
        <f aca="false">IF($A540="","",HOUR($A540))</f>
        <v/>
      </c>
      <c r="N540" s="36" t="str">
        <f aca="false">IF($A540="","",$I540*$K540)</f>
        <v/>
      </c>
      <c r="O540" s="35" t="str">
        <f aca="false">IF(OR($A540="",$C540="U",$S540&lt;&gt;Calc!$F$2),"",SUMIFS($I$3:$I$3002,$E$3:$E$3002,$E540,$C$3:$C$3002,"&lt;&gt;U",$S$3:$S$3002,Calc!$F$2))</f>
        <v/>
      </c>
      <c r="P540" s="35" t="str">
        <f aca="false">IF(OR($A540="",$C540="U",$S540&lt;&gt;Calc!$F$2),"",SUMIFS($N$3:$N$3002,$E$3:$E$3002,$E540,$C$3:$C$3002,"&lt;&gt;U",$S$3:$S$3002,Calc!$F$2))</f>
        <v/>
      </c>
      <c r="Q540" s="35" t="str">
        <f aca="false">IF(OR($A540="",$C540="U",$S540&lt;&gt;Calc!$F$2),"",IF(COUNTIFS($E$3:$E540,$E540,$C$3:$C540,"&lt;&gt;U",$S$3:$S540,Calc!$F$2)=1,1,0))</f>
        <v/>
      </c>
      <c r="R540" s="35" t="str">
        <f aca="false">IF($Q540=1,$O540-ROW()/100000,"")</f>
        <v/>
      </c>
      <c r="S540" s="37" t="str">
        <f aca="false">IF($A540="","",INT($A540))</f>
        <v/>
      </c>
      <c r="T540" s="35" t="str">
        <f aca="false">IF($A540="","",IF(COUNTIFS($S$3:$S540,$S540)=1,1,0))</f>
        <v/>
      </c>
      <c r="U540" s="37" t="str">
        <f aca="false">IF($T540=1,$S540,"")</f>
        <v/>
      </c>
    </row>
    <row r="541" customFormat="false" ht="15" hidden="false" customHeight="false" outlineLevel="0" collapsed="false">
      <c r="M541" s="35" t="str">
        <f aca="false">IF($A541="","",HOUR($A541))</f>
        <v/>
      </c>
      <c r="N541" s="36" t="str">
        <f aca="false">IF($A541="","",$I541*$K541)</f>
        <v/>
      </c>
      <c r="O541" s="35" t="str">
        <f aca="false">IF(OR($A541="",$C541="U",$S541&lt;&gt;Calc!$F$2),"",SUMIFS($I$3:$I$3002,$E$3:$E$3002,$E541,$C$3:$C$3002,"&lt;&gt;U",$S$3:$S$3002,Calc!$F$2))</f>
        <v/>
      </c>
      <c r="P541" s="35" t="str">
        <f aca="false">IF(OR($A541="",$C541="U",$S541&lt;&gt;Calc!$F$2),"",SUMIFS($N$3:$N$3002,$E$3:$E$3002,$E541,$C$3:$C$3002,"&lt;&gt;U",$S$3:$S$3002,Calc!$F$2))</f>
        <v/>
      </c>
      <c r="Q541" s="35" t="str">
        <f aca="false">IF(OR($A541="",$C541="U",$S541&lt;&gt;Calc!$F$2),"",IF(COUNTIFS($E$3:$E541,$E541,$C$3:$C541,"&lt;&gt;U",$S$3:$S541,Calc!$F$2)=1,1,0))</f>
        <v/>
      </c>
      <c r="R541" s="35" t="str">
        <f aca="false">IF($Q541=1,$O541-ROW()/100000,"")</f>
        <v/>
      </c>
      <c r="S541" s="37" t="str">
        <f aca="false">IF($A541="","",INT($A541))</f>
        <v/>
      </c>
      <c r="T541" s="35" t="str">
        <f aca="false">IF($A541="","",IF(COUNTIFS($S$3:$S541,$S541)=1,1,0))</f>
        <v/>
      </c>
      <c r="U541" s="37" t="str">
        <f aca="false">IF($T541=1,$S541,"")</f>
        <v/>
      </c>
    </row>
    <row r="542" customFormat="false" ht="15" hidden="false" customHeight="false" outlineLevel="0" collapsed="false">
      <c r="M542" s="35" t="str">
        <f aca="false">IF($A542="","",HOUR($A542))</f>
        <v/>
      </c>
      <c r="N542" s="36" t="str">
        <f aca="false">IF($A542="","",$I542*$K542)</f>
        <v/>
      </c>
      <c r="O542" s="35" t="str">
        <f aca="false">IF(OR($A542="",$C542="U",$S542&lt;&gt;Calc!$F$2),"",SUMIFS($I$3:$I$3002,$E$3:$E$3002,$E542,$C$3:$C$3002,"&lt;&gt;U",$S$3:$S$3002,Calc!$F$2))</f>
        <v/>
      </c>
      <c r="P542" s="35" t="str">
        <f aca="false">IF(OR($A542="",$C542="U",$S542&lt;&gt;Calc!$F$2),"",SUMIFS($N$3:$N$3002,$E$3:$E$3002,$E542,$C$3:$C$3002,"&lt;&gt;U",$S$3:$S$3002,Calc!$F$2))</f>
        <v/>
      </c>
      <c r="Q542" s="35" t="str">
        <f aca="false">IF(OR($A542="",$C542="U",$S542&lt;&gt;Calc!$F$2),"",IF(COUNTIFS($E$3:$E542,$E542,$C$3:$C542,"&lt;&gt;U",$S$3:$S542,Calc!$F$2)=1,1,0))</f>
        <v/>
      </c>
      <c r="R542" s="35" t="str">
        <f aca="false">IF($Q542=1,$O542-ROW()/100000,"")</f>
        <v/>
      </c>
      <c r="S542" s="37" t="str">
        <f aca="false">IF($A542="","",INT($A542))</f>
        <v/>
      </c>
      <c r="T542" s="35" t="str">
        <f aca="false">IF($A542="","",IF(COUNTIFS($S$3:$S542,$S542)=1,1,0))</f>
        <v/>
      </c>
      <c r="U542" s="37" t="str">
        <f aca="false">IF($T542=1,$S542,"")</f>
        <v/>
      </c>
    </row>
    <row r="543" customFormat="false" ht="15" hidden="false" customHeight="false" outlineLevel="0" collapsed="false">
      <c r="M543" s="35" t="str">
        <f aca="false">IF($A543="","",HOUR($A543))</f>
        <v/>
      </c>
      <c r="N543" s="36" t="str">
        <f aca="false">IF($A543="","",$I543*$K543)</f>
        <v/>
      </c>
      <c r="O543" s="35" t="str">
        <f aca="false">IF(OR($A543="",$C543="U",$S543&lt;&gt;Calc!$F$2),"",SUMIFS($I$3:$I$3002,$E$3:$E$3002,$E543,$C$3:$C$3002,"&lt;&gt;U",$S$3:$S$3002,Calc!$F$2))</f>
        <v/>
      </c>
      <c r="P543" s="35" t="str">
        <f aca="false">IF(OR($A543="",$C543="U",$S543&lt;&gt;Calc!$F$2),"",SUMIFS($N$3:$N$3002,$E$3:$E$3002,$E543,$C$3:$C$3002,"&lt;&gt;U",$S$3:$S$3002,Calc!$F$2))</f>
        <v/>
      </c>
      <c r="Q543" s="35" t="str">
        <f aca="false">IF(OR($A543="",$C543="U",$S543&lt;&gt;Calc!$F$2),"",IF(COUNTIFS($E$3:$E543,$E543,$C$3:$C543,"&lt;&gt;U",$S$3:$S543,Calc!$F$2)=1,1,0))</f>
        <v/>
      </c>
      <c r="R543" s="35" t="str">
        <f aca="false">IF($Q543=1,$O543-ROW()/100000,"")</f>
        <v/>
      </c>
      <c r="S543" s="37" t="str">
        <f aca="false">IF($A543="","",INT($A543))</f>
        <v/>
      </c>
      <c r="T543" s="35" t="str">
        <f aca="false">IF($A543="","",IF(COUNTIFS($S$3:$S543,$S543)=1,1,0))</f>
        <v/>
      </c>
      <c r="U543" s="37" t="str">
        <f aca="false">IF($T543=1,$S543,"")</f>
        <v/>
      </c>
    </row>
    <row r="544" customFormat="false" ht="15" hidden="false" customHeight="false" outlineLevel="0" collapsed="false">
      <c r="M544" s="35" t="str">
        <f aca="false">IF($A544="","",HOUR($A544))</f>
        <v/>
      </c>
      <c r="N544" s="36" t="str">
        <f aca="false">IF($A544="","",$I544*$K544)</f>
        <v/>
      </c>
      <c r="O544" s="35" t="str">
        <f aca="false">IF(OR($A544="",$C544="U",$S544&lt;&gt;Calc!$F$2),"",SUMIFS($I$3:$I$3002,$E$3:$E$3002,$E544,$C$3:$C$3002,"&lt;&gt;U",$S$3:$S$3002,Calc!$F$2))</f>
        <v/>
      </c>
      <c r="P544" s="35" t="str">
        <f aca="false">IF(OR($A544="",$C544="U",$S544&lt;&gt;Calc!$F$2),"",SUMIFS($N$3:$N$3002,$E$3:$E$3002,$E544,$C$3:$C$3002,"&lt;&gt;U",$S$3:$S$3002,Calc!$F$2))</f>
        <v/>
      </c>
      <c r="Q544" s="35" t="str">
        <f aca="false">IF(OR($A544="",$C544="U",$S544&lt;&gt;Calc!$F$2),"",IF(COUNTIFS($E$3:$E544,$E544,$C$3:$C544,"&lt;&gt;U",$S$3:$S544,Calc!$F$2)=1,1,0))</f>
        <v/>
      </c>
      <c r="R544" s="35" t="str">
        <f aca="false">IF($Q544=1,$O544-ROW()/100000,"")</f>
        <v/>
      </c>
      <c r="S544" s="37" t="str">
        <f aca="false">IF($A544="","",INT($A544))</f>
        <v/>
      </c>
      <c r="T544" s="35" t="str">
        <f aca="false">IF($A544="","",IF(COUNTIFS($S$3:$S544,$S544)=1,1,0))</f>
        <v/>
      </c>
      <c r="U544" s="37" t="str">
        <f aca="false">IF($T544=1,$S544,"")</f>
        <v/>
      </c>
    </row>
    <row r="545" customFormat="false" ht="15" hidden="false" customHeight="false" outlineLevel="0" collapsed="false">
      <c r="M545" s="35" t="str">
        <f aca="false">IF($A545="","",HOUR($A545))</f>
        <v/>
      </c>
      <c r="N545" s="36" t="str">
        <f aca="false">IF($A545="","",$I545*$K545)</f>
        <v/>
      </c>
      <c r="O545" s="35" t="str">
        <f aca="false">IF(OR($A545="",$C545="U",$S545&lt;&gt;Calc!$F$2),"",SUMIFS($I$3:$I$3002,$E$3:$E$3002,$E545,$C$3:$C$3002,"&lt;&gt;U",$S$3:$S$3002,Calc!$F$2))</f>
        <v/>
      </c>
      <c r="P545" s="35" t="str">
        <f aca="false">IF(OR($A545="",$C545="U",$S545&lt;&gt;Calc!$F$2),"",SUMIFS($N$3:$N$3002,$E$3:$E$3002,$E545,$C$3:$C$3002,"&lt;&gt;U",$S$3:$S$3002,Calc!$F$2))</f>
        <v/>
      </c>
      <c r="Q545" s="35" t="str">
        <f aca="false">IF(OR($A545="",$C545="U",$S545&lt;&gt;Calc!$F$2),"",IF(COUNTIFS($E$3:$E545,$E545,$C$3:$C545,"&lt;&gt;U",$S$3:$S545,Calc!$F$2)=1,1,0))</f>
        <v/>
      </c>
      <c r="R545" s="35" t="str">
        <f aca="false">IF($Q545=1,$O545-ROW()/100000,"")</f>
        <v/>
      </c>
      <c r="S545" s="37" t="str">
        <f aca="false">IF($A545="","",INT($A545))</f>
        <v/>
      </c>
      <c r="T545" s="35" t="str">
        <f aca="false">IF($A545="","",IF(COUNTIFS($S$3:$S545,$S545)=1,1,0))</f>
        <v/>
      </c>
      <c r="U545" s="37" t="str">
        <f aca="false">IF($T545=1,$S545,"")</f>
        <v/>
      </c>
    </row>
    <row r="546" customFormat="false" ht="15" hidden="false" customHeight="false" outlineLevel="0" collapsed="false">
      <c r="M546" s="35" t="str">
        <f aca="false">IF($A546="","",HOUR($A546))</f>
        <v/>
      </c>
      <c r="N546" s="36" t="str">
        <f aca="false">IF($A546="","",$I546*$K546)</f>
        <v/>
      </c>
      <c r="O546" s="35" t="str">
        <f aca="false">IF(OR($A546="",$C546="U",$S546&lt;&gt;Calc!$F$2),"",SUMIFS($I$3:$I$3002,$E$3:$E$3002,$E546,$C$3:$C$3002,"&lt;&gt;U",$S$3:$S$3002,Calc!$F$2))</f>
        <v/>
      </c>
      <c r="P546" s="35" t="str">
        <f aca="false">IF(OR($A546="",$C546="U",$S546&lt;&gt;Calc!$F$2),"",SUMIFS($N$3:$N$3002,$E$3:$E$3002,$E546,$C$3:$C$3002,"&lt;&gt;U",$S$3:$S$3002,Calc!$F$2))</f>
        <v/>
      </c>
      <c r="Q546" s="35" t="str">
        <f aca="false">IF(OR($A546="",$C546="U",$S546&lt;&gt;Calc!$F$2),"",IF(COUNTIFS($E$3:$E546,$E546,$C$3:$C546,"&lt;&gt;U",$S$3:$S546,Calc!$F$2)=1,1,0))</f>
        <v/>
      </c>
      <c r="R546" s="35" t="str">
        <f aca="false">IF($Q546=1,$O546-ROW()/100000,"")</f>
        <v/>
      </c>
      <c r="S546" s="37" t="str">
        <f aca="false">IF($A546="","",INT($A546))</f>
        <v/>
      </c>
      <c r="T546" s="35" t="str">
        <f aca="false">IF($A546="","",IF(COUNTIFS($S$3:$S546,$S546)=1,1,0))</f>
        <v/>
      </c>
      <c r="U546" s="37" t="str">
        <f aca="false">IF($T546=1,$S546,"")</f>
        <v/>
      </c>
    </row>
    <row r="547" customFormat="false" ht="15" hidden="false" customHeight="false" outlineLevel="0" collapsed="false">
      <c r="M547" s="35" t="str">
        <f aca="false">IF($A547="","",HOUR($A547))</f>
        <v/>
      </c>
      <c r="N547" s="36" t="str">
        <f aca="false">IF($A547="","",$I547*$K547)</f>
        <v/>
      </c>
      <c r="O547" s="35" t="str">
        <f aca="false">IF(OR($A547="",$C547="U",$S547&lt;&gt;Calc!$F$2),"",SUMIFS($I$3:$I$3002,$E$3:$E$3002,$E547,$C$3:$C$3002,"&lt;&gt;U",$S$3:$S$3002,Calc!$F$2))</f>
        <v/>
      </c>
      <c r="P547" s="35" t="str">
        <f aca="false">IF(OR($A547="",$C547="U",$S547&lt;&gt;Calc!$F$2),"",SUMIFS($N$3:$N$3002,$E$3:$E$3002,$E547,$C$3:$C$3002,"&lt;&gt;U",$S$3:$S$3002,Calc!$F$2))</f>
        <v/>
      </c>
      <c r="Q547" s="35" t="str">
        <f aca="false">IF(OR($A547="",$C547="U",$S547&lt;&gt;Calc!$F$2),"",IF(COUNTIFS($E$3:$E547,$E547,$C$3:$C547,"&lt;&gt;U",$S$3:$S547,Calc!$F$2)=1,1,0))</f>
        <v/>
      </c>
      <c r="R547" s="35" t="str">
        <f aca="false">IF($Q547=1,$O547-ROW()/100000,"")</f>
        <v/>
      </c>
      <c r="S547" s="37" t="str">
        <f aca="false">IF($A547="","",INT($A547))</f>
        <v/>
      </c>
      <c r="T547" s="35" t="str">
        <f aca="false">IF($A547="","",IF(COUNTIFS($S$3:$S547,$S547)=1,1,0))</f>
        <v/>
      </c>
      <c r="U547" s="37" t="str">
        <f aca="false">IF($T547=1,$S547,"")</f>
        <v/>
      </c>
    </row>
    <row r="548" customFormat="false" ht="15" hidden="false" customHeight="false" outlineLevel="0" collapsed="false">
      <c r="M548" s="35" t="str">
        <f aca="false">IF($A548="","",HOUR($A548))</f>
        <v/>
      </c>
      <c r="N548" s="36" t="str">
        <f aca="false">IF($A548="","",$I548*$K548)</f>
        <v/>
      </c>
      <c r="O548" s="35" t="str">
        <f aca="false">IF(OR($A548="",$C548="U",$S548&lt;&gt;Calc!$F$2),"",SUMIFS($I$3:$I$3002,$E$3:$E$3002,$E548,$C$3:$C$3002,"&lt;&gt;U",$S$3:$S$3002,Calc!$F$2))</f>
        <v/>
      </c>
      <c r="P548" s="35" t="str">
        <f aca="false">IF(OR($A548="",$C548="U",$S548&lt;&gt;Calc!$F$2),"",SUMIFS($N$3:$N$3002,$E$3:$E$3002,$E548,$C$3:$C$3002,"&lt;&gt;U",$S$3:$S$3002,Calc!$F$2))</f>
        <v/>
      </c>
      <c r="Q548" s="35" t="str">
        <f aca="false">IF(OR($A548="",$C548="U",$S548&lt;&gt;Calc!$F$2),"",IF(COUNTIFS($E$3:$E548,$E548,$C$3:$C548,"&lt;&gt;U",$S$3:$S548,Calc!$F$2)=1,1,0))</f>
        <v/>
      </c>
      <c r="R548" s="35" t="str">
        <f aca="false">IF($Q548=1,$O548-ROW()/100000,"")</f>
        <v/>
      </c>
      <c r="S548" s="37" t="str">
        <f aca="false">IF($A548="","",INT($A548))</f>
        <v/>
      </c>
      <c r="T548" s="35" t="str">
        <f aca="false">IF($A548="","",IF(COUNTIFS($S$3:$S548,$S548)=1,1,0))</f>
        <v/>
      </c>
      <c r="U548" s="37" t="str">
        <f aca="false">IF($T548=1,$S548,"")</f>
        <v/>
      </c>
    </row>
    <row r="549" customFormat="false" ht="15" hidden="false" customHeight="false" outlineLevel="0" collapsed="false">
      <c r="M549" s="35" t="str">
        <f aca="false">IF($A549="","",HOUR($A549))</f>
        <v/>
      </c>
      <c r="N549" s="36" t="str">
        <f aca="false">IF($A549="","",$I549*$K549)</f>
        <v/>
      </c>
      <c r="O549" s="35" t="str">
        <f aca="false">IF(OR($A549="",$C549="U",$S549&lt;&gt;Calc!$F$2),"",SUMIFS($I$3:$I$3002,$E$3:$E$3002,$E549,$C$3:$C$3002,"&lt;&gt;U",$S$3:$S$3002,Calc!$F$2))</f>
        <v/>
      </c>
      <c r="P549" s="35" t="str">
        <f aca="false">IF(OR($A549="",$C549="U",$S549&lt;&gt;Calc!$F$2),"",SUMIFS($N$3:$N$3002,$E$3:$E$3002,$E549,$C$3:$C$3002,"&lt;&gt;U",$S$3:$S$3002,Calc!$F$2))</f>
        <v/>
      </c>
      <c r="Q549" s="35" t="str">
        <f aca="false">IF(OR($A549="",$C549="U",$S549&lt;&gt;Calc!$F$2),"",IF(COUNTIFS($E$3:$E549,$E549,$C$3:$C549,"&lt;&gt;U",$S$3:$S549,Calc!$F$2)=1,1,0))</f>
        <v/>
      </c>
      <c r="R549" s="35" t="str">
        <f aca="false">IF($Q549=1,$O549-ROW()/100000,"")</f>
        <v/>
      </c>
      <c r="S549" s="37" t="str">
        <f aca="false">IF($A549="","",INT($A549))</f>
        <v/>
      </c>
      <c r="T549" s="35" t="str">
        <f aca="false">IF($A549="","",IF(COUNTIFS($S$3:$S549,$S549)=1,1,0))</f>
        <v/>
      </c>
      <c r="U549" s="37" t="str">
        <f aca="false">IF($T549=1,$S549,"")</f>
        <v/>
      </c>
    </row>
    <row r="550" customFormat="false" ht="15" hidden="false" customHeight="false" outlineLevel="0" collapsed="false">
      <c r="M550" s="35" t="str">
        <f aca="false">IF($A550="","",HOUR($A550))</f>
        <v/>
      </c>
      <c r="N550" s="36" t="str">
        <f aca="false">IF($A550="","",$I550*$K550)</f>
        <v/>
      </c>
      <c r="O550" s="35" t="str">
        <f aca="false">IF(OR($A550="",$C550="U",$S550&lt;&gt;Calc!$F$2),"",SUMIFS($I$3:$I$3002,$E$3:$E$3002,$E550,$C$3:$C$3002,"&lt;&gt;U",$S$3:$S$3002,Calc!$F$2))</f>
        <v/>
      </c>
      <c r="P550" s="35" t="str">
        <f aca="false">IF(OR($A550="",$C550="U",$S550&lt;&gt;Calc!$F$2),"",SUMIFS($N$3:$N$3002,$E$3:$E$3002,$E550,$C$3:$C$3002,"&lt;&gt;U",$S$3:$S$3002,Calc!$F$2))</f>
        <v/>
      </c>
      <c r="Q550" s="35" t="str">
        <f aca="false">IF(OR($A550="",$C550="U",$S550&lt;&gt;Calc!$F$2),"",IF(COUNTIFS($E$3:$E550,$E550,$C$3:$C550,"&lt;&gt;U",$S$3:$S550,Calc!$F$2)=1,1,0))</f>
        <v/>
      </c>
      <c r="R550" s="35" t="str">
        <f aca="false">IF($Q550=1,$O550-ROW()/100000,"")</f>
        <v/>
      </c>
      <c r="S550" s="37" t="str">
        <f aca="false">IF($A550="","",INT($A550))</f>
        <v/>
      </c>
      <c r="T550" s="35" t="str">
        <f aca="false">IF($A550="","",IF(COUNTIFS($S$3:$S550,$S550)=1,1,0))</f>
        <v/>
      </c>
      <c r="U550" s="37" t="str">
        <f aca="false">IF($T550=1,$S550,"")</f>
        <v/>
      </c>
    </row>
    <row r="551" customFormat="false" ht="15" hidden="false" customHeight="false" outlineLevel="0" collapsed="false">
      <c r="M551" s="35" t="str">
        <f aca="false">IF($A551="","",HOUR($A551))</f>
        <v/>
      </c>
      <c r="N551" s="36" t="str">
        <f aca="false">IF($A551="","",$I551*$K551)</f>
        <v/>
      </c>
      <c r="O551" s="35" t="str">
        <f aca="false">IF(OR($A551="",$C551="U",$S551&lt;&gt;Calc!$F$2),"",SUMIFS($I$3:$I$3002,$E$3:$E$3002,$E551,$C$3:$C$3002,"&lt;&gt;U",$S$3:$S$3002,Calc!$F$2))</f>
        <v/>
      </c>
      <c r="P551" s="35" t="str">
        <f aca="false">IF(OR($A551="",$C551="U",$S551&lt;&gt;Calc!$F$2),"",SUMIFS($N$3:$N$3002,$E$3:$E$3002,$E551,$C$3:$C$3002,"&lt;&gt;U",$S$3:$S$3002,Calc!$F$2))</f>
        <v/>
      </c>
      <c r="Q551" s="35" t="str">
        <f aca="false">IF(OR($A551="",$C551="U",$S551&lt;&gt;Calc!$F$2),"",IF(COUNTIFS($E$3:$E551,$E551,$C$3:$C551,"&lt;&gt;U",$S$3:$S551,Calc!$F$2)=1,1,0))</f>
        <v/>
      </c>
      <c r="R551" s="35" t="str">
        <f aca="false">IF($Q551=1,$O551-ROW()/100000,"")</f>
        <v/>
      </c>
      <c r="S551" s="37" t="str">
        <f aca="false">IF($A551="","",INT($A551))</f>
        <v/>
      </c>
      <c r="T551" s="35" t="str">
        <f aca="false">IF($A551="","",IF(COUNTIFS($S$3:$S551,$S551)=1,1,0))</f>
        <v/>
      </c>
      <c r="U551" s="37" t="str">
        <f aca="false">IF($T551=1,$S551,"")</f>
        <v/>
      </c>
    </row>
    <row r="552" customFormat="false" ht="15" hidden="false" customHeight="false" outlineLevel="0" collapsed="false">
      <c r="M552" s="35" t="str">
        <f aca="false">IF($A552="","",HOUR($A552))</f>
        <v/>
      </c>
      <c r="N552" s="36" t="str">
        <f aca="false">IF($A552="","",$I552*$K552)</f>
        <v/>
      </c>
      <c r="O552" s="35" t="str">
        <f aca="false">IF(OR($A552="",$C552="U",$S552&lt;&gt;Calc!$F$2),"",SUMIFS($I$3:$I$3002,$E$3:$E$3002,$E552,$C$3:$C$3002,"&lt;&gt;U",$S$3:$S$3002,Calc!$F$2))</f>
        <v/>
      </c>
      <c r="P552" s="35" t="str">
        <f aca="false">IF(OR($A552="",$C552="U",$S552&lt;&gt;Calc!$F$2),"",SUMIFS($N$3:$N$3002,$E$3:$E$3002,$E552,$C$3:$C$3002,"&lt;&gt;U",$S$3:$S$3002,Calc!$F$2))</f>
        <v/>
      </c>
      <c r="Q552" s="35" t="str">
        <f aca="false">IF(OR($A552="",$C552="U",$S552&lt;&gt;Calc!$F$2),"",IF(COUNTIFS($E$3:$E552,$E552,$C$3:$C552,"&lt;&gt;U",$S$3:$S552,Calc!$F$2)=1,1,0))</f>
        <v/>
      </c>
      <c r="R552" s="35" t="str">
        <f aca="false">IF($Q552=1,$O552-ROW()/100000,"")</f>
        <v/>
      </c>
      <c r="S552" s="37" t="str">
        <f aca="false">IF($A552="","",INT($A552))</f>
        <v/>
      </c>
      <c r="T552" s="35" t="str">
        <f aca="false">IF($A552="","",IF(COUNTIFS($S$3:$S552,$S552)=1,1,0))</f>
        <v/>
      </c>
      <c r="U552" s="37" t="str">
        <f aca="false">IF($T552=1,$S552,"")</f>
        <v/>
      </c>
    </row>
    <row r="553" customFormat="false" ht="15" hidden="false" customHeight="false" outlineLevel="0" collapsed="false">
      <c r="M553" s="35" t="str">
        <f aca="false">IF($A553="","",HOUR($A553))</f>
        <v/>
      </c>
      <c r="N553" s="36" t="str">
        <f aca="false">IF($A553="","",$I553*$K553)</f>
        <v/>
      </c>
      <c r="O553" s="35" t="str">
        <f aca="false">IF(OR($A553="",$C553="U",$S553&lt;&gt;Calc!$F$2),"",SUMIFS($I$3:$I$3002,$E$3:$E$3002,$E553,$C$3:$C$3002,"&lt;&gt;U",$S$3:$S$3002,Calc!$F$2))</f>
        <v/>
      </c>
      <c r="P553" s="35" t="str">
        <f aca="false">IF(OR($A553="",$C553="U",$S553&lt;&gt;Calc!$F$2),"",SUMIFS($N$3:$N$3002,$E$3:$E$3002,$E553,$C$3:$C$3002,"&lt;&gt;U",$S$3:$S$3002,Calc!$F$2))</f>
        <v/>
      </c>
      <c r="Q553" s="35" t="str">
        <f aca="false">IF(OR($A553="",$C553="U",$S553&lt;&gt;Calc!$F$2),"",IF(COUNTIFS($E$3:$E553,$E553,$C$3:$C553,"&lt;&gt;U",$S$3:$S553,Calc!$F$2)=1,1,0))</f>
        <v/>
      </c>
      <c r="R553" s="35" t="str">
        <f aca="false">IF($Q553=1,$O553-ROW()/100000,"")</f>
        <v/>
      </c>
      <c r="S553" s="37" t="str">
        <f aca="false">IF($A553="","",INT($A553))</f>
        <v/>
      </c>
      <c r="T553" s="35" t="str">
        <f aca="false">IF($A553="","",IF(COUNTIFS($S$3:$S553,$S553)=1,1,0))</f>
        <v/>
      </c>
      <c r="U553" s="37" t="str">
        <f aca="false">IF($T553=1,$S553,"")</f>
        <v/>
      </c>
    </row>
    <row r="554" customFormat="false" ht="15" hidden="false" customHeight="false" outlineLevel="0" collapsed="false">
      <c r="M554" s="35" t="str">
        <f aca="false">IF($A554="","",HOUR($A554))</f>
        <v/>
      </c>
      <c r="N554" s="36" t="str">
        <f aca="false">IF($A554="","",$I554*$K554)</f>
        <v/>
      </c>
      <c r="O554" s="35" t="str">
        <f aca="false">IF(OR($A554="",$C554="U",$S554&lt;&gt;Calc!$F$2),"",SUMIFS($I$3:$I$3002,$E$3:$E$3002,$E554,$C$3:$C$3002,"&lt;&gt;U",$S$3:$S$3002,Calc!$F$2))</f>
        <v/>
      </c>
      <c r="P554" s="35" t="str">
        <f aca="false">IF(OR($A554="",$C554="U",$S554&lt;&gt;Calc!$F$2),"",SUMIFS($N$3:$N$3002,$E$3:$E$3002,$E554,$C$3:$C$3002,"&lt;&gt;U",$S$3:$S$3002,Calc!$F$2))</f>
        <v/>
      </c>
      <c r="Q554" s="35" t="str">
        <f aca="false">IF(OR($A554="",$C554="U",$S554&lt;&gt;Calc!$F$2),"",IF(COUNTIFS($E$3:$E554,$E554,$C$3:$C554,"&lt;&gt;U",$S$3:$S554,Calc!$F$2)=1,1,0))</f>
        <v/>
      </c>
      <c r="R554" s="35" t="str">
        <f aca="false">IF($Q554=1,$O554-ROW()/100000,"")</f>
        <v/>
      </c>
      <c r="S554" s="37" t="str">
        <f aca="false">IF($A554="","",INT($A554))</f>
        <v/>
      </c>
      <c r="T554" s="35" t="str">
        <f aca="false">IF($A554="","",IF(COUNTIFS($S$3:$S554,$S554)=1,1,0))</f>
        <v/>
      </c>
      <c r="U554" s="37" t="str">
        <f aca="false">IF($T554=1,$S554,"")</f>
        <v/>
      </c>
    </row>
    <row r="555" customFormat="false" ht="15" hidden="false" customHeight="false" outlineLevel="0" collapsed="false">
      <c r="M555" s="35" t="str">
        <f aca="false">IF($A555="","",HOUR($A555))</f>
        <v/>
      </c>
      <c r="N555" s="36" t="str">
        <f aca="false">IF($A555="","",$I555*$K555)</f>
        <v/>
      </c>
      <c r="O555" s="35" t="str">
        <f aca="false">IF(OR($A555="",$C555="U",$S555&lt;&gt;Calc!$F$2),"",SUMIFS($I$3:$I$3002,$E$3:$E$3002,$E555,$C$3:$C$3002,"&lt;&gt;U",$S$3:$S$3002,Calc!$F$2))</f>
        <v/>
      </c>
      <c r="P555" s="35" t="str">
        <f aca="false">IF(OR($A555="",$C555="U",$S555&lt;&gt;Calc!$F$2),"",SUMIFS($N$3:$N$3002,$E$3:$E$3002,$E555,$C$3:$C$3002,"&lt;&gt;U",$S$3:$S$3002,Calc!$F$2))</f>
        <v/>
      </c>
      <c r="Q555" s="35" t="str">
        <f aca="false">IF(OR($A555="",$C555="U",$S555&lt;&gt;Calc!$F$2),"",IF(COUNTIFS($E$3:$E555,$E555,$C$3:$C555,"&lt;&gt;U",$S$3:$S555,Calc!$F$2)=1,1,0))</f>
        <v/>
      </c>
      <c r="R555" s="35" t="str">
        <f aca="false">IF($Q555=1,$O555-ROW()/100000,"")</f>
        <v/>
      </c>
      <c r="S555" s="37" t="str">
        <f aca="false">IF($A555="","",INT($A555))</f>
        <v/>
      </c>
      <c r="T555" s="35" t="str">
        <f aca="false">IF($A555="","",IF(COUNTIFS($S$3:$S555,$S555)=1,1,0))</f>
        <v/>
      </c>
      <c r="U555" s="37" t="str">
        <f aca="false">IF($T555=1,$S555,"")</f>
        <v/>
      </c>
    </row>
    <row r="556" customFormat="false" ht="15" hidden="false" customHeight="false" outlineLevel="0" collapsed="false">
      <c r="M556" s="35" t="str">
        <f aca="false">IF($A556="","",HOUR($A556))</f>
        <v/>
      </c>
      <c r="N556" s="36" t="str">
        <f aca="false">IF($A556="","",$I556*$K556)</f>
        <v/>
      </c>
      <c r="O556" s="35" t="str">
        <f aca="false">IF(OR($A556="",$C556="U",$S556&lt;&gt;Calc!$F$2),"",SUMIFS($I$3:$I$3002,$E$3:$E$3002,$E556,$C$3:$C$3002,"&lt;&gt;U",$S$3:$S$3002,Calc!$F$2))</f>
        <v/>
      </c>
      <c r="P556" s="35" t="str">
        <f aca="false">IF(OR($A556="",$C556="U",$S556&lt;&gt;Calc!$F$2),"",SUMIFS($N$3:$N$3002,$E$3:$E$3002,$E556,$C$3:$C$3002,"&lt;&gt;U",$S$3:$S$3002,Calc!$F$2))</f>
        <v/>
      </c>
      <c r="Q556" s="35" t="str">
        <f aca="false">IF(OR($A556="",$C556="U",$S556&lt;&gt;Calc!$F$2),"",IF(COUNTIFS($E$3:$E556,$E556,$C$3:$C556,"&lt;&gt;U",$S$3:$S556,Calc!$F$2)=1,1,0))</f>
        <v/>
      </c>
      <c r="R556" s="35" t="str">
        <f aca="false">IF($Q556=1,$O556-ROW()/100000,"")</f>
        <v/>
      </c>
      <c r="S556" s="37" t="str">
        <f aca="false">IF($A556="","",INT($A556))</f>
        <v/>
      </c>
      <c r="T556" s="35" t="str">
        <f aca="false">IF($A556="","",IF(COUNTIFS($S$3:$S556,$S556)=1,1,0))</f>
        <v/>
      </c>
      <c r="U556" s="37" t="str">
        <f aca="false">IF($T556=1,$S556,"")</f>
        <v/>
      </c>
    </row>
    <row r="557" customFormat="false" ht="15" hidden="false" customHeight="false" outlineLevel="0" collapsed="false">
      <c r="M557" s="35" t="str">
        <f aca="false">IF($A557="","",HOUR($A557))</f>
        <v/>
      </c>
      <c r="N557" s="36" t="str">
        <f aca="false">IF($A557="","",$I557*$K557)</f>
        <v/>
      </c>
      <c r="O557" s="35" t="str">
        <f aca="false">IF(OR($A557="",$C557="U",$S557&lt;&gt;Calc!$F$2),"",SUMIFS($I$3:$I$3002,$E$3:$E$3002,$E557,$C$3:$C$3002,"&lt;&gt;U",$S$3:$S$3002,Calc!$F$2))</f>
        <v/>
      </c>
      <c r="P557" s="35" t="str">
        <f aca="false">IF(OR($A557="",$C557="U",$S557&lt;&gt;Calc!$F$2),"",SUMIFS($N$3:$N$3002,$E$3:$E$3002,$E557,$C$3:$C$3002,"&lt;&gt;U",$S$3:$S$3002,Calc!$F$2))</f>
        <v/>
      </c>
      <c r="Q557" s="35" t="str">
        <f aca="false">IF(OR($A557="",$C557="U",$S557&lt;&gt;Calc!$F$2),"",IF(COUNTIFS($E$3:$E557,$E557,$C$3:$C557,"&lt;&gt;U",$S$3:$S557,Calc!$F$2)=1,1,0))</f>
        <v/>
      </c>
      <c r="R557" s="35" t="str">
        <f aca="false">IF($Q557=1,$O557-ROW()/100000,"")</f>
        <v/>
      </c>
      <c r="S557" s="37" t="str">
        <f aca="false">IF($A557="","",INT($A557))</f>
        <v/>
      </c>
      <c r="T557" s="35" t="str">
        <f aca="false">IF($A557="","",IF(COUNTIFS($S$3:$S557,$S557)=1,1,0))</f>
        <v/>
      </c>
      <c r="U557" s="37" t="str">
        <f aca="false">IF($T557=1,$S557,"")</f>
        <v/>
      </c>
    </row>
    <row r="558" customFormat="false" ht="15" hidden="false" customHeight="false" outlineLevel="0" collapsed="false">
      <c r="M558" s="35" t="str">
        <f aca="false">IF($A558="","",HOUR($A558))</f>
        <v/>
      </c>
      <c r="N558" s="36" t="str">
        <f aca="false">IF($A558="","",$I558*$K558)</f>
        <v/>
      </c>
      <c r="O558" s="35" t="str">
        <f aca="false">IF(OR($A558="",$C558="U",$S558&lt;&gt;Calc!$F$2),"",SUMIFS($I$3:$I$3002,$E$3:$E$3002,$E558,$C$3:$C$3002,"&lt;&gt;U",$S$3:$S$3002,Calc!$F$2))</f>
        <v/>
      </c>
      <c r="P558" s="35" t="str">
        <f aca="false">IF(OR($A558="",$C558="U",$S558&lt;&gt;Calc!$F$2),"",SUMIFS($N$3:$N$3002,$E$3:$E$3002,$E558,$C$3:$C$3002,"&lt;&gt;U",$S$3:$S$3002,Calc!$F$2))</f>
        <v/>
      </c>
      <c r="Q558" s="35" t="str">
        <f aca="false">IF(OR($A558="",$C558="U",$S558&lt;&gt;Calc!$F$2),"",IF(COUNTIFS($E$3:$E558,$E558,$C$3:$C558,"&lt;&gt;U",$S$3:$S558,Calc!$F$2)=1,1,0))</f>
        <v/>
      </c>
      <c r="R558" s="35" t="str">
        <f aca="false">IF($Q558=1,$O558-ROW()/100000,"")</f>
        <v/>
      </c>
      <c r="S558" s="37" t="str">
        <f aca="false">IF($A558="","",INT($A558))</f>
        <v/>
      </c>
      <c r="T558" s="35" t="str">
        <f aca="false">IF($A558="","",IF(COUNTIFS($S$3:$S558,$S558)=1,1,0))</f>
        <v/>
      </c>
      <c r="U558" s="37" t="str">
        <f aca="false">IF($T558=1,$S558,"")</f>
        <v/>
      </c>
    </row>
    <row r="559" customFormat="false" ht="15" hidden="false" customHeight="false" outlineLevel="0" collapsed="false">
      <c r="M559" s="35" t="str">
        <f aca="false">IF($A559="","",HOUR($A559))</f>
        <v/>
      </c>
      <c r="N559" s="36" t="str">
        <f aca="false">IF($A559="","",$I559*$K559)</f>
        <v/>
      </c>
      <c r="O559" s="35" t="str">
        <f aca="false">IF(OR($A559="",$C559="U",$S559&lt;&gt;Calc!$F$2),"",SUMIFS($I$3:$I$3002,$E$3:$E$3002,$E559,$C$3:$C$3002,"&lt;&gt;U",$S$3:$S$3002,Calc!$F$2))</f>
        <v/>
      </c>
      <c r="P559" s="35" t="str">
        <f aca="false">IF(OR($A559="",$C559="U",$S559&lt;&gt;Calc!$F$2),"",SUMIFS($N$3:$N$3002,$E$3:$E$3002,$E559,$C$3:$C$3002,"&lt;&gt;U",$S$3:$S$3002,Calc!$F$2))</f>
        <v/>
      </c>
      <c r="Q559" s="35" t="str">
        <f aca="false">IF(OR($A559="",$C559="U",$S559&lt;&gt;Calc!$F$2),"",IF(COUNTIFS($E$3:$E559,$E559,$C$3:$C559,"&lt;&gt;U",$S$3:$S559,Calc!$F$2)=1,1,0))</f>
        <v/>
      </c>
      <c r="R559" s="35" t="str">
        <f aca="false">IF($Q559=1,$O559-ROW()/100000,"")</f>
        <v/>
      </c>
      <c r="S559" s="37" t="str">
        <f aca="false">IF($A559="","",INT($A559))</f>
        <v/>
      </c>
      <c r="T559" s="35" t="str">
        <f aca="false">IF($A559="","",IF(COUNTIFS($S$3:$S559,$S559)=1,1,0))</f>
        <v/>
      </c>
      <c r="U559" s="37" t="str">
        <f aca="false">IF($T559=1,$S559,"")</f>
        <v/>
      </c>
    </row>
    <row r="560" customFormat="false" ht="15" hidden="false" customHeight="false" outlineLevel="0" collapsed="false">
      <c r="M560" s="35" t="str">
        <f aca="false">IF($A560="","",HOUR($A560))</f>
        <v/>
      </c>
      <c r="N560" s="36" t="str">
        <f aca="false">IF($A560="","",$I560*$K560)</f>
        <v/>
      </c>
      <c r="O560" s="35" t="str">
        <f aca="false">IF(OR($A560="",$C560="U",$S560&lt;&gt;Calc!$F$2),"",SUMIFS($I$3:$I$3002,$E$3:$E$3002,$E560,$C$3:$C$3002,"&lt;&gt;U",$S$3:$S$3002,Calc!$F$2))</f>
        <v/>
      </c>
      <c r="P560" s="35" t="str">
        <f aca="false">IF(OR($A560="",$C560="U",$S560&lt;&gt;Calc!$F$2),"",SUMIFS($N$3:$N$3002,$E$3:$E$3002,$E560,$C$3:$C$3002,"&lt;&gt;U",$S$3:$S$3002,Calc!$F$2))</f>
        <v/>
      </c>
      <c r="Q560" s="35" t="str">
        <f aca="false">IF(OR($A560="",$C560="U",$S560&lt;&gt;Calc!$F$2),"",IF(COUNTIFS($E$3:$E560,$E560,$C$3:$C560,"&lt;&gt;U",$S$3:$S560,Calc!$F$2)=1,1,0))</f>
        <v/>
      </c>
      <c r="R560" s="35" t="str">
        <f aca="false">IF($Q560=1,$O560-ROW()/100000,"")</f>
        <v/>
      </c>
      <c r="S560" s="37" t="str">
        <f aca="false">IF($A560="","",INT($A560))</f>
        <v/>
      </c>
      <c r="T560" s="35" t="str">
        <f aca="false">IF($A560="","",IF(COUNTIFS($S$3:$S560,$S560)=1,1,0))</f>
        <v/>
      </c>
      <c r="U560" s="37" t="str">
        <f aca="false">IF($T560=1,$S560,"")</f>
        <v/>
      </c>
    </row>
    <row r="561" customFormat="false" ht="15" hidden="false" customHeight="false" outlineLevel="0" collapsed="false">
      <c r="M561" s="35" t="str">
        <f aca="false">IF($A561="","",HOUR($A561))</f>
        <v/>
      </c>
      <c r="N561" s="36" t="str">
        <f aca="false">IF($A561="","",$I561*$K561)</f>
        <v/>
      </c>
      <c r="O561" s="35" t="str">
        <f aca="false">IF(OR($A561="",$C561="U",$S561&lt;&gt;Calc!$F$2),"",SUMIFS($I$3:$I$3002,$E$3:$E$3002,$E561,$C$3:$C$3002,"&lt;&gt;U",$S$3:$S$3002,Calc!$F$2))</f>
        <v/>
      </c>
      <c r="P561" s="35" t="str">
        <f aca="false">IF(OR($A561="",$C561="U",$S561&lt;&gt;Calc!$F$2),"",SUMIFS($N$3:$N$3002,$E$3:$E$3002,$E561,$C$3:$C$3002,"&lt;&gt;U",$S$3:$S$3002,Calc!$F$2))</f>
        <v/>
      </c>
      <c r="Q561" s="35" t="str">
        <f aca="false">IF(OR($A561="",$C561="U",$S561&lt;&gt;Calc!$F$2),"",IF(COUNTIFS($E$3:$E561,$E561,$C$3:$C561,"&lt;&gt;U",$S$3:$S561,Calc!$F$2)=1,1,0))</f>
        <v/>
      </c>
      <c r="R561" s="35" t="str">
        <f aca="false">IF($Q561=1,$O561-ROW()/100000,"")</f>
        <v/>
      </c>
      <c r="S561" s="37" t="str">
        <f aca="false">IF($A561="","",INT($A561))</f>
        <v/>
      </c>
      <c r="T561" s="35" t="str">
        <f aca="false">IF($A561="","",IF(COUNTIFS($S$3:$S561,$S561)=1,1,0))</f>
        <v/>
      </c>
      <c r="U561" s="37" t="str">
        <f aca="false">IF($T561=1,$S561,"")</f>
        <v/>
      </c>
    </row>
    <row r="562" customFormat="false" ht="15" hidden="false" customHeight="false" outlineLevel="0" collapsed="false">
      <c r="M562" s="35" t="str">
        <f aca="false">IF($A562="","",HOUR($A562))</f>
        <v/>
      </c>
      <c r="N562" s="36" t="str">
        <f aca="false">IF($A562="","",$I562*$K562)</f>
        <v/>
      </c>
      <c r="O562" s="35" t="str">
        <f aca="false">IF(OR($A562="",$C562="U",$S562&lt;&gt;Calc!$F$2),"",SUMIFS($I$3:$I$3002,$E$3:$E$3002,$E562,$C$3:$C$3002,"&lt;&gt;U",$S$3:$S$3002,Calc!$F$2))</f>
        <v/>
      </c>
      <c r="P562" s="35" t="str">
        <f aca="false">IF(OR($A562="",$C562="U",$S562&lt;&gt;Calc!$F$2),"",SUMIFS($N$3:$N$3002,$E$3:$E$3002,$E562,$C$3:$C$3002,"&lt;&gt;U",$S$3:$S$3002,Calc!$F$2))</f>
        <v/>
      </c>
      <c r="Q562" s="35" t="str">
        <f aca="false">IF(OR($A562="",$C562="U",$S562&lt;&gt;Calc!$F$2),"",IF(COUNTIFS($E$3:$E562,$E562,$C$3:$C562,"&lt;&gt;U",$S$3:$S562,Calc!$F$2)=1,1,0))</f>
        <v/>
      </c>
      <c r="R562" s="35" t="str">
        <f aca="false">IF($Q562=1,$O562-ROW()/100000,"")</f>
        <v/>
      </c>
      <c r="S562" s="37" t="str">
        <f aca="false">IF($A562="","",INT($A562))</f>
        <v/>
      </c>
      <c r="T562" s="35" t="str">
        <f aca="false">IF($A562="","",IF(COUNTIFS($S$3:$S562,$S562)=1,1,0))</f>
        <v/>
      </c>
      <c r="U562" s="37" t="str">
        <f aca="false">IF($T562=1,$S562,"")</f>
        <v/>
      </c>
    </row>
    <row r="563" customFormat="false" ht="15" hidden="false" customHeight="false" outlineLevel="0" collapsed="false">
      <c r="M563" s="35" t="str">
        <f aca="false">IF($A563="","",HOUR($A563))</f>
        <v/>
      </c>
      <c r="N563" s="36" t="str">
        <f aca="false">IF($A563="","",$I563*$K563)</f>
        <v/>
      </c>
      <c r="O563" s="35" t="str">
        <f aca="false">IF(OR($A563="",$C563="U",$S563&lt;&gt;Calc!$F$2),"",SUMIFS($I$3:$I$3002,$E$3:$E$3002,$E563,$C$3:$C$3002,"&lt;&gt;U",$S$3:$S$3002,Calc!$F$2))</f>
        <v/>
      </c>
      <c r="P563" s="35" t="str">
        <f aca="false">IF(OR($A563="",$C563="U",$S563&lt;&gt;Calc!$F$2),"",SUMIFS($N$3:$N$3002,$E$3:$E$3002,$E563,$C$3:$C$3002,"&lt;&gt;U",$S$3:$S$3002,Calc!$F$2))</f>
        <v/>
      </c>
      <c r="Q563" s="35" t="str">
        <f aca="false">IF(OR($A563="",$C563="U",$S563&lt;&gt;Calc!$F$2),"",IF(COUNTIFS($E$3:$E563,$E563,$C$3:$C563,"&lt;&gt;U",$S$3:$S563,Calc!$F$2)=1,1,0))</f>
        <v/>
      </c>
      <c r="R563" s="35" t="str">
        <f aca="false">IF($Q563=1,$O563-ROW()/100000,"")</f>
        <v/>
      </c>
      <c r="S563" s="37" t="str">
        <f aca="false">IF($A563="","",INT($A563))</f>
        <v/>
      </c>
      <c r="T563" s="35" t="str">
        <f aca="false">IF($A563="","",IF(COUNTIFS($S$3:$S563,$S563)=1,1,0))</f>
        <v/>
      </c>
      <c r="U563" s="37" t="str">
        <f aca="false">IF($T563=1,$S563,"")</f>
        <v/>
      </c>
    </row>
    <row r="564" customFormat="false" ht="15" hidden="false" customHeight="false" outlineLevel="0" collapsed="false">
      <c r="M564" s="35" t="str">
        <f aca="false">IF($A564="","",HOUR($A564))</f>
        <v/>
      </c>
      <c r="N564" s="36" t="str">
        <f aca="false">IF($A564="","",$I564*$K564)</f>
        <v/>
      </c>
      <c r="O564" s="35" t="str">
        <f aca="false">IF(OR($A564="",$C564="U",$S564&lt;&gt;Calc!$F$2),"",SUMIFS($I$3:$I$3002,$E$3:$E$3002,$E564,$C$3:$C$3002,"&lt;&gt;U",$S$3:$S$3002,Calc!$F$2))</f>
        <v/>
      </c>
      <c r="P564" s="35" t="str">
        <f aca="false">IF(OR($A564="",$C564="U",$S564&lt;&gt;Calc!$F$2),"",SUMIFS($N$3:$N$3002,$E$3:$E$3002,$E564,$C$3:$C$3002,"&lt;&gt;U",$S$3:$S$3002,Calc!$F$2))</f>
        <v/>
      </c>
      <c r="Q564" s="35" t="str">
        <f aca="false">IF(OR($A564="",$C564="U",$S564&lt;&gt;Calc!$F$2),"",IF(COUNTIFS($E$3:$E564,$E564,$C$3:$C564,"&lt;&gt;U",$S$3:$S564,Calc!$F$2)=1,1,0))</f>
        <v/>
      </c>
      <c r="R564" s="35" t="str">
        <f aca="false">IF($Q564=1,$O564-ROW()/100000,"")</f>
        <v/>
      </c>
      <c r="S564" s="37" t="str">
        <f aca="false">IF($A564="","",INT($A564))</f>
        <v/>
      </c>
      <c r="T564" s="35" t="str">
        <f aca="false">IF($A564="","",IF(COUNTIFS($S$3:$S564,$S564)=1,1,0))</f>
        <v/>
      </c>
      <c r="U564" s="37" t="str">
        <f aca="false">IF($T564=1,$S564,"")</f>
        <v/>
      </c>
    </row>
    <row r="565" customFormat="false" ht="15" hidden="false" customHeight="false" outlineLevel="0" collapsed="false">
      <c r="M565" s="35" t="str">
        <f aca="false">IF($A565="","",HOUR($A565))</f>
        <v/>
      </c>
      <c r="N565" s="36" t="str">
        <f aca="false">IF($A565="","",$I565*$K565)</f>
        <v/>
      </c>
      <c r="O565" s="35" t="str">
        <f aca="false">IF(OR($A565="",$C565="U",$S565&lt;&gt;Calc!$F$2),"",SUMIFS($I$3:$I$3002,$E$3:$E$3002,$E565,$C$3:$C$3002,"&lt;&gt;U",$S$3:$S$3002,Calc!$F$2))</f>
        <v/>
      </c>
      <c r="P565" s="35" t="str">
        <f aca="false">IF(OR($A565="",$C565="U",$S565&lt;&gt;Calc!$F$2),"",SUMIFS($N$3:$N$3002,$E$3:$E$3002,$E565,$C$3:$C$3002,"&lt;&gt;U",$S$3:$S$3002,Calc!$F$2))</f>
        <v/>
      </c>
      <c r="Q565" s="35" t="str">
        <f aca="false">IF(OR($A565="",$C565="U",$S565&lt;&gt;Calc!$F$2),"",IF(COUNTIFS($E$3:$E565,$E565,$C$3:$C565,"&lt;&gt;U",$S$3:$S565,Calc!$F$2)=1,1,0))</f>
        <v/>
      </c>
      <c r="R565" s="35" t="str">
        <f aca="false">IF($Q565=1,$O565-ROW()/100000,"")</f>
        <v/>
      </c>
      <c r="S565" s="37" t="str">
        <f aca="false">IF($A565="","",INT($A565))</f>
        <v/>
      </c>
      <c r="T565" s="35" t="str">
        <f aca="false">IF($A565="","",IF(COUNTIFS($S$3:$S565,$S565)=1,1,0))</f>
        <v/>
      </c>
      <c r="U565" s="37" t="str">
        <f aca="false">IF($T565=1,$S565,"")</f>
        <v/>
      </c>
    </row>
    <row r="566" customFormat="false" ht="15" hidden="false" customHeight="false" outlineLevel="0" collapsed="false">
      <c r="M566" s="35" t="str">
        <f aca="false">IF($A566="","",HOUR($A566))</f>
        <v/>
      </c>
      <c r="N566" s="36" t="str">
        <f aca="false">IF($A566="","",$I566*$K566)</f>
        <v/>
      </c>
      <c r="O566" s="35" t="str">
        <f aca="false">IF(OR($A566="",$C566="U",$S566&lt;&gt;Calc!$F$2),"",SUMIFS($I$3:$I$3002,$E$3:$E$3002,$E566,$C$3:$C$3002,"&lt;&gt;U",$S$3:$S$3002,Calc!$F$2))</f>
        <v/>
      </c>
      <c r="P566" s="35" t="str">
        <f aca="false">IF(OR($A566="",$C566="U",$S566&lt;&gt;Calc!$F$2),"",SUMIFS($N$3:$N$3002,$E$3:$E$3002,$E566,$C$3:$C$3002,"&lt;&gt;U",$S$3:$S$3002,Calc!$F$2))</f>
        <v/>
      </c>
      <c r="Q566" s="35" t="str">
        <f aca="false">IF(OR($A566="",$C566="U",$S566&lt;&gt;Calc!$F$2),"",IF(COUNTIFS($E$3:$E566,$E566,$C$3:$C566,"&lt;&gt;U",$S$3:$S566,Calc!$F$2)=1,1,0))</f>
        <v/>
      </c>
      <c r="R566" s="35" t="str">
        <f aca="false">IF($Q566=1,$O566-ROW()/100000,"")</f>
        <v/>
      </c>
      <c r="S566" s="37" t="str">
        <f aca="false">IF($A566="","",INT($A566))</f>
        <v/>
      </c>
      <c r="T566" s="35" t="str">
        <f aca="false">IF($A566="","",IF(COUNTIFS($S$3:$S566,$S566)=1,1,0))</f>
        <v/>
      </c>
      <c r="U566" s="37" t="str">
        <f aca="false">IF($T566=1,$S566,"")</f>
        <v/>
      </c>
    </row>
    <row r="567" customFormat="false" ht="15" hidden="false" customHeight="false" outlineLevel="0" collapsed="false">
      <c r="M567" s="35" t="str">
        <f aca="false">IF($A567="","",HOUR($A567))</f>
        <v/>
      </c>
      <c r="N567" s="36" t="str">
        <f aca="false">IF($A567="","",$I567*$K567)</f>
        <v/>
      </c>
      <c r="O567" s="35" t="str">
        <f aca="false">IF(OR($A567="",$C567="U",$S567&lt;&gt;Calc!$F$2),"",SUMIFS($I$3:$I$3002,$E$3:$E$3002,$E567,$C$3:$C$3002,"&lt;&gt;U",$S$3:$S$3002,Calc!$F$2))</f>
        <v/>
      </c>
      <c r="P567" s="35" t="str">
        <f aca="false">IF(OR($A567="",$C567="U",$S567&lt;&gt;Calc!$F$2),"",SUMIFS($N$3:$N$3002,$E$3:$E$3002,$E567,$C$3:$C$3002,"&lt;&gt;U",$S$3:$S$3002,Calc!$F$2))</f>
        <v/>
      </c>
      <c r="Q567" s="35" t="str">
        <f aca="false">IF(OR($A567="",$C567="U",$S567&lt;&gt;Calc!$F$2),"",IF(COUNTIFS($E$3:$E567,$E567,$C$3:$C567,"&lt;&gt;U",$S$3:$S567,Calc!$F$2)=1,1,0))</f>
        <v/>
      </c>
      <c r="R567" s="35" t="str">
        <f aca="false">IF($Q567=1,$O567-ROW()/100000,"")</f>
        <v/>
      </c>
      <c r="S567" s="37" t="str">
        <f aca="false">IF($A567="","",INT($A567))</f>
        <v/>
      </c>
      <c r="T567" s="35" t="str">
        <f aca="false">IF($A567="","",IF(COUNTIFS($S$3:$S567,$S567)=1,1,0))</f>
        <v/>
      </c>
      <c r="U567" s="37" t="str">
        <f aca="false">IF($T567=1,$S567,"")</f>
        <v/>
      </c>
    </row>
    <row r="568" customFormat="false" ht="15" hidden="false" customHeight="false" outlineLevel="0" collapsed="false">
      <c r="M568" s="35" t="str">
        <f aca="false">IF($A568="","",HOUR($A568))</f>
        <v/>
      </c>
      <c r="N568" s="36" t="str">
        <f aca="false">IF($A568="","",$I568*$K568)</f>
        <v/>
      </c>
      <c r="O568" s="35" t="str">
        <f aca="false">IF(OR($A568="",$C568="U",$S568&lt;&gt;Calc!$F$2),"",SUMIFS($I$3:$I$3002,$E$3:$E$3002,$E568,$C$3:$C$3002,"&lt;&gt;U",$S$3:$S$3002,Calc!$F$2))</f>
        <v/>
      </c>
      <c r="P568" s="35" t="str">
        <f aca="false">IF(OR($A568="",$C568="U",$S568&lt;&gt;Calc!$F$2),"",SUMIFS($N$3:$N$3002,$E$3:$E$3002,$E568,$C$3:$C$3002,"&lt;&gt;U",$S$3:$S$3002,Calc!$F$2))</f>
        <v/>
      </c>
      <c r="Q568" s="35" t="str">
        <f aca="false">IF(OR($A568="",$C568="U",$S568&lt;&gt;Calc!$F$2),"",IF(COUNTIFS($E$3:$E568,$E568,$C$3:$C568,"&lt;&gt;U",$S$3:$S568,Calc!$F$2)=1,1,0))</f>
        <v/>
      </c>
      <c r="R568" s="35" t="str">
        <f aca="false">IF($Q568=1,$O568-ROW()/100000,"")</f>
        <v/>
      </c>
      <c r="S568" s="37" t="str">
        <f aca="false">IF($A568="","",INT($A568))</f>
        <v/>
      </c>
      <c r="T568" s="35" t="str">
        <f aca="false">IF($A568="","",IF(COUNTIFS($S$3:$S568,$S568)=1,1,0))</f>
        <v/>
      </c>
      <c r="U568" s="37" t="str">
        <f aca="false">IF($T568=1,$S568,"")</f>
        <v/>
      </c>
    </row>
    <row r="569" customFormat="false" ht="15" hidden="false" customHeight="false" outlineLevel="0" collapsed="false">
      <c r="M569" s="35" t="str">
        <f aca="false">IF($A569="","",HOUR($A569))</f>
        <v/>
      </c>
      <c r="N569" s="36" t="str">
        <f aca="false">IF($A569="","",$I569*$K569)</f>
        <v/>
      </c>
      <c r="O569" s="35" t="str">
        <f aca="false">IF(OR($A569="",$C569="U",$S569&lt;&gt;Calc!$F$2),"",SUMIFS($I$3:$I$3002,$E$3:$E$3002,$E569,$C$3:$C$3002,"&lt;&gt;U",$S$3:$S$3002,Calc!$F$2))</f>
        <v/>
      </c>
      <c r="P569" s="35" t="str">
        <f aca="false">IF(OR($A569="",$C569="U",$S569&lt;&gt;Calc!$F$2),"",SUMIFS($N$3:$N$3002,$E$3:$E$3002,$E569,$C$3:$C$3002,"&lt;&gt;U",$S$3:$S$3002,Calc!$F$2))</f>
        <v/>
      </c>
      <c r="Q569" s="35" t="str">
        <f aca="false">IF(OR($A569="",$C569="U",$S569&lt;&gt;Calc!$F$2),"",IF(COUNTIFS($E$3:$E569,$E569,$C$3:$C569,"&lt;&gt;U",$S$3:$S569,Calc!$F$2)=1,1,0))</f>
        <v/>
      </c>
      <c r="R569" s="35" t="str">
        <f aca="false">IF($Q569=1,$O569-ROW()/100000,"")</f>
        <v/>
      </c>
      <c r="S569" s="37" t="str">
        <f aca="false">IF($A569="","",INT($A569))</f>
        <v/>
      </c>
      <c r="T569" s="35" t="str">
        <f aca="false">IF($A569="","",IF(COUNTIFS($S$3:$S569,$S569)=1,1,0))</f>
        <v/>
      </c>
      <c r="U569" s="37" t="str">
        <f aca="false">IF($T569=1,$S569,"")</f>
        <v/>
      </c>
    </row>
    <row r="570" customFormat="false" ht="15" hidden="false" customHeight="false" outlineLevel="0" collapsed="false">
      <c r="M570" s="35" t="str">
        <f aca="false">IF($A570="","",HOUR($A570))</f>
        <v/>
      </c>
      <c r="N570" s="36" t="str">
        <f aca="false">IF($A570="","",$I570*$K570)</f>
        <v/>
      </c>
      <c r="O570" s="35" t="str">
        <f aca="false">IF(OR($A570="",$C570="U",$S570&lt;&gt;Calc!$F$2),"",SUMIFS($I$3:$I$3002,$E$3:$E$3002,$E570,$C$3:$C$3002,"&lt;&gt;U",$S$3:$S$3002,Calc!$F$2))</f>
        <v/>
      </c>
      <c r="P570" s="35" t="str">
        <f aca="false">IF(OR($A570="",$C570="U",$S570&lt;&gt;Calc!$F$2),"",SUMIFS($N$3:$N$3002,$E$3:$E$3002,$E570,$C$3:$C$3002,"&lt;&gt;U",$S$3:$S$3002,Calc!$F$2))</f>
        <v/>
      </c>
      <c r="Q570" s="35" t="str">
        <f aca="false">IF(OR($A570="",$C570="U",$S570&lt;&gt;Calc!$F$2),"",IF(COUNTIFS($E$3:$E570,$E570,$C$3:$C570,"&lt;&gt;U",$S$3:$S570,Calc!$F$2)=1,1,0))</f>
        <v/>
      </c>
      <c r="R570" s="35" t="str">
        <f aca="false">IF($Q570=1,$O570-ROW()/100000,"")</f>
        <v/>
      </c>
      <c r="S570" s="37" t="str">
        <f aca="false">IF($A570="","",INT($A570))</f>
        <v/>
      </c>
      <c r="T570" s="35" t="str">
        <f aca="false">IF($A570="","",IF(COUNTIFS($S$3:$S570,$S570)=1,1,0))</f>
        <v/>
      </c>
      <c r="U570" s="37" t="str">
        <f aca="false">IF($T570=1,$S570,"")</f>
        <v/>
      </c>
    </row>
    <row r="571" customFormat="false" ht="15" hidden="false" customHeight="false" outlineLevel="0" collapsed="false">
      <c r="M571" s="35" t="str">
        <f aca="false">IF($A571="","",HOUR($A571))</f>
        <v/>
      </c>
      <c r="N571" s="36" t="str">
        <f aca="false">IF($A571="","",$I571*$K571)</f>
        <v/>
      </c>
      <c r="O571" s="35" t="str">
        <f aca="false">IF(OR($A571="",$C571="U",$S571&lt;&gt;Calc!$F$2),"",SUMIFS($I$3:$I$3002,$E$3:$E$3002,$E571,$C$3:$C$3002,"&lt;&gt;U",$S$3:$S$3002,Calc!$F$2))</f>
        <v/>
      </c>
      <c r="P571" s="35" t="str">
        <f aca="false">IF(OR($A571="",$C571="U",$S571&lt;&gt;Calc!$F$2),"",SUMIFS($N$3:$N$3002,$E$3:$E$3002,$E571,$C$3:$C$3002,"&lt;&gt;U",$S$3:$S$3002,Calc!$F$2))</f>
        <v/>
      </c>
      <c r="Q571" s="35" t="str">
        <f aca="false">IF(OR($A571="",$C571="U",$S571&lt;&gt;Calc!$F$2),"",IF(COUNTIFS($E$3:$E571,$E571,$C$3:$C571,"&lt;&gt;U",$S$3:$S571,Calc!$F$2)=1,1,0))</f>
        <v/>
      </c>
      <c r="R571" s="35" t="str">
        <f aca="false">IF($Q571=1,$O571-ROW()/100000,"")</f>
        <v/>
      </c>
      <c r="S571" s="37" t="str">
        <f aca="false">IF($A571="","",INT($A571))</f>
        <v/>
      </c>
      <c r="T571" s="35" t="str">
        <f aca="false">IF($A571="","",IF(COUNTIFS($S$3:$S571,$S571)=1,1,0))</f>
        <v/>
      </c>
      <c r="U571" s="37" t="str">
        <f aca="false">IF($T571=1,$S571,"")</f>
        <v/>
      </c>
    </row>
    <row r="572" customFormat="false" ht="15" hidden="false" customHeight="false" outlineLevel="0" collapsed="false">
      <c r="M572" s="35" t="str">
        <f aca="false">IF($A572="","",HOUR($A572))</f>
        <v/>
      </c>
      <c r="N572" s="36" t="str">
        <f aca="false">IF($A572="","",$I572*$K572)</f>
        <v/>
      </c>
      <c r="O572" s="35" t="str">
        <f aca="false">IF(OR($A572="",$C572="U",$S572&lt;&gt;Calc!$F$2),"",SUMIFS($I$3:$I$3002,$E$3:$E$3002,$E572,$C$3:$C$3002,"&lt;&gt;U",$S$3:$S$3002,Calc!$F$2))</f>
        <v/>
      </c>
      <c r="P572" s="35" t="str">
        <f aca="false">IF(OR($A572="",$C572="U",$S572&lt;&gt;Calc!$F$2),"",SUMIFS($N$3:$N$3002,$E$3:$E$3002,$E572,$C$3:$C$3002,"&lt;&gt;U",$S$3:$S$3002,Calc!$F$2))</f>
        <v/>
      </c>
      <c r="Q572" s="35" t="str">
        <f aca="false">IF(OR($A572="",$C572="U",$S572&lt;&gt;Calc!$F$2),"",IF(COUNTIFS($E$3:$E572,$E572,$C$3:$C572,"&lt;&gt;U",$S$3:$S572,Calc!$F$2)=1,1,0))</f>
        <v/>
      </c>
      <c r="R572" s="35" t="str">
        <f aca="false">IF($Q572=1,$O572-ROW()/100000,"")</f>
        <v/>
      </c>
      <c r="S572" s="37" t="str">
        <f aca="false">IF($A572="","",INT($A572))</f>
        <v/>
      </c>
      <c r="T572" s="35" t="str">
        <f aca="false">IF($A572="","",IF(COUNTIFS($S$3:$S572,$S572)=1,1,0))</f>
        <v/>
      </c>
      <c r="U572" s="37" t="str">
        <f aca="false">IF($T572=1,$S572,"")</f>
        <v/>
      </c>
    </row>
    <row r="573" customFormat="false" ht="15" hidden="false" customHeight="false" outlineLevel="0" collapsed="false">
      <c r="M573" s="35" t="str">
        <f aca="false">IF($A573="","",HOUR($A573))</f>
        <v/>
      </c>
      <c r="N573" s="36" t="str">
        <f aca="false">IF($A573="","",$I573*$K573)</f>
        <v/>
      </c>
      <c r="O573" s="35" t="str">
        <f aca="false">IF(OR($A573="",$C573="U",$S573&lt;&gt;Calc!$F$2),"",SUMIFS($I$3:$I$3002,$E$3:$E$3002,$E573,$C$3:$C$3002,"&lt;&gt;U",$S$3:$S$3002,Calc!$F$2))</f>
        <v/>
      </c>
      <c r="P573" s="35" t="str">
        <f aca="false">IF(OR($A573="",$C573="U",$S573&lt;&gt;Calc!$F$2),"",SUMIFS($N$3:$N$3002,$E$3:$E$3002,$E573,$C$3:$C$3002,"&lt;&gt;U",$S$3:$S$3002,Calc!$F$2))</f>
        <v/>
      </c>
      <c r="Q573" s="35" t="str">
        <f aca="false">IF(OR($A573="",$C573="U",$S573&lt;&gt;Calc!$F$2),"",IF(COUNTIFS($E$3:$E573,$E573,$C$3:$C573,"&lt;&gt;U",$S$3:$S573,Calc!$F$2)=1,1,0))</f>
        <v/>
      </c>
      <c r="R573" s="35" t="str">
        <f aca="false">IF($Q573=1,$O573-ROW()/100000,"")</f>
        <v/>
      </c>
      <c r="S573" s="37" t="str">
        <f aca="false">IF($A573="","",INT($A573))</f>
        <v/>
      </c>
      <c r="T573" s="35" t="str">
        <f aca="false">IF($A573="","",IF(COUNTIFS($S$3:$S573,$S573)=1,1,0))</f>
        <v/>
      </c>
      <c r="U573" s="37" t="str">
        <f aca="false">IF($T573=1,$S573,"")</f>
        <v/>
      </c>
    </row>
    <row r="574" customFormat="false" ht="15" hidden="false" customHeight="false" outlineLevel="0" collapsed="false">
      <c r="M574" s="35" t="str">
        <f aca="false">IF($A574="","",HOUR($A574))</f>
        <v/>
      </c>
      <c r="N574" s="36" t="str">
        <f aca="false">IF($A574="","",$I574*$K574)</f>
        <v/>
      </c>
      <c r="O574" s="35" t="str">
        <f aca="false">IF(OR($A574="",$C574="U",$S574&lt;&gt;Calc!$F$2),"",SUMIFS($I$3:$I$3002,$E$3:$E$3002,$E574,$C$3:$C$3002,"&lt;&gt;U",$S$3:$S$3002,Calc!$F$2))</f>
        <v/>
      </c>
      <c r="P574" s="35" t="str">
        <f aca="false">IF(OR($A574="",$C574="U",$S574&lt;&gt;Calc!$F$2),"",SUMIFS($N$3:$N$3002,$E$3:$E$3002,$E574,$C$3:$C$3002,"&lt;&gt;U",$S$3:$S$3002,Calc!$F$2))</f>
        <v/>
      </c>
      <c r="Q574" s="35" t="str">
        <f aca="false">IF(OR($A574="",$C574="U",$S574&lt;&gt;Calc!$F$2),"",IF(COUNTIFS($E$3:$E574,$E574,$C$3:$C574,"&lt;&gt;U",$S$3:$S574,Calc!$F$2)=1,1,0))</f>
        <v/>
      </c>
      <c r="R574" s="35" t="str">
        <f aca="false">IF($Q574=1,$O574-ROW()/100000,"")</f>
        <v/>
      </c>
      <c r="S574" s="37" t="str">
        <f aca="false">IF($A574="","",INT($A574))</f>
        <v/>
      </c>
      <c r="T574" s="35" t="str">
        <f aca="false">IF($A574="","",IF(COUNTIFS($S$3:$S574,$S574)=1,1,0))</f>
        <v/>
      </c>
      <c r="U574" s="37" t="str">
        <f aca="false">IF($T574=1,$S574,"")</f>
        <v/>
      </c>
    </row>
    <row r="575" customFormat="false" ht="15" hidden="false" customHeight="false" outlineLevel="0" collapsed="false">
      <c r="M575" s="35" t="str">
        <f aca="false">IF($A575="","",HOUR($A575))</f>
        <v/>
      </c>
      <c r="N575" s="36" t="str">
        <f aca="false">IF($A575="","",$I575*$K575)</f>
        <v/>
      </c>
      <c r="O575" s="35" t="str">
        <f aca="false">IF(OR($A575="",$C575="U",$S575&lt;&gt;Calc!$F$2),"",SUMIFS($I$3:$I$3002,$E$3:$E$3002,$E575,$C$3:$C$3002,"&lt;&gt;U",$S$3:$S$3002,Calc!$F$2))</f>
        <v/>
      </c>
      <c r="P575" s="35" t="str">
        <f aca="false">IF(OR($A575="",$C575="U",$S575&lt;&gt;Calc!$F$2),"",SUMIFS($N$3:$N$3002,$E$3:$E$3002,$E575,$C$3:$C$3002,"&lt;&gt;U",$S$3:$S$3002,Calc!$F$2))</f>
        <v/>
      </c>
      <c r="Q575" s="35" t="str">
        <f aca="false">IF(OR($A575="",$C575="U",$S575&lt;&gt;Calc!$F$2),"",IF(COUNTIFS($E$3:$E575,$E575,$C$3:$C575,"&lt;&gt;U",$S$3:$S575,Calc!$F$2)=1,1,0))</f>
        <v/>
      </c>
      <c r="R575" s="35" t="str">
        <f aca="false">IF($Q575=1,$O575-ROW()/100000,"")</f>
        <v/>
      </c>
      <c r="S575" s="37" t="str">
        <f aca="false">IF($A575="","",INT($A575))</f>
        <v/>
      </c>
      <c r="T575" s="35" t="str">
        <f aca="false">IF($A575="","",IF(COUNTIFS($S$3:$S575,$S575)=1,1,0))</f>
        <v/>
      </c>
      <c r="U575" s="37" t="str">
        <f aca="false">IF($T575=1,$S575,"")</f>
        <v/>
      </c>
    </row>
    <row r="576" customFormat="false" ht="15" hidden="false" customHeight="false" outlineLevel="0" collapsed="false">
      <c r="M576" s="35" t="str">
        <f aca="false">IF($A576="","",HOUR($A576))</f>
        <v/>
      </c>
      <c r="N576" s="36" t="str">
        <f aca="false">IF($A576="","",$I576*$K576)</f>
        <v/>
      </c>
      <c r="O576" s="35" t="str">
        <f aca="false">IF(OR($A576="",$C576="U",$S576&lt;&gt;Calc!$F$2),"",SUMIFS($I$3:$I$3002,$E$3:$E$3002,$E576,$C$3:$C$3002,"&lt;&gt;U",$S$3:$S$3002,Calc!$F$2))</f>
        <v/>
      </c>
      <c r="P576" s="35" t="str">
        <f aca="false">IF(OR($A576="",$C576="U",$S576&lt;&gt;Calc!$F$2),"",SUMIFS($N$3:$N$3002,$E$3:$E$3002,$E576,$C$3:$C$3002,"&lt;&gt;U",$S$3:$S$3002,Calc!$F$2))</f>
        <v/>
      </c>
      <c r="Q576" s="35" t="str">
        <f aca="false">IF(OR($A576="",$C576="U",$S576&lt;&gt;Calc!$F$2),"",IF(COUNTIFS($E$3:$E576,$E576,$C$3:$C576,"&lt;&gt;U",$S$3:$S576,Calc!$F$2)=1,1,0))</f>
        <v/>
      </c>
      <c r="R576" s="35" t="str">
        <f aca="false">IF($Q576=1,$O576-ROW()/100000,"")</f>
        <v/>
      </c>
      <c r="S576" s="37" t="str">
        <f aca="false">IF($A576="","",INT($A576))</f>
        <v/>
      </c>
      <c r="T576" s="35" t="str">
        <f aca="false">IF($A576="","",IF(COUNTIFS($S$3:$S576,$S576)=1,1,0))</f>
        <v/>
      </c>
      <c r="U576" s="37" t="str">
        <f aca="false">IF($T576=1,$S576,"")</f>
        <v/>
      </c>
    </row>
    <row r="577" customFormat="false" ht="15" hidden="false" customHeight="false" outlineLevel="0" collapsed="false">
      <c r="M577" s="35" t="str">
        <f aca="false">IF($A577="","",HOUR($A577))</f>
        <v/>
      </c>
      <c r="N577" s="36" t="str">
        <f aca="false">IF($A577="","",$I577*$K577)</f>
        <v/>
      </c>
      <c r="O577" s="35" t="str">
        <f aca="false">IF(OR($A577="",$C577="U",$S577&lt;&gt;Calc!$F$2),"",SUMIFS($I$3:$I$3002,$E$3:$E$3002,$E577,$C$3:$C$3002,"&lt;&gt;U",$S$3:$S$3002,Calc!$F$2))</f>
        <v/>
      </c>
      <c r="P577" s="35" t="str">
        <f aca="false">IF(OR($A577="",$C577="U",$S577&lt;&gt;Calc!$F$2),"",SUMIFS($N$3:$N$3002,$E$3:$E$3002,$E577,$C$3:$C$3002,"&lt;&gt;U",$S$3:$S$3002,Calc!$F$2))</f>
        <v/>
      </c>
      <c r="Q577" s="35" t="str">
        <f aca="false">IF(OR($A577="",$C577="U",$S577&lt;&gt;Calc!$F$2),"",IF(COUNTIFS($E$3:$E577,$E577,$C$3:$C577,"&lt;&gt;U",$S$3:$S577,Calc!$F$2)=1,1,0))</f>
        <v/>
      </c>
      <c r="R577" s="35" t="str">
        <f aca="false">IF($Q577=1,$O577-ROW()/100000,"")</f>
        <v/>
      </c>
      <c r="S577" s="37" t="str">
        <f aca="false">IF($A577="","",INT($A577))</f>
        <v/>
      </c>
      <c r="T577" s="35" t="str">
        <f aca="false">IF($A577="","",IF(COUNTIFS($S$3:$S577,$S577)=1,1,0))</f>
        <v/>
      </c>
      <c r="U577" s="37" t="str">
        <f aca="false">IF($T577=1,$S577,"")</f>
        <v/>
      </c>
    </row>
    <row r="578" customFormat="false" ht="15" hidden="false" customHeight="false" outlineLevel="0" collapsed="false">
      <c r="M578" s="35" t="str">
        <f aca="false">IF($A578="","",HOUR($A578))</f>
        <v/>
      </c>
      <c r="N578" s="36" t="str">
        <f aca="false">IF($A578="","",$I578*$K578)</f>
        <v/>
      </c>
      <c r="O578" s="35" t="str">
        <f aca="false">IF(OR($A578="",$C578="U",$S578&lt;&gt;Calc!$F$2),"",SUMIFS($I$3:$I$3002,$E$3:$E$3002,$E578,$C$3:$C$3002,"&lt;&gt;U",$S$3:$S$3002,Calc!$F$2))</f>
        <v/>
      </c>
      <c r="P578" s="35" t="str">
        <f aca="false">IF(OR($A578="",$C578="U",$S578&lt;&gt;Calc!$F$2),"",SUMIFS($N$3:$N$3002,$E$3:$E$3002,$E578,$C$3:$C$3002,"&lt;&gt;U",$S$3:$S$3002,Calc!$F$2))</f>
        <v/>
      </c>
      <c r="Q578" s="35" t="str">
        <f aca="false">IF(OR($A578="",$C578="U",$S578&lt;&gt;Calc!$F$2),"",IF(COUNTIFS($E$3:$E578,$E578,$C$3:$C578,"&lt;&gt;U",$S$3:$S578,Calc!$F$2)=1,1,0))</f>
        <v/>
      </c>
      <c r="R578" s="35" t="str">
        <f aca="false">IF($Q578=1,$O578-ROW()/100000,"")</f>
        <v/>
      </c>
      <c r="S578" s="37" t="str">
        <f aca="false">IF($A578="","",INT($A578))</f>
        <v/>
      </c>
      <c r="T578" s="35" t="str">
        <f aca="false">IF($A578="","",IF(COUNTIFS($S$3:$S578,$S578)=1,1,0))</f>
        <v/>
      </c>
      <c r="U578" s="37" t="str">
        <f aca="false">IF($T578=1,$S578,"")</f>
        <v/>
      </c>
    </row>
    <row r="579" customFormat="false" ht="15" hidden="false" customHeight="false" outlineLevel="0" collapsed="false">
      <c r="M579" s="35" t="str">
        <f aca="false">IF($A579="","",HOUR($A579))</f>
        <v/>
      </c>
      <c r="N579" s="36" t="str">
        <f aca="false">IF($A579="","",$I579*$K579)</f>
        <v/>
      </c>
      <c r="O579" s="35" t="str">
        <f aca="false">IF(OR($A579="",$C579="U",$S579&lt;&gt;Calc!$F$2),"",SUMIFS($I$3:$I$3002,$E$3:$E$3002,$E579,$C$3:$C$3002,"&lt;&gt;U",$S$3:$S$3002,Calc!$F$2))</f>
        <v/>
      </c>
      <c r="P579" s="35" t="str">
        <f aca="false">IF(OR($A579="",$C579="U",$S579&lt;&gt;Calc!$F$2),"",SUMIFS($N$3:$N$3002,$E$3:$E$3002,$E579,$C$3:$C$3002,"&lt;&gt;U",$S$3:$S$3002,Calc!$F$2))</f>
        <v/>
      </c>
      <c r="Q579" s="35" t="str">
        <f aca="false">IF(OR($A579="",$C579="U",$S579&lt;&gt;Calc!$F$2),"",IF(COUNTIFS($E$3:$E579,$E579,$C$3:$C579,"&lt;&gt;U",$S$3:$S579,Calc!$F$2)=1,1,0))</f>
        <v/>
      </c>
      <c r="R579" s="35" t="str">
        <f aca="false">IF($Q579=1,$O579-ROW()/100000,"")</f>
        <v/>
      </c>
      <c r="S579" s="37" t="str">
        <f aca="false">IF($A579="","",INT($A579))</f>
        <v/>
      </c>
      <c r="T579" s="35" t="str">
        <f aca="false">IF($A579="","",IF(COUNTIFS($S$3:$S579,$S579)=1,1,0))</f>
        <v/>
      </c>
      <c r="U579" s="37" t="str">
        <f aca="false">IF($T579=1,$S579,"")</f>
        <v/>
      </c>
    </row>
    <row r="580" customFormat="false" ht="15" hidden="false" customHeight="false" outlineLevel="0" collapsed="false">
      <c r="M580" s="35" t="str">
        <f aca="false">IF($A580="","",HOUR($A580))</f>
        <v/>
      </c>
      <c r="N580" s="36" t="str">
        <f aca="false">IF($A580="","",$I580*$K580)</f>
        <v/>
      </c>
      <c r="O580" s="35" t="str">
        <f aca="false">IF(OR($A580="",$C580="U",$S580&lt;&gt;Calc!$F$2),"",SUMIFS($I$3:$I$3002,$E$3:$E$3002,$E580,$C$3:$C$3002,"&lt;&gt;U",$S$3:$S$3002,Calc!$F$2))</f>
        <v/>
      </c>
      <c r="P580" s="35" t="str">
        <f aca="false">IF(OR($A580="",$C580="U",$S580&lt;&gt;Calc!$F$2),"",SUMIFS($N$3:$N$3002,$E$3:$E$3002,$E580,$C$3:$C$3002,"&lt;&gt;U",$S$3:$S$3002,Calc!$F$2))</f>
        <v/>
      </c>
      <c r="Q580" s="35" t="str">
        <f aca="false">IF(OR($A580="",$C580="U",$S580&lt;&gt;Calc!$F$2),"",IF(COUNTIFS($E$3:$E580,$E580,$C$3:$C580,"&lt;&gt;U",$S$3:$S580,Calc!$F$2)=1,1,0))</f>
        <v/>
      </c>
      <c r="R580" s="35" t="str">
        <f aca="false">IF($Q580=1,$O580-ROW()/100000,"")</f>
        <v/>
      </c>
      <c r="S580" s="37" t="str">
        <f aca="false">IF($A580="","",INT($A580))</f>
        <v/>
      </c>
      <c r="T580" s="35" t="str">
        <f aca="false">IF($A580="","",IF(COUNTIFS($S$3:$S580,$S580)=1,1,0))</f>
        <v/>
      </c>
      <c r="U580" s="37" t="str">
        <f aca="false">IF($T580=1,$S580,"")</f>
        <v/>
      </c>
    </row>
    <row r="581" customFormat="false" ht="15" hidden="false" customHeight="false" outlineLevel="0" collapsed="false">
      <c r="M581" s="35" t="str">
        <f aca="false">IF($A581="","",HOUR($A581))</f>
        <v/>
      </c>
      <c r="N581" s="36" t="str">
        <f aca="false">IF($A581="","",$I581*$K581)</f>
        <v/>
      </c>
      <c r="O581" s="35" t="str">
        <f aca="false">IF(OR($A581="",$C581="U",$S581&lt;&gt;Calc!$F$2),"",SUMIFS($I$3:$I$3002,$E$3:$E$3002,$E581,$C$3:$C$3002,"&lt;&gt;U",$S$3:$S$3002,Calc!$F$2))</f>
        <v/>
      </c>
      <c r="P581" s="35" t="str">
        <f aca="false">IF(OR($A581="",$C581="U",$S581&lt;&gt;Calc!$F$2),"",SUMIFS($N$3:$N$3002,$E$3:$E$3002,$E581,$C$3:$C$3002,"&lt;&gt;U",$S$3:$S$3002,Calc!$F$2))</f>
        <v/>
      </c>
      <c r="Q581" s="35" t="str">
        <f aca="false">IF(OR($A581="",$C581="U",$S581&lt;&gt;Calc!$F$2),"",IF(COUNTIFS($E$3:$E581,$E581,$C$3:$C581,"&lt;&gt;U",$S$3:$S581,Calc!$F$2)=1,1,0))</f>
        <v/>
      </c>
      <c r="R581" s="35" t="str">
        <f aca="false">IF($Q581=1,$O581-ROW()/100000,"")</f>
        <v/>
      </c>
      <c r="S581" s="37" t="str">
        <f aca="false">IF($A581="","",INT($A581))</f>
        <v/>
      </c>
      <c r="T581" s="35" t="str">
        <f aca="false">IF($A581="","",IF(COUNTIFS($S$3:$S581,$S581)=1,1,0))</f>
        <v/>
      </c>
      <c r="U581" s="37" t="str">
        <f aca="false">IF($T581=1,$S581,"")</f>
        <v/>
      </c>
    </row>
    <row r="582" customFormat="false" ht="15" hidden="false" customHeight="false" outlineLevel="0" collapsed="false">
      <c r="M582" s="35" t="str">
        <f aca="false">IF($A582="","",HOUR($A582))</f>
        <v/>
      </c>
      <c r="N582" s="36" t="str">
        <f aca="false">IF($A582="","",$I582*$K582)</f>
        <v/>
      </c>
      <c r="O582" s="35" t="str">
        <f aca="false">IF(OR($A582="",$C582="U",$S582&lt;&gt;Calc!$F$2),"",SUMIFS($I$3:$I$3002,$E$3:$E$3002,$E582,$C$3:$C$3002,"&lt;&gt;U",$S$3:$S$3002,Calc!$F$2))</f>
        <v/>
      </c>
      <c r="P582" s="35" t="str">
        <f aca="false">IF(OR($A582="",$C582="U",$S582&lt;&gt;Calc!$F$2),"",SUMIFS($N$3:$N$3002,$E$3:$E$3002,$E582,$C$3:$C$3002,"&lt;&gt;U",$S$3:$S$3002,Calc!$F$2))</f>
        <v/>
      </c>
      <c r="Q582" s="35" t="str">
        <f aca="false">IF(OR($A582="",$C582="U",$S582&lt;&gt;Calc!$F$2),"",IF(COUNTIFS($E$3:$E582,$E582,$C$3:$C582,"&lt;&gt;U",$S$3:$S582,Calc!$F$2)=1,1,0))</f>
        <v/>
      </c>
      <c r="R582" s="35" t="str">
        <f aca="false">IF($Q582=1,$O582-ROW()/100000,"")</f>
        <v/>
      </c>
      <c r="S582" s="37" t="str">
        <f aca="false">IF($A582="","",INT($A582))</f>
        <v/>
      </c>
      <c r="T582" s="35" t="str">
        <f aca="false">IF($A582="","",IF(COUNTIFS($S$3:$S582,$S582)=1,1,0))</f>
        <v/>
      </c>
      <c r="U582" s="37" t="str">
        <f aca="false">IF($T582=1,$S582,"")</f>
        <v/>
      </c>
    </row>
    <row r="583" customFormat="false" ht="15" hidden="false" customHeight="false" outlineLevel="0" collapsed="false">
      <c r="M583" s="35" t="str">
        <f aca="false">IF($A583="","",HOUR($A583))</f>
        <v/>
      </c>
      <c r="N583" s="36" t="str">
        <f aca="false">IF($A583="","",$I583*$K583)</f>
        <v/>
      </c>
      <c r="O583" s="35" t="str">
        <f aca="false">IF(OR($A583="",$C583="U",$S583&lt;&gt;Calc!$F$2),"",SUMIFS($I$3:$I$3002,$E$3:$E$3002,$E583,$C$3:$C$3002,"&lt;&gt;U",$S$3:$S$3002,Calc!$F$2))</f>
        <v/>
      </c>
      <c r="P583" s="35" t="str">
        <f aca="false">IF(OR($A583="",$C583="U",$S583&lt;&gt;Calc!$F$2),"",SUMIFS($N$3:$N$3002,$E$3:$E$3002,$E583,$C$3:$C$3002,"&lt;&gt;U",$S$3:$S$3002,Calc!$F$2))</f>
        <v/>
      </c>
      <c r="Q583" s="35" t="str">
        <f aca="false">IF(OR($A583="",$C583="U",$S583&lt;&gt;Calc!$F$2),"",IF(COUNTIFS($E$3:$E583,$E583,$C$3:$C583,"&lt;&gt;U",$S$3:$S583,Calc!$F$2)=1,1,0))</f>
        <v/>
      </c>
      <c r="R583" s="35" t="str">
        <f aca="false">IF($Q583=1,$O583-ROW()/100000,"")</f>
        <v/>
      </c>
      <c r="S583" s="37" t="str">
        <f aca="false">IF($A583="","",INT($A583))</f>
        <v/>
      </c>
      <c r="T583" s="35" t="str">
        <f aca="false">IF($A583="","",IF(COUNTIFS($S$3:$S583,$S583)=1,1,0))</f>
        <v/>
      </c>
      <c r="U583" s="37" t="str">
        <f aca="false">IF($T583=1,$S583,"")</f>
        <v/>
      </c>
    </row>
    <row r="584" customFormat="false" ht="15" hidden="false" customHeight="false" outlineLevel="0" collapsed="false">
      <c r="M584" s="35" t="str">
        <f aca="false">IF($A584="","",HOUR($A584))</f>
        <v/>
      </c>
      <c r="N584" s="36" t="str">
        <f aca="false">IF($A584="","",$I584*$K584)</f>
        <v/>
      </c>
      <c r="O584" s="35" t="str">
        <f aca="false">IF(OR($A584="",$C584="U",$S584&lt;&gt;Calc!$F$2),"",SUMIFS($I$3:$I$3002,$E$3:$E$3002,$E584,$C$3:$C$3002,"&lt;&gt;U",$S$3:$S$3002,Calc!$F$2))</f>
        <v/>
      </c>
      <c r="P584" s="35" t="str">
        <f aca="false">IF(OR($A584="",$C584="U",$S584&lt;&gt;Calc!$F$2),"",SUMIFS($N$3:$N$3002,$E$3:$E$3002,$E584,$C$3:$C$3002,"&lt;&gt;U",$S$3:$S$3002,Calc!$F$2))</f>
        <v/>
      </c>
      <c r="Q584" s="35" t="str">
        <f aca="false">IF(OR($A584="",$C584="U",$S584&lt;&gt;Calc!$F$2),"",IF(COUNTIFS($E$3:$E584,$E584,$C$3:$C584,"&lt;&gt;U",$S$3:$S584,Calc!$F$2)=1,1,0))</f>
        <v/>
      </c>
      <c r="R584" s="35" t="str">
        <f aca="false">IF($Q584=1,$O584-ROW()/100000,"")</f>
        <v/>
      </c>
      <c r="S584" s="37" t="str">
        <f aca="false">IF($A584="","",INT($A584))</f>
        <v/>
      </c>
      <c r="T584" s="35" t="str">
        <f aca="false">IF($A584="","",IF(COUNTIFS($S$3:$S584,$S584)=1,1,0))</f>
        <v/>
      </c>
      <c r="U584" s="37" t="str">
        <f aca="false">IF($T584=1,$S584,"")</f>
        <v/>
      </c>
    </row>
    <row r="585" customFormat="false" ht="15" hidden="false" customHeight="false" outlineLevel="0" collapsed="false">
      <c r="M585" s="35" t="str">
        <f aca="false">IF($A585="","",HOUR($A585))</f>
        <v/>
      </c>
      <c r="N585" s="36" t="str">
        <f aca="false">IF($A585="","",$I585*$K585)</f>
        <v/>
      </c>
      <c r="O585" s="35" t="str">
        <f aca="false">IF(OR($A585="",$C585="U",$S585&lt;&gt;Calc!$F$2),"",SUMIFS($I$3:$I$3002,$E$3:$E$3002,$E585,$C$3:$C$3002,"&lt;&gt;U",$S$3:$S$3002,Calc!$F$2))</f>
        <v/>
      </c>
      <c r="P585" s="35" t="str">
        <f aca="false">IF(OR($A585="",$C585="U",$S585&lt;&gt;Calc!$F$2),"",SUMIFS($N$3:$N$3002,$E$3:$E$3002,$E585,$C$3:$C$3002,"&lt;&gt;U",$S$3:$S$3002,Calc!$F$2))</f>
        <v/>
      </c>
      <c r="Q585" s="35" t="str">
        <f aca="false">IF(OR($A585="",$C585="U",$S585&lt;&gt;Calc!$F$2),"",IF(COUNTIFS($E$3:$E585,$E585,$C$3:$C585,"&lt;&gt;U",$S$3:$S585,Calc!$F$2)=1,1,0))</f>
        <v/>
      </c>
      <c r="R585" s="35" t="str">
        <f aca="false">IF($Q585=1,$O585-ROW()/100000,"")</f>
        <v/>
      </c>
      <c r="S585" s="37" t="str">
        <f aca="false">IF($A585="","",INT($A585))</f>
        <v/>
      </c>
      <c r="T585" s="35" t="str">
        <f aca="false">IF($A585="","",IF(COUNTIFS($S$3:$S585,$S585)=1,1,0))</f>
        <v/>
      </c>
      <c r="U585" s="37" t="str">
        <f aca="false">IF($T585=1,$S585,"")</f>
        <v/>
      </c>
    </row>
    <row r="586" customFormat="false" ht="15" hidden="false" customHeight="false" outlineLevel="0" collapsed="false">
      <c r="M586" s="35" t="str">
        <f aca="false">IF($A586="","",HOUR($A586))</f>
        <v/>
      </c>
      <c r="N586" s="36" t="str">
        <f aca="false">IF($A586="","",$I586*$K586)</f>
        <v/>
      </c>
      <c r="O586" s="35" t="str">
        <f aca="false">IF(OR($A586="",$C586="U",$S586&lt;&gt;Calc!$F$2),"",SUMIFS($I$3:$I$3002,$E$3:$E$3002,$E586,$C$3:$C$3002,"&lt;&gt;U",$S$3:$S$3002,Calc!$F$2))</f>
        <v/>
      </c>
      <c r="P586" s="35" t="str">
        <f aca="false">IF(OR($A586="",$C586="U",$S586&lt;&gt;Calc!$F$2),"",SUMIFS($N$3:$N$3002,$E$3:$E$3002,$E586,$C$3:$C$3002,"&lt;&gt;U",$S$3:$S$3002,Calc!$F$2))</f>
        <v/>
      </c>
      <c r="Q586" s="35" t="str">
        <f aca="false">IF(OR($A586="",$C586="U",$S586&lt;&gt;Calc!$F$2),"",IF(COUNTIFS($E$3:$E586,$E586,$C$3:$C586,"&lt;&gt;U",$S$3:$S586,Calc!$F$2)=1,1,0))</f>
        <v/>
      </c>
      <c r="R586" s="35" t="str">
        <f aca="false">IF($Q586=1,$O586-ROW()/100000,"")</f>
        <v/>
      </c>
      <c r="S586" s="37" t="str">
        <f aca="false">IF($A586="","",INT($A586))</f>
        <v/>
      </c>
      <c r="T586" s="35" t="str">
        <f aca="false">IF($A586="","",IF(COUNTIFS($S$3:$S586,$S586)=1,1,0))</f>
        <v/>
      </c>
      <c r="U586" s="37" t="str">
        <f aca="false">IF($T586=1,$S586,"")</f>
        <v/>
      </c>
    </row>
    <row r="587" customFormat="false" ht="15" hidden="false" customHeight="false" outlineLevel="0" collapsed="false">
      <c r="M587" s="35" t="str">
        <f aca="false">IF($A587="","",HOUR($A587))</f>
        <v/>
      </c>
      <c r="N587" s="36" t="str">
        <f aca="false">IF($A587="","",$I587*$K587)</f>
        <v/>
      </c>
      <c r="O587" s="35" t="str">
        <f aca="false">IF(OR($A587="",$C587="U",$S587&lt;&gt;Calc!$F$2),"",SUMIFS($I$3:$I$3002,$E$3:$E$3002,$E587,$C$3:$C$3002,"&lt;&gt;U",$S$3:$S$3002,Calc!$F$2))</f>
        <v/>
      </c>
      <c r="P587" s="35" t="str">
        <f aca="false">IF(OR($A587="",$C587="U",$S587&lt;&gt;Calc!$F$2),"",SUMIFS($N$3:$N$3002,$E$3:$E$3002,$E587,$C$3:$C$3002,"&lt;&gt;U",$S$3:$S$3002,Calc!$F$2))</f>
        <v/>
      </c>
      <c r="Q587" s="35" t="str">
        <f aca="false">IF(OR($A587="",$C587="U",$S587&lt;&gt;Calc!$F$2),"",IF(COUNTIFS($E$3:$E587,$E587,$C$3:$C587,"&lt;&gt;U",$S$3:$S587,Calc!$F$2)=1,1,0))</f>
        <v/>
      </c>
      <c r="R587" s="35" t="str">
        <f aca="false">IF($Q587=1,$O587-ROW()/100000,"")</f>
        <v/>
      </c>
      <c r="S587" s="37" t="str">
        <f aca="false">IF($A587="","",INT($A587))</f>
        <v/>
      </c>
      <c r="T587" s="35" t="str">
        <f aca="false">IF($A587="","",IF(COUNTIFS($S$3:$S587,$S587)=1,1,0))</f>
        <v/>
      </c>
      <c r="U587" s="37" t="str">
        <f aca="false">IF($T587=1,$S587,"")</f>
        <v/>
      </c>
    </row>
    <row r="588" customFormat="false" ht="15" hidden="false" customHeight="false" outlineLevel="0" collapsed="false">
      <c r="M588" s="35" t="str">
        <f aca="false">IF($A588="","",HOUR($A588))</f>
        <v/>
      </c>
      <c r="N588" s="36" t="str">
        <f aca="false">IF($A588="","",$I588*$K588)</f>
        <v/>
      </c>
      <c r="O588" s="35" t="str">
        <f aca="false">IF(OR($A588="",$C588="U",$S588&lt;&gt;Calc!$F$2),"",SUMIFS($I$3:$I$3002,$E$3:$E$3002,$E588,$C$3:$C$3002,"&lt;&gt;U",$S$3:$S$3002,Calc!$F$2))</f>
        <v/>
      </c>
      <c r="P588" s="35" t="str">
        <f aca="false">IF(OR($A588="",$C588="U",$S588&lt;&gt;Calc!$F$2),"",SUMIFS($N$3:$N$3002,$E$3:$E$3002,$E588,$C$3:$C$3002,"&lt;&gt;U",$S$3:$S$3002,Calc!$F$2))</f>
        <v/>
      </c>
      <c r="Q588" s="35" t="str">
        <f aca="false">IF(OR($A588="",$C588="U",$S588&lt;&gt;Calc!$F$2),"",IF(COUNTIFS($E$3:$E588,$E588,$C$3:$C588,"&lt;&gt;U",$S$3:$S588,Calc!$F$2)=1,1,0))</f>
        <v/>
      </c>
      <c r="R588" s="35" t="str">
        <f aca="false">IF($Q588=1,$O588-ROW()/100000,"")</f>
        <v/>
      </c>
      <c r="S588" s="37" t="str">
        <f aca="false">IF($A588="","",INT($A588))</f>
        <v/>
      </c>
      <c r="T588" s="35" t="str">
        <f aca="false">IF($A588="","",IF(COUNTIFS($S$3:$S588,$S588)=1,1,0))</f>
        <v/>
      </c>
      <c r="U588" s="37" t="str">
        <f aca="false">IF($T588=1,$S588,"")</f>
        <v/>
      </c>
    </row>
    <row r="589" customFormat="false" ht="15" hidden="false" customHeight="false" outlineLevel="0" collapsed="false">
      <c r="M589" s="35" t="str">
        <f aca="false">IF($A589="","",HOUR($A589))</f>
        <v/>
      </c>
      <c r="N589" s="36" t="str">
        <f aca="false">IF($A589="","",$I589*$K589)</f>
        <v/>
      </c>
      <c r="O589" s="35" t="str">
        <f aca="false">IF(OR($A589="",$C589="U",$S589&lt;&gt;Calc!$F$2),"",SUMIFS($I$3:$I$3002,$E$3:$E$3002,$E589,$C$3:$C$3002,"&lt;&gt;U",$S$3:$S$3002,Calc!$F$2))</f>
        <v/>
      </c>
      <c r="P589" s="35" t="str">
        <f aca="false">IF(OR($A589="",$C589="U",$S589&lt;&gt;Calc!$F$2),"",SUMIFS($N$3:$N$3002,$E$3:$E$3002,$E589,$C$3:$C$3002,"&lt;&gt;U",$S$3:$S$3002,Calc!$F$2))</f>
        <v/>
      </c>
      <c r="Q589" s="35" t="str">
        <f aca="false">IF(OR($A589="",$C589="U",$S589&lt;&gt;Calc!$F$2),"",IF(COUNTIFS($E$3:$E589,$E589,$C$3:$C589,"&lt;&gt;U",$S$3:$S589,Calc!$F$2)=1,1,0))</f>
        <v/>
      </c>
      <c r="R589" s="35" t="str">
        <f aca="false">IF($Q589=1,$O589-ROW()/100000,"")</f>
        <v/>
      </c>
      <c r="S589" s="37" t="str">
        <f aca="false">IF($A589="","",INT($A589))</f>
        <v/>
      </c>
      <c r="T589" s="35" t="str">
        <f aca="false">IF($A589="","",IF(COUNTIFS($S$3:$S589,$S589)=1,1,0))</f>
        <v/>
      </c>
      <c r="U589" s="37" t="str">
        <f aca="false">IF($T589=1,$S589,"")</f>
        <v/>
      </c>
    </row>
    <row r="590" customFormat="false" ht="15" hidden="false" customHeight="false" outlineLevel="0" collapsed="false">
      <c r="M590" s="35" t="str">
        <f aca="false">IF($A590="","",HOUR($A590))</f>
        <v/>
      </c>
      <c r="N590" s="36" t="str">
        <f aca="false">IF($A590="","",$I590*$K590)</f>
        <v/>
      </c>
      <c r="O590" s="35" t="str">
        <f aca="false">IF(OR($A590="",$C590="U",$S590&lt;&gt;Calc!$F$2),"",SUMIFS($I$3:$I$3002,$E$3:$E$3002,$E590,$C$3:$C$3002,"&lt;&gt;U",$S$3:$S$3002,Calc!$F$2))</f>
        <v/>
      </c>
      <c r="P590" s="35" t="str">
        <f aca="false">IF(OR($A590="",$C590="U",$S590&lt;&gt;Calc!$F$2),"",SUMIFS($N$3:$N$3002,$E$3:$E$3002,$E590,$C$3:$C$3002,"&lt;&gt;U",$S$3:$S$3002,Calc!$F$2))</f>
        <v/>
      </c>
      <c r="Q590" s="35" t="str">
        <f aca="false">IF(OR($A590="",$C590="U",$S590&lt;&gt;Calc!$F$2),"",IF(COUNTIFS($E$3:$E590,$E590,$C$3:$C590,"&lt;&gt;U",$S$3:$S590,Calc!$F$2)=1,1,0))</f>
        <v/>
      </c>
      <c r="R590" s="35" t="str">
        <f aca="false">IF($Q590=1,$O590-ROW()/100000,"")</f>
        <v/>
      </c>
      <c r="S590" s="37" t="str">
        <f aca="false">IF($A590="","",INT($A590))</f>
        <v/>
      </c>
      <c r="T590" s="35" t="str">
        <f aca="false">IF($A590="","",IF(COUNTIFS($S$3:$S590,$S590)=1,1,0))</f>
        <v/>
      </c>
      <c r="U590" s="37" t="str">
        <f aca="false">IF($T590=1,$S590,"")</f>
        <v/>
      </c>
    </row>
    <row r="591" customFormat="false" ht="15" hidden="false" customHeight="false" outlineLevel="0" collapsed="false">
      <c r="M591" s="35" t="str">
        <f aca="false">IF($A591="","",HOUR($A591))</f>
        <v/>
      </c>
      <c r="N591" s="36" t="str">
        <f aca="false">IF($A591="","",$I591*$K591)</f>
        <v/>
      </c>
      <c r="O591" s="35" t="str">
        <f aca="false">IF(OR($A591="",$C591="U",$S591&lt;&gt;Calc!$F$2),"",SUMIFS($I$3:$I$3002,$E$3:$E$3002,$E591,$C$3:$C$3002,"&lt;&gt;U",$S$3:$S$3002,Calc!$F$2))</f>
        <v/>
      </c>
      <c r="P591" s="35" t="str">
        <f aca="false">IF(OR($A591="",$C591="U",$S591&lt;&gt;Calc!$F$2),"",SUMIFS($N$3:$N$3002,$E$3:$E$3002,$E591,$C$3:$C$3002,"&lt;&gt;U",$S$3:$S$3002,Calc!$F$2))</f>
        <v/>
      </c>
      <c r="Q591" s="35" t="str">
        <f aca="false">IF(OR($A591="",$C591="U",$S591&lt;&gt;Calc!$F$2),"",IF(COUNTIFS($E$3:$E591,$E591,$C$3:$C591,"&lt;&gt;U",$S$3:$S591,Calc!$F$2)=1,1,0))</f>
        <v/>
      </c>
      <c r="R591" s="35" t="str">
        <f aca="false">IF($Q591=1,$O591-ROW()/100000,"")</f>
        <v/>
      </c>
      <c r="S591" s="37" t="str">
        <f aca="false">IF($A591="","",INT($A591))</f>
        <v/>
      </c>
      <c r="T591" s="35" t="str">
        <f aca="false">IF($A591="","",IF(COUNTIFS($S$3:$S591,$S591)=1,1,0))</f>
        <v/>
      </c>
      <c r="U591" s="37" t="str">
        <f aca="false">IF($T591=1,$S591,"")</f>
        <v/>
      </c>
    </row>
    <row r="592" customFormat="false" ht="15" hidden="false" customHeight="false" outlineLevel="0" collapsed="false">
      <c r="M592" s="35" t="str">
        <f aca="false">IF($A592="","",HOUR($A592))</f>
        <v/>
      </c>
      <c r="N592" s="36" t="str">
        <f aca="false">IF($A592="","",$I592*$K592)</f>
        <v/>
      </c>
      <c r="O592" s="35" t="str">
        <f aca="false">IF(OR($A592="",$C592="U",$S592&lt;&gt;Calc!$F$2),"",SUMIFS($I$3:$I$3002,$E$3:$E$3002,$E592,$C$3:$C$3002,"&lt;&gt;U",$S$3:$S$3002,Calc!$F$2))</f>
        <v/>
      </c>
      <c r="P592" s="35" t="str">
        <f aca="false">IF(OR($A592="",$C592="U",$S592&lt;&gt;Calc!$F$2),"",SUMIFS($N$3:$N$3002,$E$3:$E$3002,$E592,$C$3:$C$3002,"&lt;&gt;U",$S$3:$S$3002,Calc!$F$2))</f>
        <v/>
      </c>
      <c r="Q592" s="35" t="str">
        <f aca="false">IF(OR($A592="",$C592="U",$S592&lt;&gt;Calc!$F$2),"",IF(COUNTIFS($E$3:$E592,$E592,$C$3:$C592,"&lt;&gt;U",$S$3:$S592,Calc!$F$2)=1,1,0))</f>
        <v/>
      </c>
      <c r="R592" s="35" t="str">
        <f aca="false">IF($Q592=1,$O592-ROW()/100000,"")</f>
        <v/>
      </c>
      <c r="S592" s="37" t="str">
        <f aca="false">IF($A592="","",INT($A592))</f>
        <v/>
      </c>
      <c r="T592" s="35" t="str">
        <f aca="false">IF($A592="","",IF(COUNTIFS($S$3:$S592,$S592)=1,1,0))</f>
        <v/>
      </c>
      <c r="U592" s="37" t="str">
        <f aca="false">IF($T592=1,$S592,"")</f>
        <v/>
      </c>
    </row>
    <row r="593" customFormat="false" ht="15" hidden="false" customHeight="false" outlineLevel="0" collapsed="false">
      <c r="M593" s="35" t="str">
        <f aca="false">IF($A593="","",HOUR($A593))</f>
        <v/>
      </c>
      <c r="N593" s="36" t="str">
        <f aca="false">IF($A593="","",$I593*$K593)</f>
        <v/>
      </c>
      <c r="O593" s="35" t="str">
        <f aca="false">IF(OR($A593="",$C593="U",$S593&lt;&gt;Calc!$F$2),"",SUMIFS($I$3:$I$3002,$E$3:$E$3002,$E593,$C$3:$C$3002,"&lt;&gt;U",$S$3:$S$3002,Calc!$F$2))</f>
        <v/>
      </c>
      <c r="P593" s="35" t="str">
        <f aca="false">IF(OR($A593="",$C593="U",$S593&lt;&gt;Calc!$F$2),"",SUMIFS($N$3:$N$3002,$E$3:$E$3002,$E593,$C$3:$C$3002,"&lt;&gt;U",$S$3:$S$3002,Calc!$F$2))</f>
        <v/>
      </c>
      <c r="Q593" s="35" t="str">
        <f aca="false">IF(OR($A593="",$C593="U",$S593&lt;&gt;Calc!$F$2),"",IF(COUNTIFS($E$3:$E593,$E593,$C$3:$C593,"&lt;&gt;U",$S$3:$S593,Calc!$F$2)=1,1,0))</f>
        <v/>
      </c>
      <c r="R593" s="35" t="str">
        <f aca="false">IF($Q593=1,$O593-ROW()/100000,"")</f>
        <v/>
      </c>
      <c r="S593" s="37" t="str">
        <f aca="false">IF($A593="","",INT($A593))</f>
        <v/>
      </c>
      <c r="T593" s="35" t="str">
        <f aca="false">IF($A593="","",IF(COUNTIFS($S$3:$S593,$S593)=1,1,0))</f>
        <v/>
      </c>
      <c r="U593" s="37" t="str">
        <f aca="false">IF($T593=1,$S593,"")</f>
        <v/>
      </c>
    </row>
    <row r="594" customFormat="false" ht="15" hidden="false" customHeight="false" outlineLevel="0" collapsed="false">
      <c r="M594" s="35" t="str">
        <f aca="false">IF($A594="","",HOUR($A594))</f>
        <v/>
      </c>
      <c r="N594" s="36" t="str">
        <f aca="false">IF($A594="","",$I594*$K594)</f>
        <v/>
      </c>
      <c r="O594" s="35" t="str">
        <f aca="false">IF(OR($A594="",$C594="U",$S594&lt;&gt;Calc!$F$2),"",SUMIFS($I$3:$I$3002,$E$3:$E$3002,$E594,$C$3:$C$3002,"&lt;&gt;U",$S$3:$S$3002,Calc!$F$2))</f>
        <v/>
      </c>
      <c r="P594" s="35" t="str">
        <f aca="false">IF(OR($A594="",$C594="U",$S594&lt;&gt;Calc!$F$2),"",SUMIFS($N$3:$N$3002,$E$3:$E$3002,$E594,$C$3:$C$3002,"&lt;&gt;U",$S$3:$S$3002,Calc!$F$2))</f>
        <v/>
      </c>
      <c r="Q594" s="35" t="str">
        <f aca="false">IF(OR($A594="",$C594="U",$S594&lt;&gt;Calc!$F$2),"",IF(COUNTIFS($E$3:$E594,$E594,$C$3:$C594,"&lt;&gt;U",$S$3:$S594,Calc!$F$2)=1,1,0))</f>
        <v/>
      </c>
      <c r="R594" s="35" t="str">
        <f aca="false">IF($Q594=1,$O594-ROW()/100000,"")</f>
        <v/>
      </c>
      <c r="S594" s="37" t="str">
        <f aca="false">IF($A594="","",INT($A594))</f>
        <v/>
      </c>
      <c r="T594" s="35" t="str">
        <f aca="false">IF($A594="","",IF(COUNTIFS($S$3:$S594,$S594)=1,1,0))</f>
        <v/>
      </c>
      <c r="U594" s="37" t="str">
        <f aca="false">IF($T594=1,$S594,"")</f>
        <v/>
      </c>
    </row>
    <row r="595" customFormat="false" ht="15" hidden="false" customHeight="false" outlineLevel="0" collapsed="false">
      <c r="M595" s="35" t="str">
        <f aca="false">IF($A595="","",HOUR($A595))</f>
        <v/>
      </c>
      <c r="N595" s="36" t="str">
        <f aca="false">IF($A595="","",$I595*$K595)</f>
        <v/>
      </c>
      <c r="O595" s="35" t="str">
        <f aca="false">IF(OR($A595="",$C595="U",$S595&lt;&gt;Calc!$F$2),"",SUMIFS($I$3:$I$3002,$E$3:$E$3002,$E595,$C$3:$C$3002,"&lt;&gt;U",$S$3:$S$3002,Calc!$F$2))</f>
        <v/>
      </c>
      <c r="P595" s="35" t="str">
        <f aca="false">IF(OR($A595="",$C595="U",$S595&lt;&gt;Calc!$F$2),"",SUMIFS($N$3:$N$3002,$E$3:$E$3002,$E595,$C$3:$C$3002,"&lt;&gt;U",$S$3:$S$3002,Calc!$F$2))</f>
        <v/>
      </c>
      <c r="Q595" s="35" t="str">
        <f aca="false">IF(OR($A595="",$C595="U",$S595&lt;&gt;Calc!$F$2),"",IF(COUNTIFS($E$3:$E595,$E595,$C$3:$C595,"&lt;&gt;U",$S$3:$S595,Calc!$F$2)=1,1,0))</f>
        <v/>
      </c>
      <c r="R595" s="35" t="str">
        <f aca="false">IF($Q595=1,$O595-ROW()/100000,"")</f>
        <v/>
      </c>
      <c r="S595" s="37" t="str">
        <f aca="false">IF($A595="","",INT($A595))</f>
        <v/>
      </c>
      <c r="T595" s="35" t="str">
        <f aca="false">IF($A595="","",IF(COUNTIFS($S$3:$S595,$S595)=1,1,0))</f>
        <v/>
      </c>
      <c r="U595" s="37" t="str">
        <f aca="false">IF($T595=1,$S595,"")</f>
        <v/>
      </c>
    </row>
    <row r="596" customFormat="false" ht="15" hidden="false" customHeight="false" outlineLevel="0" collapsed="false">
      <c r="M596" s="35" t="str">
        <f aca="false">IF($A596="","",HOUR($A596))</f>
        <v/>
      </c>
      <c r="N596" s="36" t="str">
        <f aca="false">IF($A596="","",$I596*$K596)</f>
        <v/>
      </c>
      <c r="O596" s="35" t="str">
        <f aca="false">IF(OR($A596="",$C596="U",$S596&lt;&gt;Calc!$F$2),"",SUMIFS($I$3:$I$3002,$E$3:$E$3002,$E596,$C$3:$C$3002,"&lt;&gt;U",$S$3:$S$3002,Calc!$F$2))</f>
        <v/>
      </c>
      <c r="P596" s="35" t="str">
        <f aca="false">IF(OR($A596="",$C596="U",$S596&lt;&gt;Calc!$F$2),"",SUMIFS($N$3:$N$3002,$E$3:$E$3002,$E596,$C$3:$C$3002,"&lt;&gt;U",$S$3:$S$3002,Calc!$F$2))</f>
        <v/>
      </c>
      <c r="Q596" s="35" t="str">
        <f aca="false">IF(OR($A596="",$C596="U",$S596&lt;&gt;Calc!$F$2),"",IF(COUNTIFS($E$3:$E596,$E596,$C$3:$C596,"&lt;&gt;U",$S$3:$S596,Calc!$F$2)=1,1,0))</f>
        <v/>
      </c>
      <c r="R596" s="35" t="str">
        <f aca="false">IF($Q596=1,$O596-ROW()/100000,"")</f>
        <v/>
      </c>
      <c r="S596" s="37" t="str">
        <f aca="false">IF($A596="","",INT($A596))</f>
        <v/>
      </c>
      <c r="T596" s="35" t="str">
        <f aca="false">IF($A596="","",IF(COUNTIFS($S$3:$S596,$S596)=1,1,0))</f>
        <v/>
      </c>
      <c r="U596" s="37" t="str">
        <f aca="false">IF($T596=1,$S596,"")</f>
        <v/>
      </c>
    </row>
    <row r="597" customFormat="false" ht="15" hidden="false" customHeight="false" outlineLevel="0" collapsed="false">
      <c r="M597" s="35" t="str">
        <f aca="false">IF($A597="","",HOUR($A597))</f>
        <v/>
      </c>
      <c r="N597" s="36" t="str">
        <f aca="false">IF($A597="","",$I597*$K597)</f>
        <v/>
      </c>
      <c r="O597" s="35" t="str">
        <f aca="false">IF(OR($A597="",$C597="U",$S597&lt;&gt;Calc!$F$2),"",SUMIFS($I$3:$I$3002,$E$3:$E$3002,$E597,$C$3:$C$3002,"&lt;&gt;U",$S$3:$S$3002,Calc!$F$2))</f>
        <v/>
      </c>
      <c r="P597" s="35" t="str">
        <f aca="false">IF(OR($A597="",$C597="U",$S597&lt;&gt;Calc!$F$2),"",SUMIFS($N$3:$N$3002,$E$3:$E$3002,$E597,$C$3:$C$3002,"&lt;&gt;U",$S$3:$S$3002,Calc!$F$2))</f>
        <v/>
      </c>
      <c r="Q597" s="35" t="str">
        <f aca="false">IF(OR($A597="",$C597="U",$S597&lt;&gt;Calc!$F$2),"",IF(COUNTIFS($E$3:$E597,$E597,$C$3:$C597,"&lt;&gt;U",$S$3:$S597,Calc!$F$2)=1,1,0))</f>
        <v/>
      </c>
      <c r="R597" s="35" t="str">
        <f aca="false">IF($Q597=1,$O597-ROW()/100000,"")</f>
        <v/>
      </c>
      <c r="S597" s="37" t="str">
        <f aca="false">IF($A597="","",INT($A597))</f>
        <v/>
      </c>
      <c r="T597" s="35" t="str">
        <f aca="false">IF($A597="","",IF(COUNTIFS($S$3:$S597,$S597)=1,1,0))</f>
        <v/>
      </c>
      <c r="U597" s="37" t="str">
        <f aca="false">IF($T597=1,$S597,"")</f>
        <v/>
      </c>
    </row>
    <row r="598" customFormat="false" ht="15" hidden="false" customHeight="false" outlineLevel="0" collapsed="false">
      <c r="M598" s="35" t="str">
        <f aca="false">IF($A598="","",HOUR($A598))</f>
        <v/>
      </c>
      <c r="N598" s="36" t="str">
        <f aca="false">IF($A598="","",$I598*$K598)</f>
        <v/>
      </c>
      <c r="O598" s="35" t="str">
        <f aca="false">IF(OR($A598="",$C598="U",$S598&lt;&gt;Calc!$F$2),"",SUMIFS($I$3:$I$3002,$E$3:$E$3002,$E598,$C$3:$C$3002,"&lt;&gt;U",$S$3:$S$3002,Calc!$F$2))</f>
        <v/>
      </c>
      <c r="P598" s="35" t="str">
        <f aca="false">IF(OR($A598="",$C598="U",$S598&lt;&gt;Calc!$F$2),"",SUMIFS($N$3:$N$3002,$E$3:$E$3002,$E598,$C$3:$C$3002,"&lt;&gt;U",$S$3:$S$3002,Calc!$F$2))</f>
        <v/>
      </c>
      <c r="Q598" s="35" t="str">
        <f aca="false">IF(OR($A598="",$C598="U",$S598&lt;&gt;Calc!$F$2),"",IF(COUNTIFS($E$3:$E598,$E598,$C$3:$C598,"&lt;&gt;U",$S$3:$S598,Calc!$F$2)=1,1,0))</f>
        <v/>
      </c>
      <c r="R598" s="35" t="str">
        <f aca="false">IF($Q598=1,$O598-ROW()/100000,"")</f>
        <v/>
      </c>
      <c r="S598" s="37" t="str">
        <f aca="false">IF($A598="","",INT($A598))</f>
        <v/>
      </c>
      <c r="T598" s="35" t="str">
        <f aca="false">IF($A598="","",IF(COUNTIFS($S$3:$S598,$S598)=1,1,0))</f>
        <v/>
      </c>
      <c r="U598" s="37" t="str">
        <f aca="false">IF($T598=1,$S598,"")</f>
        <v/>
      </c>
    </row>
    <row r="599" customFormat="false" ht="15" hidden="false" customHeight="false" outlineLevel="0" collapsed="false">
      <c r="M599" s="35" t="str">
        <f aca="false">IF($A599="","",HOUR($A599))</f>
        <v/>
      </c>
      <c r="N599" s="36" t="str">
        <f aca="false">IF($A599="","",$I599*$K599)</f>
        <v/>
      </c>
      <c r="O599" s="35" t="str">
        <f aca="false">IF(OR($A599="",$C599="U",$S599&lt;&gt;Calc!$F$2),"",SUMIFS($I$3:$I$3002,$E$3:$E$3002,$E599,$C$3:$C$3002,"&lt;&gt;U",$S$3:$S$3002,Calc!$F$2))</f>
        <v/>
      </c>
      <c r="P599" s="35" t="str">
        <f aca="false">IF(OR($A599="",$C599="U",$S599&lt;&gt;Calc!$F$2),"",SUMIFS($N$3:$N$3002,$E$3:$E$3002,$E599,$C$3:$C$3002,"&lt;&gt;U",$S$3:$S$3002,Calc!$F$2))</f>
        <v/>
      </c>
      <c r="Q599" s="35" t="str">
        <f aca="false">IF(OR($A599="",$C599="U",$S599&lt;&gt;Calc!$F$2),"",IF(COUNTIFS($E$3:$E599,$E599,$C$3:$C599,"&lt;&gt;U",$S$3:$S599,Calc!$F$2)=1,1,0))</f>
        <v/>
      </c>
      <c r="R599" s="35" t="str">
        <f aca="false">IF($Q599=1,$O599-ROW()/100000,"")</f>
        <v/>
      </c>
      <c r="S599" s="37" t="str">
        <f aca="false">IF($A599="","",INT($A599))</f>
        <v/>
      </c>
      <c r="T599" s="35" t="str">
        <f aca="false">IF($A599="","",IF(COUNTIFS($S$3:$S599,$S599)=1,1,0))</f>
        <v/>
      </c>
      <c r="U599" s="37" t="str">
        <f aca="false">IF($T599=1,$S599,"")</f>
        <v/>
      </c>
    </row>
    <row r="600" customFormat="false" ht="15" hidden="false" customHeight="false" outlineLevel="0" collapsed="false">
      <c r="M600" s="35" t="str">
        <f aca="false">IF($A600="","",HOUR($A600))</f>
        <v/>
      </c>
      <c r="N600" s="36" t="str">
        <f aca="false">IF($A600="","",$I600*$K600)</f>
        <v/>
      </c>
      <c r="O600" s="35" t="str">
        <f aca="false">IF(OR($A600="",$C600="U",$S600&lt;&gt;Calc!$F$2),"",SUMIFS($I$3:$I$3002,$E$3:$E$3002,$E600,$C$3:$C$3002,"&lt;&gt;U",$S$3:$S$3002,Calc!$F$2))</f>
        <v/>
      </c>
      <c r="P600" s="35" t="str">
        <f aca="false">IF(OR($A600="",$C600="U",$S600&lt;&gt;Calc!$F$2),"",SUMIFS($N$3:$N$3002,$E$3:$E$3002,$E600,$C$3:$C$3002,"&lt;&gt;U",$S$3:$S$3002,Calc!$F$2))</f>
        <v/>
      </c>
      <c r="Q600" s="35" t="str">
        <f aca="false">IF(OR($A600="",$C600="U",$S600&lt;&gt;Calc!$F$2),"",IF(COUNTIFS($E$3:$E600,$E600,$C$3:$C600,"&lt;&gt;U",$S$3:$S600,Calc!$F$2)=1,1,0))</f>
        <v/>
      </c>
      <c r="R600" s="35" t="str">
        <f aca="false">IF($Q600=1,$O600-ROW()/100000,"")</f>
        <v/>
      </c>
      <c r="S600" s="37" t="str">
        <f aca="false">IF($A600="","",INT($A600))</f>
        <v/>
      </c>
      <c r="T600" s="35" t="str">
        <f aca="false">IF($A600="","",IF(COUNTIFS($S$3:$S600,$S600)=1,1,0))</f>
        <v/>
      </c>
      <c r="U600" s="37" t="str">
        <f aca="false">IF($T600=1,$S600,"")</f>
        <v/>
      </c>
    </row>
    <row r="601" customFormat="false" ht="15" hidden="false" customHeight="false" outlineLevel="0" collapsed="false">
      <c r="M601" s="35" t="str">
        <f aca="false">IF($A601="","",HOUR($A601))</f>
        <v/>
      </c>
      <c r="N601" s="36" t="str">
        <f aca="false">IF($A601="","",$I601*$K601)</f>
        <v/>
      </c>
      <c r="O601" s="35" t="str">
        <f aca="false">IF(OR($A601="",$C601="U",$S601&lt;&gt;Calc!$F$2),"",SUMIFS($I$3:$I$3002,$E$3:$E$3002,$E601,$C$3:$C$3002,"&lt;&gt;U",$S$3:$S$3002,Calc!$F$2))</f>
        <v/>
      </c>
      <c r="P601" s="35" t="str">
        <f aca="false">IF(OR($A601="",$C601="U",$S601&lt;&gt;Calc!$F$2),"",SUMIFS($N$3:$N$3002,$E$3:$E$3002,$E601,$C$3:$C$3002,"&lt;&gt;U",$S$3:$S$3002,Calc!$F$2))</f>
        <v/>
      </c>
      <c r="Q601" s="35" t="str">
        <f aca="false">IF(OR($A601="",$C601="U",$S601&lt;&gt;Calc!$F$2),"",IF(COUNTIFS($E$3:$E601,$E601,$C$3:$C601,"&lt;&gt;U",$S$3:$S601,Calc!$F$2)=1,1,0))</f>
        <v/>
      </c>
      <c r="R601" s="35" t="str">
        <f aca="false">IF($Q601=1,$O601-ROW()/100000,"")</f>
        <v/>
      </c>
      <c r="S601" s="37" t="str">
        <f aca="false">IF($A601="","",INT($A601))</f>
        <v/>
      </c>
      <c r="T601" s="35" t="str">
        <f aca="false">IF($A601="","",IF(COUNTIFS($S$3:$S601,$S601)=1,1,0))</f>
        <v/>
      </c>
      <c r="U601" s="37" t="str">
        <f aca="false">IF($T601=1,$S601,"")</f>
        <v/>
      </c>
    </row>
    <row r="602" customFormat="false" ht="15" hidden="false" customHeight="false" outlineLevel="0" collapsed="false">
      <c r="M602" s="35" t="str">
        <f aca="false">IF($A602="","",HOUR($A602))</f>
        <v/>
      </c>
      <c r="N602" s="36" t="str">
        <f aca="false">IF($A602="","",$I602*$K602)</f>
        <v/>
      </c>
      <c r="O602" s="35" t="str">
        <f aca="false">IF(OR($A602="",$C602="U",$S602&lt;&gt;Calc!$F$2),"",SUMIFS($I$3:$I$3002,$E$3:$E$3002,$E602,$C$3:$C$3002,"&lt;&gt;U",$S$3:$S$3002,Calc!$F$2))</f>
        <v/>
      </c>
      <c r="P602" s="35" t="str">
        <f aca="false">IF(OR($A602="",$C602="U",$S602&lt;&gt;Calc!$F$2),"",SUMIFS($N$3:$N$3002,$E$3:$E$3002,$E602,$C$3:$C$3002,"&lt;&gt;U",$S$3:$S$3002,Calc!$F$2))</f>
        <v/>
      </c>
      <c r="Q602" s="35" t="str">
        <f aca="false">IF(OR($A602="",$C602="U",$S602&lt;&gt;Calc!$F$2),"",IF(COUNTIFS($E$3:$E602,$E602,$C$3:$C602,"&lt;&gt;U",$S$3:$S602,Calc!$F$2)=1,1,0))</f>
        <v/>
      </c>
      <c r="R602" s="35" t="str">
        <f aca="false">IF($Q602=1,$O602-ROW()/100000,"")</f>
        <v/>
      </c>
      <c r="S602" s="37" t="str">
        <f aca="false">IF($A602="","",INT($A602))</f>
        <v/>
      </c>
      <c r="T602" s="35" t="str">
        <f aca="false">IF($A602="","",IF(COUNTIFS($S$3:$S602,$S602)=1,1,0))</f>
        <v/>
      </c>
      <c r="U602" s="37" t="str">
        <f aca="false">IF($T602=1,$S602,"")</f>
        <v/>
      </c>
    </row>
    <row r="603" customFormat="false" ht="15" hidden="false" customHeight="false" outlineLevel="0" collapsed="false">
      <c r="M603" s="35" t="str">
        <f aca="false">IF($A603="","",HOUR($A603))</f>
        <v/>
      </c>
      <c r="N603" s="36" t="str">
        <f aca="false">IF($A603="","",$I603*$K603)</f>
        <v/>
      </c>
      <c r="O603" s="35" t="str">
        <f aca="false">IF(OR($A603="",$C603="U",$S603&lt;&gt;Calc!$F$2),"",SUMIFS($I$3:$I$3002,$E$3:$E$3002,$E603,$C$3:$C$3002,"&lt;&gt;U",$S$3:$S$3002,Calc!$F$2))</f>
        <v/>
      </c>
      <c r="P603" s="35" t="str">
        <f aca="false">IF(OR($A603="",$C603="U",$S603&lt;&gt;Calc!$F$2),"",SUMIFS($N$3:$N$3002,$E$3:$E$3002,$E603,$C$3:$C$3002,"&lt;&gt;U",$S$3:$S$3002,Calc!$F$2))</f>
        <v/>
      </c>
      <c r="Q603" s="35" t="str">
        <f aca="false">IF(OR($A603="",$C603="U",$S603&lt;&gt;Calc!$F$2),"",IF(COUNTIFS($E$3:$E603,$E603,$C$3:$C603,"&lt;&gt;U",$S$3:$S603,Calc!$F$2)=1,1,0))</f>
        <v/>
      </c>
      <c r="R603" s="35" t="str">
        <f aca="false">IF($Q603=1,$O603-ROW()/100000,"")</f>
        <v/>
      </c>
      <c r="S603" s="37" t="str">
        <f aca="false">IF($A603="","",INT($A603))</f>
        <v/>
      </c>
      <c r="T603" s="35" t="str">
        <f aca="false">IF($A603="","",IF(COUNTIFS($S$3:$S603,$S603)=1,1,0))</f>
        <v/>
      </c>
      <c r="U603" s="37" t="str">
        <f aca="false">IF($T603=1,$S603,"")</f>
        <v/>
      </c>
    </row>
    <row r="604" customFormat="false" ht="15" hidden="false" customHeight="false" outlineLevel="0" collapsed="false">
      <c r="M604" s="35" t="str">
        <f aca="false">IF($A604="","",HOUR($A604))</f>
        <v/>
      </c>
      <c r="N604" s="36" t="str">
        <f aca="false">IF($A604="","",$I604*$K604)</f>
        <v/>
      </c>
      <c r="O604" s="35" t="str">
        <f aca="false">IF(OR($A604="",$C604="U",$S604&lt;&gt;Calc!$F$2),"",SUMIFS($I$3:$I$3002,$E$3:$E$3002,$E604,$C$3:$C$3002,"&lt;&gt;U",$S$3:$S$3002,Calc!$F$2))</f>
        <v/>
      </c>
      <c r="P604" s="35" t="str">
        <f aca="false">IF(OR($A604="",$C604="U",$S604&lt;&gt;Calc!$F$2),"",SUMIFS($N$3:$N$3002,$E$3:$E$3002,$E604,$C$3:$C$3002,"&lt;&gt;U",$S$3:$S$3002,Calc!$F$2))</f>
        <v/>
      </c>
      <c r="Q604" s="35" t="str">
        <f aca="false">IF(OR($A604="",$C604="U",$S604&lt;&gt;Calc!$F$2),"",IF(COUNTIFS($E$3:$E604,$E604,$C$3:$C604,"&lt;&gt;U",$S$3:$S604,Calc!$F$2)=1,1,0))</f>
        <v/>
      </c>
      <c r="R604" s="35" t="str">
        <f aca="false">IF($Q604=1,$O604-ROW()/100000,"")</f>
        <v/>
      </c>
      <c r="S604" s="37" t="str">
        <f aca="false">IF($A604="","",INT($A604))</f>
        <v/>
      </c>
      <c r="T604" s="35" t="str">
        <f aca="false">IF($A604="","",IF(COUNTIFS($S$3:$S604,$S604)=1,1,0))</f>
        <v/>
      </c>
      <c r="U604" s="37" t="str">
        <f aca="false">IF($T604=1,$S604,"")</f>
        <v/>
      </c>
    </row>
    <row r="605" customFormat="false" ht="15" hidden="false" customHeight="false" outlineLevel="0" collapsed="false">
      <c r="M605" s="35" t="str">
        <f aca="false">IF($A605="","",HOUR($A605))</f>
        <v/>
      </c>
      <c r="N605" s="36" t="str">
        <f aca="false">IF($A605="","",$I605*$K605)</f>
        <v/>
      </c>
      <c r="O605" s="35" t="str">
        <f aca="false">IF(OR($A605="",$C605="U",$S605&lt;&gt;Calc!$F$2),"",SUMIFS($I$3:$I$3002,$E$3:$E$3002,$E605,$C$3:$C$3002,"&lt;&gt;U",$S$3:$S$3002,Calc!$F$2))</f>
        <v/>
      </c>
      <c r="P605" s="35" t="str">
        <f aca="false">IF(OR($A605="",$C605="U",$S605&lt;&gt;Calc!$F$2),"",SUMIFS($N$3:$N$3002,$E$3:$E$3002,$E605,$C$3:$C$3002,"&lt;&gt;U",$S$3:$S$3002,Calc!$F$2))</f>
        <v/>
      </c>
      <c r="Q605" s="35" t="str">
        <f aca="false">IF(OR($A605="",$C605="U",$S605&lt;&gt;Calc!$F$2),"",IF(COUNTIFS($E$3:$E605,$E605,$C$3:$C605,"&lt;&gt;U",$S$3:$S605,Calc!$F$2)=1,1,0))</f>
        <v/>
      </c>
      <c r="R605" s="35" t="str">
        <f aca="false">IF($Q605=1,$O605-ROW()/100000,"")</f>
        <v/>
      </c>
      <c r="S605" s="37" t="str">
        <f aca="false">IF($A605="","",INT($A605))</f>
        <v/>
      </c>
      <c r="T605" s="35" t="str">
        <f aca="false">IF($A605="","",IF(COUNTIFS($S$3:$S605,$S605)=1,1,0))</f>
        <v/>
      </c>
      <c r="U605" s="37" t="str">
        <f aca="false">IF($T605=1,$S605,"")</f>
        <v/>
      </c>
    </row>
    <row r="606" customFormat="false" ht="15" hidden="false" customHeight="false" outlineLevel="0" collapsed="false">
      <c r="M606" s="35" t="str">
        <f aca="false">IF($A606="","",HOUR($A606))</f>
        <v/>
      </c>
      <c r="N606" s="36" t="str">
        <f aca="false">IF($A606="","",$I606*$K606)</f>
        <v/>
      </c>
      <c r="O606" s="35" t="str">
        <f aca="false">IF(OR($A606="",$C606="U",$S606&lt;&gt;Calc!$F$2),"",SUMIFS($I$3:$I$3002,$E$3:$E$3002,$E606,$C$3:$C$3002,"&lt;&gt;U",$S$3:$S$3002,Calc!$F$2))</f>
        <v/>
      </c>
      <c r="P606" s="35" t="str">
        <f aca="false">IF(OR($A606="",$C606="U",$S606&lt;&gt;Calc!$F$2),"",SUMIFS($N$3:$N$3002,$E$3:$E$3002,$E606,$C$3:$C$3002,"&lt;&gt;U",$S$3:$S$3002,Calc!$F$2))</f>
        <v/>
      </c>
      <c r="Q606" s="35" t="str">
        <f aca="false">IF(OR($A606="",$C606="U",$S606&lt;&gt;Calc!$F$2),"",IF(COUNTIFS($E$3:$E606,$E606,$C$3:$C606,"&lt;&gt;U",$S$3:$S606,Calc!$F$2)=1,1,0))</f>
        <v/>
      </c>
      <c r="R606" s="35" t="str">
        <f aca="false">IF($Q606=1,$O606-ROW()/100000,"")</f>
        <v/>
      </c>
      <c r="S606" s="37" t="str">
        <f aca="false">IF($A606="","",INT($A606))</f>
        <v/>
      </c>
      <c r="T606" s="35" t="str">
        <f aca="false">IF($A606="","",IF(COUNTIFS($S$3:$S606,$S606)=1,1,0))</f>
        <v/>
      </c>
      <c r="U606" s="37" t="str">
        <f aca="false">IF($T606=1,$S606,"")</f>
        <v/>
      </c>
    </row>
    <row r="607" customFormat="false" ht="15" hidden="false" customHeight="false" outlineLevel="0" collapsed="false">
      <c r="M607" s="35" t="str">
        <f aca="false">IF($A607="","",HOUR($A607))</f>
        <v/>
      </c>
      <c r="N607" s="36" t="str">
        <f aca="false">IF($A607="","",$I607*$K607)</f>
        <v/>
      </c>
      <c r="O607" s="35" t="str">
        <f aca="false">IF(OR($A607="",$C607="U",$S607&lt;&gt;Calc!$F$2),"",SUMIFS($I$3:$I$3002,$E$3:$E$3002,$E607,$C$3:$C$3002,"&lt;&gt;U",$S$3:$S$3002,Calc!$F$2))</f>
        <v/>
      </c>
      <c r="P607" s="35" t="str">
        <f aca="false">IF(OR($A607="",$C607="U",$S607&lt;&gt;Calc!$F$2),"",SUMIFS($N$3:$N$3002,$E$3:$E$3002,$E607,$C$3:$C$3002,"&lt;&gt;U",$S$3:$S$3002,Calc!$F$2))</f>
        <v/>
      </c>
      <c r="Q607" s="35" t="str">
        <f aca="false">IF(OR($A607="",$C607="U",$S607&lt;&gt;Calc!$F$2),"",IF(COUNTIFS($E$3:$E607,$E607,$C$3:$C607,"&lt;&gt;U",$S$3:$S607,Calc!$F$2)=1,1,0))</f>
        <v/>
      </c>
      <c r="R607" s="35" t="str">
        <f aca="false">IF($Q607=1,$O607-ROW()/100000,"")</f>
        <v/>
      </c>
      <c r="S607" s="37" t="str">
        <f aca="false">IF($A607="","",INT($A607))</f>
        <v/>
      </c>
      <c r="T607" s="35" t="str">
        <f aca="false">IF($A607="","",IF(COUNTIFS($S$3:$S607,$S607)=1,1,0))</f>
        <v/>
      </c>
      <c r="U607" s="37" t="str">
        <f aca="false">IF($T607=1,$S607,"")</f>
        <v/>
      </c>
    </row>
    <row r="608" customFormat="false" ht="15" hidden="false" customHeight="false" outlineLevel="0" collapsed="false">
      <c r="M608" s="35" t="str">
        <f aca="false">IF($A608="","",HOUR($A608))</f>
        <v/>
      </c>
      <c r="N608" s="36" t="str">
        <f aca="false">IF($A608="","",$I608*$K608)</f>
        <v/>
      </c>
      <c r="O608" s="35" t="str">
        <f aca="false">IF(OR($A608="",$C608="U",$S608&lt;&gt;Calc!$F$2),"",SUMIFS($I$3:$I$3002,$E$3:$E$3002,$E608,$C$3:$C$3002,"&lt;&gt;U",$S$3:$S$3002,Calc!$F$2))</f>
        <v/>
      </c>
      <c r="P608" s="35" t="str">
        <f aca="false">IF(OR($A608="",$C608="U",$S608&lt;&gt;Calc!$F$2),"",SUMIFS($N$3:$N$3002,$E$3:$E$3002,$E608,$C$3:$C$3002,"&lt;&gt;U",$S$3:$S$3002,Calc!$F$2))</f>
        <v/>
      </c>
      <c r="Q608" s="35" t="str">
        <f aca="false">IF(OR($A608="",$C608="U",$S608&lt;&gt;Calc!$F$2),"",IF(COUNTIFS($E$3:$E608,$E608,$C$3:$C608,"&lt;&gt;U",$S$3:$S608,Calc!$F$2)=1,1,0))</f>
        <v/>
      </c>
      <c r="R608" s="35" t="str">
        <f aca="false">IF($Q608=1,$O608-ROW()/100000,"")</f>
        <v/>
      </c>
      <c r="S608" s="37" t="str">
        <f aca="false">IF($A608="","",INT($A608))</f>
        <v/>
      </c>
      <c r="T608" s="35" t="str">
        <f aca="false">IF($A608="","",IF(COUNTIFS($S$3:$S608,$S608)=1,1,0))</f>
        <v/>
      </c>
      <c r="U608" s="37" t="str">
        <f aca="false">IF($T608=1,$S608,"")</f>
        <v/>
      </c>
    </row>
    <row r="609" customFormat="false" ht="15" hidden="false" customHeight="false" outlineLevel="0" collapsed="false">
      <c r="M609" s="35" t="str">
        <f aca="false">IF($A609="","",HOUR($A609))</f>
        <v/>
      </c>
      <c r="N609" s="36" t="str">
        <f aca="false">IF($A609="","",$I609*$K609)</f>
        <v/>
      </c>
      <c r="O609" s="35" t="str">
        <f aca="false">IF(OR($A609="",$C609="U",$S609&lt;&gt;Calc!$F$2),"",SUMIFS($I$3:$I$3002,$E$3:$E$3002,$E609,$C$3:$C$3002,"&lt;&gt;U",$S$3:$S$3002,Calc!$F$2))</f>
        <v/>
      </c>
      <c r="P609" s="35" t="str">
        <f aca="false">IF(OR($A609="",$C609="U",$S609&lt;&gt;Calc!$F$2),"",SUMIFS($N$3:$N$3002,$E$3:$E$3002,$E609,$C$3:$C$3002,"&lt;&gt;U",$S$3:$S$3002,Calc!$F$2))</f>
        <v/>
      </c>
      <c r="Q609" s="35" t="str">
        <f aca="false">IF(OR($A609="",$C609="U",$S609&lt;&gt;Calc!$F$2),"",IF(COUNTIFS($E$3:$E609,$E609,$C$3:$C609,"&lt;&gt;U",$S$3:$S609,Calc!$F$2)=1,1,0))</f>
        <v/>
      </c>
      <c r="R609" s="35" t="str">
        <f aca="false">IF($Q609=1,$O609-ROW()/100000,"")</f>
        <v/>
      </c>
      <c r="S609" s="37" t="str">
        <f aca="false">IF($A609="","",INT($A609))</f>
        <v/>
      </c>
      <c r="T609" s="35" t="str">
        <f aca="false">IF($A609="","",IF(COUNTIFS($S$3:$S609,$S609)=1,1,0))</f>
        <v/>
      </c>
      <c r="U609" s="37" t="str">
        <f aca="false">IF($T609=1,$S609,"")</f>
        <v/>
      </c>
    </row>
    <row r="610" customFormat="false" ht="15" hidden="false" customHeight="false" outlineLevel="0" collapsed="false">
      <c r="M610" s="35" t="str">
        <f aca="false">IF($A610="","",HOUR($A610))</f>
        <v/>
      </c>
      <c r="N610" s="36" t="str">
        <f aca="false">IF($A610="","",$I610*$K610)</f>
        <v/>
      </c>
      <c r="O610" s="35" t="str">
        <f aca="false">IF(OR($A610="",$C610="U",$S610&lt;&gt;Calc!$F$2),"",SUMIFS($I$3:$I$3002,$E$3:$E$3002,$E610,$C$3:$C$3002,"&lt;&gt;U",$S$3:$S$3002,Calc!$F$2))</f>
        <v/>
      </c>
      <c r="P610" s="35" t="str">
        <f aca="false">IF(OR($A610="",$C610="U",$S610&lt;&gt;Calc!$F$2),"",SUMIFS($N$3:$N$3002,$E$3:$E$3002,$E610,$C$3:$C$3002,"&lt;&gt;U",$S$3:$S$3002,Calc!$F$2))</f>
        <v/>
      </c>
      <c r="Q610" s="35" t="str">
        <f aca="false">IF(OR($A610="",$C610="U",$S610&lt;&gt;Calc!$F$2),"",IF(COUNTIFS($E$3:$E610,$E610,$C$3:$C610,"&lt;&gt;U",$S$3:$S610,Calc!$F$2)=1,1,0))</f>
        <v/>
      </c>
      <c r="R610" s="35" t="str">
        <f aca="false">IF($Q610=1,$O610-ROW()/100000,"")</f>
        <v/>
      </c>
      <c r="S610" s="37" t="str">
        <f aca="false">IF($A610="","",INT($A610))</f>
        <v/>
      </c>
      <c r="T610" s="35" t="str">
        <f aca="false">IF($A610="","",IF(COUNTIFS($S$3:$S610,$S610)=1,1,0))</f>
        <v/>
      </c>
      <c r="U610" s="37" t="str">
        <f aca="false">IF($T610=1,$S610,"")</f>
        <v/>
      </c>
    </row>
    <row r="611" customFormat="false" ht="15" hidden="false" customHeight="false" outlineLevel="0" collapsed="false">
      <c r="M611" s="35" t="str">
        <f aca="false">IF($A611="","",HOUR($A611))</f>
        <v/>
      </c>
      <c r="N611" s="36" t="str">
        <f aca="false">IF($A611="","",$I611*$K611)</f>
        <v/>
      </c>
      <c r="O611" s="35" t="str">
        <f aca="false">IF(OR($A611="",$C611="U",$S611&lt;&gt;Calc!$F$2),"",SUMIFS($I$3:$I$3002,$E$3:$E$3002,$E611,$C$3:$C$3002,"&lt;&gt;U",$S$3:$S$3002,Calc!$F$2))</f>
        <v/>
      </c>
      <c r="P611" s="35" t="str">
        <f aca="false">IF(OR($A611="",$C611="U",$S611&lt;&gt;Calc!$F$2),"",SUMIFS($N$3:$N$3002,$E$3:$E$3002,$E611,$C$3:$C$3002,"&lt;&gt;U",$S$3:$S$3002,Calc!$F$2))</f>
        <v/>
      </c>
      <c r="Q611" s="35" t="str">
        <f aca="false">IF(OR($A611="",$C611="U",$S611&lt;&gt;Calc!$F$2),"",IF(COUNTIFS($E$3:$E611,$E611,$C$3:$C611,"&lt;&gt;U",$S$3:$S611,Calc!$F$2)=1,1,0))</f>
        <v/>
      </c>
      <c r="R611" s="35" t="str">
        <f aca="false">IF($Q611=1,$O611-ROW()/100000,"")</f>
        <v/>
      </c>
      <c r="S611" s="37" t="str">
        <f aca="false">IF($A611="","",INT($A611))</f>
        <v/>
      </c>
      <c r="T611" s="35" t="str">
        <f aca="false">IF($A611="","",IF(COUNTIFS($S$3:$S611,$S611)=1,1,0))</f>
        <v/>
      </c>
      <c r="U611" s="37" t="str">
        <f aca="false">IF($T611=1,$S611,"")</f>
        <v/>
      </c>
    </row>
    <row r="612" customFormat="false" ht="15" hidden="false" customHeight="false" outlineLevel="0" collapsed="false">
      <c r="M612" s="35" t="str">
        <f aca="false">IF($A612="","",HOUR($A612))</f>
        <v/>
      </c>
      <c r="N612" s="36" t="str">
        <f aca="false">IF($A612="","",$I612*$K612)</f>
        <v/>
      </c>
      <c r="O612" s="35" t="str">
        <f aca="false">IF(OR($A612="",$C612="U",$S612&lt;&gt;Calc!$F$2),"",SUMIFS($I$3:$I$3002,$E$3:$E$3002,$E612,$C$3:$C$3002,"&lt;&gt;U",$S$3:$S$3002,Calc!$F$2))</f>
        <v/>
      </c>
      <c r="P612" s="35" t="str">
        <f aca="false">IF(OR($A612="",$C612="U",$S612&lt;&gt;Calc!$F$2),"",SUMIFS($N$3:$N$3002,$E$3:$E$3002,$E612,$C$3:$C$3002,"&lt;&gt;U",$S$3:$S$3002,Calc!$F$2))</f>
        <v/>
      </c>
      <c r="Q612" s="35" t="str">
        <f aca="false">IF(OR($A612="",$C612="U",$S612&lt;&gt;Calc!$F$2),"",IF(COUNTIFS($E$3:$E612,$E612,$C$3:$C612,"&lt;&gt;U",$S$3:$S612,Calc!$F$2)=1,1,0))</f>
        <v/>
      </c>
      <c r="R612" s="35" t="str">
        <f aca="false">IF($Q612=1,$O612-ROW()/100000,"")</f>
        <v/>
      </c>
      <c r="S612" s="37" t="str">
        <f aca="false">IF($A612="","",INT($A612))</f>
        <v/>
      </c>
      <c r="T612" s="35" t="str">
        <f aca="false">IF($A612="","",IF(COUNTIFS($S$3:$S612,$S612)=1,1,0))</f>
        <v/>
      </c>
      <c r="U612" s="37" t="str">
        <f aca="false">IF($T612=1,$S612,"")</f>
        <v/>
      </c>
    </row>
    <row r="613" customFormat="false" ht="15" hidden="false" customHeight="false" outlineLevel="0" collapsed="false">
      <c r="M613" s="35" t="str">
        <f aca="false">IF($A613="","",HOUR($A613))</f>
        <v/>
      </c>
      <c r="N613" s="36" t="str">
        <f aca="false">IF($A613="","",$I613*$K613)</f>
        <v/>
      </c>
      <c r="O613" s="35" t="str">
        <f aca="false">IF(OR($A613="",$C613="U",$S613&lt;&gt;Calc!$F$2),"",SUMIFS($I$3:$I$3002,$E$3:$E$3002,$E613,$C$3:$C$3002,"&lt;&gt;U",$S$3:$S$3002,Calc!$F$2))</f>
        <v/>
      </c>
      <c r="P613" s="35" t="str">
        <f aca="false">IF(OR($A613="",$C613="U",$S613&lt;&gt;Calc!$F$2),"",SUMIFS($N$3:$N$3002,$E$3:$E$3002,$E613,$C$3:$C$3002,"&lt;&gt;U",$S$3:$S$3002,Calc!$F$2))</f>
        <v/>
      </c>
      <c r="Q613" s="35" t="str">
        <f aca="false">IF(OR($A613="",$C613="U",$S613&lt;&gt;Calc!$F$2),"",IF(COUNTIFS($E$3:$E613,$E613,$C$3:$C613,"&lt;&gt;U",$S$3:$S613,Calc!$F$2)=1,1,0))</f>
        <v/>
      </c>
      <c r="R613" s="35" t="str">
        <f aca="false">IF($Q613=1,$O613-ROW()/100000,"")</f>
        <v/>
      </c>
      <c r="S613" s="37" t="str">
        <f aca="false">IF($A613="","",INT($A613))</f>
        <v/>
      </c>
      <c r="T613" s="35" t="str">
        <f aca="false">IF($A613="","",IF(COUNTIFS($S$3:$S613,$S613)=1,1,0))</f>
        <v/>
      </c>
      <c r="U613" s="37" t="str">
        <f aca="false">IF($T613=1,$S613,"")</f>
        <v/>
      </c>
    </row>
    <row r="614" customFormat="false" ht="15" hidden="false" customHeight="false" outlineLevel="0" collapsed="false">
      <c r="M614" s="35" t="str">
        <f aca="false">IF($A614="","",HOUR($A614))</f>
        <v/>
      </c>
      <c r="N614" s="36" t="str">
        <f aca="false">IF($A614="","",$I614*$K614)</f>
        <v/>
      </c>
      <c r="O614" s="35" t="str">
        <f aca="false">IF(OR($A614="",$C614="U",$S614&lt;&gt;Calc!$F$2),"",SUMIFS($I$3:$I$3002,$E$3:$E$3002,$E614,$C$3:$C$3002,"&lt;&gt;U",$S$3:$S$3002,Calc!$F$2))</f>
        <v/>
      </c>
      <c r="P614" s="35" t="str">
        <f aca="false">IF(OR($A614="",$C614="U",$S614&lt;&gt;Calc!$F$2),"",SUMIFS($N$3:$N$3002,$E$3:$E$3002,$E614,$C$3:$C$3002,"&lt;&gt;U",$S$3:$S$3002,Calc!$F$2))</f>
        <v/>
      </c>
      <c r="Q614" s="35" t="str">
        <f aca="false">IF(OR($A614="",$C614="U",$S614&lt;&gt;Calc!$F$2),"",IF(COUNTIFS($E$3:$E614,$E614,$C$3:$C614,"&lt;&gt;U",$S$3:$S614,Calc!$F$2)=1,1,0))</f>
        <v/>
      </c>
      <c r="R614" s="35" t="str">
        <f aca="false">IF($Q614=1,$O614-ROW()/100000,"")</f>
        <v/>
      </c>
      <c r="S614" s="37" t="str">
        <f aca="false">IF($A614="","",INT($A614))</f>
        <v/>
      </c>
      <c r="T614" s="35" t="str">
        <f aca="false">IF($A614="","",IF(COUNTIFS($S$3:$S614,$S614)=1,1,0))</f>
        <v/>
      </c>
      <c r="U614" s="37" t="str">
        <f aca="false">IF($T614=1,$S614,"")</f>
        <v/>
      </c>
    </row>
    <row r="615" customFormat="false" ht="15" hidden="false" customHeight="false" outlineLevel="0" collapsed="false">
      <c r="M615" s="35" t="str">
        <f aca="false">IF($A615="","",HOUR($A615))</f>
        <v/>
      </c>
      <c r="N615" s="36" t="str">
        <f aca="false">IF($A615="","",$I615*$K615)</f>
        <v/>
      </c>
      <c r="O615" s="35" t="str">
        <f aca="false">IF(OR($A615="",$C615="U",$S615&lt;&gt;Calc!$F$2),"",SUMIFS($I$3:$I$3002,$E$3:$E$3002,$E615,$C$3:$C$3002,"&lt;&gt;U",$S$3:$S$3002,Calc!$F$2))</f>
        <v/>
      </c>
      <c r="P615" s="35" t="str">
        <f aca="false">IF(OR($A615="",$C615="U",$S615&lt;&gt;Calc!$F$2),"",SUMIFS($N$3:$N$3002,$E$3:$E$3002,$E615,$C$3:$C$3002,"&lt;&gt;U",$S$3:$S$3002,Calc!$F$2))</f>
        <v/>
      </c>
      <c r="Q615" s="35" t="str">
        <f aca="false">IF(OR($A615="",$C615="U",$S615&lt;&gt;Calc!$F$2),"",IF(COUNTIFS($E$3:$E615,$E615,$C$3:$C615,"&lt;&gt;U",$S$3:$S615,Calc!$F$2)=1,1,0))</f>
        <v/>
      </c>
      <c r="R615" s="35" t="str">
        <f aca="false">IF($Q615=1,$O615-ROW()/100000,"")</f>
        <v/>
      </c>
      <c r="S615" s="37" t="str">
        <f aca="false">IF($A615="","",INT($A615))</f>
        <v/>
      </c>
      <c r="T615" s="35" t="str">
        <f aca="false">IF($A615="","",IF(COUNTIFS($S$3:$S615,$S615)=1,1,0))</f>
        <v/>
      </c>
      <c r="U615" s="37" t="str">
        <f aca="false">IF($T615=1,$S615,"")</f>
        <v/>
      </c>
    </row>
    <row r="616" customFormat="false" ht="15" hidden="false" customHeight="false" outlineLevel="0" collapsed="false">
      <c r="M616" s="35" t="str">
        <f aca="false">IF($A616="","",HOUR($A616))</f>
        <v/>
      </c>
      <c r="N616" s="36" t="str">
        <f aca="false">IF($A616="","",$I616*$K616)</f>
        <v/>
      </c>
      <c r="O616" s="35" t="str">
        <f aca="false">IF(OR($A616="",$C616="U",$S616&lt;&gt;Calc!$F$2),"",SUMIFS($I$3:$I$3002,$E$3:$E$3002,$E616,$C$3:$C$3002,"&lt;&gt;U",$S$3:$S$3002,Calc!$F$2))</f>
        <v/>
      </c>
      <c r="P616" s="35" t="str">
        <f aca="false">IF(OR($A616="",$C616="U",$S616&lt;&gt;Calc!$F$2),"",SUMIFS($N$3:$N$3002,$E$3:$E$3002,$E616,$C$3:$C$3002,"&lt;&gt;U",$S$3:$S$3002,Calc!$F$2))</f>
        <v/>
      </c>
      <c r="Q616" s="35" t="str">
        <f aca="false">IF(OR($A616="",$C616="U",$S616&lt;&gt;Calc!$F$2),"",IF(COUNTIFS($E$3:$E616,$E616,$C$3:$C616,"&lt;&gt;U",$S$3:$S616,Calc!$F$2)=1,1,0))</f>
        <v/>
      </c>
      <c r="R616" s="35" t="str">
        <f aca="false">IF($Q616=1,$O616-ROW()/100000,"")</f>
        <v/>
      </c>
      <c r="S616" s="37" t="str">
        <f aca="false">IF($A616="","",INT($A616))</f>
        <v/>
      </c>
      <c r="T616" s="35" t="str">
        <f aca="false">IF($A616="","",IF(COUNTIFS($S$3:$S616,$S616)=1,1,0))</f>
        <v/>
      </c>
      <c r="U616" s="37" t="str">
        <f aca="false">IF($T616=1,$S616,"")</f>
        <v/>
      </c>
    </row>
    <row r="617" customFormat="false" ht="15" hidden="false" customHeight="false" outlineLevel="0" collapsed="false">
      <c r="M617" s="35" t="str">
        <f aca="false">IF($A617="","",HOUR($A617))</f>
        <v/>
      </c>
      <c r="N617" s="36" t="str">
        <f aca="false">IF($A617="","",$I617*$K617)</f>
        <v/>
      </c>
      <c r="O617" s="35" t="str">
        <f aca="false">IF(OR($A617="",$C617="U",$S617&lt;&gt;Calc!$F$2),"",SUMIFS($I$3:$I$3002,$E$3:$E$3002,$E617,$C$3:$C$3002,"&lt;&gt;U",$S$3:$S$3002,Calc!$F$2))</f>
        <v/>
      </c>
      <c r="P617" s="35" t="str">
        <f aca="false">IF(OR($A617="",$C617="U",$S617&lt;&gt;Calc!$F$2),"",SUMIFS($N$3:$N$3002,$E$3:$E$3002,$E617,$C$3:$C$3002,"&lt;&gt;U",$S$3:$S$3002,Calc!$F$2))</f>
        <v/>
      </c>
      <c r="Q617" s="35" t="str">
        <f aca="false">IF(OR($A617="",$C617="U",$S617&lt;&gt;Calc!$F$2),"",IF(COUNTIFS($E$3:$E617,$E617,$C$3:$C617,"&lt;&gt;U",$S$3:$S617,Calc!$F$2)=1,1,0))</f>
        <v/>
      </c>
      <c r="R617" s="35" t="str">
        <f aca="false">IF($Q617=1,$O617-ROW()/100000,"")</f>
        <v/>
      </c>
      <c r="S617" s="37" t="str">
        <f aca="false">IF($A617="","",INT($A617))</f>
        <v/>
      </c>
      <c r="T617" s="35" t="str">
        <f aca="false">IF($A617="","",IF(COUNTIFS($S$3:$S617,$S617)=1,1,0))</f>
        <v/>
      </c>
      <c r="U617" s="37" t="str">
        <f aca="false">IF($T617=1,$S617,"")</f>
        <v/>
      </c>
    </row>
    <row r="618" customFormat="false" ht="15" hidden="false" customHeight="false" outlineLevel="0" collapsed="false">
      <c r="M618" s="35" t="str">
        <f aca="false">IF($A618="","",HOUR($A618))</f>
        <v/>
      </c>
      <c r="N618" s="36" t="str">
        <f aca="false">IF($A618="","",$I618*$K618)</f>
        <v/>
      </c>
      <c r="O618" s="35" t="str">
        <f aca="false">IF(OR($A618="",$C618="U",$S618&lt;&gt;Calc!$F$2),"",SUMIFS($I$3:$I$3002,$E$3:$E$3002,$E618,$C$3:$C$3002,"&lt;&gt;U",$S$3:$S$3002,Calc!$F$2))</f>
        <v/>
      </c>
      <c r="P618" s="35" t="str">
        <f aca="false">IF(OR($A618="",$C618="U",$S618&lt;&gt;Calc!$F$2),"",SUMIFS($N$3:$N$3002,$E$3:$E$3002,$E618,$C$3:$C$3002,"&lt;&gt;U",$S$3:$S$3002,Calc!$F$2))</f>
        <v/>
      </c>
      <c r="Q618" s="35" t="str">
        <f aca="false">IF(OR($A618="",$C618="U",$S618&lt;&gt;Calc!$F$2),"",IF(COUNTIFS($E$3:$E618,$E618,$C$3:$C618,"&lt;&gt;U",$S$3:$S618,Calc!$F$2)=1,1,0))</f>
        <v/>
      </c>
      <c r="R618" s="35" t="str">
        <f aca="false">IF($Q618=1,$O618-ROW()/100000,"")</f>
        <v/>
      </c>
      <c r="S618" s="37" t="str">
        <f aca="false">IF($A618="","",INT($A618))</f>
        <v/>
      </c>
      <c r="T618" s="35" t="str">
        <f aca="false">IF($A618="","",IF(COUNTIFS($S$3:$S618,$S618)=1,1,0))</f>
        <v/>
      </c>
      <c r="U618" s="37" t="str">
        <f aca="false">IF($T618=1,$S618,"")</f>
        <v/>
      </c>
    </row>
    <row r="619" customFormat="false" ht="15" hidden="false" customHeight="false" outlineLevel="0" collapsed="false">
      <c r="M619" s="35" t="str">
        <f aca="false">IF($A619="","",HOUR($A619))</f>
        <v/>
      </c>
      <c r="N619" s="36" t="str">
        <f aca="false">IF($A619="","",$I619*$K619)</f>
        <v/>
      </c>
      <c r="O619" s="35" t="str">
        <f aca="false">IF(OR($A619="",$C619="U",$S619&lt;&gt;Calc!$F$2),"",SUMIFS($I$3:$I$3002,$E$3:$E$3002,$E619,$C$3:$C$3002,"&lt;&gt;U",$S$3:$S$3002,Calc!$F$2))</f>
        <v/>
      </c>
      <c r="P619" s="35" t="str">
        <f aca="false">IF(OR($A619="",$C619="U",$S619&lt;&gt;Calc!$F$2),"",SUMIFS($N$3:$N$3002,$E$3:$E$3002,$E619,$C$3:$C$3002,"&lt;&gt;U",$S$3:$S$3002,Calc!$F$2))</f>
        <v/>
      </c>
      <c r="Q619" s="35" t="str">
        <f aca="false">IF(OR($A619="",$C619="U",$S619&lt;&gt;Calc!$F$2),"",IF(COUNTIFS($E$3:$E619,$E619,$C$3:$C619,"&lt;&gt;U",$S$3:$S619,Calc!$F$2)=1,1,0))</f>
        <v/>
      </c>
      <c r="R619" s="35" t="str">
        <f aca="false">IF($Q619=1,$O619-ROW()/100000,"")</f>
        <v/>
      </c>
      <c r="S619" s="37" t="str">
        <f aca="false">IF($A619="","",INT($A619))</f>
        <v/>
      </c>
      <c r="T619" s="35" t="str">
        <f aca="false">IF($A619="","",IF(COUNTIFS($S$3:$S619,$S619)=1,1,0))</f>
        <v/>
      </c>
      <c r="U619" s="37" t="str">
        <f aca="false">IF($T619=1,$S619,"")</f>
        <v/>
      </c>
    </row>
    <row r="620" customFormat="false" ht="15" hidden="false" customHeight="false" outlineLevel="0" collapsed="false">
      <c r="M620" s="35" t="str">
        <f aca="false">IF($A620="","",HOUR($A620))</f>
        <v/>
      </c>
      <c r="N620" s="36" t="str">
        <f aca="false">IF($A620="","",$I620*$K620)</f>
        <v/>
      </c>
      <c r="O620" s="35" t="str">
        <f aca="false">IF(OR($A620="",$C620="U",$S620&lt;&gt;Calc!$F$2),"",SUMIFS($I$3:$I$3002,$E$3:$E$3002,$E620,$C$3:$C$3002,"&lt;&gt;U",$S$3:$S$3002,Calc!$F$2))</f>
        <v/>
      </c>
      <c r="P620" s="35" t="str">
        <f aca="false">IF(OR($A620="",$C620="U",$S620&lt;&gt;Calc!$F$2),"",SUMIFS($N$3:$N$3002,$E$3:$E$3002,$E620,$C$3:$C$3002,"&lt;&gt;U",$S$3:$S$3002,Calc!$F$2))</f>
        <v/>
      </c>
      <c r="Q620" s="35" t="str">
        <f aca="false">IF(OR($A620="",$C620="U",$S620&lt;&gt;Calc!$F$2),"",IF(COUNTIFS($E$3:$E620,$E620,$C$3:$C620,"&lt;&gt;U",$S$3:$S620,Calc!$F$2)=1,1,0))</f>
        <v/>
      </c>
      <c r="R620" s="35" t="str">
        <f aca="false">IF($Q620=1,$O620-ROW()/100000,"")</f>
        <v/>
      </c>
      <c r="S620" s="37" t="str">
        <f aca="false">IF($A620="","",INT($A620))</f>
        <v/>
      </c>
      <c r="T620" s="35" t="str">
        <f aca="false">IF($A620="","",IF(COUNTIFS($S$3:$S620,$S620)=1,1,0))</f>
        <v/>
      </c>
      <c r="U620" s="37" t="str">
        <f aca="false">IF($T620=1,$S620,"")</f>
        <v/>
      </c>
    </row>
    <row r="621" customFormat="false" ht="15" hidden="false" customHeight="false" outlineLevel="0" collapsed="false">
      <c r="M621" s="35" t="str">
        <f aca="false">IF($A621="","",HOUR($A621))</f>
        <v/>
      </c>
      <c r="N621" s="36" t="str">
        <f aca="false">IF($A621="","",$I621*$K621)</f>
        <v/>
      </c>
      <c r="O621" s="35" t="str">
        <f aca="false">IF(OR($A621="",$C621="U",$S621&lt;&gt;Calc!$F$2),"",SUMIFS($I$3:$I$3002,$E$3:$E$3002,$E621,$C$3:$C$3002,"&lt;&gt;U",$S$3:$S$3002,Calc!$F$2))</f>
        <v/>
      </c>
      <c r="P621" s="35" t="str">
        <f aca="false">IF(OR($A621="",$C621="U",$S621&lt;&gt;Calc!$F$2),"",SUMIFS($N$3:$N$3002,$E$3:$E$3002,$E621,$C$3:$C$3002,"&lt;&gt;U",$S$3:$S$3002,Calc!$F$2))</f>
        <v/>
      </c>
      <c r="Q621" s="35" t="str">
        <f aca="false">IF(OR($A621="",$C621="U",$S621&lt;&gt;Calc!$F$2),"",IF(COUNTIFS($E$3:$E621,$E621,$C$3:$C621,"&lt;&gt;U",$S$3:$S621,Calc!$F$2)=1,1,0))</f>
        <v/>
      </c>
      <c r="R621" s="35" t="str">
        <f aca="false">IF($Q621=1,$O621-ROW()/100000,"")</f>
        <v/>
      </c>
      <c r="S621" s="37" t="str">
        <f aca="false">IF($A621="","",INT($A621))</f>
        <v/>
      </c>
      <c r="T621" s="35" t="str">
        <f aca="false">IF($A621="","",IF(COUNTIFS($S$3:$S621,$S621)=1,1,0))</f>
        <v/>
      </c>
      <c r="U621" s="37" t="str">
        <f aca="false">IF($T621=1,$S621,"")</f>
        <v/>
      </c>
    </row>
    <row r="622" customFormat="false" ht="15" hidden="false" customHeight="false" outlineLevel="0" collapsed="false">
      <c r="M622" s="35" t="str">
        <f aca="false">IF($A622="","",HOUR($A622))</f>
        <v/>
      </c>
      <c r="N622" s="36" t="str">
        <f aca="false">IF($A622="","",$I622*$K622)</f>
        <v/>
      </c>
      <c r="O622" s="35" t="str">
        <f aca="false">IF(OR($A622="",$C622="U",$S622&lt;&gt;Calc!$F$2),"",SUMIFS($I$3:$I$3002,$E$3:$E$3002,$E622,$C$3:$C$3002,"&lt;&gt;U",$S$3:$S$3002,Calc!$F$2))</f>
        <v/>
      </c>
      <c r="P622" s="35" t="str">
        <f aca="false">IF(OR($A622="",$C622="U",$S622&lt;&gt;Calc!$F$2),"",SUMIFS($N$3:$N$3002,$E$3:$E$3002,$E622,$C$3:$C$3002,"&lt;&gt;U",$S$3:$S$3002,Calc!$F$2))</f>
        <v/>
      </c>
      <c r="Q622" s="35" t="str">
        <f aca="false">IF(OR($A622="",$C622="U",$S622&lt;&gt;Calc!$F$2),"",IF(COUNTIFS($E$3:$E622,$E622,$C$3:$C622,"&lt;&gt;U",$S$3:$S622,Calc!$F$2)=1,1,0))</f>
        <v/>
      </c>
      <c r="R622" s="35" t="str">
        <f aca="false">IF($Q622=1,$O622-ROW()/100000,"")</f>
        <v/>
      </c>
      <c r="S622" s="37" t="str">
        <f aca="false">IF($A622="","",INT($A622))</f>
        <v/>
      </c>
      <c r="T622" s="35" t="str">
        <f aca="false">IF($A622="","",IF(COUNTIFS($S$3:$S622,$S622)=1,1,0))</f>
        <v/>
      </c>
      <c r="U622" s="37" t="str">
        <f aca="false">IF($T622=1,$S622,"")</f>
        <v/>
      </c>
    </row>
    <row r="623" customFormat="false" ht="15" hidden="false" customHeight="false" outlineLevel="0" collapsed="false">
      <c r="M623" s="35" t="str">
        <f aca="false">IF($A623="","",HOUR($A623))</f>
        <v/>
      </c>
      <c r="N623" s="36" t="str">
        <f aca="false">IF($A623="","",$I623*$K623)</f>
        <v/>
      </c>
      <c r="O623" s="35" t="str">
        <f aca="false">IF(OR($A623="",$C623="U",$S623&lt;&gt;Calc!$F$2),"",SUMIFS($I$3:$I$3002,$E$3:$E$3002,$E623,$C$3:$C$3002,"&lt;&gt;U",$S$3:$S$3002,Calc!$F$2))</f>
        <v/>
      </c>
      <c r="P623" s="35" t="str">
        <f aca="false">IF(OR($A623="",$C623="U",$S623&lt;&gt;Calc!$F$2),"",SUMIFS($N$3:$N$3002,$E$3:$E$3002,$E623,$C$3:$C$3002,"&lt;&gt;U",$S$3:$S$3002,Calc!$F$2))</f>
        <v/>
      </c>
      <c r="Q623" s="35" t="str">
        <f aca="false">IF(OR($A623="",$C623="U",$S623&lt;&gt;Calc!$F$2),"",IF(COUNTIFS($E$3:$E623,$E623,$C$3:$C623,"&lt;&gt;U",$S$3:$S623,Calc!$F$2)=1,1,0))</f>
        <v/>
      </c>
      <c r="R623" s="35" t="str">
        <f aca="false">IF($Q623=1,$O623-ROW()/100000,"")</f>
        <v/>
      </c>
      <c r="S623" s="37" t="str">
        <f aca="false">IF($A623="","",INT($A623))</f>
        <v/>
      </c>
      <c r="T623" s="35" t="str">
        <f aca="false">IF($A623="","",IF(COUNTIFS($S$3:$S623,$S623)=1,1,0))</f>
        <v/>
      </c>
      <c r="U623" s="37" t="str">
        <f aca="false">IF($T623=1,$S623,"")</f>
        <v/>
      </c>
    </row>
    <row r="624" customFormat="false" ht="15" hidden="false" customHeight="false" outlineLevel="0" collapsed="false">
      <c r="M624" s="35" t="str">
        <f aca="false">IF($A624="","",HOUR($A624))</f>
        <v/>
      </c>
      <c r="N624" s="36" t="str">
        <f aca="false">IF($A624="","",$I624*$K624)</f>
        <v/>
      </c>
      <c r="O624" s="35" t="str">
        <f aca="false">IF(OR($A624="",$C624="U",$S624&lt;&gt;Calc!$F$2),"",SUMIFS($I$3:$I$3002,$E$3:$E$3002,$E624,$C$3:$C$3002,"&lt;&gt;U",$S$3:$S$3002,Calc!$F$2))</f>
        <v/>
      </c>
      <c r="P624" s="35" t="str">
        <f aca="false">IF(OR($A624="",$C624="U",$S624&lt;&gt;Calc!$F$2),"",SUMIFS($N$3:$N$3002,$E$3:$E$3002,$E624,$C$3:$C$3002,"&lt;&gt;U",$S$3:$S$3002,Calc!$F$2))</f>
        <v/>
      </c>
      <c r="Q624" s="35" t="str">
        <f aca="false">IF(OR($A624="",$C624="U",$S624&lt;&gt;Calc!$F$2),"",IF(COUNTIFS($E$3:$E624,$E624,$C$3:$C624,"&lt;&gt;U",$S$3:$S624,Calc!$F$2)=1,1,0))</f>
        <v/>
      </c>
      <c r="R624" s="35" t="str">
        <f aca="false">IF($Q624=1,$O624-ROW()/100000,"")</f>
        <v/>
      </c>
      <c r="S624" s="37" t="str">
        <f aca="false">IF($A624="","",INT($A624))</f>
        <v/>
      </c>
      <c r="T624" s="35" t="str">
        <f aca="false">IF($A624="","",IF(COUNTIFS($S$3:$S624,$S624)=1,1,0))</f>
        <v/>
      </c>
      <c r="U624" s="37" t="str">
        <f aca="false">IF($T624=1,$S624,"")</f>
        <v/>
      </c>
    </row>
    <row r="625" customFormat="false" ht="15" hidden="false" customHeight="false" outlineLevel="0" collapsed="false">
      <c r="M625" s="35" t="str">
        <f aca="false">IF($A625="","",HOUR($A625))</f>
        <v/>
      </c>
      <c r="N625" s="36" t="str">
        <f aca="false">IF($A625="","",$I625*$K625)</f>
        <v/>
      </c>
      <c r="O625" s="35" t="str">
        <f aca="false">IF(OR($A625="",$C625="U",$S625&lt;&gt;Calc!$F$2),"",SUMIFS($I$3:$I$3002,$E$3:$E$3002,$E625,$C$3:$C$3002,"&lt;&gt;U",$S$3:$S$3002,Calc!$F$2))</f>
        <v/>
      </c>
      <c r="P625" s="35" t="str">
        <f aca="false">IF(OR($A625="",$C625="U",$S625&lt;&gt;Calc!$F$2),"",SUMIFS($N$3:$N$3002,$E$3:$E$3002,$E625,$C$3:$C$3002,"&lt;&gt;U",$S$3:$S$3002,Calc!$F$2))</f>
        <v/>
      </c>
      <c r="Q625" s="35" t="str">
        <f aca="false">IF(OR($A625="",$C625="U",$S625&lt;&gt;Calc!$F$2),"",IF(COUNTIFS($E$3:$E625,$E625,$C$3:$C625,"&lt;&gt;U",$S$3:$S625,Calc!$F$2)=1,1,0))</f>
        <v/>
      </c>
      <c r="R625" s="35" t="str">
        <f aca="false">IF($Q625=1,$O625-ROW()/100000,"")</f>
        <v/>
      </c>
      <c r="S625" s="37" t="str">
        <f aca="false">IF($A625="","",INT($A625))</f>
        <v/>
      </c>
      <c r="T625" s="35" t="str">
        <f aca="false">IF($A625="","",IF(COUNTIFS($S$3:$S625,$S625)=1,1,0))</f>
        <v/>
      </c>
      <c r="U625" s="37" t="str">
        <f aca="false">IF($T625=1,$S625,"")</f>
        <v/>
      </c>
    </row>
    <row r="626" customFormat="false" ht="15" hidden="false" customHeight="false" outlineLevel="0" collapsed="false">
      <c r="M626" s="35" t="str">
        <f aca="false">IF($A626="","",HOUR($A626))</f>
        <v/>
      </c>
      <c r="N626" s="36" t="str">
        <f aca="false">IF($A626="","",$I626*$K626)</f>
        <v/>
      </c>
      <c r="O626" s="35" t="str">
        <f aca="false">IF(OR($A626="",$C626="U",$S626&lt;&gt;Calc!$F$2),"",SUMIFS($I$3:$I$3002,$E$3:$E$3002,$E626,$C$3:$C$3002,"&lt;&gt;U",$S$3:$S$3002,Calc!$F$2))</f>
        <v/>
      </c>
      <c r="P626" s="35" t="str">
        <f aca="false">IF(OR($A626="",$C626="U",$S626&lt;&gt;Calc!$F$2),"",SUMIFS($N$3:$N$3002,$E$3:$E$3002,$E626,$C$3:$C$3002,"&lt;&gt;U",$S$3:$S$3002,Calc!$F$2))</f>
        <v/>
      </c>
      <c r="Q626" s="35" t="str">
        <f aca="false">IF(OR($A626="",$C626="U",$S626&lt;&gt;Calc!$F$2),"",IF(COUNTIFS($E$3:$E626,$E626,$C$3:$C626,"&lt;&gt;U",$S$3:$S626,Calc!$F$2)=1,1,0))</f>
        <v/>
      </c>
      <c r="R626" s="35" t="str">
        <f aca="false">IF($Q626=1,$O626-ROW()/100000,"")</f>
        <v/>
      </c>
      <c r="S626" s="37" t="str">
        <f aca="false">IF($A626="","",INT($A626))</f>
        <v/>
      </c>
      <c r="T626" s="35" t="str">
        <f aca="false">IF($A626="","",IF(COUNTIFS($S$3:$S626,$S626)=1,1,0))</f>
        <v/>
      </c>
      <c r="U626" s="37" t="str">
        <f aca="false">IF($T626=1,$S626,"")</f>
        <v/>
      </c>
    </row>
    <row r="627" customFormat="false" ht="15" hidden="false" customHeight="false" outlineLevel="0" collapsed="false">
      <c r="M627" s="35" t="str">
        <f aca="false">IF($A627="","",HOUR($A627))</f>
        <v/>
      </c>
      <c r="N627" s="36" t="str">
        <f aca="false">IF($A627="","",$I627*$K627)</f>
        <v/>
      </c>
      <c r="O627" s="35" t="str">
        <f aca="false">IF(OR($A627="",$C627="U",$S627&lt;&gt;Calc!$F$2),"",SUMIFS($I$3:$I$3002,$E$3:$E$3002,$E627,$C$3:$C$3002,"&lt;&gt;U",$S$3:$S$3002,Calc!$F$2))</f>
        <v/>
      </c>
      <c r="P627" s="35" t="str">
        <f aca="false">IF(OR($A627="",$C627="U",$S627&lt;&gt;Calc!$F$2),"",SUMIFS($N$3:$N$3002,$E$3:$E$3002,$E627,$C$3:$C$3002,"&lt;&gt;U",$S$3:$S$3002,Calc!$F$2))</f>
        <v/>
      </c>
      <c r="Q627" s="35" t="str">
        <f aca="false">IF(OR($A627="",$C627="U",$S627&lt;&gt;Calc!$F$2),"",IF(COUNTIFS($E$3:$E627,$E627,$C$3:$C627,"&lt;&gt;U",$S$3:$S627,Calc!$F$2)=1,1,0))</f>
        <v/>
      </c>
      <c r="R627" s="35" t="str">
        <f aca="false">IF($Q627=1,$O627-ROW()/100000,"")</f>
        <v/>
      </c>
      <c r="S627" s="37" t="str">
        <f aca="false">IF($A627="","",INT($A627))</f>
        <v/>
      </c>
      <c r="T627" s="35" t="str">
        <f aca="false">IF($A627="","",IF(COUNTIFS($S$3:$S627,$S627)=1,1,0))</f>
        <v/>
      </c>
      <c r="U627" s="37" t="str">
        <f aca="false">IF($T627=1,$S627,"")</f>
        <v/>
      </c>
    </row>
    <row r="628" customFormat="false" ht="15" hidden="false" customHeight="false" outlineLevel="0" collapsed="false">
      <c r="M628" s="35" t="str">
        <f aca="false">IF($A628="","",HOUR($A628))</f>
        <v/>
      </c>
      <c r="N628" s="36" t="str">
        <f aca="false">IF($A628="","",$I628*$K628)</f>
        <v/>
      </c>
      <c r="O628" s="35" t="str">
        <f aca="false">IF(OR($A628="",$C628="U",$S628&lt;&gt;Calc!$F$2),"",SUMIFS($I$3:$I$3002,$E$3:$E$3002,$E628,$C$3:$C$3002,"&lt;&gt;U",$S$3:$S$3002,Calc!$F$2))</f>
        <v/>
      </c>
      <c r="P628" s="35" t="str">
        <f aca="false">IF(OR($A628="",$C628="U",$S628&lt;&gt;Calc!$F$2),"",SUMIFS($N$3:$N$3002,$E$3:$E$3002,$E628,$C$3:$C$3002,"&lt;&gt;U",$S$3:$S$3002,Calc!$F$2))</f>
        <v/>
      </c>
      <c r="Q628" s="35" t="str">
        <f aca="false">IF(OR($A628="",$C628="U",$S628&lt;&gt;Calc!$F$2),"",IF(COUNTIFS($E$3:$E628,$E628,$C$3:$C628,"&lt;&gt;U",$S$3:$S628,Calc!$F$2)=1,1,0))</f>
        <v/>
      </c>
      <c r="R628" s="35" t="str">
        <f aca="false">IF($Q628=1,$O628-ROW()/100000,"")</f>
        <v/>
      </c>
      <c r="S628" s="37" t="str">
        <f aca="false">IF($A628="","",INT($A628))</f>
        <v/>
      </c>
      <c r="T628" s="35" t="str">
        <f aca="false">IF($A628="","",IF(COUNTIFS($S$3:$S628,$S628)=1,1,0))</f>
        <v/>
      </c>
      <c r="U628" s="37" t="str">
        <f aca="false">IF($T628=1,$S628,"")</f>
        <v/>
      </c>
    </row>
    <row r="629" customFormat="false" ht="15" hidden="false" customHeight="false" outlineLevel="0" collapsed="false">
      <c r="M629" s="35" t="str">
        <f aca="false">IF($A629="","",HOUR($A629))</f>
        <v/>
      </c>
      <c r="N629" s="36" t="str">
        <f aca="false">IF($A629="","",$I629*$K629)</f>
        <v/>
      </c>
      <c r="O629" s="35" t="str">
        <f aca="false">IF(OR($A629="",$C629="U",$S629&lt;&gt;Calc!$F$2),"",SUMIFS($I$3:$I$3002,$E$3:$E$3002,$E629,$C$3:$C$3002,"&lt;&gt;U",$S$3:$S$3002,Calc!$F$2))</f>
        <v/>
      </c>
      <c r="P629" s="35" t="str">
        <f aca="false">IF(OR($A629="",$C629="U",$S629&lt;&gt;Calc!$F$2),"",SUMIFS($N$3:$N$3002,$E$3:$E$3002,$E629,$C$3:$C$3002,"&lt;&gt;U",$S$3:$S$3002,Calc!$F$2))</f>
        <v/>
      </c>
      <c r="Q629" s="35" t="str">
        <f aca="false">IF(OR($A629="",$C629="U",$S629&lt;&gt;Calc!$F$2),"",IF(COUNTIFS($E$3:$E629,$E629,$C$3:$C629,"&lt;&gt;U",$S$3:$S629,Calc!$F$2)=1,1,0))</f>
        <v/>
      </c>
      <c r="R629" s="35" t="str">
        <f aca="false">IF($Q629=1,$O629-ROW()/100000,"")</f>
        <v/>
      </c>
      <c r="S629" s="37" t="str">
        <f aca="false">IF($A629="","",INT($A629))</f>
        <v/>
      </c>
      <c r="T629" s="35" t="str">
        <f aca="false">IF($A629="","",IF(COUNTIFS($S$3:$S629,$S629)=1,1,0))</f>
        <v/>
      </c>
      <c r="U629" s="37" t="str">
        <f aca="false">IF($T629=1,$S629,"")</f>
        <v/>
      </c>
    </row>
    <row r="630" customFormat="false" ht="15" hidden="false" customHeight="false" outlineLevel="0" collapsed="false">
      <c r="M630" s="35" t="str">
        <f aca="false">IF($A630="","",HOUR($A630))</f>
        <v/>
      </c>
      <c r="N630" s="36" t="str">
        <f aca="false">IF($A630="","",$I630*$K630)</f>
        <v/>
      </c>
      <c r="O630" s="35" t="str">
        <f aca="false">IF(OR($A630="",$C630="U",$S630&lt;&gt;Calc!$F$2),"",SUMIFS($I$3:$I$3002,$E$3:$E$3002,$E630,$C$3:$C$3002,"&lt;&gt;U",$S$3:$S$3002,Calc!$F$2))</f>
        <v/>
      </c>
      <c r="P630" s="35" t="str">
        <f aca="false">IF(OR($A630="",$C630="U",$S630&lt;&gt;Calc!$F$2),"",SUMIFS($N$3:$N$3002,$E$3:$E$3002,$E630,$C$3:$C$3002,"&lt;&gt;U",$S$3:$S$3002,Calc!$F$2))</f>
        <v/>
      </c>
      <c r="Q630" s="35" t="str">
        <f aca="false">IF(OR($A630="",$C630="U",$S630&lt;&gt;Calc!$F$2),"",IF(COUNTIFS($E$3:$E630,$E630,$C$3:$C630,"&lt;&gt;U",$S$3:$S630,Calc!$F$2)=1,1,0))</f>
        <v/>
      </c>
      <c r="R630" s="35" t="str">
        <f aca="false">IF($Q630=1,$O630-ROW()/100000,"")</f>
        <v/>
      </c>
      <c r="S630" s="37" t="str">
        <f aca="false">IF($A630="","",INT($A630))</f>
        <v/>
      </c>
      <c r="T630" s="35" t="str">
        <f aca="false">IF($A630="","",IF(COUNTIFS($S$3:$S630,$S630)=1,1,0))</f>
        <v/>
      </c>
      <c r="U630" s="37" t="str">
        <f aca="false">IF($T630=1,$S630,"")</f>
        <v/>
      </c>
    </row>
    <row r="631" customFormat="false" ht="15" hidden="false" customHeight="false" outlineLevel="0" collapsed="false">
      <c r="M631" s="35" t="str">
        <f aca="false">IF($A631="","",HOUR($A631))</f>
        <v/>
      </c>
      <c r="N631" s="36" t="str">
        <f aca="false">IF($A631="","",$I631*$K631)</f>
        <v/>
      </c>
      <c r="O631" s="35" t="str">
        <f aca="false">IF(OR($A631="",$C631="U",$S631&lt;&gt;Calc!$F$2),"",SUMIFS($I$3:$I$3002,$E$3:$E$3002,$E631,$C$3:$C$3002,"&lt;&gt;U",$S$3:$S$3002,Calc!$F$2))</f>
        <v/>
      </c>
      <c r="P631" s="35" t="str">
        <f aca="false">IF(OR($A631="",$C631="U",$S631&lt;&gt;Calc!$F$2),"",SUMIFS($N$3:$N$3002,$E$3:$E$3002,$E631,$C$3:$C$3002,"&lt;&gt;U",$S$3:$S$3002,Calc!$F$2))</f>
        <v/>
      </c>
      <c r="Q631" s="35" t="str">
        <f aca="false">IF(OR($A631="",$C631="U",$S631&lt;&gt;Calc!$F$2),"",IF(COUNTIFS($E$3:$E631,$E631,$C$3:$C631,"&lt;&gt;U",$S$3:$S631,Calc!$F$2)=1,1,0))</f>
        <v/>
      </c>
      <c r="R631" s="35" t="str">
        <f aca="false">IF($Q631=1,$O631-ROW()/100000,"")</f>
        <v/>
      </c>
      <c r="S631" s="37" t="str">
        <f aca="false">IF($A631="","",INT($A631))</f>
        <v/>
      </c>
      <c r="T631" s="35" t="str">
        <f aca="false">IF($A631="","",IF(COUNTIFS($S$3:$S631,$S631)=1,1,0))</f>
        <v/>
      </c>
      <c r="U631" s="37" t="str">
        <f aca="false">IF($T631=1,$S631,"")</f>
        <v/>
      </c>
    </row>
    <row r="632" customFormat="false" ht="15" hidden="false" customHeight="false" outlineLevel="0" collapsed="false">
      <c r="M632" s="35" t="str">
        <f aca="false">IF($A632="","",HOUR($A632))</f>
        <v/>
      </c>
      <c r="N632" s="36" t="str">
        <f aca="false">IF($A632="","",$I632*$K632)</f>
        <v/>
      </c>
      <c r="O632" s="35" t="str">
        <f aca="false">IF(OR($A632="",$C632="U",$S632&lt;&gt;Calc!$F$2),"",SUMIFS($I$3:$I$3002,$E$3:$E$3002,$E632,$C$3:$C$3002,"&lt;&gt;U",$S$3:$S$3002,Calc!$F$2))</f>
        <v/>
      </c>
      <c r="P632" s="35" t="str">
        <f aca="false">IF(OR($A632="",$C632="U",$S632&lt;&gt;Calc!$F$2),"",SUMIFS($N$3:$N$3002,$E$3:$E$3002,$E632,$C$3:$C$3002,"&lt;&gt;U",$S$3:$S$3002,Calc!$F$2))</f>
        <v/>
      </c>
      <c r="Q632" s="35" t="str">
        <f aca="false">IF(OR($A632="",$C632="U",$S632&lt;&gt;Calc!$F$2),"",IF(COUNTIFS($E$3:$E632,$E632,$C$3:$C632,"&lt;&gt;U",$S$3:$S632,Calc!$F$2)=1,1,0))</f>
        <v/>
      </c>
      <c r="R632" s="35" t="str">
        <f aca="false">IF($Q632=1,$O632-ROW()/100000,"")</f>
        <v/>
      </c>
      <c r="S632" s="37" t="str">
        <f aca="false">IF($A632="","",INT($A632))</f>
        <v/>
      </c>
      <c r="T632" s="35" t="str">
        <f aca="false">IF($A632="","",IF(COUNTIFS($S$3:$S632,$S632)=1,1,0))</f>
        <v/>
      </c>
      <c r="U632" s="37" t="str">
        <f aca="false">IF($T632=1,$S632,"")</f>
        <v/>
      </c>
    </row>
    <row r="633" customFormat="false" ht="15" hidden="false" customHeight="false" outlineLevel="0" collapsed="false">
      <c r="M633" s="35" t="str">
        <f aca="false">IF($A633="","",HOUR($A633))</f>
        <v/>
      </c>
      <c r="N633" s="36" t="str">
        <f aca="false">IF($A633="","",$I633*$K633)</f>
        <v/>
      </c>
      <c r="O633" s="35" t="str">
        <f aca="false">IF(OR($A633="",$C633="U",$S633&lt;&gt;Calc!$F$2),"",SUMIFS($I$3:$I$3002,$E$3:$E$3002,$E633,$C$3:$C$3002,"&lt;&gt;U",$S$3:$S$3002,Calc!$F$2))</f>
        <v/>
      </c>
      <c r="P633" s="35" t="str">
        <f aca="false">IF(OR($A633="",$C633="U",$S633&lt;&gt;Calc!$F$2),"",SUMIFS($N$3:$N$3002,$E$3:$E$3002,$E633,$C$3:$C$3002,"&lt;&gt;U",$S$3:$S$3002,Calc!$F$2))</f>
        <v/>
      </c>
      <c r="Q633" s="35" t="str">
        <f aca="false">IF(OR($A633="",$C633="U",$S633&lt;&gt;Calc!$F$2),"",IF(COUNTIFS($E$3:$E633,$E633,$C$3:$C633,"&lt;&gt;U",$S$3:$S633,Calc!$F$2)=1,1,0))</f>
        <v/>
      </c>
      <c r="R633" s="35" t="str">
        <f aca="false">IF($Q633=1,$O633-ROW()/100000,"")</f>
        <v/>
      </c>
      <c r="S633" s="37" t="str">
        <f aca="false">IF($A633="","",INT($A633))</f>
        <v/>
      </c>
      <c r="T633" s="35" t="str">
        <f aca="false">IF($A633="","",IF(COUNTIFS($S$3:$S633,$S633)=1,1,0))</f>
        <v/>
      </c>
      <c r="U633" s="37" t="str">
        <f aca="false">IF($T633=1,$S633,"")</f>
        <v/>
      </c>
    </row>
    <row r="634" customFormat="false" ht="15" hidden="false" customHeight="false" outlineLevel="0" collapsed="false">
      <c r="M634" s="35" t="str">
        <f aca="false">IF($A634="","",HOUR($A634))</f>
        <v/>
      </c>
      <c r="N634" s="36" t="str">
        <f aca="false">IF($A634="","",$I634*$K634)</f>
        <v/>
      </c>
      <c r="O634" s="35" t="str">
        <f aca="false">IF(OR($A634="",$C634="U",$S634&lt;&gt;Calc!$F$2),"",SUMIFS($I$3:$I$3002,$E$3:$E$3002,$E634,$C$3:$C$3002,"&lt;&gt;U",$S$3:$S$3002,Calc!$F$2))</f>
        <v/>
      </c>
      <c r="P634" s="35" t="str">
        <f aca="false">IF(OR($A634="",$C634="U",$S634&lt;&gt;Calc!$F$2),"",SUMIFS($N$3:$N$3002,$E$3:$E$3002,$E634,$C$3:$C$3002,"&lt;&gt;U",$S$3:$S$3002,Calc!$F$2))</f>
        <v/>
      </c>
      <c r="Q634" s="35" t="str">
        <f aca="false">IF(OR($A634="",$C634="U",$S634&lt;&gt;Calc!$F$2),"",IF(COUNTIFS($E$3:$E634,$E634,$C$3:$C634,"&lt;&gt;U",$S$3:$S634,Calc!$F$2)=1,1,0))</f>
        <v/>
      </c>
      <c r="R634" s="35" t="str">
        <f aca="false">IF($Q634=1,$O634-ROW()/100000,"")</f>
        <v/>
      </c>
      <c r="S634" s="37" t="str">
        <f aca="false">IF($A634="","",INT($A634))</f>
        <v/>
      </c>
      <c r="T634" s="35" t="str">
        <f aca="false">IF($A634="","",IF(COUNTIFS($S$3:$S634,$S634)=1,1,0))</f>
        <v/>
      </c>
      <c r="U634" s="37" t="str">
        <f aca="false">IF($T634=1,$S634,"")</f>
        <v/>
      </c>
    </row>
    <row r="635" customFormat="false" ht="15" hidden="false" customHeight="false" outlineLevel="0" collapsed="false">
      <c r="M635" s="35" t="str">
        <f aca="false">IF($A635="","",HOUR($A635))</f>
        <v/>
      </c>
      <c r="N635" s="36" t="str">
        <f aca="false">IF($A635="","",$I635*$K635)</f>
        <v/>
      </c>
      <c r="O635" s="35" t="str">
        <f aca="false">IF(OR($A635="",$C635="U",$S635&lt;&gt;Calc!$F$2),"",SUMIFS($I$3:$I$3002,$E$3:$E$3002,$E635,$C$3:$C$3002,"&lt;&gt;U",$S$3:$S$3002,Calc!$F$2))</f>
        <v/>
      </c>
      <c r="P635" s="35" t="str">
        <f aca="false">IF(OR($A635="",$C635="U",$S635&lt;&gt;Calc!$F$2),"",SUMIFS($N$3:$N$3002,$E$3:$E$3002,$E635,$C$3:$C$3002,"&lt;&gt;U",$S$3:$S$3002,Calc!$F$2))</f>
        <v/>
      </c>
      <c r="Q635" s="35" t="str">
        <f aca="false">IF(OR($A635="",$C635="U",$S635&lt;&gt;Calc!$F$2),"",IF(COUNTIFS($E$3:$E635,$E635,$C$3:$C635,"&lt;&gt;U",$S$3:$S635,Calc!$F$2)=1,1,0))</f>
        <v/>
      </c>
      <c r="R635" s="35" t="str">
        <f aca="false">IF($Q635=1,$O635-ROW()/100000,"")</f>
        <v/>
      </c>
      <c r="S635" s="37" t="str">
        <f aca="false">IF($A635="","",INT($A635))</f>
        <v/>
      </c>
      <c r="T635" s="35" t="str">
        <f aca="false">IF($A635="","",IF(COUNTIFS($S$3:$S635,$S635)=1,1,0))</f>
        <v/>
      </c>
      <c r="U635" s="37" t="str">
        <f aca="false">IF($T635=1,$S635,"")</f>
        <v/>
      </c>
    </row>
    <row r="636" customFormat="false" ht="15" hidden="false" customHeight="false" outlineLevel="0" collapsed="false">
      <c r="M636" s="35" t="str">
        <f aca="false">IF($A636="","",HOUR($A636))</f>
        <v/>
      </c>
      <c r="N636" s="36" t="str">
        <f aca="false">IF($A636="","",$I636*$K636)</f>
        <v/>
      </c>
      <c r="O636" s="35" t="str">
        <f aca="false">IF(OR($A636="",$C636="U",$S636&lt;&gt;Calc!$F$2),"",SUMIFS($I$3:$I$3002,$E$3:$E$3002,$E636,$C$3:$C$3002,"&lt;&gt;U",$S$3:$S$3002,Calc!$F$2))</f>
        <v/>
      </c>
      <c r="P636" s="35" t="str">
        <f aca="false">IF(OR($A636="",$C636="U",$S636&lt;&gt;Calc!$F$2),"",SUMIFS($N$3:$N$3002,$E$3:$E$3002,$E636,$C$3:$C$3002,"&lt;&gt;U",$S$3:$S$3002,Calc!$F$2))</f>
        <v/>
      </c>
      <c r="Q636" s="35" t="str">
        <f aca="false">IF(OR($A636="",$C636="U",$S636&lt;&gt;Calc!$F$2),"",IF(COUNTIFS($E$3:$E636,$E636,$C$3:$C636,"&lt;&gt;U",$S$3:$S636,Calc!$F$2)=1,1,0))</f>
        <v/>
      </c>
      <c r="R636" s="35" t="str">
        <f aca="false">IF($Q636=1,$O636-ROW()/100000,"")</f>
        <v/>
      </c>
      <c r="S636" s="37" t="str">
        <f aca="false">IF($A636="","",INT($A636))</f>
        <v/>
      </c>
      <c r="T636" s="35" t="str">
        <f aca="false">IF($A636="","",IF(COUNTIFS($S$3:$S636,$S636)=1,1,0))</f>
        <v/>
      </c>
      <c r="U636" s="37" t="str">
        <f aca="false">IF($T636=1,$S636,"")</f>
        <v/>
      </c>
    </row>
    <row r="637" customFormat="false" ht="15" hidden="false" customHeight="false" outlineLevel="0" collapsed="false">
      <c r="M637" s="35" t="str">
        <f aca="false">IF($A637="","",HOUR($A637))</f>
        <v/>
      </c>
      <c r="N637" s="36" t="str">
        <f aca="false">IF($A637="","",$I637*$K637)</f>
        <v/>
      </c>
      <c r="O637" s="35" t="str">
        <f aca="false">IF(OR($A637="",$C637="U",$S637&lt;&gt;Calc!$F$2),"",SUMIFS($I$3:$I$3002,$E$3:$E$3002,$E637,$C$3:$C$3002,"&lt;&gt;U",$S$3:$S$3002,Calc!$F$2))</f>
        <v/>
      </c>
      <c r="P637" s="35" t="str">
        <f aca="false">IF(OR($A637="",$C637="U",$S637&lt;&gt;Calc!$F$2),"",SUMIFS($N$3:$N$3002,$E$3:$E$3002,$E637,$C$3:$C$3002,"&lt;&gt;U",$S$3:$S$3002,Calc!$F$2))</f>
        <v/>
      </c>
      <c r="Q637" s="35" t="str">
        <f aca="false">IF(OR($A637="",$C637="U",$S637&lt;&gt;Calc!$F$2),"",IF(COUNTIFS($E$3:$E637,$E637,$C$3:$C637,"&lt;&gt;U",$S$3:$S637,Calc!$F$2)=1,1,0))</f>
        <v/>
      </c>
      <c r="R637" s="35" t="str">
        <f aca="false">IF($Q637=1,$O637-ROW()/100000,"")</f>
        <v/>
      </c>
      <c r="S637" s="37" t="str">
        <f aca="false">IF($A637="","",INT($A637))</f>
        <v/>
      </c>
      <c r="T637" s="35" t="str">
        <f aca="false">IF($A637="","",IF(COUNTIFS($S$3:$S637,$S637)=1,1,0))</f>
        <v/>
      </c>
      <c r="U637" s="37" t="str">
        <f aca="false">IF($T637=1,$S637,"")</f>
        <v/>
      </c>
    </row>
    <row r="638" customFormat="false" ht="15" hidden="false" customHeight="false" outlineLevel="0" collapsed="false">
      <c r="M638" s="35" t="str">
        <f aca="false">IF($A638="","",HOUR($A638))</f>
        <v/>
      </c>
      <c r="N638" s="36" t="str">
        <f aca="false">IF($A638="","",$I638*$K638)</f>
        <v/>
      </c>
      <c r="O638" s="35" t="str">
        <f aca="false">IF(OR($A638="",$C638="U",$S638&lt;&gt;Calc!$F$2),"",SUMIFS($I$3:$I$3002,$E$3:$E$3002,$E638,$C$3:$C$3002,"&lt;&gt;U",$S$3:$S$3002,Calc!$F$2))</f>
        <v/>
      </c>
      <c r="P638" s="35" t="str">
        <f aca="false">IF(OR($A638="",$C638="U",$S638&lt;&gt;Calc!$F$2),"",SUMIFS($N$3:$N$3002,$E$3:$E$3002,$E638,$C$3:$C$3002,"&lt;&gt;U",$S$3:$S$3002,Calc!$F$2))</f>
        <v/>
      </c>
      <c r="Q638" s="35" t="str">
        <f aca="false">IF(OR($A638="",$C638="U",$S638&lt;&gt;Calc!$F$2),"",IF(COUNTIFS($E$3:$E638,$E638,$C$3:$C638,"&lt;&gt;U",$S$3:$S638,Calc!$F$2)=1,1,0))</f>
        <v/>
      </c>
      <c r="R638" s="35" t="str">
        <f aca="false">IF($Q638=1,$O638-ROW()/100000,"")</f>
        <v/>
      </c>
      <c r="S638" s="37" t="str">
        <f aca="false">IF($A638="","",INT($A638))</f>
        <v/>
      </c>
      <c r="T638" s="35" t="str">
        <f aca="false">IF($A638="","",IF(COUNTIFS($S$3:$S638,$S638)=1,1,0))</f>
        <v/>
      </c>
      <c r="U638" s="37" t="str">
        <f aca="false">IF($T638=1,$S638,"")</f>
        <v/>
      </c>
    </row>
    <row r="639" customFormat="false" ht="15" hidden="false" customHeight="false" outlineLevel="0" collapsed="false">
      <c r="M639" s="35" t="str">
        <f aca="false">IF($A639="","",HOUR($A639))</f>
        <v/>
      </c>
      <c r="N639" s="36" t="str">
        <f aca="false">IF($A639="","",$I639*$K639)</f>
        <v/>
      </c>
      <c r="O639" s="35" t="str">
        <f aca="false">IF(OR($A639="",$C639="U",$S639&lt;&gt;Calc!$F$2),"",SUMIFS($I$3:$I$3002,$E$3:$E$3002,$E639,$C$3:$C$3002,"&lt;&gt;U",$S$3:$S$3002,Calc!$F$2))</f>
        <v/>
      </c>
      <c r="P639" s="35" t="str">
        <f aca="false">IF(OR($A639="",$C639="U",$S639&lt;&gt;Calc!$F$2),"",SUMIFS($N$3:$N$3002,$E$3:$E$3002,$E639,$C$3:$C$3002,"&lt;&gt;U",$S$3:$S$3002,Calc!$F$2))</f>
        <v/>
      </c>
      <c r="Q639" s="35" t="str">
        <f aca="false">IF(OR($A639="",$C639="U",$S639&lt;&gt;Calc!$F$2),"",IF(COUNTIFS($E$3:$E639,$E639,$C$3:$C639,"&lt;&gt;U",$S$3:$S639,Calc!$F$2)=1,1,0))</f>
        <v/>
      </c>
      <c r="R639" s="35" t="str">
        <f aca="false">IF($Q639=1,$O639-ROW()/100000,"")</f>
        <v/>
      </c>
      <c r="S639" s="37" t="str">
        <f aca="false">IF($A639="","",INT($A639))</f>
        <v/>
      </c>
      <c r="T639" s="35" t="str">
        <f aca="false">IF($A639="","",IF(COUNTIFS($S$3:$S639,$S639)=1,1,0))</f>
        <v/>
      </c>
      <c r="U639" s="37" t="str">
        <f aca="false">IF($T639=1,$S639,"")</f>
        <v/>
      </c>
    </row>
    <row r="640" customFormat="false" ht="15" hidden="false" customHeight="false" outlineLevel="0" collapsed="false">
      <c r="M640" s="35" t="str">
        <f aca="false">IF($A640="","",HOUR($A640))</f>
        <v/>
      </c>
      <c r="N640" s="36" t="str">
        <f aca="false">IF($A640="","",$I640*$K640)</f>
        <v/>
      </c>
      <c r="O640" s="35" t="str">
        <f aca="false">IF(OR($A640="",$C640="U",$S640&lt;&gt;Calc!$F$2),"",SUMIFS($I$3:$I$3002,$E$3:$E$3002,$E640,$C$3:$C$3002,"&lt;&gt;U",$S$3:$S$3002,Calc!$F$2))</f>
        <v/>
      </c>
      <c r="P640" s="35" t="str">
        <f aca="false">IF(OR($A640="",$C640="U",$S640&lt;&gt;Calc!$F$2),"",SUMIFS($N$3:$N$3002,$E$3:$E$3002,$E640,$C$3:$C$3002,"&lt;&gt;U",$S$3:$S$3002,Calc!$F$2))</f>
        <v/>
      </c>
      <c r="Q640" s="35" t="str">
        <f aca="false">IF(OR($A640="",$C640="U",$S640&lt;&gt;Calc!$F$2),"",IF(COUNTIFS($E$3:$E640,$E640,$C$3:$C640,"&lt;&gt;U",$S$3:$S640,Calc!$F$2)=1,1,0))</f>
        <v/>
      </c>
      <c r="R640" s="35" t="str">
        <f aca="false">IF($Q640=1,$O640-ROW()/100000,"")</f>
        <v/>
      </c>
      <c r="S640" s="37" t="str">
        <f aca="false">IF($A640="","",INT($A640))</f>
        <v/>
      </c>
      <c r="T640" s="35" t="str">
        <f aca="false">IF($A640="","",IF(COUNTIFS($S$3:$S640,$S640)=1,1,0))</f>
        <v/>
      </c>
      <c r="U640" s="37" t="str">
        <f aca="false">IF($T640=1,$S640,"")</f>
        <v/>
      </c>
    </row>
    <row r="641" customFormat="false" ht="15" hidden="false" customHeight="false" outlineLevel="0" collapsed="false">
      <c r="M641" s="35" t="str">
        <f aca="false">IF($A641="","",HOUR($A641))</f>
        <v/>
      </c>
      <c r="N641" s="36" t="str">
        <f aca="false">IF($A641="","",$I641*$K641)</f>
        <v/>
      </c>
      <c r="O641" s="35" t="str">
        <f aca="false">IF(OR($A641="",$C641="U",$S641&lt;&gt;Calc!$F$2),"",SUMIFS($I$3:$I$3002,$E$3:$E$3002,$E641,$C$3:$C$3002,"&lt;&gt;U",$S$3:$S$3002,Calc!$F$2))</f>
        <v/>
      </c>
      <c r="P641" s="35" t="str">
        <f aca="false">IF(OR($A641="",$C641="U",$S641&lt;&gt;Calc!$F$2),"",SUMIFS($N$3:$N$3002,$E$3:$E$3002,$E641,$C$3:$C$3002,"&lt;&gt;U",$S$3:$S$3002,Calc!$F$2))</f>
        <v/>
      </c>
      <c r="Q641" s="35" t="str">
        <f aca="false">IF(OR($A641="",$C641="U",$S641&lt;&gt;Calc!$F$2),"",IF(COUNTIFS($E$3:$E641,$E641,$C$3:$C641,"&lt;&gt;U",$S$3:$S641,Calc!$F$2)=1,1,0))</f>
        <v/>
      </c>
      <c r="R641" s="35" t="str">
        <f aca="false">IF($Q641=1,$O641-ROW()/100000,"")</f>
        <v/>
      </c>
      <c r="S641" s="37" t="str">
        <f aca="false">IF($A641="","",INT($A641))</f>
        <v/>
      </c>
      <c r="T641" s="35" t="str">
        <f aca="false">IF($A641="","",IF(COUNTIFS($S$3:$S641,$S641)=1,1,0))</f>
        <v/>
      </c>
      <c r="U641" s="37" t="str">
        <f aca="false">IF($T641=1,$S641,"")</f>
        <v/>
      </c>
    </row>
    <row r="642" customFormat="false" ht="15" hidden="false" customHeight="false" outlineLevel="0" collapsed="false">
      <c r="M642" s="35" t="str">
        <f aca="false">IF($A642="","",HOUR($A642))</f>
        <v/>
      </c>
      <c r="N642" s="36" t="str">
        <f aca="false">IF($A642="","",$I642*$K642)</f>
        <v/>
      </c>
      <c r="O642" s="35" t="str">
        <f aca="false">IF(OR($A642="",$C642="U",$S642&lt;&gt;Calc!$F$2),"",SUMIFS($I$3:$I$3002,$E$3:$E$3002,$E642,$C$3:$C$3002,"&lt;&gt;U",$S$3:$S$3002,Calc!$F$2))</f>
        <v/>
      </c>
      <c r="P642" s="35" t="str">
        <f aca="false">IF(OR($A642="",$C642="U",$S642&lt;&gt;Calc!$F$2),"",SUMIFS($N$3:$N$3002,$E$3:$E$3002,$E642,$C$3:$C$3002,"&lt;&gt;U",$S$3:$S$3002,Calc!$F$2))</f>
        <v/>
      </c>
      <c r="Q642" s="35" t="str">
        <f aca="false">IF(OR($A642="",$C642="U",$S642&lt;&gt;Calc!$F$2),"",IF(COUNTIFS($E$3:$E642,$E642,$C$3:$C642,"&lt;&gt;U",$S$3:$S642,Calc!$F$2)=1,1,0))</f>
        <v/>
      </c>
      <c r="R642" s="35" t="str">
        <f aca="false">IF($Q642=1,$O642-ROW()/100000,"")</f>
        <v/>
      </c>
      <c r="S642" s="37" t="str">
        <f aca="false">IF($A642="","",INT($A642))</f>
        <v/>
      </c>
      <c r="T642" s="35" t="str">
        <f aca="false">IF($A642="","",IF(COUNTIFS($S$3:$S642,$S642)=1,1,0))</f>
        <v/>
      </c>
      <c r="U642" s="37" t="str">
        <f aca="false">IF($T642=1,$S642,"")</f>
        <v/>
      </c>
    </row>
    <row r="643" customFormat="false" ht="15" hidden="false" customHeight="false" outlineLevel="0" collapsed="false">
      <c r="M643" s="35" t="str">
        <f aca="false">IF($A643="","",HOUR($A643))</f>
        <v/>
      </c>
      <c r="N643" s="36" t="str">
        <f aca="false">IF($A643="","",$I643*$K643)</f>
        <v/>
      </c>
      <c r="O643" s="35" t="str">
        <f aca="false">IF(OR($A643="",$C643="U",$S643&lt;&gt;Calc!$F$2),"",SUMIFS($I$3:$I$3002,$E$3:$E$3002,$E643,$C$3:$C$3002,"&lt;&gt;U",$S$3:$S$3002,Calc!$F$2))</f>
        <v/>
      </c>
      <c r="P643" s="35" t="str">
        <f aca="false">IF(OR($A643="",$C643="U",$S643&lt;&gt;Calc!$F$2),"",SUMIFS($N$3:$N$3002,$E$3:$E$3002,$E643,$C$3:$C$3002,"&lt;&gt;U",$S$3:$S$3002,Calc!$F$2))</f>
        <v/>
      </c>
      <c r="Q643" s="35" t="str">
        <f aca="false">IF(OR($A643="",$C643="U",$S643&lt;&gt;Calc!$F$2),"",IF(COUNTIFS($E$3:$E643,$E643,$C$3:$C643,"&lt;&gt;U",$S$3:$S643,Calc!$F$2)=1,1,0))</f>
        <v/>
      </c>
      <c r="R643" s="35" t="str">
        <f aca="false">IF($Q643=1,$O643-ROW()/100000,"")</f>
        <v/>
      </c>
      <c r="S643" s="37" t="str">
        <f aca="false">IF($A643="","",INT($A643))</f>
        <v/>
      </c>
      <c r="T643" s="35" t="str">
        <f aca="false">IF($A643="","",IF(COUNTIFS($S$3:$S643,$S643)=1,1,0))</f>
        <v/>
      </c>
      <c r="U643" s="37" t="str">
        <f aca="false">IF($T643=1,$S643,"")</f>
        <v/>
      </c>
    </row>
    <row r="644" customFormat="false" ht="15" hidden="false" customHeight="false" outlineLevel="0" collapsed="false">
      <c r="M644" s="35" t="str">
        <f aca="false">IF($A644="","",HOUR($A644))</f>
        <v/>
      </c>
      <c r="N644" s="36" t="str">
        <f aca="false">IF($A644="","",$I644*$K644)</f>
        <v/>
      </c>
      <c r="O644" s="35" t="str">
        <f aca="false">IF(OR($A644="",$C644="U",$S644&lt;&gt;Calc!$F$2),"",SUMIFS($I$3:$I$3002,$E$3:$E$3002,$E644,$C$3:$C$3002,"&lt;&gt;U",$S$3:$S$3002,Calc!$F$2))</f>
        <v/>
      </c>
      <c r="P644" s="35" t="str">
        <f aca="false">IF(OR($A644="",$C644="U",$S644&lt;&gt;Calc!$F$2),"",SUMIFS($N$3:$N$3002,$E$3:$E$3002,$E644,$C$3:$C$3002,"&lt;&gt;U",$S$3:$S$3002,Calc!$F$2))</f>
        <v/>
      </c>
      <c r="Q644" s="35" t="str">
        <f aca="false">IF(OR($A644="",$C644="U",$S644&lt;&gt;Calc!$F$2),"",IF(COUNTIFS($E$3:$E644,$E644,$C$3:$C644,"&lt;&gt;U",$S$3:$S644,Calc!$F$2)=1,1,0))</f>
        <v/>
      </c>
      <c r="R644" s="35" t="str">
        <f aca="false">IF($Q644=1,$O644-ROW()/100000,"")</f>
        <v/>
      </c>
      <c r="S644" s="37" t="str">
        <f aca="false">IF($A644="","",INT($A644))</f>
        <v/>
      </c>
      <c r="T644" s="35" t="str">
        <f aca="false">IF($A644="","",IF(COUNTIFS($S$3:$S644,$S644)=1,1,0))</f>
        <v/>
      </c>
      <c r="U644" s="37" t="str">
        <f aca="false">IF($T644=1,$S644,"")</f>
        <v/>
      </c>
    </row>
    <row r="645" customFormat="false" ht="15" hidden="false" customHeight="false" outlineLevel="0" collapsed="false">
      <c r="M645" s="35" t="str">
        <f aca="false">IF($A645="","",HOUR($A645))</f>
        <v/>
      </c>
      <c r="N645" s="36" t="str">
        <f aca="false">IF($A645="","",$I645*$K645)</f>
        <v/>
      </c>
      <c r="O645" s="35" t="str">
        <f aca="false">IF(OR($A645="",$C645="U",$S645&lt;&gt;Calc!$F$2),"",SUMIFS($I$3:$I$3002,$E$3:$E$3002,$E645,$C$3:$C$3002,"&lt;&gt;U",$S$3:$S$3002,Calc!$F$2))</f>
        <v/>
      </c>
      <c r="P645" s="35" t="str">
        <f aca="false">IF(OR($A645="",$C645="U",$S645&lt;&gt;Calc!$F$2),"",SUMIFS($N$3:$N$3002,$E$3:$E$3002,$E645,$C$3:$C$3002,"&lt;&gt;U",$S$3:$S$3002,Calc!$F$2))</f>
        <v/>
      </c>
      <c r="Q645" s="35" t="str">
        <f aca="false">IF(OR($A645="",$C645="U",$S645&lt;&gt;Calc!$F$2),"",IF(COUNTIFS($E$3:$E645,$E645,$C$3:$C645,"&lt;&gt;U",$S$3:$S645,Calc!$F$2)=1,1,0))</f>
        <v/>
      </c>
      <c r="R645" s="35" t="str">
        <f aca="false">IF($Q645=1,$O645-ROW()/100000,"")</f>
        <v/>
      </c>
      <c r="S645" s="37" t="str">
        <f aca="false">IF($A645="","",INT($A645))</f>
        <v/>
      </c>
      <c r="T645" s="35" t="str">
        <f aca="false">IF($A645="","",IF(COUNTIFS($S$3:$S645,$S645)=1,1,0))</f>
        <v/>
      </c>
      <c r="U645" s="37" t="str">
        <f aca="false">IF($T645=1,$S645,"")</f>
        <v/>
      </c>
    </row>
    <row r="646" customFormat="false" ht="15" hidden="false" customHeight="false" outlineLevel="0" collapsed="false">
      <c r="M646" s="35" t="str">
        <f aca="false">IF($A646="","",HOUR($A646))</f>
        <v/>
      </c>
      <c r="N646" s="36" t="str">
        <f aca="false">IF($A646="","",$I646*$K646)</f>
        <v/>
      </c>
      <c r="O646" s="35" t="str">
        <f aca="false">IF(OR($A646="",$C646="U",$S646&lt;&gt;Calc!$F$2),"",SUMIFS($I$3:$I$3002,$E$3:$E$3002,$E646,$C$3:$C$3002,"&lt;&gt;U",$S$3:$S$3002,Calc!$F$2))</f>
        <v/>
      </c>
      <c r="P646" s="35" t="str">
        <f aca="false">IF(OR($A646="",$C646="U",$S646&lt;&gt;Calc!$F$2),"",SUMIFS($N$3:$N$3002,$E$3:$E$3002,$E646,$C$3:$C$3002,"&lt;&gt;U",$S$3:$S$3002,Calc!$F$2))</f>
        <v/>
      </c>
      <c r="Q646" s="35" t="str">
        <f aca="false">IF(OR($A646="",$C646="U",$S646&lt;&gt;Calc!$F$2),"",IF(COUNTIFS($E$3:$E646,$E646,$C$3:$C646,"&lt;&gt;U",$S$3:$S646,Calc!$F$2)=1,1,0))</f>
        <v/>
      </c>
      <c r="R646" s="35" t="str">
        <f aca="false">IF($Q646=1,$O646-ROW()/100000,"")</f>
        <v/>
      </c>
      <c r="S646" s="37" t="str">
        <f aca="false">IF($A646="","",INT($A646))</f>
        <v/>
      </c>
      <c r="T646" s="35" t="str">
        <f aca="false">IF($A646="","",IF(COUNTIFS($S$3:$S646,$S646)=1,1,0))</f>
        <v/>
      </c>
      <c r="U646" s="37" t="str">
        <f aca="false">IF($T646=1,$S646,"")</f>
        <v/>
      </c>
    </row>
    <row r="647" customFormat="false" ht="15" hidden="false" customHeight="false" outlineLevel="0" collapsed="false">
      <c r="M647" s="35" t="str">
        <f aca="false">IF($A647="","",HOUR($A647))</f>
        <v/>
      </c>
      <c r="N647" s="36" t="str">
        <f aca="false">IF($A647="","",$I647*$K647)</f>
        <v/>
      </c>
      <c r="O647" s="35" t="str">
        <f aca="false">IF(OR($A647="",$C647="U",$S647&lt;&gt;Calc!$F$2),"",SUMIFS($I$3:$I$3002,$E$3:$E$3002,$E647,$C$3:$C$3002,"&lt;&gt;U",$S$3:$S$3002,Calc!$F$2))</f>
        <v/>
      </c>
      <c r="P647" s="35" t="str">
        <f aca="false">IF(OR($A647="",$C647="U",$S647&lt;&gt;Calc!$F$2),"",SUMIFS($N$3:$N$3002,$E$3:$E$3002,$E647,$C$3:$C$3002,"&lt;&gt;U",$S$3:$S$3002,Calc!$F$2))</f>
        <v/>
      </c>
      <c r="Q647" s="35" t="str">
        <f aca="false">IF(OR($A647="",$C647="U",$S647&lt;&gt;Calc!$F$2),"",IF(COUNTIFS($E$3:$E647,$E647,$C$3:$C647,"&lt;&gt;U",$S$3:$S647,Calc!$F$2)=1,1,0))</f>
        <v/>
      </c>
      <c r="R647" s="35" t="str">
        <f aca="false">IF($Q647=1,$O647-ROW()/100000,"")</f>
        <v/>
      </c>
      <c r="S647" s="37" t="str">
        <f aca="false">IF($A647="","",INT($A647))</f>
        <v/>
      </c>
      <c r="T647" s="35" t="str">
        <f aca="false">IF($A647="","",IF(COUNTIFS($S$3:$S647,$S647)=1,1,0))</f>
        <v/>
      </c>
      <c r="U647" s="37" t="str">
        <f aca="false">IF($T647=1,$S647,"")</f>
        <v/>
      </c>
    </row>
    <row r="648" customFormat="false" ht="15" hidden="false" customHeight="false" outlineLevel="0" collapsed="false">
      <c r="M648" s="35" t="str">
        <f aca="false">IF($A648="","",HOUR($A648))</f>
        <v/>
      </c>
      <c r="N648" s="36" t="str">
        <f aca="false">IF($A648="","",$I648*$K648)</f>
        <v/>
      </c>
      <c r="O648" s="35" t="str">
        <f aca="false">IF(OR($A648="",$C648="U",$S648&lt;&gt;Calc!$F$2),"",SUMIFS($I$3:$I$3002,$E$3:$E$3002,$E648,$C$3:$C$3002,"&lt;&gt;U",$S$3:$S$3002,Calc!$F$2))</f>
        <v/>
      </c>
      <c r="P648" s="35" t="str">
        <f aca="false">IF(OR($A648="",$C648="U",$S648&lt;&gt;Calc!$F$2),"",SUMIFS($N$3:$N$3002,$E$3:$E$3002,$E648,$C$3:$C$3002,"&lt;&gt;U",$S$3:$S$3002,Calc!$F$2))</f>
        <v/>
      </c>
      <c r="Q648" s="35" t="str">
        <f aca="false">IF(OR($A648="",$C648="U",$S648&lt;&gt;Calc!$F$2),"",IF(COUNTIFS($E$3:$E648,$E648,$C$3:$C648,"&lt;&gt;U",$S$3:$S648,Calc!$F$2)=1,1,0))</f>
        <v/>
      </c>
      <c r="R648" s="35" t="str">
        <f aca="false">IF($Q648=1,$O648-ROW()/100000,"")</f>
        <v/>
      </c>
      <c r="S648" s="37" t="str">
        <f aca="false">IF($A648="","",INT($A648))</f>
        <v/>
      </c>
      <c r="T648" s="35" t="str">
        <f aca="false">IF($A648="","",IF(COUNTIFS($S$3:$S648,$S648)=1,1,0))</f>
        <v/>
      </c>
      <c r="U648" s="37" t="str">
        <f aca="false">IF($T648=1,$S648,"")</f>
        <v/>
      </c>
    </row>
    <row r="649" customFormat="false" ht="15" hidden="false" customHeight="false" outlineLevel="0" collapsed="false">
      <c r="M649" s="35" t="str">
        <f aca="false">IF($A649="","",HOUR($A649))</f>
        <v/>
      </c>
      <c r="N649" s="36" t="str">
        <f aca="false">IF($A649="","",$I649*$K649)</f>
        <v/>
      </c>
      <c r="O649" s="35" t="str">
        <f aca="false">IF(OR($A649="",$C649="U",$S649&lt;&gt;Calc!$F$2),"",SUMIFS($I$3:$I$3002,$E$3:$E$3002,$E649,$C$3:$C$3002,"&lt;&gt;U",$S$3:$S$3002,Calc!$F$2))</f>
        <v/>
      </c>
      <c r="P649" s="35" t="str">
        <f aca="false">IF(OR($A649="",$C649="U",$S649&lt;&gt;Calc!$F$2),"",SUMIFS($N$3:$N$3002,$E$3:$E$3002,$E649,$C$3:$C$3002,"&lt;&gt;U",$S$3:$S$3002,Calc!$F$2))</f>
        <v/>
      </c>
      <c r="Q649" s="35" t="str">
        <f aca="false">IF(OR($A649="",$C649="U",$S649&lt;&gt;Calc!$F$2),"",IF(COUNTIFS($E$3:$E649,$E649,$C$3:$C649,"&lt;&gt;U",$S$3:$S649,Calc!$F$2)=1,1,0))</f>
        <v/>
      </c>
      <c r="R649" s="35" t="str">
        <f aca="false">IF($Q649=1,$O649-ROW()/100000,"")</f>
        <v/>
      </c>
      <c r="S649" s="37" t="str">
        <f aca="false">IF($A649="","",INT($A649))</f>
        <v/>
      </c>
      <c r="T649" s="35" t="str">
        <f aca="false">IF($A649="","",IF(COUNTIFS($S$3:$S649,$S649)=1,1,0))</f>
        <v/>
      </c>
      <c r="U649" s="37" t="str">
        <f aca="false">IF($T649=1,$S649,"")</f>
        <v/>
      </c>
    </row>
    <row r="650" customFormat="false" ht="15" hidden="false" customHeight="false" outlineLevel="0" collapsed="false">
      <c r="M650" s="35" t="str">
        <f aca="false">IF($A650="","",HOUR($A650))</f>
        <v/>
      </c>
      <c r="N650" s="36" t="str">
        <f aca="false">IF($A650="","",$I650*$K650)</f>
        <v/>
      </c>
      <c r="O650" s="35" t="str">
        <f aca="false">IF(OR($A650="",$C650="U",$S650&lt;&gt;Calc!$F$2),"",SUMIFS($I$3:$I$3002,$E$3:$E$3002,$E650,$C$3:$C$3002,"&lt;&gt;U",$S$3:$S$3002,Calc!$F$2))</f>
        <v/>
      </c>
      <c r="P650" s="35" t="str">
        <f aca="false">IF(OR($A650="",$C650="U",$S650&lt;&gt;Calc!$F$2),"",SUMIFS($N$3:$N$3002,$E$3:$E$3002,$E650,$C$3:$C$3002,"&lt;&gt;U",$S$3:$S$3002,Calc!$F$2))</f>
        <v/>
      </c>
      <c r="Q650" s="35" t="str">
        <f aca="false">IF(OR($A650="",$C650="U",$S650&lt;&gt;Calc!$F$2),"",IF(COUNTIFS($E$3:$E650,$E650,$C$3:$C650,"&lt;&gt;U",$S$3:$S650,Calc!$F$2)=1,1,0))</f>
        <v/>
      </c>
      <c r="R650" s="35" t="str">
        <f aca="false">IF($Q650=1,$O650-ROW()/100000,"")</f>
        <v/>
      </c>
      <c r="S650" s="37" t="str">
        <f aca="false">IF($A650="","",INT($A650))</f>
        <v/>
      </c>
      <c r="T650" s="35" t="str">
        <f aca="false">IF($A650="","",IF(COUNTIFS($S$3:$S650,$S650)=1,1,0))</f>
        <v/>
      </c>
      <c r="U650" s="37" t="str">
        <f aca="false">IF($T650=1,$S650,"")</f>
        <v/>
      </c>
    </row>
    <row r="651" customFormat="false" ht="15" hidden="false" customHeight="false" outlineLevel="0" collapsed="false">
      <c r="M651" s="35" t="str">
        <f aca="false">IF($A651="","",HOUR($A651))</f>
        <v/>
      </c>
      <c r="N651" s="36" t="str">
        <f aca="false">IF($A651="","",$I651*$K651)</f>
        <v/>
      </c>
      <c r="O651" s="35" t="str">
        <f aca="false">IF(OR($A651="",$C651="U",$S651&lt;&gt;Calc!$F$2),"",SUMIFS($I$3:$I$3002,$E$3:$E$3002,$E651,$C$3:$C$3002,"&lt;&gt;U",$S$3:$S$3002,Calc!$F$2))</f>
        <v/>
      </c>
      <c r="P651" s="35" t="str">
        <f aca="false">IF(OR($A651="",$C651="U",$S651&lt;&gt;Calc!$F$2),"",SUMIFS($N$3:$N$3002,$E$3:$E$3002,$E651,$C$3:$C$3002,"&lt;&gt;U",$S$3:$S$3002,Calc!$F$2))</f>
        <v/>
      </c>
      <c r="Q651" s="35" t="str">
        <f aca="false">IF(OR($A651="",$C651="U",$S651&lt;&gt;Calc!$F$2),"",IF(COUNTIFS($E$3:$E651,$E651,$C$3:$C651,"&lt;&gt;U",$S$3:$S651,Calc!$F$2)=1,1,0))</f>
        <v/>
      </c>
      <c r="R651" s="35" t="str">
        <f aca="false">IF($Q651=1,$O651-ROW()/100000,"")</f>
        <v/>
      </c>
      <c r="S651" s="37" t="str">
        <f aca="false">IF($A651="","",INT($A651))</f>
        <v/>
      </c>
      <c r="T651" s="35" t="str">
        <f aca="false">IF($A651="","",IF(COUNTIFS($S$3:$S651,$S651)=1,1,0))</f>
        <v/>
      </c>
      <c r="U651" s="37" t="str">
        <f aca="false">IF($T651=1,$S651,"")</f>
        <v/>
      </c>
    </row>
    <row r="652" customFormat="false" ht="15" hidden="false" customHeight="false" outlineLevel="0" collapsed="false">
      <c r="M652" s="35" t="str">
        <f aca="false">IF($A652="","",HOUR($A652))</f>
        <v/>
      </c>
      <c r="N652" s="36" t="str">
        <f aca="false">IF($A652="","",$I652*$K652)</f>
        <v/>
      </c>
      <c r="O652" s="35" t="str">
        <f aca="false">IF(OR($A652="",$C652="U",$S652&lt;&gt;Calc!$F$2),"",SUMIFS($I$3:$I$3002,$E$3:$E$3002,$E652,$C$3:$C$3002,"&lt;&gt;U",$S$3:$S$3002,Calc!$F$2))</f>
        <v/>
      </c>
      <c r="P652" s="35" t="str">
        <f aca="false">IF(OR($A652="",$C652="U",$S652&lt;&gt;Calc!$F$2),"",SUMIFS($N$3:$N$3002,$E$3:$E$3002,$E652,$C$3:$C$3002,"&lt;&gt;U",$S$3:$S$3002,Calc!$F$2))</f>
        <v/>
      </c>
      <c r="Q652" s="35" t="str">
        <f aca="false">IF(OR($A652="",$C652="U",$S652&lt;&gt;Calc!$F$2),"",IF(COUNTIFS($E$3:$E652,$E652,$C$3:$C652,"&lt;&gt;U",$S$3:$S652,Calc!$F$2)=1,1,0))</f>
        <v/>
      </c>
      <c r="R652" s="35" t="str">
        <f aca="false">IF($Q652=1,$O652-ROW()/100000,"")</f>
        <v/>
      </c>
      <c r="S652" s="37" t="str">
        <f aca="false">IF($A652="","",INT($A652))</f>
        <v/>
      </c>
      <c r="T652" s="35" t="str">
        <f aca="false">IF($A652="","",IF(COUNTIFS($S$3:$S652,$S652)=1,1,0))</f>
        <v/>
      </c>
      <c r="U652" s="37" t="str">
        <f aca="false">IF($T652=1,$S652,"")</f>
        <v/>
      </c>
    </row>
    <row r="653" customFormat="false" ht="15" hidden="false" customHeight="false" outlineLevel="0" collapsed="false">
      <c r="M653" s="35" t="str">
        <f aca="false">IF($A653="","",HOUR($A653))</f>
        <v/>
      </c>
      <c r="N653" s="36" t="str">
        <f aca="false">IF($A653="","",$I653*$K653)</f>
        <v/>
      </c>
      <c r="O653" s="35" t="str">
        <f aca="false">IF(OR($A653="",$C653="U",$S653&lt;&gt;Calc!$F$2),"",SUMIFS($I$3:$I$3002,$E$3:$E$3002,$E653,$C$3:$C$3002,"&lt;&gt;U",$S$3:$S$3002,Calc!$F$2))</f>
        <v/>
      </c>
      <c r="P653" s="35" t="str">
        <f aca="false">IF(OR($A653="",$C653="U",$S653&lt;&gt;Calc!$F$2),"",SUMIFS($N$3:$N$3002,$E$3:$E$3002,$E653,$C$3:$C$3002,"&lt;&gt;U",$S$3:$S$3002,Calc!$F$2))</f>
        <v/>
      </c>
      <c r="Q653" s="35" t="str">
        <f aca="false">IF(OR($A653="",$C653="U",$S653&lt;&gt;Calc!$F$2),"",IF(COUNTIFS($E$3:$E653,$E653,$C$3:$C653,"&lt;&gt;U",$S$3:$S653,Calc!$F$2)=1,1,0))</f>
        <v/>
      </c>
      <c r="R653" s="35" t="str">
        <f aca="false">IF($Q653=1,$O653-ROW()/100000,"")</f>
        <v/>
      </c>
      <c r="S653" s="37" t="str">
        <f aca="false">IF($A653="","",INT($A653))</f>
        <v/>
      </c>
      <c r="T653" s="35" t="str">
        <f aca="false">IF($A653="","",IF(COUNTIFS($S$3:$S653,$S653)=1,1,0))</f>
        <v/>
      </c>
      <c r="U653" s="37" t="str">
        <f aca="false">IF($T653=1,$S653,"")</f>
        <v/>
      </c>
    </row>
    <row r="654" customFormat="false" ht="15" hidden="false" customHeight="false" outlineLevel="0" collapsed="false">
      <c r="M654" s="35" t="str">
        <f aca="false">IF($A654="","",HOUR($A654))</f>
        <v/>
      </c>
      <c r="N654" s="36" t="str">
        <f aca="false">IF($A654="","",$I654*$K654)</f>
        <v/>
      </c>
      <c r="O654" s="35" t="str">
        <f aca="false">IF(OR($A654="",$C654="U",$S654&lt;&gt;Calc!$F$2),"",SUMIFS($I$3:$I$3002,$E$3:$E$3002,$E654,$C$3:$C$3002,"&lt;&gt;U",$S$3:$S$3002,Calc!$F$2))</f>
        <v/>
      </c>
      <c r="P654" s="35" t="str">
        <f aca="false">IF(OR($A654="",$C654="U",$S654&lt;&gt;Calc!$F$2),"",SUMIFS($N$3:$N$3002,$E$3:$E$3002,$E654,$C$3:$C$3002,"&lt;&gt;U",$S$3:$S$3002,Calc!$F$2))</f>
        <v/>
      </c>
      <c r="Q654" s="35" t="str">
        <f aca="false">IF(OR($A654="",$C654="U",$S654&lt;&gt;Calc!$F$2),"",IF(COUNTIFS($E$3:$E654,$E654,$C$3:$C654,"&lt;&gt;U",$S$3:$S654,Calc!$F$2)=1,1,0))</f>
        <v/>
      </c>
      <c r="R654" s="35" t="str">
        <f aca="false">IF($Q654=1,$O654-ROW()/100000,"")</f>
        <v/>
      </c>
      <c r="S654" s="37" t="str">
        <f aca="false">IF($A654="","",INT($A654))</f>
        <v/>
      </c>
      <c r="T654" s="35" t="str">
        <f aca="false">IF($A654="","",IF(COUNTIFS($S$3:$S654,$S654)=1,1,0))</f>
        <v/>
      </c>
      <c r="U654" s="37" t="str">
        <f aca="false">IF($T654=1,$S654,"")</f>
        <v/>
      </c>
    </row>
    <row r="655" customFormat="false" ht="15" hidden="false" customHeight="false" outlineLevel="0" collapsed="false">
      <c r="M655" s="35" t="str">
        <f aca="false">IF($A655="","",HOUR($A655))</f>
        <v/>
      </c>
      <c r="N655" s="36" t="str">
        <f aca="false">IF($A655="","",$I655*$K655)</f>
        <v/>
      </c>
      <c r="O655" s="35" t="str">
        <f aca="false">IF(OR($A655="",$C655="U",$S655&lt;&gt;Calc!$F$2),"",SUMIFS($I$3:$I$3002,$E$3:$E$3002,$E655,$C$3:$C$3002,"&lt;&gt;U",$S$3:$S$3002,Calc!$F$2))</f>
        <v/>
      </c>
      <c r="P655" s="35" t="str">
        <f aca="false">IF(OR($A655="",$C655="U",$S655&lt;&gt;Calc!$F$2),"",SUMIFS($N$3:$N$3002,$E$3:$E$3002,$E655,$C$3:$C$3002,"&lt;&gt;U",$S$3:$S$3002,Calc!$F$2))</f>
        <v/>
      </c>
      <c r="Q655" s="35" t="str">
        <f aca="false">IF(OR($A655="",$C655="U",$S655&lt;&gt;Calc!$F$2),"",IF(COUNTIFS($E$3:$E655,$E655,$C$3:$C655,"&lt;&gt;U",$S$3:$S655,Calc!$F$2)=1,1,0))</f>
        <v/>
      </c>
      <c r="R655" s="35" t="str">
        <f aca="false">IF($Q655=1,$O655-ROW()/100000,"")</f>
        <v/>
      </c>
      <c r="S655" s="37" t="str">
        <f aca="false">IF($A655="","",INT($A655))</f>
        <v/>
      </c>
      <c r="T655" s="35" t="str">
        <f aca="false">IF($A655="","",IF(COUNTIFS($S$3:$S655,$S655)=1,1,0))</f>
        <v/>
      </c>
      <c r="U655" s="37" t="str">
        <f aca="false">IF($T655=1,$S655,"")</f>
        <v/>
      </c>
    </row>
    <row r="656" customFormat="false" ht="15" hidden="false" customHeight="false" outlineLevel="0" collapsed="false">
      <c r="M656" s="35" t="str">
        <f aca="false">IF($A656="","",HOUR($A656))</f>
        <v/>
      </c>
      <c r="N656" s="36" t="str">
        <f aca="false">IF($A656="","",$I656*$K656)</f>
        <v/>
      </c>
      <c r="O656" s="35" t="str">
        <f aca="false">IF(OR($A656="",$C656="U",$S656&lt;&gt;Calc!$F$2),"",SUMIFS($I$3:$I$3002,$E$3:$E$3002,$E656,$C$3:$C$3002,"&lt;&gt;U",$S$3:$S$3002,Calc!$F$2))</f>
        <v/>
      </c>
      <c r="P656" s="35" t="str">
        <f aca="false">IF(OR($A656="",$C656="U",$S656&lt;&gt;Calc!$F$2),"",SUMIFS($N$3:$N$3002,$E$3:$E$3002,$E656,$C$3:$C$3002,"&lt;&gt;U",$S$3:$S$3002,Calc!$F$2))</f>
        <v/>
      </c>
      <c r="Q656" s="35" t="str">
        <f aca="false">IF(OR($A656="",$C656="U",$S656&lt;&gt;Calc!$F$2),"",IF(COUNTIFS($E$3:$E656,$E656,$C$3:$C656,"&lt;&gt;U",$S$3:$S656,Calc!$F$2)=1,1,0))</f>
        <v/>
      </c>
      <c r="R656" s="35" t="str">
        <f aca="false">IF($Q656=1,$O656-ROW()/100000,"")</f>
        <v/>
      </c>
      <c r="S656" s="37" t="str">
        <f aca="false">IF($A656="","",INT($A656))</f>
        <v/>
      </c>
      <c r="T656" s="35" t="str">
        <f aca="false">IF($A656="","",IF(COUNTIFS($S$3:$S656,$S656)=1,1,0))</f>
        <v/>
      </c>
      <c r="U656" s="37" t="str">
        <f aca="false">IF($T656=1,$S656,"")</f>
        <v/>
      </c>
    </row>
    <row r="657" customFormat="false" ht="15" hidden="false" customHeight="false" outlineLevel="0" collapsed="false">
      <c r="M657" s="35" t="str">
        <f aca="false">IF($A657="","",HOUR($A657))</f>
        <v/>
      </c>
      <c r="N657" s="36" t="str">
        <f aca="false">IF($A657="","",$I657*$K657)</f>
        <v/>
      </c>
      <c r="O657" s="35" t="str">
        <f aca="false">IF(OR($A657="",$C657="U",$S657&lt;&gt;Calc!$F$2),"",SUMIFS($I$3:$I$3002,$E$3:$E$3002,$E657,$C$3:$C$3002,"&lt;&gt;U",$S$3:$S$3002,Calc!$F$2))</f>
        <v/>
      </c>
      <c r="P657" s="35" t="str">
        <f aca="false">IF(OR($A657="",$C657="U",$S657&lt;&gt;Calc!$F$2),"",SUMIFS($N$3:$N$3002,$E$3:$E$3002,$E657,$C$3:$C$3002,"&lt;&gt;U",$S$3:$S$3002,Calc!$F$2))</f>
        <v/>
      </c>
      <c r="Q657" s="35" t="str">
        <f aca="false">IF(OR($A657="",$C657="U",$S657&lt;&gt;Calc!$F$2),"",IF(COUNTIFS($E$3:$E657,$E657,$C$3:$C657,"&lt;&gt;U",$S$3:$S657,Calc!$F$2)=1,1,0))</f>
        <v/>
      </c>
      <c r="R657" s="35" t="str">
        <f aca="false">IF($Q657=1,$O657-ROW()/100000,"")</f>
        <v/>
      </c>
      <c r="S657" s="37" t="str">
        <f aca="false">IF($A657="","",INT($A657))</f>
        <v/>
      </c>
      <c r="T657" s="35" t="str">
        <f aca="false">IF($A657="","",IF(COUNTIFS($S$3:$S657,$S657)=1,1,0))</f>
        <v/>
      </c>
      <c r="U657" s="37" t="str">
        <f aca="false">IF($T657=1,$S657,"")</f>
        <v/>
      </c>
    </row>
    <row r="658" customFormat="false" ht="15" hidden="false" customHeight="false" outlineLevel="0" collapsed="false">
      <c r="M658" s="35" t="str">
        <f aca="false">IF($A658="","",HOUR($A658))</f>
        <v/>
      </c>
      <c r="N658" s="36" t="str">
        <f aca="false">IF($A658="","",$I658*$K658)</f>
        <v/>
      </c>
      <c r="O658" s="35" t="str">
        <f aca="false">IF(OR($A658="",$C658="U",$S658&lt;&gt;Calc!$F$2),"",SUMIFS($I$3:$I$3002,$E$3:$E$3002,$E658,$C$3:$C$3002,"&lt;&gt;U",$S$3:$S$3002,Calc!$F$2))</f>
        <v/>
      </c>
      <c r="P658" s="35" t="str">
        <f aca="false">IF(OR($A658="",$C658="U",$S658&lt;&gt;Calc!$F$2),"",SUMIFS($N$3:$N$3002,$E$3:$E$3002,$E658,$C$3:$C$3002,"&lt;&gt;U",$S$3:$S$3002,Calc!$F$2))</f>
        <v/>
      </c>
      <c r="Q658" s="35" t="str">
        <f aca="false">IF(OR($A658="",$C658="U",$S658&lt;&gt;Calc!$F$2),"",IF(COUNTIFS($E$3:$E658,$E658,$C$3:$C658,"&lt;&gt;U",$S$3:$S658,Calc!$F$2)=1,1,0))</f>
        <v/>
      </c>
      <c r="R658" s="35" t="str">
        <f aca="false">IF($Q658=1,$O658-ROW()/100000,"")</f>
        <v/>
      </c>
      <c r="S658" s="37" t="str">
        <f aca="false">IF($A658="","",INT($A658))</f>
        <v/>
      </c>
      <c r="T658" s="35" t="str">
        <f aca="false">IF($A658="","",IF(COUNTIFS($S$3:$S658,$S658)=1,1,0))</f>
        <v/>
      </c>
      <c r="U658" s="37" t="str">
        <f aca="false">IF($T658=1,$S658,"")</f>
        <v/>
      </c>
    </row>
    <row r="659" customFormat="false" ht="15" hidden="false" customHeight="false" outlineLevel="0" collapsed="false">
      <c r="M659" s="35" t="str">
        <f aca="false">IF($A659="","",HOUR($A659))</f>
        <v/>
      </c>
      <c r="N659" s="36" t="str">
        <f aca="false">IF($A659="","",$I659*$K659)</f>
        <v/>
      </c>
      <c r="O659" s="35" t="str">
        <f aca="false">IF(OR($A659="",$C659="U",$S659&lt;&gt;Calc!$F$2),"",SUMIFS($I$3:$I$3002,$E$3:$E$3002,$E659,$C$3:$C$3002,"&lt;&gt;U",$S$3:$S$3002,Calc!$F$2))</f>
        <v/>
      </c>
      <c r="P659" s="35" t="str">
        <f aca="false">IF(OR($A659="",$C659="U",$S659&lt;&gt;Calc!$F$2),"",SUMIFS($N$3:$N$3002,$E$3:$E$3002,$E659,$C$3:$C$3002,"&lt;&gt;U",$S$3:$S$3002,Calc!$F$2))</f>
        <v/>
      </c>
      <c r="Q659" s="35" t="str">
        <f aca="false">IF(OR($A659="",$C659="U",$S659&lt;&gt;Calc!$F$2),"",IF(COUNTIFS($E$3:$E659,$E659,$C$3:$C659,"&lt;&gt;U",$S$3:$S659,Calc!$F$2)=1,1,0))</f>
        <v/>
      </c>
      <c r="R659" s="35" t="str">
        <f aca="false">IF($Q659=1,$O659-ROW()/100000,"")</f>
        <v/>
      </c>
      <c r="S659" s="37" t="str">
        <f aca="false">IF($A659="","",INT($A659))</f>
        <v/>
      </c>
      <c r="T659" s="35" t="str">
        <f aca="false">IF($A659="","",IF(COUNTIFS($S$3:$S659,$S659)=1,1,0))</f>
        <v/>
      </c>
      <c r="U659" s="37" t="str">
        <f aca="false">IF($T659=1,$S659,"")</f>
        <v/>
      </c>
    </row>
    <row r="660" customFormat="false" ht="15" hidden="false" customHeight="false" outlineLevel="0" collapsed="false">
      <c r="M660" s="35" t="str">
        <f aca="false">IF($A660="","",HOUR($A660))</f>
        <v/>
      </c>
      <c r="N660" s="36" t="str">
        <f aca="false">IF($A660="","",$I660*$K660)</f>
        <v/>
      </c>
      <c r="O660" s="35" t="str">
        <f aca="false">IF(OR($A660="",$C660="U",$S660&lt;&gt;Calc!$F$2),"",SUMIFS($I$3:$I$3002,$E$3:$E$3002,$E660,$C$3:$C$3002,"&lt;&gt;U",$S$3:$S$3002,Calc!$F$2))</f>
        <v/>
      </c>
      <c r="P660" s="35" t="str">
        <f aca="false">IF(OR($A660="",$C660="U",$S660&lt;&gt;Calc!$F$2),"",SUMIFS($N$3:$N$3002,$E$3:$E$3002,$E660,$C$3:$C$3002,"&lt;&gt;U",$S$3:$S$3002,Calc!$F$2))</f>
        <v/>
      </c>
      <c r="Q660" s="35" t="str">
        <f aca="false">IF(OR($A660="",$C660="U",$S660&lt;&gt;Calc!$F$2),"",IF(COUNTIFS($E$3:$E660,$E660,$C$3:$C660,"&lt;&gt;U",$S$3:$S660,Calc!$F$2)=1,1,0))</f>
        <v/>
      </c>
      <c r="R660" s="35" t="str">
        <f aca="false">IF($Q660=1,$O660-ROW()/100000,"")</f>
        <v/>
      </c>
      <c r="S660" s="37" t="str">
        <f aca="false">IF($A660="","",INT($A660))</f>
        <v/>
      </c>
      <c r="T660" s="35" t="str">
        <f aca="false">IF($A660="","",IF(COUNTIFS($S$3:$S660,$S660)=1,1,0))</f>
        <v/>
      </c>
      <c r="U660" s="37" t="str">
        <f aca="false">IF($T660=1,$S660,"")</f>
        <v/>
      </c>
    </row>
    <row r="661" customFormat="false" ht="15" hidden="false" customHeight="false" outlineLevel="0" collapsed="false">
      <c r="M661" s="35" t="str">
        <f aca="false">IF($A661="","",HOUR($A661))</f>
        <v/>
      </c>
      <c r="N661" s="36" t="str">
        <f aca="false">IF($A661="","",$I661*$K661)</f>
        <v/>
      </c>
      <c r="O661" s="35" t="str">
        <f aca="false">IF(OR($A661="",$C661="U",$S661&lt;&gt;Calc!$F$2),"",SUMIFS($I$3:$I$3002,$E$3:$E$3002,$E661,$C$3:$C$3002,"&lt;&gt;U",$S$3:$S$3002,Calc!$F$2))</f>
        <v/>
      </c>
      <c r="P661" s="35" t="str">
        <f aca="false">IF(OR($A661="",$C661="U",$S661&lt;&gt;Calc!$F$2),"",SUMIFS($N$3:$N$3002,$E$3:$E$3002,$E661,$C$3:$C$3002,"&lt;&gt;U",$S$3:$S$3002,Calc!$F$2))</f>
        <v/>
      </c>
      <c r="Q661" s="35" t="str">
        <f aca="false">IF(OR($A661="",$C661="U",$S661&lt;&gt;Calc!$F$2),"",IF(COUNTIFS($E$3:$E661,$E661,$C$3:$C661,"&lt;&gt;U",$S$3:$S661,Calc!$F$2)=1,1,0))</f>
        <v/>
      </c>
      <c r="R661" s="35" t="str">
        <f aca="false">IF($Q661=1,$O661-ROW()/100000,"")</f>
        <v/>
      </c>
      <c r="S661" s="37" t="str">
        <f aca="false">IF($A661="","",INT($A661))</f>
        <v/>
      </c>
      <c r="T661" s="35" t="str">
        <f aca="false">IF($A661="","",IF(COUNTIFS($S$3:$S661,$S661)=1,1,0))</f>
        <v/>
      </c>
      <c r="U661" s="37" t="str">
        <f aca="false">IF($T661=1,$S661,"")</f>
        <v/>
      </c>
    </row>
    <row r="662" customFormat="false" ht="15" hidden="false" customHeight="false" outlineLevel="0" collapsed="false">
      <c r="M662" s="35" t="str">
        <f aca="false">IF($A662="","",HOUR($A662))</f>
        <v/>
      </c>
      <c r="N662" s="36" t="str">
        <f aca="false">IF($A662="","",$I662*$K662)</f>
        <v/>
      </c>
      <c r="O662" s="35" t="str">
        <f aca="false">IF(OR($A662="",$C662="U",$S662&lt;&gt;Calc!$F$2),"",SUMIFS($I$3:$I$3002,$E$3:$E$3002,$E662,$C$3:$C$3002,"&lt;&gt;U",$S$3:$S$3002,Calc!$F$2))</f>
        <v/>
      </c>
      <c r="P662" s="35" t="str">
        <f aca="false">IF(OR($A662="",$C662="U",$S662&lt;&gt;Calc!$F$2),"",SUMIFS($N$3:$N$3002,$E$3:$E$3002,$E662,$C$3:$C$3002,"&lt;&gt;U",$S$3:$S$3002,Calc!$F$2))</f>
        <v/>
      </c>
      <c r="Q662" s="35" t="str">
        <f aca="false">IF(OR($A662="",$C662="U",$S662&lt;&gt;Calc!$F$2),"",IF(COUNTIFS($E$3:$E662,$E662,$C$3:$C662,"&lt;&gt;U",$S$3:$S662,Calc!$F$2)=1,1,0))</f>
        <v/>
      </c>
      <c r="R662" s="35" t="str">
        <f aca="false">IF($Q662=1,$O662-ROW()/100000,"")</f>
        <v/>
      </c>
      <c r="S662" s="37" t="str">
        <f aca="false">IF($A662="","",INT($A662))</f>
        <v/>
      </c>
      <c r="T662" s="35" t="str">
        <f aca="false">IF($A662="","",IF(COUNTIFS($S$3:$S662,$S662)=1,1,0))</f>
        <v/>
      </c>
      <c r="U662" s="37" t="str">
        <f aca="false">IF($T662=1,$S662,"")</f>
        <v/>
      </c>
    </row>
    <row r="663" customFormat="false" ht="15" hidden="false" customHeight="false" outlineLevel="0" collapsed="false">
      <c r="M663" s="35" t="str">
        <f aca="false">IF($A663="","",HOUR($A663))</f>
        <v/>
      </c>
      <c r="N663" s="36" t="str">
        <f aca="false">IF($A663="","",$I663*$K663)</f>
        <v/>
      </c>
      <c r="O663" s="35" t="str">
        <f aca="false">IF(OR($A663="",$C663="U",$S663&lt;&gt;Calc!$F$2),"",SUMIFS($I$3:$I$3002,$E$3:$E$3002,$E663,$C$3:$C$3002,"&lt;&gt;U",$S$3:$S$3002,Calc!$F$2))</f>
        <v/>
      </c>
      <c r="P663" s="35" t="str">
        <f aca="false">IF(OR($A663="",$C663="U",$S663&lt;&gt;Calc!$F$2),"",SUMIFS($N$3:$N$3002,$E$3:$E$3002,$E663,$C$3:$C$3002,"&lt;&gt;U",$S$3:$S$3002,Calc!$F$2))</f>
        <v/>
      </c>
      <c r="Q663" s="35" t="str">
        <f aca="false">IF(OR($A663="",$C663="U",$S663&lt;&gt;Calc!$F$2),"",IF(COUNTIFS($E$3:$E663,$E663,$C$3:$C663,"&lt;&gt;U",$S$3:$S663,Calc!$F$2)=1,1,0))</f>
        <v/>
      </c>
      <c r="R663" s="35" t="str">
        <f aca="false">IF($Q663=1,$O663-ROW()/100000,"")</f>
        <v/>
      </c>
      <c r="S663" s="37" t="str">
        <f aca="false">IF($A663="","",INT($A663))</f>
        <v/>
      </c>
      <c r="T663" s="35" t="str">
        <f aca="false">IF($A663="","",IF(COUNTIFS($S$3:$S663,$S663)=1,1,0))</f>
        <v/>
      </c>
      <c r="U663" s="37" t="str">
        <f aca="false">IF($T663=1,$S663,"")</f>
        <v/>
      </c>
    </row>
    <row r="664" customFormat="false" ht="15" hidden="false" customHeight="false" outlineLevel="0" collapsed="false">
      <c r="M664" s="35" t="str">
        <f aca="false">IF($A664="","",HOUR($A664))</f>
        <v/>
      </c>
      <c r="N664" s="36" t="str">
        <f aca="false">IF($A664="","",$I664*$K664)</f>
        <v/>
      </c>
      <c r="O664" s="35" t="str">
        <f aca="false">IF(OR($A664="",$C664="U",$S664&lt;&gt;Calc!$F$2),"",SUMIFS($I$3:$I$3002,$E$3:$E$3002,$E664,$C$3:$C$3002,"&lt;&gt;U",$S$3:$S$3002,Calc!$F$2))</f>
        <v/>
      </c>
      <c r="P664" s="35" t="str">
        <f aca="false">IF(OR($A664="",$C664="U",$S664&lt;&gt;Calc!$F$2),"",SUMIFS($N$3:$N$3002,$E$3:$E$3002,$E664,$C$3:$C$3002,"&lt;&gt;U",$S$3:$S$3002,Calc!$F$2))</f>
        <v/>
      </c>
      <c r="Q664" s="35" t="str">
        <f aca="false">IF(OR($A664="",$C664="U",$S664&lt;&gt;Calc!$F$2),"",IF(COUNTIFS($E$3:$E664,$E664,$C$3:$C664,"&lt;&gt;U",$S$3:$S664,Calc!$F$2)=1,1,0))</f>
        <v/>
      </c>
      <c r="R664" s="35" t="str">
        <f aca="false">IF($Q664=1,$O664-ROW()/100000,"")</f>
        <v/>
      </c>
      <c r="S664" s="37" t="str">
        <f aca="false">IF($A664="","",INT($A664))</f>
        <v/>
      </c>
      <c r="T664" s="35" t="str">
        <f aca="false">IF($A664="","",IF(COUNTIFS($S$3:$S664,$S664)=1,1,0))</f>
        <v/>
      </c>
      <c r="U664" s="37" t="str">
        <f aca="false">IF($T664=1,$S664,"")</f>
        <v/>
      </c>
    </row>
    <row r="665" customFormat="false" ht="15" hidden="false" customHeight="false" outlineLevel="0" collapsed="false">
      <c r="M665" s="35" t="str">
        <f aca="false">IF($A665="","",HOUR($A665))</f>
        <v/>
      </c>
      <c r="N665" s="36" t="str">
        <f aca="false">IF($A665="","",$I665*$K665)</f>
        <v/>
      </c>
      <c r="O665" s="35" t="str">
        <f aca="false">IF(OR($A665="",$C665="U",$S665&lt;&gt;Calc!$F$2),"",SUMIFS($I$3:$I$3002,$E$3:$E$3002,$E665,$C$3:$C$3002,"&lt;&gt;U",$S$3:$S$3002,Calc!$F$2))</f>
        <v/>
      </c>
      <c r="P665" s="35" t="str">
        <f aca="false">IF(OR($A665="",$C665="U",$S665&lt;&gt;Calc!$F$2),"",SUMIFS($N$3:$N$3002,$E$3:$E$3002,$E665,$C$3:$C$3002,"&lt;&gt;U",$S$3:$S$3002,Calc!$F$2))</f>
        <v/>
      </c>
      <c r="Q665" s="35" t="str">
        <f aca="false">IF(OR($A665="",$C665="U",$S665&lt;&gt;Calc!$F$2),"",IF(COUNTIFS($E$3:$E665,$E665,$C$3:$C665,"&lt;&gt;U",$S$3:$S665,Calc!$F$2)=1,1,0))</f>
        <v/>
      </c>
      <c r="R665" s="35" t="str">
        <f aca="false">IF($Q665=1,$O665-ROW()/100000,"")</f>
        <v/>
      </c>
      <c r="S665" s="37" t="str">
        <f aca="false">IF($A665="","",INT($A665))</f>
        <v/>
      </c>
      <c r="T665" s="35" t="str">
        <f aca="false">IF($A665="","",IF(COUNTIFS($S$3:$S665,$S665)=1,1,0))</f>
        <v/>
      </c>
      <c r="U665" s="37" t="str">
        <f aca="false">IF($T665=1,$S665,"")</f>
        <v/>
      </c>
    </row>
    <row r="666" customFormat="false" ht="15" hidden="false" customHeight="false" outlineLevel="0" collapsed="false">
      <c r="M666" s="35" t="str">
        <f aca="false">IF($A666="","",HOUR($A666))</f>
        <v/>
      </c>
      <c r="N666" s="36" t="str">
        <f aca="false">IF($A666="","",$I666*$K666)</f>
        <v/>
      </c>
      <c r="O666" s="35" t="str">
        <f aca="false">IF(OR($A666="",$C666="U",$S666&lt;&gt;Calc!$F$2),"",SUMIFS($I$3:$I$3002,$E$3:$E$3002,$E666,$C$3:$C$3002,"&lt;&gt;U",$S$3:$S$3002,Calc!$F$2))</f>
        <v/>
      </c>
      <c r="P666" s="35" t="str">
        <f aca="false">IF(OR($A666="",$C666="U",$S666&lt;&gt;Calc!$F$2),"",SUMIFS($N$3:$N$3002,$E$3:$E$3002,$E666,$C$3:$C$3002,"&lt;&gt;U",$S$3:$S$3002,Calc!$F$2))</f>
        <v/>
      </c>
      <c r="Q666" s="35" t="str">
        <f aca="false">IF(OR($A666="",$C666="U",$S666&lt;&gt;Calc!$F$2),"",IF(COUNTIFS($E$3:$E666,$E666,$C$3:$C666,"&lt;&gt;U",$S$3:$S666,Calc!$F$2)=1,1,0))</f>
        <v/>
      </c>
      <c r="R666" s="35" t="str">
        <f aca="false">IF($Q666=1,$O666-ROW()/100000,"")</f>
        <v/>
      </c>
      <c r="S666" s="37" t="str">
        <f aca="false">IF($A666="","",INT($A666))</f>
        <v/>
      </c>
      <c r="T666" s="35" t="str">
        <f aca="false">IF($A666="","",IF(COUNTIFS($S$3:$S666,$S666)=1,1,0))</f>
        <v/>
      </c>
      <c r="U666" s="37" t="str">
        <f aca="false">IF($T666=1,$S666,"")</f>
        <v/>
      </c>
    </row>
    <row r="667" customFormat="false" ht="15" hidden="false" customHeight="false" outlineLevel="0" collapsed="false">
      <c r="M667" s="35" t="str">
        <f aca="false">IF($A667="","",HOUR($A667))</f>
        <v/>
      </c>
      <c r="N667" s="36" t="str">
        <f aca="false">IF($A667="","",$I667*$K667)</f>
        <v/>
      </c>
      <c r="O667" s="35" t="str">
        <f aca="false">IF(OR($A667="",$C667="U",$S667&lt;&gt;Calc!$F$2),"",SUMIFS($I$3:$I$3002,$E$3:$E$3002,$E667,$C$3:$C$3002,"&lt;&gt;U",$S$3:$S$3002,Calc!$F$2))</f>
        <v/>
      </c>
      <c r="P667" s="35" t="str">
        <f aca="false">IF(OR($A667="",$C667="U",$S667&lt;&gt;Calc!$F$2),"",SUMIFS($N$3:$N$3002,$E$3:$E$3002,$E667,$C$3:$C$3002,"&lt;&gt;U",$S$3:$S$3002,Calc!$F$2))</f>
        <v/>
      </c>
      <c r="Q667" s="35" t="str">
        <f aca="false">IF(OR($A667="",$C667="U",$S667&lt;&gt;Calc!$F$2),"",IF(COUNTIFS($E$3:$E667,$E667,$C$3:$C667,"&lt;&gt;U",$S$3:$S667,Calc!$F$2)=1,1,0))</f>
        <v/>
      </c>
      <c r="R667" s="35" t="str">
        <f aca="false">IF($Q667=1,$O667-ROW()/100000,"")</f>
        <v/>
      </c>
      <c r="S667" s="37" t="str">
        <f aca="false">IF($A667="","",INT($A667))</f>
        <v/>
      </c>
      <c r="T667" s="35" t="str">
        <f aca="false">IF($A667="","",IF(COUNTIFS($S$3:$S667,$S667)=1,1,0))</f>
        <v/>
      </c>
      <c r="U667" s="37" t="str">
        <f aca="false">IF($T667=1,$S667,"")</f>
        <v/>
      </c>
    </row>
    <row r="668" customFormat="false" ht="15" hidden="false" customHeight="false" outlineLevel="0" collapsed="false">
      <c r="M668" s="35" t="str">
        <f aca="false">IF($A668="","",HOUR($A668))</f>
        <v/>
      </c>
      <c r="N668" s="36" t="str">
        <f aca="false">IF($A668="","",$I668*$K668)</f>
        <v/>
      </c>
      <c r="O668" s="35" t="str">
        <f aca="false">IF(OR($A668="",$C668="U",$S668&lt;&gt;Calc!$F$2),"",SUMIFS($I$3:$I$3002,$E$3:$E$3002,$E668,$C$3:$C$3002,"&lt;&gt;U",$S$3:$S$3002,Calc!$F$2))</f>
        <v/>
      </c>
      <c r="P668" s="35" t="str">
        <f aca="false">IF(OR($A668="",$C668="U",$S668&lt;&gt;Calc!$F$2),"",SUMIFS($N$3:$N$3002,$E$3:$E$3002,$E668,$C$3:$C$3002,"&lt;&gt;U",$S$3:$S$3002,Calc!$F$2))</f>
        <v/>
      </c>
      <c r="Q668" s="35" t="str">
        <f aca="false">IF(OR($A668="",$C668="U",$S668&lt;&gt;Calc!$F$2),"",IF(COUNTIFS($E$3:$E668,$E668,$C$3:$C668,"&lt;&gt;U",$S$3:$S668,Calc!$F$2)=1,1,0))</f>
        <v/>
      </c>
      <c r="R668" s="35" t="str">
        <f aca="false">IF($Q668=1,$O668-ROW()/100000,"")</f>
        <v/>
      </c>
      <c r="S668" s="37" t="str">
        <f aca="false">IF($A668="","",INT($A668))</f>
        <v/>
      </c>
      <c r="T668" s="35" t="str">
        <f aca="false">IF($A668="","",IF(COUNTIFS($S$3:$S668,$S668)=1,1,0))</f>
        <v/>
      </c>
      <c r="U668" s="37" t="str">
        <f aca="false">IF($T668=1,$S668,"")</f>
        <v/>
      </c>
    </row>
    <row r="669" customFormat="false" ht="15" hidden="false" customHeight="false" outlineLevel="0" collapsed="false">
      <c r="M669" s="35" t="str">
        <f aca="false">IF($A669="","",HOUR($A669))</f>
        <v/>
      </c>
      <c r="N669" s="36" t="str">
        <f aca="false">IF($A669="","",$I669*$K669)</f>
        <v/>
      </c>
      <c r="O669" s="35" t="str">
        <f aca="false">IF(OR($A669="",$C669="U",$S669&lt;&gt;Calc!$F$2),"",SUMIFS($I$3:$I$3002,$E$3:$E$3002,$E669,$C$3:$C$3002,"&lt;&gt;U",$S$3:$S$3002,Calc!$F$2))</f>
        <v/>
      </c>
      <c r="P669" s="35" t="str">
        <f aca="false">IF(OR($A669="",$C669="U",$S669&lt;&gt;Calc!$F$2),"",SUMIFS($N$3:$N$3002,$E$3:$E$3002,$E669,$C$3:$C$3002,"&lt;&gt;U",$S$3:$S$3002,Calc!$F$2))</f>
        <v/>
      </c>
      <c r="Q669" s="35" t="str">
        <f aca="false">IF(OR($A669="",$C669="U",$S669&lt;&gt;Calc!$F$2),"",IF(COUNTIFS($E$3:$E669,$E669,$C$3:$C669,"&lt;&gt;U",$S$3:$S669,Calc!$F$2)=1,1,0))</f>
        <v/>
      </c>
      <c r="R669" s="35" t="str">
        <f aca="false">IF($Q669=1,$O669-ROW()/100000,"")</f>
        <v/>
      </c>
      <c r="S669" s="37" t="str">
        <f aca="false">IF($A669="","",INT($A669))</f>
        <v/>
      </c>
      <c r="T669" s="35" t="str">
        <f aca="false">IF($A669="","",IF(COUNTIFS($S$3:$S669,$S669)=1,1,0))</f>
        <v/>
      </c>
      <c r="U669" s="37" t="str">
        <f aca="false">IF($T669=1,$S669,"")</f>
        <v/>
      </c>
    </row>
    <row r="670" customFormat="false" ht="15" hidden="false" customHeight="false" outlineLevel="0" collapsed="false">
      <c r="M670" s="35" t="str">
        <f aca="false">IF($A670="","",HOUR($A670))</f>
        <v/>
      </c>
      <c r="N670" s="36" t="str">
        <f aca="false">IF($A670="","",$I670*$K670)</f>
        <v/>
      </c>
      <c r="O670" s="35" t="str">
        <f aca="false">IF(OR($A670="",$C670="U",$S670&lt;&gt;Calc!$F$2),"",SUMIFS($I$3:$I$3002,$E$3:$E$3002,$E670,$C$3:$C$3002,"&lt;&gt;U",$S$3:$S$3002,Calc!$F$2))</f>
        <v/>
      </c>
      <c r="P670" s="35" t="str">
        <f aca="false">IF(OR($A670="",$C670="U",$S670&lt;&gt;Calc!$F$2),"",SUMIFS($N$3:$N$3002,$E$3:$E$3002,$E670,$C$3:$C$3002,"&lt;&gt;U",$S$3:$S$3002,Calc!$F$2))</f>
        <v/>
      </c>
      <c r="Q670" s="35" t="str">
        <f aca="false">IF(OR($A670="",$C670="U",$S670&lt;&gt;Calc!$F$2),"",IF(COUNTIFS($E$3:$E670,$E670,$C$3:$C670,"&lt;&gt;U",$S$3:$S670,Calc!$F$2)=1,1,0))</f>
        <v/>
      </c>
      <c r="R670" s="35" t="str">
        <f aca="false">IF($Q670=1,$O670-ROW()/100000,"")</f>
        <v/>
      </c>
      <c r="S670" s="37" t="str">
        <f aca="false">IF($A670="","",INT($A670))</f>
        <v/>
      </c>
      <c r="T670" s="35" t="str">
        <f aca="false">IF($A670="","",IF(COUNTIFS($S$3:$S670,$S670)=1,1,0))</f>
        <v/>
      </c>
      <c r="U670" s="37" t="str">
        <f aca="false">IF($T670=1,$S670,"")</f>
        <v/>
      </c>
    </row>
    <row r="671" customFormat="false" ht="15" hidden="false" customHeight="false" outlineLevel="0" collapsed="false">
      <c r="M671" s="35" t="str">
        <f aca="false">IF($A671="","",HOUR($A671))</f>
        <v/>
      </c>
      <c r="N671" s="36" t="str">
        <f aca="false">IF($A671="","",$I671*$K671)</f>
        <v/>
      </c>
      <c r="O671" s="35" t="str">
        <f aca="false">IF(OR($A671="",$C671="U",$S671&lt;&gt;Calc!$F$2),"",SUMIFS($I$3:$I$3002,$E$3:$E$3002,$E671,$C$3:$C$3002,"&lt;&gt;U",$S$3:$S$3002,Calc!$F$2))</f>
        <v/>
      </c>
      <c r="P671" s="35" t="str">
        <f aca="false">IF(OR($A671="",$C671="U",$S671&lt;&gt;Calc!$F$2),"",SUMIFS($N$3:$N$3002,$E$3:$E$3002,$E671,$C$3:$C$3002,"&lt;&gt;U",$S$3:$S$3002,Calc!$F$2))</f>
        <v/>
      </c>
      <c r="Q671" s="35" t="str">
        <f aca="false">IF(OR($A671="",$C671="U",$S671&lt;&gt;Calc!$F$2),"",IF(COUNTIFS($E$3:$E671,$E671,$C$3:$C671,"&lt;&gt;U",$S$3:$S671,Calc!$F$2)=1,1,0))</f>
        <v/>
      </c>
      <c r="R671" s="35" t="str">
        <f aca="false">IF($Q671=1,$O671-ROW()/100000,"")</f>
        <v/>
      </c>
      <c r="S671" s="37" t="str">
        <f aca="false">IF($A671="","",INT($A671))</f>
        <v/>
      </c>
      <c r="T671" s="35" t="str">
        <f aca="false">IF($A671="","",IF(COUNTIFS($S$3:$S671,$S671)=1,1,0))</f>
        <v/>
      </c>
      <c r="U671" s="37" t="str">
        <f aca="false">IF($T671=1,$S671,"")</f>
        <v/>
      </c>
    </row>
    <row r="672" customFormat="false" ht="15" hidden="false" customHeight="false" outlineLevel="0" collapsed="false">
      <c r="M672" s="35" t="str">
        <f aca="false">IF($A672="","",HOUR($A672))</f>
        <v/>
      </c>
      <c r="N672" s="36" t="str">
        <f aca="false">IF($A672="","",$I672*$K672)</f>
        <v/>
      </c>
      <c r="O672" s="35" t="str">
        <f aca="false">IF(OR($A672="",$C672="U",$S672&lt;&gt;Calc!$F$2),"",SUMIFS($I$3:$I$3002,$E$3:$E$3002,$E672,$C$3:$C$3002,"&lt;&gt;U",$S$3:$S$3002,Calc!$F$2))</f>
        <v/>
      </c>
      <c r="P672" s="35" t="str">
        <f aca="false">IF(OR($A672="",$C672="U",$S672&lt;&gt;Calc!$F$2),"",SUMIFS($N$3:$N$3002,$E$3:$E$3002,$E672,$C$3:$C$3002,"&lt;&gt;U",$S$3:$S$3002,Calc!$F$2))</f>
        <v/>
      </c>
      <c r="Q672" s="35" t="str">
        <f aca="false">IF(OR($A672="",$C672="U",$S672&lt;&gt;Calc!$F$2),"",IF(COUNTIFS($E$3:$E672,$E672,$C$3:$C672,"&lt;&gt;U",$S$3:$S672,Calc!$F$2)=1,1,0))</f>
        <v/>
      </c>
      <c r="R672" s="35" t="str">
        <f aca="false">IF($Q672=1,$O672-ROW()/100000,"")</f>
        <v/>
      </c>
      <c r="S672" s="37" t="str">
        <f aca="false">IF($A672="","",INT($A672))</f>
        <v/>
      </c>
      <c r="T672" s="35" t="str">
        <f aca="false">IF($A672="","",IF(COUNTIFS($S$3:$S672,$S672)=1,1,0))</f>
        <v/>
      </c>
      <c r="U672" s="37" t="str">
        <f aca="false">IF($T672=1,$S672,"")</f>
        <v/>
      </c>
    </row>
    <row r="673" customFormat="false" ht="15" hidden="false" customHeight="false" outlineLevel="0" collapsed="false">
      <c r="M673" s="35" t="str">
        <f aca="false">IF($A673="","",HOUR($A673))</f>
        <v/>
      </c>
      <c r="N673" s="36" t="str">
        <f aca="false">IF($A673="","",$I673*$K673)</f>
        <v/>
      </c>
      <c r="O673" s="35" t="str">
        <f aca="false">IF(OR($A673="",$C673="U",$S673&lt;&gt;Calc!$F$2),"",SUMIFS($I$3:$I$3002,$E$3:$E$3002,$E673,$C$3:$C$3002,"&lt;&gt;U",$S$3:$S$3002,Calc!$F$2))</f>
        <v/>
      </c>
      <c r="P673" s="35" t="str">
        <f aca="false">IF(OR($A673="",$C673="U",$S673&lt;&gt;Calc!$F$2),"",SUMIFS($N$3:$N$3002,$E$3:$E$3002,$E673,$C$3:$C$3002,"&lt;&gt;U",$S$3:$S$3002,Calc!$F$2))</f>
        <v/>
      </c>
      <c r="Q673" s="35" t="str">
        <f aca="false">IF(OR($A673="",$C673="U",$S673&lt;&gt;Calc!$F$2),"",IF(COUNTIFS($E$3:$E673,$E673,$C$3:$C673,"&lt;&gt;U",$S$3:$S673,Calc!$F$2)=1,1,0))</f>
        <v/>
      </c>
      <c r="R673" s="35" t="str">
        <f aca="false">IF($Q673=1,$O673-ROW()/100000,"")</f>
        <v/>
      </c>
      <c r="S673" s="37" t="str">
        <f aca="false">IF($A673="","",INT($A673))</f>
        <v/>
      </c>
      <c r="T673" s="35" t="str">
        <f aca="false">IF($A673="","",IF(COUNTIFS($S$3:$S673,$S673)=1,1,0))</f>
        <v/>
      </c>
      <c r="U673" s="37" t="str">
        <f aca="false">IF($T673=1,$S673,"")</f>
        <v/>
      </c>
    </row>
    <row r="674" customFormat="false" ht="15" hidden="false" customHeight="false" outlineLevel="0" collapsed="false">
      <c r="M674" s="35" t="str">
        <f aca="false">IF($A674="","",HOUR($A674))</f>
        <v/>
      </c>
      <c r="N674" s="36" t="str">
        <f aca="false">IF($A674="","",$I674*$K674)</f>
        <v/>
      </c>
      <c r="O674" s="35" t="str">
        <f aca="false">IF(OR($A674="",$C674="U",$S674&lt;&gt;Calc!$F$2),"",SUMIFS($I$3:$I$3002,$E$3:$E$3002,$E674,$C$3:$C$3002,"&lt;&gt;U",$S$3:$S$3002,Calc!$F$2))</f>
        <v/>
      </c>
      <c r="P674" s="35" t="str">
        <f aca="false">IF(OR($A674="",$C674="U",$S674&lt;&gt;Calc!$F$2),"",SUMIFS($N$3:$N$3002,$E$3:$E$3002,$E674,$C$3:$C$3002,"&lt;&gt;U",$S$3:$S$3002,Calc!$F$2))</f>
        <v/>
      </c>
      <c r="Q674" s="35" t="str">
        <f aca="false">IF(OR($A674="",$C674="U",$S674&lt;&gt;Calc!$F$2),"",IF(COUNTIFS($E$3:$E674,$E674,$C$3:$C674,"&lt;&gt;U",$S$3:$S674,Calc!$F$2)=1,1,0))</f>
        <v/>
      </c>
      <c r="R674" s="35" t="str">
        <f aca="false">IF($Q674=1,$O674-ROW()/100000,"")</f>
        <v/>
      </c>
      <c r="S674" s="37" t="str">
        <f aca="false">IF($A674="","",INT($A674))</f>
        <v/>
      </c>
      <c r="T674" s="35" t="str">
        <f aca="false">IF($A674="","",IF(COUNTIFS($S$3:$S674,$S674)=1,1,0))</f>
        <v/>
      </c>
      <c r="U674" s="37" t="str">
        <f aca="false">IF($T674=1,$S674,"")</f>
        <v/>
      </c>
    </row>
    <row r="675" customFormat="false" ht="15" hidden="false" customHeight="false" outlineLevel="0" collapsed="false">
      <c r="M675" s="35" t="str">
        <f aca="false">IF($A675="","",HOUR($A675))</f>
        <v/>
      </c>
      <c r="N675" s="36" t="str">
        <f aca="false">IF($A675="","",$I675*$K675)</f>
        <v/>
      </c>
      <c r="O675" s="35" t="str">
        <f aca="false">IF(OR($A675="",$C675="U",$S675&lt;&gt;Calc!$F$2),"",SUMIFS($I$3:$I$3002,$E$3:$E$3002,$E675,$C$3:$C$3002,"&lt;&gt;U",$S$3:$S$3002,Calc!$F$2))</f>
        <v/>
      </c>
      <c r="P675" s="35" t="str">
        <f aca="false">IF(OR($A675="",$C675="U",$S675&lt;&gt;Calc!$F$2),"",SUMIFS($N$3:$N$3002,$E$3:$E$3002,$E675,$C$3:$C$3002,"&lt;&gt;U",$S$3:$S$3002,Calc!$F$2))</f>
        <v/>
      </c>
      <c r="Q675" s="35" t="str">
        <f aca="false">IF(OR($A675="",$C675="U",$S675&lt;&gt;Calc!$F$2),"",IF(COUNTIFS($E$3:$E675,$E675,$C$3:$C675,"&lt;&gt;U",$S$3:$S675,Calc!$F$2)=1,1,0))</f>
        <v/>
      </c>
      <c r="R675" s="35" t="str">
        <f aca="false">IF($Q675=1,$O675-ROW()/100000,"")</f>
        <v/>
      </c>
      <c r="S675" s="37" t="str">
        <f aca="false">IF($A675="","",INT($A675))</f>
        <v/>
      </c>
      <c r="T675" s="35" t="str">
        <f aca="false">IF($A675="","",IF(COUNTIFS($S$3:$S675,$S675)=1,1,0))</f>
        <v/>
      </c>
      <c r="U675" s="37" t="str">
        <f aca="false">IF($T675=1,$S675,"")</f>
        <v/>
      </c>
    </row>
    <row r="676" customFormat="false" ht="15" hidden="false" customHeight="false" outlineLevel="0" collapsed="false">
      <c r="M676" s="35" t="str">
        <f aca="false">IF($A676="","",HOUR($A676))</f>
        <v/>
      </c>
      <c r="N676" s="36" t="str">
        <f aca="false">IF($A676="","",$I676*$K676)</f>
        <v/>
      </c>
      <c r="O676" s="35" t="str">
        <f aca="false">IF(OR($A676="",$C676="U",$S676&lt;&gt;Calc!$F$2),"",SUMIFS($I$3:$I$3002,$E$3:$E$3002,$E676,$C$3:$C$3002,"&lt;&gt;U",$S$3:$S$3002,Calc!$F$2))</f>
        <v/>
      </c>
      <c r="P676" s="35" t="str">
        <f aca="false">IF(OR($A676="",$C676="U",$S676&lt;&gt;Calc!$F$2),"",SUMIFS($N$3:$N$3002,$E$3:$E$3002,$E676,$C$3:$C$3002,"&lt;&gt;U",$S$3:$S$3002,Calc!$F$2))</f>
        <v/>
      </c>
      <c r="Q676" s="35" t="str">
        <f aca="false">IF(OR($A676="",$C676="U",$S676&lt;&gt;Calc!$F$2),"",IF(COUNTIFS($E$3:$E676,$E676,$C$3:$C676,"&lt;&gt;U",$S$3:$S676,Calc!$F$2)=1,1,0))</f>
        <v/>
      </c>
      <c r="R676" s="35" t="str">
        <f aca="false">IF($Q676=1,$O676-ROW()/100000,"")</f>
        <v/>
      </c>
      <c r="S676" s="37" t="str">
        <f aca="false">IF($A676="","",INT($A676))</f>
        <v/>
      </c>
      <c r="T676" s="35" t="str">
        <f aca="false">IF($A676="","",IF(COUNTIFS($S$3:$S676,$S676)=1,1,0))</f>
        <v/>
      </c>
      <c r="U676" s="37" t="str">
        <f aca="false">IF($T676=1,$S676,"")</f>
        <v/>
      </c>
    </row>
    <row r="677" customFormat="false" ht="15" hidden="false" customHeight="false" outlineLevel="0" collapsed="false">
      <c r="M677" s="35" t="str">
        <f aca="false">IF($A677="","",HOUR($A677))</f>
        <v/>
      </c>
      <c r="N677" s="36" t="str">
        <f aca="false">IF($A677="","",$I677*$K677)</f>
        <v/>
      </c>
      <c r="O677" s="35" t="str">
        <f aca="false">IF(OR($A677="",$C677="U",$S677&lt;&gt;Calc!$F$2),"",SUMIFS($I$3:$I$3002,$E$3:$E$3002,$E677,$C$3:$C$3002,"&lt;&gt;U",$S$3:$S$3002,Calc!$F$2))</f>
        <v/>
      </c>
      <c r="P677" s="35" t="str">
        <f aca="false">IF(OR($A677="",$C677="U",$S677&lt;&gt;Calc!$F$2),"",SUMIFS($N$3:$N$3002,$E$3:$E$3002,$E677,$C$3:$C$3002,"&lt;&gt;U",$S$3:$S$3002,Calc!$F$2))</f>
        <v/>
      </c>
      <c r="Q677" s="35" t="str">
        <f aca="false">IF(OR($A677="",$C677="U",$S677&lt;&gt;Calc!$F$2),"",IF(COUNTIFS($E$3:$E677,$E677,$C$3:$C677,"&lt;&gt;U",$S$3:$S677,Calc!$F$2)=1,1,0))</f>
        <v/>
      </c>
      <c r="R677" s="35" t="str">
        <f aca="false">IF($Q677=1,$O677-ROW()/100000,"")</f>
        <v/>
      </c>
      <c r="S677" s="37" t="str">
        <f aca="false">IF($A677="","",INT($A677))</f>
        <v/>
      </c>
      <c r="T677" s="35" t="str">
        <f aca="false">IF($A677="","",IF(COUNTIFS($S$3:$S677,$S677)=1,1,0))</f>
        <v/>
      </c>
      <c r="U677" s="37" t="str">
        <f aca="false">IF($T677=1,$S677,"")</f>
        <v/>
      </c>
    </row>
    <row r="678" customFormat="false" ht="15" hidden="false" customHeight="false" outlineLevel="0" collapsed="false">
      <c r="M678" s="35" t="str">
        <f aca="false">IF($A678="","",HOUR($A678))</f>
        <v/>
      </c>
      <c r="N678" s="36" t="str">
        <f aca="false">IF($A678="","",$I678*$K678)</f>
        <v/>
      </c>
      <c r="O678" s="35" t="str">
        <f aca="false">IF(OR($A678="",$C678="U",$S678&lt;&gt;Calc!$F$2),"",SUMIFS($I$3:$I$3002,$E$3:$E$3002,$E678,$C$3:$C$3002,"&lt;&gt;U",$S$3:$S$3002,Calc!$F$2))</f>
        <v/>
      </c>
      <c r="P678" s="35" t="str">
        <f aca="false">IF(OR($A678="",$C678="U",$S678&lt;&gt;Calc!$F$2),"",SUMIFS($N$3:$N$3002,$E$3:$E$3002,$E678,$C$3:$C$3002,"&lt;&gt;U",$S$3:$S$3002,Calc!$F$2))</f>
        <v/>
      </c>
      <c r="Q678" s="35" t="str">
        <f aca="false">IF(OR($A678="",$C678="U",$S678&lt;&gt;Calc!$F$2),"",IF(COUNTIFS($E$3:$E678,$E678,$C$3:$C678,"&lt;&gt;U",$S$3:$S678,Calc!$F$2)=1,1,0))</f>
        <v/>
      </c>
      <c r="R678" s="35" t="str">
        <f aca="false">IF($Q678=1,$O678-ROW()/100000,"")</f>
        <v/>
      </c>
      <c r="S678" s="37" t="str">
        <f aca="false">IF($A678="","",INT($A678))</f>
        <v/>
      </c>
      <c r="T678" s="35" t="str">
        <f aca="false">IF($A678="","",IF(COUNTIFS($S$3:$S678,$S678)=1,1,0))</f>
        <v/>
      </c>
      <c r="U678" s="37" t="str">
        <f aca="false">IF($T678=1,$S678,"")</f>
        <v/>
      </c>
    </row>
    <row r="679" customFormat="false" ht="15" hidden="false" customHeight="false" outlineLevel="0" collapsed="false">
      <c r="M679" s="35" t="str">
        <f aca="false">IF($A679="","",HOUR($A679))</f>
        <v/>
      </c>
      <c r="N679" s="36" t="str">
        <f aca="false">IF($A679="","",$I679*$K679)</f>
        <v/>
      </c>
      <c r="O679" s="35" t="str">
        <f aca="false">IF(OR($A679="",$C679="U",$S679&lt;&gt;Calc!$F$2),"",SUMIFS($I$3:$I$3002,$E$3:$E$3002,$E679,$C$3:$C$3002,"&lt;&gt;U",$S$3:$S$3002,Calc!$F$2))</f>
        <v/>
      </c>
      <c r="P679" s="35" t="str">
        <f aca="false">IF(OR($A679="",$C679="U",$S679&lt;&gt;Calc!$F$2),"",SUMIFS($N$3:$N$3002,$E$3:$E$3002,$E679,$C$3:$C$3002,"&lt;&gt;U",$S$3:$S$3002,Calc!$F$2))</f>
        <v/>
      </c>
      <c r="Q679" s="35" t="str">
        <f aca="false">IF(OR($A679="",$C679="U",$S679&lt;&gt;Calc!$F$2),"",IF(COUNTIFS($E$3:$E679,$E679,$C$3:$C679,"&lt;&gt;U",$S$3:$S679,Calc!$F$2)=1,1,0))</f>
        <v/>
      </c>
      <c r="R679" s="35" t="str">
        <f aca="false">IF($Q679=1,$O679-ROW()/100000,"")</f>
        <v/>
      </c>
      <c r="S679" s="37" t="str">
        <f aca="false">IF($A679="","",INT($A679))</f>
        <v/>
      </c>
      <c r="T679" s="35" t="str">
        <f aca="false">IF($A679="","",IF(COUNTIFS($S$3:$S679,$S679)=1,1,0))</f>
        <v/>
      </c>
      <c r="U679" s="37" t="str">
        <f aca="false">IF($T679=1,$S679,"")</f>
        <v/>
      </c>
    </row>
    <row r="680" customFormat="false" ht="15" hidden="false" customHeight="false" outlineLevel="0" collapsed="false">
      <c r="M680" s="35" t="str">
        <f aca="false">IF($A680="","",HOUR($A680))</f>
        <v/>
      </c>
      <c r="N680" s="36" t="str">
        <f aca="false">IF($A680="","",$I680*$K680)</f>
        <v/>
      </c>
      <c r="O680" s="35" t="str">
        <f aca="false">IF(OR($A680="",$C680="U",$S680&lt;&gt;Calc!$F$2),"",SUMIFS($I$3:$I$3002,$E$3:$E$3002,$E680,$C$3:$C$3002,"&lt;&gt;U",$S$3:$S$3002,Calc!$F$2))</f>
        <v/>
      </c>
      <c r="P680" s="35" t="str">
        <f aca="false">IF(OR($A680="",$C680="U",$S680&lt;&gt;Calc!$F$2),"",SUMIFS($N$3:$N$3002,$E$3:$E$3002,$E680,$C$3:$C$3002,"&lt;&gt;U",$S$3:$S$3002,Calc!$F$2))</f>
        <v/>
      </c>
      <c r="Q680" s="35" t="str">
        <f aca="false">IF(OR($A680="",$C680="U",$S680&lt;&gt;Calc!$F$2),"",IF(COUNTIFS($E$3:$E680,$E680,$C$3:$C680,"&lt;&gt;U",$S$3:$S680,Calc!$F$2)=1,1,0))</f>
        <v/>
      </c>
      <c r="R680" s="35" t="str">
        <f aca="false">IF($Q680=1,$O680-ROW()/100000,"")</f>
        <v/>
      </c>
      <c r="S680" s="37" t="str">
        <f aca="false">IF($A680="","",INT($A680))</f>
        <v/>
      </c>
      <c r="T680" s="35" t="str">
        <f aca="false">IF($A680="","",IF(COUNTIFS($S$3:$S680,$S680)=1,1,0))</f>
        <v/>
      </c>
      <c r="U680" s="37" t="str">
        <f aca="false">IF($T680=1,$S680,"")</f>
        <v/>
      </c>
    </row>
    <row r="681" customFormat="false" ht="15" hidden="false" customHeight="false" outlineLevel="0" collapsed="false">
      <c r="M681" s="35" t="str">
        <f aca="false">IF($A681="","",HOUR($A681))</f>
        <v/>
      </c>
      <c r="N681" s="36" t="str">
        <f aca="false">IF($A681="","",$I681*$K681)</f>
        <v/>
      </c>
      <c r="O681" s="35" t="str">
        <f aca="false">IF(OR($A681="",$C681="U",$S681&lt;&gt;Calc!$F$2),"",SUMIFS($I$3:$I$3002,$E$3:$E$3002,$E681,$C$3:$C$3002,"&lt;&gt;U",$S$3:$S$3002,Calc!$F$2))</f>
        <v/>
      </c>
      <c r="P681" s="35" t="str">
        <f aca="false">IF(OR($A681="",$C681="U",$S681&lt;&gt;Calc!$F$2),"",SUMIFS($N$3:$N$3002,$E$3:$E$3002,$E681,$C$3:$C$3002,"&lt;&gt;U",$S$3:$S$3002,Calc!$F$2))</f>
        <v/>
      </c>
      <c r="Q681" s="35" t="str">
        <f aca="false">IF(OR($A681="",$C681="U",$S681&lt;&gt;Calc!$F$2),"",IF(COUNTIFS($E$3:$E681,$E681,$C$3:$C681,"&lt;&gt;U",$S$3:$S681,Calc!$F$2)=1,1,0))</f>
        <v/>
      </c>
      <c r="R681" s="35" t="str">
        <f aca="false">IF($Q681=1,$O681-ROW()/100000,"")</f>
        <v/>
      </c>
      <c r="S681" s="37" t="str">
        <f aca="false">IF($A681="","",INT($A681))</f>
        <v/>
      </c>
      <c r="T681" s="35" t="str">
        <f aca="false">IF($A681="","",IF(COUNTIFS($S$3:$S681,$S681)=1,1,0))</f>
        <v/>
      </c>
      <c r="U681" s="37" t="str">
        <f aca="false">IF($T681=1,$S681,"")</f>
        <v/>
      </c>
    </row>
    <row r="682" customFormat="false" ht="15" hidden="false" customHeight="false" outlineLevel="0" collapsed="false">
      <c r="M682" s="35" t="str">
        <f aca="false">IF($A682="","",HOUR($A682))</f>
        <v/>
      </c>
      <c r="N682" s="36" t="str">
        <f aca="false">IF($A682="","",$I682*$K682)</f>
        <v/>
      </c>
      <c r="O682" s="35" t="str">
        <f aca="false">IF(OR($A682="",$C682="U",$S682&lt;&gt;Calc!$F$2),"",SUMIFS($I$3:$I$3002,$E$3:$E$3002,$E682,$C$3:$C$3002,"&lt;&gt;U",$S$3:$S$3002,Calc!$F$2))</f>
        <v/>
      </c>
      <c r="P682" s="35" t="str">
        <f aca="false">IF(OR($A682="",$C682="U",$S682&lt;&gt;Calc!$F$2),"",SUMIFS($N$3:$N$3002,$E$3:$E$3002,$E682,$C$3:$C$3002,"&lt;&gt;U",$S$3:$S$3002,Calc!$F$2))</f>
        <v/>
      </c>
      <c r="Q682" s="35" t="str">
        <f aca="false">IF(OR($A682="",$C682="U",$S682&lt;&gt;Calc!$F$2),"",IF(COUNTIFS($E$3:$E682,$E682,$C$3:$C682,"&lt;&gt;U",$S$3:$S682,Calc!$F$2)=1,1,0))</f>
        <v/>
      </c>
      <c r="R682" s="35" t="str">
        <f aca="false">IF($Q682=1,$O682-ROW()/100000,"")</f>
        <v/>
      </c>
      <c r="S682" s="37" t="str">
        <f aca="false">IF($A682="","",INT($A682))</f>
        <v/>
      </c>
      <c r="T682" s="35" t="str">
        <f aca="false">IF($A682="","",IF(COUNTIFS($S$3:$S682,$S682)=1,1,0))</f>
        <v/>
      </c>
      <c r="U682" s="37" t="str">
        <f aca="false">IF($T682=1,$S682,"")</f>
        <v/>
      </c>
    </row>
    <row r="683" customFormat="false" ht="15" hidden="false" customHeight="false" outlineLevel="0" collapsed="false">
      <c r="M683" s="35" t="str">
        <f aca="false">IF($A683="","",HOUR($A683))</f>
        <v/>
      </c>
      <c r="N683" s="36" t="str">
        <f aca="false">IF($A683="","",$I683*$K683)</f>
        <v/>
      </c>
      <c r="O683" s="35" t="str">
        <f aca="false">IF(OR($A683="",$C683="U",$S683&lt;&gt;Calc!$F$2),"",SUMIFS($I$3:$I$3002,$E$3:$E$3002,$E683,$C$3:$C$3002,"&lt;&gt;U",$S$3:$S$3002,Calc!$F$2))</f>
        <v/>
      </c>
      <c r="P683" s="35" t="str">
        <f aca="false">IF(OR($A683="",$C683="U",$S683&lt;&gt;Calc!$F$2),"",SUMIFS($N$3:$N$3002,$E$3:$E$3002,$E683,$C$3:$C$3002,"&lt;&gt;U",$S$3:$S$3002,Calc!$F$2))</f>
        <v/>
      </c>
      <c r="Q683" s="35" t="str">
        <f aca="false">IF(OR($A683="",$C683="U",$S683&lt;&gt;Calc!$F$2),"",IF(COUNTIFS($E$3:$E683,$E683,$C$3:$C683,"&lt;&gt;U",$S$3:$S683,Calc!$F$2)=1,1,0))</f>
        <v/>
      </c>
      <c r="R683" s="35" t="str">
        <f aca="false">IF($Q683=1,$O683-ROW()/100000,"")</f>
        <v/>
      </c>
      <c r="S683" s="37" t="str">
        <f aca="false">IF($A683="","",INT($A683))</f>
        <v/>
      </c>
      <c r="T683" s="35" t="str">
        <f aca="false">IF($A683="","",IF(COUNTIFS($S$3:$S683,$S683)=1,1,0))</f>
        <v/>
      </c>
      <c r="U683" s="37" t="str">
        <f aca="false">IF($T683=1,$S683,"")</f>
        <v/>
      </c>
    </row>
    <row r="684" customFormat="false" ht="15" hidden="false" customHeight="false" outlineLevel="0" collapsed="false">
      <c r="M684" s="35" t="str">
        <f aca="false">IF($A684="","",HOUR($A684))</f>
        <v/>
      </c>
      <c r="N684" s="36" t="str">
        <f aca="false">IF($A684="","",$I684*$K684)</f>
        <v/>
      </c>
      <c r="O684" s="35" t="str">
        <f aca="false">IF(OR($A684="",$C684="U",$S684&lt;&gt;Calc!$F$2),"",SUMIFS($I$3:$I$3002,$E$3:$E$3002,$E684,$C$3:$C$3002,"&lt;&gt;U",$S$3:$S$3002,Calc!$F$2))</f>
        <v/>
      </c>
      <c r="P684" s="35" t="str">
        <f aca="false">IF(OR($A684="",$C684="U",$S684&lt;&gt;Calc!$F$2),"",SUMIFS($N$3:$N$3002,$E$3:$E$3002,$E684,$C$3:$C$3002,"&lt;&gt;U",$S$3:$S$3002,Calc!$F$2))</f>
        <v/>
      </c>
      <c r="Q684" s="35" t="str">
        <f aca="false">IF(OR($A684="",$C684="U",$S684&lt;&gt;Calc!$F$2),"",IF(COUNTIFS($E$3:$E684,$E684,$C$3:$C684,"&lt;&gt;U",$S$3:$S684,Calc!$F$2)=1,1,0))</f>
        <v/>
      </c>
      <c r="R684" s="35" t="str">
        <f aca="false">IF($Q684=1,$O684-ROW()/100000,"")</f>
        <v/>
      </c>
      <c r="S684" s="37" t="str">
        <f aca="false">IF($A684="","",INT($A684))</f>
        <v/>
      </c>
      <c r="T684" s="35" t="str">
        <f aca="false">IF($A684="","",IF(COUNTIFS($S$3:$S684,$S684)=1,1,0))</f>
        <v/>
      </c>
      <c r="U684" s="37" t="str">
        <f aca="false">IF($T684=1,$S684,"")</f>
        <v/>
      </c>
    </row>
    <row r="685" customFormat="false" ht="15" hidden="false" customHeight="false" outlineLevel="0" collapsed="false">
      <c r="M685" s="35" t="str">
        <f aca="false">IF($A685="","",HOUR($A685))</f>
        <v/>
      </c>
      <c r="N685" s="36" t="str">
        <f aca="false">IF($A685="","",$I685*$K685)</f>
        <v/>
      </c>
      <c r="O685" s="35" t="str">
        <f aca="false">IF(OR($A685="",$C685="U",$S685&lt;&gt;Calc!$F$2),"",SUMIFS($I$3:$I$3002,$E$3:$E$3002,$E685,$C$3:$C$3002,"&lt;&gt;U",$S$3:$S$3002,Calc!$F$2))</f>
        <v/>
      </c>
      <c r="P685" s="35" t="str">
        <f aca="false">IF(OR($A685="",$C685="U",$S685&lt;&gt;Calc!$F$2),"",SUMIFS($N$3:$N$3002,$E$3:$E$3002,$E685,$C$3:$C$3002,"&lt;&gt;U",$S$3:$S$3002,Calc!$F$2))</f>
        <v/>
      </c>
      <c r="Q685" s="35" t="str">
        <f aca="false">IF(OR($A685="",$C685="U",$S685&lt;&gt;Calc!$F$2),"",IF(COUNTIFS($E$3:$E685,$E685,$C$3:$C685,"&lt;&gt;U",$S$3:$S685,Calc!$F$2)=1,1,0))</f>
        <v/>
      </c>
      <c r="R685" s="35" t="str">
        <f aca="false">IF($Q685=1,$O685-ROW()/100000,"")</f>
        <v/>
      </c>
      <c r="S685" s="37" t="str">
        <f aca="false">IF($A685="","",INT($A685))</f>
        <v/>
      </c>
      <c r="T685" s="35" t="str">
        <f aca="false">IF($A685="","",IF(COUNTIFS($S$3:$S685,$S685)=1,1,0))</f>
        <v/>
      </c>
      <c r="U685" s="37" t="str">
        <f aca="false">IF($T685=1,$S685,"")</f>
        <v/>
      </c>
    </row>
    <row r="686" customFormat="false" ht="15" hidden="false" customHeight="false" outlineLevel="0" collapsed="false">
      <c r="M686" s="35" t="str">
        <f aca="false">IF($A686="","",HOUR($A686))</f>
        <v/>
      </c>
      <c r="N686" s="36" t="str">
        <f aca="false">IF($A686="","",$I686*$K686)</f>
        <v/>
      </c>
      <c r="O686" s="35" t="str">
        <f aca="false">IF(OR($A686="",$C686="U",$S686&lt;&gt;Calc!$F$2),"",SUMIFS($I$3:$I$3002,$E$3:$E$3002,$E686,$C$3:$C$3002,"&lt;&gt;U",$S$3:$S$3002,Calc!$F$2))</f>
        <v/>
      </c>
      <c r="P686" s="35" t="str">
        <f aca="false">IF(OR($A686="",$C686="U",$S686&lt;&gt;Calc!$F$2),"",SUMIFS($N$3:$N$3002,$E$3:$E$3002,$E686,$C$3:$C$3002,"&lt;&gt;U",$S$3:$S$3002,Calc!$F$2))</f>
        <v/>
      </c>
      <c r="Q686" s="35" t="str">
        <f aca="false">IF(OR($A686="",$C686="U",$S686&lt;&gt;Calc!$F$2),"",IF(COUNTIFS($E$3:$E686,$E686,$C$3:$C686,"&lt;&gt;U",$S$3:$S686,Calc!$F$2)=1,1,0))</f>
        <v/>
      </c>
      <c r="R686" s="35" t="str">
        <f aca="false">IF($Q686=1,$O686-ROW()/100000,"")</f>
        <v/>
      </c>
      <c r="S686" s="37" t="str">
        <f aca="false">IF($A686="","",INT($A686))</f>
        <v/>
      </c>
      <c r="T686" s="35" t="str">
        <f aca="false">IF($A686="","",IF(COUNTIFS($S$3:$S686,$S686)=1,1,0))</f>
        <v/>
      </c>
      <c r="U686" s="37" t="str">
        <f aca="false">IF($T686=1,$S686,"")</f>
        <v/>
      </c>
    </row>
    <row r="687" customFormat="false" ht="15" hidden="false" customHeight="false" outlineLevel="0" collapsed="false">
      <c r="M687" s="35" t="str">
        <f aca="false">IF($A687="","",HOUR($A687))</f>
        <v/>
      </c>
      <c r="N687" s="36" t="str">
        <f aca="false">IF($A687="","",$I687*$K687)</f>
        <v/>
      </c>
      <c r="O687" s="35" t="str">
        <f aca="false">IF(OR($A687="",$C687="U",$S687&lt;&gt;Calc!$F$2),"",SUMIFS($I$3:$I$3002,$E$3:$E$3002,$E687,$C$3:$C$3002,"&lt;&gt;U",$S$3:$S$3002,Calc!$F$2))</f>
        <v/>
      </c>
      <c r="P687" s="35" t="str">
        <f aca="false">IF(OR($A687="",$C687="U",$S687&lt;&gt;Calc!$F$2),"",SUMIFS($N$3:$N$3002,$E$3:$E$3002,$E687,$C$3:$C$3002,"&lt;&gt;U",$S$3:$S$3002,Calc!$F$2))</f>
        <v/>
      </c>
      <c r="Q687" s="35" t="str">
        <f aca="false">IF(OR($A687="",$C687="U",$S687&lt;&gt;Calc!$F$2),"",IF(COUNTIFS($E$3:$E687,$E687,$C$3:$C687,"&lt;&gt;U",$S$3:$S687,Calc!$F$2)=1,1,0))</f>
        <v/>
      </c>
      <c r="R687" s="35" t="str">
        <f aca="false">IF($Q687=1,$O687-ROW()/100000,"")</f>
        <v/>
      </c>
      <c r="S687" s="37" t="str">
        <f aca="false">IF($A687="","",INT($A687))</f>
        <v/>
      </c>
      <c r="T687" s="35" t="str">
        <f aca="false">IF($A687="","",IF(COUNTIFS($S$3:$S687,$S687)=1,1,0))</f>
        <v/>
      </c>
      <c r="U687" s="37" t="str">
        <f aca="false">IF($T687=1,$S687,"")</f>
        <v/>
      </c>
    </row>
    <row r="688" customFormat="false" ht="15" hidden="false" customHeight="false" outlineLevel="0" collapsed="false">
      <c r="M688" s="35" t="str">
        <f aca="false">IF($A688="","",HOUR($A688))</f>
        <v/>
      </c>
      <c r="N688" s="36" t="str">
        <f aca="false">IF($A688="","",$I688*$K688)</f>
        <v/>
      </c>
      <c r="O688" s="35" t="str">
        <f aca="false">IF(OR($A688="",$C688="U",$S688&lt;&gt;Calc!$F$2),"",SUMIFS($I$3:$I$3002,$E$3:$E$3002,$E688,$C$3:$C$3002,"&lt;&gt;U",$S$3:$S$3002,Calc!$F$2))</f>
        <v/>
      </c>
      <c r="P688" s="35" t="str">
        <f aca="false">IF(OR($A688="",$C688="U",$S688&lt;&gt;Calc!$F$2),"",SUMIFS($N$3:$N$3002,$E$3:$E$3002,$E688,$C$3:$C$3002,"&lt;&gt;U",$S$3:$S$3002,Calc!$F$2))</f>
        <v/>
      </c>
      <c r="Q688" s="35" t="str">
        <f aca="false">IF(OR($A688="",$C688="U",$S688&lt;&gt;Calc!$F$2),"",IF(COUNTIFS($E$3:$E688,$E688,$C$3:$C688,"&lt;&gt;U",$S$3:$S688,Calc!$F$2)=1,1,0))</f>
        <v/>
      </c>
      <c r="R688" s="35" t="str">
        <f aca="false">IF($Q688=1,$O688-ROW()/100000,"")</f>
        <v/>
      </c>
      <c r="S688" s="37" t="str">
        <f aca="false">IF($A688="","",INT($A688))</f>
        <v/>
      </c>
      <c r="T688" s="35" t="str">
        <f aca="false">IF($A688="","",IF(COUNTIFS($S$3:$S688,$S688)=1,1,0))</f>
        <v/>
      </c>
      <c r="U688" s="37" t="str">
        <f aca="false">IF($T688=1,$S688,"")</f>
        <v/>
      </c>
    </row>
    <row r="689" customFormat="false" ht="15" hidden="false" customHeight="false" outlineLevel="0" collapsed="false">
      <c r="M689" s="35" t="str">
        <f aca="false">IF($A689="","",HOUR($A689))</f>
        <v/>
      </c>
      <c r="N689" s="36" t="str">
        <f aca="false">IF($A689="","",$I689*$K689)</f>
        <v/>
      </c>
      <c r="O689" s="35" t="str">
        <f aca="false">IF(OR($A689="",$C689="U",$S689&lt;&gt;Calc!$F$2),"",SUMIFS($I$3:$I$3002,$E$3:$E$3002,$E689,$C$3:$C$3002,"&lt;&gt;U",$S$3:$S$3002,Calc!$F$2))</f>
        <v/>
      </c>
      <c r="P689" s="35" t="str">
        <f aca="false">IF(OR($A689="",$C689="U",$S689&lt;&gt;Calc!$F$2),"",SUMIFS($N$3:$N$3002,$E$3:$E$3002,$E689,$C$3:$C$3002,"&lt;&gt;U",$S$3:$S$3002,Calc!$F$2))</f>
        <v/>
      </c>
      <c r="Q689" s="35" t="str">
        <f aca="false">IF(OR($A689="",$C689="U",$S689&lt;&gt;Calc!$F$2),"",IF(COUNTIFS($E$3:$E689,$E689,$C$3:$C689,"&lt;&gt;U",$S$3:$S689,Calc!$F$2)=1,1,0))</f>
        <v/>
      </c>
      <c r="R689" s="35" t="str">
        <f aca="false">IF($Q689=1,$O689-ROW()/100000,"")</f>
        <v/>
      </c>
      <c r="S689" s="37" t="str">
        <f aca="false">IF($A689="","",INT($A689))</f>
        <v/>
      </c>
      <c r="T689" s="35" t="str">
        <f aca="false">IF($A689="","",IF(COUNTIFS($S$3:$S689,$S689)=1,1,0))</f>
        <v/>
      </c>
      <c r="U689" s="37" t="str">
        <f aca="false">IF($T689=1,$S689,"")</f>
        <v/>
      </c>
    </row>
    <row r="690" customFormat="false" ht="15" hidden="false" customHeight="false" outlineLevel="0" collapsed="false">
      <c r="M690" s="35" t="str">
        <f aca="false">IF($A690="","",HOUR($A690))</f>
        <v/>
      </c>
      <c r="N690" s="36" t="str">
        <f aca="false">IF($A690="","",$I690*$K690)</f>
        <v/>
      </c>
      <c r="O690" s="35" t="str">
        <f aca="false">IF(OR($A690="",$C690="U",$S690&lt;&gt;Calc!$F$2),"",SUMIFS($I$3:$I$3002,$E$3:$E$3002,$E690,$C$3:$C$3002,"&lt;&gt;U",$S$3:$S$3002,Calc!$F$2))</f>
        <v/>
      </c>
      <c r="P690" s="35" t="str">
        <f aca="false">IF(OR($A690="",$C690="U",$S690&lt;&gt;Calc!$F$2),"",SUMIFS($N$3:$N$3002,$E$3:$E$3002,$E690,$C$3:$C$3002,"&lt;&gt;U",$S$3:$S$3002,Calc!$F$2))</f>
        <v/>
      </c>
      <c r="Q690" s="35" t="str">
        <f aca="false">IF(OR($A690="",$C690="U",$S690&lt;&gt;Calc!$F$2),"",IF(COUNTIFS($E$3:$E690,$E690,$C$3:$C690,"&lt;&gt;U",$S$3:$S690,Calc!$F$2)=1,1,0))</f>
        <v/>
      </c>
      <c r="R690" s="35" t="str">
        <f aca="false">IF($Q690=1,$O690-ROW()/100000,"")</f>
        <v/>
      </c>
      <c r="S690" s="37" t="str">
        <f aca="false">IF($A690="","",INT($A690))</f>
        <v/>
      </c>
      <c r="T690" s="35" t="str">
        <f aca="false">IF($A690="","",IF(COUNTIFS($S$3:$S690,$S690)=1,1,0))</f>
        <v/>
      </c>
      <c r="U690" s="37" t="str">
        <f aca="false">IF($T690=1,$S690,"")</f>
        <v/>
      </c>
    </row>
    <row r="691" customFormat="false" ht="15" hidden="false" customHeight="false" outlineLevel="0" collapsed="false">
      <c r="M691" s="35" t="str">
        <f aca="false">IF($A691="","",HOUR($A691))</f>
        <v/>
      </c>
      <c r="N691" s="36" t="str">
        <f aca="false">IF($A691="","",$I691*$K691)</f>
        <v/>
      </c>
      <c r="O691" s="35" t="str">
        <f aca="false">IF(OR($A691="",$C691="U",$S691&lt;&gt;Calc!$F$2),"",SUMIFS($I$3:$I$3002,$E$3:$E$3002,$E691,$C$3:$C$3002,"&lt;&gt;U",$S$3:$S$3002,Calc!$F$2))</f>
        <v/>
      </c>
      <c r="P691" s="35" t="str">
        <f aca="false">IF(OR($A691="",$C691="U",$S691&lt;&gt;Calc!$F$2),"",SUMIFS($N$3:$N$3002,$E$3:$E$3002,$E691,$C$3:$C$3002,"&lt;&gt;U",$S$3:$S$3002,Calc!$F$2))</f>
        <v/>
      </c>
      <c r="Q691" s="35" t="str">
        <f aca="false">IF(OR($A691="",$C691="U",$S691&lt;&gt;Calc!$F$2),"",IF(COUNTIFS($E$3:$E691,$E691,$C$3:$C691,"&lt;&gt;U",$S$3:$S691,Calc!$F$2)=1,1,0))</f>
        <v/>
      </c>
      <c r="R691" s="35" t="str">
        <f aca="false">IF($Q691=1,$O691-ROW()/100000,"")</f>
        <v/>
      </c>
      <c r="S691" s="37" t="str">
        <f aca="false">IF($A691="","",INT($A691))</f>
        <v/>
      </c>
      <c r="T691" s="35" t="str">
        <f aca="false">IF($A691="","",IF(COUNTIFS($S$3:$S691,$S691)=1,1,0))</f>
        <v/>
      </c>
      <c r="U691" s="37" t="str">
        <f aca="false">IF($T691=1,$S691,"")</f>
        <v/>
      </c>
    </row>
    <row r="692" customFormat="false" ht="15" hidden="false" customHeight="false" outlineLevel="0" collapsed="false">
      <c r="M692" s="35" t="str">
        <f aca="false">IF($A692="","",HOUR($A692))</f>
        <v/>
      </c>
      <c r="N692" s="36" t="str">
        <f aca="false">IF($A692="","",$I692*$K692)</f>
        <v/>
      </c>
      <c r="O692" s="35" t="str">
        <f aca="false">IF(OR($A692="",$C692="U",$S692&lt;&gt;Calc!$F$2),"",SUMIFS($I$3:$I$3002,$E$3:$E$3002,$E692,$C$3:$C$3002,"&lt;&gt;U",$S$3:$S$3002,Calc!$F$2))</f>
        <v/>
      </c>
      <c r="P692" s="35" t="str">
        <f aca="false">IF(OR($A692="",$C692="U",$S692&lt;&gt;Calc!$F$2),"",SUMIFS($N$3:$N$3002,$E$3:$E$3002,$E692,$C$3:$C$3002,"&lt;&gt;U",$S$3:$S$3002,Calc!$F$2))</f>
        <v/>
      </c>
      <c r="Q692" s="35" t="str">
        <f aca="false">IF(OR($A692="",$C692="U",$S692&lt;&gt;Calc!$F$2),"",IF(COUNTIFS($E$3:$E692,$E692,$C$3:$C692,"&lt;&gt;U",$S$3:$S692,Calc!$F$2)=1,1,0))</f>
        <v/>
      </c>
      <c r="R692" s="35" t="str">
        <f aca="false">IF($Q692=1,$O692-ROW()/100000,"")</f>
        <v/>
      </c>
      <c r="S692" s="37" t="str">
        <f aca="false">IF($A692="","",INT($A692))</f>
        <v/>
      </c>
      <c r="T692" s="35" t="str">
        <f aca="false">IF($A692="","",IF(COUNTIFS($S$3:$S692,$S692)=1,1,0))</f>
        <v/>
      </c>
      <c r="U692" s="37" t="str">
        <f aca="false">IF($T692=1,$S692,"")</f>
        <v/>
      </c>
    </row>
    <row r="693" customFormat="false" ht="15" hidden="false" customHeight="false" outlineLevel="0" collapsed="false">
      <c r="M693" s="35" t="str">
        <f aca="false">IF($A693="","",HOUR($A693))</f>
        <v/>
      </c>
      <c r="N693" s="36" t="str">
        <f aca="false">IF($A693="","",$I693*$K693)</f>
        <v/>
      </c>
      <c r="O693" s="35" t="str">
        <f aca="false">IF(OR($A693="",$C693="U",$S693&lt;&gt;Calc!$F$2),"",SUMIFS($I$3:$I$3002,$E$3:$E$3002,$E693,$C$3:$C$3002,"&lt;&gt;U",$S$3:$S$3002,Calc!$F$2))</f>
        <v/>
      </c>
      <c r="P693" s="35" t="str">
        <f aca="false">IF(OR($A693="",$C693="U",$S693&lt;&gt;Calc!$F$2),"",SUMIFS($N$3:$N$3002,$E$3:$E$3002,$E693,$C$3:$C$3002,"&lt;&gt;U",$S$3:$S$3002,Calc!$F$2))</f>
        <v/>
      </c>
      <c r="Q693" s="35" t="str">
        <f aca="false">IF(OR($A693="",$C693="U",$S693&lt;&gt;Calc!$F$2),"",IF(COUNTIFS($E$3:$E693,$E693,$C$3:$C693,"&lt;&gt;U",$S$3:$S693,Calc!$F$2)=1,1,0))</f>
        <v/>
      </c>
      <c r="R693" s="35" t="str">
        <f aca="false">IF($Q693=1,$O693-ROW()/100000,"")</f>
        <v/>
      </c>
      <c r="S693" s="37" t="str">
        <f aca="false">IF($A693="","",INT($A693))</f>
        <v/>
      </c>
      <c r="T693" s="35" t="str">
        <f aca="false">IF($A693="","",IF(COUNTIFS($S$3:$S693,$S693)=1,1,0))</f>
        <v/>
      </c>
      <c r="U693" s="37" t="str">
        <f aca="false">IF($T693=1,$S693,"")</f>
        <v/>
      </c>
    </row>
    <row r="694" customFormat="false" ht="15" hidden="false" customHeight="false" outlineLevel="0" collapsed="false">
      <c r="M694" s="35" t="str">
        <f aca="false">IF($A694="","",HOUR($A694))</f>
        <v/>
      </c>
      <c r="N694" s="36" t="str">
        <f aca="false">IF($A694="","",$I694*$K694)</f>
        <v/>
      </c>
      <c r="O694" s="35" t="str">
        <f aca="false">IF(OR($A694="",$C694="U",$S694&lt;&gt;Calc!$F$2),"",SUMIFS($I$3:$I$3002,$E$3:$E$3002,$E694,$C$3:$C$3002,"&lt;&gt;U",$S$3:$S$3002,Calc!$F$2))</f>
        <v/>
      </c>
      <c r="P694" s="35" t="str">
        <f aca="false">IF(OR($A694="",$C694="U",$S694&lt;&gt;Calc!$F$2),"",SUMIFS($N$3:$N$3002,$E$3:$E$3002,$E694,$C$3:$C$3002,"&lt;&gt;U",$S$3:$S$3002,Calc!$F$2))</f>
        <v/>
      </c>
      <c r="Q694" s="35" t="str">
        <f aca="false">IF(OR($A694="",$C694="U",$S694&lt;&gt;Calc!$F$2),"",IF(COUNTIFS($E$3:$E694,$E694,$C$3:$C694,"&lt;&gt;U",$S$3:$S694,Calc!$F$2)=1,1,0))</f>
        <v/>
      </c>
      <c r="R694" s="35" t="str">
        <f aca="false">IF($Q694=1,$O694-ROW()/100000,"")</f>
        <v/>
      </c>
      <c r="S694" s="37" t="str">
        <f aca="false">IF($A694="","",INT($A694))</f>
        <v/>
      </c>
      <c r="T694" s="35" t="str">
        <f aca="false">IF($A694="","",IF(COUNTIFS($S$3:$S694,$S694)=1,1,0))</f>
        <v/>
      </c>
      <c r="U694" s="37" t="str">
        <f aca="false">IF($T694=1,$S694,"")</f>
        <v/>
      </c>
    </row>
    <row r="695" customFormat="false" ht="15" hidden="false" customHeight="false" outlineLevel="0" collapsed="false">
      <c r="M695" s="35" t="str">
        <f aca="false">IF($A695="","",HOUR($A695))</f>
        <v/>
      </c>
      <c r="N695" s="36" t="str">
        <f aca="false">IF($A695="","",$I695*$K695)</f>
        <v/>
      </c>
      <c r="O695" s="35" t="str">
        <f aca="false">IF(OR($A695="",$C695="U",$S695&lt;&gt;Calc!$F$2),"",SUMIFS($I$3:$I$3002,$E$3:$E$3002,$E695,$C$3:$C$3002,"&lt;&gt;U",$S$3:$S$3002,Calc!$F$2))</f>
        <v/>
      </c>
      <c r="P695" s="35" t="str">
        <f aca="false">IF(OR($A695="",$C695="U",$S695&lt;&gt;Calc!$F$2),"",SUMIFS($N$3:$N$3002,$E$3:$E$3002,$E695,$C$3:$C$3002,"&lt;&gt;U",$S$3:$S$3002,Calc!$F$2))</f>
        <v/>
      </c>
      <c r="Q695" s="35" t="str">
        <f aca="false">IF(OR($A695="",$C695="U",$S695&lt;&gt;Calc!$F$2),"",IF(COUNTIFS($E$3:$E695,$E695,$C$3:$C695,"&lt;&gt;U",$S$3:$S695,Calc!$F$2)=1,1,0))</f>
        <v/>
      </c>
      <c r="R695" s="35" t="str">
        <f aca="false">IF($Q695=1,$O695-ROW()/100000,"")</f>
        <v/>
      </c>
      <c r="S695" s="37" t="str">
        <f aca="false">IF($A695="","",INT($A695))</f>
        <v/>
      </c>
      <c r="T695" s="35" t="str">
        <f aca="false">IF($A695="","",IF(COUNTIFS($S$3:$S695,$S695)=1,1,0))</f>
        <v/>
      </c>
      <c r="U695" s="37" t="str">
        <f aca="false">IF($T695=1,$S695,"")</f>
        <v/>
      </c>
    </row>
    <row r="696" customFormat="false" ht="15" hidden="false" customHeight="false" outlineLevel="0" collapsed="false">
      <c r="M696" s="35" t="str">
        <f aca="false">IF($A696="","",HOUR($A696))</f>
        <v/>
      </c>
      <c r="N696" s="36" t="str">
        <f aca="false">IF($A696="","",$I696*$K696)</f>
        <v/>
      </c>
      <c r="O696" s="35" t="str">
        <f aca="false">IF(OR($A696="",$C696="U",$S696&lt;&gt;Calc!$F$2),"",SUMIFS($I$3:$I$3002,$E$3:$E$3002,$E696,$C$3:$C$3002,"&lt;&gt;U",$S$3:$S$3002,Calc!$F$2))</f>
        <v/>
      </c>
      <c r="P696" s="35" t="str">
        <f aca="false">IF(OR($A696="",$C696="U",$S696&lt;&gt;Calc!$F$2),"",SUMIFS($N$3:$N$3002,$E$3:$E$3002,$E696,$C$3:$C$3002,"&lt;&gt;U",$S$3:$S$3002,Calc!$F$2))</f>
        <v/>
      </c>
      <c r="Q696" s="35" t="str">
        <f aca="false">IF(OR($A696="",$C696="U",$S696&lt;&gt;Calc!$F$2),"",IF(COUNTIFS($E$3:$E696,$E696,$C$3:$C696,"&lt;&gt;U",$S$3:$S696,Calc!$F$2)=1,1,0))</f>
        <v/>
      </c>
      <c r="R696" s="35" t="str">
        <f aca="false">IF($Q696=1,$O696-ROW()/100000,"")</f>
        <v/>
      </c>
      <c r="S696" s="37" t="str">
        <f aca="false">IF($A696="","",INT($A696))</f>
        <v/>
      </c>
      <c r="T696" s="35" t="str">
        <f aca="false">IF($A696="","",IF(COUNTIFS($S$3:$S696,$S696)=1,1,0))</f>
        <v/>
      </c>
      <c r="U696" s="37" t="str">
        <f aca="false">IF($T696=1,$S696,"")</f>
        <v/>
      </c>
    </row>
    <row r="697" customFormat="false" ht="15" hidden="false" customHeight="false" outlineLevel="0" collapsed="false">
      <c r="M697" s="35" t="str">
        <f aca="false">IF($A697="","",HOUR($A697))</f>
        <v/>
      </c>
      <c r="N697" s="36" t="str">
        <f aca="false">IF($A697="","",$I697*$K697)</f>
        <v/>
      </c>
      <c r="O697" s="35" t="str">
        <f aca="false">IF(OR($A697="",$C697="U",$S697&lt;&gt;Calc!$F$2),"",SUMIFS($I$3:$I$3002,$E$3:$E$3002,$E697,$C$3:$C$3002,"&lt;&gt;U",$S$3:$S$3002,Calc!$F$2))</f>
        <v/>
      </c>
      <c r="P697" s="35" t="str">
        <f aca="false">IF(OR($A697="",$C697="U",$S697&lt;&gt;Calc!$F$2),"",SUMIFS($N$3:$N$3002,$E$3:$E$3002,$E697,$C$3:$C$3002,"&lt;&gt;U",$S$3:$S$3002,Calc!$F$2))</f>
        <v/>
      </c>
      <c r="Q697" s="35" t="str">
        <f aca="false">IF(OR($A697="",$C697="U",$S697&lt;&gt;Calc!$F$2),"",IF(COUNTIFS($E$3:$E697,$E697,$C$3:$C697,"&lt;&gt;U",$S$3:$S697,Calc!$F$2)=1,1,0))</f>
        <v/>
      </c>
      <c r="R697" s="35" t="str">
        <f aca="false">IF($Q697=1,$O697-ROW()/100000,"")</f>
        <v/>
      </c>
      <c r="S697" s="37" t="str">
        <f aca="false">IF($A697="","",INT($A697))</f>
        <v/>
      </c>
      <c r="T697" s="35" t="str">
        <f aca="false">IF($A697="","",IF(COUNTIFS($S$3:$S697,$S697)=1,1,0))</f>
        <v/>
      </c>
      <c r="U697" s="37" t="str">
        <f aca="false">IF($T697=1,$S697,"")</f>
        <v/>
      </c>
    </row>
    <row r="698" customFormat="false" ht="15" hidden="false" customHeight="false" outlineLevel="0" collapsed="false">
      <c r="M698" s="35" t="str">
        <f aca="false">IF($A698="","",HOUR($A698))</f>
        <v/>
      </c>
      <c r="N698" s="36" t="str">
        <f aca="false">IF($A698="","",$I698*$K698)</f>
        <v/>
      </c>
      <c r="O698" s="35" t="str">
        <f aca="false">IF(OR($A698="",$C698="U",$S698&lt;&gt;Calc!$F$2),"",SUMIFS($I$3:$I$3002,$E$3:$E$3002,$E698,$C$3:$C$3002,"&lt;&gt;U",$S$3:$S$3002,Calc!$F$2))</f>
        <v/>
      </c>
      <c r="P698" s="35" t="str">
        <f aca="false">IF(OR($A698="",$C698="U",$S698&lt;&gt;Calc!$F$2),"",SUMIFS($N$3:$N$3002,$E$3:$E$3002,$E698,$C$3:$C$3002,"&lt;&gt;U",$S$3:$S$3002,Calc!$F$2))</f>
        <v/>
      </c>
      <c r="Q698" s="35" t="str">
        <f aca="false">IF(OR($A698="",$C698="U",$S698&lt;&gt;Calc!$F$2),"",IF(COUNTIFS($E$3:$E698,$E698,$C$3:$C698,"&lt;&gt;U",$S$3:$S698,Calc!$F$2)=1,1,0))</f>
        <v/>
      </c>
      <c r="R698" s="35" t="str">
        <f aca="false">IF($Q698=1,$O698-ROW()/100000,"")</f>
        <v/>
      </c>
      <c r="S698" s="37" t="str">
        <f aca="false">IF($A698="","",INT($A698))</f>
        <v/>
      </c>
      <c r="T698" s="35" t="str">
        <f aca="false">IF($A698="","",IF(COUNTIFS($S$3:$S698,$S698)=1,1,0))</f>
        <v/>
      </c>
      <c r="U698" s="37" t="str">
        <f aca="false">IF($T698=1,$S698,"")</f>
        <v/>
      </c>
    </row>
    <row r="699" customFormat="false" ht="15" hidden="false" customHeight="false" outlineLevel="0" collapsed="false">
      <c r="M699" s="35" t="str">
        <f aca="false">IF($A699="","",HOUR($A699))</f>
        <v/>
      </c>
      <c r="N699" s="36" t="str">
        <f aca="false">IF($A699="","",$I699*$K699)</f>
        <v/>
      </c>
      <c r="O699" s="35" t="str">
        <f aca="false">IF(OR($A699="",$C699="U",$S699&lt;&gt;Calc!$F$2),"",SUMIFS($I$3:$I$3002,$E$3:$E$3002,$E699,$C$3:$C$3002,"&lt;&gt;U",$S$3:$S$3002,Calc!$F$2))</f>
        <v/>
      </c>
      <c r="P699" s="35" t="str">
        <f aca="false">IF(OR($A699="",$C699="U",$S699&lt;&gt;Calc!$F$2),"",SUMIFS($N$3:$N$3002,$E$3:$E$3002,$E699,$C$3:$C$3002,"&lt;&gt;U",$S$3:$S$3002,Calc!$F$2))</f>
        <v/>
      </c>
      <c r="Q699" s="35" t="str">
        <f aca="false">IF(OR($A699="",$C699="U",$S699&lt;&gt;Calc!$F$2),"",IF(COUNTIFS($E$3:$E699,$E699,$C$3:$C699,"&lt;&gt;U",$S$3:$S699,Calc!$F$2)=1,1,0))</f>
        <v/>
      </c>
      <c r="R699" s="35" t="str">
        <f aca="false">IF($Q699=1,$O699-ROW()/100000,"")</f>
        <v/>
      </c>
      <c r="S699" s="37" t="str">
        <f aca="false">IF($A699="","",INT($A699))</f>
        <v/>
      </c>
      <c r="T699" s="35" t="str">
        <f aca="false">IF($A699="","",IF(COUNTIFS($S$3:$S699,$S699)=1,1,0))</f>
        <v/>
      </c>
      <c r="U699" s="37" t="str">
        <f aca="false">IF($T699=1,$S699,"")</f>
        <v/>
      </c>
    </row>
    <row r="700" customFormat="false" ht="15" hidden="false" customHeight="false" outlineLevel="0" collapsed="false">
      <c r="M700" s="35" t="str">
        <f aca="false">IF($A700="","",HOUR($A700))</f>
        <v/>
      </c>
      <c r="N700" s="36" t="str">
        <f aca="false">IF($A700="","",$I700*$K700)</f>
        <v/>
      </c>
      <c r="O700" s="35" t="str">
        <f aca="false">IF(OR($A700="",$C700="U",$S700&lt;&gt;Calc!$F$2),"",SUMIFS($I$3:$I$3002,$E$3:$E$3002,$E700,$C$3:$C$3002,"&lt;&gt;U",$S$3:$S$3002,Calc!$F$2))</f>
        <v/>
      </c>
      <c r="P700" s="35" t="str">
        <f aca="false">IF(OR($A700="",$C700="U",$S700&lt;&gt;Calc!$F$2),"",SUMIFS($N$3:$N$3002,$E$3:$E$3002,$E700,$C$3:$C$3002,"&lt;&gt;U",$S$3:$S$3002,Calc!$F$2))</f>
        <v/>
      </c>
      <c r="Q700" s="35" t="str">
        <f aca="false">IF(OR($A700="",$C700="U",$S700&lt;&gt;Calc!$F$2),"",IF(COUNTIFS($E$3:$E700,$E700,$C$3:$C700,"&lt;&gt;U",$S$3:$S700,Calc!$F$2)=1,1,0))</f>
        <v/>
      </c>
      <c r="R700" s="35" t="str">
        <f aca="false">IF($Q700=1,$O700-ROW()/100000,"")</f>
        <v/>
      </c>
      <c r="S700" s="37" t="str">
        <f aca="false">IF($A700="","",INT($A700))</f>
        <v/>
      </c>
      <c r="T700" s="35" t="str">
        <f aca="false">IF($A700="","",IF(COUNTIFS($S$3:$S700,$S700)=1,1,0))</f>
        <v/>
      </c>
      <c r="U700" s="37" t="str">
        <f aca="false">IF($T700=1,$S700,"")</f>
        <v/>
      </c>
    </row>
    <row r="701" customFormat="false" ht="15" hidden="false" customHeight="false" outlineLevel="0" collapsed="false">
      <c r="M701" s="35" t="str">
        <f aca="false">IF($A701="","",HOUR($A701))</f>
        <v/>
      </c>
      <c r="N701" s="36" t="str">
        <f aca="false">IF($A701="","",$I701*$K701)</f>
        <v/>
      </c>
      <c r="O701" s="35" t="str">
        <f aca="false">IF(OR($A701="",$C701="U",$S701&lt;&gt;Calc!$F$2),"",SUMIFS($I$3:$I$3002,$E$3:$E$3002,$E701,$C$3:$C$3002,"&lt;&gt;U",$S$3:$S$3002,Calc!$F$2))</f>
        <v/>
      </c>
      <c r="P701" s="35" t="str">
        <f aca="false">IF(OR($A701="",$C701="U",$S701&lt;&gt;Calc!$F$2),"",SUMIFS($N$3:$N$3002,$E$3:$E$3002,$E701,$C$3:$C$3002,"&lt;&gt;U",$S$3:$S$3002,Calc!$F$2))</f>
        <v/>
      </c>
      <c r="Q701" s="35" t="str">
        <f aca="false">IF(OR($A701="",$C701="U",$S701&lt;&gt;Calc!$F$2),"",IF(COUNTIFS($E$3:$E701,$E701,$C$3:$C701,"&lt;&gt;U",$S$3:$S701,Calc!$F$2)=1,1,0))</f>
        <v/>
      </c>
      <c r="R701" s="35" t="str">
        <f aca="false">IF($Q701=1,$O701-ROW()/100000,"")</f>
        <v/>
      </c>
      <c r="S701" s="37" t="str">
        <f aca="false">IF($A701="","",INT($A701))</f>
        <v/>
      </c>
      <c r="T701" s="35" t="str">
        <f aca="false">IF($A701="","",IF(COUNTIFS($S$3:$S701,$S701)=1,1,0))</f>
        <v/>
      </c>
      <c r="U701" s="37" t="str">
        <f aca="false">IF($T701=1,$S701,"")</f>
        <v/>
      </c>
    </row>
    <row r="702" customFormat="false" ht="15" hidden="false" customHeight="false" outlineLevel="0" collapsed="false">
      <c r="M702" s="35" t="str">
        <f aca="false">IF($A702="","",HOUR($A702))</f>
        <v/>
      </c>
      <c r="N702" s="36" t="str">
        <f aca="false">IF($A702="","",$I702*$K702)</f>
        <v/>
      </c>
      <c r="O702" s="35" t="str">
        <f aca="false">IF(OR($A702="",$C702="U",$S702&lt;&gt;Calc!$F$2),"",SUMIFS($I$3:$I$3002,$E$3:$E$3002,$E702,$C$3:$C$3002,"&lt;&gt;U",$S$3:$S$3002,Calc!$F$2))</f>
        <v/>
      </c>
      <c r="P702" s="35" t="str">
        <f aca="false">IF(OR($A702="",$C702="U",$S702&lt;&gt;Calc!$F$2),"",SUMIFS($N$3:$N$3002,$E$3:$E$3002,$E702,$C$3:$C$3002,"&lt;&gt;U",$S$3:$S$3002,Calc!$F$2))</f>
        <v/>
      </c>
      <c r="Q702" s="35" t="str">
        <f aca="false">IF(OR($A702="",$C702="U",$S702&lt;&gt;Calc!$F$2),"",IF(COUNTIFS($E$3:$E702,$E702,$C$3:$C702,"&lt;&gt;U",$S$3:$S702,Calc!$F$2)=1,1,0))</f>
        <v/>
      </c>
      <c r="R702" s="35" t="str">
        <f aca="false">IF($Q702=1,$O702-ROW()/100000,"")</f>
        <v/>
      </c>
      <c r="S702" s="37" t="str">
        <f aca="false">IF($A702="","",INT($A702))</f>
        <v/>
      </c>
      <c r="T702" s="35" t="str">
        <f aca="false">IF($A702="","",IF(COUNTIFS($S$3:$S702,$S702)=1,1,0))</f>
        <v/>
      </c>
      <c r="U702" s="37" t="str">
        <f aca="false">IF($T702=1,$S702,"")</f>
        <v/>
      </c>
    </row>
    <row r="703" customFormat="false" ht="15" hidden="false" customHeight="false" outlineLevel="0" collapsed="false">
      <c r="M703" s="35" t="str">
        <f aca="false">IF($A703="","",HOUR($A703))</f>
        <v/>
      </c>
      <c r="N703" s="36" t="str">
        <f aca="false">IF($A703="","",$I703*$K703)</f>
        <v/>
      </c>
      <c r="O703" s="35" t="str">
        <f aca="false">IF(OR($A703="",$C703="U",$S703&lt;&gt;Calc!$F$2),"",SUMIFS($I$3:$I$3002,$E$3:$E$3002,$E703,$C$3:$C$3002,"&lt;&gt;U",$S$3:$S$3002,Calc!$F$2))</f>
        <v/>
      </c>
      <c r="P703" s="35" t="str">
        <f aca="false">IF(OR($A703="",$C703="U",$S703&lt;&gt;Calc!$F$2),"",SUMIFS($N$3:$N$3002,$E$3:$E$3002,$E703,$C$3:$C$3002,"&lt;&gt;U",$S$3:$S$3002,Calc!$F$2))</f>
        <v/>
      </c>
      <c r="Q703" s="35" t="str">
        <f aca="false">IF(OR($A703="",$C703="U",$S703&lt;&gt;Calc!$F$2),"",IF(COUNTIFS($E$3:$E703,$E703,$C$3:$C703,"&lt;&gt;U",$S$3:$S703,Calc!$F$2)=1,1,0))</f>
        <v/>
      </c>
      <c r="R703" s="35" t="str">
        <f aca="false">IF($Q703=1,$O703-ROW()/100000,"")</f>
        <v/>
      </c>
      <c r="S703" s="37" t="str">
        <f aca="false">IF($A703="","",INT($A703))</f>
        <v/>
      </c>
      <c r="T703" s="35" t="str">
        <f aca="false">IF($A703="","",IF(COUNTIFS($S$3:$S703,$S703)=1,1,0))</f>
        <v/>
      </c>
      <c r="U703" s="37" t="str">
        <f aca="false">IF($T703=1,$S703,"")</f>
        <v/>
      </c>
    </row>
    <row r="704" customFormat="false" ht="15" hidden="false" customHeight="false" outlineLevel="0" collapsed="false">
      <c r="M704" s="35" t="str">
        <f aca="false">IF($A704="","",HOUR($A704))</f>
        <v/>
      </c>
      <c r="N704" s="36" t="str">
        <f aca="false">IF($A704="","",$I704*$K704)</f>
        <v/>
      </c>
      <c r="O704" s="35" t="str">
        <f aca="false">IF(OR($A704="",$C704="U",$S704&lt;&gt;Calc!$F$2),"",SUMIFS($I$3:$I$3002,$E$3:$E$3002,$E704,$C$3:$C$3002,"&lt;&gt;U",$S$3:$S$3002,Calc!$F$2))</f>
        <v/>
      </c>
      <c r="P704" s="35" t="str">
        <f aca="false">IF(OR($A704="",$C704="U",$S704&lt;&gt;Calc!$F$2),"",SUMIFS($N$3:$N$3002,$E$3:$E$3002,$E704,$C$3:$C$3002,"&lt;&gt;U",$S$3:$S$3002,Calc!$F$2))</f>
        <v/>
      </c>
      <c r="Q704" s="35" t="str">
        <f aca="false">IF(OR($A704="",$C704="U",$S704&lt;&gt;Calc!$F$2),"",IF(COUNTIFS($E$3:$E704,$E704,$C$3:$C704,"&lt;&gt;U",$S$3:$S704,Calc!$F$2)=1,1,0))</f>
        <v/>
      </c>
      <c r="R704" s="35" t="str">
        <f aca="false">IF($Q704=1,$O704-ROW()/100000,"")</f>
        <v/>
      </c>
      <c r="S704" s="37" t="str">
        <f aca="false">IF($A704="","",INT($A704))</f>
        <v/>
      </c>
      <c r="T704" s="35" t="str">
        <f aca="false">IF($A704="","",IF(COUNTIFS($S$3:$S704,$S704)=1,1,0))</f>
        <v/>
      </c>
      <c r="U704" s="37" t="str">
        <f aca="false">IF($T704=1,$S704,"")</f>
        <v/>
      </c>
    </row>
    <row r="705" customFormat="false" ht="15" hidden="false" customHeight="false" outlineLevel="0" collapsed="false">
      <c r="M705" s="35" t="str">
        <f aca="false">IF($A705="","",HOUR($A705))</f>
        <v/>
      </c>
      <c r="N705" s="36" t="str">
        <f aca="false">IF($A705="","",$I705*$K705)</f>
        <v/>
      </c>
      <c r="O705" s="35" t="str">
        <f aca="false">IF(OR($A705="",$C705="U",$S705&lt;&gt;Calc!$F$2),"",SUMIFS($I$3:$I$3002,$E$3:$E$3002,$E705,$C$3:$C$3002,"&lt;&gt;U",$S$3:$S$3002,Calc!$F$2))</f>
        <v/>
      </c>
      <c r="P705" s="35" t="str">
        <f aca="false">IF(OR($A705="",$C705="U",$S705&lt;&gt;Calc!$F$2),"",SUMIFS($N$3:$N$3002,$E$3:$E$3002,$E705,$C$3:$C$3002,"&lt;&gt;U",$S$3:$S$3002,Calc!$F$2))</f>
        <v/>
      </c>
      <c r="Q705" s="35" t="str">
        <f aca="false">IF(OR($A705="",$C705="U",$S705&lt;&gt;Calc!$F$2),"",IF(COUNTIFS($E$3:$E705,$E705,$C$3:$C705,"&lt;&gt;U",$S$3:$S705,Calc!$F$2)=1,1,0))</f>
        <v/>
      </c>
      <c r="R705" s="35" t="str">
        <f aca="false">IF($Q705=1,$O705-ROW()/100000,"")</f>
        <v/>
      </c>
      <c r="S705" s="37" t="str">
        <f aca="false">IF($A705="","",INT($A705))</f>
        <v/>
      </c>
      <c r="T705" s="35" t="str">
        <f aca="false">IF($A705="","",IF(COUNTIFS($S$3:$S705,$S705)=1,1,0))</f>
        <v/>
      </c>
      <c r="U705" s="37" t="str">
        <f aca="false">IF($T705=1,$S705,"")</f>
        <v/>
      </c>
    </row>
    <row r="706" customFormat="false" ht="15" hidden="false" customHeight="false" outlineLevel="0" collapsed="false">
      <c r="M706" s="35" t="str">
        <f aca="false">IF($A706="","",HOUR($A706))</f>
        <v/>
      </c>
      <c r="N706" s="36" t="str">
        <f aca="false">IF($A706="","",$I706*$K706)</f>
        <v/>
      </c>
      <c r="O706" s="35" t="str">
        <f aca="false">IF(OR($A706="",$C706="U",$S706&lt;&gt;Calc!$F$2),"",SUMIFS($I$3:$I$3002,$E$3:$E$3002,$E706,$C$3:$C$3002,"&lt;&gt;U",$S$3:$S$3002,Calc!$F$2))</f>
        <v/>
      </c>
      <c r="P706" s="35" t="str">
        <f aca="false">IF(OR($A706="",$C706="U",$S706&lt;&gt;Calc!$F$2),"",SUMIFS($N$3:$N$3002,$E$3:$E$3002,$E706,$C$3:$C$3002,"&lt;&gt;U",$S$3:$S$3002,Calc!$F$2))</f>
        <v/>
      </c>
      <c r="Q706" s="35" t="str">
        <f aca="false">IF(OR($A706="",$C706="U",$S706&lt;&gt;Calc!$F$2),"",IF(COUNTIFS($E$3:$E706,$E706,$C$3:$C706,"&lt;&gt;U",$S$3:$S706,Calc!$F$2)=1,1,0))</f>
        <v/>
      </c>
      <c r="R706" s="35" t="str">
        <f aca="false">IF($Q706=1,$O706-ROW()/100000,"")</f>
        <v/>
      </c>
      <c r="S706" s="37" t="str">
        <f aca="false">IF($A706="","",INT($A706))</f>
        <v/>
      </c>
      <c r="T706" s="35" t="str">
        <f aca="false">IF($A706="","",IF(COUNTIFS($S$3:$S706,$S706)=1,1,0))</f>
        <v/>
      </c>
      <c r="U706" s="37" t="str">
        <f aca="false">IF($T706=1,$S706,"")</f>
        <v/>
      </c>
    </row>
    <row r="707" customFormat="false" ht="15" hidden="false" customHeight="false" outlineLevel="0" collapsed="false">
      <c r="M707" s="35" t="str">
        <f aca="false">IF($A707="","",HOUR($A707))</f>
        <v/>
      </c>
      <c r="N707" s="36" t="str">
        <f aca="false">IF($A707="","",$I707*$K707)</f>
        <v/>
      </c>
      <c r="O707" s="35" t="str">
        <f aca="false">IF(OR($A707="",$C707="U",$S707&lt;&gt;Calc!$F$2),"",SUMIFS($I$3:$I$3002,$E$3:$E$3002,$E707,$C$3:$C$3002,"&lt;&gt;U",$S$3:$S$3002,Calc!$F$2))</f>
        <v/>
      </c>
      <c r="P707" s="35" t="str">
        <f aca="false">IF(OR($A707="",$C707="U",$S707&lt;&gt;Calc!$F$2),"",SUMIFS($N$3:$N$3002,$E$3:$E$3002,$E707,$C$3:$C$3002,"&lt;&gt;U",$S$3:$S$3002,Calc!$F$2))</f>
        <v/>
      </c>
      <c r="Q707" s="35" t="str">
        <f aca="false">IF(OR($A707="",$C707="U",$S707&lt;&gt;Calc!$F$2),"",IF(COUNTIFS($E$3:$E707,$E707,$C$3:$C707,"&lt;&gt;U",$S$3:$S707,Calc!$F$2)=1,1,0))</f>
        <v/>
      </c>
      <c r="R707" s="35" t="str">
        <f aca="false">IF($Q707=1,$O707-ROW()/100000,"")</f>
        <v/>
      </c>
      <c r="S707" s="37" t="str">
        <f aca="false">IF($A707="","",INT($A707))</f>
        <v/>
      </c>
      <c r="T707" s="35" t="str">
        <f aca="false">IF($A707="","",IF(COUNTIFS($S$3:$S707,$S707)=1,1,0))</f>
        <v/>
      </c>
      <c r="U707" s="37" t="str">
        <f aca="false">IF($T707=1,$S707,"")</f>
        <v/>
      </c>
    </row>
    <row r="708" customFormat="false" ht="15" hidden="false" customHeight="false" outlineLevel="0" collapsed="false">
      <c r="M708" s="35" t="str">
        <f aca="false">IF($A708="","",HOUR($A708))</f>
        <v/>
      </c>
      <c r="N708" s="36" t="str">
        <f aca="false">IF($A708="","",$I708*$K708)</f>
        <v/>
      </c>
      <c r="O708" s="35" t="str">
        <f aca="false">IF(OR($A708="",$C708="U",$S708&lt;&gt;Calc!$F$2),"",SUMIFS($I$3:$I$3002,$E$3:$E$3002,$E708,$C$3:$C$3002,"&lt;&gt;U",$S$3:$S$3002,Calc!$F$2))</f>
        <v/>
      </c>
      <c r="P708" s="35" t="str">
        <f aca="false">IF(OR($A708="",$C708="U",$S708&lt;&gt;Calc!$F$2),"",SUMIFS($N$3:$N$3002,$E$3:$E$3002,$E708,$C$3:$C$3002,"&lt;&gt;U",$S$3:$S$3002,Calc!$F$2))</f>
        <v/>
      </c>
      <c r="Q708" s="35" t="str">
        <f aca="false">IF(OR($A708="",$C708="U",$S708&lt;&gt;Calc!$F$2),"",IF(COUNTIFS($E$3:$E708,$E708,$C$3:$C708,"&lt;&gt;U",$S$3:$S708,Calc!$F$2)=1,1,0))</f>
        <v/>
      </c>
      <c r="R708" s="35" t="str">
        <f aca="false">IF($Q708=1,$O708-ROW()/100000,"")</f>
        <v/>
      </c>
      <c r="S708" s="37" t="str">
        <f aca="false">IF($A708="","",INT($A708))</f>
        <v/>
      </c>
      <c r="T708" s="35" t="str">
        <f aca="false">IF($A708="","",IF(COUNTIFS($S$3:$S708,$S708)=1,1,0))</f>
        <v/>
      </c>
      <c r="U708" s="37" t="str">
        <f aca="false">IF($T708=1,$S708,"")</f>
        <v/>
      </c>
    </row>
    <row r="709" customFormat="false" ht="15" hidden="false" customHeight="false" outlineLevel="0" collapsed="false">
      <c r="M709" s="35" t="str">
        <f aca="false">IF($A709="","",HOUR($A709))</f>
        <v/>
      </c>
      <c r="N709" s="36" t="str">
        <f aca="false">IF($A709="","",$I709*$K709)</f>
        <v/>
      </c>
      <c r="O709" s="35" t="str">
        <f aca="false">IF(OR($A709="",$C709="U",$S709&lt;&gt;Calc!$F$2),"",SUMIFS($I$3:$I$3002,$E$3:$E$3002,$E709,$C$3:$C$3002,"&lt;&gt;U",$S$3:$S$3002,Calc!$F$2))</f>
        <v/>
      </c>
      <c r="P709" s="35" t="str">
        <f aca="false">IF(OR($A709="",$C709="U",$S709&lt;&gt;Calc!$F$2),"",SUMIFS($N$3:$N$3002,$E$3:$E$3002,$E709,$C$3:$C$3002,"&lt;&gt;U",$S$3:$S$3002,Calc!$F$2))</f>
        <v/>
      </c>
      <c r="Q709" s="35" t="str">
        <f aca="false">IF(OR($A709="",$C709="U",$S709&lt;&gt;Calc!$F$2),"",IF(COUNTIFS($E$3:$E709,$E709,$C$3:$C709,"&lt;&gt;U",$S$3:$S709,Calc!$F$2)=1,1,0))</f>
        <v/>
      </c>
      <c r="R709" s="35" t="str">
        <f aca="false">IF($Q709=1,$O709-ROW()/100000,"")</f>
        <v/>
      </c>
      <c r="S709" s="37" t="str">
        <f aca="false">IF($A709="","",INT($A709))</f>
        <v/>
      </c>
      <c r="T709" s="35" t="str">
        <f aca="false">IF($A709="","",IF(COUNTIFS($S$3:$S709,$S709)=1,1,0))</f>
        <v/>
      </c>
      <c r="U709" s="37" t="str">
        <f aca="false">IF($T709=1,$S709,"")</f>
        <v/>
      </c>
    </row>
    <row r="710" customFormat="false" ht="15" hidden="false" customHeight="false" outlineLevel="0" collapsed="false">
      <c r="M710" s="35" t="str">
        <f aca="false">IF($A710="","",HOUR($A710))</f>
        <v/>
      </c>
      <c r="N710" s="36" t="str">
        <f aca="false">IF($A710="","",$I710*$K710)</f>
        <v/>
      </c>
      <c r="O710" s="35" t="str">
        <f aca="false">IF(OR($A710="",$C710="U",$S710&lt;&gt;Calc!$F$2),"",SUMIFS($I$3:$I$3002,$E$3:$E$3002,$E710,$C$3:$C$3002,"&lt;&gt;U",$S$3:$S$3002,Calc!$F$2))</f>
        <v/>
      </c>
      <c r="P710" s="35" t="str">
        <f aca="false">IF(OR($A710="",$C710="U",$S710&lt;&gt;Calc!$F$2),"",SUMIFS($N$3:$N$3002,$E$3:$E$3002,$E710,$C$3:$C$3002,"&lt;&gt;U",$S$3:$S$3002,Calc!$F$2))</f>
        <v/>
      </c>
      <c r="Q710" s="35" t="str">
        <f aca="false">IF(OR($A710="",$C710="U",$S710&lt;&gt;Calc!$F$2),"",IF(COUNTIFS($E$3:$E710,$E710,$C$3:$C710,"&lt;&gt;U",$S$3:$S710,Calc!$F$2)=1,1,0))</f>
        <v/>
      </c>
      <c r="R710" s="35" t="str">
        <f aca="false">IF($Q710=1,$O710-ROW()/100000,"")</f>
        <v/>
      </c>
      <c r="S710" s="37" t="str">
        <f aca="false">IF($A710="","",INT($A710))</f>
        <v/>
      </c>
      <c r="T710" s="35" t="str">
        <f aca="false">IF($A710="","",IF(COUNTIFS($S$3:$S710,$S710)=1,1,0))</f>
        <v/>
      </c>
      <c r="U710" s="37" t="str">
        <f aca="false">IF($T710=1,$S710,"")</f>
        <v/>
      </c>
    </row>
    <row r="711" customFormat="false" ht="15" hidden="false" customHeight="false" outlineLevel="0" collapsed="false">
      <c r="M711" s="35" t="str">
        <f aca="false">IF($A711="","",HOUR($A711))</f>
        <v/>
      </c>
      <c r="N711" s="36" t="str">
        <f aca="false">IF($A711="","",$I711*$K711)</f>
        <v/>
      </c>
      <c r="O711" s="35" t="str">
        <f aca="false">IF(OR($A711="",$C711="U",$S711&lt;&gt;Calc!$F$2),"",SUMIFS($I$3:$I$3002,$E$3:$E$3002,$E711,$C$3:$C$3002,"&lt;&gt;U",$S$3:$S$3002,Calc!$F$2))</f>
        <v/>
      </c>
      <c r="P711" s="35" t="str">
        <f aca="false">IF(OR($A711="",$C711="U",$S711&lt;&gt;Calc!$F$2),"",SUMIFS($N$3:$N$3002,$E$3:$E$3002,$E711,$C$3:$C$3002,"&lt;&gt;U",$S$3:$S$3002,Calc!$F$2))</f>
        <v/>
      </c>
      <c r="Q711" s="35" t="str">
        <f aca="false">IF(OR($A711="",$C711="U",$S711&lt;&gt;Calc!$F$2),"",IF(COUNTIFS($E$3:$E711,$E711,$C$3:$C711,"&lt;&gt;U",$S$3:$S711,Calc!$F$2)=1,1,0))</f>
        <v/>
      </c>
      <c r="R711" s="35" t="str">
        <f aca="false">IF($Q711=1,$O711-ROW()/100000,"")</f>
        <v/>
      </c>
      <c r="S711" s="37" t="str">
        <f aca="false">IF($A711="","",INT($A711))</f>
        <v/>
      </c>
      <c r="T711" s="35" t="str">
        <f aca="false">IF($A711="","",IF(COUNTIFS($S$3:$S711,$S711)=1,1,0))</f>
        <v/>
      </c>
      <c r="U711" s="37" t="str">
        <f aca="false">IF($T711=1,$S711,"")</f>
        <v/>
      </c>
    </row>
    <row r="712" customFormat="false" ht="15" hidden="false" customHeight="false" outlineLevel="0" collapsed="false">
      <c r="M712" s="35" t="str">
        <f aca="false">IF($A712="","",HOUR($A712))</f>
        <v/>
      </c>
      <c r="N712" s="36" t="str">
        <f aca="false">IF($A712="","",$I712*$K712)</f>
        <v/>
      </c>
      <c r="O712" s="35" t="str">
        <f aca="false">IF(OR($A712="",$C712="U",$S712&lt;&gt;Calc!$F$2),"",SUMIFS($I$3:$I$3002,$E$3:$E$3002,$E712,$C$3:$C$3002,"&lt;&gt;U",$S$3:$S$3002,Calc!$F$2))</f>
        <v/>
      </c>
      <c r="P712" s="35" t="str">
        <f aca="false">IF(OR($A712="",$C712="U",$S712&lt;&gt;Calc!$F$2),"",SUMIFS($N$3:$N$3002,$E$3:$E$3002,$E712,$C$3:$C$3002,"&lt;&gt;U",$S$3:$S$3002,Calc!$F$2))</f>
        <v/>
      </c>
      <c r="Q712" s="35" t="str">
        <f aca="false">IF(OR($A712="",$C712="U",$S712&lt;&gt;Calc!$F$2),"",IF(COUNTIFS($E$3:$E712,$E712,$C$3:$C712,"&lt;&gt;U",$S$3:$S712,Calc!$F$2)=1,1,0))</f>
        <v/>
      </c>
      <c r="R712" s="35" t="str">
        <f aca="false">IF($Q712=1,$O712-ROW()/100000,"")</f>
        <v/>
      </c>
      <c r="S712" s="37" t="str">
        <f aca="false">IF($A712="","",INT($A712))</f>
        <v/>
      </c>
      <c r="T712" s="35" t="str">
        <f aca="false">IF($A712="","",IF(COUNTIFS($S$3:$S712,$S712)=1,1,0))</f>
        <v/>
      </c>
      <c r="U712" s="37" t="str">
        <f aca="false">IF($T712=1,$S712,"")</f>
        <v/>
      </c>
    </row>
    <row r="713" customFormat="false" ht="15" hidden="false" customHeight="false" outlineLevel="0" collapsed="false">
      <c r="M713" s="35" t="str">
        <f aca="false">IF($A713="","",HOUR($A713))</f>
        <v/>
      </c>
      <c r="N713" s="36" t="str">
        <f aca="false">IF($A713="","",$I713*$K713)</f>
        <v/>
      </c>
      <c r="O713" s="35" t="str">
        <f aca="false">IF(OR($A713="",$C713="U",$S713&lt;&gt;Calc!$F$2),"",SUMIFS($I$3:$I$3002,$E$3:$E$3002,$E713,$C$3:$C$3002,"&lt;&gt;U",$S$3:$S$3002,Calc!$F$2))</f>
        <v/>
      </c>
      <c r="P713" s="35" t="str">
        <f aca="false">IF(OR($A713="",$C713="U",$S713&lt;&gt;Calc!$F$2),"",SUMIFS($N$3:$N$3002,$E$3:$E$3002,$E713,$C$3:$C$3002,"&lt;&gt;U",$S$3:$S$3002,Calc!$F$2))</f>
        <v/>
      </c>
      <c r="Q713" s="35" t="str">
        <f aca="false">IF(OR($A713="",$C713="U",$S713&lt;&gt;Calc!$F$2),"",IF(COUNTIFS($E$3:$E713,$E713,$C$3:$C713,"&lt;&gt;U",$S$3:$S713,Calc!$F$2)=1,1,0))</f>
        <v/>
      </c>
      <c r="R713" s="35" t="str">
        <f aca="false">IF($Q713=1,$O713-ROW()/100000,"")</f>
        <v/>
      </c>
      <c r="S713" s="37" t="str">
        <f aca="false">IF($A713="","",INT($A713))</f>
        <v/>
      </c>
      <c r="T713" s="35" t="str">
        <f aca="false">IF($A713="","",IF(COUNTIFS($S$3:$S713,$S713)=1,1,0))</f>
        <v/>
      </c>
      <c r="U713" s="37" t="str">
        <f aca="false">IF($T713=1,$S713,"")</f>
        <v/>
      </c>
    </row>
    <row r="714" customFormat="false" ht="15" hidden="false" customHeight="false" outlineLevel="0" collapsed="false">
      <c r="M714" s="35" t="str">
        <f aca="false">IF($A714="","",HOUR($A714))</f>
        <v/>
      </c>
      <c r="N714" s="36" t="str">
        <f aca="false">IF($A714="","",$I714*$K714)</f>
        <v/>
      </c>
      <c r="O714" s="35" t="str">
        <f aca="false">IF(OR($A714="",$C714="U",$S714&lt;&gt;Calc!$F$2),"",SUMIFS($I$3:$I$3002,$E$3:$E$3002,$E714,$C$3:$C$3002,"&lt;&gt;U",$S$3:$S$3002,Calc!$F$2))</f>
        <v/>
      </c>
      <c r="P714" s="35" t="str">
        <f aca="false">IF(OR($A714="",$C714="U",$S714&lt;&gt;Calc!$F$2),"",SUMIFS($N$3:$N$3002,$E$3:$E$3002,$E714,$C$3:$C$3002,"&lt;&gt;U",$S$3:$S$3002,Calc!$F$2))</f>
        <v/>
      </c>
      <c r="Q714" s="35" t="str">
        <f aca="false">IF(OR($A714="",$C714="U",$S714&lt;&gt;Calc!$F$2),"",IF(COUNTIFS($E$3:$E714,$E714,$C$3:$C714,"&lt;&gt;U",$S$3:$S714,Calc!$F$2)=1,1,0))</f>
        <v/>
      </c>
      <c r="R714" s="35" t="str">
        <f aca="false">IF($Q714=1,$O714-ROW()/100000,"")</f>
        <v/>
      </c>
      <c r="S714" s="37" t="str">
        <f aca="false">IF($A714="","",INT($A714))</f>
        <v/>
      </c>
      <c r="T714" s="35" t="str">
        <f aca="false">IF($A714="","",IF(COUNTIFS($S$3:$S714,$S714)=1,1,0))</f>
        <v/>
      </c>
      <c r="U714" s="37" t="str">
        <f aca="false">IF($T714=1,$S714,"")</f>
        <v/>
      </c>
    </row>
    <row r="715" customFormat="false" ht="15" hidden="false" customHeight="false" outlineLevel="0" collapsed="false">
      <c r="M715" s="35" t="str">
        <f aca="false">IF($A715="","",HOUR($A715))</f>
        <v/>
      </c>
      <c r="N715" s="36" t="str">
        <f aca="false">IF($A715="","",$I715*$K715)</f>
        <v/>
      </c>
      <c r="O715" s="35" t="str">
        <f aca="false">IF(OR($A715="",$C715="U",$S715&lt;&gt;Calc!$F$2),"",SUMIFS($I$3:$I$3002,$E$3:$E$3002,$E715,$C$3:$C$3002,"&lt;&gt;U",$S$3:$S$3002,Calc!$F$2))</f>
        <v/>
      </c>
      <c r="P715" s="35" t="str">
        <f aca="false">IF(OR($A715="",$C715="U",$S715&lt;&gt;Calc!$F$2),"",SUMIFS($N$3:$N$3002,$E$3:$E$3002,$E715,$C$3:$C$3002,"&lt;&gt;U",$S$3:$S$3002,Calc!$F$2))</f>
        <v/>
      </c>
      <c r="Q715" s="35" t="str">
        <f aca="false">IF(OR($A715="",$C715="U",$S715&lt;&gt;Calc!$F$2),"",IF(COUNTIFS($E$3:$E715,$E715,$C$3:$C715,"&lt;&gt;U",$S$3:$S715,Calc!$F$2)=1,1,0))</f>
        <v/>
      </c>
      <c r="R715" s="35" t="str">
        <f aca="false">IF($Q715=1,$O715-ROW()/100000,"")</f>
        <v/>
      </c>
      <c r="S715" s="37" t="str">
        <f aca="false">IF($A715="","",INT($A715))</f>
        <v/>
      </c>
      <c r="T715" s="35" t="str">
        <f aca="false">IF($A715="","",IF(COUNTIFS($S$3:$S715,$S715)=1,1,0))</f>
        <v/>
      </c>
      <c r="U715" s="37" t="str">
        <f aca="false">IF($T715=1,$S715,"")</f>
        <v/>
      </c>
    </row>
    <row r="716" customFormat="false" ht="15" hidden="false" customHeight="false" outlineLevel="0" collapsed="false">
      <c r="M716" s="35" t="str">
        <f aca="false">IF($A716="","",HOUR($A716))</f>
        <v/>
      </c>
      <c r="N716" s="36" t="str">
        <f aca="false">IF($A716="","",$I716*$K716)</f>
        <v/>
      </c>
      <c r="O716" s="35" t="str">
        <f aca="false">IF(OR($A716="",$C716="U",$S716&lt;&gt;Calc!$F$2),"",SUMIFS($I$3:$I$3002,$E$3:$E$3002,$E716,$C$3:$C$3002,"&lt;&gt;U",$S$3:$S$3002,Calc!$F$2))</f>
        <v/>
      </c>
      <c r="P716" s="35" t="str">
        <f aca="false">IF(OR($A716="",$C716="U",$S716&lt;&gt;Calc!$F$2),"",SUMIFS($N$3:$N$3002,$E$3:$E$3002,$E716,$C$3:$C$3002,"&lt;&gt;U",$S$3:$S$3002,Calc!$F$2))</f>
        <v/>
      </c>
      <c r="Q716" s="35" t="str">
        <f aca="false">IF(OR($A716="",$C716="U",$S716&lt;&gt;Calc!$F$2),"",IF(COUNTIFS($E$3:$E716,$E716,$C$3:$C716,"&lt;&gt;U",$S$3:$S716,Calc!$F$2)=1,1,0))</f>
        <v/>
      </c>
      <c r="R716" s="35" t="str">
        <f aca="false">IF($Q716=1,$O716-ROW()/100000,"")</f>
        <v/>
      </c>
      <c r="S716" s="37" t="str">
        <f aca="false">IF($A716="","",INT($A716))</f>
        <v/>
      </c>
      <c r="T716" s="35" t="str">
        <f aca="false">IF($A716="","",IF(COUNTIFS($S$3:$S716,$S716)=1,1,0))</f>
        <v/>
      </c>
      <c r="U716" s="37" t="str">
        <f aca="false">IF($T716=1,$S716,"")</f>
        <v/>
      </c>
    </row>
    <row r="717" customFormat="false" ht="15" hidden="false" customHeight="false" outlineLevel="0" collapsed="false">
      <c r="M717" s="35" t="str">
        <f aca="false">IF($A717="","",HOUR($A717))</f>
        <v/>
      </c>
      <c r="N717" s="36" t="str">
        <f aca="false">IF($A717="","",$I717*$K717)</f>
        <v/>
      </c>
      <c r="O717" s="35" t="str">
        <f aca="false">IF(OR($A717="",$C717="U",$S717&lt;&gt;Calc!$F$2),"",SUMIFS($I$3:$I$3002,$E$3:$E$3002,$E717,$C$3:$C$3002,"&lt;&gt;U",$S$3:$S$3002,Calc!$F$2))</f>
        <v/>
      </c>
      <c r="P717" s="35" t="str">
        <f aca="false">IF(OR($A717="",$C717="U",$S717&lt;&gt;Calc!$F$2),"",SUMIFS($N$3:$N$3002,$E$3:$E$3002,$E717,$C$3:$C$3002,"&lt;&gt;U",$S$3:$S$3002,Calc!$F$2))</f>
        <v/>
      </c>
      <c r="Q717" s="35" t="str">
        <f aca="false">IF(OR($A717="",$C717="U",$S717&lt;&gt;Calc!$F$2),"",IF(COUNTIFS($E$3:$E717,$E717,$C$3:$C717,"&lt;&gt;U",$S$3:$S717,Calc!$F$2)=1,1,0))</f>
        <v/>
      </c>
      <c r="R717" s="35" t="str">
        <f aca="false">IF($Q717=1,$O717-ROW()/100000,"")</f>
        <v/>
      </c>
      <c r="S717" s="37" t="str">
        <f aca="false">IF($A717="","",INT($A717))</f>
        <v/>
      </c>
      <c r="T717" s="35" t="str">
        <f aca="false">IF($A717="","",IF(COUNTIFS($S$3:$S717,$S717)=1,1,0))</f>
        <v/>
      </c>
      <c r="U717" s="37" t="str">
        <f aca="false">IF($T717=1,$S717,"")</f>
        <v/>
      </c>
    </row>
    <row r="718" customFormat="false" ht="15" hidden="false" customHeight="false" outlineLevel="0" collapsed="false">
      <c r="M718" s="35" t="str">
        <f aca="false">IF($A718="","",HOUR($A718))</f>
        <v/>
      </c>
      <c r="N718" s="36" t="str">
        <f aca="false">IF($A718="","",$I718*$K718)</f>
        <v/>
      </c>
      <c r="O718" s="35" t="str">
        <f aca="false">IF(OR($A718="",$C718="U",$S718&lt;&gt;Calc!$F$2),"",SUMIFS($I$3:$I$3002,$E$3:$E$3002,$E718,$C$3:$C$3002,"&lt;&gt;U",$S$3:$S$3002,Calc!$F$2))</f>
        <v/>
      </c>
      <c r="P718" s="35" t="str">
        <f aca="false">IF(OR($A718="",$C718="U",$S718&lt;&gt;Calc!$F$2),"",SUMIFS($N$3:$N$3002,$E$3:$E$3002,$E718,$C$3:$C$3002,"&lt;&gt;U",$S$3:$S$3002,Calc!$F$2))</f>
        <v/>
      </c>
      <c r="Q718" s="35" t="str">
        <f aca="false">IF(OR($A718="",$C718="U",$S718&lt;&gt;Calc!$F$2),"",IF(COUNTIFS($E$3:$E718,$E718,$C$3:$C718,"&lt;&gt;U",$S$3:$S718,Calc!$F$2)=1,1,0))</f>
        <v/>
      </c>
      <c r="R718" s="35" t="str">
        <f aca="false">IF($Q718=1,$O718-ROW()/100000,"")</f>
        <v/>
      </c>
      <c r="S718" s="37" t="str">
        <f aca="false">IF($A718="","",INT($A718))</f>
        <v/>
      </c>
      <c r="T718" s="35" t="str">
        <f aca="false">IF($A718="","",IF(COUNTIFS($S$3:$S718,$S718)=1,1,0))</f>
        <v/>
      </c>
      <c r="U718" s="37" t="str">
        <f aca="false">IF($T718=1,$S718,"")</f>
        <v/>
      </c>
    </row>
    <row r="719" customFormat="false" ht="15" hidden="false" customHeight="false" outlineLevel="0" collapsed="false">
      <c r="M719" s="35" t="str">
        <f aca="false">IF($A719="","",HOUR($A719))</f>
        <v/>
      </c>
      <c r="N719" s="36" t="str">
        <f aca="false">IF($A719="","",$I719*$K719)</f>
        <v/>
      </c>
      <c r="O719" s="35" t="str">
        <f aca="false">IF(OR($A719="",$C719="U",$S719&lt;&gt;Calc!$F$2),"",SUMIFS($I$3:$I$3002,$E$3:$E$3002,$E719,$C$3:$C$3002,"&lt;&gt;U",$S$3:$S$3002,Calc!$F$2))</f>
        <v/>
      </c>
      <c r="P719" s="35" t="str">
        <f aca="false">IF(OR($A719="",$C719="U",$S719&lt;&gt;Calc!$F$2),"",SUMIFS($N$3:$N$3002,$E$3:$E$3002,$E719,$C$3:$C$3002,"&lt;&gt;U",$S$3:$S$3002,Calc!$F$2))</f>
        <v/>
      </c>
      <c r="Q719" s="35" t="str">
        <f aca="false">IF(OR($A719="",$C719="U",$S719&lt;&gt;Calc!$F$2),"",IF(COUNTIFS($E$3:$E719,$E719,$C$3:$C719,"&lt;&gt;U",$S$3:$S719,Calc!$F$2)=1,1,0))</f>
        <v/>
      </c>
      <c r="R719" s="35" t="str">
        <f aca="false">IF($Q719=1,$O719-ROW()/100000,"")</f>
        <v/>
      </c>
      <c r="S719" s="37" t="str">
        <f aca="false">IF($A719="","",INT($A719))</f>
        <v/>
      </c>
      <c r="T719" s="35" t="str">
        <f aca="false">IF($A719="","",IF(COUNTIFS($S$3:$S719,$S719)=1,1,0))</f>
        <v/>
      </c>
      <c r="U719" s="37" t="str">
        <f aca="false">IF($T719=1,$S719,"")</f>
        <v/>
      </c>
    </row>
    <row r="720" customFormat="false" ht="15" hidden="false" customHeight="false" outlineLevel="0" collapsed="false">
      <c r="M720" s="35" t="str">
        <f aca="false">IF($A720="","",HOUR($A720))</f>
        <v/>
      </c>
      <c r="N720" s="36" t="str">
        <f aca="false">IF($A720="","",$I720*$K720)</f>
        <v/>
      </c>
      <c r="O720" s="35" t="str">
        <f aca="false">IF(OR($A720="",$C720="U",$S720&lt;&gt;Calc!$F$2),"",SUMIFS($I$3:$I$3002,$E$3:$E$3002,$E720,$C$3:$C$3002,"&lt;&gt;U",$S$3:$S$3002,Calc!$F$2))</f>
        <v/>
      </c>
      <c r="P720" s="35" t="str">
        <f aca="false">IF(OR($A720="",$C720="U",$S720&lt;&gt;Calc!$F$2),"",SUMIFS($N$3:$N$3002,$E$3:$E$3002,$E720,$C$3:$C$3002,"&lt;&gt;U",$S$3:$S$3002,Calc!$F$2))</f>
        <v/>
      </c>
      <c r="Q720" s="35" t="str">
        <f aca="false">IF(OR($A720="",$C720="U",$S720&lt;&gt;Calc!$F$2),"",IF(COUNTIFS($E$3:$E720,$E720,$C$3:$C720,"&lt;&gt;U",$S$3:$S720,Calc!$F$2)=1,1,0))</f>
        <v/>
      </c>
      <c r="R720" s="35" t="str">
        <f aca="false">IF($Q720=1,$O720-ROW()/100000,"")</f>
        <v/>
      </c>
      <c r="S720" s="37" t="str">
        <f aca="false">IF($A720="","",INT($A720))</f>
        <v/>
      </c>
      <c r="T720" s="35" t="str">
        <f aca="false">IF($A720="","",IF(COUNTIFS($S$3:$S720,$S720)=1,1,0))</f>
        <v/>
      </c>
      <c r="U720" s="37" t="str">
        <f aca="false">IF($T720=1,$S720,"")</f>
        <v/>
      </c>
    </row>
    <row r="721" customFormat="false" ht="15" hidden="false" customHeight="false" outlineLevel="0" collapsed="false">
      <c r="M721" s="35" t="str">
        <f aca="false">IF($A721="","",HOUR($A721))</f>
        <v/>
      </c>
      <c r="N721" s="36" t="str">
        <f aca="false">IF($A721="","",$I721*$K721)</f>
        <v/>
      </c>
      <c r="O721" s="35" t="str">
        <f aca="false">IF(OR($A721="",$C721="U",$S721&lt;&gt;Calc!$F$2),"",SUMIFS($I$3:$I$3002,$E$3:$E$3002,$E721,$C$3:$C$3002,"&lt;&gt;U",$S$3:$S$3002,Calc!$F$2))</f>
        <v/>
      </c>
      <c r="P721" s="35" t="str">
        <f aca="false">IF(OR($A721="",$C721="U",$S721&lt;&gt;Calc!$F$2),"",SUMIFS($N$3:$N$3002,$E$3:$E$3002,$E721,$C$3:$C$3002,"&lt;&gt;U",$S$3:$S$3002,Calc!$F$2))</f>
        <v/>
      </c>
      <c r="Q721" s="35" t="str">
        <f aca="false">IF(OR($A721="",$C721="U",$S721&lt;&gt;Calc!$F$2),"",IF(COUNTIFS($E$3:$E721,$E721,$C$3:$C721,"&lt;&gt;U",$S$3:$S721,Calc!$F$2)=1,1,0))</f>
        <v/>
      </c>
      <c r="R721" s="35" t="str">
        <f aca="false">IF($Q721=1,$O721-ROW()/100000,"")</f>
        <v/>
      </c>
      <c r="S721" s="37" t="str">
        <f aca="false">IF($A721="","",INT($A721))</f>
        <v/>
      </c>
      <c r="T721" s="35" t="str">
        <f aca="false">IF($A721="","",IF(COUNTIFS($S$3:$S721,$S721)=1,1,0))</f>
        <v/>
      </c>
      <c r="U721" s="37" t="str">
        <f aca="false">IF($T721=1,$S721,"")</f>
        <v/>
      </c>
    </row>
    <row r="722" customFormat="false" ht="15" hidden="false" customHeight="false" outlineLevel="0" collapsed="false">
      <c r="M722" s="35" t="str">
        <f aca="false">IF($A722="","",HOUR($A722))</f>
        <v/>
      </c>
      <c r="N722" s="36" t="str">
        <f aca="false">IF($A722="","",$I722*$K722)</f>
        <v/>
      </c>
      <c r="O722" s="35" t="str">
        <f aca="false">IF(OR($A722="",$C722="U",$S722&lt;&gt;Calc!$F$2),"",SUMIFS($I$3:$I$3002,$E$3:$E$3002,$E722,$C$3:$C$3002,"&lt;&gt;U",$S$3:$S$3002,Calc!$F$2))</f>
        <v/>
      </c>
      <c r="P722" s="35" t="str">
        <f aca="false">IF(OR($A722="",$C722="U",$S722&lt;&gt;Calc!$F$2),"",SUMIFS($N$3:$N$3002,$E$3:$E$3002,$E722,$C$3:$C$3002,"&lt;&gt;U",$S$3:$S$3002,Calc!$F$2))</f>
        <v/>
      </c>
      <c r="Q722" s="35" t="str">
        <f aca="false">IF(OR($A722="",$C722="U",$S722&lt;&gt;Calc!$F$2),"",IF(COUNTIFS($E$3:$E722,$E722,$C$3:$C722,"&lt;&gt;U",$S$3:$S722,Calc!$F$2)=1,1,0))</f>
        <v/>
      </c>
      <c r="R722" s="35" t="str">
        <f aca="false">IF($Q722=1,$O722-ROW()/100000,"")</f>
        <v/>
      </c>
      <c r="S722" s="37" t="str">
        <f aca="false">IF($A722="","",INT($A722))</f>
        <v/>
      </c>
      <c r="T722" s="35" t="str">
        <f aca="false">IF($A722="","",IF(COUNTIFS($S$3:$S722,$S722)=1,1,0))</f>
        <v/>
      </c>
      <c r="U722" s="37" t="str">
        <f aca="false">IF($T722=1,$S722,"")</f>
        <v/>
      </c>
    </row>
    <row r="723" customFormat="false" ht="15" hidden="false" customHeight="false" outlineLevel="0" collapsed="false">
      <c r="M723" s="35" t="str">
        <f aca="false">IF($A723="","",HOUR($A723))</f>
        <v/>
      </c>
      <c r="N723" s="36" t="str">
        <f aca="false">IF($A723="","",$I723*$K723)</f>
        <v/>
      </c>
      <c r="O723" s="35" t="str">
        <f aca="false">IF(OR($A723="",$C723="U",$S723&lt;&gt;Calc!$F$2),"",SUMIFS($I$3:$I$3002,$E$3:$E$3002,$E723,$C$3:$C$3002,"&lt;&gt;U",$S$3:$S$3002,Calc!$F$2))</f>
        <v/>
      </c>
      <c r="P723" s="35" t="str">
        <f aca="false">IF(OR($A723="",$C723="U",$S723&lt;&gt;Calc!$F$2),"",SUMIFS($N$3:$N$3002,$E$3:$E$3002,$E723,$C$3:$C$3002,"&lt;&gt;U",$S$3:$S$3002,Calc!$F$2))</f>
        <v/>
      </c>
      <c r="Q723" s="35" t="str">
        <f aca="false">IF(OR($A723="",$C723="U",$S723&lt;&gt;Calc!$F$2),"",IF(COUNTIFS($E$3:$E723,$E723,$C$3:$C723,"&lt;&gt;U",$S$3:$S723,Calc!$F$2)=1,1,0))</f>
        <v/>
      </c>
      <c r="R723" s="35" t="str">
        <f aca="false">IF($Q723=1,$O723-ROW()/100000,"")</f>
        <v/>
      </c>
      <c r="S723" s="37" t="str">
        <f aca="false">IF($A723="","",INT($A723))</f>
        <v/>
      </c>
      <c r="T723" s="35" t="str">
        <f aca="false">IF($A723="","",IF(COUNTIFS($S$3:$S723,$S723)=1,1,0))</f>
        <v/>
      </c>
      <c r="U723" s="37" t="str">
        <f aca="false">IF($T723=1,$S723,"")</f>
        <v/>
      </c>
    </row>
    <row r="724" customFormat="false" ht="15" hidden="false" customHeight="false" outlineLevel="0" collapsed="false">
      <c r="M724" s="35" t="str">
        <f aca="false">IF($A724="","",HOUR($A724))</f>
        <v/>
      </c>
      <c r="N724" s="36" t="str">
        <f aca="false">IF($A724="","",$I724*$K724)</f>
        <v/>
      </c>
      <c r="O724" s="35" t="str">
        <f aca="false">IF(OR($A724="",$C724="U",$S724&lt;&gt;Calc!$F$2),"",SUMIFS($I$3:$I$3002,$E$3:$E$3002,$E724,$C$3:$C$3002,"&lt;&gt;U",$S$3:$S$3002,Calc!$F$2))</f>
        <v/>
      </c>
      <c r="P724" s="35" t="str">
        <f aca="false">IF(OR($A724="",$C724="U",$S724&lt;&gt;Calc!$F$2),"",SUMIFS($N$3:$N$3002,$E$3:$E$3002,$E724,$C$3:$C$3002,"&lt;&gt;U",$S$3:$S$3002,Calc!$F$2))</f>
        <v/>
      </c>
      <c r="Q724" s="35" t="str">
        <f aca="false">IF(OR($A724="",$C724="U",$S724&lt;&gt;Calc!$F$2),"",IF(COUNTIFS($E$3:$E724,$E724,$C$3:$C724,"&lt;&gt;U",$S$3:$S724,Calc!$F$2)=1,1,0))</f>
        <v/>
      </c>
      <c r="R724" s="35" t="str">
        <f aca="false">IF($Q724=1,$O724-ROW()/100000,"")</f>
        <v/>
      </c>
      <c r="S724" s="37" t="str">
        <f aca="false">IF($A724="","",INT($A724))</f>
        <v/>
      </c>
      <c r="T724" s="35" t="str">
        <f aca="false">IF($A724="","",IF(COUNTIFS($S$3:$S724,$S724)=1,1,0))</f>
        <v/>
      </c>
      <c r="U724" s="37" t="str">
        <f aca="false">IF($T724=1,$S724,"")</f>
        <v/>
      </c>
    </row>
    <row r="725" customFormat="false" ht="15" hidden="false" customHeight="false" outlineLevel="0" collapsed="false">
      <c r="M725" s="35" t="str">
        <f aca="false">IF($A725="","",HOUR($A725))</f>
        <v/>
      </c>
      <c r="N725" s="36" t="str">
        <f aca="false">IF($A725="","",$I725*$K725)</f>
        <v/>
      </c>
      <c r="O725" s="35" t="str">
        <f aca="false">IF(OR($A725="",$C725="U",$S725&lt;&gt;Calc!$F$2),"",SUMIFS($I$3:$I$3002,$E$3:$E$3002,$E725,$C$3:$C$3002,"&lt;&gt;U",$S$3:$S$3002,Calc!$F$2))</f>
        <v/>
      </c>
      <c r="P725" s="35" t="str">
        <f aca="false">IF(OR($A725="",$C725="U",$S725&lt;&gt;Calc!$F$2),"",SUMIFS($N$3:$N$3002,$E$3:$E$3002,$E725,$C$3:$C$3002,"&lt;&gt;U",$S$3:$S$3002,Calc!$F$2))</f>
        <v/>
      </c>
      <c r="Q725" s="35" t="str">
        <f aca="false">IF(OR($A725="",$C725="U",$S725&lt;&gt;Calc!$F$2),"",IF(COUNTIFS($E$3:$E725,$E725,$C$3:$C725,"&lt;&gt;U",$S$3:$S725,Calc!$F$2)=1,1,0))</f>
        <v/>
      </c>
      <c r="R725" s="35" t="str">
        <f aca="false">IF($Q725=1,$O725-ROW()/100000,"")</f>
        <v/>
      </c>
      <c r="S725" s="37" t="str">
        <f aca="false">IF($A725="","",INT($A725))</f>
        <v/>
      </c>
      <c r="T725" s="35" t="str">
        <f aca="false">IF($A725="","",IF(COUNTIFS($S$3:$S725,$S725)=1,1,0))</f>
        <v/>
      </c>
      <c r="U725" s="37" t="str">
        <f aca="false">IF($T725=1,$S725,"")</f>
        <v/>
      </c>
    </row>
    <row r="726" customFormat="false" ht="15" hidden="false" customHeight="false" outlineLevel="0" collapsed="false">
      <c r="M726" s="35" t="str">
        <f aca="false">IF($A726="","",HOUR($A726))</f>
        <v/>
      </c>
      <c r="N726" s="36" t="str">
        <f aca="false">IF($A726="","",$I726*$K726)</f>
        <v/>
      </c>
      <c r="O726" s="35" t="str">
        <f aca="false">IF(OR($A726="",$C726="U",$S726&lt;&gt;Calc!$F$2),"",SUMIFS($I$3:$I$3002,$E$3:$E$3002,$E726,$C$3:$C$3002,"&lt;&gt;U",$S$3:$S$3002,Calc!$F$2))</f>
        <v/>
      </c>
      <c r="P726" s="35" t="str">
        <f aca="false">IF(OR($A726="",$C726="U",$S726&lt;&gt;Calc!$F$2),"",SUMIFS($N$3:$N$3002,$E$3:$E$3002,$E726,$C$3:$C$3002,"&lt;&gt;U",$S$3:$S$3002,Calc!$F$2))</f>
        <v/>
      </c>
      <c r="Q726" s="35" t="str">
        <f aca="false">IF(OR($A726="",$C726="U",$S726&lt;&gt;Calc!$F$2),"",IF(COUNTIFS($E$3:$E726,$E726,$C$3:$C726,"&lt;&gt;U",$S$3:$S726,Calc!$F$2)=1,1,0))</f>
        <v/>
      </c>
      <c r="R726" s="35" t="str">
        <f aca="false">IF($Q726=1,$O726-ROW()/100000,"")</f>
        <v/>
      </c>
      <c r="S726" s="37" t="str">
        <f aca="false">IF($A726="","",INT($A726))</f>
        <v/>
      </c>
      <c r="T726" s="35" t="str">
        <f aca="false">IF($A726="","",IF(COUNTIFS($S$3:$S726,$S726)=1,1,0))</f>
        <v/>
      </c>
      <c r="U726" s="37" t="str">
        <f aca="false">IF($T726=1,$S726,"")</f>
        <v/>
      </c>
    </row>
    <row r="727" customFormat="false" ht="15" hidden="false" customHeight="false" outlineLevel="0" collapsed="false">
      <c r="M727" s="35" t="str">
        <f aca="false">IF($A727="","",HOUR($A727))</f>
        <v/>
      </c>
      <c r="N727" s="36" t="str">
        <f aca="false">IF($A727="","",$I727*$K727)</f>
        <v/>
      </c>
      <c r="O727" s="35" t="str">
        <f aca="false">IF(OR($A727="",$C727="U",$S727&lt;&gt;Calc!$F$2),"",SUMIFS($I$3:$I$3002,$E$3:$E$3002,$E727,$C$3:$C$3002,"&lt;&gt;U",$S$3:$S$3002,Calc!$F$2))</f>
        <v/>
      </c>
      <c r="P727" s="35" t="str">
        <f aca="false">IF(OR($A727="",$C727="U",$S727&lt;&gt;Calc!$F$2),"",SUMIFS($N$3:$N$3002,$E$3:$E$3002,$E727,$C$3:$C$3002,"&lt;&gt;U",$S$3:$S$3002,Calc!$F$2))</f>
        <v/>
      </c>
      <c r="Q727" s="35" t="str">
        <f aca="false">IF(OR($A727="",$C727="U",$S727&lt;&gt;Calc!$F$2),"",IF(COUNTIFS($E$3:$E727,$E727,$C$3:$C727,"&lt;&gt;U",$S$3:$S727,Calc!$F$2)=1,1,0))</f>
        <v/>
      </c>
      <c r="R727" s="35" t="str">
        <f aca="false">IF($Q727=1,$O727-ROW()/100000,"")</f>
        <v/>
      </c>
      <c r="S727" s="37" t="str">
        <f aca="false">IF($A727="","",INT($A727))</f>
        <v/>
      </c>
      <c r="T727" s="35" t="str">
        <f aca="false">IF($A727="","",IF(COUNTIFS($S$3:$S727,$S727)=1,1,0))</f>
        <v/>
      </c>
      <c r="U727" s="37" t="str">
        <f aca="false">IF($T727=1,$S727,"")</f>
        <v/>
      </c>
    </row>
    <row r="728" customFormat="false" ht="15" hidden="false" customHeight="false" outlineLevel="0" collapsed="false">
      <c r="M728" s="35" t="str">
        <f aca="false">IF($A728="","",HOUR($A728))</f>
        <v/>
      </c>
      <c r="N728" s="36" t="str">
        <f aca="false">IF($A728="","",$I728*$K728)</f>
        <v/>
      </c>
      <c r="O728" s="35" t="str">
        <f aca="false">IF(OR($A728="",$C728="U",$S728&lt;&gt;Calc!$F$2),"",SUMIFS($I$3:$I$3002,$E$3:$E$3002,$E728,$C$3:$C$3002,"&lt;&gt;U",$S$3:$S$3002,Calc!$F$2))</f>
        <v/>
      </c>
      <c r="P728" s="35" t="str">
        <f aca="false">IF(OR($A728="",$C728="U",$S728&lt;&gt;Calc!$F$2),"",SUMIFS($N$3:$N$3002,$E$3:$E$3002,$E728,$C$3:$C$3002,"&lt;&gt;U",$S$3:$S$3002,Calc!$F$2))</f>
        <v/>
      </c>
      <c r="Q728" s="35" t="str">
        <f aca="false">IF(OR($A728="",$C728="U",$S728&lt;&gt;Calc!$F$2),"",IF(COUNTIFS($E$3:$E728,$E728,$C$3:$C728,"&lt;&gt;U",$S$3:$S728,Calc!$F$2)=1,1,0))</f>
        <v/>
      </c>
      <c r="R728" s="35" t="str">
        <f aca="false">IF($Q728=1,$O728-ROW()/100000,"")</f>
        <v/>
      </c>
      <c r="S728" s="37" t="str">
        <f aca="false">IF($A728="","",INT($A728))</f>
        <v/>
      </c>
      <c r="T728" s="35" t="str">
        <f aca="false">IF($A728="","",IF(COUNTIFS($S$3:$S728,$S728)=1,1,0))</f>
        <v/>
      </c>
      <c r="U728" s="37" t="str">
        <f aca="false">IF($T728=1,$S728,"")</f>
        <v/>
      </c>
    </row>
    <row r="729" customFormat="false" ht="15" hidden="false" customHeight="false" outlineLevel="0" collapsed="false">
      <c r="M729" s="35" t="str">
        <f aca="false">IF($A729="","",HOUR($A729))</f>
        <v/>
      </c>
      <c r="N729" s="36" t="str">
        <f aca="false">IF($A729="","",$I729*$K729)</f>
        <v/>
      </c>
      <c r="O729" s="35" t="str">
        <f aca="false">IF(OR($A729="",$C729="U",$S729&lt;&gt;Calc!$F$2),"",SUMIFS($I$3:$I$3002,$E$3:$E$3002,$E729,$C$3:$C$3002,"&lt;&gt;U",$S$3:$S$3002,Calc!$F$2))</f>
        <v/>
      </c>
      <c r="P729" s="35" t="str">
        <f aca="false">IF(OR($A729="",$C729="U",$S729&lt;&gt;Calc!$F$2),"",SUMIFS($N$3:$N$3002,$E$3:$E$3002,$E729,$C$3:$C$3002,"&lt;&gt;U",$S$3:$S$3002,Calc!$F$2))</f>
        <v/>
      </c>
      <c r="Q729" s="35" t="str">
        <f aca="false">IF(OR($A729="",$C729="U",$S729&lt;&gt;Calc!$F$2),"",IF(COUNTIFS($E$3:$E729,$E729,$C$3:$C729,"&lt;&gt;U",$S$3:$S729,Calc!$F$2)=1,1,0))</f>
        <v/>
      </c>
      <c r="R729" s="35" t="str">
        <f aca="false">IF($Q729=1,$O729-ROW()/100000,"")</f>
        <v/>
      </c>
      <c r="S729" s="37" t="str">
        <f aca="false">IF($A729="","",INT($A729))</f>
        <v/>
      </c>
      <c r="T729" s="35" t="str">
        <f aca="false">IF($A729="","",IF(COUNTIFS($S$3:$S729,$S729)=1,1,0))</f>
        <v/>
      </c>
      <c r="U729" s="37" t="str">
        <f aca="false">IF($T729=1,$S729,"")</f>
        <v/>
      </c>
    </row>
    <row r="730" customFormat="false" ht="15" hidden="false" customHeight="false" outlineLevel="0" collapsed="false">
      <c r="M730" s="35" t="str">
        <f aca="false">IF($A730="","",HOUR($A730))</f>
        <v/>
      </c>
      <c r="N730" s="36" t="str">
        <f aca="false">IF($A730="","",$I730*$K730)</f>
        <v/>
      </c>
      <c r="O730" s="35" t="str">
        <f aca="false">IF(OR($A730="",$C730="U",$S730&lt;&gt;Calc!$F$2),"",SUMIFS($I$3:$I$3002,$E$3:$E$3002,$E730,$C$3:$C$3002,"&lt;&gt;U",$S$3:$S$3002,Calc!$F$2))</f>
        <v/>
      </c>
      <c r="P730" s="35" t="str">
        <f aca="false">IF(OR($A730="",$C730="U",$S730&lt;&gt;Calc!$F$2),"",SUMIFS($N$3:$N$3002,$E$3:$E$3002,$E730,$C$3:$C$3002,"&lt;&gt;U",$S$3:$S$3002,Calc!$F$2))</f>
        <v/>
      </c>
      <c r="Q730" s="35" t="str">
        <f aca="false">IF(OR($A730="",$C730="U",$S730&lt;&gt;Calc!$F$2),"",IF(COUNTIFS($E$3:$E730,$E730,$C$3:$C730,"&lt;&gt;U",$S$3:$S730,Calc!$F$2)=1,1,0))</f>
        <v/>
      </c>
      <c r="R730" s="35" t="str">
        <f aca="false">IF($Q730=1,$O730-ROW()/100000,"")</f>
        <v/>
      </c>
      <c r="S730" s="37" t="str">
        <f aca="false">IF($A730="","",INT($A730))</f>
        <v/>
      </c>
      <c r="T730" s="35" t="str">
        <f aca="false">IF($A730="","",IF(COUNTIFS($S$3:$S730,$S730)=1,1,0))</f>
        <v/>
      </c>
      <c r="U730" s="37" t="str">
        <f aca="false">IF($T730=1,$S730,"")</f>
        <v/>
      </c>
    </row>
    <row r="731" customFormat="false" ht="15" hidden="false" customHeight="false" outlineLevel="0" collapsed="false">
      <c r="M731" s="35" t="str">
        <f aca="false">IF($A731="","",HOUR($A731))</f>
        <v/>
      </c>
      <c r="N731" s="36" t="str">
        <f aca="false">IF($A731="","",$I731*$K731)</f>
        <v/>
      </c>
      <c r="O731" s="35" t="str">
        <f aca="false">IF(OR($A731="",$C731="U",$S731&lt;&gt;Calc!$F$2),"",SUMIFS($I$3:$I$3002,$E$3:$E$3002,$E731,$C$3:$C$3002,"&lt;&gt;U",$S$3:$S$3002,Calc!$F$2))</f>
        <v/>
      </c>
      <c r="P731" s="35" t="str">
        <f aca="false">IF(OR($A731="",$C731="U",$S731&lt;&gt;Calc!$F$2),"",SUMIFS($N$3:$N$3002,$E$3:$E$3002,$E731,$C$3:$C$3002,"&lt;&gt;U",$S$3:$S$3002,Calc!$F$2))</f>
        <v/>
      </c>
      <c r="Q731" s="35" t="str">
        <f aca="false">IF(OR($A731="",$C731="U",$S731&lt;&gt;Calc!$F$2),"",IF(COUNTIFS($E$3:$E731,$E731,$C$3:$C731,"&lt;&gt;U",$S$3:$S731,Calc!$F$2)=1,1,0))</f>
        <v/>
      </c>
      <c r="R731" s="35" t="str">
        <f aca="false">IF($Q731=1,$O731-ROW()/100000,"")</f>
        <v/>
      </c>
      <c r="S731" s="37" t="str">
        <f aca="false">IF($A731="","",INT($A731))</f>
        <v/>
      </c>
      <c r="T731" s="35" t="str">
        <f aca="false">IF($A731="","",IF(COUNTIFS($S$3:$S731,$S731)=1,1,0))</f>
        <v/>
      </c>
      <c r="U731" s="37" t="str">
        <f aca="false">IF($T731=1,$S731,"")</f>
        <v/>
      </c>
    </row>
    <row r="732" customFormat="false" ht="15" hidden="false" customHeight="false" outlineLevel="0" collapsed="false">
      <c r="M732" s="35" t="str">
        <f aca="false">IF($A732="","",HOUR($A732))</f>
        <v/>
      </c>
      <c r="N732" s="36" t="str">
        <f aca="false">IF($A732="","",$I732*$K732)</f>
        <v/>
      </c>
      <c r="O732" s="35" t="str">
        <f aca="false">IF(OR($A732="",$C732="U",$S732&lt;&gt;Calc!$F$2),"",SUMIFS($I$3:$I$3002,$E$3:$E$3002,$E732,$C$3:$C$3002,"&lt;&gt;U",$S$3:$S$3002,Calc!$F$2))</f>
        <v/>
      </c>
      <c r="P732" s="35" t="str">
        <f aca="false">IF(OR($A732="",$C732="U",$S732&lt;&gt;Calc!$F$2),"",SUMIFS($N$3:$N$3002,$E$3:$E$3002,$E732,$C$3:$C$3002,"&lt;&gt;U",$S$3:$S$3002,Calc!$F$2))</f>
        <v/>
      </c>
      <c r="Q732" s="35" t="str">
        <f aca="false">IF(OR($A732="",$C732="U",$S732&lt;&gt;Calc!$F$2),"",IF(COUNTIFS($E$3:$E732,$E732,$C$3:$C732,"&lt;&gt;U",$S$3:$S732,Calc!$F$2)=1,1,0))</f>
        <v/>
      </c>
      <c r="R732" s="35" t="str">
        <f aca="false">IF($Q732=1,$O732-ROW()/100000,"")</f>
        <v/>
      </c>
      <c r="S732" s="37" t="str">
        <f aca="false">IF($A732="","",INT($A732))</f>
        <v/>
      </c>
      <c r="T732" s="35" t="str">
        <f aca="false">IF($A732="","",IF(COUNTIFS($S$3:$S732,$S732)=1,1,0))</f>
        <v/>
      </c>
      <c r="U732" s="37" t="str">
        <f aca="false">IF($T732=1,$S732,"")</f>
        <v/>
      </c>
    </row>
    <row r="733" customFormat="false" ht="15" hidden="false" customHeight="false" outlineLevel="0" collapsed="false">
      <c r="M733" s="35" t="str">
        <f aca="false">IF($A733="","",HOUR($A733))</f>
        <v/>
      </c>
      <c r="N733" s="36" t="str">
        <f aca="false">IF($A733="","",$I733*$K733)</f>
        <v/>
      </c>
      <c r="O733" s="35" t="str">
        <f aca="false">IF(OR($A733="",$C733="U",$S733&lt;&gt;Calc!$F$2),"",SUMIFS($I$3:$I$3002,$E$3:$E$3002,$E733,$C$3:$C$3002,"&lt;&gt;U",$S$3:$S$3002,Calc!$F$2))</f>
        <v/>
      </c>
      <c r="P733" s="35" t="str">
        <f aca="false">IF(OR($A733="",$C733="U",$S733&lt;&gt;Calc!$F$2),"",SUMIFS($N$3:$N$3002,$E$3:$E$3002,$E733,$C$3:$C$3002,"&lt;&gt;U",$S$3:$S$3002,Calc!$F$2))</f>
        <v/>
      </c>
      <c r="Q733" s="35" t="str">
        <f aca="false">IF(OR($A733="",$C733="U",$S733&lt;&gt;Calc!$F$2),"",IF(COUNTIFS($E$3:$E733,$E733,$C$3:$C733,"&lt;&gt;U",$S$3:$S733,Calc!$F$2)=1,1,0))</f>
        <v/>
      </c>
      <c r="R733" s="35" t="str">
        <f aca="false">IF($Q733=1,$O733-ROW()/100000,"")</f>
        <v/>
      </c>
      <c r="S733" s="37" t="str">
        <f aca="false">IF($A733="","",INT($A733))</f>
        <v/>
      </c>
      <c r="T733" s="35" t="str">
        <f aca="false">IF($A733="","",IF(COUNTIFS($S$3:$S733,$S733)=1,1,0))</f>
        <v/>
      </c>
      <c r="U733" s="37" t="str">
        <f aca="false">IF($T733=1,$S733,"")</f>
        <v/>
      </c>
    </row>
    <row r="734" customFormat="false" ht="15" hidden="false" customHeight="false" outlineLevel="0" collapsed="false">
      <c r="M734" s="35" t="str">
        <f aca="false">IF($A734="","",HOUR($A734))</f>
        <v/>
      </c>
      <c r="N734" s="36" t="str">
        <f aca="false">IF($A734="","",$I734*$K734)</f>
        <v/>
      </c>
      <c r="O734" s="35" t="str">
        <f aca="false">IF(OR($A734="",$C734="U",$S734&lt;&gt;Calc!$F$2),"",SUMIFS($I$3:$I$3002,$E$3:$E$3002,$E734,$C$3:$C$3002,"&lt;&gt;U",$S$3:$S$3002,Calc!$F$2))</f>
        <v/>
      </c>
      <c r="P734" s="35" t="str">
        <f aca="false">IF(OR($A734="",$C734="U",$S734&lt;&gt;Calc!$F$2),"",SUMIFS($N$3:$N$3002,$E$3:$E$3002,$E734,$C$3:$C$3002,"&lt;&gt;U",$S$3:$S$3002,Calc!$F$2))</f>
        <v/>
      </c>
      <c r="Q734" s="35" t="str">
        <f aca="false">IF(OR($A734="",$C734="U",$S734&lt;&gt;Calc!$F$2),"",IF(COUNTIFS($E$3:$E734,$E734,$C$3:$C734,"&lt;&gt;U",$S$3:$S734,Calc!$F$2)=1,1,0))</f>
        <v/>
      </c>
      <c r="R734" s="35" t="str">
        <f aca="false">IF($Q734=1,$O734-ROW()/100000,"")</f>
        <v/>
      </c>
      <c r="S734" s="37" t="str">
        <f aca="false">IF($A734="","",INT($A734))</f>
        <v/>
      </c>
      <c r="T734" s="35" t="str">
        <f aca="false">IF($A734="","",IF(COUNTIFS($S$3:$S734,$S734)=1,1,0))</f>
        <v/>
      </c>
      <c r="U734" s="37" t="str">
        <f aca="false">IF($T734=1,$S734,"")</f>
        <v/>
      </c>
    </row>
    <row r="735" customFormat="false" ht="15" hidden="false" customHeight="false" outlineLevel="0" collapsed="false">
      <c r="M735" s="35" t="str">
        <f aca="false">IF($A735="","",HOUR($A735))</f>
        <v/>
      </c>
      <c r="N735" s="36" t="str">
        <f aca="false">IF($A735="","",$I735*$K735)</f>
        <v/>
      </c>
      <c r="O735" s="35" t="str">
        <f aca="false">IF(OR($A735="",$C735="U",$S735&lt;&gt;Calc!$F$2),"",SUMIFS($I$3:$I$3002,$E$3:$E$3002,$E735,$C$3:$C$3002,"&lt;&gt;U",$S$3:$S$3002,Calc!$F$2))</f>
        <v/>
      </c>
      <c r="P735" s="35" t="str">
        <f aca="false">IF(OR($A735="",$C735="U",$S735&lt;&gt;Calc!$F$2),"",SUMIFS($N$3:$N$3002,$E$3:$E$3002,$E735,$C$3:$C$3002,"&lt;&gt;U",$S$3:$S$3002,Calc!$F$2))</f>
        <v/>
      </c>
      <c r="Q735" s="35" t="str">
        <f aca="false">IF(OR($A735="",$C735="U",$S735&lt;&gt;Calc!$F$2),"",IF(COUNTIFS($E$3:$E735,$E735,$C$3:$C735,"&lt;&gt;U",$S$3:$S735,Calc!$F$2)=1,1,0))</f>
        <v/>
      </c>
      <c r="R735" s="35" t="str">
        <f aca="false">IF($Q735=1,$O735-ROW()/100000,"")</f>
        <v/>
      </c>
      <c r="S735" s="37" t="str">
        <f aca="false">IF($A735="","",INT($A735))</f>
        <v/>
      </c>
      <c r="T735" s="35" t="str">
        <f aca="false">IF($A735="","",IF(COUNTIFS($S$3:$S735,$S735)=1,1,0))</f>
        <v/>
      </c>
      <c r="U735" s="37" t="str">
        <f aca="false">IF($T735=1,$S735,"")</f>
        <v/>
      </c>
    </row>
    <row r="736" customFormat="false" ht="15" hidden="false" customHeight="false" outlineLevel="0" collapsed="false">
      <c r="M736" s="35" t="str">
        <f aca="false">IF($A736="","",HOUR($A736))</f>
        <v/>
      </c>
      <c r="N736" s="36" t="str">
        <f aca="false">IF($A736="","",$I736*$K736)</f>
        <v/>
      </c>
      <c r="O736" s="35" t="str">
        <f aca="false">IF(OR($A736="",$C736="U",$S736&lt;&gt;Calc!$F$2),"",SUMIFS($I$3:$I$3002,$E$3:$E$3002,$E736,$C$3:$C$3002,"&lt;&gt;U",$S$3:$S$3002,Calc!$F$2))</f>
        <v/>
      </c>
      <c r="P736" s="35" t="str">
        <f aca="false">IF(OR($A736="",$C736="U",$S736&lt;&gt;Calc!$F$2),"",SUMIFS($N$3:$N$3002,$E$3:$E$3002,$E736,$C$3:$C$3002,"&lt;&gt;U",$S$3:$S$3002,Calc!$F$2))</f>
        <v/>
      </c>
      <c r="Q736" s="35" t="str">
        <f aca="false">IF(OR($A736="",$C736="U",$S736&lt;&gt;Calc!$F$2),"",IF(COUNTIFS($E$3:$E736,$E736,$C$3:$C736,"&lt;&gt;U",$S$3:$S736,Calc!$F$2)=1,1,0))</f>
        <v/>
      </c>
      <c r="R736" s="35" t="str">
        <f aca="false">IF($Q736=1,$O736-ROW()/100000,"")</f>
        <v/>
      </c>
      <c r="S736" s="37" t="str">
        <f aca="false">IF($A736="","",INT($A736))</f>
        <v/>
      </c>
      <c r="T736" s="35" t="str">
        <f aca="false">IF($A736="","",IF(COUNTIFS($S$3:$S736,$S736)=1,1,0))</f>
        <v/>
      </c>
      <c r="U736" s="37" t="str">
        <f aca="false">IF($T736=1,$S736,"")</f>
        <v/>
      </c>
    </row>
    <row r="737" customFormat="false" ht="15" hidden="false" customHeight="false" outlineLevel="0" collapsed="false">
      <c r="M737" s="35" t="str">
        <f aca="false">IF($A737="","",HOUR($A737))</f>
        <v/>
      </c>
      <c r="N737" s="36" t="str">
        <f aca="false">IF($A737="","",$I737*$K737)</f>
        <v/>
      </c>
      <c r="O737" s="35" t="str">
        <f aca="false">IF(OR($A737="",$C737="U",$S737&lt;&gt;Calc!$F$2),"",SUMIFS($I$3:$I$3002,$E$3:$E$3002,$E737,$C$3:$C$3002,"&lt;&gt;U",$S$3:$S$3002,Calc!$F$2))</f>
        <v/>
      </c>
      <c r="P737" s="35" t="str">
        <f aca="false">IF(OR($A737="",$C737="U",$S737&lt;&gt;Calc!$F$2),"",SUMIFS($N$3:$N$3002,$E$3:$E$3002,$E737,$C$3:$C$3002,"&lt;&gt;U",$S$3:$S$3002,Calc!$F$2))</f>
        <v/>
      </c>
      <c r="Q737" s="35" t="str">
        <f aca="false">IF(OR($A737="",$C737="U",$S737&lt;&gt;Calc!$F$2),"",IF(COUNTIFS($E$3:$E737,$E737,$C$3:$C737,"&lt;&gt;U",$S$3:$S737,Calc!$F$2)=1,1,0))</f>
        <v/>
      </c>
      <c r="R737" s="35" t="str">
        <f aca="false">IF($Q737=1,$O737-ROW()/100000,"")</f>
        <v/>
      </c>
      <c r="S737" s="37" t="str">
        <f aca="false">IF($A737="","",INT($A737))</f>
        <v/>
      </c>
      <c r="T737" s="35" t="str">
        <f aca="false">IF($A737="","",IF(COUNTIFS($S$3:$S737,$S737)=1,1,0))</f>
        <v/>
      </c>
      <c r="U737" s="37" t="str">
        <f aca="false">IF($T737=1,$S737,"")</f>
        <v/>
      </c>
    </row>
    <row r="738" customFormat="false" ht="15" hidden="false" customHeight="false" outlineLevel="0" collapsed="false">
      <c r="M738" s="35" t="str">
        <f aca="false">IF($A738="","",HOUR($A738))</f>
        <v/>
      </c>
      <c r="N738" s="36" t="str">
        <f aca="false">IF($A738="","",$I738*$K738)</f>
        <v/>
      </c>
      <c r="O738" s="35" t="str">
        <f aca="false">IF(OR($A738="",$C738="U",$S738&lt;&gt;Calc!$F$2),"",SUMIFS($I$3:$I$3002,$E$3:$E$3002,$E738,$C$3:$C$3002,"&lt;&gt;U",$S$3:$S$3002,Calc!$F$2))</f>
        <v/>
      </c>
      <c r="P738" s="35" t="str">
        <f aca="false">IF(OR($A738="",$C738="U",$S738&lt;&gt;Calc!$F$2),"",SUMIFS($N$3:$N$3002,$E$3:$E$3002,$E738,$C$3:$C$3002,"&lt;&gt;U",$S$3:$S$3002,Calc!$F$2))</f>
        <v/>
      </c>
      <c r="Q738" s="35" t="str">
        <f aca="false">IF(OR($A738="",$C738="U",$S738&lt;&gt;Calc!$F$2),"",IF(COUNTIFS($E$3:$E738,$E738,$C$3:$C738,"&lt;&gt;U",$S$3:$S738,Calc!$F$2)=1,1,0))</f>
        <v/>
      </c>
      <c r="R738" s="35" t="str">
        <f aca="false">IF($Q738=1,$O738-ROW()/100000,"")</f>
        <v/>
      </c>
      <c r="S738" s="37" t="str">
        <f aca="false">IF($A738="","",INT($A738))</f>
        <v/>
      </c>
      <c r="T738" s="35" t="str">
        <f aca="false">IF($A738="","",IF(COUNTIFS($S$3:$S738,$S738)=1,1,0))</f>
        <v/>
      </c>
      <c r="U738" s="37" t="str">
        <f aca="false">IF($T738=1,$S738,"")</f>
        <v/>
      </c>
    </row>
    <row r="739" customFormat="false" ht="15" hidden="false" customHeight="false" outlineLevel="0" collapsed="false">
      <c r="M739" s="35" t="str">
        <f aca="false">IF($A739="","",HOUR($A739))</f>
        <v/>
      </c>
      <c r="N739" s="36" t="str">
        <f aca="false">IF($A739="","",$I739*$K739)</f>
        <v/>
      </c>
      <c r="O739" s="35" t="str">
        <f aca="false">IF(OR($A739="",$C739="U",$S739&lt;&gt;Calc!$F$2),"",SUMIFS($I$3:$I$3002,$E$3:$E$3002,$E739,$C$3:$C$3002,"&lt;&gt;U",$S$3:$S$3002,Calc!$F$2))</f>
        <v/>
      </c>
      <c r="P739" s="35" t="str">
        <f aca="false">IF(OR($A739="",$C739="U",$S739&lt;&gt;Calc!$F$2),"",SUMIFS($N$3:$N$3002,$E$3:$E$3002,$E739,$C$3:$C$3002,"&lt;&gt;U",$S$3:$S$3002,Calc!$F$2))</f>
        <v/>
      </c>
      <c r="Q739" s="35" t="str">
        <f aca="false">IF(OR($A739="",$C739="U",$S739&lt;&gt;Calc!$F$2),"",IF(COUNTIFS($E$3:$E739,$E739,$C$3:$C739,"&lt;&gt;U",$S$3:$S739,Calc!$F$2)=1,1,0))</f>
        <v/>
      </c>
      <c r="R739" s="35" t="str">
        <f aca="false">IF($Q739=1,$O739-ROW()/100000,"")</f>
        <v/>
      </c>
      <c r="S739" s="37" t="str">
        <f aca="false">IF($A739="","",INT($A739))</f>
        <v/>
      </c>
      <c r="T739" s="35" t="str">
        <f aca="false">IF($A739="","",IF(COUNTIFS($S$3:$S739,$S739)=1,1,0))</f>
        <v/>
      </c>
      <c r="U739" s="37" t="str">
        <f aca="false">IF($T739=1,$S739,"")</f>
        <v/>
      </c>
    </row>
    <row r="740" customFormat="false" ht="15" hidden="false" customHeight="false" outlineLevel="0" collapsed="false">
      <c r="M740" s="35" t="str">
        <f aca="false">IF($A740="","",HOUR($A740))</f>
        <v/>
      </c>
      <c r="N740" s="36" t="str">
        <f aca="false">IF($A740="","",$I740*$K740)</f>
        <v/>
      </c>
      <c r="O740" s="35" t="str">
        <f aca="false">IF(OR($A740="",$C740="U",$S740&lt;&gt;Calc!$F$2),"",SUMIFS($I$3:$I$3002,$E$3:$E$3002,$E740,$C$3:$C$3002,"&lt;&gt;U",$S$3:$S$3002,Calc!$F$2))</f>
        <v/>
      </c>
      <c r="P740" s="35" t="str">
        <f aca="false">IF(OR($A740="",$C740="U",$S740&lt;&gt;Calc!$F$2),"",SUMIFS($N$3:$N$3002,$E$3:$E$3002,$E740,$C$3:$C$3002,"&lt;&gt;U",$S$3:$S$3002,Calc!$F$2))</f>
        <v/>
      </c>
      <c r="Q740" s="35" t="str">
        <f aca="false">IF(OR($A740="",$C740="U",$S740&lt;&gt;Calc!$F$2),"",IF(COUNTIFS($E$3:$E740,$E740,$C$3:$C740,"&lt;&gt;U",$S$3:$S740,Calc!$F$2)=1,1,0))</f>
        <v/>
      </c>
      <c r="R740" s="35" t="str">
        <f aca="false">IF($Q740=1,$O740-ROW()/100000,"")</f>
        <v/>
      </c>
      <c r="S740" s="37" t="str">
        <f aca="false">IF($A740="","",INT($A740))</f>
        <v/>
      </c>
      <c r="T740" s="35" t="str">
        <f aca="false">IF($A740="","",IF(COUNTIFS($S$3:$S740,$S740)=1,1,0))</f>
        <v/>
      </c>
      <c r="U740" s="37" t="str">
        <f aca="false">IF($T740=1,$S740,"")</f>
        <v/>
      </c>
    </row>
    <row r="741" customFormat="false" ht="15" hidden="false" customHeight="false" outlineLevel="0" collapsed="false">
      <c r="M741" s="35" t="str">
        <f aca="false">IF($A741="","",HOUR($A741))</f>
        <v/>
      </c>
      <c r="N741" s="36" t="str">
        <f aca="false">IF($A741="","",$I741*$K741)</f>
        <v/>
      </c>
      <c r="O741" s="35" t="str">
        <f aca="false">IF(OR($A741="",$C741="U",$S741&lt;&gt;Calc!$F$2),"",SUMIFS($I$3:$I$3002,$E$3:$E$3002,$E741,$C$3:$C$3002,"&lt;&gt;U",$S$3:$S$3002,Calc!$F$2))</f>
        <v/>
      </c>
      <c r="P741" s="35" t="str">
        <f aca="false">IF(OR($A741="",$C741="U",$S741&lt;&gt;Calc!$F$2),"",SUMIFS($N$3:$N$3002,$E$3:$E$3002,$E741,$C$3:$C$3002,"&lt;&gt;U",$S$3:$S$3002,Calc!$F$2))</f>
        <v/>
      </c>
      <c r="Q741" s="35" t="str">
        <f aca="false">IF(OR($A741="",$C741="U",$S741&lt;&gt;Calc!$F$2),"",IF(COUNTIFS($E$3:$E741,$E741,$C$3:$C741,"&lt;&gt;U",$S$3:$S741,Calc!$F$2)=1,1,0))</f>
        <v/>
      </c>
      <c r="R741" s="35" t="str">
        <f aca="false">IF($Q741=1,$O741-ROW()/100000,"")</f>
        <v/>
      </c>
      <c r="S741" s="37" t="str">
        <f aca="false">IF($A741="","",INT($A741))</f>
        <v/>
      </c>
      <c r="T741" s="35" t="str">
        <f aca="false">IF($A741="","",IF(COUNTIFS($S$3:$S741,$S741)=1,1,0))</f>
        <v/>
      </c>
      <c r="U741" s="37" t="str">
        <f aca="false">IF($T741=1,$S741,"")</f>
        <v/>
      </c>
    </row>
    <row r="742" customFormat="false" ht="15" hidden="false" customHeight="false" outlineLevel="0" collapsed="false">
      <c r="M742" s="35" t="str">
        <f aca="false">IF($A742="","",HOUR($A742))</f>
        <v/>
      </c>
      <c r="N742" s="36" t="str">
        <f aca="false">IF($A742="","",$I742*$K742)</f>
        <v/>
      </c>
      <c r="O742" s="35" t="str">
        <f aca="false">IF(OR($A742="",$C742="U",$S742&lt;&gt;Calc!$F$2),"",SUMIFS($I$3:$I$3002,$E$3:$E$3002,$E742,$C$3:$C$3002,"&lt;&gt;U",$S$3:$S$3002,Calc!$F$2))</f>
        <v/>
      </c>
      <c r="P742" s="35" t="str">
        <f aca="false">IF(OR($A742="",$C742="U",$S742&lt;&gt;Calc!$F$2),"",SUMIFS($N$3:$N$3002,$E$3:$E$3002,$E742,$C$3:$C$3002,"&lt;&gt;U",$S$3:$S$3002,Calc!$F$2))</f>
        <v/>
      </c>
      <c r="Q742" s="35" t="str">
        <f aca="false">IF(OR($A742="",$C742="U",$S742&lt;&gt;Calc!$F$2),"",IF(COUNTIFS($E$3:$E742,$E742,$C$3:$C742,"&lt;&gt;U",$S$3:$S742,Calc!$F$2)=1,1,0))</f>
        <v/>
      </c>
      <c r="R742" s="35" t="str">
        <f aca="false">IF($Q742=1,$O742-ROW()/100000,"")</f>
        <v/>
      </c>
      <c r="S742" s="37" t="str">
        <f aca="false">IF($A742="","",INT($A742))</f>
        <v/>
      </c>
      <c r="T742" s="35" t="str">
        <f aca="false">IF($A742="","",IF(COUNTIFS($S$3:$S742,$S742)=1,1,0))</f>
        <v/>
      </c>
      <c r="U742" s="37" t="str">
        <f aca="false">IF($T742=1,$S742,"")</f>
        <v/>
      </c>
    </row>
    <row r="743" customFormat="false" ht="15" hidden="false" customHeight="false" outlineLevel="0" collapsed="false">
      <c r="M743" s="35" t="str">
        <f aca="false">IF($A743="","",HOUR($A743))</f>
        <v/>
      </c>
      <c r="N743" s="36" t="str">
        <f aca="false">IF($A743="","",$I743*$K743)</f>
        <v/>
      </c>
      <c r="O743" s="35" t="str">
        <f aca="false">IF(OR($A743="",$C743="U",$S743&lt;&gt;Calc!$F$2),"",SUMIFS($I$3:$I$3002,$E$3:$E$3002,$E743,$C$3:$C$3002,"&lt;&gt;U",$S$3:$S$3002,Calc!$F$2))</f>
        <v/>
      </c>
      <c r="P743" s="35" t="str">
        <f aca="false">IF(OR($A743="",$C743="U",$S743&lt;&gt;Calc!$F$2),"",SUMIFS($N$3:$N$3002,$E$3:$E$3002,$E743,$C$3:$C$3002,"&lt;&gt;U",$S$3:$S$3002,Calc!$F$2))</f>
        <v/>
      </c>
      <c r="Q743" s="35" t="str">
        <f aca="false">IF(OR($A743="",$C743="U",$S743&lt;&gt;Calc!$F$2),"",IF(COUNTIFS($E$3:$E743,$E743,$C$3:$C743,"&lt;&gt;U",$S$3:$S743,Calc!$F$2)=1,1,0))</f>
        <v/>
      </c>
      <c r="R743" s="35" t="str">
        <f aca="false">IF($Q743=1,$O743-ROW()/100000,"")</f>
        <v/>
      </c>
      <c r="S743" s="37" t="str">
        <f aca="false">IF($A743="","",INT($A743))</f>
        <v/>
      </c>
      <c r="T743" s="35" t="str">
        <f aca="false">IF($A743="","",IF(COUNTIFS($S$3:$S743,$S743)=1,1,0))</f>
        <v/>
      </c>
      <c r="U743" s="37" t="str">
        <f aca="false">IF($T743=1,$S743,"")</f>
        <v/>
      </c>
    </row>
    <row r="744" customFormat="false" ht="15" hidden="false" customHeight="false" outlineLevel="0" collapsed="false">
      <c r="M744" s="35" t="str">
        <f aca="false">IF($A744="","",HOUR($A744))</f>
        <v/>
      </c>
      <c r="N744" s="36" t="str">
        <f aca="false">IF($A744="","",$I744*$K744)</f>
        <v/>
      </c>
      <c r="O744" s="35" t="str">
        <f aca="false">IF(OR($A744="",$C744="U",$S744&lt;&gt;Calc!$F$2),"",SUMIFS($I$3:$I$3002,$E$3:$E$3002,$E744,$C$3:$C$3002,"&lt;&gt;U",$S$3:$S$3002,Calc!$F$2))</f>
        <v/>
      </c>
      <c r="P744" s="35" t="str">
        <f aca="false">IF(OR($A744="",$C744="U",$S744&lt;&gt;Calc!$F$2),"",SUMIFS($N$3:$N$3002,$E$3:$E$3002,$E744,$C$3:$C$3002,"&lt;&gt;U",$S$3:$S$3002,Calc!$F$2))</f>
        <v/>
      </c>
      <c r="Q744" s="35" t="str">
        <f aca="false">IF(OR($A744="",$C744="U",$S744&lt;&gt;Calc!$F$2),"",IF(COUNTIFS($E$3:$E744,$E744,$C$3:$C744,"&lt;&gt;U",$S$3:$S744,Calc!$F$2)=1,1,0))</f>
        <v/>
      </c>
      <c r="R744" s="35" t="str">
        <f aca="false">IF($Q744=1,$O744-ROW()/100000,"")</f>
        <v/>
      </c>
      <c r="S744" s="37" t="str">
        <f aca="false">IF($A744="","",INT($A744))</f>
        <v/>
      </c>
      <c r="T744" s="35" t="str">
        <f aca="false">IF($A744="","",IF(COUNTIFS($S$3:$S744,$S744)=1,1,0))</f>
        <v/>
      </c>
      <c r="U744" s="37" t="str">
        <f aca="false">IF($T744=1,$S744,"")</f>
        <v/>
      </c>
    </row>
    <row r="745" customFormat="false" ht="15" hidden="false" customHeight="false" outlineLevel="0" collapsed="false">
      <c r="M745" s="35" t="str">
        <f aca="false">IF($A745="","",HOUR($A745))</f>
        <v/>
      </c>
      <c r="N745" s="36" t="str">
        <f aca="false">IF($A745="","",$I745*$K745)</f>
        <v/>
      </c>
      <c r="O745" s="35" t="str">
        <f aca="false">IF(OR($A745="",$C745="U",$S745&lt;&gt;Calc!$F$2),"",SUMIFS($I$3:$I$3002,$E$3:$E$3002,$E745,$C$3:$C$3002,"&lt;&gt;U",$S$3:$S$3002,Calc!$F$2))</f>
        <v/>
      </c>
      <c r="P745" s="35" t="str">
        <f aca="false">IF(OR($A745="",$C745="U",$S745&lt;&gt;Calc!$F$2),"",SUMIFS($N$3:$N$3002,$E$3:$E$3002,$E745,$C$3:$C$3002,"&lt;&gt;U",$S$3:$S$3002,Calc!$F$2))</f>
        <v/>
      </c>
      <c r="Q745" s="35" t="str">
        <f aca="false">IF(OR($A745="",$C745="U",$S745&lt;&gt;Calc!$F$2),"",IF(COUNTIFS($E$3:$E745,$E745,$C$3:$C745,"&lt;&gt;U",$S$3:$S745,Calc!$F$2)=1,1,0))</f>
        <v/>
      </c>
      <c r="R745" s="35" t="str">
        <f aca="false">IF($Q745=1,$O745-ROW()/100000,"")</f>
        <v/>
      </c>
      <c r="S745" s="37" t="str">
        <f aca="false">IF($A745="","",INT($A745))</f>
        <v/>
      </c>
      <c r="T745" s="35" t="str">
        <f aca="false">IF($A745="","",IF(COUNTIFS($S$3:$S745,$S745)=1,1,0))</f>
        <v/>
      </c>
      <c r="U745" s="37" t="str">
        <f aca="false">IF($T745=1,$S745,"")</f>
        <v/>
      </c>
    </row>
    <row r="746" customFormat="false" ht="15" hidden="false" customHeight="false" outlineLevel="0" collapsed="false">
      <c r="M746" s="35" t="str">
        <f aca="false">IF($A746="","",HOUR($A746))</f>
        <v/>
      </c>
      <c r="N746" s="36" t="str">
        <f aca="false">IF($A746="","",$I746*$K746)</f>
        <v/>
      </c>
      <c r="O746" s="35" t="str">
        <f aca="false">IF(OR($A746="",$C746="U",$S746&lt;&gt;Calc!$F$2),"",SUMIFS($I$3:$I$3002,$E$3:$E$3002,$E746,$C$3:$C$3002,"&lt;&gt;U",$S$3:$S$3002,Calc!$F$2))</f>
        <v/>
      </c>
      <c r="P746" s="35" t="str">
        <f aca="false">IF(OR($A746="",$C746="U",$S746&lt;&gt;Calc!$F$2),"",SUMIFS($N$3:$N$3002,$E$3:$E$3002,$E746,$C$3:$C$3002,"&lt;&gt;U",$S$3:$S$3002,Calc!$F$2))</f>
        <v/>
      </c>
      <c r="Q746" s="35" t="str">
        <f aca="false">IF(OR($A746="",$C746="U",$S746&lt;&gt;Calc!$F$2),"",IF(COUNTIFS($E$3:$E746,$E746,$C$3:$C746,"&lt;&gt;U",$S$3:$S746,Calc!$F$2)=1,1,0))</f>
        <v/>
      </c>
      <c r="R746" s="35" t="str">
        <f aca="false">IF($Q746=1,$O746-ROW()/100000,"")</f>
        <v/>
      </c>
      <c r="S746" s="37" t="str">
        <f aca="false">IF($A746="","",INT($A746))</f>
        <v/>
      </c>
      <c r="T746" s="35" t="str">
        <f aca="false">IF($A746="","",IF(COUNTIFS($S$3:$S746,$S746)=1,1,0))</f>
        <v/>
      </c>
      <c r="U746" s="37" t="str">
        <f aca="false">IF($T746=1,$S746,"")</f>
        <v/>
      </c>
    </row>
    <row r="747" customFormat="false" ht="15" hidden="false" customHeight="false" outlineLevel="0" collapsed="false">
      <c r="M747" s="35" t="str">
        <f aca="false">IF($A747="","",HOUR($A747))</f>
        <v/>
      </c>
      <c r="N747" s="36" t="str">
        <f aca="false">IF($A747="","",$I747*$K747)</f>
        <v/>
      </c>
      <c r="O747" s="35" t="str">
        <f aca="false">IF(OR($A747="",$C747="U",$S747&lt;&gt;Calc!$F$2),"",SUMIFS($I$3:$I$3002,$E$3:$E$3002,$E747,$C$3:$C$3002,"&lt;&gt;U",$S$3:$S$3002,Calc!$F$2))</f>
        <v/>
      </c>
      <c r="P747" s="35" t="str">
        <f aca="false">IF(OR($A747="",$C747="U",$S747&lt;&gt;Calc!$F$2),"",SUMIFS($N$3:$N$3002,$E$3:$E$3002,$E747,$C$3:$C$3002,"&lt;&gt;U",$S$3:$S$3002,Calc!$F$2))</f>
        <v/>
      </c>
      <c r="Q747" s="35" t="str">
        <f aca="false">IF(OR($A747="",$C747="U",$S747&lt;&gt;Calc!$F$2),"",IF(COUNTIFS($E$3:$E747,$E747,$C$3:$C747,"&lt;&gt;U",$S$3:$S747,Calc!$F$2)=1,1,0))</f>
        <v/>
      </c>
      <c r="R747" s="35" t="str">
        <f aca="false">IF($Q747=1,$O747-ROW()/100000,"")</f>
        <v/>
      </c>
      <c r="S747" s="37" t="str">
        <f aca="false">IF($A747="","",INT($A747))</f>
        <v/>
      </c>
      <c r="T747" s="35" t="str">
        <f aca="false">IF($A747="","",IF(COUNTIFS($S$3:$S747,$S747)=1,1,0))</f>
        <v/>
      </c>
      <c r="U747" s="37" t="str">
        <f aca="false">IF($T747=1,$S747,"")</f>
        <v/>
      </c>
    </row>
    <row r="748" customFormat="false" ht="15" hidden="false" customHeight="false" outlineLevel="0" collapsed="false">
      <c r="M748" s="35" t="str">
        <f aca="false">IF($A748="","",HOUR($A748))</f>
        <v/>
      </c>
      <c r="N748" s="36" t="str">
        <f aca="false">IF($A748="","",$I748*$K748)</f>
        <v/>
      </c>
      <c r="O748" s="35" t="str">
        <f aca="false">IF(OR($A748="",$C748="U",$S748&lt;&gt;Calc!$F$2),"",SUMIFS($I$3:$I$3002,$E$3:$E$3002,$E748,$C$3:$C$3002,"&lt;&gt;U",$S$3:$S$3002,Calc!$F$2))</f>
        <v/>
      </c>
      <c r="P748" s="35" t="str">
        <f aca="false">IF(OR($A748="",$C748="U",$S748&lt;&gt;Calc!$F$2),"",SUMIFS($N$3:$N$3002,$E$3:$E$3002,$E748,$C$3:$C$3002,"&lt;&gt;U",$S$3:$S$3002,Calc!$F$2))</f>
        <v/>
      </c>
      <c r="Q748" s="35" t="str">
        <f aca="false">IF(OR($A748="",$C748="U",$S748&lt;&gt;Calc!$F$2),"",IF(COUNTIFS($E$3:$E748,$E748,$C$3:$C748,"&lt;&gt;U",$S$3:$S748,Calc!$F$2)=1,1,0))</f>
        <v/>
      </c>
      <c r="R748" s="35" t="str">
        <f aca="false">IF($Q748=1,$O748-ROW()/100000,"")</f>
        <v/>
      </c>
      <c r="S748" s="37" t="str">
        <f aca="false">IF($A748="","",INT($A748))</f>
        <v/>
      </c>
      <c r="T748" s="35" t="str">
        <f aca="false">IF($A748="","",IF(COUNTIFS($S$3:$S748,$S748)=1,1,0))</f>
        <v/>
      </c>
      <c r="U748" s="37" t="str">
        <f aca="false">IF($T748=1,$S748,"")</f>
        <v/>
      </c>
    </row>
    <row r="749" customFormat="false" ht="15" hidden="false" customHeight="false" outlineLevel="0" collapsed="false">
      <c r="M749" s="35" t="str">
        <f aca="false">IF($A749="","",HOUR($A749))</f>
        <v/>
      </c>
      <c r="N749" s="36" t="str">
        <f aca="false">IF($A749="","",$I749*$K749)</f>
        <v/>
      </c>
      <c r="O749" s="35" t="str">
        <f aca="false">IF(OR($A749="",$C749="U",$S749&lt;&gt;Calc!$F$2),"",SUMIFS($I$3:$I$3002,$E$3:$E$3002,$E749,$C$3:$C$3002,"&lt;&gt;U",$S$3:$S$3002,Calc!$F$2))</f>
        <v/>
      </c>
      <c r="P749" s="35" t="str">
        <f aca="false">IF(OR($A749="",$C749="U",$S749&lt;&gt;Calc!$F$2),"",SUMIFS($N$3:$N$3002,$E$3:$E$3002,$E749,$C$3:$C$3002,"&lt;&gt;U",$S$3:$S$3002,Calc!$F$2))</f>
        <v/>
      </c>
      <c r="Q749" s="35" t="str">
        <f aca="false">IF(OR($A749="",$C749="U",$S749&lt;&gt;Calc!$F$2),"",IF(COUNTIFS($E$3:$E749,$E749,$C$3:$C749,"&lt;&gt;U",$S$3:$S749,Calc!$F$2)=1,1,0))</f>
        <v/>
      </c>
      <c r="R749" s="35" t="str">
        <f aca="false">IF($Q749=1,$O749-ROW()/100000,"")</f>
        <v/>
      </c>
      <c r="S749" s="37" t="str">
        <f aca="false">IF($A749="","",INT($A749))</f>
        <v/>
      </c>
      <c r="T749" s="35" t="str">
        <f aca="false">IF($A749="","",IF(COUNTIFS($S$3:$S749,$S749)=1,1,0))</f>
        <v/>
      </c>
      <c r="U749" s="37" t="str">
        <f aca="false">IF($T749=1,$S749,"")</f>
        <v/>
      </c>
    </row>
    <row r="750" customFormat="false" ht="15" hidden="false" customHeight="false" outlineLevel="0" collapsed="false">
      <c r="M750" s="35" t="str">
        <f aca="false">IF($A750="","",HOUR($A750))</f>
        <v/>
      </c>
      <c r="N750" s="36" t="str">
        <f aca="false">IF($A750="","",$I750*$K750)</f>
        <v/>
      </c>
      <c r="O750" s="35" t="str">
        <f aca="false">IF(OR($A750="",$C750="U",$S750&lt;&gt;Calc!$F$2),"",SUMIFS($I$3:$I$3002,$E$3:$E$3002,$E750,$C$3:$C$3002,"&lt;&gt;U",$S$3:$S$3002,Calc!$F$2))</f>
        <v/>
      </c>
      <c r="P750" s="35" t="str">
        <f aca="false">IF(OR($A750="",$C750="U",$S750&lt;&gt;Calc!$F$2),"",SUMIFS($N$3:$N$3002,$E$3:$E$3002,$E750,$C$3:$C$3002,"&lt;&gt;U",$S$3:$S$3002,Calc!$F$2))</f>
        <v/>
      </c>
      <c r="Q750" s="35" t="str">
        <f aca="false">IF(OR($A750="",$C750="U",$S750&lt;&gt;Calc!$F$2),"",IF(COUNTIFS($E$3:$E750,$E750,$C$3:$C750,"&lt;&gt;U",$S$3:$S750,Calc!$F$2)=1,1,0))</f>
        <v/>
      </c>
      <c r="R750" s="35" t="str">
        <f aca="false">IF($Q750=1,$O750-ROW()/100000,"")</f>
        <v/>
      </c>
      <c r="S750" s="37" t="str">
        <f aca="false">IF($A750="","",INT($A750))</f>
        <v/>
      </c>
      <c r="T750" s="35" t="str">
        <f aca="false">IF($A750="","",IF(COUNTIFS($S$3:$S750,$S750)=1,1,0))</f>
        <v/>
      </c>
      <c r="U750" s="37" t="str">
        <f aca="false">IF($T750=1,$S750,"")</f>
        <v/>
      </c>
    </row>
    <row r="751" customFormat="false" ht="15" hidden="false" customHeight="false" outlineLevel="0" collapsed="false">
      <c r="M751" s="35" t="str">
        <f aca="false">IF($A751="","",HOUR($A751))</f>
        <v/>
      </c>
      <c r="N751" s="36" t="str">
        <f aca="false">IF($A751="","",$I751*$K751)</f>
        <v/>
      </c>
      <c r="O751" s="35" t="str">
        <f aca="false">IF(OR($A751="",$C751="U",$S751&lt;&gt;Calc!$F$2),"",SUMIFS($I$3:$I$3002,$E$3:$E$3002,$E751,$C$3:$C$3002,"&lt;&gt;U",$S$3:$S$3002,Calc!$F$2))</f>
        <v/>
      </c>
      <c r="P751" s="35" t="str">
        <f aca="false">IF(OR($A751="",$C751="U",$S751&lt;&gt;Calc!$F$2),"",SUMIFS($N$3:$N$3002,$E$3:$E$3002,$E751,$C$3:$C$3002,"&lt;&gt;U",$S$3:$S$3002,Calc!$F$2))</f>
        <v/>
      </c>
      <c r="Q751" s="35" t="str">
        <f aca="false">IF(OR($A751="",$C751="U",$S751&lt;&gt;Calc!$F$2),"",IF(COUNTIFS($E$3:$E751,$E751,$C$3:$C751,"&lt;&gt;U",$S$3:$S751,Calc!$F$2)=1,1,0))</f>
        <v/>
      </c>
      <c r="R751" s="35" t="str">
        <f aca="false">IF($Q751=1,$O751-ROW()/100000,"")</f>
        <v/>
      </c>
      <c r="S751" s="37" t="str">
        <f aca="false">IF($A751="","",INT($A751))</f>
        <v/>
      </c>
      <c r="T751" s="35" t="str">
        <f aca="false">IF($A751="","",IF(COUNTIFS($S$3:$S751,$S751)=1,1,0))</f>
        <v/>
      </c>
      <c r="U751" s="37" t="str">
        <f aca="false">IF($T751=1,$S751,"")</f>
        <v/>
      </c>
    </row>
    <row r="752" customFormat="false" ht="15" hidden="false" customHeight="false" outlineLevel="0" collapsed="false">
      <c r="M752" s="35" t="str">
        <f aca="false">IF($A752="","",HOUR($A752))</f>
        <v/>
      </c>
      <c r="N752" s="36" t="str">
        <f aca="false">IF($A752="","",$I752*$K752)</f>
        <v/>
      </c>
      <c r="O752" s="35" t="str">
        <f aca="false">IF(OR($A752="",$C752="U",$S752&lt;&gt;Calc!$F$2),"",SUMIFS($I$3:$I$3002,$E$3:$E$3002,$E752,$C$3:$C$3002,"&lt;&gt;U",$S$3:$S$3002,Calc!$F$2))</f>
        <v/>
      </c>
      <c r="P752" s="35" t="str">
        <f aca="false">IF(OR($A752="",$C752="U",$S752&lt;&gt;Calc!$F$2),"",SUMIFS($N$3:$N$3002,$E$3:$E$3002,$E752,$C$3:$C$3002,"&lt;&gt;U",$S$3:$S$3002,Calc!$F$2))</f>
        <v/>
      </c>
      <c r="Q752" s="35" t="str">
        <f aca="false">IF(OR($A752="",$C752="U",$S752&lt;&gt;Calc!$F$2),"",IF(COUNTIFS($E$3:$E752,$E752,$C$3:$C752,"&lt;&gt;U",$S$3:$S752,Calc!$F$2)=1,1,0))</f>
        <v/>
      </c>
      <c r="R752" s="35" t="str">
        <f aca="false">IF($Q752=1,$O752-ROW()/100000,"")</f>
        <v/>
      </c>
      <c r="S752" s="37" t="str">
        <f aca="false">IF($A752="","",INT($A752))</f>
        <v/>
      </c>
      <c r="T752" s="35" t="str">
        <f aca="false">IF($A752="","",IF(COUNTIFS($S$3:$S752,$S752)=1,1,0))</f>
        <v/>
      </c>
      <c r="U752" s="37" t="str">
        <f aca="false">IF($T752=1,$S752,"")</f>
        <v/>
      </c>
    </row>
    <row r="753" customFormat="false" ht="15" hidden="false" customHeight="false" outlineLevel="0" collapsed="false">
      <c r="M753" s="35" t="str">
        <f aca="false">IF($A753="","",HOUR($A753))</f>
        <v/>
      </c>
      <c r="N753" s="36" t="str">
        <f aca="false">IF($A753="","",$I753*$K753)</f>
        <v/>
      </c>
      <c r="O753" s="35" t="str">
        <f aca="false">IF(OR($A753="",$C753="U",$S753&lt;&gt;Calc!$F$2),"",SUMIFS($I$3:$I$3002,$E$3:$E$3002,$E753,$C$3:$C$3002,"&lt;&gt;U",$S$3:$S$3002,Calc!$F$2))</f>
        <v/>
      </c>
      <c r="P753" s="35" t="str">
        <f aca="false">IF(OR($A753="",$C753="U",$S753&lt;&gt;Calc!$F$2),"",SUMIFS($N$3:$N$3002,$E$3:$E$3002,$E753,$C$3:$C$3002,"&lt;&gt;U",$S$3:$S$3002,Calc!$F$2))</f>
        <v/>
      </c>
      <c r="Q753" s="35" t="str">
        <f aca="false">IF(OR($A753="",$C753="U",$S753&lt;&gt;Calc!$F$2),"",IF(COUNTIFS($E$3:$E753,$E753,$C$3:$C753,"&lt;&gt;U",$S$3:$S753,Calc!$F$2)=1,1,0))</f>
        <v/>
      </c>
      <c r="R753" s="35" t="str">
        <f aca="false">IF($Q753=1,$O753-ROW()/100000,"")</f>
        <v/>
      </c>
      <c r="S753" s="37" t="str">
        <f aca="false">IF($A753="","",INT($A753))</f>
        <v/>
      </c>
      <c r="T753" s="35" t="str">
        <f aca="false">IF($A753="","",IF(COUNTIFS($S$3:$S753,$S753)=1,1,0))</f>
        <v/>
      </c>
      <c r="U753" s="37" t="str">
        <f aca="false">IF($T753=1,$S753,"")</f>
        <v/>
      </c>
    </row>
    <row r="754" customFormat="false" ht="15" hidden="false" customHeight="false" outlineLevel="0" collapsed="false">
      <c r="M754" s="35" t="str">
        <f aca="false">IF($A754="","",HOUR($A754))</f>
        <v/>
      </c>
      <c r="N754" s="36" t="str">
        <f aca="false">IF($A754="","",$I754*$K754)</f>
        <v/>
      </c>
      <c r="O754" s="35" t="str">
        <f aca="false">IF(OR($A754="",$C754="U",$S754&lt;&gt;Calc!$F$2),"",SUMIFS($I$3:$I$3002,$E$3:$E$3002,$E754,$C$3:$C$3002,"&lt;&gt;U",$S$3:$S$3002,Calc!$F$2))</f>
        <v/>
      </c>
      <c r="P754" s="35" t="str">
        <f aca="false">IF(OR($A754="",$C754="U",$S754&lt;&gt;Calc!$F$2),"",SUMIFS($N$3:$N$3002,$E$3:$E$3002,$E754,$C$3:$C$3002,"&lt;&gt;U",$S$3:$S$3002,Calc!$F$2))</f>
        <v/>
      </c>
      <c r="Q754" s="35" t="str">
        <f aca="false">IF(OR($A754="",$C754="U",$S754&lt;&gt;Calc!$F$2),"",IF(COUNTIFS($E$3:$E754,$E754,$C$3:$C754,"&lt;&gt;U",$S$3:$S754,Calc!$F$2)=1,1,0))</f>
        <v/>
      </c>
      <c r="R754" s="35" t="str">
        <f aca="false">IF($Q754=1,$O754-ROW()/100000,"")</f>
        <v/>
      </c>
      <c r="S754" s="37" t="str">
        <f aca="false">IF($A754="","",INT($A754))</f>
        <v/>
      </c>
      <c r="T754" s="35" t="str">
        <f aca="false">IF($A754="","",IF(COUNTIFS($S$3:$S754,$S754)=1,1,0))</f>
        <v/>
      </c>
      <c r="U754" s="37" t="str">
        <f aca="false">IF($T754=1,$S754,"")</f>
        <v/>
      </c>
    </row>
    <row r="755" customFormat="false" ht="15" hidden="false" customHeight="false" outlineLevel="0" collapsed="false">
      <c r="M755" s="35" t="str">
        <f aca="false">IF($A755="","",HOUR($A755))</f>
        <v/>
      </c>
      <c r="N755" s="36" t="str">
        <f aca="false">IF($A755="","",$I755*$K755)</f>
        <v/>
      </c>
      <c r="O755" s="35" t="str">
        <f aca="false">IF(OR($A755="",$C755="U",$S755&lt;&gt;Calc!$F$2),"",SUMIFS($I$3:$I$3002,$E$3:$E$3002,$E755,$C$3:$C$3002,"&lt;&gt;U",$S$3:$S$3002,Calc!$F$2))</f>
        <v/>
      </c>
      <c r="P755" s="35" t="str">
        <f aca="false">IF(OR($A755="",$C755="U",$S755&lt;&gt;Calc!$F$2),"",SUMIFS($N$3:$N$3002,$E$3:$E$3002,$E755,$C$3:$C$3002,"&lt;&gt;U",$S$3:$S$3002,Calc!$F$2))</f>
        <v/>
      </c>
      <c r="Q755" s="35" t="str">
        <f aca="false">IF(OR($A755="",$C755="U",$S755&lt;&gt;Calc!$F$2),"",IF(COUNTIFS($E$3:$E755,$E755,$C$3:$C755,"&lt;&gt;U",$S$3:$S755,Calc!$F$2)=1,1,0))</f>
        <v/>
      </c>
      <c r="R755" s="35" t="str">
        <f aca="false">IF($Q755=1,$O755-ROW()/100000,"")</f>
        <v/>
      </c>
      <c r="S755" s="37" t="str">
        <f aca="false">IF($A755="","",INT($A755))</f>
        <v/>
      </c>
      <c r="T755" s="35" t="str">
        <f aca="false">IF($A755="","",IF(COUNTIFS($S$3:$S755,$S755)=1,1,0))</f>
        <v/>
      </c>
      <c r="U755" s="37" t="str">
        <f aca="false">IF($T755=1,$S755,"")</f>
        <v/>
      </c>
    </row>
    <row r="756" customFormat="false" ht="15" hidden="false" customHeight="false" outlineLevel="0" collapsed="false">
      <c r="M756" s="35" t="str">
        <f aca="false">IF($A756="","",HOUR($A756))</f>
        <v/>
      </c>
      <c r="N756" s="36" t="str">
        <f aca="false">IF($A756="","",$I756*$K756)</f>
        <v/>
      </c>
      <c r="O756" s="35" t="str">
        <f aca="false">IF(OR($A756="",$C756="U",$S756&lt;&gt;Calc!$F$2),"",SUMIFS($I$3:$I$3002,$E$3:$E$3002,$E756,$C$3:$C$3002,"&lt;&gt;U",$S$3:$S$3002,Calc!$F$2))</f>
        <v/>
      </c>
      <c r="P756" s="35" t="str">
        <f aca="false">IF(OR($A756="",$C756="U",$S756&lt;&gt;Calc!$F$2),"",SUMIFS($N$3:$N$3002,$E$3:$E$3002,$E756,$C$3:$C$3002,"&lt;&gt;U",$S$3:$S$3002,Calc!$F$2))</f>
        <v/>
      </c>
      <c r="Q756" s="35" t="str">
        <f aca="false">IF(OR($A756="",$C756="U",$S756&lt;&gt;Calc!$F$2),"",IF(COUNTIFS($E$3:$E756,$E756,$C$3:$C756,"&lt;&gt;U",$S$3:$S756,Calc!$F$2)=1,1,0))</f>
        <v/>
      </c>
      <c r="R756" s="35" t="str">
        <f aca="false">IF($Q756=1,$O756-ROW()/100000,"")</f>
        <v/>
      </c>
      <c r="S756" s="37" t="str">
        <f aca="false">IF($A756="","",INT($A756))</f>
        <v/>
      </c>
      <c r="T756" s="35" t="str">
        <f aca="false">IF($A756="","",IF(COUNTIFS($S$3:$S756,$S756)=1,1,0))</f>
        <v/>
      </c>
      <c r="U756" s="37" t="str">
        <f aca="false">IF($T756=1,$S756,"")</f>
        <v/>
      </c>
    </row>
    <row r="757" customFormat="false" ht="15" hidden="false" customHeight="false" outlineLevel="0" collapsed="false">
      <c r="M757" s="35" t="str">
        <f aca="false">IF($A757="","",HOUR($A757))</f>
        <v/>
      </c>
      <c r="N757" s="36" t="str">
        <f aca="false">IF($A757="","",$I757*$K757)</f>
        <v/>
      </c>
      <c r="O757" s="35" t="str">
        <f aca="false">IF(OR($A757="",$C757="U",$S757&lt;&gt;Calc!$F$2),"",SUMIFS($I$3:$I$3002,$E$3:$E$3002,$E757,$C$3:$C$3002,"&lt;&gt;U",$S$3:$S$3002,Calc!$F$2))</f>
        <v/>
      </c>
      <c r="P757" s="35" t="str">
        <f aca="false">IF(OR($A757="",$C757="U",$S757&lt;&gt;Calc!$F$2),"",SUMIFS($N$3:$N$3002,$E$3:$E$3002,$E757,$C$3:$C$3002,"&lt;&gt;U",$S$3:$S$3002,Calc!$F$2))</f>
        <v/>
      </c>
      <c r="Q757" s="35" t="str">
        <f aca="false">IF(OR($A757="",$C757="U",$S757&lt;&gt;Calc!$F$2),"",IF(COUNTIFS($E$3:$E757,$E757,$C$3:$C757,"&lt;&gt;U",$S$3:$S757,Calc!$F$2)=1,1,0))</f>
        <v/>
      </c>
      <c r="R757" s="35" t="str">
        <f aca="false">IF($Q757=1,$O757-ROW()/100000,"")</f>
        <v/>
      </c>
      <c r="S757" s="37" t="str">
        <f aca="false">IF($A757="","",INT($A757))</f>
        <v/>
      </c>
      <c r="T757" s="35" t="str">
        <f aca="false">IF($A757="","",IF(COUNTIFS($S$3:$S757,$S757)=1,1,0))</f>
        <v/>
      </c>
      <c r="U757" s="37" t="str">
        <f aca="false">IF($T757=1,$S757,"")</f>
        <v/>
      </c>
    </row>
    <row r="758" customFormat="false" ht="15" hidden="false" customHeight="false" outlineLevel="0" collapsed="false">
      <c r="M758" s="35" t="str">
        <f aca="false">IF($A758="","",HOUR($A758))</f>
        <v/>
      </c>
      <c r="N758" s="36" t="str">
        <f aca="false">IF($A758="","",$I758*$K758)</f>
        <v/>
      </c>
      <c r="O758" s="35" t="str">
        <f aca="false">IF(OR($A758="",$C758="U",$S758&lt;&gt;Calc!$F$2),"",SUMIFS($I$3:$I$3002,$E$3:$E$3002,$E758,$C$3:$C$3002,"&lt;&gt;U",$S$3:$S$3002,Calc!$F$2))</f>
        <v/>
      </c>
      <c r="P758" s="35" t="str">
        <f aca="false">IF(OR($A758="",$C758="U",$S758&lt;&gt;Calc!$F$2),"",SUMIFS($N$3:$N$3002,$E$3:$E$3002,$E758,$C$3:$C$3002,"&lt;&gt;U",$S$3:$S$3002,Calc!$F$2))</f>
        <v/>
      </c>
      <c r="Q758" s="35" t="str">
        <f aca="false">IF(OR($A758="",$C758="U",$S758&lt;&gt;Calc!$F$2),"",IF(COUNTIFS($E$3:$E758,$E758,$C$3:$C758,"&lt;&gt;U",$S$3:$S758,Calc!$F$2)=1,1,0))</f>
        <v/>
      </c>
      <c r="R758" s="35" t="str">
        <f aca="false">IF($Q758=1,$O758-ROW()/100000,"")</f>
        <v/>
      </c>
      <c r="S758" s="37" t="str">
        <f aca="false">IF($A758="","",INT($A758))</f>
        <v/>
      </c>
      <c r="T758" s="35" t="str">
        <f aca="false">IF($A758="","",IF(COUNTIFS($S$3:$S758,$S758)=1,1,0))</f>
        <v/>
      </c>
      <c r="U758" s="37" t="str">
        <f aca="false">IF($T758=1,$S758,"")</f>
        <v/>
      </c>
    </row>
    <row r="759" customFormat="false" ht="15" hidden="false" customHeight="false" outlineLevel="0" collapsed="false">
      <c r="M759" s="35" t="str">
        <f aca="false">IF($A759="","",HOUR($A759))</f>
        <v/>
      </c>
      <c r="N759" s="36" t="str">
        <f aca="false">IF($A759="","",$I759*$K759)</f>
        <v/>
      </c>
      <c r="O759" s="35" t="str">
        <f aca="false">IF(OR($A759="",$C759="U",$S759&lt;&gt;Calc!$F$2),"",SUMIFS($I$3:$I$3002,$E$3:$E$3002,$E759,$C$3:$C$3002,"&lt;&gt;U",$S$3:$S$3002,Calc!$F$2))</f>
        <v/>
      </c>
      <c r="P759" s="35" t="str">
        <f aca="false">IF(OR($A759="",$C759="U",$S759&lt;&gt;Calc!$F$2),"",SUMIFS($N$3:$N$3002,$E$3:$E$3002,$E759,$C$3:$C$3002,"&lt;&gt;U",$S$3:$S$3002,Calc!$F$2))</f>
        <v/>
      </c>
      <c r="Q759" s="35" t="str">
        <f aca="false">IF(OR($A759="",$C759="U",$S759&lt;&gt;Calc!$F$2),"",IF(COUNTIFS($E$3:$E759,$E759,$C$3:$C759,"&lt;&gt;U",$S$3:$S759,Calc!$F$2)=1,1,0))</f>
        <v/>
      </c>
      <c r="R759" s="35" t="str">
        <f aca="false">IF($Q759=1,$O759-ROW()/100000,"")</f>
        <v/>
      </c>
      <c r="S759" s="37" t="str">
        <f aca="false">IF($A759="","",INT($A759))</f>
        <v/>
      </c>
      <c r="T759" s="35" t="str">
        <f aca="false">IF($A759="","",IF(COUNTIFS($S$3:$S759,$S759)=1,1,0))</f>
        <v/>
      </c>
      <c r="U759" s="37" t="str">
        <f aca="false">IF($T759=1,$S759,"")</f>
        <v/>
      </c>
    </row>
    <row r="760" customFormat="false" ht="15" hidden="false" customHeight="false" outlineLevel="0" collapsed="false">
      <c r="M760" s="35" t="str">
        <f aca="false">IF($A760="","",HOUR($A760))</f>
        <v/>
      </c>
      <c r="N760" s="36" t="str">
        <f aca="false">IF($A760="","",$I760*$K760)</f>
        <v/>
      </c>
      <c r="O760" s="35" t="str">
        <f aca="false">IF(OR($A760="",$C760="U",$S760&lt;&gt;Calc!$F$2),"",SUMIFS($I$3:$I$3002,$E$3:$E$3002,$E760,$C$3:$C$3002,"&lt;&gt;U",$S$3:$S$3002,Calc!$F$2))</f>
        <v/>
      </c>
      <c r="P760" s="35" t="str">
        <f aca="false">IF(OR($A760="",$C760="U",$S760&lt;&gt;Calc!$F$2),"",SUMIFS($N$3:$N$3002,$E$3:$E$3002,$E760,$C$3:$C$3002,"&lt;&gt;U",$S$3:$S$3002,Calc!$F$2))</f>
        <v/>
      </c>
      <c r="Q760" s="35" t="str">
        <f aca="false">IF(OR($A760="",$C760="U",$S760&lt;&gt;Calc!$F$2),"",IF(COUNTIFS($E$3:$E760,$E760,$C$3:$C760,"&lt;&gt;U",$S$3:$S760,Calc!$F$2)=1,1,0))</f>
        <v/>
      </c>
      <c r="R760" s="35" t="str">
        <f aca="false">IF($Q760=1,$O760-ROW()/100000,"")</f>
        <v/>
      </c>
      <c r="S760" s="37" t="str">
        <f aca="false">IF($A760="","",INT($A760))</f>
        <v/>
      </c>
      <c r="T760" s="35" t="str">
        <f aca="false">IF($A760="","",IF(COUNTIFS($S$3:$S760,$S760)=1,1,0))</f>
        <v/>
      </c>
      <c r="U760" s="37" t="str">
        <f aca="false">IF($T760=1,$S760,"")</f>
        <v/>
      </c>
    </row>
    <row r="761" customFormat="false" ht="15" hidden="false" customHeight="false" outlineLevel="0" collapsed="false">
      <c r="M761" s="35" t="str">
        <f aca="false">IF($A761="","",HOUR($A761))</f>
        <v/>
      </c>
      <c r="N761" s="36" t="str">
        <f aca="false">IF($A761="","",$I761*$K761)</f>
        <v/>
      </c>
      <c r="O761" s="35" t="str">
        <f aca="false">IF(OR($A761="",$C761="U",$S761&lt;&gt;Calc!$F$2),"",SUMIFS($I$3:$I$3002,$E$3:$E$3002,$E761,$C$3:$C$3002,"&lt;&gt;U",$S$3:$S$3002,Calc!$F$2))</f>
        <v/>
      </c>
      <c r="P761" s="35" t="str">
        <f aca="false">IF(OR($A761="",$C761="U",$S761&lt;&gt;Calc!$F$2),"",SUMIFS($N$3:$N$3002,$E$3:$E$3002,$E761,$C$3:$C$3002,"&lt;&gt;U",$S$3:$S$3002,Calc!$F$2))</f>
        <v/>
      </c>
      <c r="Q761" s="35" t="str">
        <f aca="false">IF(OR($A761="",$C761="U",$S761&lt;&gt;Calc!$F$2),"",IF(COUNTIFS($E$3:$E761,$E761,$C$3:$C761,"&lt;&gt;U",$S$3:$S761,Calc!$F$2)=1,1,0))</f>
        <v/>
      </c>
      <c r="R761" s="35" t="str">
        <f aca="false">IF($Q761=1,$O761-ROW()/100000,"")</f>
        <v/>
      </c>
      <c r="S761" s="37" t="str">
        <f aca="false">IF($A761="","",INT($A761))</f>
        <v/>
      </c>
      <c r="T761" s="35" t="str">
        <f aca="false">IF($A761="","",IF(COUNTIFS($S$3:$S761,$S761)=1,1,0))</f>
        <v/>
      </c>
      <c r="U761" s="37" t="str">
        <f aca="false">IF($T761=1,$S761,"")</f>
        <v/>
      </c>
    </row>
    <row r="762" customFormat="false" ht="15" hidden="false" customHeight="false" outlineLevel="0" collapsed="false">
      <c r="M762" s="35" t="str">
        <f aca="false">IF($A762="","",HOUR($A762))</f>
        <v/>
      </c>
      <c r="N762" s="36" t="str">
        <f aca="false">IF($A762="","",$I762*$K762)</f>
        <v/>
      </c>
      <c r="O762" s="35" t="str">
        <f aca="false">IF(OR($A762="",$C762="U",$S762&lt;&gt;Calc!$F$2),"",SUMIFS($I$3:$I$3002,$E$3:$E$3002,$E762,$C$3:$C$3002,"&lt;&gt;U",$S$3:$S$3002,Calc!$F$2))</f>
        <v/>
      </c>
      <c r="P762" s="35" t="str">
        <f aca="false">IF(OR($A762="",$C762="U",$S762&lt;&gt;Calc!$F$2),"",SUMIFS($N$3:$N$3002,$E$3:$E$3002,$E762,$C$3:$C$3002,"&lt;&gt;U",$S$3:$S$3002,Calc!$F$2))</f>
        <v/>
      </c>
      <c r="Q762" s="35" t="str">
        <f aca="false">IF(OR($A762="",$C762="U",$S762&lt;&gt;Calc!$F$2),"",IF(COUNTIFS($E$3:$E762,$E762,$C$3:$C762,"&lt;&gt;U",$S$3:$S762,Calc!$F$2)=1,1,0))</f>
        <v/>
      </c>
      <c r="R762" s="35" t="str">
        <f aca="false">IF($Q762=1,$O762-ROW()/100000,"")</f>
        <v/>
      </c>
      <c r="S762" s="37" t="str">
        <f aca="false">IF($A762="","",INT($A762))</f>
        <v/>
      </c>
      <c r="T762" s="35" t="str">
        <f aca="false">IF($A762="","",IF(COUNTIFS($S$3:$S762,$S762)=1,1,0))</f>
        <v/>
      </c>
      <c r="U762" s="37" t="str">
        <f aca="false">IF($T762=1,$S762,"")</f>
        <v/>
      </c>
    </row>
    <row r="763" customFormat="false" ht="15" hidden="false" customHeight="false" outlineLevel="0" collapsed="false">
      <c r="M763" s="35" t="str">
        <f aca="false">IF($A763="","",HOUR($A763))</f>
        <v/>
      </c>
      <c r="N763" s="36" t="str">
        <f aca="false">IF($A763="","",$I763*$K763)</f>
        <v/>
      </c>
      <c r="O763" s="35" t="str">
        <f aca="false">IF(OR($A763="",$C763="U",$S763&lt;&gt;Calc!$F$2),"",SUMIFS($I$3:$I$3002,$E$3:$E$3002,$E763,$C$3:$C$3002,"&lt;&gt;U",$S$3:$S$3002,Calc!$F$2))</f>
        <v/>
      </c>
      <c r="P763" s="35" t="str">
        <f aca="false">IF(OR($A763="",$C763="U",$S763&lt;&gt;Calc!$F$2),"",SUMIFS($N$3:$N$3002,$E$3:$E$3002,$E763,$C$3:$C$3002,"&lt;&gt;U",$S$3:$S$3002,Calc!$F$2))</f>
        <v/>
      </c>
      <c r="Q763" s="35" t="str">
        <f aca="false">IF(OR($A763="",$C763="U",$S763&lt;&gt;Calc!$F$2),"",IF(COUNTIFS($E$3:$E763,$E763,$C$3:$C763,"&lt;&gt;U",$S$3:$S763,Calc!$F$2)=1,1,0))</f>
        <v/>
      </c>
      <c r="R763" s="35" t="str">
        <f aca="false">IF($Q763=1,$O763-ROW()/100000,"")</f>
        <v/>
      </c>
      <c r="S763" s="37" t="str">
        <f aca="false">IF($A763="","",INT($A763))</f>
        <v/>
      </c>
      <c r="T763" s="35" t="str">
        <f aca="false">IF($A763="","",IF(COUNTIFS($S$3:$S763,$S763)=1,1,0))</f>
        <v/>
      </c>
      <c r="U763" s="37" t="str">
        <f aca="false">IF($T763=1,$S763,"")</f>
        <v/>
      </c>
    </row>
    <row r="764" customFormat="false" ht="15" hidden="false" customHeight="false" outlineLevel="0" collapsed="false">
      <c r="M764" s="35" t="str">
        <f aca="false">IF($A764="","",HOUR($A764))</f>
        <v/>
      </c>
      <c r="N764" s="36" t="str">
        <f aca="false">IF($A764="","",$I764*$K764)</f>
        <v/>
      </c>
      <c r="O764" s="35" t="str">
        <f aca="false">IF(OR($A764="",$C764="U",$S764&lt;&gt;Calc!$F$2),"",SUMIFS($I$3:$I$3002,$E$3:$E$3002,$E764,$C$3:$C$3002,"&lt;&gt;U",$S$3:$S$3002,Calc!$F$2))</f>
        <v/>
      </c>
      <c r="P764" s="35" t="str">
        <f aca="false">IF(OR($A764="",$C764="U",$S764&lt;&gt;Calc!$F$2),"",SUMIFS($N$3:$N$3002,$E$3:$E$3002,$E764,$C$3:$C$3002,"&lt;&gt;U",$S$3:$S$3002,Calc!$F$2))</f>
        <v/>
      </c>
      <c r="Q764" s="35" t="str">
        <f aca="false">IF(OR($A764="",$C764="U",$S764&lt;&gt;Calc!$F$2),"",IF(COUNTIFS($E$3:$E764,$E764,$C$3:$C764,"&lt;&gt;U",$S$3:$S764,Calc!$F$2)=1,1,0))</f>
        <v/>
      </c>
      <c r="R764" s="35" t="str">
        <f aca="false">IF($Q764=1,$O764-ROW()/100000,"")</f>
        <v/>
      </c>
      <c r="S764" s="37" t="str">
        <f aca="false">IF($A764="","",INT($A764))</f>
        <v/>
      </c>
      <c r="T764" s="35" t="str">
        <f aca="false">IF($A764="","",IF(COUNTIFS($S$3:$S764,$S764)=1,1,0))</f>
        <v/>
      </c>
      <c r="U764" s="37" t="str">
        <f aca="false">IF($T764=1,$S764,"")</f>
        <v/>
      </c>
    </row>
    <row r="765" customFormat="false" ht="15" hidden="false" customHeight="false" outlineLevel="0" collapsed="false">
      <c r="M765" s="35" t="str">
        <f aca="false">IF($A765="","",HOUR($A765))</f>
        <v/>
      </c>
      <c r="N765" s="36" t="str">
        <f aca="false">IF($A765="","",$I765*$K765)</f>
        <v/>
      </c>
      <c r="O765" s="35" t="str">
        <f aca="false">IF(OR($A765="",$C765="U",$S765&lt;&gt;Calc!$F$2),"",SUMIFS($I$3:$I$3002,$E$3:$E$3002,$E765,$C$3:$C$3002,"&lt;&gt;U",$S$3:$S$3002,Calc!$F$2))</f>
        <v/>
      </c>
      <c r="P765" s="35" t="str">
        <f aca="false">IF(OR($A765="",$C765="U",$S765&lt;&gt;Calc!$F$2),"",SUMIFS($N$3:$N$3002,$E$3:$E$3002,$E765,$C$3:$C$3002,"&lt;&gt;U",$S$3:$S$3002,Calc!$F$2))</f>
        <v/>
      </c>
      <c r="Q765" s="35" t="str">
        <f aca="false">IF(OR($A765="",$C765="U",$S765&lt;&gt;Calc!$F$2),"",IF(COUNTIFS($E$3:$E765,$E765,$C$3:$C765,"&lt;&gt;U",$S$3:$S765,Calc!$F$2)=1,1,0))</f>
        <v/>
      </c>
      <c r="R765" s="35" t="str">
        <f aca="false">IF($Q765=1,$O765-ROW()/100000,"")</f>
        <v/>
      </c>
      <c r="S765" s="37" t="str">
        <f aca="false">IF($A765="","",INT($A765))</f>
        <v/>
      </c>
      <c r="T765" s="35" t="str">
        <f aca="false">IF($A765="","",IF(COUNTIFS($S$3:$S765,$S765)=1,1,0))</f>
        <v/>
      </c>
      <c r="U765" s="37" t="str">
        <f aca="false">IF($T765=1,$S765,"")</f>
        <v/>
      </c>
    </row>
    <row r="766" customFormat="false" ht="15" hidden="false" customHeight="false" outlineLevel="0" collapsed="false">
      <c r="M766" s="35" t="str">
        <f aca="false">IF($A766="","",HOUR($A766))</f>
        <v/>
      </c>
      <c r="N766" s="36" t="str">
        <f aca="false">IF($A766="","",$I766*$K766)</f>
        <v/>
      </c>
      <c r="O766" s="35" t="str">
        <f aca="false">IF(OR($A766="",$C766="U",$S766&lt;&gt;Calc!$F$2),"",SUMIFS($I$3:$I$3002,$E$3:$E$3002,$E766,$C$3:$C$3002,"&lt;&gt;U",$S$3:$S$3002,Calc!$F$2))</f>
        <v/>
      </c>
      <c r="P766" s="35" t="str">
        <f aca="false">IF(OR($A766="",$C766="U",$S766&lt;&gt;Calc!$F$2),"",SUMIFS($N$3:$N$3002,$E$3:$E$3002,$E766,$C$3:$C$3002,"&lt;&gt;U",$S$3:$S$3002,Calc!$F$2))</f>
        <v/>
      </c>
      <c r="Q766" s="35" t="str">
        <f aca="false">IF(OR($A766="",$C766="U",$S766&lt;&gt;Calc!$F$2),"",IF(COUNTIFS($E$3:$E766,$E766,$C$3:$C766,"&lt;&gt;U",$S$3:$S766,Calc!$F$2)=1,1,0))</f>
        <v/>
      </c>
      <c r="R766" s="35" t="str">
        <f aca="false">IF($Q766=1,$O766-ROW()/100000,"")</f>
        <v/>
      </c>
      <c r="S766" s="37" t="str">
        <f aca="false">IF($A766="","",INT($A766))</f>
        <v/>
      </c>
      <c r="T766" s="35" t="str">
        <f aca="false">IF($A766="","",IF(COUNTIFS($S$3:$S766,$S766)=1,1,0))</f>
        <v/>
      </c>
      <c r="U766" s="37" t="str">
        <f aca="false">IF($T766=1,$S766,"")</f>
        <v/>
      </c>
    </row>
    <row r="767" customFormat="false" ht="15" hidden="false" customHeight="false" outlineLevel="0" collapsed="false">
      <c r="M767" s="35" t="str">
        <f aca="false">IF($A767="","",HOUR($A767))</f>
        <v/>
      </c>
      <c r="N767" s="36" t="str">
        <f aca="false">IF($A767="","",$I767*$K767)</f>
        <v/>
      </c>
      <c r="O767" s="35" t="str">
        <f aca="false">IF(OR($A767="",$C767="U",$S767&lt;&gt;Calc!$F$2),"",SUMIFS($I$3:$I$3002,$E$3:$E$3002,$E767,$C$3:$C$3002,"&lt;&gt;U",$S$3:$S$3002,Calc!$F$2))</f>
        <v/>
      </c>
      <c r="P767" s="35" t="str">
        <f aca="false">IF(OR($A767="",$C767="U",$S767&lt;&gt;Calc!$F$2),"",SUMIFS($N$3:$N$3002,$E$3:$E$3002,$E767,$C$3:$C$3002,"&lt;&gt;U",$S$3:$S$3002,Calc!$F$2))</f>
        <v/>
      </c>
      <c r="Q767" s="35" t="str">
        <f aca="false">IF(OR($A767="",$C767="U",$S767&lt;&gt;Calc!$F$2),"",IF(COUNTIFS($E$3:$E767,$E767,$C$3:$C767,"&lt;&gt;U",$S$3:$S767,Calc!$F$2)=1,1,0))</f>
        <v/>
      </c>
      <c r="R767" s="35" t="str">
        <f aca="false">IF($Q767=1,$O767-ROW()/100000,"")</f>
        <v/>
      </c>
      <c r="S767" s="37" t="str">
        <f aca="false">IF($A767="","",INT($A767))</f>
        <v/>
      </c>
      <c r="T767" s="35" t="str">
        <f aca="false">IF($A767="","",IF(COUNTIFS($S$3:$S767,$S767)=1,1,0))</f>
        <v/>
      </c>
      <c r="U767" s="37" t="str">
        <f aca="false">IF($T767=1,$S767,"")</f>
        <v/>
      </c>
    </row>
    <row r="768" customFormat="false" ht="15" hidden="false" customHeight="false" outlineLevel="0" collapsed="false">
      <c r="M768" s="35" t="str">
        <f aca="false">IF($A768="","",HOUR($A768))</f>
        <v/>
      </c>
      <c r="N768" s="36" t="str">
        <f aca="false">IF($A768="","",$I768*$K768)</f>
        <v/>
      </c>
      <c r="O768" s="35" t="str">
        <f aca="false">IF(OR($A768="",$C768="U",$S768&lt;&gt;Calc!$F$2),"",SUMIFS($I$3:$I$3002,$E$3:$E$3002,$E768,$C$3:$C$3002,"&lt;&gt;U",$S$3:$S$3002,Calc!$F$2))</f>
        <v/>
      </c>
      <c r="P768" s="35" t="str">
        <f aca="false">IF(OR($A768="",$C768="U",$S768&lt;&gt;Calc!$F$2),"",SUMIFS($N$3:$N$3002,$E$3:$E$3002,$E768,$C$3:$C$3002,"&lt;&gt;U",$S$3:$S$3002,Calc!$F$2))</f>
        <v/>
      </c>
      <c r="Q768" s="35" t="str">
        <f aca="false">IF(OR($A768="",$C768="U",$S768&lt;&gt;Calc!$F$2),"",IF(COUNTIFS($E$3:$E768,$E768,$C$3:$C768,"&lt;&gt;U",$S$3:$S768,Calc!$F$2)=1,1,0))</f>
        <v/>
      </c>
      <c r="R768" s="35" t="str">
        <f aca="false">IF($Q768=1,$O768-ROW()/100000,"")</f>
        <v/>
      </c>
      <c r="S768" s="37" t="str">
        <f aca="false">IF($A768="","",INT($A768))</f>
        <v/>
      </c>
      <c r="T768" s="35" t="str">
        <f aca="false">IF($A768="","",IF(COUNTIFS($S$3:$S768,$S768)=1,1,0))</f>
        <v/>
      </c>
      <c r="U768" s="37" t="str">
        <f aca="false">IF($T768=1,$S768,"")</f>
        <v/>
      </c>
    </row>
    <row r="769" customFormat="false" ht="15" hidden="false" customHeight="false" outlineLevel="0" collapsed="false">
      <c r="M769" s="35" t="str">
        <f aca="false">IF($A769="","",HOUR($A769))</f>
        <v/>
      </c>
      <c r="N769" s="36" t="str">
        <f aca="false">IF($A769="","",$I769*$K769)</f>
        <v/>
      </c>
      <c r="O769" s="35" t="str">
        <f aca="false">IF(OR($A769="",$C769="U",$S769&lt;&gt;Calc!$F$2),"",SUMIFS($I$3:$I$3002,$E$3:$E$3002,$E769,$C$3:$C$3002,"&lt;&gt;U",$S$3:$S$3002,Calc!$F$2))</f>
        <v/>
      </c>
      <c r="P769" s="35" t="str">
        <f aca="false">IF(OR($A769="",$C769="U",$S769&lt;&gt;Calc!$F$2),"",SUMIFS($N$3:$N$3002,$E$3:$E$3002,$E769,$C$3:$C$3002,"&lt;&gt;U",$S$3:$S$3002,Calc!$F$2))</f>
        <v/>
      </c>
      <c r="Q769" s="35" t="str">
        <f aca="false">IF(OR($A769="",$C769="U",$S769&lt;&gt;Calc!$F$2),"",IF(COUNTIFS($E$3:$E769,$E769,$C$3:$C769,"&lt;&gt;U",$S$3:$S769,Calc!$F$2)=1,1,0))</f>
        <v/>
      </c>
      <c r="R769" s="35" t="str">
        <f aca="false">IF($Q769=1,$O769-ROW()/100000,"")</f>
        <v/>
      </c>
      <c r="S769" s="37" t="str">
        <f aca="false">IF($A769="","",INT($A769))</f>
        <v/>
      </c>
      <c r="T769" s="35" t="str">
        <f aca="false">IF($A769="","",IF(COUNTIFS($S$3:$S769,$S769)=1,1,0))</f>
        <v/>
      </c>
      <c r="U769" s="37" t="str">
        <f aca="false">IF($T769=1,$S769,"")</f>
        <v/>
      </c>
    </row>
    <row r="770" customFormat="false" ht="15" hidden="false" customHeight="false" outlineLevel="0" collapsed="false">
      <c r="M770" s="35" t="str">
        <f aca="false">IF($A770="","",HOUR($A770))</f>
        <v/>
      </c>
      <c r="N770" s="36" t="str">
        <f aca="false">IF($A770="","",$I770*$K770)</f>
        <v/>
      </c>
      <c r="O770" s="35" t="str">
        <f aca="false">IF(OR($A770="",$C770="U",$S770&lt;&gt;Calc!$F$2),"",SUMIFS($I$3:$I$3002,$E$3:$E$3002,$E770,$C$3:$C$3002,"&lt;&gt;U",$S$3:$S$3002,Calc!$F$2))</f>
        <v/>
      </c>
      <c r="P770" s="35" t="str">
        <f aca="false">IF(OR($A770="",$C770="U",$S770&lt;&gt;Calc!$F$2),"",SUMIFS($N$3:$N$3002,$E$3:$E$3002,$E770,$C$3:$C$3002,"&lt;&gt;U",$S$3:$S$3002,Calc!$F$2))</f>
        <v/>
      </c>
      <c r="Q770" s="35" t="str">
        <f aca="false">IF(OR($A770="",$C770="U",$S770&lt;&gt;Calc!$F$2),"",IF(COUNTIFS($E$3:$E770,$E770,$C$3:$C770,"&lt;&gt;U",$S$3:$S770,Calc!$F$2)=1,1,0))</f>
        <v/>
      </c>
      <c r="R770" s="35" t="str">
        <f aca="false">IF($Q770=1,$O770-ROW()/100000,"")</f>
        <v/>
      </c>
      <c r="S770" s="37" t="str">
        <f aca="false">IF($A770="","",INT($A770))</f>
        <v/>
      </c>
      <c r="T770" s="35" t="str">
        <f aca="false">IF($A770="","",IF(COUNTIFS($S$3:$S770,$S770)=1,1,0))</f>
        <v/>
      </c>
      <c r="U770" s="37" t="str">
        <f aca="false">IF($T770=1,$S770,"")</f>
        <v/>
      </c>
    </row>
    <row r="771" customFormat="false" ht="15" hidden="false" customHeight="false" outlineLevel="0" collapsed="false">
      <c r="M771" s="35" t="str">
        <f aca="false">IF($A771="","",HOUR($A771))</f>
        <v/>
      </c>
      <c r="N771" s="36" t="str">
        <f aca="false">IF($A771="","",$I771*$K771)</f>
        <v/>
      </c>
      <c r="O771" s="35" t="str">
        <f aca="false">IF(OR($A771="",$C771="U",$S771&lt;&gt;Calc!$F$2),"",SUMIFS($I$3:$I$3002,$E$3:$E$3002,$E771,$C$3:$C$3002,"&lt;&gt;U",$S$3:$S$3002,Calc!$F$2))</f>
        <v/>
      </c>
      <c r="P771" s="35" t="str">
        <f aca="false">IF(OR($A771="",$C771="U",$S771&lt;&gt;Calc!$F$2),"",SUMIFS($N$3:$N$3002,$E$3:$E$3002,$E771,$C$3:$C$3002,"&lt;&gt;U",$S$3:$S$3002,Calc!$F$2))</f>
        <v/>
      </c>
      <c r="Q771" s="35" t="str">
        <f aca="false">IF(OR($A771="",$C771="U",$S771&lt;&gt;Calc!$F$2),"",IF(COUNTIFS($E$3:$E771,$E771,$C$3:$C771,"&lt;&gt;U",$S$3:$S771,Calc!$F$2)=1,1,0))</f>
        <v/>
      </c>
      <c r="R771" s="35" t="str">
        <f aca="false">IF($Q771=1,$O771-ROW()/100000,"")</f>
        <v/>
      </c>
      <c r="S771" s="37" t="str">
        <f aca="false">IF($A771="","",INT($A771))</f>
        <v/>
      </c>
      <c r="T771" s="35" t="str">
        <f aca="false">IF($A771="","",IF(COUNTIFS($S$3:$S771,$S771)=1,1,0))</f>
        <v/>
      </c>
      <c r="U771" s="37" t="str">
        <f aca="false">IF($T771=1,$S771,"")</f>
        <v/>
      </c>
    </row>
    <row r="772" customFormat="false" ht="15" hidden="false" customHeight="false" outlineLevel="0" collapsed="false">
      <c r="M772" s="35" t="str">
        <f aca="false">IF($A772="","",HOUR($A772))</f>
        <v/>
      </c>
      <c r="N772" s="36" t="str">
        <f aca="false">IF($A772="","",$I772*$K772)</f>
        <v/>
      </c>
      <c r="O772" s="35" t="str">
        <f aca="false">IF(OR($A772="",$C772="U",$S772&lt;&gt;Calc!$F$2),"",SUMIFS($I$3:$I$3002,$E$3:$E$3002,$E772,$C$3:$C$3002,"&lt;&gt;U",$S$3:$S$3002,Calc!$F$2))</f>
        <v/>
      </c>
      <c r="P772" s="35" t="str">
        <f aca="false">IF(OR($A772="",$C772="U",$S772&lt;&gt;Calc!$F$2),"",SUMIFS($N$3:$N$3002,$E$3:$E$3002,$E772,$C$3:$C$3002,"&lt;&gt;U",$S$3:$S$3002,Calc!$F$2))</f>
        <v/>
      </c>
      <c r="Q772" s="35" t="str">
        <f aca="false">IF(OR($A772="",$C772="U",$S772&lt;&gt;Calc!$F$2),"",IF(COUNTIFS($E$3:$E772,$E772,$C$3:$C772,"&lt;&gt;U",$S$3:$S772,Calc!$F$2)=1,1,0))</f>
        <v/>
      </c>
      <c r="R772" s="35" t="str">
        <f aca="false">IF($Q772=1,$O772-ROW()/100000,"")</f>
        <v/>
      </c>
      <c r="S772" s="37" t="str">
        <f aca="false">IF($A772="","",INT($A772))</f>
        <v/>
      </c>
      <c r="T772" s="35" t="str">
        <f aca="false">IF($A772="","",IF(COUNTIFS($S$3:$S772,$S772)=1,1,0))</f>
        <v/>
      </c>
      <c r="U772" s="37" t="str">
        <f aca="false">IF($T772=1,$S772,"")</f>
        <v/>
      </c>
    </row>
    <row r="773" customFormat="false" ht="15" hidden="false" customHeight="false" outlineLevel="0" collapsed="false">
      <c r="M773" s="35" t="str">
        <f aca="false">IF($A773="","",HOUR($A773))</f>
        <v/>
      </c>
      <c r="N773" s="36" t="str">
        <f aca="false">IF($A773="","",$I773*$K773)</f>
        <v/>
      </c>
      <c r="O773" s="35" t="str">
        <f aca="false">IF(OR($A773="",$C773="U",$S773&lt;&gt;Calc!$F$2),"",SUMIFS($I$3:$I$3002,$E$3:$E$3002,$E773,$C$3:$C$3002,"&lt;&gt;U",$S$3:$S$3002,Calc!$F$2))</f>
        <v/>
      </c>
      <c r="P773" s="35" t="str">
        <f aca="false">IF(OR($A773="",$C773="U",$S773&lt;&gt;Calc!$F$2),"",SUMIFS($N$3:$N$3002,$E$3:$E$3002,$E773,$C$3:$C$3002,"&lt;&gt;U",$S$3:$S$3002,Calc!$F$2))</f>
        <v/>
      </c>
      <c r="Q773" s="35" t="str">
        <f aca="false">IF(OR($A773="",$C773="U",$S773&lt;&gt;Calc!$F$2),"",IF(COUNTIFS($E$3:$E773,$E773,$C$3:$C773,"&lt;&gt;U",$S$3:$S773,Calc!$F$2)=1,1,0))</f>
        <v/>
      </c>
      <c r="R773" s="35" t="str">
        <f aca="false">IF($Q773=1,$O773-ROW()/100000,"")</f>
        <v/>
      </c>
      <c r="S773" s="37" t="str">
        <f aca="false">IF($A773="","",INT($A773))</f>
        <v/>
      </c>
      <c r="T773" s="35" t="str">
        <f aca="false">IF($A773="","",IF(COUNTIFS($S$3:$S773,$S773)=1,1,0))</f>
        <v/>
      </c>
      <c r="U773" s="37" t="str">
        <f aca="false">IF($T773=1,$S773,"")</f>
        <v/>
      </c>
    </row>
    <row r="774" customFormat="false" ht="15" hidden="false" customHeight="false" outlineLevel="0" collapsed="false">
      <c r="M774" s="35" t="str">
        <f aca="false">IF($A774="","",HOUR($A774))</f>
        <v/>
      </c>
      <c r="N774" s="36" t="str">
        <f aca="false">IF($A774="","",$I774*$K774)</f>
        <v/>
      </c>
      <c r="O774" s="35" t="str">
        <f aca="false">IF(OR($A774="",$C774="U",$S774&lt;&gt;Calc!$F$2),"",SUMIFS($I$3:$I$3002,$E$3:$E$3002,$E774,$C$3:$C$3002,"&lt;&gt;U",$S$3:$S$3002,Calc!$F$2))</f>
        <v/>
      </c>
      <c r="P774" s="35" t="str">
        <f aca="false">IF(OR($A774="",$C774="U",$S774&lt;&gt;Calc!$F$2),"",SUMIFS($N$3:$N$3002,$E$3:$E$3002,$E774,$C$3:$C$3002,"&lt;&gt;U",$S$3:$S$3002,Calc!$F$2))</f>
        <v/>
      </c>
      <c r="Q774" s="35" t="str">
        <f aca="false">IF(OR($A774="",$C774="U",$S774&lt;&gt;Calc!$F$2),"",IF(COUNTIFS($E$3:$E774,$E774,$C$3:$C774,"&lt;&gt;U",$S$3:$S774,Calc!$F$2)=1,1,0))</f>
        <v/>
      </c>
      <c r="R774" s="35" t="str">
        <f aca="false">IF($Q774=1,$O774-ROW()/100000,"")</f>
        <v/>
      </c>
      <c r="S774" s="37" t="str">
        <f aca="false">IF($A774="","",INT($A774))</f>
        <v/>
      </c>
      <c r="T774" s="35" t="str">
        <f aca="false">IF($A774="","",IF(COUNTIFS($S$3:$S774,$S774)=1,1,0))</f>
        <v/>
      </c>
      <c r="U774" s="37" t="str">
        <f aca="false">IF($T774=1,$S774,"")</f>
        <v/>
      </c>
    </row>
    <row r="775" customFormat="false" ht="15" hidden="false" customHeight="false" outlineLevel="0" collapsed="false">
      <c r="M775" s="35" t="str">
        <f aca="false">IF($A775="","",HOUR($A775))</f>
        <v/>
      </c>
      <c r="N775" s="36" t="str">
        <f aca="false">IF($A775="","",$I775*$K775)</f>
        <v/>
      </c>
      <c r="O775" s="35" t="str">
        <f aca="false">IF(OR($A775="",$C775="U",$S775&lt;&gt;Calc!$F$2),"",SUMIFS($I$3:$I$3002,$E$3:$E$3002,$E775,$C$3:$C$3002,"&lt;&gt;U",$S$3:$S$3002,Calc!$F$2))</f>
        <v/>
      </c>
      <c r="P775" s="35" t="str">
        <f aca="false">IF(OR($A775="",$C775="U",$S775&lt;&gt;Calc!$F$2),"",SUMIFS($N$3:$N$3002,$E$3:$E$3002,$E775,$C$3:$C$3002,"&lt;&gt;U",$S$3:$S$3002,Calc!$F$2))</f>
        <v/>
      </c>
      <c r="Q775" s="35" t="str">
        <f aca="false">IF(OR($A775="",$C775="U",$S775&lt;&gt;Calc!$F$2),"",IF(COUNTIFS($E$3:$E775,$E775,$C$3:$C775,"&lt;&gt;U",$S$3:$S775,Calc!$F$2)=1,1,0))</f>
        <v/>
      </c>
      <c r="R775" s="35" t="str">
        <f aca="false">IF($Q775=1,$O775-ROW()/100000,"")</f>
        <v/>
      </c>
      <c r="S775" s="37" t="str">
        <f aca="false">IF($A775="","",INT($A775))</f>
        <v/>
      </c>
      <c r="T775" s="35" t="str">
        <f aca="false">IF($A775="","",IF(COUNTIFS($S$3:$S775,$S775)=1,1,0))</f>
        <v/>
      </c>
      <c r="U775" s="37" t="str">
        <f aca="false">IF($T775=1,$S775,"")</f>
        <v/>
      </c>
    </row>
    <row r="776" customFormat="false" ht="15" hidden="false" customHeight="false" outlineLevel="0" collapsed="false">
      <c r="M776" s="35" t="str">
        <f aca="false">IF($A776="","",HOUR($A776))</f>
        <v/>
      </c>
      <c r="N776" s="36" t="str">
        <f aca="false">IF($A776="","",$I776*$K776)</f>
        <v/>
      </c>
      <c r="O776" s="35" t="str">
        <f aca="false">IF(OR($A776="",$C776="U",$S776&lt;&gt;Calc!$F$2),"",SUMIFS($I$3:$I$3002,$E$3:$E$3002,$E776,$C$3:$C$3002,"&lt;&gt;U",$S$3:$S$3002,Calc!$F$2))</f>
        <v/>
      </c>
      <c r="P776" s="35" t="str">
        <f aca="false">IF(OR($A776="",$C776="U",$S776&lt;&gt;Calc!$F$2),"",SUMIFS($N$3:$N$3002,$E$3:$E$3002,$E776,$C$3:$C$3002,"&lt;&gt;U",$S$3:$S$3002,Calc!$F$2))</f>
        <v/>
      </c>
      <c r="Q776" s="35" t="str">
        <f aca="false">IF(OR($A776="",$C776="U",$S776&lt;&gt;Calc!$F$2),"",IF(COUNTIFS($E$3:$E776,$E776,$C$3:$C776,"&lt;&gt;U",$S$3:$S776,Calc!$F$2)=1,1,0))</f>
        <v/>
      </c>
      <c r="R776" s="35" t="str">
        <f aca="false">IF($Q776=1,$O776-ROW()/100000,"")</f>
        <v/>
      </c>
      <c r="S776" s="37" t="str">
        <f aca="false">IF($A776="","",INT($A776))</f>
        <v/>
      </c>
      <c r="T776" s="35" t="str">
        <f aca="false">IF($A776="","",IF(COUNTIFS($S$3:$S776,$S776)=1,1,0))</f>
        <v/>
      </c>
      <c r="U776" s="37" t="str">
        <f aca="false">IF($T776=1,$S776,"")</f>
        <v/>
      </c>
    </row>
    <row r="777" customFormat="false" ht="15" hidden="false" customHeight="false" outlineLevel="0" collapsed="false">
      <c r="M777" s="35" t="str">
        <f aca="false">IF($A777="","",HOUR($A777))</f>
        <v/>
      </c>
      <c r="N777" s="36" t="str">
        <f aca="false">IF($A777="","",$I777*$K777)</f>
        <v/>
      </c>
      <c r="O777" s="35" t="str">
        <f aca="false">IF(OR($A777="",$C777="U",$S777&lt;&gt;Calc!$F$2),"",SUMIFS($I$3:$I$3002,$E$3:$E$3002,$E777,$C$3:$C$3002,"&lt;&gt;U",$S$3:$S$3002,Calc!$F$2))</f>
        <v/>
      </c>
      <c r="P777" s="35" t="str">
        <f aca="false">IF(OR($A777="",$C777="U",$S777&lt;&gt;Calc!$F$2),"",SUMIFS($N$3:$N$3002,$E$3:$E$3002,$E777,$C$3:$C$3002,"&lt;&gt;U",$S$3:$S$3002,Calc!$F$2))</f>
        <v/>
      </c>
      <c r="Q777" s="35" t="str">
        <f aca="false">IF(OR($A777="",$C777="U",$S777&lt;&gt;Calc!$F$2),"",IF(COUNTIFS($E$3:$E777,$E777,$C$3:$C777,"&lt;&gt;U",$S$3:$S777,Calc!$F$2)=1,1,0))</f>
        <v/>
      </c>
      <c r="R777" s="35" t="str">
        <f aca="false">IF($Q777=1,$O777-ROW()/100000,"")</f>
        <v/>
      </c>
      <c r="S777" s="37" t="str">
        <f aca="false">IF($A777="","",INT($A777))</f>
        <v/>
      </c>
      <c r="T777" s="35" t="str">
        <f aca="false">IF($A777="","",IF(COUNTIFS($S$3:$S777,$S777)=1,1,0))</f>
        <v/>
      </c>
      <c r="U777" s="37" t="str">
        <f aca="false">IF($T777=1,$S777,"")</f>
        <v/>
      </c>
    </row>
    <row r="778" customFormat="false" ht="15" hidden="false" customHeight="false" outlineLevel="0" collapsed="false">
      <c r="M778" s="35" t="str">
        <f aca="false">IF($A778="","",HOUR($A778))</f>
        <v/>
      </c>
      <c r="N778" s="36" t="str">
        <f aca="false">IF($A778="","",$I778*$K778)</f>
        <v/>
      </c>
      <c r="O778" s="35" t="str">
        <f aca="false">IF(OR($A778="",$C778="U",$S778&lt;&gt;Calc!$F$2),"",SUMIFS($I$3:$I$3002,$E$3:$E$3002,$E778,$C$3:$C$3002,"&lt;&gt;U",$S$3:$S$3002,Calc!$F$2))</f>
        <v/>
      </c>
      <c r="P778" s="35" t="str">
        <f aca="false">IF(OR($A778="",$C778="U",$S778&lt;&gt;Calc!$F$2),"",SUMIFS($N$3:$N$3002,$E$3:$E$3002,$E778,$C$3:$C$3002,"&lt;&gt;U",$S$3:$S$3002,Calc!$F$2))</f>
        <v/>
      </c>
      <c r="Q778" s="35" t="str">
        <f aca="false">IF(OR($A778="",$C778="U",$S778&lt;&gt;Calc!$F$2),"",IF(COUNTIFS($E$3:$E778,$E778,$C$3:$C778,"&lt;&gt;U",$S$3:$S778,Calc!$F$2)=1,1,0))</f>
        <v/>
      </c>
      <c r="R778" s="35" t="str">
        <f aca="false">IF($Q778=1,$O778-ROW()/100000,"")</f>
        <v/>
      </c>
      <c r="S778" s="37" t="str">
        <f aca="false">IF($A778="","",INT($A778))</f>
        <v/>
      </c>
      <c r="T778" s="35" t="str">
        <f aca="false">IF($A778="","",IF(COUNTIFS($S$3:$S778,$S778)=1,1,0))</f>
        <v/>
      </c>
      <c r="U778" s="37" t="str">
        <f aca="false">IF($T778=1,$S778,"")</f>
        <v/>
      </c>
    </row>
    <row r="779" customFormat="false" ht="15" hidden="false" customHeight="false" outlineLevel="0" collapsed="false">
      <c r="M779" s="35" t="str">
        <f aca="false">IF($A779="","",HOUR($A779))</f>
        <v/>
      </c>
      <c r="N779" s="36" t="str">
        <f aca="false">IF($A779="","",$I779*$K779)</f>
        <v/>
      </c>
      <c r="O779" s="35" t="str">
        <f aca="false">IF(OR($A779="",$C779="U",$S779&lt;&gt;Calc!$F$2),"",SUMIFS($I$3:$I$3002,$E$3:$E$3002,$E779,$C$3:$C$3002,"&lt;&gt;U",$S$3:$S$3002,Calc!$F$2))</f>
        <v/>
      </c>
      <c r="P779" s="35" t="str">
        <f aca="false">IF(OR($A779="",$C779="U",$S779&lt;&gt;Calc!$F$2),"",SUMIFS($N$3:$N$3002,$E$3:$E$3002,$E779,$C$3:$C$3002,"&lt;&gt;U",$S$3:$S$3002,Calc!$F$2))</f>
        <v/>
      </c>
      <c r="Q779" s="35" t="str">
        <f aca="false">IF(OR($A779="",$C779="U",$S779&lt;&gt;Calc!$F$2),"",IF(COUNTIFS($E$3:$E779,$E779,$C$3:$C779,"&lt;&gt;U",$S$3:$S779,Calc!$F$2)=1,1,0))</f>
        <v/>
      </c>
      <c r="R779" s="35" t="str">
        <f aca="false">IF($Q779=1,$O779-ROW()/100000,"")</f>
        <v/>
      </c>
      <c r="S779" s="37" t="str">
        <f aca="false">IF($A779="","",INT($A779))</f>
        <v/>
      </c>
      <c r="T779" s="35" t="str">
        <f aca="false">IF($A779="","",IF(COUNTIFS($S$3:$S779,$S779)=1,1,0))</f>
        <v/>
      </c>
      <c r="U779" s="37" t="str">
        <f aca="false">IF($T779=1,$S779,"")</f>
        <v/>
      </c>
    </row>
    <row r="780" customFormat="false" ht="15" hidden="false" customHeight="false" outlineLevel="0" collapsed="false">
      <c r="M780" s="35" t="str">
        <f aca="false">IF($A780="","",HOUR($A780))</f>
        <v/>
      </c>
      <c r="N780" s="36" t="str">
        <f aca="false">IF($A780="","",$I780*$K780)</f>
        <v/>
      </c>
      <c r="O780" s="35" t="str">
        <f aca="false">IF(OR($A780="",$C780="U",$S780&lt;&gt;Calc!$F$2),"",SUMIFS($I$3:$I$3002,$E$3:$E$3002,$E780,$C$3:$C$3002,"&lt;&gt;U",$S$3:$S$3002,Calc!$F$2))</f>
        <v/>
      </c>
      <c r="P780" s="35" t="str">
        <f aca="false">IF(OR($A780="",$C780="U",$S780&lt;&gt;Calc!$F$2),"",SUMIFS($N$3:$N$3002,$E$3:$E$3002,$E780,$C$3:$C$3002,"&lt;&gt;U",$S$3:$S$3002,Calc!$F$2))</f>
        <v/>
      </c>
      <c r="Q780" s="35" t="str">
        <f aca="false">IF(OR($A780="",$C780="U",$S780&lt;&gt;Calc!$F$2),"",IF(COUNTIFS($E$3:$E780,$E780,$C$3:$C780,"&lt;&gt;U",$S$3:$S780,Calc!$F$2)=1,1,0))</f>
        <v/>
      </c>
      <c r="R780" s="35" t="str">
        <f aca="false">IF($Q780=1,$O780-ROW()/100000,"")</f>
        <v/>
      </c>
      <c r="S780" s="37" t="str">
        <f aca="false">IF($A780="","",INT($A780))</f>
        <v/>
      </c>
      <c r="T780" s="35" t="str">
        <f aca="false">IF($A780="","",IF(COUNTIFS($S$3:$S780,$S780)=1,1,0))</f>
        <v/>
      </c>
      <c r="U780" s="37" t="str">
        <f aca="false">IF($T780=1,$S780,"")</f>
        <v/>
      </c>
    </row>
    <row r="781" customFormat="false" ht="15" hidden="false" customHeight="false" outlineLevel="0" collapsed="false">
      <c r="M781" s="35" t="str">
        <f aca="false">IF($A781="","",HOUR($A781))</f>
        <v/>
      </c>
      <c r="N781" s="36" t="str">
        <f aca="false">IF($A781="","",$I781*$K781)</f>
        <v/>
      </c>
      <c r="O781" s="35" t="str">
        <f aca="false">IF(OR($A781="",$C781="U",$S781&lt;&gt;Calc!$F$2),"",SUMIFS($I$3:$I$3002,$E$3:$E$3002,$E781,$C$3:$C$3002,"&lt;&gt;U",$S$3:$S$3002,Calc!$F$2))</f>
        <v/>
      </c>
      <c r="P781" s="35" t="str">
        <f aca="false">IF(OR($A781="",$C781="U",$S781&lt;&gt;Calc!$F$2),"",SUMIFS($N$3:$N$3002,$E$3:$E$3002,$E781,$C$3:$C$3002,"&lt;&gt;U",$S$3:$S$3002,Calc!$F$2))</f>
        <v/>
      </c>
      <c r="Q781" s="35" t="str">
        <f aca="false">IF(OR($A781="",$C781="U",$S781&lt;&gt;Calc!$F$2),"",IF(COUNTIFS($E$3:$E781,$E781,$C$3:$C781,"&lt;&gt;U",$S$3:$S781,Calc!$F$2)=1,1,0))</f>
        <v/>
      </c>
      <c r="R781" s="35" t="str">
        <f aca="false">IF($Q781=1,$O781-ROW()/100000,"")</f>
        <v/>
      </c>
      <c r="S781" s="37" t="str">
        <f aca="false">IF($A781="","",INT($A781))</f>
        <v/>
      </c>
      <c r="T781" s="35" t="str">
        <f aca="false">IF($A781="","",IF(COUNTIFS($S$3:$S781,$S781)=1,1,0))</f>
        <v/>
      </c>
      <c r="U781" s="37" t="str">
        <f aca="false">IF($T781=1,$S781,"")</f>
        <v/>
      </c>
    </row>
    <row r="782" customFormat="false" ht="15" hidden="false" customHeight="false" outlineLevel="0" collapsed="false">
      <c r="M782" s="35" t="str">
        <f aca="false">IF($A782="","",HOUR($A782))</f>
        <v/>
      </c>
      <c r="N782" s="36" t="str">
        <f aca="false">IF($A782="","",$I782*$K782)</f>
        <v/>
      </c>
      <c r="O782" s="35" t="str">
        <f aca="false">IF(OR($A782="",$C782="U",$S782&lt;&gt;Calc!$F$2),"",SUMIFS($I$3:$I$3002,$E$3:$E$3002,$E782,$C$3:$C$3002,"&lt;&gt;U",$S$3:$S$3002,Calc!$F$2))</f>
        <v/>
      </c>
      <c r="P782" s="35" t="str">
        <f aca="false">IF(OR($A782="",$C782="U",$S782&lt;&gt;Calc!$F$2),"",SUMIFS($N$3:$N$3002,$E$3:$E$3002,$E782,$C$3:$C$3002,"&lt;&gt;U",$S$3:$S$3002,Calc!$F$2))</f>
        <v/>
      </c>
      <c r="Q782" s="35" t="str">
        <f aca="false">IF(OR($A782="",$C782="U",$S782&lt;&gt;Calc!$F$2),"",IF(COUNTIFS($E$3:$E782,$E782,$C$3:$C782,"&lt;&gt;U",$S$3:$S782,Calc!$F$2)=1,1,0))</f>
        <v/>
      </c>
      <c r="R782" s="35" t="str">
        <f aca="false">IF($Q782=1,$O782-ROW()/100000,"")</f>
        <v/>
      </c>
      <c r="S782" s="37" t="str">
        <f aca="false">IF($A782="","",INT($A782))</f>
        <v/>
      </c>
      <c r="T782" s="35" t="str">
        <f aca="false">IF($A782="","",IF(COUNTIFS($S$3:$S782,$S782)=1,1,0))</f>
        <v/>
      </c>
      <c r="U782" s="37" t="str">
        <f aca="false">IF($T782=1,$S782,"")</f>
        <v/>
      </c>
    </row>
    <row r="783" customFormat="false" ht="15" hidden="false" customHeight="false" outlineLevel="0" collapsed="false">
      <c r="M783" s="35" t="str">
        <f aca="false">IF($A783="","",HOUR($A783))</f>
        <v/>
      </c>
      <c r="N783" s="36" t="str">
        <f aca="false">IF($A783="","",$I783*$K783)</f>
        <v/>
      </c>
      <c r="O783" s="35" t="str">
        <f aca="false">IF(OR($A783="",$C783="U",$S783&lt;&gt;Calc!$F$2),"",SUMIFS($I$3:$I$3002,$E$3:$E$3002,$E783,$C$3:$C$3002,"&lt;&gt;U",$S$3:$S$3002,Calc!$F$2))</f>
        <v/>
      </c>
      <c r="P783" s="35" t="str">
        <f aca="false">IF(OR($A783="",$C783="U",$S783&lt;&gt;Calc!$F$2),"",SUMIFS($N$3:$N$3002,$E$3:$E$3002,$E783,$C$3:$C$3002,"&lt;&gt;U",$S$3:$S$3002,Calc!$F$2))</f>
        <v/>
      </c>
      <c r="Q783" s="35" t="str">
        <f aca="false">IF(OR($A783="",$C783="U",$S783&lt;&gt;Calc!$F$2),"",IF(COUNTIFS($E$3:$E783,$E783,$C$3:$C783,"&lt;&gt;U",$S$3:$S783,Calc!$F$2)=1,1,0))</f>
        <v/>
      </c>
      <c r="R783" s="35" t="str">
        <f aca="false">IF($Q783=1,$O783-ROW()/100000,"")</f>
        <v/>
      </c>
      <c r="S783" s="37" t="str">
        <f aca="false">IF($A783="","",INT($A783))</f>
        <v/>
      </c>
      <c r="T783" s="35" t="str">
        <f aca="false">IF($A783="","",IF(COUNTIFS($S$3:$S783,$S783)=1,1,0))</f>
        <v/>
      </c>
      <c r="U783" s="37" t="str">
        <f aca="false">IF($T783=1,$S783,"")</f>
        <v/>
      </c>
    </row>
    <row r="784" customFormat="false" ht="15" hidden="false" customHeight="false" outlineLevel="0" collapsed="false">
      <c r="M784" s="35" t="str">
        <f aca="false">IF($A784="","",HOUR($A784))</f>
        <v/>
      </c>
      <c r="N784" s="36" t="str">
        <f aca="false">IF($A784="","",$I784*$K784)</f>
        <v/>
      </c>
      <c r="O784" s="35" t="str">
        <f aca="false">IF(OR($A784="",$C784="U",$S784&lt;&gt;Calc!$F$2),"",SUMIFS($I$3:$I$3002,$E$3:$E$3002,$E784,$C$3:$C$3002,"&lt;&gt;U",$S$3:$S$3002,Calc!$F$2))</f>
        <v/>
      </c>
      <c r="P784" s="35" t="str">
        <f aca="false">IF(OR($A784="",$C784="U",$S784&lt;&gt;Calc!$F$2),"",SUMIFS($N$3:$N$3002,$E$3:$E$3002,$E784,$C$3:$C$3002,"&lt;&gt;U",$S$3:$S$3002,Calc!$F$2))</f>
        <v/>
      </c>
      <c r="Q784" s="35" t="str">
        <f aca="false">IF(OR($A784="",$C784="U",$S784&lt;&gt;Calc!$F$2),"",IF(COUNTIFS($E$3:$E784,$E784,$C$3:$C784,"&lt;&gt;U",$S$3:$S784,Calc!$F$2)=1,1,0))</f>
        <v/>
      </c>
      <c r="R784" s="35" t="str">
        <f aca="false">IF($Q784=1,$O784-ROW()/100000,"")</f>
        <v/>
      </c>
      <c r="S784" s="37" t="str">
        <f aca="false">IF($A784="","",INT($A784))</f>
        <v/>
      </c>
      <c r="T784" s="35" t="str">
        <f aca="false">IF($A784="","",IF(COUNTIFS($S$3:$S784,$S784)=1,1,0))</f>
        <v/>
      </c>
      <c r="U784" s="37" t="str">
        <f aca="false">IF($T784=1,$S784,"")</f>
        <v/>
      </c>
    </row>
    <row r="785" customFormat="false" ht="15" hidden="false" customHeight="false" outlineLevel="0" collapsed="false">
      <c r="M785" s="35" t="str">
        <f aca="false">IF($A785="","",HOUR($A785))</f>
        <v/>
      </c>
      <c r="N785" s="36" t="str">
        <f aca="false">IF($A785="","",$I785*$K785)</f>
        <v/>
      </c>
      <c r="O785" s="35" t="str">
        <f aca="false">IF(OR($A785="",$C785="U",$S785&lt;&gt;Calc!$F$2),"",SUMIFS($I$3:$I$3002,$E$3:$E$3002,$E785,$C$3:$C$3002,"&lt;&gt;U",$S$3:$S$3002,Calc!$F$2))</f>
        <v/>
      </c>
      <c r="P785" s="35" t="str">
        <f aca="false">IF(OR($A785="",$C785="U",$S785&lt;&gt;Calc!$F$2),"",SUMIFS($N$3:$N$3002,$E$3:$E$3002,$E785,$C$3:$C$3002,"&lt;&gt;U",$S$3:$S$3002,Calc!$F$2))</f>
        <v/>
      </c>
      <c r="Q785" s="35" t="str">
        <f aca="false">IF(OR($A785="",$C785="U",$S785&lt;&gt;Calc!$F$2),"",IF(COUNTIFS($E$3:$E785,$E785,$C$3:$C785,"&lt;&gt;U",$S$3:$S785,Calc!$F$2)=1,1,0))</f>
        <v/>
      </c>
      <c r="R785" s="35" t="str">
        <f aca="false">IF($Q785=1,$O785-ROW()/100000,"")</f>
        <v/>
      </c>
      <c r="S785" s="37" t="str">
        <f aca="false">IF($A785="","",INT($A785))</f>
        <v/>
      </c>
      <c r="T785" s="35" t="str">
        <f aca="false">IF($A785="","",IF(COUNTIFS($S$3:$S785,$S785)=1,1,0))</f>
        <v/>
      </c>
      <c r="U785" s="37" t="str">
        <f aca="false">IF($T785=1,$S785,"")</f>
        <v/>
      </c>
    </row>
    <row r="786" customFormat="false" ht="15" hidden="false" customHeight="false" outlineLevel="0" collapsed="false">
      <c r="M786" s="35" t="str">
        <f aca="false">IF($A786="","",HOUR($A786))</f>
        <v/>
      </c>
      <c r="N786" s="36" t="str">
        <f aca="false">IF($A786="","",$I786*$K786)</f>
        <v/>
      </c>
      <c r="O786" s="35" t="str">
        <f aca="false">IF(OR($A786="",$C786="U",$S786&lt;&gt;Calc!$F$2),"",SUMIFS($I$3:$I$3002,$E$3:$E$3002,$E786,$C$3:$C$3002,"&lt;&gt;U",$S$3:$S$3002,Calc!$F$2))</f>
        <v/>
      </c>
      <c r="P786" s="35" t="str">
        <f aca="false">IF(OR($A786="",$C786="U",$S786&lt;&gt;Calc!$F$2),"",SUMIFS($N$3:$N$3002,$E$3:$E$3002,$E786,$C$3:$C$3002,"&lt;&gt;U",$S$3:$S$3002,Calc!$F$2))</f>
        <v/>
      </c>
      <c r="Q786" s="35" t="str">
        <f aca="false">IF(OR($A786="",$C786="U",$S786&lt;&gt;Calc!$F$2),"",IF(COUNTIFS($E$3:$E786,$E786,$C$3:$C786,"&lt;&gt;U",$S$3:$S786,Calc!$F$2)=1,1,0))</f>
        <v/>
      </c>
      <c r="R786" s="35" t="str">
        <f aca="false">IF($Q786=1,$O786-ROW()/100000,"")</f>
        <v/>
      </c>
      <c r="S786" s="37" t="str">
        <f aca="false">IF($A786="","",INT($A786))</f>
        <v/>
      </c>
      <c r="T786" s="35" t="str">
        <f aca="false">IF($A786="","",IF(COUNTIFS($S$3:$S786,$S786)=1,1,0))</f>
        <v/>
      </c>
      <c r="U786" s="37" t="str">
        <f aca="false">IF($T786=1,$S786,"")</f>
        <v/>
      </c>
    </row>
    <row r="787" customFormat="false" ht="15" hidden="false" customHeight="false" outlineLevel="0" collapsed="false">
      <c r="M787" s="35" t="str">
        <f aca="false">IF($A787="","",HOUR($A787))</f>
        <v/>
      </c>
      <c r="N787" s="36" t="str">
        <f aca="false">IF($A787="","",$I787*$K787)</f>
        <v/>
      </c>
      <c r="O787" s="35" t="str">
        <f aca="false">IF(OR($A787="",$C787="U",$S787&lt;&gt;Calc!$F$2),"",SUMIFS($I$3:$I$3002,$E$3:$E$3002,$E787,$C$3:$C$3002,"&lt;&gt;U",$S$3:$S$3002,Calc!$F$2))</f>
        <v/>
      </c>
      <c r="P787" s="35" t="str">
        <f aca="false">IF(OR($A787="",$C787="U",$S787&lt;&gt;Calc!$F$2),"",SUMIFS($N$3:$N$3002,$E$3:$E$3002,$E787,$C$3:$C$3002,"&lt;&gt;U",$S$3:$S$3002,Calc!$F$2))</f>
        <v/>
      </c>
      <c r="Q787" s="35" t="str">
        <f aca="false">IF(OR($A787="",$C787="U",$S787&lt;&gt;Calc!$F$2),"",IF(COUNTIFS($E$3:$E787,$E787,$C$3:$C787,"&lt;&gt;U",$S$3:$S787,Calc!$F$2)=1,1,0))</f>
        <v/>
      </c>
      <c r="R787" s="35" t="str">
        <f aca="false">IF($Q787=1,$O787-ROW()/100000,"")</f>
        <v/>
      </c>
      <c r="S787" s="37" t="str">
        <f aca="false">IF($A787="","",INT($A787))</f>
        <v/>
      </c>
      <c r="T787" s="35" t="str">
        <f aca="false">IF($A787="","",IF(COUNTIFS($S$3:$S787,$S787)=1,1,0))</f>
        <v/>
      </c>
      <c r="U787" s="37" t="str">
        <f aca="false">IF($T787=1,$S787,"")</f>
        <v/>
      </c>
    </row>
    <row r="788" customFormat="false" ht="15" hidden="false" customHeight="false" outlineLevel="0" collapsed="false">
      <c r="M788" s="35" t="str">
        <f aca="false">IF($A788="","",HOUR($A788))</f>
        <v/>
      </c>
      <c r="N788" s="36" t="str">
        <f aca="false">IF($A788="","",$I788*$K788)</f>
        <v/>
      </c>
      <c r="O788" s="35" t="str">
        <f aca="false">IF(OR($A788="",$C788="U",$S788&lt;&gt;Calc!$F$2),"",SUMIFS($I$3:$I$3002,$E$3:$E$3002,$E788,$C$3:$C$3002,"&lt;&gt;U",$S$3:$S$3002,Calc!$F$2))</f>
        <v/>
      </c>
      <c r="P788" s="35" t="str">
        <f aca="false">IF(OR($A788="",$C788="U",$S788&lt;&gt;Calc!$F$2),"",SUMIFS($N$3:$N$3002,$E$3:$E$3002,$E788,$C$3:$C$3002,"&lt;&gt;U",$S$3:$S$3002,Calc!$F$2))</f>
        <v/>
      </c>
      <c r="Q788" s="35" t="str">
        <f aca="false">IF(OR($A788="",$C788="U",$S788&lt;&gt;Calc!$F$2),"",IF(COUNTIFS($E$3:$E788,$E788,$C$3:$C788,"&lt;&gt;U",$S$3:$S788,Calc!$F$2)=1,1,0))</f>
        <v/>
      </c>
      <c r="R788" s="35" t="str">
        <f aca="false">IF($Q788=1,$O788-ROW()/100000,"")</f>
        <v/>
      </c>
      <c r="S788" s="37" t="str">
        <f aca="false">IF($A788="","",INT($A788))</f>
        <v/>
      </c>
      <c r="T788" s="35" t="str">
        <f aca="false">IF($A788="","",IF(COUNTIFS($S$3:$S788,$S788)=1,1,0))</f>
        <v/>
      </c>
      <c r="U788" s="37" t="str">
        <f aca="false">IF($T788=1,$S788,"")</f>
        <v/>
      </c>
    </row>
    <row r="789" customFormat="false" ht="15" hidden="false" customHeight="false" outlineLevel="0" collapsed="false">
      <c r="M789" s="35" t="str">
        <f aca="false">IF($A789="","",HOUR($A789))</f>
        <v/>
      </c>
      <c r="N789" s="36" t="str">
        <f aca="false">IF($A789="","",$I789*$K789)</f>
        <v/>
      </c>
      <c r="O789" s="35" t="str">
        <f aca="false">IF(OR($A789="",$C789="U",$S789&lt;&gt;Calc!$F$2),"",SUMIFS($I$3:$I$3002,$E$3:$E$3002,$E789,$C$3:$C$3002,"&lt;&gt;U",$S$3:$S$3002,Calc!$F$2))</f>
        <v/>
      </c>
      <c r="P789" s="35" t="str">
        <f aca="false">IF(OR($A789="",$C789="U",$S789&lt;&gt;Calc!$F$2),"",SUMIFS($N$3:$N$3002,$E$3:$E$3002,$E789,$C$3:$C$3002,"&lt;&gt;U",$S$3:$S$3002,Calc!$F$2))</f>
        <v/>
      </c>
      <c r="Q789" s="35" t="str">
        <f aca="false">IF(OR($A789="",$C789="U",$S789&lt;&gt;Calc!$F$2),"",IF(COUNTIFS($E$3:$E789,$E789,$C$3:$C789,"&lt;&gt;U",$S$3:$S789,Calc!$F$2)=1,1,0))</f>
        <v/>
      </c>
      <c r="R789" s="35" t="str">
        <f aca="false">IF($Q789=1,$O789-ROW()/100000,"")</f>
        <v/>
      </c>
      <c r="S789" s="37" t="str">
        <f aca="false">IF($A789="","",INT($A789))</f>
        <v/>
      </c>
      <c r="T789" s="35" t="str">
        <f aca="false">IF($A789="","",IF(COUNTIFS($S$3:$S789,$S789)=1,1,0))</f>
        <v/>
      </c>
      <c r="U789" s="37" t="str">
        <f aca="false">IF($T789=1,$S789,"")</f>
        <v/>
      </c>
    </row>
    <row r="790" customFormat="false" ht="15" hidden="false" customHeight="false" outlineLevel="0" collapsed="false">
      <c r="M790" s="35" t="str">
        <f aca="false">IF($A790="","",HOUR($A790))</f>
        <v/>
      </c>
      <c r="N790" s="36" t="str">
        <f aca="false">IF($A790="","",$I790*$K790)</f>
        <v/>
      </c>
      <c r="O790" s="35" t="str">
        <f aca="false">IF(OR($A790="",$C790="U",$S790&lt;&gt;Calc!$F$2),"",SUMIFS($I$3:$I$3002,$E$3:$E$3002,$E790,$C$3:$C$3002,"&lt;&gt;U",$S$3:$S$3002,Calc!$F$2))</f>
        <v/>
      </c>
      <c r="P790" s="35" t="str">
        <f aca="false">IF(OR($A790="",$C790="U",$S790&lt;&gt;Calc!$F$2),"",SUMIFS($N$3:$N$3002,$E$3:$E$3002,$E790,$C$3:$C$3002,"&lt;&gt;U",$S$3:$S$3002,Calc!$F$2))</f>
        <v/>
      </c>
      <c r="Q790" s="35" t="str">
        <f aca="false">IF(OR($A790="",$C790="U",$S790&lt;&gt;Calc!$F$2),"",IF(COUNTIFS($E$3:$E790,$E790,$C$3:$C790,"&lt;&gt;U",$S$3:$S790,Calc!$F$2)=1,1,0))</f>
        <v/>
      </c>
      <c r="R790" s="35" t="str">
        <f aca="false">IF($Q790=1,$O790-ROW()/100000,"")</f>
        <v/>
      </c>
      <c r="S790" s="37" t="str">
        <f aca="false">IF($A790="","",INT($A790))</f>
        <v/>
      </c>
      <c r="T790" s="35" t="str">
        <f aca="false">IF($A790="","",IF(COUNTIFS($S$3:$S790,$S790)=1,1,0))</f>
        <v/>
      </c>
      <c r="U790" s="37" t="str">
        <f aca="false">IF($T790=1,$S790,"")</f>
        <v/>
      </c>
    </row>
    <row r="791" customFormat="false" ht="15" hidden="false" customHeight="false" outlineLevel="0" collapsed="false">
      <c r="M791" s="35" t="str">
        <f aca="false">IF($A791="","",HOUR($A791))</f>
        <v/>
      </c>
      <c r="N791" s="36" t="str">
        <f aca="false">IF($A791="","",$I791*$K791)</f>
        <v/>
      </c>
      <c r="O791" s="35" t="str">
        <f aca="false">IF(OR($A791="",$C791="U",$S791&lt;&gt;Calc!$F$2),"",SUMIFS($I$3:$I$3002,$E$3:$E$3002,$E791,$C$3:$C$3002,"&lt;&gt;U",$S$3:$S$3002,Calc!$F$2))</f>
        <v/>
      </c>
      <c r="P791" s="35" t="str">
        <f aca="false">IF(OR($A791="",$C791="U",$S791&lt;&gt;Calc!$F$2),"",SUMIFS($N$3:$N$3002,$E$3:$E$3002,$E791,$C$3:$C$3002,"&lt;&gt;U",$S$3:$S$3002,Calc!$F$2))</f>
        <v/>
      </c>
      <c r="Q791" s="35" t="str">
        <f aca="false">IF(OR($A791="",$C791="U",$S791&lt;&gt;Calc!$F$2),"",IF(COUNTIFS($E$3:$E791,$E791,$C$3:$C791,"&lt;&gt;U",$S$3:$S791,Calc!$F$2)=1,1,0))</f>
        <v/>
      </c>
      <c r="R791" s="35" t="str">
        <f aca="false">IF($Q791=1,$O791-ROW()/100000,"")</f>
        <v/>
      </c>
      <c r="S791" s="37" t="str">
        <f aca="false">IF($A791="","",INT($A791))</f>
        <v/>
      </c>
      <c r="T791" s="35" t="str">
        <f aca="false">IF($A791="","",IF(COUNTIFS($S$3:$S791,$S791)=1,1,0))</f>
        <v/>
      </c>
      <c r="U791" s="37" t="str">
        <f aca="false">IF($T791=1,$S791,"")</f>
        <v/>
      </c>
    </row>
    <row r="792" customFormat="false" ht="15" hidden="false" customHeight="false" outlineLevel="0" collapsed="false">
      <c r="M792" s="35" t="str">
        <f aca="false">IF($A792="","",HOUR($A792))</f>
        <v/>
      </c>
      <c r="N792" s="36" t="str">
        <f aca="false">IF($A792="","",$I792*$K792)</f>
        <v/>
      </c>
      <c r="O792" s="35" t="str">
        <f aca="false">IF(OR($A792="",$C792="U",$S792&lt;&gt;Calc!$F$2),"",SUMIFS($I$3:$I$3002,$E$3:$E$3002,$E792,$C$3:$C$3002,"&lt;&gt;U",$S$3:$S$3002,Calc!$F$2))</f>
        <v/>
      </c>
      <c r="P792" s="35" t="str">
        <f aca="false">IF(OR($A792="",$C792="U",$S792&lt;&gt;Calc!$F$2),"",SUMIFS($N$3:$N$3002,$E$3:$E$3002,$E792,$C$3:$C$3002,"&lt;&gt;U",$S$3:$S$3002,Calc!$F$2))</f>
        <v/>
      </c>
      <c r="Q792" s="35" t="str">
        <f aca="false">IF(OR($A792="",$C792="U",$S792&lt;&gt;Calc!$F$2),"",IF(COUNTIFS($E$3:$E792,$E792,$C$3:$C792,"&lt;&gt;U",$S$3:$S792,Calc!$F$2)=1,1,0))</f>
        <v/>
      </c>
      <c r="R792" s="35" t="str">
        <f aca="false">IF($Q792=1,$O792-ROW()/100000,"")</f>
        <v/>
      </c>
      <c r="S792" s="37" t="str">
        <f aca="false">IF($A792="","",INT($A792))</f>
        <v/>
      </c>
      <c r="T792" s="35" t="str">
        <f aca="false">IF($A792="","",IF(COUNTIFS($S$3:$S792,$S792)=1,1,0))</f>
        <v/>
      </c>
      <c r="U792" s="37" t="str">
        <f aca="false">IF($T792=1,$S792,"")</f>
        <v/>
      </c>
    </row>
    <row r="793" customFormat="false" ht="15" hidden="false" customHeight="false" outlineLevel="0" collapsed="false">
      <c r="M793" s="35" t="str">
        <f aca="false">IF($A793="","",HOUR($A793))</f>
        <v/>
      </c>
      <c r="N793" s="36" t="str">
        <f aca="false">IF($A793="","",$I793*$K793)</f>
        <v/>
      </c>
      <c r="O793" s="35" t="str">
        <f aca="false">IF(OR($A793="",$C793="U",$S793&lt;&gt;Calc!$F$2),"",SUMIFS($I$3:$I$3002,$E$3:$E$3002,$E793,$C$3:$C$3002,"&lt;&gt;U",$S$3:$S$3002,Calc!$F$2))</f>
        <v/>
      </c>
      <c r="P793" s="35" t="str">
        <f aca="false">IF(OR($A793="",$C793="U",$S793&lt;&gt;Calc!$F$2),"",SUMIFS($N$3:$N$3002,$E$3:$E$3002,$E793,$C$3:$C$3002,"&lt;&gt;U",$S$3:$S$3002,Calc!$F$2))</f>
        <v/>
      </c>
      <c r="Q793" s="35" t="str">
        <f aca="false">IF(OR($A793="",$C793="U",$S793&lt;&gt;Calc!$F$2),"",IF(COUNTIFS($E$3:$E793,$E793,$C$3:$C793,"&lt;&gt;U",$S$3:$S793,Calc!$F$2)=1,1,0))</f>
        <v/>
      </c>
      <c r="R793" s="35" t="str">
        <f aca="false">IF($Q793=1,$O793-ROW()/100000,"")</f>
        <v/>
      </c>
      <c r="S793" s="37" t="str">
        <f aca="false">IF($A793="","",INT($A793))</f>
        <v/>
      </c>
      <c r="T793" s="35" t="str">
        <f aca="false">IF($A793="","",IF(COUNTIFS($S$3:$S793,$S793)=1,1,0))</f>
        <v/>
      </c>
      <c r="U793" s="37" t="str">
        <f aca="false">IF($T793=1,$S793,"")</f>
        <v/>
      </c>
    </row>
    <row r="794" customFormat="false" ht="15" hidden="false" customHeight="false" outlineLevel="0" collapsed="false">
      <c r="M794" s="35" t="str">
        <f aca="false">IF($A794="","",HOUR($A794))</f>
        <v/>
      </c>
      <c r="N794" s="36" t="str">
        <f aca="false">IF($A794="","",$I794*$K794)</f>
        <v/>
      </c>
      <c r="O794" s="35" t="str">
        <f aca="false">IF(OR($A794="",$C794="U",$S794&lt;&gt;Calc!$F$2),"",SUMIFS($I$3:$I$3002,$E$3:$E$3002,$E794,$C$3:$C$3002,"&lt;&gt;U",$S$3:$S$3002,Calc!$F$2))</f>
        <v/>
      </c>
      <c r="P794" s="35" t="str">
        <f aca="false">IF(OR($A794="",$C794="U",$S794&lt;&gt;Calc!$F$2),"",SUMIFS($N$3:$N$3002,$E$3:$E$3002,$E794,$C$3:$C$3002,"&lt;&gt;U",$S$3:$S$3002,Calc!$F$2))</f>
        <v/>
      </c>
      <c r="Q794" s="35" t="str">
        <f aca="false">IF(OR($A794="",$C794="U",$S794&lt;&gt;Calc!$F$2),"",IF(COUNTIFS($E$3:$E794,$E794,$C$3:$C794,"&lt;&gt;U",$S$3:$S794,Calc!$F$2)=1,1,0))</f>
        <v/>
      </c>
      <c r="R794" s="35" t="str">
        <f aca="false">IF($Q794=1,$O794-ROW()/100000,"")</f>
        <v/>
      </c>
      <c r="S794" s="37" t="str">
        <f aca="false">IF($A794="","",INT($A794))</f>
        <v/>
      </c>
      <c r="T794" s="35" t="str">
        <f aca="false">IF($A794="","",IF(COUNTIFS($S$3:$S794,$S794)=1,1,0))</f>
        <v/>
      </c>
      <c r="U794" s="37" t="str">
        <f aca="false">IF($T794=1,$S794,"")</f>
        <v/>
      </c>
    </row>
    <row r="795" customFormat="false" ht="15" hidden="false" customHeight="false" outlineLevel="0" collapsed="false">
      <c r="M795" s="35" t="str">
        <f aca="false">IF($A795="","",HOUR($A795))</f>
        <v/>
      </c>
      <c r="N795" s="36" t="str">
        <f aca="false">IF($A795="","",$I795*$K795)</f>
        <v/>
      </c>
      <c r="O795" s="35" t="str">
        <f aca="false">IF(OR($A795="",$C795="U",$S795&lt;&gt;Calc!$F$2),"",SUMIFS($I$3:$I$3002,$E$3:$E$3002,$E795,$C$3:$C$3002,"&lt;&gt;U",$S$3:$S$3002,Calc!$F$2))</f>
        <v/>
      </c>
      <c r="P795" s="35" t="str">
        <f aca="false">IF(OR($A795="",$C795="U",$S795&lt;&gt;Calc!$F$2),"",SUMIFS($N$3:$N$3002,$E$3:$E$3002,$E795,$C$3:$C$3002,"&lt;&gt;U",$S$3:$S$3002,Calc!$F$2))</f>
        <v/>
      </c>
      <c r="Q795" s="35" t="str">
        <f aca="false">IF(OR($A795="",$C795="U",$S795&lt;&gt;Calc!$F$2),"",IF(COUNTIFS($E$3:$E795,$E795,$C$3:$C795,"&lt;&gt;U",$S$3:$S795,Calc!$F$2)=1,1,0))</f>
        <v/>
      </c>
      <c r="R795" s="35" t="str">
        <f aca="false">IF($Q795=1,$O795-ROW()/100000,"")</f>
        <v/>
      </c>
      <c r="S795" s="37" t="str">
        <f aca="false">IF($A795="","",INT($A795))</f>
        <v/>
      </c>
      <c r="T795" s="35" t="str">
        <f aca="false">IF($A795="","",IF(COUNTIFS($S$3:$S795,$S795)=1,1,0))</f>
        <v/>
      </c>
      <c r="U795" s="37" t="str">
        <f aca="false">IF($T795=1,$S795,"")</f>
        <v/>
      </c>
    </row>
    <row r="796" customFormat="false" ht="15" hidden="false" customHeight="false" outlineLevel="0" collapsed="false">
      <c r="M796" s="35" t="str">
        <f aca="false">IF($A796="","",HOUR($A796))</f>
        <v/>
      </c>
      <c r="N796" s="36" t="str">
        <f aca="false">IF($A796="","",$I796*$K796)</f>
        <v/>
      </c>
      <c r="O796" s="35" t="str">
        <f aca="false">IF(OR($A796="",$C796="U",$S796&lt;&gt;Calc!$F$2),"",SUMIFS($I$3:$I$3002,$E$3:$E$3002,$E796,$C$3:$C$3002,"&lt;&gt;U",$S$3:$S$3002,Calc!$F$2))</f>
        <v/>
      </c>
      <c r="P796" s="35" t="str">
        <f aca="false">IF(OR($A796="",$C796="U",$S796&lt;&gt;Calc!$F$2),"",SUMIFS($N$3:$N$3002,$E$3:$E$3002,$E796,$C$3:$C$3002,"&lt;&gt;U",$S$3:$S$3002,Calc!$F$2))</f>
        <v/>
      </c>
      <c r="Q796" s="35" t="str">
        <f aca="false">IF(OR($A796="",$C796="U",$S796&lt;&gt;Calc!$F$2),"",IF(COUNTIFS($E$3:$E796,$E796,$C$3:$C796,"&lt;&gt;U",$S$3:$S796,Calc!$F$2)=1,1,0))</f>
        <v/>
      </c>
      <c r="R796" s="35" t="str">
        <f aca="false">IF($Q796=1,$O796-ROW()/100000,"")</f>
        <v/>
      </c>
      <c r="S796" s="37" t="str">
        <f aca="false">IF($A796="","",INT($A796))</f>
        <v/>
      </c>
      <c r="T796" s="35" t="str">
        <f aca="false">IF($A796="","",IF(COUNTIFS($S$3:$S796,$S796)=1,1,0))</f>
        <v/>
      </c>
      <c r="U796" s="37" t="str">
        <f aca="false">IF($T796=1,$S796,"")</f>
        <v/>
      </c>
    </row>
    <row r="797" customFormat="false" ht="15" hidden="false" customHeight="false" outlineLevel="0" collapsed="false">
      <c r="M797" s="35" t="str">
        <f aca="false">IF($A797="","",HOUR($A797))</f>
        <v/>
      </c>
      <c r="N797" s="36" t="str">
        <f aca="false">IF($A797="","",$I797*$K797)</f>
        <v/>
      </c>
      <c r="O797" s="35" t="str">
        <f aca="false">IF(OR($A797="",$C797="U",$S797&lt;&gt;Calc!$F$2),"",SUMIFS($I$3:$I$3002,$E$3:$E$3002,$E797,$C$3:$C$3002,"&lt;&gt;U",$S$3:$S$3002,Calc!$F$2))</f>
        <v/>
      </c>
      <c r="P797" s="35" t="str">
        <f aca="false">IF(OR($A797="",$C797="U",$S797&lt;&gt;Calc!$F$2),"",SUMIFS($N$3:$N$3002,$E$3:$E$3002,$E797,$C$3:$C$3002,"&lt;&gt;U",$S$3:$S$3002,Calc!$F$2))</f>
        <v/>
      </c>
      <c r="Q797" s="35" t="str">
        <f aca="false">IF(OR($A797="",$C797="U",$S797&lt;&gt;Calc!$F$2),"",IF(COUNTIFS($E$3:$E797,$E797,$C$3:$C797,"&lt;&gt;U",$S$3:$S797,Calc!$F$2)=1,1,0))</f>
        <v/>
      </c>
      <c r="R797" s="35" t="str">
        <f aca="false">IF($Q797=1,$O797-ROW()/100000,"")</f>
        <v/>
      </c>
      <c r="S797" s="37" t="str">
        <f aca="false">IF($A797="","",INT($A797))</f>
        <v/>
      </c>
      <c r="T797" s="35" t="str">
        <f aca="false">IF($A797="","",IF(COUNTIFS($S$3:$S797,$S797)=1,1,0))</f>
        <v/>
      </c>
      <c r="U797" s="37" t="str">
        <f aca="false">IF($T797=1,$S797,"")</f>
        <v/>
      </c>
    </row>
    <row r="798" customFormat="false" ht="15" hidden="false" customHeight="false" outlineLevel="0" collapsed="false">
      <c r="M798" s="35" t="str">
        <f aca="false">IF($A798="","",HOUR($A798))</f>
        <v/>
      </c>
      <c r="N798" s="36" t="str">
        <f aca="false">IF($A798="","",$I798*$K798)</f>
        <v/>
      </c>
      <c r="O798" s="35" t="str">
        <f aca="false">IF(OR($A798="",$C798="U",$S798&lt;&gt;Calc!$F$2),"",SUMIFS($I$3:$I$3002,$E$3:$E$3002,$E798,$C$3:$C$3002,"&lt;&gt;U",$S$3:$S$3002,Calc!$F$2))</f>
        <v/>
      </c>
      <c r="P798" s="35" t="str">
        <f aca="false">IF(OR($A798="",$C798="U",$S798&lt;&gt;Calc!$F$2),"",SUMIFS($N$3:$N$3002,$E$3:$E$3002,$E798,$C$3:$C$3002,"&lt;&gt;U",$S$3:$S$3002,Calc!$F$2))</f>
        <v/>
      </c>
      <c r="Q798" s="35" t="str">
        <f aca="false">IF(OR($A798="",$C798="U",$S798&lt;&gt;Calc!$F$2),"",IF(COUNTIFS($E$3:$E798,$E798,$C$3:$C798,"&lt;&gt;U",$S$3:$S798,Calc!$F$2)=1,1,0))</f>
        <v/>
      </c>
      <c r="R798" s="35" t="str">
        <f aca="false">IF($Q798=1,$O798-ROW()/100000,"")</f>
        <v/>
      </c>
      <c r="S798" s="37" t="str">
        <f aca="false">IF($A798="","",INT($A798))</f>
        <v/>
      </c>
      <c r="T798" s="35" t="str">
        <f aca="false">IF($A798="","",IF(COUNTIFS($S$3:$S798,$S798)=1,1,0))</f>
        <v/>
      </c>
      <c r="U798" s="37" t="str">
        <f aca="false">IF($T798=1,$S798,"")</f>
        <v/>
      </c>
    </row>
    <row r="799" customFormat="false" ht="15" hidden="false" customHeight="false" outlineLevel="0" collapsed="false">
      <c r="M799" s="35" t="str">
        <f aca="false">IF($A799="","",HOUR($A799))</f>
        <v/>
      </c>
      <c r="N799" s="36" t="str">
        <f aca="false">IF($A799="","",$I799*$K799)</f>
        <v/>
      </c>
      <c r="O799" s="35" t="str">
        <f aca="false">IF(OR($A799="",$C799="U",$S799&lt;&gt;Calc!$F$2),"",SUMIFS($I$3:$I$3002,$E$3:$E$3002,$E799,$C$3:$C$3002,"&lt;&gt;U",$S$3:$S$3002,Calc!$F$2))</f>
        <v/>
      </c>
      <c r="P799" s="35" t="str">
        <f aca="false">IF(OR($A799="",$C799="U",$S799&lt;&gt;Calc!$F$2),"",SUMIFS($N$3:$N$3002,$E$3:$E$3002,$E799,$C$3:$C$3002,"&lt;&gt;U",$S$3:$S$3002,Calc!$F$2))</f>
        <v/>
      </c>
      <c r="Q799" s="35" t="str">
        <f aca="false">IF(OR($A799="",$C799="U",$S799&lt;&gt;Calc!$F$2),"",IF(COUNTIFS($E$3:$E799,$E799,$C$3:$C799,"&lt;&gt;U",$S$3:$S799,Calc!$F$2)=1,1,0))</f>
        <v/>
      </c>
      <c r="R799" s="35" t="str">
        <f aca="false">IF($Q799=1,$O799-ROW()/100000,"")</f>
        <v/>
      </c>
      <c r="S799" s="37" t="str">
        <f aca="false">IF($A799="","",INT($A799))</f>
        <v/>
      </c>
      <c r="T799" s="35" t="str">
        <f aca="false">IF($A799="","",IF(COUNTIFS($S$3:$S799,$S799)=1,1,0))</f>
        <v/>
      </c>
      <c r="U799" s="37" t="str">
        <f aca="false">IF($T799=1,$S799,"")</f>
        <v/>
      </c>
    </row>
    <row r="800" customFormat="false" ht="15" hidden="false" customHeight="false" outlineLevel="0" collapsed="false">
      <c r="M800" s="35" t="str">
        <f aca="false">IF($A800="","",HOUR($A800))</f>
        <v/>
      </c>
      <c r="N800" s="36" t="str">
        <f aca="false">IF($A800="","",$I800*$K800)</f>
        <v/>
      </c>
      <c r="O800" s="35" t="str">
        <f aca="false">IF(OR($A800="",$C800="U",$S800&lt;&gt;Calc!$F$2),"",SUMIFS($I$3:$I$3002,$E$3:$E$3002,$E800,$C$3:$C$3002,"&lt;&gt;U",$S$3:$S$3002,Calc!$F$2))</f>
        <v/>
      </c>
      <c r="P800" s="35" t="str">
        <f aca="false">IF(OR($A800="",$C800="U",$S800&lt;&gt;Calc!$F$2),"",SUMIFS($N$3:$N$3002,$E$3:$E$3002,$E800,$C$3:$C$3002,"&lt;&gt;U",$S$3:$S$3002,Calc!$F$2))</f>
        <v/>
      </c>
      <c r="Q800" s="35" t="str">
        <f aca="false">IF(OR($A800="",$C800="U",$S800&lt;&gt;Calc!$F$2),"",IF(COUNTIFS($E$3:$E800,$E800,$C$3:$C800,"&lt;&gt;U",$S$3:$S800,Calc!$F$2)=1,1,0))</f>
        <v/>
      </c>
      <c r="R800" s="35" t="str">
        <f aca="false">IF($Q800=1,$O800-ROW()/100000,"")</f>
        <v/>
      </c>
      <c r="S800" s="37" t="str">
        <f aca="false">IF($A800="","",INT($A800))</f>
        <v/>
      </c>
      <c r="T800" s="35" t="str">
        <f aca="false">IF($A800="","",IF(COUNTIFS($S$3:$S800,$S800)=1,1,0))</f>
        <v/>
      </c>
      <c r="U800" s="37" t="str">
        <f aca="false">IF($T800=1,$S800,"")</f>
        <v/>
      </c>
    </row>
    <row r="801" customFormat="false" ht="15" hidden="false" customHeight="false" outlineLevel="0" collapsed="false">
      <c r="M801" s="35" t="str">
        <f aca="false">IF($A801="","",HOUR($A801))</f>
        <v/>
      </c>
      <c r="N801" s="36" t="str">
        <f aca="false">IF($A801="","",$I801*$K801)</f>
        <v/>
      </c>
      <c r="O801" s="35" t="str">
        <f aca="false">IF(OR($A801="",$C801="U",$S801&lt;&gt;Calc!$F$2),"",SUMIFS($I$3:$I$3002,$E$3:$E$3002,$E801,$C$3:$C$3002,"&lt;&gt;U",$S$3:$S$3002,Calc!$F$2))</f>
        <v/>
      </c>
      <c r="P801" s="35" t="str">
        <f aca="false">IF(OR($A801="",$C801="U",$S801&lt;&gt;Calc!$F$2),"",SUMIFS($N$3:$N$3002,$E$3:$E$3002,$E801,$C$3:$C$3002,"&lt;&gt;U",$S$3:$S$3002,Calc!$F$2))</f>
        <v/>
      </c>
      <c r="Q801" s="35" t="str">
        <f aca="false">IF(OR($A801="",$C801="U",$S801&lt;&gt;Calc!$F$2),"",IF(COUNTIFS($E$3:$E801,$E801,$C$3:$C801,"&lt;&gt;U",$S$3:$S801,Calc!$F$2)=1,1,0))</f>
        <v/>
      </c>
      <c r="R801" s="35" t="str">
        <f aca="false">IF($Q801=1,$O801-ROW()/100000,"")</f>
        <v/>
      </c>
      <c r="S801" s="37" t="str">
        <f aca="false">IF($A801="","",INT($A801))</f>
        <v/>
      </c>
      <c r="T801" s="35" t="str">
        <f aca="false">IF($A801="","",IF(COUNTIFS($S$3:$S801,$S801)=1,1,0))</f>
        <v/>
      </c>
      <c r="U801" s="37" t="str">
        <f aca="false">IF($T801=1,$S801,"")</f>
        <v/>
      </c>
    </row>
    <row r="802" customFormat="false" ht="15" hidden="false" customHeight="false" outlineLevel="0" collapsed="false">
      <c r="M802" s="35" t="str">
        <f aca="false">IF($A802="","",HOUR($A802))</f>
        <v/>
      </c>
      <c r="N802" s="36" t="str">
        <f aca="false">IF($A802="","",$I802*$K802)</f>
        <v/>
      </c>
      <c r="O802" s="35" t="str">
        <f aca="false">IF(OR($A802="",$C802="U",$S802&lt;&gt;Calc!$F$2),"",SUMIFS($I$3:$I$3002,$E$3:$E$3002,$E802,$C$3:$C$3002,"&lt;&gt;U",$S$3:$S$3002,Calc!$F$2))</f>
        <v/>
      </c>
      <c r="P802" s="35" t="str">
        <f aca="false">IF(OR($A802="",$C802="U",$S802&lt;&gt;Calc!$F$2),"",SUMIFS($N$3:$N$3002,$E$3:$E$3002,$E802,$C$3:$C$3002,"&lt;&gt;U",$S$3:$S$3002,Calc!$F$2))</f>
        <v/>
      </c>
      <c r="Q802" s="35" t="str">
        <f aca="false">IF(OR($A802="",$C802="U",$S802&lt;&gt;Calc!$F$2),"",IF(COUNTIFS($E$3:$E802,$E802,$C$3:$C802,"&lt;&gt;U",$S$3:$S802,Calc!$F$2)=1,1,0))</f>
        <v/>
      </c>
      <c r="R802" s="35" t="str">
        <f aca="false">IF($Q802=1,$O802-ROW()/100000,"")</f>
        <v/>
      </c>
      <c r="S802" s="37" t="str">
        <f aca="false">IF($A802="","",INT($A802))</f>
        <v/>
      </c>
      <c r="T802" s="35" t="str">
        <f aca="false">IF($A802="","",IF(COUNTIFS($S$3:$S802,$S802)=1,1,0))</f>
        <v/>
      </c>
      <c r="U802" s="37" t="str">
        <f aca="false">IF($T802=1,$S802,"")</f>
        <v/>
      </c>
    </row>
    <row r="803" customFormat="false" ht="15" hidden="false" customHeight="false" outlineLevel="0" collapsed="false">
      <c r="M803" s="35" t="str">
        <f aca="false">IF($A803="","",HOUR($A803))</f>
        <v/>
      </c>
      <c r="N803" s="36" t="str">
        <f aca="false">IF($A803="","",$I803*$K803)</f>
        <v/>
      </c>
      <c r="O803" s="35" t="str">
        <f aca="false">IF(OR($A803="",$C803="U",$S803&lt;&gt;Calc!$F$2),"",SUMIFS($I$3:$I$3002,$E$3:$E$3002,$E803,$C$3:$C$3002,"&lt;&gt;U",$S$3:$S$3002,Calc!$F$2))</f>
        <v/>
      </c>
      <c r="P803" s="35" t="str">
        <f aca="false">IF(OR($A803="",$C803="U",$S803&lt;&gt;Calc!$F$2),"",SUMIFS($N$3:$N$3002,$E$3:$E$3002,$E803,$C$3:$C$3002,"&lt;&gt;U",$S$3:$S$3002,Calc!$F$2))</f>
        <v/>
      </c>
      <c r="Q803" s="35" t="str">
        <f aca="false">IF(OR($A803="",$C803="U",$S803&lt;&gt;Calc!$F$2),"",IF(COUNTIFS($E$3:$E803,$E803,$C$3:$C803,"&lt;&gt;U",$S$3:$S803,Calc!$F$2)=1,1,0))</f>
        <v/>
      </c>
      <c r="R803" s="35" t="str">
        <f aca="false">IF($Q803=1,$O803-ROW()/100000,"")</f>
        <v/>
      </c>
      <c r="S803" s="37" t="str">
        <f aca="false">IF($A803="","",INT($A803))</f>
        <v/>
      </c>
      <c r="T803" s="35" t="str">
        <f aca="false">IF($A803="","",IF(COUNTIFS($S$3:$S803,$S803)=1,1,0))</f>
        <v/>
      </c>
      <c r="U803" s="37" t="str">
        <f aca="false">IF($T803=1,$S803,"")</f>
        <v/>
      </c>
    </row>
    <row r="804" customFormat="false" ht="15" hidden="false" customHeight="false" outlineLevel="0" collapsed="false">
      <c r="M804" s="35" t="str">
        <f aca="false">IF($A804="","",HOUR($A804))</f>
        <v/>
      </c>
      <c r="N804" s="36" t="str">
        <f aca="false">IF($A804="","",$I804*$K804)</f>
        <v/>
      </c>
      <c r="O804" s="35" t="str">
        <f aca="false">IF(OR($A804="",$C804="U",$S804&lt;&gt;Calc!$F$2),"",SUMIFS($I$3:$I$3002,$E$3:$E$3002,$E804,$C$3:$C$3002,"&lt;&gt;U",$S$3:$S$3002,Calc!$F$2))</f>
        <v/>
      </c>
      <c r="P804" s="35" t="str">
        <f aca="false">IF(OR($A804="",$C804="U",$S804&lt;&gt;Calc!$F$2),"",SUMIFS($N$3:$N$3002,$E$3:$E$3002,$E804,$C$3:$C$3002,"&lt;&gt;U",$S$3:$S$3002,Calc!$F$2))</f>
        <v/>
      </c>
      <c r="Q804" s="35" t="str">
        <f aca="false">IF(OR($A804="",$C804="U",$S804&lt;&gt;Calc!$F$2),"",IF(COUNTIFS($E$3:$E804,$E804,$C$3:$C804,"&lt;&gt;U",$S$3:$S804,Calc!$F$2)=1,1,0))</f>
        <v/>
      </c>
      <c r="R804" s="35" t="str">
        <f aca="false">IF($Q804=1,$O804-ROW()/100000,"")</f>
        <v/>
      </c>
      <c r="S804" s="37" t="str">
        <f aca="false">IF($A804="","",INT($A804))</f>
        <v/>
      </c>
      <c r="T804" s="35" t="str">
        <f aca="false">IF($A804="","",IF(COUNTIFS($S$3:$S804,$S804)=1,1,0))</f>
        <v/>
      </c>
      <c r="U804" s="37" t="str">
        <f aca="false">IF($T804=1,$S804,"")</f>
        <v/>
      </c>
    </row>
    <row r="805" customFormat="false" ht="15" hidden="false" customHeight="false" outlineLevel="0" collapsed="false">
      <c r="M805" s="35" t="str">
        <f aca="false">IF($A805="","",HOUR($A805))</f>
        <v/>
      </c>
      <c r="N805" s="36" t="str">
        <f aca="false">IF($A805="","",$I805*$K805)</f>
        <v/>
      </c>
      <c r="O805" s="35" t="str">
        <f aca="false">IF(OR($A805="",$C805="U",$S805&lt;&gt;Calc!$F$2),"",SUMIFS($I$3:$I$3002,$E$3:$E$3002,$E805,$C$3:$C$3002,"&lt;&gt;U",$S$3:$S$3002,Calc!$F$2))</f>
        <v/>
      </c>
      <c r="P805" s="35" t="str">
        <f aca="false">IF(OR($A805="",$C805="U",$S805&lt;&gt;Calc!$F$2),"",SUMIFS($N$3:$N$3002,$E$3:$E$3002,$E805,$C$3:$C$3002,"&lt;&gt;U",$S$3:$S$3002,Calc!$F$2))</f>
        <v/>
      </c>
      <c r="Q805" s="35" t="str">
        <f aca="false">IF(OR($A805="",$C805="U",$S805&lt;&gt;Calc!$F$2),"",IF(COUNTIFS($E$3:$E805,$E805,$C$3:$C805,"&lt;&gt;U",$S$3:$S805,Calc!$F$2)=1,1,0))</f>
        <v/>
      </c>
      <c r="R805" s="35" t="str">
        <f aca="false">IF($Q805=1,$O805-ROW()/100000,"")</f>
        <v/>
      </c>
      <c r="S805" s="37" t="str">
        <f aca="false">IF($A805="","",INT($A805))</f>
        <v/>
      </c>
      <c r="T805" s="35" t="str">
        <f aca="false">IF($A805="","",IF(COUNTIFS($S$3:$S805,$S805)=1,1,0))</f>
        <v/>
      </c>
      <c r="U805" s="37" t="str">
        <f aca="false">IF($T805=1,$S805,"")</f>
        <v/>
      </c>
    </row>
    <row r="806" customFormat="false" ht="15" hidden="false" customHeight="false" outlineLevel="0" collapsed="false">
      <c r="M806" s="35" t="str">
        <f aca="false">IF($A806="","",HOUR($A806))</f>
        <v/>
      </c>
      <c r="N806" s="36" t="str">
        <f aca="false">IF($A806="","",$I806*$K806)</f>
        <v/>
      </c>
      <c r="O806" s="35" t="str">
        <f aca="false">IF(OR($A806="",$C806="U",$S806&lt;&gt;Calc!$F$2),"",SUMIFS($I$3:$I$3002,$E$3:$E$3002,$E806,$C$3:$C$3002,"&lt;&gt;U",$S$3:$S$3002,Calc!$F$2))</f>
        <v/>
      </c>
      <c r="P806" s="35" t="str">
        <f aca="false">IF(OR($A806="",$C806="U",$S806&lt;&gt;Calc!$F$2),"",SUMIFS($N$3:$N$3002,$E$3:$E$3002,$E806,$C$3:$C$3002,"&lt;&gt;U",$S$3:$S$3002,Calc!$F$2))</f>
        <v/>
      </c>
      <c r="Q806" s="35" t="str">
        <f aca="false">IF(OR($A806="",$C806="U",$S806&lt;&gt;Calc!$F$2),"",IF(COUNTIFS($E$3:$E806,$E806,$C$3:$C806,"&lt;&gt;U",$S$3:$S806,Calc!$F$2)=1,1,0))</f>
        <v/>
      </c>
      <c r="R806" s="35" t="str">
        <f aca="false">IF($Q806=1,$O806-ROW()/100000,"")</f>
        <v/>
      </c>
      <c r="S806" s="37" t="str">
        <f aca="false">IF($A806="","",INT($A806))</f>
        <v/>
      </c>
      <c r="T806" s="35" t="str">
        <f aca="false">IF($A806="","",IF(COUNTIFS($S$3:$S806,$S806)=1,1,0))</f>
        <v/>
      </c>
      <c r="U806" s="37" t="str">
        <f aca="false">IF($T806=1,$S806,"")</f>
        <v/>
      </c>
    </row>
    <row r="807" customFormat="false" ht="15" hidden="false" customHeight="false" outlineLevel="0" collapsed="false">
      <c r="M807" s="35" t="str">
        <f aca="false">IF($A807="","",HOUR($A807))</f>
        <v/>
      </c>
      <c r="N807" s="36" t="str">
        <f aca="false">IF($A807="","",$I807*$K807)</f>
        <v/>
      </c>
      <c r="O807" s="35" t="str">
        <f aca="false">IF(OR($A807="",$C807="U",$S807&lt;&gt;Calc!$F$2),"",SUMIFS($I$3:$I$3002,$E$3:$E$3002,$E807,$C$3:$C$3002,"&lt;&gt;U",$S$3:$S$3002,Calc!$F$2))</f>
        <v/>
      </c>
      <c r="P807" s="35" t="str">
        <f aca="false">IF(OR($A807="",$C807="U",$S807&lt;&gt;Calc!$F$2),"",SUMIFS($N$3:$N$3002,$E$3:$E$3002,$E807,$C$3:$C$3002,"&lt;&gt;U",$S$3:$S$3002,Calc!$F$2))</f>
        <v/>
      </c>
      <c r="Q807" s="35" t="str">
        <f aca="false">IF(OR($A807="",$C807="U",$S807&lt;&gt;Calc!$F$2),"",IF(COUNTIFS($E$3:$E807,$E807,$C$3:$C807,"&lt;&gt;U",$S$3:$S807,Calc!$F$2)=1,1,0))</f>
        <v/>
      </c>
      <c r="R807" s="35" t="str">
        <f aca="false">IF($Q807=1,$O807-ROW()/100000,"")</f>
        <v/>
      </c>
      <c r="S807" s="37" t="str">
        <f aca="false">IF($A807="","",INT($A807))</f>
        <v/>
      </c>
      <c r="T807" s="35" t="str">
        <f aca="false">IF($A807="","",IF(COUNTIFS($S$3:$S807,$S807)=1,1,0))</f>
        <v/>
      </c>
      <c r="U807" s="37" t="str">
        <f aca="false">IF($T807=1,$S807,"")</f>
        <v/>
      </c>
    </row>
    <row r="808" customFormat="false" ht="15" hidden="false" customHeight="false" outlineLevel="0" collapsed="false">
      <c r="M808" s="35" t="str">
        <f aca="false">IF($A808="","",HOUR($A808))</f>
        <v/>
      </c>
      <c r="N808" s="36" t="str">
        <f aca="false">IF($A808="","",$I808*$K808)</f>
        <v/>
      </c>
      <c r="O808" s="35" t="str">
        <f aca="false">IF(OR($A808="",$C808="U",$S808&lt;&gt;Calc!$F$2),"",SUMIFS($I$3:$I$3002,$E$3:$E$3002,$E808,$C$3:$C$3002,"&lt;&gt;U",$S$3:$S$3002,Calc!$F$2))</f>
        <v/>
      </c>
      <c r="P808" s="35" t="str">
        <f aca="false">IF(OR($A808="",$C808="U",$S808&lt;&gt;Calc!$F$2),"",SUMIFS($N$3:$N$3002,$E$3:$E$3002,$E808,$C$3:$C$3002,"&lt;&gt;U",$S$3:$S$3002,Calc!$F$2))</f>
        <v/>
      </c>
      <c r="Q808" s="35" t="str">
        <f aca="false">IF(OR($A808="",$C808="U",$S808&lt;&gt;Calc!$F$2),"",IF(COUNTIFS($E$3:$E808,$E808,$C$3:$C808,"&lt;&gt;U",$S$3:$S808,Calc!$F$2)=1,1,0))</f>
        <v/>
      </c>
      <c r="R808" s="35" t="str">
        <f aca="false">IF($Q808=1,$O808-ROW()/100000,"")</f>
        <v/>
      </c>
      <c r="S808" s="37" t="str">
        <f aca="false">IF($A808="","",INT($A808))</f>
        <v/>
      </c>
      <c r="T808" s="35" t="str">
        <f aca="false">IF($A808="","",IF(COUNTIFS($S$3:$S808,$S808)=1,1,0))</f>
        <v/>
      </c>
      <c r="U808" s="37" t="str">
        <f aca="false">IF($T808=1,$S808,"")</f>
        <v/>
      </c>
    </row>
    <row r="809" customFormat="false" ht="15" hidden="false" customHeight="false" outlineLevel="0" collapsed="false">
      <c r="M809" s="35" t="str">
        <f aca="false">IF($A809="","",HOUR($A809))</f>
        <v/>
      </c>
      <c r="N809" s="36" t="str">
        <f aca="false">IF($A809="","",$I809*$K809)</f>
        <v/>
      </c>
      <c r="O809" s="35" t="str">
        <f aca="false">IF(OR($A809="",$C809="U",$S809&lt;&gt;Calc!$F$2),"",SUMIFS($I$3:$I$3002,$E$3:$E$3002,$E809,$C$3:$C$3002,"&lt;&gt;U",$S$3:$S$3002,Calc!$F$2))</f>
        <v/>
      </c>
      <c r="P809" s="35" t="str">
        <f aca="false">IF(OR($A809="",$C809="U",$S809&lt;&gt;Calc!$F$2),"",SUMIFS($N$3:$N$3002,$E$3:$E$3002,$E809,$C$3:$C$3002,"&lt;&gt;U",$S$3:$S$3002,Calc!$F$2))</f>
        <v/>
      </c>
      <c r="Q809" s="35" t="str">
        <f aca="false">IF(OR($A809="",$C809="U",$S809&lt;&gt;Calc!$F$2),"",IF(COUNTIFS($E$3:$E809,$E809,$C$3:$C809,"&lt;&gt;U",$S$3:$S809,Calc!$F$2)=1,1,0))</f>
        <v/>
      </c>
      <c r="R809" s="35" t="str">
        <f aca="false">IF($Q809=1,$O809-ROW()/100000,"")</f>
        <v/>
      </c>
      <c r="S809" s="37" t="str">
        <f aca="false">IF($A809="","",INT($A809))</f>
        <v/>
      </c>
      <c r="T809" s="35" t="str">
        <f aca="false">IF($A809="","",IF(COUNTIFS($S$3:$S809,$S809)=1,1,0))</f>
        <v/>
      </c>
      <c r="U809" s="37" t="str">
        <f aca="false">IF($T809=1,$S809,"")</f>
        <v/>
      </c>
    </row>
    <row r="810" customFormat="false" ht="15" hidden="false" customHeight="false" outlineLevel="0" collapsed="false">
      <c r="M810" s="35" t="str">
        <f aca="false">IF($A810="","",HOUR($A810))</f>
        <v/>
      </c>
      <c r="N810" s="36" t="str">
        <f aca="false">IF($A810="","",$I810*$K810)</f>
        <v/>
      </c>
      <c r="O810" s="35" t="str">
        <f aca="false">IF(OR($A810="",$C810="U",$S810&lt;&gt;Calc!$F$2),"",SUMIFS($I$3:$I$3002,$E$3:$E$3002,$E810,$C$3:$C$3002,"&lt;&gt;U",$S$3:$S$3002,Calc!$F$2))</f>
        <v/>
      </c>
      <c r="P810" s="35" t="str">
        <f aca="false">IF(OR($A810="",$C810="U",$S810&lt;&gt;Calc!$F$2),"",SUMIFS($N$3:$N$3002,$E$3:$E$3002,$E810,$C$3:$C$3002,"&lt;&gt;U",$S$3:$S$3002,Calc!$F$2))</f>
        <v/>
      </c>
      <c r="Q810" s="35" t="str">
        <f aca="false">IF(OR($A810="",$C810="U",$S810&lt;&gt;Calc!$F$2),"",IF(COUNTIFS($E$3:$E810,$E810,$C$3:$C810,"&lt;&gt;U",$S$3:$S810,Calc!$F$2)=1,1,0))</f>
        <v/>
      </c>
      <c r="R810" s="35" t="str">
        <f aca="false">IF($Q810=1,$O810-ROW()/100000,"")</f>
        <v/>
      </c>
      <c r="S810" s="37" t="str">
        <f aca="false">IF($A810="","",INT($A810))</f>
        <v/>
      </c>
      <c r="T810" s="35" t="str">
        <f aca="false">IF($A810="","",IF(COUNTIFS($S$3:$S810,$S810)=1,1,0))</f>
        <v/>
      </c>
      <c r="U810" s="37" t="str">
        <f aca="false">IF($T810=1,$S810,"")</f>
        <v/>
      </c>
    </row>
    <row r="811" customFormat="false" ht="15" hidden="false" customHeight="false" outlineLevel="0" collapsed="false">
      <c r="M811" s="35" t="str">
        <f aca="false">IF($A811="","",HOUR($A811))</f>
        <v/>
      </c>
      <c r="N811" s="36" t="str">
        <f aca="false">IF($A811="","",$I811*$K811)</f>
        <v/>
      </c>
      <c r="O811" s="35" t="str">
        <f aca="false">IF(OR($A811="",$C811="U",$S811&lt;&gt;Calc!$F$2),"",SUMIFS($I$3:$I$3002,$E$3:$E$3002,$E811,$C$3:$C$3002,"&lt;&gt;U",$S$3:$S$3002,Calc!$F$2))</f>
        <v/>
      </c>
      <c r="P811" s="35" t="str">
        <f aca="false">IF(OR($A811="",$C811="U",$S811&lt;&gt;Calc!$F$2),"",SUMIFS($N$3:$N$3002,$E$3:$E$3002,$E811,$C$3:$C$3002,"&lt;&gt;U",$S$3:$S$3002,Calc!$F$2))</f>
        <v/>
      </c>
      <c r="Q811" s="35" t="str">
        <f aca="false">IF(OR($A811="",$C811="U",$S811&lt;&gt;Calc!$F$2),"",IF(COUNTIFS($E$3:$E811,$E811,$C$3:$C811,"&lt;&gt;U",$S$3:$S811,Calc!$F$2)=1,1,0))</f>
        <v/>
      </c>
      <c r="R811" s="35" t="str">
        <f aca="false">IF($Q811=1,$O811-ROW()/100000,"")</f>
        <v/>
      </c>
      <c r="S811" s="37" t="str">
        <f aca="false">IF($A811="","",INT($A811))</f>
        <v/>
      </c>
      <c r="T811" s="35" t="str">
        <f aca="false">IF($A811="","",IF(COUNTIFS($S$3:$S811,$S811)=1,1,0))</f>
        <v/>
      </c>
      <c r="U811" s="37" t="str">
        <f aca="false">IF($T811=1,$S811,"")</f>
        <v/>
      </c>
    </row>
    <row r="812" customFormat="false" ht="15" hidden="false" customHeight="false" outlineLevel="0" collapsed="false">
      <c r="M812" s="35" t="str">
        <f aca="false">IF($A812="","",HOUR($A812))</f>
        <v/>
      </c>
      <c r="N812" s="36" t="str">
        <f aca="false">IF($A812="","",$I812*$K812)</f>
        <v/>
      </c>
      <c r="O812" s="35" t="str">
        <f aca="false">IF(OR($A812="",$C812="U",$S812&lt;&gt;Calc!$F$2),"",SUMIFS($I$3:$I$3002,$E$3:$E$3002,$E812,$C$3:$C$3002,"&lt;&gt;U",$S$3:$S$3002,Calc!$F$2))</f>
        <v/>
      </c>
      <c r="P812" s="35" t="str">
        <f aca="false">IF(OR($A812="",$C812="U",$S812&lt;&gt;Calc!$F$2),"",SUMIFS($N$3:$N$3002,$E$3:$E$3002,$E812,$C$3:$C$3002,"&lt;&gt;U",$S$3:$S$3002,Calc!$F$2))</f>
        <v/>
      </c>
      <c r="Q812" s="35" t="str">
        <f aca="false">IF(OR($A812="",$C812="U",$S812&lt;&gt;Calc!$F$2),"",IF(COUNTIFS($E$3:$E812,$E812,$C$3:$C812,"&lt;&gt;U",$S$3:$S812,Calc!$F$2)=1,1,0))</f>
        <v/>
      </c>
      <c r="R812" s="35" t="str">
        <f aca="false">IF($Q812=1,$O812-ROW()/100000,"")</f>
        <v/>
      </c>
      <c r="S812" s="37" t="str">
        <f aca="false">IF($A812="","",INT($A812))</f>
        <v/>
      </c>
      <c r="T812" s="35" t="str">
        <f aca="false">IF($A812="","",IF(COUNTIFS($S$3:$S812,$S812)=1,1,0))</f>
        <v/>
      </c>
      <c r="U812" s="37" t="str">
        <f aca="false">IF($T812=1,$S812,"")</f>
        <v/>
      </c>
    </row>
    <row r="813" customFormat="false" ht="15" hidden="false" customHeight="false" outlineLevel="0" collapsed="false">
      <c r="M813" s="35" t="str">
        <f aca="false">IF($A813="","",HOUR($A813))</f>
        <v/>
      </c>
      <c r="N813" s="36" t="str">
        <f aca="false">IF($A813="","",$I813*$K813)</f>
        <v/>
      </c>
      <c r="O813" s="35" t="str">
        <f aca="false">IF(OR($A813="",$C813="U",$S813&lt;&gt;Calc!$F$2),"",SUMIFS($I$3:$I$3002,$E$3:$E$3002,$E813,$C$3:$C$3002,"&lt;&gt;U",$S$3:$S$3002,Calc!$F$2))</f>
        <v/>
      </c>
      <c r="P813" s="35" t="str">
        <f aca="false">IF(OR($A813="",$C813="U",$S813&lt;&gt;Calc!$F$2),"",SUMIFS($N$3:$N$3002,$E$3:$E$3002,$E813,$C$3:$C$3002,"&lt;&gt;U",$S$3:$S$3002,Calc!$F$2))</f>
        <v/>
      </c>
      <c r="Q813" s="35" t="str">
        <f aca="false">IF(OR($A813="",$C813="U",$S813&lt;&gt;Calc!$F$2),"",IF(COUNTIFS($E$3:$E813,$E813,$C$3:$C813,"&lt;&gt;U",$S$3:$S813,Calc!$F$2)=1,1,0))</f>
        <v/>
      </c>
      <c r="R813" s="35" t="str">
        <f aca="false">IF($Q813=1,$O813-ROW()/100000,"")</f>
        <v/>
      </c>
      <c r="S813" s="37" t="str">
        <f aca="false">IF($A813="","",INT($A813))</f>
        <v/>
      </c>
      <c r="T813" s="35" t="str">
        <f aca="false">IF($A813="","",IF(COUNTIFS($S$3:$S813,$S813)=1,1,0))</f>
        <v/>
      </c>
      <c r="U813" s="37" t="str">
        <f aca="false">IF($T813=1,$S813,"")</f>
        <v/>
      </c>
    </row>
    <row r="814" customFormat="false" ht="15" hidden="false" customHeight="false" outlineLevel="0" collapsed="false">
      <c r="M814" s="35" t="str">
        <f aca="false">IF($A814="","",HOUR($A814))</f>
        <v/>
      </c>
      <c r="N814" s="36" t="str">
        <f aca="false">IF($A814="","",$I814*$K814)</f>
        <v/>
      </c>
      <c r="O814" s="35" t="str">
        <f aca="false">IF(OR($A814="",$C814="U",$S814&lt;&gt;Calc!$F$2),"",SUMIFS($I$3:$I$3002,$E$3:$E$3002,$E814,$C$3:$C$3002,"&lt;&gt;U",$S$3:$S$3002,Calc!$F$2))</f>
        <v/>
      </c>
      <c r="P814" s="35" t="str">
        <f aca="false">IF(OR($A814="",$C814="U",$S814&lt;&gt;Calc!$F$2),"",SUMIFS($N$3:$N$3002,$E$3:$E$3002,$E814,$C$3:$C$3002,"&lt;&gt;U",$S$3:$S$3002,Calc!$F$2))</f>
        <v/>
      </c>
      <c r="Q814" s="35" t="str">
        <f aca="false">IF(OR($A814="",$C814="U",$S814&lt;&gt;Calc!$F$2),"",IF(COUNTIFS($E$3:$E814,$E814,$C$3:$C814,"&lt;&gt;U",$S$3:$S814,Calc!$F$2)=1,1,0))</f>
        <v/>
      </c>
      <c r="R814" s="35" t="str">
        <f aca="false">IF($Q814=1,$O814-ROW()/100000,"")</f>
        <v/>
      </c>
      <c r="S814" s="37" t="str">
        <f aca="false">IF($A814="","",INT($A814))</f>
        <v/>
      </c>
      <c r="T814" s="35" t="str">
        <f aca="false">IF($A814="","",IF(COUNTIFS($S$3:$S814,$S814)=1,1,0))</f>
        <v/>
      </c>
      <c r="U814" s="37" t="str">
        <f aca="false">IF($T814=1,$S814,"")</f>
        <v/>
      </c>
    </row>
    <row r="815" customFormat="false" ht="15" hidden="false" customHeight="false" outlineLevel="0" collapsed="false">
      <c r="M815" s="35" t="str">
        <f aca="false">IF($A815="","",HOUR($A815))</f>
        <v/>
      </c>
      <c r="N815" s="36" t="str">
        <f aca="false">IF($A815="","",$I815*$K815)</f>
        <v/>
      </c>
      <c r="O815" s="35" t="str">
        <f aca="false">IF(OR($A815="",$C815="U",$S815&lt;&gt;Calc!$F$2),"",SUMIFS($I$3:$I$3002,$E$3:$E$3002,$E815,$C$3:$C$3002,"&lt;&gt;U",$S$3:$S$3002,Calc!$F$2))</f>
        <v/>
      </c>
      <c r="P815" s="35" t="str">
        <f aca="false">IF(OR($A815="",$C815="U",$S815&lt;&gt;Calc!$F$2),"",SUMIFS($N$3:$N$3002,$E$3:$E$3002,$E815,$C$3:$C$3002,"&lt;&gt;U",$S$3:$S$3002,Calc!$F$2))</f>
        <v/>
      </c>
      <c r="Q815" s="35" t="str">
        <f aca="false">IF(OR($A815="",$C815="U",$S815&lt;&gt;Calc!$F$2),"",IF(COUNTIFS($E$3:$E815,$E815,$C$3:$C815,"&lt;&gt;U",$S$3:$S815,Calc!$F$2)=1,1,0))</f>
        <v/>
      </c>
      <c r="R815" s="35" t="str">
        <f aca="false">IF($Q815=1,$O815-ROW()/100000,"")</f>
        <v/>
      </c>
      <c r="S815" s="37" t="str">
        <f aca="false">IF($A815="","",INT($A815))</f>
        <v/>
      </c>
      <c r="T815" s="35" t="str">
        <f aca="false">IF($A815="","",IF(COUNTIFS($S$3:$S815,$S815)=1,1,0))</f>
        <v/>
      </c>
      <c r="U815" s="37" t="str">
        <f aca="false">IF($T815=1,$S815,"")</f>
        <v/>
      </c>
    </row>
    <row r="816" customFormat="false" ht="15" hidden="false" customHeight="false" outlineLevel="0" collapsed="false">
      <c r="M816" s="35" t="str">
        <f aca="false">IF($A816="","",HOUR($A816))</f>
        <v/>
      </c>
      <c r="N816" s="36" t="str">
        <f aca="false">IF($A816="","",$I816*$K816)</f>
        <v/>
      </c>
      <c r="O816" s="35" t="str">
        <f aca="false">IF(OR($A816="",$C816="U",$S816&lt;&gt;Calc!$F$2),"",SUMIFS($I$3:$I$3002,$E$3:$E$3002,$E816,$C$3:$C$3002,"&lt;&gt;U",$S$3:$S$3002,Calc!$F$2))</f>
        <v/>
      </c>
      <c r="P816" s="35" t="str">
        <f aca="false">IF(OR($A816="",$C816="U",$S816&lt;&gt;Calc!$F$2),"",SUMIFS($N$3:$N$3002,$E$3:$E$3002,$E816,$C$3:$C$3002,"&lt;&gt;U",$S$3:$S$3002,Calc!$F$2))</f>
        <v/>
      </c>
      <c r="Q816" s="35" t="str">
        <f aca="false">IF(OR($A816="",$C816="U",$S816&lt;&gt;Calc!$F$2),"",IF(COUNTIFS($E$3:$E816,$E816,$C$3:$C816,"&lt;&gt;U",$S$3:$S816,Calc!$F$2)=1,1,0))</f>
        <v/>
      </c>
      <c r="R816" s="35" t="str">
        <f aca="false">IF($Q816=1,$O816-ROW()/100000,"")</f>
        <v/>
      </c>
      <c r="S816" s="37" t="str">
        <f aca="false">IF($A816="","",INT($A816))</f>
        <v/>
      </c>
      <c r="T816" s="35" t="str">
        <f aca="false">IF($A816="","",IF(COUNTIFS($S$3:$S816,$S816)=1,1,0))</f>
        <v/>
      </c>
      <c r="U816" s="37" t="str">
        <f aca="false">IF($T816=1,$S816,"")</f>
        <v/>
      </c>
    </row>
    <row r="817" customFormat="false" ht="15" hidden="false" customHeight="false" outlineLevel="0" collapsed="false">
      <c r="M817" s="35" t="str">
        <f aca="false">IF($A817="","",HOUR($A817))</f>
        <v/>
      </c>
      <c r="N817" s="36" t="str">
        <f aca="false">IF($A817="","",$I817*$K817)</f>
        <v/>
      </c>
      <c r="O817" s="35" t="str">
        <f aca="false">IF(OR($A817="",$C817="U",$S817&lt;&gt;Calc!$F$2),"",SUMIFS($I$3:$I$3002,$E$3:$E$3002,$E817,$C$3:$C$3002,"&lt;&gt;U",$S$3:$S$3002,Calc!$F$2))</f>
        <v/>
      </c>
      <c r="P817" s="35" t="str">
        <f aca="false">IF(OR($A817="",$C817="U",$S817&lt;&gt;Calc!$F$2),"",SUMIFS($N$3:$N$3002,$E$3:$E$3002,$E817,$C$3:$C$3002,"&lt;&gt;U",$S$3:$S$3002,Calc!$F$2))</f>
        <v/>
      </c>
      <c r="Q817" s="35" t="str">
        <f aca="false">IF(OR($A817="",$C817="U",$S817&lt;&gt;Calc!$F$2),"",IF(COUNTIFS($E$3:$E817,$E817,$C$3:$C817,"&lt;&gt;U",$S$3:$S817,Calc!$F$2)=1,1,0))</f>
        <v/>
      </c>
      <c r="R817" s="35" t="str">
        <f aca="false">IF($Q817=1,$O817-ROW()/100000,"")</f>
        <v/>
      </c>
      <c r="S817" s="37" t="str">
        <f aca="false">IF($A817="","",INT($A817))</f>
        <v/>
      </c>
      <c r="T817" s="35" t="str">
        <f aca="false">IF($A817="","",IF(COUNTIFS($S$3:$S817,$S817)=1,1,0))</f>
        <v/>
      </c>
      <c r="U817" s="37" t="str">
        <f aca="false">IF($T817=1,$S817,"")</f>
        <v/>
      </c>
    </row>
    <row r="818" customFormat="false" ht="15" hidden="false" customHeight="false" outlineLevel="0" collapsed="false">
      <c r="M818" s="35" t="str">
        <f aca="false">IF($A818="","",HOUR($A818))</f>
        <v/>
      </c>
      <c r="N818" s="36" t="str">
        <f aca="false">IF($A818="","",$I818*$K818)</f>
        <v/>
      </c>
      <c r="O818" s="35" t="str">
        <f aca="false">IF(OR($A818="",$C818="U",$S818&lt;&gt;Calc!$F$2),"",SUMIFS($I$3:$I$3002,$E$3:$E$3002,$E818,$C$3:$C$3002,"&lt;&gt;U",$S$3:$S$3002,Calc!$F$2))</f>
        <v/>
      </c>
      <c r="P818" s="35" t="str">
        <f aca="false">IF(OR($A818="",$C818="U",$S818&lt;&gt;Calc!$F$2),"",SUMIFS($N$3:$N$3002,$E$3:$E$3002,$E818,$C$3:$C$3002,"&lt;&gt;U",$S$3:$S$3002,Calc!$F$2))</f>
        <v/>
      </c>
      <c r="Q818" s="35" t="str">
        <f aca="false">IF(OR($A818="",$C818="U",$S818&lt;&gt;Calc!$F$2),"",IF(COUNTIFS($E$3:$E818,$E818,$C$3:$C818,"&lt;&gt;U",$S$3:$S818,Calc!$F$2)=1,1,0))</f>
        <v/>
      </c>
      <c r="R818" s="35" t="str">
        <f aca="false">IF($Q818=1,$O818-ROW()/100000,"")</f>
        <v/>
      </c>
      <c r="S818" s="37" t="str">
        <f aca="false">IF($A818="","",INT($A818))</f>
        <v/>
      </c>
      <c r="T818" s="35" t="str">
        <f aca="false">IF($A818="","",IF(COUNTIFS($S$3:$S818,$S818)=1,1,0))</f>
        <v/>
      </c>
      <c r="U818" s="37" t="str">
        <f aca="false">IF($T818=1,$S818,"")</f>
        <v/>
      </c>
    </row>
    <row r="819" customFormat="false" ht="15" hidden="false" customHeight="false" outlineLevel="0" collapsed="false">
      <c r="M819" s="35" t="str">
        <f aca="false">IF($A819="","",HOUR($A819))</f>
        <v/>
      </c>
      <c r="N819" s="36" t="str">
        <f aca="false">IF($A819="","",$I819*$K819)</f>
        <v/>
      </c>
      <c r="O819" s="35" t="str">
        <f aca="false">IF(OR($A819="",$C819="U",$S819&lt;&gt;Calc!$F$2),"",SUMIFS($I$3:$I$3002,$E$3:$E$3002,$E819,$C$3:$C$3002,"&lt;&gt;U",$S$3:$S$3002,Calc!$F$2))</f>
        <v/>
      </c>
      <c r="P819" s="35" t="str">
        <f aca="false">IF(OR($A819="",$C819="U",$S819&lt;&gt;Calc!$F$2),"",SUMIFS($N$3:$N$3002,$E$3:$E$3002,$E819,$C$3:$C$3002,"&lt;&gt;U",$S$3:$S$3002,Calc!$F$2))</f>
        <v/>
      </c>
      <c r="Q819" s="35" t="str">
        <f aca="false">IF(OR($A819="",$C819="U",$S819&lt;&gt;Calc!$F$2),"",IF(COUNTIFS($E$3:$E819,$E819,$C$3:$C819,"&lt;&gt;U",$S$3:$S819,Calc!$F$2)=1,1,0))</f>
        <v/>
      </c>
      <c r="R819" s="35" t="str">
        <f aca="false">IF($Q819=1,$O819-ROW()/100000,"")</f>
        <v/>
      </c>
      <c r="S819" s="37" t="str">
        <f aca="false">IF($A819="","",INT($A819))</f>
        <v/>
      </c>
      <c r="T819" s="35" t="str">
        <f aca="false">IF($A819="","",IF(COUNTIFS($S$3:$S819,$S819)=1,1,0))</f>
        <v/>
      </c>
      <c r="U819" s="37" t="str">
        <f aca="false">IF($T819=1,$S819,"")</f>
        <v/>
      </c>
    </row>
    <row r="820" customFormat="false" ht="15" hidden="false" customHeight="false" outlineLevel="0" collapsed="false">
      <c r="M820" s="35" t="str">
        <f aca="false">IF($A820="","",HOUR($A820))</f>
        <v/>
      </c>
      <c r="N820" s="36" t="str">
        <f aca="false">IF($A820="","",$I820*$K820)</f>
        <v/>
      </c>
      <c r="O820" s="35" t="str">
        <f aca="false">IF(OR($A820="",$C820="U",$S820&lt;&gt;Calc!$F$2),"",SUMIFS($I$3:$I$3002,$E$3:$E$3002,$E820,$C$3:$C$3002,"&lt;&gt;U",$S$3:$S$3002,Calc!$F$2))</f>
        <v/>
      </c>
      <c r="P820" s="35" t="str">
        <f aca="false">IF(OR($A820="",$C820="U",$S820&lt;&gt;Calc!$F$2),"",SUMIFS($N$3:$N$3002,$E$3:$E$3002,$E820,$C$3:$C$3002,"&lt;&gt;U",$S$3:$S$3002,Calc!$F$2))</f>
        <v/>
      </c>
      <c r="Q820" s="35" t="str">
        <f aca="false">IF(OR($A820="",$C820="U",$S820&lt;&gt;Calc!$F$2),"",IF(COUNTIFS($E$3:$E820,$E820,$C$3:$C820,"&lt;&gt;U",$S$3:$S820,Calc!$F$2)=1,1,0))</f>
        <v/>
      </c>
      <c r="R820" s="35" t="str">
        <f aca="false">IF($Q820=1,$O820-ROW()/100000,"")</f>
        <v/>
      </c>
      <c r="S820" s="37" t="str">
        <f aca="false">IF($A820="","",INT($A820))</f>
        <v/>
      </c>
      <c r="T820" s="35" t="str">
        <f aca="false">IF($A820="","",IF(COUNTIFS($S$3:$S820,$S820)=1,1,0))</f>
        <v/>
      </c>
      <c r="U820" s="37" t="str">
        <f aca="false">IF($T820=1,$S820,"")</f>
        <v/>
      </c>
    </row>
    <row r="821" customFormat="false" ht="15" hidden="false" customHeight="false" outlineLevel="0" collapsed="false">
      <c r="M821" s="35" t="str">
        <f aca="false">IF($A821="","",HOUR($A821))</f>
        <v/>
      </c>
      <c r="N821" s="36" t="str">
        <f aca="false">IF($A821="","",$I821*$K821)</f>
        <v/>
      </c>
      <c r="O821" s="35" t="str">
        <f aca="false">IF(OR($A821="",$C821="U",$S821&lt;&gt;Calc!$F$2),"",SUMIFS($I$3:$I$3002,$E$3:$E$3002,$E821,$C$3:$C$3002,"&lt;&gt;U",$S$3:$S$3002,Calc!$F$2))</f>
        <v/>
      </c>
      <c r="P821" s="35" t="str">
        <f aca="false">IF(OR($A821="",$C821="U",$S821&lt;&gt;Calc!$F$2),"",SUMIFS($N$3:$N$3002,$E$3:$E$3002,$E821,$C$3:$C$3002,"&lt;&gt;U",$S$3:$S$3002,Calc!$F$2))</f>
        <v/>
      </c>
      <c r="Q821" s="35" t="str">
        <f aca="false">IF(OR($A821="",$C821="U",$S821&lt;&gt;Calc!$F$2),"",IF(COUNTIFS($E$3:$E821,$E821,$C$3:$C821,"&lt;&gt;U",$S$3:$S821,Calc!$F$2)=1,1,0))</f>
        <v/>
      </c>
      <c r="R821" s="35" t="str">
        <f aca="false">IF($Q821=1,$O821-ROW()/100000,"")</f>
        <v/>
      </c>
      <c r="S821" s="37" t="str">
        <f aca="false">IF($A821="","",INT($A821))</f>
        <v/>
      </c>
      <c r="T821" s="35" t="str">
        <f aca="false">IF($A821="","",IF(COUNTIFS($S$3:$S821,$S821)=1,1,0))</f>
        <v/>
      </c>
      <c r="U821" s="37" t="str">
        <f aca="false">IF($T821=1,$S821,"")</f>
        <v/>
      </c>
    </row>
    <row r="822" customFormat="false" ht="15" hidden="false" customHeight="false" outlineLevel="0" collapsed="false">
      <c r="M822" s="35" t="str">
        <f aca="false">IF($A822="","",HOUR($A822))</f>
        <v/>
      </c>
      <c r="N822" s="36" t="str">
        <f aca="false">IF($A822="","",$I822*$K822)</f>
        <v/>
      </c>
      <c r="O822" s="35" t="str">
        <f aca="false">IF(OR($A822="",$C822="U",$S822&lt;&gt;Calc!$F$2),"",SUMIFS($I$3:$I$3002,$E$3:$E$3002,$E822,$C$3:$C$3002,"&lt;&gt;U",$S$3:$S$3002,Calc!$F$2))</f>
        <v/>
      </c>
      <c r="P822" s="35" t="str">
        <f aca="false">IF(OR($A822="",$C822="U",$S822&lt;&gt;Calc!$F$2),"",SUMIFS($N$3:$N$3002,$E$3:$E$3002,$E822,$C$3:$C$3002,"&lt;&gt;U",$S$3:$S$3002,Calc!$F$2))</f>
        <v/>
      </c>
      <c r="Q822" s="35" t="str">
        <f aca="false">IF(OR($A822="",$C822="U",$S822&lt;&gt;Calc!$F$2),"",IF(COUNTIFS($E$3:$E822,$E822,$C$3:$C822,"&lt;&gt;U",$S$3:$S822,Calc!$F$2)=1,1,0))</f>
        <v/>
      </c>
      <c r="R822" s="35" t="str">
        <f aca="false">IF($Q822=1,$O822-ROW()/100000,"")</f>
        <v/>
      </c>
      <c r="S822" s="37" t="str">
        <f aca="false">IF($A822="","",INT($A822))</f>
        <v/>
      </c>
      <c r="T822" s="35" t="str">
        <f aca="false">IF($A822="","",IF(COUNTIFS($S$3:$S822,$S822)=1,1,0))</f>
        <v/>
      </c>
      <c r="U822" s="37" t="str">
        <f aca="false">IF($T822=1,$S822,"")</f>
        <v/>
      </c>
    </row>
    <row r="823" customFormat="false" ht="15" hidden="false" customHeight="false" outlineLevel="0" collapsed="false">
      <c r="M823" s="35" t="str">
        <f aca="false">IF($A823="","",HOUR($A823))</f>
        <v/>
      </c>
      <c r="N823" s="36" t="str">
        <f aca="false">IF($A823="","",$I823*$K823)</f>
        <v/>
      </c>
      <c r="O823" s="35" t="str">
        <f aca="false">IF(OR($A823="",$C823="U",$S823&lt;&gt;Calc!$F$2),"",SUMIFS($I$3:$I$3002,$E$3:$E$3002,$E823,$C$3:$C$3002,"&lt;&gt;U",$S$3:$S$3002,Calc!$F$2))</f>
        <v/>
      </c>
      <c r="P823" s="35" t="str">
        <f aca="false">IF(OR($A823="",$C823="U",$S823&lt;&gt;Calc!$F$2),"",SUMIFS($N$3:$N$3002,$E$3:$E$3002,$E823,$C$3:$C$3002,"&lt;&gt;U",$S$3:$S$3002,Calc!$F$2))</f>
        <v/>
      </c>
      <c r="Q823" s="35" t="str">
        <f aca="false">IF(OR($A823="",$C823="U",$S823&lt;&gt;Calc!$F$2),"",IF(COUNTIFS($E$3:$E823,$E823,$C$3:$C823,"&lt;&gt;U",$S$3:$S823,Calc!$F$2)=1,1,0))</f>
        <v/>
      </c>
      <c r="R823" s="35" t="str">
        <f aca="false">IF($Q823=1,$O823-ROW()/100000,"")</f>
        <v/>
      </c>
      <c r="S823" s="37" t="str">
        <f aca="false">IF($A823="","",INT($A823))</f>
        <v/>
      </c>
      <c r="T823" s="35" t="str">
        <f aca="false">IF($A823="","",IF(COUNTIFS($S$3:$S823,$S823)=1,1,0))</f>
        <v/>
      </c>
      <c r="U823" s="37" t="str">
        <f aca="false">IF($T823=1,$S823,"")</f>
        <v/>
      </c>
    </row>
    <row r="824" customFormat="false" ht="15" hidden="false" customHeight="false" outlineLevel="0" collapsed="false">
      <c r="M824" s="35" t="str">
        <f aca="false">IF($A824="","",HOUR($A824))</f>
        <v/>
      </c>
      <c r="N824" s="36" t="str">
        <f aca="false">IF($A824="","",$I824*$K824)</f>
        <v/>
      </c>
      <c r="O824" s="35" t="str">
        <f aca="false">IF(OR($A824="",$C824="U",$S824&lt;&gt;Calc!$F$2),"",SUMIFS($I$3:$I$3002,$E$3:$E$3002,$E824,$C$3:$C$3002,"&lt;&gt;U",$S$3:$S$3002,Calc!$F$2))</f>
        <v/>
      </c>
      <c r="P824" s="35" t="str">
        <f aca="false">IF(OR($A824="",$C824="U",$S824&lt;&gt;Calc!$F$2),"",SUMIFS($N$3:$N$3002,$E$3:$E$3002,$E824,$C$3:$C$3002,"&lt;&gt;U",$S$3:$S$3002,Calc!$F$2))</f>
        <v/>
      </c>
      <c r="Q824" s="35" t="str">
        <f aca="false">IF(OR($A824="",$C824="U",$S824&lt;&gt;Calc!$F$2),"",IF(COUNTIFS($E$3:$E824,$E824,$C$3:$C824,"&lt;&gt;U",$S$3:$S824,Calc!$F$2)=1,1,0))</f>
        <v/>
      </c>
      <c r="R824" s="35" t="str">
        <f aca="false">IF($Q824=1,$O824-ROW()/100000,"")</f>
        <v/>
      </c>
      <c r="S824" s="37" t="str">
        <f aca="false">IF($A824="","",INT($A824))</f>
        <v/>
      </c>
      <c r="T824" s="35" t="str">
        <f aca="false">IF($A824="","",IF(COUNTIFS($S$3:$S824,$S824)=1,1,0))</f>
        <v/>
      </c>
      <c r="U824" s="37" t="str">
        <f aca="false">IF($T824=1,$S824,"")</f>
        <v/>
      </c>
    </row>
    <row r="825" customFormat="false" ht="15" hidden="false" customHeight="false" outlineLevel="0" collapsed="false">
      <c r="M825" s="35" t="str">
        <f aca="false">IF($A825="","",HOUR($A825))</f>
        <v/>
      </c>
      <c r="N825" s="36" t="str">
        <f aca="false">IF($A825="","",$I825*$K825)</f>
        <v/>
      </c>
      <c r="O825" s="35" t="str">
        <f aca="false">IF(OR($A825="",$C825="U",$S825&lt;&gt;Calc!$F$2),"",SUMIFS($I$3:$I$3002,$E$3:$E$3002,$E825,$C$3:$C$3002,"&lt;&gt;U",$S$3:$S$3002,Calc!$F$2))</f>
        <v/>
      </c>
      <c r="P825" s="35" t="str">
        <f aca="false">IF(OR($A825="",$C825="U",$S825&lt;&gt;Calc!$F$2),"",SUMIFS($N$3:$N$3002,$E$3:$E$3002,$E825,$C$3:$C$3002,"&lt;&gt;U",$S$3:$S$3002,Calc!$F$2))</f>
        <v/>
      </c>
      <c r="Q825" s="35" t="str">
        <f aca="false">IF(OR($A825="",$C825="U",$S825&lt;&gt;Calc!$F$2),"",IF(COUNTIFS($E$3:$E825,$E825,$C$3:$C825,"&lt;&gt;U",$S$3:$S825,Calc!$F$2)=1,1,0))</f>
        <v/>
      </c>
      <c r="R825" s="35" t="str">
        <f aca="false">IF($Q825=1,$O825-ROW()/100000,"")</f>
        <v/>
      </c>
      <c r="S825" s="37" t="str">
        <f aca="false">IF($A825="","",INT($A825))</f>
        <v/>
      </c>
      <c r="T825" s="35" t="str">
        <f aca="false">IF($A825="","",IF(COUNTIFS($S$3:$S825,$S825)=1,1,0))</f>
        <v/>
      </c>
      <c r="U825" s="37" t="str">
        <f aca="false">IF($T825=1,$S825,"")</f>
        <v/>
      </c>
    </row>
    <row r="826" customFormat="false" ht="15" hidden="false" customHeight="false" outlineLevel="0" collapsed="false">
      <c r="M826" s="35" t="str">
        <f aca="false">IF($A826="","",HOUR($A826))</f>
        <v/>
      </c>
      <c r="N826" s="36" t="str">
        <f aca="false">IF($A826="","",$I826*$K826)</f>
        <v/>
      </c>
      <c r="O826" s="35" t="str">
        <f aca="false">IF(OR($A826="",$C826="U",$S826&lt;&gt;Calc!$F$2),"",SUMIFS($I$3:$I$3002,$E$3:$E$3002,$E826,$C$3:$C$3002,"&lt;&gt;U",$S$3:$S$3002,Calc!$F$2))</f>
        <v/>
      </c>
      <c r="P826" s="35" t="str">
        <f aca="false">IF(OR($A826="",$C826="U",$S826&lt;&gt;Calc!$F$2),"",SUMIFS($N$3:$N$3002,$E$3:$E$3002,$E826,$C$3:$C$3002,"&lt;&gt;U",$S$3:$S$3002,Calc!$F$2))</f>
        <v/>
      </c>
      <c r="Q826" s="35" t="str">
        <f aca="false">IF(OR($A826="",$C826="U",$S826&lt;&gt;Calc!$F$2),"",IF(COUNTIFS($E$3:$E826,$E826,$C$3:$C826,"&lt;&gt;U",$S$3:$S826,Calc!$F$2)=1,1,0))</f>
        <v/>
      </c>
      <c r="R826" s="35" t="str">
        <f aca="false">IF($Q826=1,$O826-ROW()/100000,"")</f>
        <v/>
      </c>
      <c r="S826" s="37" t="str">
        <f aca="false">IF($A826="","",INT($A826))</f>
        <v/>
      </c>
      <c r="T826" s="35" t="str">
        <f aca="false">IF($A826="","",IF(COUNTIFS($S$3:$S826,$S826)=1,1,0))</f>
        <v/>
      </c>
      <c r="U826" s="37" t="str">
        <f aca="false">IF($T826=1,$S826,"")</f>
        <v/>
      </c>
    </row>
    <row r="827" customFormat="false" ht="15" hidden="false" customHeight="false" outlineLevel="0" collapsed="false">
      <c r="M827" s="35" t="str">
        <f aca="false">IF($A827="","",HOUR($A827))</f>
        <v/>
      </c>
      <c r="N827" s="36" t="str">
        <f aca="false">IF($A827="","",$I827*$K827)</f>
        <v/>
      </c>
      <c r="O827" s="35" t="str">
        <f aca="false">IF(OR($A827="",$C827="U",$S827&lt;&gt;Calc!$F$2),"",SUMIFS($I$3:$I$3002,$E$3:$E$3002,$E827,$C$3:$C$3002,"&lt;&gt;U",$S$3:$S$3002,Calc!$F$2))</f>
        <v/>
      </c>
      <c r="P827" s="35" t="str">
        <f aca="false">IF(OR($A827="",$C827="U",$S827&lt;&gt;Calc!$F$2),"",SUMIFS($N$3:$N$3002,$E$3:$E$3002,$E827,$C$3:$C$3002,"&lt;&gt;U",$S$3:$S$3002,Calc!$F$2))</f>
        <v/>
      </c>
      <c r="Q827" s="35" t="str">
        <f aca="false">IF(OR($A827="",$C827="U",$S827&lt;&gt;Calc!$F$2),"",IF(COUNTIFS($E$3:$E827,$E827,$C$3:$C827,"&lt;&gt;U",$S$3:$S827,Calc!$F$2)=1,1,0))</f>
        <v/>
      </c>
      <c r="R827" s="35" t="str">
        <f aca="false">IF($Q827=1,$O827-ROW()/100000,"")</f>
        <v/>
      </c>
      <c r="S827" s="37" t="str">
        <f aca="false">IF($A827="","",INT($A827))</f>
        <v/>
      </c>
      <c r="T827" s="35" t="str">
        <f aca="false">IF($A827="","",IF(COUNTIFS($S$3:$S827,$S827)=1,1,0))</f>
        <v/>
      </c>
      <c r="U827" s="37" t="str">
        <f aca="false">IF($T827=1,$S827,"")</f>
        <v/>
      </c>
    </row>
    <row r="828" customFormat="false" ht="15" hidden="false" customHeight="false" outlineLevel="0" collapsed="false">
      <c r="M828" s="35" t="str">
        <f aca="false">IF($A828="","",HOUR($A828))</f>
        <v/>
      </c>
      <c r="N828" s="36" t="str">
        <f aca="false">IF($A828="","",$I828*$K828)</f>
        <v/>
      </c>
      <c r="O828" s="35" t="str">
        <f aca="false">IF(OR($A828="",$C828="U",$S828&lt;&gt;Calc!$F$2),"",SUMIFS($I$3:$I$3002,$E$3:$E$3002,$E828,$C$3:$C$3002,"&lt;&gt;U",$S$3:$S$3002,Calc!$F$2))</f>
        <v/>
      </c>
      <c r="P828" s="35" t="str">
        <f aca="false">IF(OR($A828="",$C828="U",$S828&lt;&gt;Calc!$F$2),"",SUMIFS($N$3:$N$3002,$E$3:$E$3002,$E828,$C$3:$C$3002,"&lt;&gt;U",$S$3:$S$3002,Calc!$F$2))</f>
        <v/>
      </c>
      <c r="Q828" s="35" t="str">
        <f aca="false">IF(OR($A828="",$C828="U",$S828&lt;&gt;Calc!$F$2),"",IF(COUNTIFS($E$3:$E828,$E828,$C$3:$C828,"&lt;&gt;U",$S$3:$S828,Calc!$F$2)=1,1,0))</f>
        <v/>
      </c>
      <c r="R828" s="35" t="str">
        <f aca="false">IF($Q828=1,$O828-ROW()/100000,"")</f>
        <v/>
      </c>
      <c r="S828" s="37" t="str">
        <f aca="false">IF($A828="","",INT($A828))</f>
        <v/>
      </c>
      <c r="T828" s="35" t="str">
        <f aca="false">IF($A828="","",IF(COUNTIFS($S$3:$S828,$S828)=1,1,0))</f>
        <v/>
      </c>
      <c r="U828" s="37" t="str">
        <f aca="false">IF($T828=1,$S828,"")</f>
        <v/>
      </c>
    </row>
    <row r="829" customFormat="false" ht="15" hidden="false" customHeight="false" outlineLevel="0" collapsed="false">
      <c r="M829" s="35" t="str">
        <f aca="false">IF($A829="","",HOUR($A829))</f>
        <v/>
      </c>
      <c r="N829" s="36" t="str">
        <f aca="false">IF($A829="","",$I829*$K829)</f>
        <v/>
      </c>
      <c r="O829" s="35" t="str">
        <f aca="false">IF(OR($A829="",$C829="U",$S829&lt;&gt;Calc!$F$2),"",SUMIFS($I$3:$I$3002,$E$3:$E$3002,$E829,$C$3:$C$3002,"&lt;&gt;U",$S$3:$S$3002,Calc!$F$2))</f>
        <v/>
      </c>
      <c r="P829" s="35" t="str">
        <f aca="false">IF(OR($A829="",$C829="U",$S829&lt;&gt;Calc!$F$2),"",SUMIFS($N$3:$N$3002,$E$3:$E$3002,$E829,$C$3:$C$3002,"&lt;&gt;U",$S$3:$S$3002,Calc!$F$2))</f>
        <v/>
      </c>
      <c r="Q829" s="35" t="str">
        <f aca="false">IF(OR($A829="",$C829="U",$S829&lt;&gt;Calc!$F$2),"",IF(COUNTIFS($E$3:$E829,$E829,$C$3:$C829,"&lt;&gt;U",$S$3:$S829,Calc!$F$2)=1,1,0))</f>
        <v/>
      </c>
      <c r="R829" s="35" t="str">
        <f aca="false">IF($Q829=1,$O829-ROW()/100000,"")</f>
        <v/>
      </c>
      <c r="S829" s="37" t="str">
        <f aca="false">IF($A829="","",INT($A829))</f>
        <v/>
      </c>
      <c r="T829" s="35" t="str">
        <f aca="false">IF($A829="","",IF(COUNTIFS($S$3:$S829,$S829)=1,1,0))</f>
        <v/>
      </c>
      <c r="U829" s="37" t="str">
        <f aca="false">IF($T829=1,$S829,"")</f>
        <v/>
      </c>
    </row>
    <row r="830" customFormat="false" ht="15" hidden="false" customHeight="false" outlineLevel="0" collapsed="false">
      <c r="M830" s="35" t="str">
        <f aca="false">IF($A830="","",HOUR($A830))</f>
        <v/>
      </c>
      <c r="N830" s="36" t="str">
        <f aca="false">IF($A830="","",$I830*$K830)</f>
        <v/>
      </c>
      <c r="O830" s="35" t="str">
        <f aca="false">IF(OR($A830="",$C830="U",$S830&lt;&gt;Calc!$F$2),"",SUMIFS($I$3:$I$3002,$E$3:$E$3002,$E830,$C$3:$C$3002,"&lt;&gt;U",$S$3:$S$3002,Calc!$F$2))</f>
        <v/>
      </c>
      <c r="P830" s="35" t="str">
        <f aca="false">IF(OR($A830="",$C830="U",$S830&lt;&gt;Calc!$F$2),"",SUMIFS($N$3:$N$3002,$E$3:$E$3002,$E830,$C$3:$C$3002,"&lt;&gt;U",$S$3:$S$3002,Calc!$F$2))</f>
        <v/>
      </c>
      <c r="Q830" s="35" t="str">
        <f aca="false">IF(OR($A830="",$C830="U",$S830&lt;&gt;Calc!$F$2),"",IF(COUNTIFS($E$3:$E830,$E830,$C$3:$C830,"&lt;&gt;U",$S$3:$S830,Calc!$F$2)=1,1,0))</f>
        <v/>
      </c>
      <c r="R830" s="35" t="str">
        <f aca="false">IF($Q830=1,$O830-ROW()/100000,"")</f>
        <v/>
      </c>
      <c r="S830" s="37" t="str">
        <f aca="false">IF($A830="","",INT($A830))</f>
        <v/>
      </c>
      <c r="T830" s="35" t="str">
        <f aca="false">IF($A830="","",IF(COUNTIFS($S$3:$S830,$S830)=1,1,0))</f>
        <v/>
      </c>
      <c r="U830" s="37" t="str">
        <f aca="false">IF($T830=1,$S830,"")</f>
        <v/>
      </c>
    </row>
    <row r="831" customFormat="false" ht="15" hidden="false" customHeight="false" outlineLevel="0" collapsed="false">
      <c r="M831" s="35" t="str">
        <f aca="false">IF($A831="","",HOUR($A831))</f>
        <v/>
      </c>
      <c r="N831" s="36" t="str">
        <f aca="false">IF($A831="","",$I831*$K831)</f>
        <v/>
      </c>
      <c r="O831" s="35" t="str">
        <f aca="false">IF(OR($A831="",$C831="U",$S831&lt;&gt;Calc!$F$2),"",SUMIFS($I$3:$I$3002,$E$3:$E$3002,$E831,$C$3:$C$3002,"&lt;&gt;U",$S$3:$S$3002,Calc!$F$2))</f>
        <v/>
      </c>
      <c r="P831" s="35" t="str">
        <f aca="false">IF(OR($A831="",$C831="U",$S831&lt;&gt;Calc!$F$2),"",SUMIFS($N$3:$N$3002,$E$3:$E$3002,$E831,$C$3:$C$3002,"&lt;&gt;U",$S$3:$S$3002,Calc!$F$2))</f>
        <v/>
      </c>
      <c r="Q831" s="35" t="str">
        <f aca="false">IF(OR($A831="",$C831="U",$S831&lt;&gt;Calc!$F$2),"",IF(COUNTIFS($E$3:$E831,$E831,$C$3:$C831,"&lt;&gt;U",$S$3:$S831,Calc!$F$2)=1,1,0))</f>
        <v/>
      </c>
      <c r="R831" s="35" t="str">
        <f aca="false">IF($Q831=1,$O831-ROW()/100000,"")</f>
        <v/>
      </c>
      <c r="S831" s="37" t="str">
        <f aca="false">IF($A831="","",INT($A831))</f>
        <v/>
      </c>
      <c r="T831" s="35" t="str">
        <f aca="false">IF($A831="","",IF(COUNTIFS($S$3:$S831,$S831)=1,1,0))</f>
        <v/>
      </c>
      <c r="U831" s="37" t="str">
        <f aca="false">IF($T831=1,$S831,"")</f>
        <v/>
      </c>
    </row>
    <row r="832" customFormat="false" ht="15" hidden="false" customHeight="false" outlineLevel="0" collapsed="false">
      <c r="M832" s="35" t="str">
        <f aca="false">IF($A832="","",HOUR($A832))</f>
        <v/>
      </c>
      <c r="N832" s="36" t="str">
        <f aca="false">IF($A832="","",$I832*$K832)</f>
        <v/>
      </c>
      <c r="O832" s="35" t="str">
        <f aca="false">IF(OR($A832="",$C832="U",$S832&lt;&gt;Calc!$F$2),"",SUMIFS($I$3:$I$3002,$E$3:$E$3002,$E832,$C$3:$C$3002,"&lt;&gt;U",$S$3:$S$3002,Calc!$F$2))</f>
        <v/>
      </c>
      <c r="P832" s="35" t="str">
        <f aca="false">IF(OR($A832="",$C832="U",$S832&lt;&gt;Calc!$F$2),"",SUMIFS($N$3:$N$3002,$E$3:$E$3002,$E832,$C$3:$C$3002,"&lt;&gt;U",$S$3:$S$3002,Calc!$F$2))</f>
        <v/>
      </c>
      <c r="Q832" s="35" t="str">
        <f aca="false">IF(OR($A832="",$C832="U",$S832&lt;&gt;Calc!$F$2),"",IF(COUNTIFS($E$3:$E832,$E832,$C$3:$C832,"&lt;&gt;U",$S$3:$S832,Calc!$F$2)=1,1,0))</f>
        <v/>
      </c>
      <c r="R832" s="35" t="str">
        <f aca="false">IF($Q832=1,$O832-ROW()/100000,"")</f>
        <v/>
      </c>
      <c r="S832" s="37" t="str">
        <f aca="false">IF($A832="","",INT($A832))</f>
        <v/>
      </c>
      <c r="T832" s="35" t="str">
        <f aca="false">IF($A832="","",IF(COUNTIFS($S$3:$S832,$S832)=1,1,0))</f>
        <v/>
      </c>
      <c r="U832" s="37" t="str">
        <f aca="false">IF($T832=1,$S832,"")</f>
        <v/>
      </c>
    </row>
    <row r="833" customFormat="false" ht="15" hidden="false" customHeight="false" outlineLevel="0" collapsed="false">
      <c r="M833" s="35" t="str">
        <f aca="false">IF($A833="","",HOUR($A833))</f>
        <v/>
      </c>
      <c r="N833" s="36" t="str">
        <f aca="false">IF($A833="","",$I833*$K833)</f>
        <v/>
      </c>
      <c r="O833" s="35" t="str">
        <f aca="false">IF(OR($A833="",$C833="U",$S833&lt;&gt;Calc!$F$2),"",SUMIFS($I$3:$I$3002,$E$3:$E$3002,$E833,$C$3:$C$3002,"&lt;&gt;U",$S$3:$S$3002,Calc!$F$2))</f>
        <v/>
      </c>
      <c r="P833" s="35" t="str">
        <f aca="false">IF(OR($A833="",$C833="U",$S833&lt;&gt;Calc!$F$2),"",SUMIFS($N$3:$N$3002,$E$3:$E$3002,$E833,$C$3:$C$3002,"&lt;&gt;U",$S$3:$S$3002,Calc!$F$2))</f>
        <v/>
      </c>
      <c r="Q833" s="35" t="str">
        <f aca="false">IF(OR($A833="",$C833="U",$S833&lt;&gt;Calc!$F$2),"",IF(COUNTIFS($E$3:$E833,$E833,$C$3:$C833,"&lt;&gt;U",$S$3:$S833,Calc!$F$2)=1,1,0))</f>
        <v/>
      </c>
      <c r="R833" s="35" t="str">
        <f aca="false">IF($Q833=1,$O833-ROW()/100000,"")</f>
        <v/>
      </c>
      <c r="S833" s="37" t="str">
        <f aca="false">IF($A833="","",INT($A833))</f>
        <v/>
      </c>
      <c r="T833" s="35" t="str">
        <f aca="false">IF($A833="","",IF(COUNTIFS($S$3:$S833,$S833)=1,1,0))</f>
        <v/>
      </c>
      <c r="U833" s="37" t="str">
        <f aca="false">IF($T833=1,$S833,"")</f>
        <v/>
      </c>
    </row>
    <row r="834" customFormat="false" ht="15" hidden="false" customHeight="false" outlineLevel="0" collapsed="false">
      <c r="M834" s="35" t="str">
        <f aca="false">IF($A834="","",HOUR($A834))</f>
        <v/>
      </c>
      <c r="N834" s="36" t="str">
        <f aca="false">IF($A834="","",$I834*$K834)</f>
        <v/>
      </c>
      <c r="O834" s="35" t="str">
        <f aca="false">IF(OR($A834="",$C834="U",$S834&lt;&gt;Calc!$F$2),"",SUMIFS($I$3:$I$3002,$E$3:$E$3002,$E834,$C$3:$C$3002,"&lt;&gt;U",$S$3:$S$3002,Calc!$F$2))</f>
        <v/>
      </c>
      <c r="P834" s="35" t="str">
        <f aca="false">IF(OR($A834="",$C834="U",$S834&lt;&gt;Calc!$F$2),"",SUMIFS($N$3:$N$3002,$E$3:$E$3002,$E834,$C$3:$C$3002,"&lt;&gt;U",$S$3:$S$3002,Calc!$F$2))</f>
        <v/>
      </c>
      <c r="Q834" s="35" t="str">
        <f aca="false">IF(OR($A834="",$C834="U",$S834&lt;&gt;Calc!$F$2),"",IF(COUNTIFS($E$3:$E834,$E834,$C$3:$C834,"&lt;&gt;U",$S$3:$S834,Calc!$F$2)=1,1,0))</f>
        <v/>
      </c>
      <c r="R834" s="35" t="str">
        <f aca="false">IF($Q834=1,$O834-ROW()/100000,"")</f>
        <v/>
      </c>
      <c r="S834" s="37" t="str">
        <f aca="false">IF($A834="","",INT($A834))</f>
        <v/>
      </c>
      <c r="T834" s="35" t="str">
        <f aca="false">IF($A834="","",IF(COUNTIFS($S$3:$S834,$S834)=1,1,0))</f>
        <v/>
      </c>
      <c r="U834" s="37" t="str">
        <f aca="false">IF($T834=1,$S834,"")</f>
        <v/>
      </c>
    </row>
    <row r="835" customFormat="false" ht="15" hidden="false" customHeight="false" outlineLevel="0" collapsed="false">
      <c r="M835" s="35" t="str">
        <f aca="false">IF($A835="","",HOUR($A835))</f>
        <v/>
      </c>
      <c r="N835" s="36" t="str">
        <f aca="false">IF($A835="","",$I835*$K835)</f>
        <v/>
      </c>
      <c r="O835" s="35" t="str">
        <f aca="false">IF(OR($A835="",$C835="U",$S835&lt;&gt;Calc!$F$2),"",SUMIFS($I$3:$I$3002,$E$3:$E$3002,$E835,$C$3:$C$3002,"&lt;&gt;U",$S$3:$S$3002,Calc!$F$2))</f>
        <v/>
      </c>
      <c r="P835" s="35" t="str">
        <f aca="false">IF(OR($A835="",$C835="U",$S835&lt;&gt;Calc!$F$2),"",SUMIFS($N$3:$N$3002,$E$3:$E$3002,$E835,$C$3:$C$3002,"&lt;&gt;U",$S$3:$S$3002,Calc!$F$2))</f>
        <v/>
      </c>
      <c r="Q835" s="35" t="str">
        <f aca="false">IF(OR($A835="",$C835="U",$S835&lt;&gt;Calc!$F$2),"",IF(COUNTIFS($E$3:$E835,$E835,$C$3:$C835,"&lt;&gt;U",$S$3:$S835,Calc!$F$2)=1,1,0))</f>
        <v/>
      </c>
      <c r="R835" s="35" t="str">
        <f aca="false">IF($Q835=1,$O835-ROW()/100000,"")</f>
        <v/>
      </c>
      <c r="S835" s="37" t="str">
        <f aca="false">IF($A835="","",INT($A835))</f>
        <v/>
      </c>
      <c r="T835" s="35" t="str">
        <f aca="false">IF($A835="","",IF(COUNTIFS($S$3:$S835,$S835)=1,1,0))</f>
        <v/>
      </c>
      <c r="U835" s="37" t="str">
        <f aca="false">IF($T835=1,$S835,"")</f>
        <v/>
      </c>
    </row>
    <row r="836" customFormat="false" ht="15" hidden="false" customHeight="false" outlineLevel="0" collapsed="false">
      <c r="M836" s="35" t="str">
        <f aca="false">IF($A836="","",HOUR($A836))</f>
        <v/>
      </c>
      <c r="N836" s="36" t="str">
        <f aca="false">IF($A836="","",$I836*$K836)</f>
        <v/>
      </c>
      <c r="O836" s="35" t="str">
        <f aca="false">IF(OR($A836="",$C836="U",$S836&lt;&gt;Calc!$F$2),"",SUMIFS($I$3:$I$3002,$E$3:$E$3002,$E836,$C$3:$C$3002,"&lt;&gt;U",$S$3:$S$3002,Calc!$F$2))</f>
        <v/>
      </c>
      <c r="P836" s="35" t="str">
        <f aca="false">IF(OR($A836="",$C836="U",$S836&lt;&gt;Calc!$F$2),"",SUMIFS($N$3:$N$3002,$E$3:$E$3002,$E836,$C$3:$C$3002,"&lt;&gt;U",$S$3:$S$3002,Calc!$F$2))</f>
        <v/>
      </c>
      <c r="Q836" s="35" t="str">
        <f aca="false">IF(OR($A836="",$C836="U",$S836&lt;&gt;Calc!$F$2),"",IF(COUNTIFS($E$3:$E836,$E836,$C$3:$C836,"&lt;&gt;U",$S$3:$S836,Calc!$F$2)=1,1,0))</f>
        <v/>
      </c>
      <c r="R836" s="35" t="str">
        <f aca="false">IF($Q836=1,$O836-ROW()/100000,"")</f>
        <v/>
      </c>
      <c r="S836" s="37" t="str">
        <f aca="false">IF($A836="","",INT($A836))</f>
        <v/>
      </c>
      <c r="T836" s="35" t="str">
        <f aca="false">IF($A836="","",IF(COUNTIFS($S$3:$S836,$S836)=1,1,0))</f>
        <v/>
      </c>
      <c r="U836" s="37" t="str">
        <f aca="false">IF($T836=1,$S836,"")</f>
        <v/>
      </c>
    </row>
    <row r="837" customFormat="false" ht="15" hidden="false" customHeight="false" outlineLevel="0" collapsed="false">
      <c r="M837" s="35" t="str">
        <f aca="false">IF($A837="","",HOUR($A837))</f>
        <v/>
      </c>
      <c r="N837" s="36" t="str">
        <f aca="false">IF($A837="","",$I837*$K837)</f>
        <v/>
      </c>
      <c r="O837" s="35" t="str">
        <f aca="false">IF(OR($A837="",$C837="U",$S837&lt;&gt;Calc!$F$2),"",SUMIFS($I$3:$I$3002,$E$3:$E$3002,$E837,$C$3:$C$3002,"&lt;&gt;U",$S$3:$S$3002,Calc!$F$2))</f>
        <v/>
      </c>
      <c r="P837" s="35" t="str">
        <f aca="false">IF(OR($A837="",$C837="U",$S837&lt;&gt;Calc!$F$2),"",SUMIFS($N$3:$N$3002,$E$3:$E$3002,$E837,$C$3:$C$3002,"&lt;&gt;U",$S$3:$S$3002,Calc!$F$2))</f>
        <v/>
      </c>
      <c r="Q837" s="35" t="str">
        <f aca="false">IF(OR($A837="",$C837="U",$S837&lt;&gt;Calc!$F$2),"",IF(COUNTIFS($E$3:$E837,$E837,$C$3:$C837,"&lt;&gt;U",$S$3:$S837,Calc!$F$2)=1,1,0))</f>
        <v/>
      </c>
      <c r="R837" s="35" t="str">
        <f aca="false">IF($Q837=1,$O837-ROW()/100000,"")</f>
        <v/>
      </c>
      <c r="S837" s="37" t="str">
        <f aca="false">IF($A837="","",INT($A837))</f>
        <v/>
      </c>
      <c r="T837" s="35" t="str">
        <f aca="false">IF($A837="","",IF(COUNTIFS($S$3:$S837,$S837)=1,1,0))</f>
        <v/>
      </c>
      <c r="U837" s="37" t="str">
        <f aca="false">IF($T837=1,$S837,"")</f>
        <v/>
      </c>
    </row>
    <row r="838" customFormat="false" ht="15" hidden="false" customHeight="false" outlineLevel="0" collapsed="false">
      <c r="M838" s="35" t="str">
        <f aca="false">IF($A838="","",HOUR($A838))</f>
        <v/>
      </c>
      <c r="N838" s="36" t="str">
        <f aca="false">IF($A838="","",$I838*$K838)</f>
        <v/>
      </c>
      <c r="O838" s="35" t="str">
        <f aca="false">IF(OR($A838="",$C838="U",$S838&lt;&gt;Calc!$F$2),"",SUMIFS($I$3:$I$3002,$E$3:$E$3002,$E838,$C$3:$C$3002,"&lt;&gt;U",$S$3:$S$3002,Calc!$F$2))</f>
        <v/>
      </c>
      <c r="P838" s="35" t="str">
        <f aca="false">IF(OR($A838="",$C838="U",$S838&lt;&gt;Calc!$F$2),"",SUMIFS($N$3:$N$3002,$E$3:$E$3002,$E838,$C$3:$C$3002,"&lt;&gt;U",$S$3:$S$3002,Calc!$F$2))</f>
        <v/>
      </c>
      <c r="Q838" s="35" t="str">
        <f aca="false">IF(OR($A838="",$C838="U",$S838&lt;&gt;Calc!$F$2),"",IF(COUNTIFS($E$3:$E838,$E838,$C$3:$C838,"&lt;&gt;U",$S$3:$S838,Calc!$F$2)=1,1,0))</f>
        <v/>
      </c>
      <c r="R838" s="35" t="str">
        <f aca="false">IF($Q838=1,$O838-ROW()/100000,"")</f>
        <v/>
      </c>
      <c r="S838" s="37" t="str">
        <f aca="false">IF($A838="","",INT($A838))</f>
        <v/>
      </c>
      <c r="T838" s="35" t="str">
        <f aca="false">IF($A838="","",IF(COUNTIFS($S$3:$S838,$S838)=1,1,0))</f>
        <v/>
      </c>
      <c r="U838" s="37" t="str">
        <f aca="false">IF($T838=1,$S838,"")</f>
        <v/>
      </c>
    </row>
    <row r="839" customFormat="false" ht="15" hidden="false" customHeight="false" outlineLevel="0" collapsed="false">
      <c r="M839" s="35" t="str">
        <f aca="false">IF($A839="","",HOUR($A839))</f>
        <v/>
      </c>
      <c r="N839" s="36" t="str">
        <f aca="false">IF($A839="","",$I839*$K839)</f>
        <v/>
      </c>
      <c r="O839" s="35" t="str">
        <f aca="false">IF(OR($A839="",$C839="U",$S839&lt;&gt;Calc!$F$2),"",SUMIFS($I$3:$I$3002,$E$3:$E$3002,$E839,$C$3:$C$3002,"&lt;&gt;U",$S$3:$S$3002,Calc!$F$2))</f>
        <v/>
      </c>
      <c r="P839" s="35" t="str">
        <f aca="false">IF(OR($A839="",$C839="U",$S839&lt;&gt;Calc!$F$2),"",SUMIFS($N$3:$N$3002,$E$3:$E$3002,$E839,$C$3:$C$3002,"&lt;&gt;U",$S$3:$S$3002,Calc!$F$2))</f>
        <v/>
      </c>
      <c r="Q839" s="35" t="str">
        <f aca="false">IF(OR($A839="",$C839="U",$S839&lt;&gt;Calc!$F$2),"",IF(COUNTIFS($E$3:$E839,$E839,$C$3:$C839,"&lt;&gt;U",$S$3:$S839,Calc!$F$2)=1,1,0))</f>
        <v/>
      </c>
      <c r="R839" s="35" t="str">
        <f aca="false">IF($Q839=1,$O839-ROW()/100000,"")</f>
        <v/>
      </c>
      <c r="S839" s="37" t="str">
        <f aca="false">IF($A839="","",INT($A839))</f>
        <v/>
      </c>
      <c r="T839" s="35" t="str">
        <f aca="false">IF($A839="","",IF(COUNTIFS($S$3:$S839,$S839)=1,1,0))</f>
        <v/>
      </c>
      <c r="U839" s="37" t="str">
        <f aca="false">IF($T839=1,$S839,"")</f>
        <v/>
      </c>
    </row>
    <row r="840" customFormat="false" ht="15" hidden="false" customHeight="false" outlineLevel="0" collapsed="false">
      <c r="M840" s="35" t="str">
        <f aca="false">IF($A840="","",HOUR($A840))</f>
        <v/>
      </c>
      <c r="N840" s="36" t="str">
        <f aca="false">IF($A840="","",$I840*$K840)</f>
        <v/>
      </c>
      <c r="O840" s="35" t="str">
        <f aca="false">IF(OR($A840="",$C840="U",$S840&lt;&gt;Calc!$F$2),"",SUMIFS($I$3:$I$3002,$E$3:$E$3002,$E840,$C$3:$C$3002,"&lt;&gt;U",$S$3:$S$3002,Calc!$F$2))</f>
        <v/>
      </c>
      <c r="P840" s="35" t="str">
        <f aca="false">IF(OR($A840="",$C840="U",$S840&lt;&gt;Calc!$F$2),"",SUMIFS($N$3:$N$3002,$E$3:$E$3002,$E840,$C$3:$C$3002,"&lt;&gt;U",$S$3:$S$3002,Calc!$F$2))</f>
        <v/>
      </c>
      <c r="Q840" s="35" t="str">
        <f aca="false">IF(OR($A840="",$C840="U",$S840&lt;&gt;Calc!$F$2),"",IF(COUNTIFS($E$3:$E840,$E840,$C$3:$C840,"&lt;&gt;U",$S$3:$S840,Calc!$F$2)=1,1,0))</f>
        <v/>
      </c>
      <c r="R840" s="35" t="str">
        <f aca="false">IF($Q840=1,$O840-ROW()/100000,"")</f>
        <v/>
      </c>
      <c r="S840" s="37" t="str">
        <f aca="false">IF($A840="","",INT($A840))</f>
        <v/>
      </c>
      <c r="T840" s="35" t="str">
        <f aca="false">IF($A840="","",IF(COUNTIFS($S$3:$S840,$S840)=1,1,0))</f>
        <v/>
      </c>
      <c r="U840" s="37" t="str">
        <f aca="false">IF($T840=1,$S840,"")</f>
        <v/>
      </c>
    </row>
    <row r="841" customFormat="false" ht="15" hidden="false" customHeight="false" outlineLevel="0" collapsed="false">
      <c r="M841" s="35" t="str">
        <f aca="false">IF($A841="","",HOUR($A841))</f>
        <v/>
      </c>
      <c r="N841" s="36" t="str">
        <f aca="false">IF($A841="","",$I841*$K841)</f>
        <v/>
      </c>
      <c r="O841" s="35" t="str">
        <f aca="false">IF(OR($A841="",$C841="U",$S841&lt;&gt;Calc!$F$2),"",SUMIFS($I$3:$I$3002,$E$3:$E$3002,$E841,$C$3:$C$3002,"&lt;&gt;U",$S$3:$S$3002,Calc!$F$2))</f>
        <v/>
      </c>
      <c r="P841" s="35" t="str">
        <f aca="false">IF(OR($A841="",$C841="U",$S841&lt;&gt;Calc!$F$2),"",SUMIFS($N$3:$N$3002,$E$3:$E$3002,$E841,$C$3:$C$3002,"&lt;&gt;U",$S$3:$S$3002,Calc!$F$2))</f>
        <v/>
      </c>
      <c r="Q841" s="35" t="str">
        <f aca="false">IF(OR($A841="",$C841="U",$S841&lt;&gt;Calc!$F$2),"",IF(COUNTIFS($E$3:$E841,$E841,$C$3:$C841,"&lt;&gt;U",$S$3:$S841,Calc!$F$2)=1,1,0))</f>
        <v/>
      </c>
      <c r="R841" s="35" t="str">
        <f aca="false">IF($Q841=1,$O841-ROW()/100000,"")</f>
        <v/>
      </c>
      <c r="S841" s="37" t="str">
        <f aca="false">IF($A841="","",INT($A841))</f>
        <v/>
      </c>
      <c r="T841" s="35" t="str">
        <f aca="false">IF($A841="","",IF(COUNTIFS($S$3:$S841,$S841)=1,1,0))</f>
        <v/>
      </c>
      <c r="U841" s="37" t="str">
        <f aca="false">IF($T841=1,$S841,"")</f>
        <v/>
      </c>
    </row>
    <row r="842" customFormat="false" ht="15" hidden="false" customHeight="false" outlineLevel="0" collapsed="false">
      <c r="M842" s="35" t="str">
        <f aca="false">IF($A842="","",HOUR($A842))</f>
        <v/>
      </c>
      <c r="N842" s="36" t="str">
        <f aca="false">IF($A842="","",$I842*$K842)</f>
        <v/>
      </c>
      <c r="O842" s="35" t="str">
        <f aca="false">IF(OR($A842="",$C842="U",$S842&lt;&gt;Calc!$F$2),"",SUMIFS($I$3:$I$3002,$E$3:$E$3002,$E842,$C$3:$C$3002,"&lt;&gt;U",$S$3:$S$3002,Calc!$F$2))</f>
        <v/>
      </c>
      <c r="P842" s="35" t="str">
        <f aca="false">IF(OR($A842="",$C842="U",$S842&lt;&gt;Calc!$F$2),"",SUMIFS($N$3:$N$3002,$E$3:$E$3002,$E842,$C$3:$C$3002,"&lt;&gt;U",$S$3:$S$3002,Calc!$F$2))</f>
        <v/>
      </c>
      <c r="Q842" s="35" t="str">
        <f aca="false">IF(OR($A842="",$C842="U",$S842&lt;&gt;Calc!$F$2),"",IF(COUNTIFS($E$3:$E842,$E842,$C$3:$C842,"&lt;&gt;U",$S$3:$S842,Calc!$F$2)=1,1,0))</f>
        <v/>
      </c>
      <c r="R842" s="35" t="str">
        <f aca="false">IF($Q842=1,$O842-ROW()/100000,"")</f>
        <v/>
      </c>
      <c r="S842" s="37" t="str">
        <f aca="false">IF($A842="","",INT($A842))</f>
        <v/>
      </c>
      <c r="T842" s="35" t="str">
        <f aca="false">IF($A842="","",IF(COUNTIFS($S$3:$S842,$S842)=1,1,0))</f>
        <v/>
      </c>
      <c r="U842" s="37" t="str">
        <f aca="false">IF($T842=1,$S842,"")</f>
        <v/>
      </c>
    </row>
    <row r="843" customFormat="false" ht="15" hidden="false" customHeight="false" outlineLevel="0" collapsed="false">
      <c r="M843" s="35" t="str">
        <f aca="false">IF($A843="","",HOUR($A843))</f>
        <v/>
      </c>
      <c r="N843" s="36" t="str">
        <f aca="false">IF($A843="","",$I843*$K843)</f>
        <v/>
      </c>
      <c r="O843" s="35" t="str">
        <f aca="false">IF(OR($A843="",$C843="U",$S843&lt;&gt;Calc!$F$2),"",SUMIFS($I$3:$I$3002,$E$3:$E$3002,$E843,$C$3:$C$3002,"&lt;&gt;U",$S$3:$S$3002,Calc!$F$2))</f>
        <v/>
      </c>
      <c r="P843" s="35" t="str">
        <f aca="false">IF(OR($A843="",$C843="U",$S843&lt;&gt;Calc!$F$2),"",SUMIFS($N$3:$N$3002,$E$3:$E$3002,$E843,$C$3:$C$3002,"&lt;&gt;U",$S$3:$S$3002,Calc!$F$2))</f>
        <v/>
      </c>
      <c r="Q843" s="35" t="str">
        <f aca="false">IF(OR($A843="",$C843="U",$S843&lt;&gt;Calc!$F$2),"",IF(COUNTIFS($E$3:$E843,$E843,$C$3:$C843,"&lt;&gt;U",$S$3:$S843,Calc!$F$2)=1,1,0))</f>
        <v/>
      </c>
      <c r="R843" s="35" t="str">
        <f aca="false">IF($Q843=1,$O843-ROW()/100000,"")</f>
        <v/>
      </c>
      <c r="S843" s="37" t="str">
        <f aca="false">IF($A843="","",INT($A843))</f>
        <v/>
      </c>
      <c r="T843" s="35" t="str">
        <f aca="false">IF($A843="","",IF(COUNTIFS($S$3:$S843,$S843)=1,1,0))</f>
        <v/>
      </c>
      <c r="U843" s="37" t="str">
        <f aca="false">IF($T843=1,$S843,"")</f>
        <v/>
      </c>
    </row>
    <row r="844" customFormat="false" ht="15" hidden="false" customHeight="false" outlineLevel="0" collapsed="false">
      <c r="M844" s="35" t="str">
        <f aca="false">IF($A844="","",HOUR($A844))</f>
        <v/>
      </c>
      <c r="N844" s="36" t="str">
        <f aca="false">IF($A844="","",$I844*$K844)</f>
        <v/>
      </c>
      <c r="O844" s="35" t="str">
        <f aca="false">IF(OR($A844="",$C844="U",$S844&lt;&gt;Calc!$F$2),"",SUMIFS($I$3:$I$3002,$E$3:$E$3002,$E844,$C$3:$C$3002,"&lt;&gt;U",$S$3:$S$3002,Calc!$F$2))</f>
        <v/>
      </c>
      <c r="P844" s="35" t="str">
        <f aca="false">IF(OR($A844="",$C844="U",$S844&lt;&gt;Calc!$F$2),"",SUMIFS($N$3:$N$3002,$E$3:$E$3002,$E844,$C$3:$C$3002,"&lt;&gt;U",$S$3:$S$3002,Calc!$F$2))</f>
        <v/>
      </c>
      <c r="Q844" s="35" t="str">
        <f aca="false">IF(OR($A844="",$C844="U",$S844&lt;&gt;Calc!$F$2),"",IF(COUNTIFS($E$3:$E844,$E844,$C$3:$C844,"&lt;&gt;U",$S$3:$S844,Calc!$F$2)=1,1,0))</f>
        <v/>
      </c>
      <c r="R844" s="35" t="str">
        <f aca="false">IF($Q844=1,$O844-ROW()/100000,"")</f>
        <v/>
      </c>
      <c r="S844" s="37" t="str">
        <f aca="false">IF($A844="","",INT($A844))</f>
        <v/>
      </c>
      <c r="T844" s="35" t="str">
        <f aca="false">IF($A844="","",IF(COUNTIFS($S$3:$S844,$S844)=1,1,0))</f>
        <v/>
      </c>
      <c r="U844" s="37" t="str">
        <f aca="false">IF($T844=1,$S844,"")</f>
        <v/>
      </c>
    </row>
    <row r="845" customFormat="false" ht="15" hidden="false" customHeight="false" outlineLevel="0" collapsed="false">
      <c r="M845" s="35" t="str">
        <f aca="false">IF($A845="","",HOUR($A845))</f>
        <v/>
      </c>
      <c r="N845" s="36" t="str">
        <f aca="false">IF($A845="","",$I845*$K845)</f>
        <v/>
      </c>
      <c r="O845" s="35" t="str">
        <f aca="false">IF(OR($A845="",$C845="U",$S845&lt;&gt;Calc!$F$2),"",SUMIFS($I$3:$I$3002,$E$3:$E$3002,$E845,$C$3:$C$3002,"&lt;&gt;U",$S$3:$S$3002,Calc!$F$2))</f>
        <v/>
      </c>
      <c r="P845" s="35" t="str">
        <f aca="false">IF(OR($A845="",$C845="U",$S845&lt;&gt;Calc!$F$2),"",SUMIFS($N$3:$N$3002,$E$3:$E$3002,$E845,$C$3:$C$3002,"&lt;&gt;U",$S$3:$S$3002,Calc!$F$2))</f>
        <v/>
      </c>
      <c r="Q845" s="35" t="str">
        <f aca="false">IF(OR($A845="",$C845="U",$S845&lt;&gt;Calc!$F$2),"",IF(COUNTIFS($E$3:$E845,$E845,$C$3:$C845,"&lt;&gt;U",$S$3:$S845,Calc!$F$2)=1,1,0))</f>
        <v/>
      </c>
      <c r="R845" s="35" t="str">
        <f aca="false">IF($Q845=1,$O845-ROW()/100000,"")</f>
        <v/>
      </c>
      <c r="S845" s="37" t="str">
        <f aca="false">IF($A845="","",INT($A845))</f>
        <v/>
      </c>
      <c r="T845" s="35" t="str">
        <f aca="false">IF($A845="","",IF(COUNTIFS($S$3:$S845,$S845)=1,1,0))</f>
        <v/>
      </c>
      <c r="U845" s="37" t="str">
        <f aca="false">IF($T845=1,$S845,"")</f>
        <v/>
      </c>
    </row>
    <row r="846" customFormat="false" ht="15" hidden="false" customHeight="false" outlineLevel="0" collapsed="false">
      <c r="M846" s="35" t="str">
        <f aca="false">IF($A846="","",HOUR($A846))</f>
        <v/>
      </c>
      <c r="N846" s="36" t="str">
        <f aca="false">IF($A846="","",$I846*$K846)</f>
        <v/>
      </c>
      <c r="O846" s="35" t="str">
        <f aca="false">IF(OR($A846="",$C846="U",$S846&lt;&gt;Calc!$F$2),"",SUMIFS($I$3:$I$3002,$E$3:$E$3002,$E846,$C$3:$C$3002,"&lt;&gt;U",$S$3:$S$3002,Calc!$F$2))</f>
        <v/>
      </c>
      <c r="P846" s="35" t="str">
        <f aca="false">IF(OR($A846="",$C846="U",$S846&lt;&gt;Calc!$F$2),"",SUMIFS($N$3:$N$3002,$E$3:$E$3002,$E846,$C$3:$C$3002,"&lt;&gt;U",$S$3:$S$3002,Calc!$F$2))</f>
        <v/>
      </c>
      <c r="Q846" s="35" t="str">
        <f aca="false">IF(OR($A846="",$C846="U",$S846&lt;&gt;Calc!$F$2),"",IF(COUNTIFS($E$3:$E846,$E846,$C$3:$C846,"&lt;&gt;U",$S$3:$S846,Calc!$F$2)=1,1,0))</f>
        <v/>
      </c>
      <c r="R846" s="35" t="str">
        <f aca="false">IF($Q846=1,$O846-ROW()/100000,"")</f>
        <v/>
      </c>
      <c r="S846" s="37" t="str">
        <f aca="false">IF($A846="","",INT($A846))</f>
        <v/>
      </c>
      <c r="T846" s="35" t="str">
        <f aca="false">IF($A846="","",IF(COUNTIFS($S$3:$S846,$S846)=1,1,0))</f>
        <v/>
      </c>
      <c r="U846" s="37" t="str">
        <f aca="false">IF($T846=1,$S846,"")</f>
        <v/>
      </c>
    </row>
    <row r="847" customFormat="false" ht="15" hidden="false" customHeight="false" outlineLevel="0" collapsed="false">
      <c r="M847" s="35" t="str">
        <f aca="false">IF($A847="","",HOUR($A847))</f>
        <v/>
      </c>
      <c r="N847" s="36" t="str">
        <f aca="false">IF($A847="","",$I847*$K847)</f>
        <v/>
      </c>
      <c r="O847" s="35" t="str">
        <f aca="false">IF(OR($A847="",$C847="U",$S847&lt;&gt;Calc!$F$2),"",SUMIFS($I$3:$I$3002,$E$3:$E$3002,$E847,$C$3:$C$3002,"&lt;&gt;U",$S$3:$S$3002,Calc!$F$2))</f>
        <v/>
      </c>
      <c r="P847" s="35" t="str">
        <f aca="false">IF(OR($A847="",$C847="U",$S847&lt;&gt;Calc!$F$2),"",SUMIFS($N$3:$N$3002,$E$3:$E$3002,$E847,$C$3:$C$3002,"&lt;&gt;U",$S$3:$S$3002,Calc!$F$2))</f>
        <v/>
      </c>
      <c r="Q847" s="35" t="str">
        <f aca="false">IF(OR($A847="",$C847="U",$S847&lt;&gt;Calc!$F$2),"",IF(COUNTIFS($E$3:$E847,$E847,$C$3:$C847,"&lt;&gt;U",$S$3:$S847,Calc!$F$2)=1,1,0))</f>
        <v/>
      </c>
      <c r="R847" s="35" t="str">
        <f aca="false">IF($Q847=1,$O847-ROW()/100000,"")</f>
        <v/>
      </c>
      <c r="S847" s="37" t="str">
        <f aca="false">IF($A847="","",INT($A847))</f>
        <v/>
      </c>
      <c r="T847" s="35" t="str">
        <f aca="false">IF($A847="","",IF(COUNTIFS($S$3:$S847,$S847)=1,1,0))</f>
        <v/>
      </c>
      <c r="U847" s="37" t="str">
        <f aca="false">IF($T847=1,$S847,"")</f>
        <v/>
      </c>
    </row>
    <row r="848" customFormat="false" ht="15" hidden="false" customHeight="false" outlineLevel="0" collapsed="false">
      <c r="M848" s="35" t="str">
        <f aca="false">IF($A848="","",HOUR($A848))</f>
        <v/>
      </c>
      <c r="N848" s="36" t="str">
        <f aca="false">IF($A848="","",$I848*$K848)</f>
        <v/>
      </c>
      <c r="O848" s="35" t="str">
        <f aca="false">IF(OR($A848="",$C848="U",$S848&lt;&gt;Calc!$F$2),"",SUMIFS($I$3:$I$3002,$E$3:$E$3002,$E848,$C$3:$C$3002,"&lt;&gt;U",$S$3:$S$3002,Calc!$F$2))</f>
        <v/>
      </c>
      <c r="P848" s="35" t="str">
        <f aca="false">IF(OR($A848="",$C848="U",$S848&lt;&gt;Calc!$F$2),"",SUMIFS($N$3:$N$3002,$E$3:$E$3002,$E848,$C$3:$C$3002,"&lt;&gt;U",$S$3:$S$3002,Calc!$F$2))</f>
        <v/>
      </c>
      <c r="Q848" s="35" t="str">
        <f aca="false">IF(OR($A848="",$C848="U",$S848&lt;&gt;Calc!$F$2),"",IF(COUNTIFS($E$3:$E848,$E848,$C$3:$C848,"&lt;&gt;U",$S$3:$S848,Calc!$F$2)=1,1,0))</f>
        <v/>
      </c>
      <c r="R848" s="35" t="str">
        <f aca="false">IF($Q848=1,$O848-ROW()/100000,"")</f>
        <v/>
      </c>
      <c r="S848" s="37" t="str">
        <f aca="false">IF($A848="","",INT($A848))</f>
        <v/>
      </c>
      <c r="T848" s="35" t="str">
        <f aca="false">IF($A848="","",IF(COUNTIFS($S$3:$S848,$S848)=1,1,0))</f>
        <v/>
      </c>
      <c r="U848" s="37" t="str">
        <f aca="false">IF($T848=1,$S848,"")</f>
        <v/>
      </c>
    </row>
    <row r="849" customFormat="false" ht="15" hidden="false" customHeight="false" outlineLevel="0" collapsed="false">
      <c r="M849" s="35" t="str">
        <f aca="false">IF($A849="","",HOUR($A849))</f>
        <v/>
      </c>
      <c r="N849" s="36" t="str">
        <f aca="false">IF($A849="","",$I849*$K849)</f>
        <v/>
      </c>
      <c r="O849" s="35" t="str">
        <f aca="false">IF(OR($A849="",$C849="U",$S849&lt;&gt;Calc!$F$2),"",SUMIFS($I$3:$I$3002,$E$3:$E$3002,$E849,$C$3:$C$3002,"&lt;&gt;U",$S$3:$S$3002,Calc!$F$2))</f>
        <v/>
      </c>
      <c r="P849" s="35" t="str">
        <f aca="false">IF(OR($A849="",$C849="U",$S849&lt;&gt;Calc!$F$2),"",SUMIFS($N$3:$N$3002,$E$3:$E$3002,$E849,$C$3:$C$3002,"&lt;&gt;U",$S$3:$S$3002,Calc!$F$2))</f>
        <v/>
      </c>
      <c r="Q849" s="35" t="str">
        <f aca="false">IF(OR($A849="",$C849="U",$S849&lt;&gt;Calc!$F$2),"",IF(COUNTIFS($E$3:$E849,$E849,$C$3:$C849,"&lt;&gt;U",$S$3:$S849,Calc!$F$2)=1,1,0))</f>
        <v/>
      </c>
      <c r="R849" s="35" t="str">
        <f aca="false">IF($Q849=1,$O849-ROW()/100000,"")</f>
        <v/>
      </c>
      <c r="S849" s="37" t="str">
        <f aca="false">IF($A849="","",INT($A849))</f>
        <v/>
      </c>
      <c r="T849" s="35" t="str">
        <f aca="false">IF($A849="","",IF(COUNTIFS($S$3:$S849,$S849)=1,1,0))</f>
        <v/>
      </c>
      <c r="U849" s="37" t="str">
        <f aca="false">IF($T849=1,$S849,"")</f>
        <v/>
      </c>
    </row>
    <row r="850" customFormat="false" ht="15" hidden="false" customHeight="false" outlineLevel="0" collapsed="false">
      <c r="M850" s="35" t="str">
        <f aca="false">IF($A850="","",HOUR($A850))</f>
        <v/>
      </c>
      <c r="N850" s="36" t="str">
        <f aca="false">IF($A850="","",$I850*$K850)</f>
        <v/>
      </c>
      <c r="O850" s="35" t="str">
        <f aca="false">IF(OR($A850="",$C850="U",$S850&lt;&gt;Calc!$F$2),"",SUMIFS($I$3:$I$3002,$E$3:$E$3002,$E850,$C$3:$C$3002,"&lt;&gt;U",$S$3:$S$3002,Calc!$F$2))</f>
        <v/>
      </c>
      <c r="P850" s="35" t="str">
        <f aca="false">IF(OR($A850="",$C850="U",$S850&lt;&gt;Calc!$F$2),"",SUMIFS($N$3:$N$3002,$E$3:$E$3002,$E850,$C$3:$C$3002,"&lt;&gt;U",$S$3:$S$3002,Calc!$F$2))</f>
        <v/>
      </c>
      <c r="Q850" s="35" t="str">
        <f aca="false">IF(OR($A850="",$C850="U",$S850&lt;&gt;Calc!$F$2),"",IF(COUNTIFS($E$3:$E850,$E850,$C$3:$C850,"&lt;&gt;U",$S$3:$S850,Calc!$F$2)=1,1,0))</f>
        <v/>
      </c>
      <c r="R850" s="35" t="str">
        <f aca="false">IF($Q850=1,$O850-ROW()/100000,"")</f>
        <v/>
      </c>
      <c r="S850" s="37" t="str">
        <f aca="false">IF($A850="","",INT($A850))</f>
        <v/>
      </c>
      <c r="T850" s="35" t="str">
        <f aca="false">IF($A850="","",IF(COUNTIFS($S$3:$S850,$S850)=1,1,0))</f>
        <v/>
      </c>
      <c r="U850" s="37" t="str">
        <f aca="false">IF($T850=1,$S850,"")</f>
        <v/>
      </c>
    </row>
    <row r="851" customFormat="false" ht="15" hidden="false" customHeight="false" outlineLevel="0" collapsed="false">
      <c r="M851" s="35" t="str">
        <f aca="false">IF($A851="","",HOUR($A851))</f>
        <v/>
      </c>
      <c r="N851" s="36" t="str">
        <f aca="false">IF($A851="","",$I851*$K851)</f>
        <v/>
      </c>
      <c r="O851" s="35" t="str">
        <f aca="false">IF(OR($A851="",$C851="U",$S851&lt;&gt;Calc!$F$2),"",SUMIFS($I$3:$I$3002,$E$3:$E$3002,$E851,$C$3:$C$3002,"&lt;&gt;U",$S$3:$S$3002,Calc!$F$2))</f>
        <v/>
      </c>
      <c r="P851" s="35" t="str">
        <f aca="false">IF(OR($A851="",$C851="U",$S851&lt;&gt;Calc!$F$2),"",SUMIFS($N$3:$N$3002,$E$3:$E$3002,$E851,$C$3:$C$3002,"&lt;&gt;U",$S$3:$S$3002,Calc!$F$2))</f>
        <v/>
      </c>
      <c r="Q851" s="35" t="str">
        <f aca="false">IF(OR($A851="",$C851="U",$S851&lt;&gt;Calc!$F$2),"",IF(COUNTIFS($E$3:$E851,$E851,$C$3:$C851,"&lt;&gt;U",$S$3:$S851,Calc!$F$2)=1,1,0))</f>
        <v/>
      </c>
      <c r="R851" s="35" t="str">
        <f aca="false">IF($Q851=1,$O851-ROW()/100000,"")</f>
        <v/>
      </c>
      <c r="S851" s="37" t="str">
        <f aca="false">IF($A851="","",INT($A851))</f>
        <v/>
      </c>
      <c r="T851" s="35" t="str">
        <f aca="false">IF($A851="","",IF(COUNTIFS($S$3:$S851,$S851)=1,1,0))</f>
        <v/>
      </c>
      <c r="U851" s="37" t="str">
        <f aca="false">IF($T851=1,$S851,"")</f>
        <v/>
      </c>
    </row>
    <row r="852" customFormat="false" ht="15" hidden="false" customHeight="false" outlineLevel="0" collapsed="false">
      <c r="M852" s="35" t="str">
        <f aca="false">IF($A852="","",HOUR($A852))</f>
        <v/>
      </c>
      <c r="N852" s="36" t="str">
        <f aca="false">IF($A852="","",$I852*$K852)</f>
        <v/>
      </c>
      <c r="O852" s="35" t="str">
        <f aca="false">IF(OR($A852="",$C852="U",$S852&lt;&gt;Calc!$F$2),"",SUMIFS($I$3:$I$3002,$E$3:$E$3002,$E852,$C$3:$C$3002,"&lt;&gt;U",$S$3:$S$3002,Calc!$F$2))</f>
        <v/>
      </c>
      <c r="P852" s="35" t="str">
        <f aca="false">IF(OR($A852="",$C852="U",$S852&lt;&gt;Calc!$F$2),"",SUMIFS($N$3:$N$3002,$E$3:$E$3002,$E852,$C$3:$C$3002,"&lt;&gt;U",$S$3:$S$3002,Calc!$F$2))</f>
        <v/>
      </c>
      <c r="Q852" s="35" t="str">
        <f aca="false">IF(OR($A852="",$C852="U",$S852&lt;&gt;Calc!$F$2),"",IF(COUNTIFS($E$3:$E852,$E852,$C$3:$C852,"&lt;&gt;U",$S$3:$S852,Calc!$F$2)=1,1,0))</f>
        <v/>
      </c>
      <c r="R852" s="35" t="str">
        <f aca="false">IF($Q852=1,$O852-ROW()/100000,"")</f>
        <v/>
      </c>
      <c r="S852" s="37" t="str">
        <f aca="false">IF($A852="","",INT($A852))</f>
        <v/>
      </c>
      <c r="T852" s="35" t="str">
        <f aca="false">IF($A852="","",IF(COUNTIFS($S$3:$S852,$S852)=1,1,0))</f>
        <v/>
      </c>
      <c r="U852" s="37" t="str">
        <f aca="false">IF($T852=1,$S852,"")</f>
        <v/>
      </c>
    </row>
    <row r="853" customFormat="false" ht="15" hidden="false" customHeight="false" outlineLevel="0" collapsed="false">
      <c r="M853" s="35" t="str">
        <f aca="false">IF($A853="","",HOUR($A853))</f>
        <v/>
      </c>
      <c r="N853" s="36" t="str">
        <f aca="false">IF($A853="","",$I853*$K853)</f>
        <v/>
      </c>
      <c r="O853" s="35" t="str">
        <f aca="false">IF(OR($A853="",$C853="U",$S853&lt;&gt;Calc!$F$2),"",SUMIFS($I$3:$I$3002,$E$3:$E$3002,$E853,$C$3:$C$3002,"&lt;&gt;U",$S$3:$S$3002,Calc!$F$2))</f>
        <v/>
      </c>
      <c r="P853" s="35" t="str">
        <f aca="false">IF(OR($A853="",$C853="U",$S853&lt;&gt;Calc!$F$2),"",SUMIFS($N$3:$N$3002,$E$3:$E$3002,$E853,$C$3:$C$3002,"&lt;&gt;U",$S$3:$S$3002,Calc!$F$2))</f>
        <v/>
      </c>
      <c r="Q853" s="35" t="str">
        <f aca="false">IF(OR($A853="",$C853="U",$S853&lt;&gt;Calc!$F$2),"",IF(COUNTIFS($E$3:$E853,$E853,$C$3:$C853,"&lt;&gt;U",$S$3:$S853,Calc!$F$2)=1,1,0))</f>
        <v/>
      </c>
      <c r="R853" s="35" t="str">
        <f aca="false">IF($Q853=1,$O853-ROW()/100000,"")</f>
        <v/>
      </c>
      <c r="S853" s="37" t="str">
        <f aca="false">IF($A853="","",INT($A853))</f>
        <v/>
      </c>
      <c r="T853" s="35" t="str">
        <f aca="false">IF($A853="","",IF(COUNTIFS($S$3:$S853,$S853)=1,1,0))</f>
        <v/>
      </c>
      <c r="U853" s="37" t="str">
        <f aca="false">IF($T853=1,$S853,"")</f>
        <v/>
      </c>
    </row>
    <row r="854" customFormat="false" ht="15" hidden="false" customHeight="false" outlineLevel="0" collapsed="false">
      <c r="M854" s="35" t="str">
        <f aca="false">IF($A854="","",HOUR($A854))</f>
        <v/>
      </c>
      <c r="N854" s="36" t="str">
        <f aca="false">IF($A854="","",$I854*$K854)</f>
        <v/>
      </c>
      <c r="O854" s="35" t="str">
        <f aca="false">IF(OR($A854="",$C854="U",$S854&lt;&gt;Calc!$F$2),"",SUMIFS($I$3:$I$3002,$E$3:$E$3002,$E854,$C$3:$C$3002,"&lt;&gt;U",$S$3:$S$3002,Calc!$F$2))</f>
        <v/>
      </c>
      <c r="P854" s="35" t="str">
        <f aca="false">IF(OR($A854="",$C854="U",$S854&lt;&gt;Calc!$F$2),"",SUMIFS($N$3:$N$3002,$E$3:$E$3002,$E854,$C$3:$C$3002,"&lt;&gt;U",$S$3:$S$3002,Calc!$F$2))</f>
        <v/>
      </c>
      <c r="Q854" s="35" t="str">
        <f aca="false">IF(OR($A854="",$C854="U",$S854&lt;&gt;Calc!$F$2),"",IF(COUNTIFS($E$3:$E854,$E854,$C$3:$C854,"&lt;&gt;U",$S$3:$S854,Calc!$F$2)=1,1,0))</f>
        <v/>
      </c>
      <c r="R854" s="35" t="str">
        <f aca="false">IF($Q854=1,$O854-ROW()/100000,"")</f>
        <v/>
      </c>
      <c r="S854" s="37" t="str">
        <f aca="false">IF($A854="","",INT($A854))</f>
        <v/>
      </c>
      <c r="T854" s="35" t="str">
        <f aca="false">IF($A854="","",IF(COUNTIFS($S$3:$S854,$S854)=1,1,0))</f>
        <v/>
      </c>
      <c r="U854" s="37" t="str">
        <f aca="false">IF($T854=1,$S854,"")</f>
        <v/>
      </c>
    </row>
    <row r="855" customFormat="false" ht="15" hidden="false" customHeight="false" outlineLevel="0" collapsed="false">
      <c r="M855" s="35" t="str">
        <f aca="false">IF($A855="","",HOUR($A855))</f>
        <v/>
      </c>
      <c r="N855" s="36" t="str">
        <f aca="false">IF($A855="","",$I855*$K855)</f>
        <v/>
      </c>
      <c r="O855" s="35" t="str">
        <f aca="false">IF(OR($A855="",$C855="U",$S855&lt;&gt;Calc!$F$2),"",SUMIFS($I$3:$I$3002,$E$3:$E$3002,$E855,$C$3:$C$3002,"&lt;&gt;U",$S$3:$S$3002,Calc!$F$2))</f>
        <v/>
      </c>
      <c r="P855" s="35" t="str">
        <f aca="false">IF(OR($A855="",$C855="U",$S855&lt;&gt;Calc!$F$2),"",SUMIFS($N$3:$N$3002,$E$3:$E$3002,$E855,$C$3:$C$3002,"&lt;&gt;U",$S$3:$S$3002,Calc!$F$2))</f>
        <v/>
      </c>
      <c r="Q855" s="35" t="str">
        <f aca="false">IF(OR($A855="",$C855="U",$S855&lt;&gt;Calc!$F$2),"",IF(COUNTIFS($E$3:$E855,$E855,$C$3:$C855,"&lt;&gt;U",$S$3:$S855,Calc!$F$2)=1,1,0))</f>
        <v/>
      </c>
      <c r="R855" s="35" t="str">
        <f aca="false">IF($Q855=1,$O855-ROW()/100000,"")</f>
        <v/>
      </c>
      <c r="S855" s="37" t="str">
        <f aca="false">IF($A855="","",INT($A855))</f>
        <v/>
      </c>
      <c r="T855" s="35" t="str">
        <f aca="false">IF($A855="","",IF(COUNTIFS($S$3:$S855,$S855)=1,1,0))</f>
        <v/>
      </c>
      <c r="U855" s="37" t="str">
        <f aca="false">IF($T855=1,$S855,"")</f>
        <v/>
      </c>
    </row>
    <row r="856" customFormat="false" ht="15" hidden="false" customHeight="false" outlineLevel="0" collapsed="false">
      <c r="M856" s="35" t="str">
        <f aca="false">IF($A856="","",HOUR($A856))</f>
        <v/>
      </c>
      <c r="N856" s="36" t="str">
        <f aca="false">IF($A856="","",$I856*$K856)</f>
        <v/>
      </c>
      <c r="O856" s="35" t="str">
        <f aca="false">IF(OR($A856="",$C856="U",$S856&lt;&gt;Calc!$F$2),"",SUMIFS($I$3:$I$3002,$E$3:$E$3002,$E856,$C$3:$C$3002,"&lt;&gt;U",$S$3:$S$3002,Calc!$F$2))</f>
        <v/>
      </c>
      <c r="P856" s="35" t="str">
        <f aca="false">IF(OR($A856="",$C856="U",$S856&lt;&gt;Calc!$F$2),"",SUMIFS($N$3:$N$3002,$E$3:$E$3002,$E856,$C$3:$C$3002,"&lt;&gt;U",$S$3:$S$3002,Calc!$F$2))</f>
        <v/>
      </c>
      <c r="Q856" s="35" t="str">
        <f aca="false">IF(OR($A856="",$C856="U",$S856&lt;&gt;Calc!$F$2),"",IF(COUNTIFS($E$3:$E856,$E856,$C$3:$C856,"&lt;&gt;U",$S$3:$S856,Calc!$F$2)=1,1,0))</f>
        <v/>
      </c>
      <c r="R856" s="35" t="str">
        <f aca="false">IF($Q856=1,$O856-ROW()/100000,"")</f>
        <v/>
      </c>
      <c r="S856" s="37" t="str">
        <f aca="false">IF($A856="","",INT($A856))</f>
        <v/>
      </c>
      <c r="T856" s="35" t="str">
        <f aca="false">IF($A856="","",IF(COUNTIFS($S$3:$S856,$S856)=1,1,0))</f>
        <v/>
      </c>
      <c r="U856" s="37" t="str">
        <f aca="false">IF($T856=1,$S856,"")</f>
        <v/>
      </c>
    </row>
    <row r="857" customFormat="false" ht="15" hidden="false" customHeight="false" outlineLevel="0" collapsed="false">
      <c r="M857" s="35" t="str">
        <f aca="false">IF($A857="","",HOUR($A857))</f>
        <v/>
      </c>
      <c r="N857" s="36" t="str">
        <f aca="false">IF($A857="","",$I857*$K857)</f>
        <v/>
      </c>
      <c r="O857" s="35" t="str">
        <f aca="false">IF(OR($A857="",$C857="U",$S857&lt;&gt;Calc!$F$2),"",SUMIFS($I$3:$I$3002,$E$3:$E$3002,$E857,$C$3:$C$3002,"&lt;&gt;U",$S$3:$S$3002,Calc!$F$2))</f>
        <v/>
      </c>
      <c r="P857" s="35" t="str">
        <f aca="false">IF(OR($A857="",$C857="U",$S857&lt;&gt;Calc!$F$2),"",SUMIFS($N$3:$N$3002,$E$3:$E$3002,$E857,$C$3:$C$3002,"&lt;&gt;U",$S$3:$S$3002,Calc!$F$2))</f>
        <v/>
      </c>
      <c r="Q857" s="35" t="str">
        <f aca="false">IF(OR($A857="",$C857="U",$S857&lt;&gt;Calc!$F$2),"",IF(COUNTIFS($E$3:$E857,$E857,$C$3:$C857,"&lt;&gt;U",$S$3:$S857,Calc!$F$2)=1,1,0))</f>
        <v/>
      </c>
      <c r="R857" s="35" t="str">
        <f aca="false">IF($Q857=1,$O857-ROW()/100000,"")</f>
        <v/>
      </c>
      <c r="S857" s="37" t="str">
        <f aca="false">IF($A857="","",INT($A857))</f>
        <v/>
      </c>
      <c r="T857" s="35" t="str">
        <f aca="false">IF($A857="","",IF(COUNTIFS($S$3:$S857,$S857)=1,1,0))</f>
        <v/>
      </c>
      <c r="U857" s="37" t="str">
        <f aca="false">IF($T857=1,$S857,"")</f>
        <v/>
      </c>
    </row>
    <row r="858" customFormat="false" ht="15" hidden="false" customHeight="false" outlineLevel="0" collapsed="false">
      <c r="M858" s="35" t="str">
        <f aca="false">IF($A858="","",HOUR($A858))</f>
        <v/>
      </c>
      <c r="N858" s="36" t="str">
        <f aca="false">IF($A858="","",$I858*$K858)</f>
        <v/>
      </c>
      <c r="O858" s="35" t="str">
        <f aca="false">IF(OR($A858="",$C858="U",$S858&lt;&gt;Calc!$F$2),"",SUMIFS($I$3:$I$3002,$E$3:$E$3002,$E858,$C$3:$C$3002,"&lt;&gt;U",$S$3:$S$3002,Calc!$F$2))</f>
        <v/>
      </c>
      <c r="P858" s="35" t="str">
        <f aca="false">IF(OR($A858="",$C858="U",$S858&lt;&gt;Calc!$F$2),"",SUMIFS($N$3:$N$3002,$E$3:$E$3002,$E858,$C$3:$C$3002,"&lt;&gt;U",$S$3:$S$3002,Calc!$F$2))</f>
        <v/>
      </c>
      <c r="Q858" s="35" t="str">
        <f aca="false">IF(OR($A858="",$C858="U",$S858&lt;&gt;Calc!$F$2),"",IF(COUNTIFS($E$3:$E858,$E858,$C$3:$C858,"&lt;&gt;U",$S$3:$S858,Calc!$F$2)=1,1,0))</f>
        <v/>
      </c>
      <c r="R858" s="35" t="str">
        <f aca="false">IF($Q858=1,$O858-ROW()/100000,"")</f>
        <v/>
      </c>
      <c r="S858" s="37" t="str">
        <f aca="false">IF($A858="","",INT($A858))</f>
        <v/>
      </c>
      <c r="T858" s="35" t="str">
        <f aca="false">IF($A858="","",IF(COUNTIFS($S$3:$S858,$S858)=1,1,0))</f>
        <v/>
      </c>
      <c r="U858" s="37" t="str">
        <f aca="false">IF($T858=1,$S858,"")</f>
        <v/>
      </c>
    </row>
    <row r="859" customFormat="false" ht="15" hidden="false" customHeight="false" outlineLevel="0" collapsed="false">
      <c r="M859" s="35" t="str">
        <f aca="false">IF($A859="","",HOUR($A859))</f>
        <v/>
      </c>
      <c r="N859" s="36" t="str">
        <f aca="false">IF($A859="","",$I859*$K859)</f>
        <v/>
      </c>
      <c r="O859" s="35" t="str">
        <f aca="false">IF(OR($A859="",$C859="U",$S859&lt;&gt;Calc!$F$2),"",SUMIFS($I$3:$I$3002,$E$3:$E$3002,$E859,$C$3:$C$3002,"&lt;&gt;U",$S$3:$S$3002,Calc!$F$2))</f>
        <v/>
      </c>
      <c r="P859" s="35" t="str">
        <f aca="false">IF(OR($A859="",$C859="U",$S859&lt;&gt;Calc!$F$2),"",SUMIFS($N$3:$N$3002,$E$3:$E$3002,$E859,$C$3:$C$3002,"&lt;&gt;U",$S$3:$S$3002,Calc!$F$2))</f>
        <v/>
      </c>
      <c r="Q859" s="35" t="str">
        <f aca="false">IF(OR($A859="",$C859="U",$S859&lt;&gt;Calc!$F$2),"",IF(COUNTIFS($E$3:$E859,$E859,$C$3:$C859,"&lt;&gt;U",$S$3:$S859,Calc!$F$2)=1,1,0))</f>
        <v/>
      </c>
      <c r="R859" s="35" t="str">
        <f aca="false">IF($Q859=1,$O859-ROW()/100000,"")</f>
        <v/>
      </c>
      <c r="S859" s="37" t="str">
        <f aca="false">IF($A859="","",INT($A859))</f>
        <v/>
      </c>
      <c r="T859" s="35" t="str">
        <f aca="false">IF($A859="","",IF(COUNTIFS($S$3:$S859,$S859)=1,1,0))</f>
        <v/>
      </c>
      <c r="U859" s="37" t="str">
        <f aca="false">IF($T859=1,$S859,"")</f>
        <v/>
      </c>
    </row>
    <row r="860" customFormat="false" ht="15" hidden="false" customHeight="false" outlineLevel="0" collapsed="false">
      <c r="M860" s="35" t="str">
        <f aca="false">IF($A860="","",HOUR($A860))</f>
        <v/>
      </c>
      <c r="N860" s="36" t="str">
        <f aca="false">IF($A860="","",$I860*$K860)</f>
        <v/>
      </c>
      <c r="O860" s="35" t="str">
        <f aca="false">IF(OR($A860="",$C860="U",$S860&lt;&gt;Calc!$F$2),"",SUMIFS($I$3:$I$3002,$E$3:$E$3002,$E860,$C$3:$C$3002,"&lt;&gt;U",$S$3:$S$3002,Calc!$F$2))</f>
        <v/>
      </c>
      <c r="P860" s="35" t="str">
        <f aca="false">IF(OR($A860="",$C860="U",$S860&lt;&gt;Calc!$F$2),"",SUMIFS($N$3:$N$3002,$E$3:$E$3002,$E860,$C$3:$C$3002,"&lt;&gt;U",$S$3:$S$3002,Calc!$F$2))</f>
        <v/>
      </c>
      <c r="Q860" s="35" t="str">
        <f aca="false">IF(OR($A860="",$C860="U",$S860&lt;&gt;Calc!$F$2),"",IF(COUNTIFS($E$3:$E860,$E860,$C$3:$C860,"&lt;&gt;U",$S$3:$S860,Calc!$F$2)=1,1,0))</f>
        <v/>
      </c>
      <c r="R860" s="35" t="str">
        <f aca="false">IF($Q860=1,$O860-ROW()/100000,"")</f>
        <v/>
      </c>
      <c r="S860" s="37" t="str">
        <f aca="false">IF($A860="","",INT($A860))</f>
        <v/>
      </c>
      <c r="T860" s="35" t="str">
        <f aca="false">IF($A860="","",IF(COUNTIFS($S$3:$S860,$S860)=1,1,0))</f>
        <v/>
      </c>
      <c r="U860" s="37" t="str">
        <f aca="false">IF($T860=1,$S860,"")</f>
        <v/>
      </c>
    </row>
    <row r="861" customFormat="false" ht="15" hidden="false" customHeight="false" outlineLevel="0" collapsed="false">
      <c r="M861" s="35" t="str">
        <f aca="false">IF($A861="","",HOUR($A861))</f>
        <v/>
      </c>
      <c r="N861" s="36" t="str">
        <f aca="false">IF($A861="","",$I861*$K861)</f>
        <v/>
      </c>
      <c r="O861" s="35" t="str">
        <f aca="false">IF(OR($A861="",$C861="U",$S861&lt;&gt;Calc!$F$2),"",SUMIFS($I$3:$I$3002,$E$3:$E$3002,$E861,$C$3:$C$3002,"&lt;&gt;U",$S$3:$S$3002,Calc!$F$2))</f>
        <v/>
      </c>
      <c r="P861" s="35" t="str">
        <f aca="false">IF(OR($A861="",$C861="U",$S861&lt;&gt;Calc!$F$2),"",SUMIFS($N$3:$N$3002,$E$3:$E$3002,$E861,$C$3:$C$3002,"&lt;&gt;U",$S$3:$S$3002,Calc!$F$2))</f>
        <v/>
      </c>
      <c r="Q861" s="35" t="str">
        <f aca="false">IF(OR($A861="",$C861="U",$S861&lt;&gt;Calc!$F$2),"",IF(COUNTIFS($E$3:$E861,$E861,$C$3:$C861,"&lt;&gt;U",$S$3:$S861,Calc!$F$2)=1,1,0))</f>
        <v/>
      </c>
      <c r="R861" s="35" t="str">
        <f aca="false">IF($Q861=1,$O861-ROW()/100000,"")</f>
        <v/>
      </c>
      <c r="S861" s="37" t="str">
        <f aca="false">IF($A861="","",INT($A861))</f>
        <v/>
      </c>
      <c r="T861" s="35" t="str">
        <f aca="false">IF($A861="","",IF(COUNTIFS($S$3:$S861,$S861)=1,1,0))</f>
        <v/>
      </c>
      <c r="U861" s="37" t="str">
        <f aca="false">IF($T861=1,$S861,"")</f>
        <v/>
      </c>
    </row>
    <row r="862" customFormat="false" ht="15" hidden="false" customHeight="false" outlineLevel="0" collapsed="false">
      <c r="M862" s="35" t="str">
        <f aca="false">IF($A862="","",HOUR($A862))</f>
        <v/>
      </c>
      <c r="N862" s="36" t="str">
        <f aca="false">IF($A862="","",$I862*$K862)</f>
        <v/>
      </c>
      <c r="O862" s="35" t="str">
        <f aca="false">IF(OR($A862="",$C862="U",$S862&lt;&gt;Calc!$F$2),"",SUMIFS($I$3:$I$3002,$E$3:$E$3002,$E862,$C$3:$C$3002,"&lt;&gt;U",$S$3:$S$3002,Calc!$F$2))</f>
        <v/>
      </c>
      <c r="P862" s="35" t="str">
        <f aca="false">IF(OR($A862="",$C862="U",$S862&lt;&gt;Calc!$F$2),"",SUMIFS($N$3:$N$3002,$E$3:$E$3002,$E862,$C$3:$C$3002,"&lt;&gt;U",$S$3:$S$3002,Calc!$F$2))</f>
        <v/>
      </c>
      <c r="Q862" s="35" t="str">
        <f aca="false">IF(OR($A862="",$C862="U",$S862&lt;&gt;Calc!$F$2),"",IF(COUNTIFS($E$3:$E862,$E862,$C$3:$C862,"&lt;&gt;U",$S$3:$S862,Calc!$F$2)=1,1,0))</f>
        <v/>
      </c>
      <c r="R862" s="35" t="str">
        <f aca="false">IF($Q862=1,$O862-ROW()/100000,"")</f>
        <v/>
      </c>
      <c r="S862" s="37" t="str">
        <f aca="false">IF($A862="","",INT($A862))</f>
        <v/>
      </c>
      <c r="T862" s="35" t="str">
        <f aca="false">IF($A862="","",IF(COUNTIFS($S$3:$S862,$S862)=1,1,0))</f>
        <v/>
      </c>
      <c r="U862" s="37" t="str">
        <f aca="false">IF($T862=1,$S862,"")</f>
        <v/>
      </c>
    </row>
    <row r="863" customFormat="false" ht="15" hidden="false" customHeight="false" outlineLevel="0" collapsed="false">
      <c r="M863" s="35" t="str">
        <f aca="false">IF($A863="","",HOUR($A863))</f>
        <v/>
      </c>
      <c r="N863" s="36" t="str">
        <f aca="false">IF($A863="","",$I863*$K863)</f>
        <v/>
      </c>
      <c r="O863" s="35" t="str">
        <f aca="false">IF(OR($A863="",$C863="U",$S863&lt;&gt;Calc!$F$2),"",SUMIFS($I$3:$I$3002,$E$3:$E$3002,$E863,$C$3:$C$3002,"&lt;&gt;U",$S$3:$S$3002,Calc!$F$2))</f>
        <v/>
      </c>
      <c r="P863" s="35" t="str">
        <f aca="false">IF(OR($A863="",$C863="U",$S863&lt;&gt;Calc!$F$2),"",SUMIFS($N$3:$N$3002,$E$3:$E$3002,$E863,$C$3:$C$3002,"&lt;&gt;U",$S$3:$S$3002,Calc!$F$2))</f>
        <v/>
      </c>
      <c r="Q863" s="35" t="str">
        <f aca="false">IF(OR($A863="",$C863="U",$S863&lt;&gt;Calc!$F$2),"",IF(COUNTIFS($E$3:$E863,$E863,$C$3:$C863,"&lt;&gt;U",$S$3:$S863,Calc!$F$2)=1,1,0))</f>
        <v/>
      </c>
      <c r="R863" s="35" t="str">
        <f aca="false">IF($Q863=1,$O863-ROW()/100000,"")</f>
        <v/>
      </c>
      <c r="S863" s="37" t="str">
        <f aca="false">IF($A863="","",INT($A863))</f>
        <v/>
      </c>
      <c r="T863" s="35" t="str">
        <f aca="false">IF($A863="","",IF(COUNTIFS($S$3:$S863,$S863)=1,1,0))</f>
        <v/>
      </c>
      <c r="U863" s="37" t="str">
        <f aca="false">IF($T863=1,$S863,"")</f>
        <v/>
      </c>
    </row>
    <row r="864" customFormat="false" ht="15" hidden="false" customHeight="false" outlineLevel="0" collapsed="false">
      <c r="M864" s="35" t="str">
        <f aca="false">IF($A864="","",HOUR($A864))</f>
        <v/>
      </c>
      <c r="N864" s="36" t="str">
        <f aca="false">IF($A864="","",$I864*$K864)</f>
        <v/>
      </c>
      <c r="O864" s="35" t="str">
        <f aca="false">IF(OR($A864="",$C864="U",$S864&lt;&gt;Calc!$F$2),"",SUMIFS($I$3:$I$3002,$E$3:$E$3002,$E864,$C$3:$C$3002,"&lt;&gt;U",$S$3:$S$3002,Calc!$F$2))</f>
        <v/>
      </c>
      <c r="P864" s="35" t="str">
        <f aca="false">IF(OR($A864="",$C864="U",$S864&lt;&gt;Calc!$F$2),"",SUMIFS($N$3:$N$3002,$E$3:$E$3002,$E864,$C$3:$C$3002,"&lt;&gt;U",$S$3:$S$3002,Calc!$F$2))</f>
        <v/>
      </c>
      <c r="Q864" s="35" t="str">
        <f aca="false">IF(OR($A864="",$C864="U",$S864&lt;&gt;Calc!$F$2),"",IF(COUNTIFS($E$3:$E864,$E864,$C$3:$C864,"&lt;&gt;U",$S$3:$S864,Calc!$F$2)=1,1,0))</f>
        <v/>
      </c>
      <c r="R864" s="35" t="str">
        <f aca="false">IF($Q864=1,$O864-ROW()/100000,"")</f>
        <v/>
      </c>
      <c r="S864" s="37" t="str">
        <f aca="false">IF($A864="","",INT($A864))</f>
        <v/>
      </c>
      <c r="T864" s="35" t="str">
        <f aca="false">IF($A864="","",IF(COUNTIFS($S$3:$S864,$S864)=1,1,0))</f>
        <v/>
      </c>
      <c r="U864" s="37" t="str">
        <f aca="false">IF($T864=1,$S864,"")</f>
        <v/>
      </c>
    </row>
    <row r="865" customFormat="false" ht="15" hidden="false" customHeight="false" outlineLevel="0" collapsed="false">
      <c r="M865" s="35" t="str">
        <f aca="false">IF($A865="","",HOUR($A865))</f>
        <v/>
      </c>
      <c r="N865" s="36" t="str">
        <f aca="false">IF($A865="","",$I865*$K865)</f>
        <v/>
      </c>
      <c r="O865" s="35" t="str">
        <f aca="false">IF(OR($A865="",$C865="U",$S865&lt;&gt;Calc!$F$2),"",SUMIFS($I$3:$I$3002,$E$3:$E$3002,$E865,$C$3:$C$3002,"&lt;&gt;U",$S$3:$S$3002,Calc!$F$2))</f>
        <v/>
      </c>
      <c r="P865" s="35" t="str">
        <f aca="false">IF(OR($A865="",$C865="U",$S865&lt;&gt;Calc!$F$2),"",SUMIFS($N$3:$N$3002,$E$3:$E$3002,$E865,$C$3:$C$3002,"&lt;&gt;U",$S$3:$S$3002,Calc!$F$2))</f>
        <v/>
      </c>
      <c r="Q865" s="35" t="str">
        <f aca="false">IF(OR($A865="",$C865="U",$S865&lt;&gt;Calc!$F$2),"",IF(COUNTIFS($E$3:$E865,$E865,$C$3:$C865,"&lt;&gt;U",$S$3:$S865,Calc!$F$2)=1,1,0))</f>
        <v/>
      </c>
      <c r="R865" s="35" t="str">
        <f aca="false">IF($Q865=1,$O865-ROW()/100000,"")</f>
        <v/>
      </c>
      <c r="S865" s="37" t="str">
        <f aca="false">IF($A865="","",INT($A865))</f>
        <v/>
      </c>
      <c r="T865" s="35" t="str">
        <f aca="false">IF($A865="","",IF(COUNTIFS($S$3:$S865,$S865)=1,1,0))</f>
        <v/>
      </c>
      <c r="U865" s="37" t="str">
        <f aca="false">IF($T865=1,$S865,"")</f>
        <v/>
      </c>
    </row>
    <row r="866" customFormat="false" ht="15" hidden="false" customHeight="false" outlineLevel="0" collapsed="false">
      <c r="M866" s="35" t="str">
        <f aca="false">IF($A866="","",HOUR($A866))</f>
        <v/>
      </c>
      <c r="N866" s="36" t="str">
        <f aca="false">IF($A866="","",$I866*$K866)</f>
        <v/>
      </c>
      <c r="O866" s="35" t="str">
        <f aca="false">IF(OR($A866="",$C866="U",$S866&lt;&gt;Calc!$F$2),"",SUMIFS($I$3:$I$3002,$E$3:$E$3002,$E866,$C$3:$C$3002,"&lt;&gt;U",$S$3:$S$3002,Calc!$F$2))</f>
        <v/>
      </c>
      <c r="P866" s="35" t="str">
        <f aca="false">IF(OR($A866="",$C866="U",$S866&lt;&gt;Calc!$F$2),"",SUMIFS($N$3:$N$3002,$E$3:$E$3002,$E866,$C$3:$C$3002,"&lt;&gt;U",$S$3:$S$3002,Calc!$F$2))</f>
        <v/>
      </c>
      <c r="Q866" s="35" t="str">
        <f aca="false">IF(OR($A866="",$C866="U",$S866&lt;&gt;Calc!$F$2),"",IF(COUNTIFS($E$3:$E866,$E866,$C$3:$C866,"&lt;&gt;U",$S$3:$S866,Calc!$F$2)=1,1,0))</f>
        <v/>
      </c>
      <c r="R866" s="35" t="str">
        <f aca="false">IF($Q866=1,$O866-ROW()/100000,"")</f>
        <v/>
      </c>
      <c r="S866" s="37" t="str">
        <f aca="false">IF($A866="","",INT($A866))</f>
        <v/>
      </c>
      <c r="T866" s="35" t="str">
        <f aca="false">IF($A866="","",IF(COUNTIFS($S$3:$S866,$S866)=1,1,0))</f>
        <v/>
      </c>
      <c r="U866" s="37" t="str">
        <f aca="false">IF($T866=1,$S866,"")</f>
        <v/>
      </c>
    </row>
    <row r="867" customFormat="false" ht="15" hidden="false" customHeight="false" outlineLevel="0" collapsed="false">
      <c r="M867" s="35" t="str">
        <f aca="false">IF($A867="","",HOUR($A867))</f>
        <v/>
      </c>
      <c r="N867" s="36" t="str">
        <f aca="false">IF($A867="","",$I867*$K867)</f>
        <v/>
      </c>
      <c r="O867" s="35" t="str">
        <f aca="false">IF(OR($A867="",$C867="U",$S867&lt;&gt;Calc!$F$2),"",SUMIFS($I$3:$I$3002,$E$3:$E$3002,$E867,$C$3:$C$3002,"&lt;&gt;U",$S$3:$S$3002,Calc!$F$2))</f>
        <v/>
      </c>
      <c r="P867" s="35" t="str">
        <f aca="false">IF(OR($A867="",$C867="U",$S867&lt;&gt;Calc!$F$2),"",SUMIFS($N$3:$N$3002,$E$3:$E$3002,$E867,$C$3:$C$3002,"&lt;&gt;U",$S$3:$S$3002,Calc!$F$2))</f>
        <v/>
      </c>
      <c r="Q867" s="35" t="str">
        <f aca="false">IF(OR($A867="",$C867="U",$S867&lt;&gt;Calc!$F$2),"",IF(COUNTIFS($E$3:$E867,$E867,$C$3:$C867,"&lt;&gt;U",$S$3:$S867,Calc!$F$2)=1,1,0))</f>
        <v/>
      </c>
      <c r="R867" s="35" t="str">
        <f aca="false">IF($Q867=1,$O867-ROW()/100000,"")</f>
        <v/>
      </c>
      <c r="S867" s="37" t="str">
        <f aca="false">IF($A867="","",INT($A867))</f>
        <v/>
      </c>
      <c r="T867" s="35" t="str">
        <f aca="false">IF($A867="","",IF(COUNTIFS($S$3:$S867,$S867)=1,1,0))</f>
        <v/>
      </c>
      <c r="U867" s="37" t="str">
        <f aca="false">IF($T867=1,$S867,"")</f>
        <v/>
      </c>
    </row>
    <row r="868" customFormat="false" ht="15" hidden="false" customHeight="false" outlineLevel="0" collapsed="false">
      <c r="M868" s="35" t="str">
        <f aca="false">IF($A868="","",HOUR($A868))</f>
        <v/>
      </c>
      <c r="N868" s="36" t="str">
        <f aca="false">IF($A868="","",$I868*$K868)</f>
        <v/>
      </c>
      <c r="O868" s="35" t="str">
        <f aca="false">IF(OR($A868="",$C868="U",$S868&lt;&gt;Calc!$F$2),"",SUMIFS($I$3:$I$3002,$E$3:$E$3002,$E868,$C$3:$C$3002,"&lt;&gt;U",$S$3:$S$3002,Calc!$F$2))</f>
        <v/>
      </c>
      <c r="P868" s="35" t="str">
        <f aca="false">IF(OR($A868="",$C868="U",$S868&lt;&gt;Calc!$F$2),"",SUMIFS($N$3:$N$3002,$E$3:$E$3002,$E868,$C$3:$C$3002,"&lt;&gt;U",$S$3:$S$3002,Calc!$F$2))</f>
        <v/>
      </c>
      <c r="Q868" s="35" t="str">
        <f aca="false">IF(OR($A868="",$C868="U",$S868&lt;&gt;Calc!$F$2),"",IF(COUNTIFS($E$3:$E868,$E868,$C$3:$C868,"&lt;&gt;U",$S$3:$S868,Calc!$F$2)=1,1,0))</f>
        <v/>
      </c>
      <c r="R868" s="35" t="str">
        <f aca="false">IF($Q868=1,$O868-ROW()/100000,"")</f>
        <v/>
      </c>
      <c r="S868" s="37" t="str">
        <f aca="false">IF($A868="","",INT($A868))</f>
        <v/>
      </c>
      <c r="T868" s="35" t="str">
        <f aca="false">IF($A868="","",IF(COUNTIFS($S$3:$S868,$S868)=1,1,0))</f>
        <v/>
      </c>
      <c r="U868" s="37" t="str">
        <f aca="false">IF($T868=1,$S868,"")</f>
        <v/>
      </c>
    </row>
    <row r="869" customFormat="false" ht="15" hidden="false" customHeight="false" outlineLevel="0" collapsed="false">
      <c r="M869" s="35" t="str">
        <f aca="false">IF($A869="","",HOUR($A869))</f>
        <v/>
      </c>
      <c r="N869" s="36" t="str">
        <f aca="false">IF($A869="","",$I869*$K869)</f>
        <v/>
      </c>
      <c r="O869" s="35" t="str">
        <f aca="false">IF(OR($A869="",$C869="U",$S869&lt;&gt;Calc!$F$2),"",SUMIFS($I$3:$I$3002,$E$3:$E$3002,$E869,$C$3:$C$3002,"&lt;&gt;U",$S$3:$S$3002,Calc!$F$2))</f>
        <v/>
      </c>
      <c r="P869" s="35" t="str">
        <f aca="false">IF(OR($A869="",$C869="U",$S869&lt;&gt;Calc!$F$2),"",SUMIFS($N$3:$N$3002,$E$3:$E$3002,$E869,$C$3:$C$3002,"&lt;&gt;U",$S$3:$S$3002,Calc!$F$2))</f>
        <v/>
      </c>
      <c r="Q869" s="35" t="str">
        <f aca="false">IF(OR($A869="",$C869="U",$S869&lt;&gt;Calc!$F$2),"",IF(COUNTIFS($E$3:$E869,$E869,$C$3:$C869,"&lt;&gt;U",$S$3:$S869,Calc!$F$2)=1,1,0))</f>
        <v/>
      </c>
      <c r="R869" s="35" t="str">
        <f aca="false">IF($Q869=1,$O869-ROW()/100000,"")</f>
        <v/>
      </c>
      <c r="S869" s="37" t="str">
        <f aca="false">IF($A869="","",INT($A869))</f>
        <v/>
      </c>
      <c r="T869" s="35" t="str">
        <f aca="false">IF($A869="","",IF(COUNTIFS($S$3:$S869,$S869)=1,1,0))</f>
        <v/>
      </c>
      <c r="U869" s="37" t="str">
        <f aca="false">IF($T869=1,$S869,"")</f>
        <v/>
      </c>
    </row>
    <row r="870" customFormat="false" ht="15" hidden="false" customHeight="false" outlineLevel="0" collapsed="false">
      <c r="M870" s="35" t="str">
        <f aca="false">IF($A870="","",HOUR($A870))</f>
        <v/>
      </c>
      <c r="N870" s="36" t="str">
        <f aca="false">IF($A870="","",$I870*$K870)</f>
        <v/>
      </c>
      <c r="O870" s="35" t="str">
        <f aca="false">IF(OR($A870="",$C870="U",$S870&lt;&gt;Calc!$F$2),"",SUMIFS($I$3:$I$3002,$E$3:$E$3002,$E870,$C$3:$C$3002,"&lt;&gt;U",$S$3:$S$3002,Calc!$F$2))</f>
        <v/>
      </c>
      <c r="P870" s="35" t="str">
        <f aca="false">IF(OR($A870="",$C870="U",$S870&lt;&gt;Calc!$F$2),"",SUMIFS($N$3:$N$3002,$E$3:$E$3002,$E870,$C$3:$C$3002,"&lt;&gt;U",$S$3:$S$3002,Calc!$F$2))</f>
        <v/>
      </c>
      <c r="Q870" s="35" t="str">
        <f aca="false">IF(OR($A870="",$C870="U",$S870&lt;&gt;Calc!$F$2),"",IF(COUNTIFS($E$3:$E870,$E870,$C$3:$C870,"&lt;&gt;U",$S$3:$S870,Calc!$F$2)=1,1,0))</f>
        <v/>
      </c>
      <c r="R870" s="35" t="str">
        <f aca="false">IF($Q870=1,$O870-ROW()/100000,"")</f>
        <v/>
      </c>
      <c r="S870" s="37" t="str">
        <f aca="false">IF($A870="","",INT($A870))</f>
        <v/>
      </c>
      <c r="T870" s="35" t="str">
        <f aca="false">IF($A870="","",IF(COUNTIFS($S$3:$S870,$S870)=1,1,0))</f>
        <v/>
      </c>
      <c r="U870" s="37" t="str">
        <f aca="false">IF($T870=1,$S870,"")</f>
        <v/>
      </c>
    </row>
    <row r="871" customFormat="false" ht="15" hidden="false" customHeight="false" outlineLevel="0" collapsed="false">
      <c r="M871" s="35" t="str">
        <f aca="false">IF($A871="","",HOUR($A871))</f>
        <v/>
      </c>
      <c r="N871" s="36" t="str">
        <f aca="false">IF($A871="","",$I871*$K871)</f>
        <v/>
      </c>
      <c r="O871" s="35" t="str">
        <f aca="false">IF(OR($A871="",$C871="U",$S871&lt;&gt;Calc!$F$2),"",SUMIFS($I$3:$I$3002,$E$3:$E$3002,$E871,$C$3:$C$3002,"&lt;&gt;U",$S$3:$S$3002,Calc!$F$2))</f>
        <v/>
      </c>
      <c r="P871" s="35" t="str">
        <f aca="false">IF(OR($A871="",$C871="U",$S871&lt;&gt;Calc!$F$2),"",SUMIFS($N$3:$N$3002,$E$3:$E$3002,$E871,$C$3:$C$3002,"&lt;&gt;U",$S$3:$S$3002,Calc!$F$2))</f>
        <v/>
      </c>
      <c r="Q871" s="35" t="str">
        <f aca="false">IF(OR($A871="",$C871="U",$S871&lt;&gt;Calc!$F$2),"",IF(COUNTIFS($E$3:$E871,$E871,$C$3:$C871,"&lt;&gt;U",$S$3:$S871,Calc!$F$2)=1,1,0))</f>
        <v/>
      </c>
      <c r="R871" s="35" t="str">
        <f aca="false">IF($Q871=1,$O871-ROW()/100000,"")</f>
        <v/>
      </c>
      <c r="S871" s="37" t="str">
        <f aca="false">IF($A871="","",INT($A871))</f>
        <v/>
      </c>
      <c r="T871" s="35" t="str">
        <f aca="false">IF($A871="","",IF(COUNTIFS($S$3:$S871,$S871)=1,1,0))</f>
        <v/>
      </c>
      <c r="U871" s="37" t="str">
        <f aca="false">IF($T871=1,$S871,"")</f>
        <v/>
      </c>
    </row>
    <row r="872" customFormat="false" ht="15" hidden="false" customHeight="false" outlineLevel="0" collapsed="false">
      <c r="M872" s="35" t="str">
        <f aca="false">IF($A872="","",HOUR($A872))</f>
        <v/>
      </c>
      <c r="N872" s="36" t="str">
        <f aca="false">IF($A872="","",$I872*$K872)</f>
        <v/>
      </c>
      <c r="O872" s="35" t="str">
        <f aca="false">IF(OR($A872="",$C872="U",$S872&lt;&gt;Calc!$F$2),"",SUMIFS($I$3:$I$3002,$E$3:$E$3002,$E872,$C$3:$C$3002,"&lt;&gt;U",$S$3:$S$3002,Calc!$F$2))</f>
        <v/>
      </c>
      <c r="P872" s="35" t="str">
        <f aca="false">IF(OR($A872="",$C872="U",$S872&lt;&gt;Calc!$F$2),"",SUMIFS($N$3:$N$3002,$E$3:$E$3002,$E872,$C$3:$C$3002,"&lt;&gt;U",$S$3:$S$3002,Calc!$F$2))</f>
        <v/>
      </c>
      <c r="Q872" s="35" t="str">
        <f aca="false">IF(OR($A872="",$C872="U",$S872&lt;&gt;Calc!$F$2),"",IF(COUNTIFS($E$3:$E872,$E872,$C$3:$C872,"&lt;&gt;U",$S$3:$S872,Calc!$F$2)=1,1,0))</f>
        <v/>
      </c>
      <c r="R872" s="35" t="str">
        <f aca="false">IF($Q872=1,$O872-ROW()/100000,"")</f>
        <v/>
      </c>
      <c r="S872" s="37" t="str">
        <f aca="false">IF($A872="","",INT($A872))</f>
        <v/>
      </c>
      <c r="T872" s="35" t="str">
        <f aca="false">IF($A872="","",IF(COUNTIFS($S$3:$S872,$S872)=1,1,0))</f>
        <v/>
      </c>
      <c r="U872" s="37" t="str">
        <f aca="false">IF($T872=1,$S872,"")</f>
        <v/>
      </c>
    </row>
    <row r="873" customFormat="false" ht="15" hidden="false" customHeight="false" outlineLevel="0" collapsed="false">
      <c r="M873" s="35" t="str">
        <f aca="false">IF($A873="","",HOUR($A873))</f>
        <v/>
      </c>
      <c r="N873" s="36" t="str">
        <f aca="false">IF($A873="","",$I873*$K873)</f>
        <v/>
      </c>
      <c r="O873" s="35" t="str">
        <f aca="false">IF(OR($A873="",$C873="U",$S873&lt;&gt;Calc!$F$2),"",SUMIFS($I$3:$I$3002,$E$3:$E$3002,$E873,$C$3:$C$3002,"&lt;&gt;U",$S$3:$S$3002,Calc!$F$2))</f>
        <v/>
      </c>
      <c r="P873" s="35" t="str">
        <f aca="false">IF(OR($A873="",$C873="U",$S873&lt;&gt;Calc!$F$2),"",SUMIFS($N$3:$N$3002,$E$3:$E$3002,$E873,$C$3:$C$3002,"&lt;&gt;U",$S$3:$S$3002,Calc!$F$2))</f>
        <v/>
      </c>
      <c r="Q873" s="35" t="str">
        <f aca="false">IF(OR($A873="",$C873="U",$S873&lt;&gt;Calc!$F$2),"",IF(COUNTIFS($E$3:$E873,$E873,$C$3:$C873,"&lt;&gt;U",$S$3:$S873,Calc!$F$2)=1,1,0))</f>
        <v/>
      </c>
      <c r="R873" s="35" t="str">
        <f aca="false">IF($Q873=1,$O873-ROW()/100000,"")</f>
        <v/>
      </c>
      <c r="S873" s="37" t="str">
        <f aca="false">IF($A873="","",INT($A873))</f>
        <v/>
      </c>
      <c r="T873" s="35" t="str">
        <f aca="false">IF($A873="","",IF(COUNTIFS($S$3:$S873,$S873)=1,1,0))</f>
        <v/>
      </c>
      <c r="U873" s="37" t="str">
        <f aca="false">IF($T873=1,$S873,"")</f>
        <v/>
      </c>
    </row>
    <row r="874" customFormat="false" ht="15" hidden="false" customHeight="false" outlineLevel="0" collapsed="false">
      <c r="M874" s="35" t="str">
        <f aca="false">IF($A874="","",HOUR($A874))</f>
        <v/>
      </c>
      <c r="N874" s="36" t="str">
        <f aca="false">IF($A874="","",$I874*$K874)</f>
        <v/>
      </c>
      <c r="O874" s="35" t="str">
        <f aca="false">IF(OR($A874="",$C874="U",$S874&lt;&gt;Calc!$F$2),"",SUMIFS($I$3:$I$3002,$E$3:$E$3002,$E874,$C$3:$C$3002,"&lt;&gt;U",$S$3:$S$3002,Calc!$F$2))</f>
        <v/>
      </c>
      <c r="P874" s="35" t="str">
        <f aca="false">IF(OR($A874="",$C874="U",$S874&lt;&gt;Calc!$F$2),"",SUMIFS($N$3:$N$3002,$E$3:$E$3002,$E874,$C$3:$C$3002,"&lt;&gt;U",$S$3:$S$3002,Calc!$F$2))</f>
        <v/>
      </c>
      <c r="Q874" s="35" t="str">
        <f aca="false">IF(OR($A874="",$C874="U",$S874&lt;&gt;Calc!$F$2),"",IF(COUNTIFS($E$3:$E874,$E874,$C$3:$C874,"&lt;&gt;U",$S$3:$S874,Calc!$F$2)=1,1,0))</f>
        <v/>
      </c>
      <c r="R874" s="35" t="str">
        <f aca="false">IF($Q874=1,$O874-ROW()/100000,"")</f>
        <v/>
      </c>
      <c r="S874" s="37" t="str">
        <f aca="false">IF($A874="","",INT($A874))</f>
        <v/>
      </c>
      <c r="T874" s="35" t="str">
        <f aca="false">IF($A874="","",IF(COUNTIFS($S$3:$S874,$S874)=1,1,0))</f>
        <v/>
      </c>
      <c r="U874" s="37" t="str">
        <f aca="false">IF($T874=1,$S874,"")</f>
        <v/>
      </c>
    </row>
    <row r="875" customFormat="false" ht="15" hidden="false" customHeight="false" outlineLevel="0" collapsed="false">
      <c r="M875" s="35" t="str">
        <f aca="false">IF($A875="","",HOUR($A875))</f>
        <v/>
      </c>
      <c r="N875" s="36" t="str">
        <f aca="false">IF($A875="","",$I875*$K875)</f>
        <v/>
      </c>
      <c r="O875" s="35" t="str">
        <f aca="false">IF(OR($A875="",$C875="U",$S875&lt;&gt;Calc!$F$2),"",SUMIFS($I$3:$I$3002,$E$3:$E$3002,$E875,$C$3:$C$3002,"&lt;&gt;U",$S$3:$S$3002,Calc!$F$2))</f>
        <v/>
      </c>
      <c r="P875" s="35" t="str">
        <f aca="false">IF(OR($A875="",$C875="U",$S875&lt;&gt;Calc!$F$2),"",SUMIFS($N$3:$N$3002,$E$3:$E$3002,$E875,$C$3:$C$3002,"&lt;&gt;U",$S$3:$S$3002,Calc!$F$2))</f>
        <v/>
      </c>
      <c r="Q875" s="35" t="str">
        <f aca="false">IF(OR($A875="",$C875="U",$S875&lt;&gt;Calc!$F$2),"",IF(COUNTIFS($E$3:$E875,$E875,$C$3:$C875,"&lt;&gt;U",$S$3:$S875,Calc!$F$2)=1,1,0))</f>
        <v/>
      </c>
      <c r="R875" s="35" t="str">
        <f aca="false">IF($Q875=1,$O875-ROW()/100000,"")</f>
        <v/>
      </c>
      <c r="S875" s="37" t="str">
        <f aca="false">IF($A875="","",INT($A875))</f>
        <v/>
      </c>
      <c r="T875" s="35" t="str">
        <f aca="false">IF($A875="","",IF(COUNTIFS($S$3:$S875,$S875)=1,1,0))</f>
        <v/>
      </c>
      <c r="U875" s="37" t="str">
        <f aca="false">IF($T875=1,$S875,"")</f>
        <v/>
      </c>
    </row>
    <row r="876" customFormat="false" ht="15" hidden="false" customHeight="false" outlineLevel="0" collapsed="false">
      <c r="M876" s="35" t="str">
        <f aca="false">IF($A876="","",HOUR($A876))</f>
        <v/>
      </c>
      <c r="N876" s="36" t="str">
        <f aca="false">IF($A876="","",$I876*$K876)</f>
        <v/>
      </c>
      <c r="O876" s="35" t="str">
        <f aca="false">IF(OR($A876="",$C876="U",$S876&lt;&gt;Calc!$F$2),"",SUMIFS($I$3:$I$3002,$E$3:$E$3002,$E876,$C$3:$C$3002,"&lt;&gt;U",$S$3:$S$3002,Calc!$F$2))</f>
        <v/>
      </c>
      <c r="P876" s="35" t="str">
        <f aca="false">IF(OR($A876="",$C876="U",$S876&lt;&gt;Calc!$F$2),"",SUMIFS($N$3:$N$3002,$E$3:$E$3002,$E876,$C$3:$C$3002,"&lt;&gt;U",$S$3:$S$3002,Calc!$F$2))</f>
        <v/>
      </c>
      <c r="Q876" s="35" t="str">
        <f aca="false">IF(OR($A876="",$C876="U",$S876&lt;&gt;Calc!$F$2),"",IF(COUNTIFS($E$3:$E876,$E876,$C$3:$C876,"&lt;&gt;U",$S$3:$S876,Calc!$F$2)=1,1,0))</f>
        <v/>
      </c>
      <c r="R876" s="35" t="str">
        <f aca="false">IF($Q876=1,$O876-ROW()/100000,"")</f>
        <v/>
      </c>
      <c r="S876" s="37" t="str">
        <f aca="false">IF($A876="","",INT($A876))</f>
        <v/>
      </c>
      <c r="T876" s="35" t="str">
        <f aca="false">IF($A876="","",IF(COUNTIFS($S$3:$S876,$S876)=1,1,0))</f>
        <v/>
      </c>
      <c r="U876" s="37" t="str">
        <f aca="false">IF($T876=1,$S876,"")</f>
        <v/>
      </c>
    </row>
    <row r="877" customFormat="false" ht="15" hidden="false" customHeight="false" outlineLevel="0" collapsed="false">
      <c r="M877" s="35" t="str">
        <f aca="false">IF($A877="","",HOUR($A877))</f>
        <v/>
      </c>
      <c r="N877" s="36" t="str">
        <f aca="false">IF($A877="","",$I877*$K877)</f>
        <v/>
      </c>
      <c r="O877" s="35" t="str">
        <f aca="false">IF(OR($A877="",$C877="U",$S877&lt;&gt;Calc!$F$2),"",SUMIFS($I$3:$I$3002,$E$3:$E$3002,$E877,$C$3:$C$3002,"&lt;&gt;U",$S$3:$S$3002,Calc!$F$2))</f>
        <v/>
      </c>
      <c r="P877" s="35" t="str">
        <f aca="false">IF(OR($A877="",$C877="U",$S877&lt;&gt;Calc!$F$2),"",SUMIFS($N$3:$N$3002,$E$3:$E$3002,$E877,$C$3:$C$3002,"&lt;&gt;U",$S$3:$S$3002,Calc!$F$2))</f>
        <v/>
      </c>
      <c r="Q877" s="35" t="str">
        <f aca="false">IF(OR($A877="",$C877="U",$S877&lt;&gt;Calc!$F$2),"",IF(COUNTIFS($E$3:$E877,$E877,$C$3:$C877,"&lt;&gt;U",$S$3:$S877,Calc!$F$2)=1,1,0))</f>
        <v/>
      </c>
      <c r="R877" s="35" t="str">
        <f aca="false">IF($Q877=1,$O877-ROW()/100000,"")</f>
        <v/>
      </c>
      <c r="S877" s="37" t="str">
        <f aca="false">IF($A877="","",INT($A877))</f>
        <v/>
      </c>
      <c r="T877" s="35" t="str">
        <f aca="false">IF($A877="","",IF(COUNTIFS($S$3:$S877,$S877)=1,1,0))</f>
        <v/>
      </c>
      <c r="U877" s="37" t="str">
        <f aca="false">IF($T877=1,$S877,"")</f>
        <v/>
      </c>
    </row>
    <row r="878" customFormat="false" ht="15" hidden="false" customHeight="false" outlineLevel="0" collapsed="false">
      <c r="M878" s="35" t="str">
        <f aca="false">IF($A878="","",HOUR($A878))</f>
        <v/>
      </c>
      <c r="N878" s="36" t="str">
        <f aca="false">IF($A878="","",$I878*$K878)</f>
        <v/>
      </c>
      <c r="O878" s="35" t="str">
        <f aca="false">IF(OR($A878="",$C878="U",$S878&lt;&gt;Calc!$F$2),"",SUMIFS($I$3:$I$3002,$E$3:$E$3002,$E878,$C$3:$C$3002,"&lt;&gt;U",$S$3:$S$3002,Calc!$F$2))</f>
        <v/>
      </c>
      <c r="P878" s="35" t="str">
        <f aca="false">IF(OR($A878="",$C878="U",$S878&lt;&gt;Calc!$F$2),"",SUMIFS($N$3:$N$3002,$E$3:$E$3002,$E878,$C$3:$C$3002,"&lt;&gt;U",$S$3:$S$3002,Calc!$F$2))</f>
        <v/>
      </c>
      <c r="Q878" s="35" t="str">
        <f aca="false">IF(OR($A878="",$C878="U",$S878&lt;&gt;Calc!$F$2),"",IF(COUNTIFS($E$3:$E878,$E878,$C$3:$C878,"&lt;&gt;U",$S$3:$S878,Calc!$F$2)=1,1,0))</f>
        <v/>
      </c>
      <c r="R878" s="35" t="str">
        <f aca="false">IF($Q878=1,$O878-ROW()/100000,"")</f>
        <v/>
      </c>
      <c r="S878" s="37" t="str">
        <f aca="false">IF($A878="","",INT($A878))</f>
        <v/>
      </c>
      <c r="T878" s="35" t="str">
        <f aca="false">IF($A878="","",IF(COUNTIFS($S$3:$S878,$S878)=1,1,0))</f>
        <v/>
      </c>
      <c r="U878" s="37" t="str">
        <f aca="false">IF($T878=1,$S878,"")</f>
        <v/>
      </c>
    </row>
    <row r="879" customFormat="false" ht="15" hidden="false" customHeight="false" outlineLevel="0" collapsed="false">
      <c r="M879" s="35" t="str">
        <f aca="false">IF($A879="","",HOUR($A879))</f>
        <v/>
      </c>
      <c r="N879" s="36" t="str">
        <f aca="false">IF($A879="","",$I879*$K879)</f>
        <v/>
      </c>
      <c r="O879" s="35" t="str">
        <f aca="false">IF(OR($A879="",$C879="U",$S879&lt;&gt;Calc!$F$2),"",SUMIFS($I$3:$I$3002,$E$3:$E$3002,$E879,$C$3:$C$3002,"&lt;&gt;U",$S$3:$S$3002,Calc!$F$2))</f>
        <v/>
      </c>
      <c r="P879" s="35" t="str">
        <f aca="false">IF(OR($A879="",$C879="U",$S879&lt;&gt;Calc!$F$2),"",SUMIFS($N$3:$N$3002,$E$3:$E$3002,$E879,$C$3:$C$3002,"&lt;&gt;U",$S$3:$S$3002,Calc!$F$2))</f>
        <v/>
      </c>
      <c r="Q879" s="35" t="str">
        <f aca="false">IF(OR($A879="",$C879="U",$S879&lt;&gt;Calc!$F$2),"",IF(COUNTIFS($E$3:$E879,$E879,$C$3:$C879,"&lt;&gt;U",$S$3:$S879,Calc!$F$2)=1,1,0))</f>
        <v/>
      </c>
      <c r="R879" s="35" t="str">
        <f aca="false">IF($Q879=1,$O879-ROW()/100000,"")</f>
        <v/>
      </c>
      <c r="S879" s="37" t="str">
        <f aca="false">IF($A879="","",INT($A879))</f>
        <v/>
      </c>
      <c r="T879" s="35" t="str">
        <f aca="false">IF($A879="","",IF(COUNTIFS($S$3:$S879,$S879)=1,1,0))</f>
        <v/>
      </c>
      <c r="U879" s="37" t="str">
        <f aca="false">IF($T879=1,$S879,"")</f>
        <v/>
      </c>
    </row>
    <row r="880" customFormat="false" ht="15" hidden="false" customHeight="false" outlineLevel="0" collapsed="false">
      <c r="M880" s="35" t="str">
        <f aca="false">IF($A880="","",HOUR($A880))</f>
        <v/>
      </c>
      <c r="N880" s="36" t="str">
        <f aca="false">IF($A880="","",$I880*$K880)</f>
        <v/>
      </c>
      <c r="O880" s="35" t="str">
        <f aca="false">IF(OR($A880="",$C880="U",$S880&lt;&gt;Calc!$F$2),"",SUMIFS($I$3:$I$3002,$E$3:$E$3002,$E880,$C$3:$C$3002,"&lt;&gt;U",$S$3:$S$3002,Calc!$F$2))</f>
        <v/>
      </c>
      <c r="P880" s="35" t="str">
        <f aca="false">IF(OR($A880="",$C880="U",$S880&lt;&gt;Calc!$F$2),"",SUMIFS($N$3:$N$3002,$E$3:$E$3002,$E880,$C$3:$C$3002,"&lt;&gt;U",$S$3:$S$3002,Calc!$F$2))</f>
        <v/>
      </c>
      <c r="Q880" s="35" t="str">
        <f aca="false">IF(OR($A880="",$C880="U",$S880&lt;&gt;Calc!$F$2),"",IF(COUNTIFS($E$3:$E880,$E880,$C$3:$C880,"&lt;&gt;U",$S$3:$S880,Calc!$F$2)=1,1,0))</f>
        <v/>
      </c>
      <c r="R880" s="35" t="str">
        <f aca="false">IF($Q880=1,$O880-ROW()/100000,"")</f>
        <v/>
      </c>
      <c r="S880" s="37" t="str">
        <f aca="false">IF($A880="","",INT($A880))</f>
        <v/>
      </c>
      <c r="T880" s="35" t="str">
        <f aca="false">IF($A880="","",IF(COUNTIFS($S$3:$S880,$S880)=1,1,0))</f>
        <v/>
      </c>
      <c r="U880" s="37" t="str">
        <f aca="false">IF($T880=1,$S880,"")</f>
        <v/>
      </c>
    </row>
    <row r="881" customFormat="false" ht="15" hidden="false" customHeight="false" outlineLevel="0" collapsed="false">
      <c r="M881" s="35" t="str">
        <f aca="false">IF($A881="","",HOUR($A881))</f>
        <v/>
      </c>
      <c r="N881" s="36" t="str">
        <f aca="false">IF($A881="","",$I881*$K881)</f>
        <v/>
      </c>
      <c r="O881" s="35" t="str">
        <f aca="false">IF(OR($A881="",$C881="U",$S881&lt;&gt;Calc!$F$2),"",SUMIFS($I$3:$I$3002,$E$3:$E$3002,$E881,$C$3:$C$3002,"&lt;&gt;U",$S$3:$S$3002,Calc!$F$2))</f>
        <v/>
      </c>
      <c r="P881" s="35" t="str">
        <f aca="false">IF(OR($A881="",$C881="U",$S881&lt;&gt;Calc!$F$2),"",SUMIFS($N$3:$N$3002,$E$3:$E$3002,$E881,$C$3:$C$3002,"&lt;&gt;U",$S$3:$S$3002,Calc!$F$2))</f>
        <v/>
      </c>
      <c r="Q881" s="35" t="str">
        <f aca="false">IF(OR($A881="",$C881="U",$S881&lt;&gt;Calc!$F$2),"",IF(COUNTIFS($E$3:$E881,$E881,$C$3:$C881,"&lt;&gt;U",$S$3:$S881,Calc!$F$2)=1,1,0))</f>
        <v/>
      </c>
      <c r="R881" s="35" t="str">
        <f aca="false">IF($Q881=1,$O881-ROW()/100000,"")</f>
        <v/>
      </c>
      <c r="S881" s="37" t="str">
        <f aca="false">IF($A881="","",INT($A881))</f>
        <v/>
      </c>
      <c r="T881" s="35" t="str">
        <f aca="false">IF($A881="","",IF(COUNTIFS($S$3:$S881,$S881)=1,1,0))</f>
        <v/>
      </c>
      <c r="U881" s="37" t="str">
        <f aca="false">IF($T881=1,$S881,"")</f>
        <v/>
      </c>
    </row>
    <row r="882" customFormat="false" ht="15" hidden="false" customHeight="false" outlineLevel="0" collapsed="false">
      <c r="M882" s="35" t="str">
        <f aca="false">IF($A882="","",HOUR($A882))</f>
        <v/>
      </c>
      <c r="N882" s="36" t="str">
        <f aca="false">IF($A882="","",$I882*$K882)</f>
        <v/>
      </c>
      <c r="O882" s="35" t="str">
        <f aca="false">IF(OR($A882="",$C882="U",$S882&lt;&gt;Calc!$F$2),"",SUMIFS($I$3:$I$3002,$E$3:$E$3002,$E882,$C$3:$C$3002,"&lt;&gt;U",$S$3:$S$3002,Calc!$F$2))</f>
        <v/>
      </c>
      <c r="P882" s="35" t="str">
        <f aca="false">IF(OR($A882="",$C882="U",$S882&lt;&gt;Calc!$F$2),"",SUMIFS($N$3:$N$3002,$E$3:$E$3002,$E882,$C$3:$C$3002,"&lt;&gt;U",$S$3:$S$3002,Calc!$F$2))</f>
        <v/>
      </c>
      <c r="Q882" s="35" t="str">
        <f aca="false">IF(OR($A882="",$C882="U",$S882&lt;&gt;Calc!$F$2),"",IF(COUNTIFS($E$3:$E882,$E882,$C$3:$C882,"&lt;&gt;U",$S$3:$S882,Calc!$F$2)=1,1,0))</f>
        <v/>
      </c>
      <c r="R882" s="35" t="str">
        <f aca="false">IF($Q882=1,$O882-ROW()/100000,"")</f>
        <v/>
      </c>
      <c r="S882" s="37" t="str">
        <f aca="false">IF($A882="","",INT($A882))</f>
        <v/>
      </c>
      <c r="T882" s="35" t="str">
        <f aca="false">IF($A882="","",IF(COUNTIFS($S$3:$S882,$S882)=1,1,0))</f>
        <v/>
      </c>
      <c r="U882" s="37" t="str">
        <f aca="false">IF($T882=1,$S882,"")</f>
        <v/>
      </c>
    </row>
    <row r="883" customFormat="false" ht="15" hidden="false" customHeight="false" outlineLevel="0" collapsed="false">
      <c r="M883" s="35" t="str">
        <f aca="false">IF($A883="","",HOUR($A883))</f>
        <v/>
      </c>
      <c r="N883" s="36" t="str">
        <f aca="false">IF($A883="","",$I883*$K883)</f>
        <v/>
      </c>
      <c r="O883" s="35" t="str">
        <f aca="false">IF(OR($A883="",$C883="U",$S883&lt;&gt;Calc!$F$2),"",SUMIFS($I$3:$I$3002,$E$3:$E$3002,$E883,$C$3:$C$3002,"&lt;&gt;U",$S$3:$S$3002,Calc!$F$2))</f>
        <v/>
      </c>
      <c r="P883" s="35" t="str">
        <f aca="false">IF(OR($A883="",$C883="U",$S883&lt;&gt;Calc!$F$2),"",SUMIFS($N$3:$N$3002,$E$3:$E$3002,$E883,$C$3:$C$3002,"&lt;&gt;U",$S$3:$S$3002,Calc!$F$2))</f>
        <v/>
      </c>
      <c r="Q883" s="35" t="str">
        <f aca="false">IF(OR($A883="",$C883="U",$S883&lt;&gt;Calc!$F$2),"",IF(COUNTIFS($E$3:$E883,$E883,$C$3:$C883,"&lt;&gt;U",$S$3:$S883,Calc!$F$2)=1,1,0))</f>
        <v/>
      </c>
      <c r="R883" s="35" t="str">
        <f aca="false">IF($Q883=1,$O883-ROW()/100000,"")</f>
        <v/>
      </c>
      <c r="S883" s="37" t="str">
        <f aca="false">IF($A883="","",INT($A883))</f>
        <v/>
      </c>
      <c r="T883" s="35" t="str">
        <f aca="false">IF($A883="","",IF(COUNTIFS($S$3:$S883,$S883)=1,1,0))</f>
        <v/>
      </c>
      <c r="U883" s="37" t="str">
        <f aca="false">IF($T883=1,$S883,"")</f>
        <v/>
      </c>
    </row>
    <row r="884" customFormat="false" ht="15" hidden="false" customHeight="false" outlineLevel="0" collapsed="false">
      <c r="M884" s="35" t="str">
        <f aca="false">IF($A884="","",HOUR($A884))</f>
        <v/>
      </c>
      <c r="N884" s="36" t="str">
        <f aca="false">IF($A884="","",$I884*$K884)</f>
        <v/>
      </c>
      <c r="O884" s="35" t="str">
        <f aca="false">IF(OR($A884="",$C884="U",$S884&lt;&gt;Calc!$F$2),"",SUMIFS($I$3:$I$3002,$E$3:$E$3002,$E884,$C$3:$C$3002,"&lt;&gt;U",$S$3:$S$3002,Calc!$F$2))</f>
        <v/>
      </c>
      <c r="P884" s="35" t="str">
        <f aca="false">IF(OR($A884="",$C884="U",$S884&lt;&gt;Calc!$F$2),"",SUMIFS($N$3:$N$3002,$E$3:$E$3002,$E884,$C$3:$C$3002,"&lt;&gt;U",$S$3:$S$3002,Calc!$F$2))</f>
        <v/>
      </c>
      <c r="Q884" s="35" t="str">
        <f aca="false">IF(OR($A884="",$C884="U",$S884&lt;&gt;Calc!$F$2),"",IF(COUNTIFS($E$3:$E884,$E884,$C$3:$C884,"&lt;&gt;U",$S$3:$S884,Calc!$F$2)=1,1,0))</f>
        <v/>
      </c>
      <c r="R884" s="35" t="str">
        <f aca="false">IF($Q884=1,$O884-ROW()/100000,"")</f>
        <v/>
      </c>
      <c r="S884" s="37" t="str">
        <f aca="false">IF($A884="","",INT($A884))</f>
        <v/>
      </c>
      <c r="T884" s="35" t="str">
        <f aca="false">IF($A884="","",IF(COUNTIFS($S$3:$S884,$S884)=1,1,0))</f>
        <v/>
      </c>
      <c r="U884" s="37" t="str">
        <f aca="false">IF($T884=1,$S884,"")</f>
        <v/>
      </c>
    </row>
    <row r="885" customFormat="false" ht="15" hidden="false" customHeight="false" outlineLevel="0" collapsed="false">
      <c r="M885" s="35" t="str">
        <f aca="false">IF($A885="","",HOUR($A885))</f>
        <v/>
      </c>
      <c r="N885" s="36" t="str">
        <f aca="false">IF($A885="","",$I885*$K885)</f>
        <v/>
      </c>
      <c r="O885" s="35" t="str">
        <f aca="false">IF(OR($A885="",$C885="U",$S885&lt;&gt;Calc!$F$2),"",SUMIFS($I$3:$I$3002,$E$3:$E$3002,$E885,$C$3:$C$3002,"&lt;&gt;U",$S$3:$S$3002,Calc!$F$2))</f>
        <v/>
      </c>
      <c r="P885" s="35" t="str">
        <f aca="false">IF(OR($A885="",$C885="U",$S885&lt;&gt;Calc!$F$2),"",SUMIFS($N$3:$N$3002,$E$3:$E$3002,$E885,$C$3:$C$3002,"&lt;&gt;U",$S$3:$S$3002,Calc!$F$2))</f>
        <v/>
      </c>
      <c r="Q885" s="35" t="str">
        <f aca="false">IF(OR($A885="",$C885="U",$S885&lt;&gt;Calc!$F$2),"",IF(COUNTIFS($E$3:$E885,$E885,$C$3:$C885,"&lt;&gt;U",$S$3:$S885,Calc!$F$2)=1,1,0))</f>
        <v/>
      </c>
      <c r="R885" s="35" t="str">
        <f aca="false">IF($Q885=1,$O885-ROW()/100000,"")</f>
        <v/>
      </c>
      <c r="S885" s="37" t="str">
        <f aca="false">IF($A885="","",INT($A885))</f>
        <v/>
      </c>
      <c r="T885" s="35" t="str">
        <f aca="false">IF($A885="","",IF(COUNTIFS($S$3:$S885,$S885)=1,1,0))</f>
        <v/>
      </c>
      <c r="U885" s="37" t="str">
        <f aca="false">IF($T885=1,$S885,"")</f>
        <v/>
      </c>
    </row>
    <row r="886" customFormat="false" ht="15" hidden="false" customHeight="false" outlineLevel="0" collapsed="false">
      <c r="M886" s="35" t="str">
        <f aca="false">IF($A886="","",HOUR($A886))</f>
        <v/>
      </c>
      <c r="N886" s="36" t="str">
        <f aca="false">IF($A886="","",$I886*$K886)</f>
        <v/>
      </c>
      <c r="O886" s="35" t="str">
        <f aca="false">IF(OR($A886="",$C886="U",$S886&lt;&gt;Calc!$F$2),"",SUMIFS($I$3:$I$3002,$E$3:$E$3002,$E886,$C$3:$C$3002,"&lt;&gt;U",$S$3:$S$3002,Calc!$F$2))</f>
        <v/>
      </c>
      <c r="P886" s="35" t="str">
        <f aca="false">IF(OR($A886="",$C886="U",$S886&lt;&gt;Calc!$F$2),"",SUMIFS($N$3:$N$3002,$E$3:$E$3002,$E886,$C$3:$C$3002,"&lt;&gt;U",$S$3:$S$3002,Calc!$F$2))</f>
        <v/>
      </c>
      <c r="Q886" s="35" t="str">
        <f aca="false">IF(OR($A886="",$C886="U",$S886&lt;&gt;Calc!$F$2),"",IF(COUNTIFS($E$3:$E886,$E886,$C$3:$C886,"&lt;&gt;U",$S$3:$S886,Calc!$F$2)=1,1,0))</f>
        <v/>
      </c>
      <c r="R886" s="35" t="str">
        <f aca="false">IF($Q886=1,$O886-ROW()/100000,"")</f>
        <v/>
      </c>
      <c r="S886" s="37" t="str">
        <f aca="false">IF($A886="","",INT($A886))</f>
        <v/>
      </c>
      <c r="T886" s="35" t="str">
        <f aca="false">IF($A886="","",IF(COUNTIFS($S$3:$S886,$S886)=1,1,0))</f>
        <v/>
      </c>
      <c r="U886" s="37" t="str">
        <f aca="false">IF($T886=1,$S886,"")</f>
        <v/>
      </c>
    </row>
    <row r="887" customFormat="false" ht="15" hidden="false" customHeight="false" outlineLevel="0" collapsed="false">
      <c r="M887" s="35" t="str">
        <f aca="false">IF($A887="","",HOUR($A887))</f>
        <v/>
      </c>
      <c r="N887" s="36" t="str">
        <f aca="false">IF($A887="","",$I887*$K887)</f>
        <v/>
      </c>
      <c r="O887" s="35" t="str">
        <f aca="false">IF(OR($A887="",$C887="U",$S887&lt;&gt;Calc!$F$2),"",SUMIFS($I$3:$I$3002,$E$3:$E$3002,$E887,$C$3:$C$3002,"&lt;&gt;U",$S$3:$S$3002,Calc!$F$2))</f>
        <v/>
      </c>
      <c r="P887" s="35" t="str">
        <f aca="false">IF(OR($A887="",$C887="U",$S887&lt;&gt;Calc!$F$2),"",SUMIFS($N$3:$N$3002,$E$3:$E$3002,$E887,$C$3:$C$3002,"&lt;&gt;U",$S$3:$S$3002,Calc!$F$2))</f>
        <v/>
      </c>
      <c r="Q887" s="35" t="str">
        <f aca="false">IF(OR($A887="",$C887="U",$S887&lt;&gt;Calc!$F$2),"",IF(COUNTIFS($E$3:$E887,$E887,$C$3:$C887,"&lt;&gt;U",$S$3:$S887,Calc!$F$2)=1,1,0))</f>
        <v/>
      </c>
      <c r="R887" s="35" t="str">
        <f aca="false">IF($Q887=1,$O887-ROW()/100000,"")</f>
        <v/>
      </c>
      <c r="S887" s="37" t="str">
        <f aca="false">IF($A887="","",INT($A887))</f>
        <v/>
      </c>
      <c r="T887" s="35" t="str">
        <f aca="false">IF($A887="","",IF(COUNTIFS($S$3:$S887,$S887)=1,1,0))</f>
        <v/>
      </c>
      <c r="U887" s="37" t="str">
        <f aca="false">IF($T887=1,$S887,"")</f>
        <v/>
      </c>
    </row>
    <row r="888" customFormat="false" ht="15" hidden="false" customHeight="false" outlineLevel="0" collapsed="false">
      <c r="M888" s="35" t="str">
        <f aca="false">IF($A888="","",HOUR($A888))</f>
        <v/>
      </c>
      <c r="N888" s="36" t="str">
        <f aca="false">IF($A888="","",$I888*$K888)</f>
        <v/>
      </c>
      <c r="O888" s="35" t="str">
        <f aca="false">IF(OR($A888="",$C888="U",$S888&lt;&gt;Calc!$F$2),"",SUMIFS($I$3:$I$3002,$E$3:$E$3002,$E888,$C$3:$C$3002,"&lt;&gt;U",$S$3:$S$3002,Calc!$F$2))</f>
        <v/>
      </c>
      <c r="P888" s="35" t="str">
        <f aca="false">IF(OR($A888="",$C888="U",$S888&lt;&gt;Calc!$F$2),"",SUMIFS($N$3:$N$3002,$E$3:$E$3002,$E888,$C$3:$C$3002,"&lt;&gt;U",$S$3:$S$3002,Calc!$F$2))</f>
        <v/>
      </c>
      <c r="Q888" s="35" t="str">
        <f aca="false">IF(OR($A888="",$C888="U",$S888&lt;&gt;Calc!$F$2),"",IF(COUNTIFS($E$3:$E888,$E888,$C$3:$C888,"&lt;&gt;U",$S$3:$S888,Calc!$F$2)=1,1,0))</f>
        <v/>
      </c>
      <c r="R888" s="35" t="str">
        <f aca="false">IF($Q888=1,$O888-ROW()/100000,"")</f>
        <v/>
      </c>
      <c r="S888" s="37" t="str">
        <f aca="false">IF($A888="","",INT($A888))</f>
        <v/>
      </c>
      <c r="T888" s="35" t="str">
        <f aca="false">IF($A888="","",IF(COUNTIFS($S$3:$S888,$S888)=1,1,0))</f>
        <v/>
      </c>
      <c r="U888" s="37" t="str">
        <f aca="false">IF($T888=1,$S888,"")</f>
        <v/>
      </c>
    </row>
    <row r="889" customFormat="false" ht="15" hidden="false" customHeight="false" outlineLevel="0" collapsed="false">
      <c r="M889" s="35" t="str">
        <f aca="false">IF($A889="","",HOUR($A889))</f>
        <v/>
      </c>
      <c r="N889" s="36" t="str">
        <f aca="false">IF($A889="","",$I889*$K889)</f>
        <v/>
      </c>
      <c r="O889" s="35" t="str">
        <f aca="false">IF(OR($A889="",$C889="U",$S889&lt;&gt;Calc!$F$2),"",SUMIFS($I$3:$I$3002,$E$3:$E$3002,$E889,$C$3:$C$3002,"&lt;&gt;U",$S$3:$S$3002,Calc!$F$2))</f>
        <v/>
      </c>
      <c r="P889" s="35" t="str">
        <f aca="false">IF(OR($A889="",$C889="U",$S889&lt;&gt;Calc!$F$2),"",SUMIFS($N$3:$N$3002,$E$3:$E$3002,$E889,$C$3:$C$3002,"&lt;&gt;U",$S$3:$S$3002,Calc!$F$2))</f>
        <v/>
      </c>
      <c r="Q889" s="35" t="str">
        <f aca="false">IF(OR($A889="",$C889="U",$S889&lt;&gt;Calc!$F$2),"",IF(COUNTIFS($E$3:$E889,$E889,$C$3:$C889,"&lt;&gt;U",$S$3:$S889,Calc!$F$2)=1,1,0))</f>
        <v/>
      </c>
      <c r="R889" s="35" t="str">
        <f aca="false">IF($Q889=1,$O889-ROW()/100000,"")</f>
        <v/>
      </c>
      <c r="S889" s="37" t="str">
        <f aca="false">IF($A889="","",INT($A889))</f>
        <v/>
      </c>
      <c r="T889" s="35" t="str">
        <f aca="false">IF($A889="","",IF(COUNTIFS($S$3:$S889,$S889)=1,1,0))</f>
        <v/>
      </c>
      <c r="U889" s="37" t="str">
        <f aca="false">IF($T889=1,$S889,"")</f>
        <v/>
      </c>
    </row>
    <row r="890" customFormat="false" ht="15" hidden="false" customHeight="false" outlineLevel="0" collapsed="false">
      <c r="M890" s="35" t="str">
        <f aca="false">IF($A890="","",HOUR($A890))</f>
        <v/>
      </c>
      <c r="N890" s="36" t="str">
        <f aca="false">IF($A890="","",$I890*$K890)</f>
        <v/>
      </c>
      <c r="O890" s="35" t="str">
        <f aca="false">IF(OR($A890="",$C890="U",$S890&lt;&gt;Calc!$F$2),"",SUMIFS($I$3:$I$3002,$E$3:$E$3002,$E890,$C$3:$C$3002,"&lt;&gt;U",$S$3:$S$3002,Calc!$F$2))</f>
        <v/>
      </c>
      <c r="P890" s="35" t="str">
        <f aca="false">IF(OR($A890="",$C890="U",$S890&lt;&gt;Calc!$F$2),"",SUMIFS($N$3:$N$3002,$E$3:$E$3002,$E890,$C$3:$C$3002,"&lt;&gt;U",$S$3:$S$3002,Calc!$F$2))</f>
        <v/>
      </c>
      <c r="Q890" s="35" t="str">
        <f aca="false">IF(OR($A890="",$C890="U",$S890&lt;&gt;Calc!$F$2),"",IF(COUNTIFS($E$3:$E890,$E890,$C$3:$C890,"&lt;&gt;U",$S$3:$S890,Calc!$F$2)=1,1,0))</f>
        <v/>
      </c>
      <c r="R890" s="35" t="str">
        <f aca="false">IF($Q890=1,$O890-ROW()/100000,"")</f>
        <v/>
      </c>
      <c r="S890" s="37" t="str">
        <f aca="false">IF($A890="","",INT($A890))</f>
        <v/>
      </c>
      <c r="T890" s="35" t="str">
        <f aca="false">IF($A890="","",IF(COUNTIFS($S$3:$S890,$S890)=1,1,0))</f>
        <v/>
      </c>
      <c r="U890" s="37" t="str">
        <f aca="false">IF($T890=1,$S890,"")</f>
        <v/>
      </c>
    </row>
    <row r="891" customFormat="false" ht="15" hidden="false" customHeight="false" outlineLevel="0" collapsed="false">
      <c r="M891" s="35" t="str">
        <f aca="false">IF($A891="","",HOUR($A891))</f>
        <v/>
      </c>
      <c r="N891" s="36" t="str">
        <f aca="false">IF($A891="","",$I891*$K891)</f>
        <v/>
      </c>
      <c r="O891" s="35" t="str">
        <f aca="false">IF(OR($A891="",$C891="U",$S891&lt;&gt;Calc!$F$2),"",SUMIFS($I$3:$I$3002,$E$3:$E$3002,$E891,$C$3:$C$3002,"&lt;&gt;U",$S$3:$S$3002,Calc!$F$2))</f>
        <v/>
      </c>
      <c r="P891" s="35" t="str">
        <f aca="false">IF(OR($A891="",$C891="U",$S891&lt;&gt;Calc!$F$2),"",SUMIFS($N$3:$N$3002,$E$3:$E$3002,$E891,$C$3:$C$3002,"&lt;&gt;U",$S$3:$S$3002,Calc!$F$2))</f>
        <v/>
      </c>
      <c r="Q891" s="35" t="str">
        <f aca="false">IF(OR($A891="",$C891="U",$S891&lt;&gt;Calc!$F$2),"",IF(COUNTIFS($E$3:$E891,$E891,$C$3:$C891,"&lt;&gt;U",$S$3:$S891,Calc!$F$2)=1,1,0))</f>
        <v/>
      </c>
      <c r="R891" s="35" t="str">
        <f aca="false">IF($Q891=1,$O891-ROW()/100000,"")</f>
        <v/>
      </c>
      <c r="S891" s="37" t="str">
        <f aca="false">IF($A891="","",INT($A891))</f>
        <v/>
      </c>
      <c r="T891" s="35" t="str">
        <f aca="false">IF($A891="","",IF(COUNTIFS($S$3:$S891,$S891)=1,1,0))</f>
        <v/>
      </c>
      <c r="U891" s="37" t="str">
        <f aca="false">IF($T891=1,$S891,"")</f>
        <v/>
      </c>
    </row>
    <row r="892" customFormat="false" ht="15" hidden="false" customHeight="false" outlineLevel="0" collapsed="false">
      <c r="M892" s="35" t="str">
        <f aca="false">IF($A892="","",HOUR($A892))</f>
        <v/>
      </c>
      <c r="N892" s="36" t="str">
        <f aca="false">IF($A892="","",$I892*$K892)</f>
        <v/>
      </c>
      <c r="O892" s="35" t="str">
        <f aca="false">IF(OR($A892="",$C892="U",$S892&lt;&gt;Calc!$F$2),"",SUMIFS($I$3:$I$3002,$E$3:$E$3002,$E892,$C$3:$C$3002,"&lt;&gt;U",$S$3:$S$3002,Calc!$F$2))</f>
        <v/>
      </c>
      <c r="P892" s="35" t="str">
        <f aca="false">IF(OR($A892="",$C892="U",$S892&lt;&gt;Calc!$F$2),"",SUMIFS($N$3:$N$3002,$E$3:$E$3002,$E892,$C$3:$C$3002,"&lt;&gt;U",$S$3:$S$3002,Calc!$F$2))</f>
        <v/>
      </c>
      <c r="Q892" s="35" t="str">
        <f aca="false">IF(OR($A892="",$C892="U",$S892&lt;&gt;Calc!$F$2),"",IF(COUNTIFS($E$3:$E892,$E892,$C$3:$C892,"&lt;&gt;U",$S$3:$S892,Calc!$F$2)=1,1,0))</f>
        <v/>
      </c>
      <c r="R892" s="35" t="str">
        <f aca="false">IF($Q892=1,$O892-ROW()/100000,"")</f>
        <v/>
      </c>
      <c r="S892" s="37" t="str">
        <f aca="false">IF($A892="","",INT($A892))</f>
        <v/>
      </c>
      <c r="T892" s="35" t="str">
        <f aca="false">IF($A892="","",IF(COUNTIFS($S$3:$S892,$S892)=1,1,0))</f>
        <v/>
      </c>
      <c r="U892" s="37" t="str">
        <f aca="false">IF($T892=1,$S892,"")</f>
        <v/>
      </c>
    </row>
    <row r="893" customFormat="false" ht="15" hidden="false" customHeight="false" outlineLevel="0" collapsed="false">
      <c r="M893" s="35" t="str">
        <f aca="false">IF($A893="","",HOUR($A893))</f>
        <v/>
      </c>
      <c r="N893" s="36" t="str">
        <f aca="false">IF($A893="","",$I893*$K893)</f>
        <v/>
      </c>
      <c r="O893" s="35" t="str">
        <f aca="false">IF(OR($A893="",$C893="U",$S893&lt;&gt;Calc!$F$2),"",SUMIFS($I$3:$I$3002,$E$3:$E$3002,$E893,$C$3:$C$3002,"&lt;&gt;U",$S$3:$S$3002,Calc!$F$2))</f>
        <v/>
      </c>
      <c r="P893" s="35" t="str">
        <f aca="false">IF(OR($A893="",$C893="U",$S893&lt;&gt;Calc!$F$2),"",SUMIFS($N$3:$N$3002,$E$3:$E$3002,$E893,$C$3:$C$3002,"&lt;&gt;U",$S$3:$S$3002,Calc!$F$2))</f>
        <v/>
      </c>
      <c r="Q893" s="35" t="str">
        <f aca="false">IF(OR($A893="",$C893="U",$S893&lt;&gt;Calc!$F$2),"",IF(COUNTIFS($E$3:$E893,$E893,$C$3:$C893,"&lt;&gt;U",$S$3:$S893,Calc!$F$2)=1,1,0))</f>
        <v/>
      </c>
      <c r="R893" s="35" t="str">
        <f aca="false">IF($Q893=1,$O893-ROW()/100000,"")</f>
        <v/>
      </c>
      <c r="S893" s="37" t="str">
        <f aca="false">IF($A893="","",INT($A893))</f>
        <v/>
      </c>
      <c r="T893" s="35" t="str">
        <f aca="false">IF($A893="","",IF(COUNTIFS($S$3:$S893,$S893)=1,1,0))</f>
        <v/>
      </c>
      <c r="U893" s="37" t="str">
        <f aca="false">IF($T893=1,$S893,"")</f>
        <v/>
      </c>
    </row>
    <row r="894" customFormat="false" ht="15" hidden="false" customHeight="false" outlineLevel="0" collapsed="false">
      <c r="M894" s="35" t="str">
        <f aca="false">IF($A894="","",HOUR($A894))</f>
        <v/>
      </c>
      <c r="N894" s="36" t="str">
        <f aca="false">IF($A894="","",$I894*$K894)</f>
        <v/>
      </c>
      <c r="O894" s="35" t="str">
        <f aca="false">IF(OR($A894="",$C894="U",$S894&lt;&gt;Calc!$F$2),"",SUMIFS($I$3:$I$3002,$E$3:$E$3002,$E894,$C$3:$C$3002,"&lt;&gt;U",$S$3:$S$3002,Calc!$F$2))</f>
        <v/>
      </c>
      <c r="P894" s="35" t="str">
        <f aca="false">IF(OR($A894="",$C894="U",$S894&lt;&gt;Calc!$F$2),"",SUMIFS($N$3:$N$3002,$E$3:$E$3002,$E894,$C$3:$C$3002,"&lt;&gt;U",$S$3:$S$3002,Calc!$F$2))</f>
        <v/>
      </c>
      <c r="Q894" s="35" t="str">
        <f aca="false">IF(OR($A894="",$C894="U",$S894&lt;&gt;Calc!$F$2),"",IF(COUNTIFS($E$3:$E894,$E894,$C$3:$C894,"&lt;&gt;U",$S$3:$S894,Calc!$F$2)=1,1,0))</f>
        <v/>
      </c>
      <c r="R894" s="35" t="str">
        <f aca="false">IF($Q894=1,$O894-ROW()/100000,"")</f>
        <v/>
      </c>
      <c r="S894" s="37" t="str">
        <f aca="false">IF($A894="","",INT($A894))</f>
        <v/>
      </c>
      <c r="T894" s="35" t="str">
        <f aca="false">IF($A894="","",IF(COUNTIFS($S$3:$S894,$S894)=1,1,0))</f>
        <v/>
      </c>
      <c r="U894" s="37" t="str">
        <f aca="false">IF($T894=1,$S894,"")</f>
        <v/>
      </c>
    </row>
    <row r="895" customFormat="false" ht="15" hidden="false" customHeight="false" outlineLevel="0" collapsed="false">
      <c r="M895" s="35" t="str">
        <f aca="false">IF($A895="","",HOUR($A895))</f>
        <v/>
      </c>
      <c r="N895" s="36" t="str">
        <f aca="false">IF($A895="","",$I895*$K895)</f>
        <v/>
      </c>
      <c r="O895" s="35" t="str">
        <f aca="false">IF(OR($A895="",$C895="U",$S895&lt;&gt;Calc!$F$2),"",SUMIFS($I$3:$I$3002,$E$3:$E$3002,$E895,$C$3:$C$3002,"&lt;&gt;U",$S$3:$S$3002,Calc!$F$2))</f>
        <v/>
      </c>
      <c r="P895" s="35" t="str">
        <f aca="false">IF(OR($A895="",$C895="U",$S895&lt;&gt;Calc!$F$2),"",SUMIFS($N$3:$N$3002,$E$3:$E$3002,$E895,$C$3:$C$3002,"&lt;&gt;U",$S$3:$S$3002,Calc!$F$2))</f>
        <v/>
      </c>
      <c r="Q895" s="35" t="str">
        <f aca="false">IF(OR($A895="",$C895="U",$S895&lt;&gt;Calc!$F$2),"",IF(COUNTIFS($E$3:$E895,$E895,$C$3:$C895,"&lt;&gt;U",$S$3:$S895,Calc!$F$2)=1,1,0))</f>
        <v/>
      </c>
      <c r="R895" s="35" t="str">
        <f aca="false">IF($Q895=1,$O895-ROW()/100000,"")</f>
        <v/>
      </c>
      <c r="S895" s="37" t="str">
        <f aca="false">IF($A895="","",INT($A895))</f>
        <v/>
      </c>
      <c r="T895" s="35" t="str">
        <f aca="false">IF($A895="","",IF(COUNTIFS($S$3:$S895,$S895)=1,1,0))</f>
        <v/>
      </c>
      <c r="U895" s="37" t="str">
        <f aca="false">IF($T895=1,$S895,"")</f>
        <v/>
      </c>
    </row>
    <row r="896" customFormat="false" ht="15" hidden="false" customHeight="false" outlineLevel="0" collapsed="false">
      <c r="M896" s="35" t="str">
        <f aca="false">IF($A896="","",HOUR($A896))</f>
        <v/>
      </c>
      <c r="N896" s="36" t="str">
        <f aca="false">IF($A896="","",$I896*$K896)</f>
        <v/>
      </c>
      <c r="O896" s="35" t="str">
        <f aca="false">IF(OR($A896="",$C896="U",$S896&lt;&gt;Calc!$F$2),"",SUMIFS($I$3:$I$3002,$E$3:$E$3002,$E896,$C$3:$C$3002,"&lt;&gt;U",$S$3:$S$3002,Calc!$F$2))</f>
        <v/>
      </c>
      <c r="P896" s="35" t="str">
        <f aca="false">IF(OR($A896="",$C896="U",$S896&lt;&gt;Calc!$F$2),"",SUMIFS($N$3:$N$3002,$E$3:$E$3002,$E896,$C$3:$C$3002,"&lt;&gt;U",$S$3:$S$3002,Calc!$F$2))</f>
        <v/>
      </c>
      <c r="Q896" s="35" t="str">
        <f aca="false">IF(OR($A896="",$C896="U",$S896&lt;&gt;Calc!$F$2),"",IF(COUNTIFS($E$3:$E896,$E896,$C$3:$C896,"&lt;&gt;U",$S$3:$S896,Calc!$F$2)=1,1,0))</f>
        <v/>
      </c>
      <c r="R896" s="35" t="str">
        <f aca="false">IF($Q896=1,$O896-ROW()/100000,"")</f>
        <v/>
      </c>
      <c r="S896" s="37" t="str">
        <f aca="false">IF($A896="","",INT($A896))</f>
        <v/>
      </c>
      <c r="T896" s="35" t="str">
        <f aca="false">IF($A896="","",IF(COUNTIFS($S$3:$S896,$S896)=1,1,0))</f>
        <v/>
      </c>
      <c r="U896" s="37" t="str">
        <f aca="false">IF($T896=1,$S896,"")</f>
        <v/>
      </c>
    </row>
    <row r="897" customFormat="false" ht="15" hidden="false" customHeight="false" outlineLevel="0" collapsed="false">
      <c r="M897" s="35" t="str">
        <f aca="false">IF($A897="","",HOUR($A897))</f>
        <v/>
      </c>
      <c r="N897" s="36" t="str">
        <f aca="false">IF($A897="","",$I897*$K897)</f>
        <v/>
      </c>
      <c r="O897" s="35" t="str">
        <f aca="false">IF(OR($A897="",$C897="U",$S897&lt;&gt;Calc!$F$2),"",SUMIFS($I$3:$I$3002,$E$3:$E$3002,$E897,$C$3:$C$3002,"&lt;&gt;U",$S$3:$S$3002,Calc!$F$2))</f>
        <v/>
      </c>
      <c r="P897" s="35" t="str">
        <f aca="false">IF(OR($A897="",$C897="U",$S897&lt;&gt;Calc!$F$2),"",SUMIFS($N$3:$N$3002,$E$3:$E$3002,$E897,$C$3:$C$3002,"&lt;&gt;U",$S$3:$S$3002,Calc!$F$2))</f>
        <v/>
      </c>
      <c r="Q897" s="35" t="str">
        <f aca="false">IF(OR($A897="",$C897="U",$S897&lt;&gt;Calc!$F$2),"",IF(COUNTIFS($E$3:$E897,$E897,$C$3:$C897,"&lt;&gt;U",$S$3:$S897,Calc!$F$2)=1,1,0))</f>
        <v/>
      </c>
      <c r="R897" s="35" t="str">
        <f aca="false">IF($Q897=1,$O897-ROW()/100000,"")</f>
        <v/>
      </c>
      <c r="S897" s="37" t="str">
        <f aca="false">IF($A897="","",INT($A897))</f>
        <v/>
      </c>
      <c r="T897" s="35" t="str">
        <f aca="false">IF($A897="","",IF(COUNTIFS($S$3:$S897,$S897)=1,1,0))</f>
        <v/>
      </c>
      <c r="U897" s="37" t="str">
        <f aca="false">IF($T897=1,$S897,"")</f>
        <v/>
      </c>
    </row>
    <row r="898" customFormat="false" ht="15" hidden="false" customHeight="false" outlineLevel="0" collapsed="false">
      <c r="M898" s="35" t="str">
        <f aca="false">IF($A898="","",HOUR($A898))</f>
        <v/>
      </c>
      <c r="N898" s="36" t="str">
        <f aca="false">IF($A898="","",$I898*$K898)</f>
        <v/>
      </c>
      <c r="O898" s="35" t="str">
        <f aca="false">IF(OR($A898="",$C898="U",$S898&lt;&gt;Calc!$F$2),"",SUMIFS($I$3:$I$3002,$E$3:$E$3002,$E898,$C$3:$C$3002,"&lt;&gt;U",$S$3:$S$3002,Calc!$F$2))</f>
        <v/>
      </c>
      <c r="P898" s="35" t="str">
        <f aca="false">IF(OR($A898="",$C898="U",$S898&lt;&gt;Calc!$F$2),"",SUMIFS($N$3:$N$3002,$E$3:$E$3002,$E898,$C$3:$C$3002,"&lt;&gt;U",$S$3:$S$3002,Calc!$F$2))</f>
        <v/>
      </c>
      <c r="Q898" s="35" t="str">
        <f aca="false">IF(OR($A898="",$C898="U",$S898&lt;&gt;Calc!$F$2),"",IF(COUNTIFS($E$3:$E898,$E898,$C$3:$C898,"&lt;&gt;U",$S$3:$S898,Calc!$F$2)=1,1,0))</f>
        <v/>
      </c>
      <c r="R898" s="35" t="str">
        <f aca="false">IF($Q898=1,$O898-ROW()/100000,"")</f>
        <v/>
      </c>
      <c r="S898" s="37" t="str">
        <f aca="false">IF($A898="","",INT($A898))</f>
        <v/>
      </c>
      <c r="T898" s="35" t="str">
        <f aca="false">IF($A898="","",IF(COUNTIFS($S$3:$S898,$S898)=1,1,0))</f>
        <v/>
      </c>
      <c r="U898" s="37" t="str">
        <f aca="false">IF($T898=1,$S898,"")</f>
        <v/>
      </c>
    </row>
    <row r="899" customFormat="false" ht="15" hidden="false" customHeight="false" outlineLevel="0" collapsed="false">
      <c r="M899" s="35" t="str">
        <f aca="false">IF($A899="","",HOUR($A899))</f>
        <v/>
      </c>
      <c r="N899" s="36" t="str">
        <f aca="false">IF($A899="","",$I899*$K899)</f>
        <v/>
      </c>
      <c r="O899" s="35" t="str">
        <f aca="false">IF(OR($A899="",$C899="U",$S899&lt;&gt;Calc!$F$2),"",SUMIFS($I$3:$I$3002,$E$3:$E$3002,$E899,$C$3:$C$3002,"&lt;&gt;U",$S$3:$S$3002,Calc!$F$2))</f>
        <v/>
      </c>
      <c r="P899" s="35" t="str">
        <f aca="false">IF(OR($A899="",$C899="U",$S899&lt;&gt;Calc!$F$2),"",SUMIFS($N$3:$N$3002,$E$3:$E$3002,$E899,$C$3:$C$3002,"&lt;&gt;U",$S$3:$S$3002,Calc!$F$2))</f>
        <v/>
      </c>
      <c r="Q899" s="35" t="str">
        <f aca="false">IF(OR($A899="",$C899="U",$S899&lt;&gt;Calc!$F$2),"",IF(COUNTIFS($E$3:$E899,$E899,$C$3:$C899,"&lt;&gt;U",$S$3:$S899,Calc!$F$2)=1,1,0))</f>
        <v/>
      </c>
      <c r="R899" s="35" t="str">
        <f aca="false">IF($Q899=1,$O899-ROW()/100000,"")</f>
        <v/>
      </c>
      <c r="S899" s="37" t="str">
        <f aca="false">IF($A899="","",INT($A899))</f>
        <v/>
      </c>
      <c r="T899" s="35" t="str">
        <f aca="false">IF($A899="","",IF(COUNTIFS($S$3:$S899,$S899)=1,1,0))</f>
        <v/>
      </c>
      <c r="U899" s="37" t="str">
        <f aca="false">IF($T899=1,$S899,"")</f>
        <v/>
      </c>
    </row>
    <row r="900" customFormat="false" ht="15" hidden="false" customHeight="false" outlineLevel="0" collapsed="false">
      <c r="M900" s="35" t="str">
        <f aca="false">IF($A900="","",HOUR($A900))</f>
        <v/>
      </c>
      <c r="N900" s="36" t="str">
        <f aca="false">IF($A900="","",$I900*$K900)</f>
        <v/>
      </c>
      <c r="O900" s="35" t="str">
        <f aca="false">IF(OR($A900="",$C900="U",$S900&lt;&gt;Calc!$F$2),"",SUMIFS($I$3:$I$3002,$E$3:$E$3002,$E900,$C$3:$C$3002,"&lt;&gt;U",$S$3:$S$3002,Calc!$F$2))</f>
        <v/>
      </c>
      <c r="P900" s="35" t="str">
        <f aca="false">IF(OR($A900="",$C900="U",$S900&lt;&gt;Calc!$F$2),"",SUMIFS($N$3:$N$3002,$E$3:$E$3002,$E900,$C$3:$C$3002,"&lt;&gt;U",$S$3:$S$3002,Calc!$F$2))</f>
        <v/>
      </c>
      <c r="Q900" s="35" t="str">
        <f aca="false">IF(OR($A900="",$C900="U",$S900&lt;&gt;Calc!$F$2),"",IF(COUNTIFS($E$3:$E900,$E900,$C$3:$C900,"&lt;&gt;U",$S$3:$S900,Calc!$F$2)=1,1,0))</f>
        <v/>
      </c>
      <c r="R900" s="35" t="str">
        <f aca="false">IF($Q900=1,$O900-ROW()/100000,"")</f>
        <v/>
      </c>
      <c r="S900" s="37" t="str">
        <f aca="false">IF($A900="","",INT($A900))</f>
        <v/>
      </c>
      <c r="T900" s="35" t="str">
        <f aca="false">IF($A900="","",IF(COUNTIFS($S$3:$S900,$S900)=1,1,0))</f>
        <v/>
      </c>
      <c r="U900" s="37" t="str">
        <f aca="false">IF($T900=1,$S900,"")</f>
        <v/>
      </c>
    </row>
    <row r="901" customFormat="false" ht="15" hidden="false" customHeight="false" outlineLevel="0" collapsed="false">
      <c r="M901" s="35" t="str">
        <f aca="false">IF($A901="","",HOUR($A901))</f>
        <v/>
      </c>
      <c r="N901" s="36" t="str">
        <f aca="false">IF($A901="","",$I901*$K901)</f>
        <v/>
      </c>
      <c r="O901" s="35" t="str">
        <f aca="false">IF(OR($A901="",$C901="U",$S901&lt;&gt;Calc!$F$2),"",SUMIFS($I$3:$I$3002,$E$3:$E$3002,$E901,$C$3:$C$3002,"&lt;&gt;U",$S$3:$S$3002,Calc!$F$2))</f>
        <v/>
      </c>
      <c r="P901" s="35" t="str">
        <f aca="false">IF(OR($A901="",$C901="U",$S901&lt;&gt;Calc!$F$2),"",SUMIFS($N$3:$N$3002,$E$3:$E$3002,$E901,$C$3:$C$3002,"&lt;&gt;U",$S$3:$S$3002,Calc!$F$2))</f>
        <v/>
      </c>
      <c r="Q901" s="35" t="str">
        <f aca="false">IF(OR($A901="",$C901="U",$S901&lt;&gt;Calc!$F$2),"",IF(COUNTIFS($E$3:$E901,$E901,$C$3:$C901,"&lt;&gt;U",$S$3:$S901,Calc!$F$2)=1,1,0))</f>
        <v/>
      </c>
      <c r="R901" s="35" t="str">
        <f aca="false">IF($Q901=1,$O901-ROW()/100000,"")</f>
        <v/>
      </c>
      <c r="S901" s="37" t="str">
        <f aca="false">IF($A901="","",INT($A901))</f>
        <v/>
      </c>
      <c r="T901" s="35" t="str">
        <f aca="false">IF($A901="","",IF(COUNTIFS($S$3:$S901,$S901)=1,1,0))</f>
        <v/>
      </c>
      <c r="U901" s="37" t="str">
        <f aca="false">IF($T901=1,$S901,"")</f>
        <v/>
      </c>
    </row>
    <row r="902" customFormat="false" ht="15" hidden="false" customHeight="false" outlineLevel="0" collapsed="false">
      <c r="M902" s="35" t="str">
        <f aca="false">IF($A902="","",HOUR($A902))</f>
        <v/>
      </c>
      <c r="N902" s="36" t="str">
        <f aca="false">IF($A902="","",$I902*$K902)</f>
        <v/>
      </c>
      <c r="O902" s="35" t="str">
        <f aca="false">IF(OR($A902="",$C902="U",$S902&lt;&gt;Calc!$F$2),"",SUMIFS($I$3:$I$3002,$E$3:$E$3002,$E902,$C$3:$C$3002,"&lt;&gt;U",$S$3:$S$3002,Calc!$F$2))</f>
        <v/>
      </c>
      <c r="P902" s="35" t="str">
        <f aca="false">IF(OR($A902="",$C902="U",$S902&lt;&gt;Calc!$F$2),"",SUMIFS($N$3:$N$3002,$E$3:$E$3002,$E902,$C$3:$C$3002,"&lt;&gt;U",$S$3:$S$3002,Calc!$F$2))</f>
        <v/>
      </c>
      <c r="Q902" s="35" t="str">
        <f aca="false">IF(OR($A902="",$C902="U",$S902&lt;&gt;Calc!$F$2),"",IF(COUNTIFS($E$3:$E902,$E902,$C$3:$C902,"&lt;&gt;U",$S$3:$S902,Calc!$F$2)=1,1,0))</f>
        <v/>
      </c>
      <c r="R902" s="35" t="str">
        <f aca="false">IF($Q902=1,$O902-ROW()/100000,"")</f>
        <v/>
      </c>
      <c r="S902" s="37" t="str">
        <f aca="false">IF($A902="","",INT($A902))</f>
        <v/>
      </c>
      <c r="T902" s="35" t="str">
        <f aca="false">IF($A902="","",IF(COUNTIFS($S$3:$S902,$S902)=1,1,0))</f>
        <v/>
      </c>
      <c r="U902" s="37" t="str">
        <f aca="false">IF($T902=1,$S902,"")</f>
        <v/>
      </c>
    </row>
    <row r="903" customFormat="false" ht="15" hidden="false" customHeight="false" outlineLevel="0" collapsed="false">
      <c r="M903" s="35" t="str">
        <f aca="false">IF($A903="","",HOUR($A903))</f>
        <v/>
      </c>
      <c r="N903" s="36" t="str">
        <f aca="false">IF($A903="","",$I903*$K903)</f>
        <v/>
      </c>
      <c r="O903" s="35" t="str">
        <f aca="false">IF(OR($A903="",$C903="U",$S903&lt;&gt;Calc!$F$2),"",SUMIFS($I$3:$I$3002,$E$3:$E$3002,$E903,$C$3:$C$3002,"&lt;&gt;U",$S$3:$S$3002,Calc!$F$2))</f>
        <v/>
      </c>
      <c r="P903" s="35" t="str">
        <f aca="false">IF(OR($A903="",$C903="U",$S903&lt;&gt;Calc!$F$2),"",SUMIFS($N$3:$N$3002,$E$3:$E$3002,$E903,$C$3:$C$3002,"&lt;&gt;U",$S$3:$S$3002,Calc!$F$2))</f>
        <v/>
      </c>
      <c r="Q903" s="35" t="str">
        <f aca="false">IF(OR($A903="",$C903="U",$S903&lt;&gt;Calc!$F$2),"",IF(COUNTIFS($E$3:$E903,$E903,$C$3:$C903,"&lt;&gt;U",$S$3:$S903,Calc!$F$2)=1,1,0))</f>
        <v/>
      </c>
      <c r="R903" s="35" t="str">
        <f aca="false">IF($Q903=1,$O903-ROW()/100000,"")</f>
        <v/>
      </c>
      <c r="S903" s="37" t="str">
        <f aca="false">IF($A903="","",INT($A903))</f>
        <v/>
      </c>
      <c r="T903" s="35" t="str">
        <f aca="false">IF($A903="","",IF(COUNTIFS($S$3:$S903,$S903)=1,1,0))</f>
        <v/>
      </c>
      <c r="U903" s="37" t="str">
        <f aca="false">IF($T903=1,$S903,"")</f>
        <v/>
      </c>
    </row>
    <row r="904" customFormat="false" ht="15" hidden="false" customHeight="false" outlineLevel="0" collapsed="false">
      <c r="M904" s="35" t="str">
        <f aca="false">IF($A904="","",HOUR($A904))</f>
        <v/>
      </c>
      <c r="N904" s="36" t="str">
        <f aca="false">IF($A904="","",$I904*$K904)</f>
        <v/>
      </c>
      <c r="O904" s="35" t="str">
        <f aca="false">IF(OR($A904="",$C904="U",$S904&lt;&gt;Calc!$F$2),"",SUMIFS($I$3:$I$3002,$E$3:$E$3002,$E904,$C$3:$C$3002,"&lt;&gt;U",$S$3:$S$3002,Calc!$F$2))</f>
        <v/>
      </c>
      <c r="P904" s="35" t="str">
        <f aca="false">IF(OR($A904="",$C904="U",$S904&lt;&gt;Calc!$F$2),"",SUMIFS($N$3:$N$3002,$E$3:$E$3002,$E904,$C$3:$C$3002,"&lt;&gt;U",$S$3:$S$3002,Calc!$F$2))</f>
        <v/>
      </c>
      <c r="Q904" s="35" t="str">
        <f aca="false">IF(OR($A904="",$C904="U",$S904&lt;&gt;Calc!$F$2),"",IF(COUNTIFS($E$3:$E904,$E904,$C$3:$C904,"&lt;&gt;U",$S$3:$S904,Calc!$F$2)=1,1,0))</f>
        <v/>
      </c>
      <c r="R904" s="35" t="str">
        <f aca="false">IF($Q904=1,$O904-ROW()/100000,"")</f>
        <v/>
      </c>
      <c r="S904" s="37" t="str">
        <f aca="false">IF($A904="","",INT($A904))</f>
        <v/>
      </c>
      <c r="T904" s="35" t="str">
        <f aca="false">IF($A904="","",IF(COUNTIFS($S$3:$S904,$S904)=1,1,0))</f>
        <v/>
      </c>
      <c r="U904" s="37" t="str">
        <f aca="false">IF($T904=1,$S904,"")</f>
        <v/>
      </c>
    </row>
    <row r="905" customFormat="false" ht="15" hidden="false" customHeight="false" outlineLevel="0" collapsed="false">
      <c r="M905" s="35" t="str">
        <f aca="false">IF($A905="","",HOUR($A905))</f>
        <v/>
      </c>
      <c r="N905" s="36" t="str">
        <f aca="false">IF($A905="","",$I905*$K905)</f>
        <v/>
      </c>
      <c r="O905" s="35" t="str">
        <f aca="false">IF(OR($A905="",$C905="U",$S905&lt;&gt;Calc!$F$2),"",SUMIFS($I$3:$I$3002,$E$3:$E$3002,$E905,$C$3:$C$3002,"&lt;&gt;U",$S$3:$S$3002,Calc!$F$2))</f>
        <v/>
      </c>
      <c r="P905" s="35" t="str">
        <f aca="false">IF(OR($A905="",$C905="U",$S905&lt;&gt;Calc!$F$2),"",SUMIFS($N$3:$N$3002,$E$3:$E$3002,$E905,$C$3:$C$3002,"&lt;&gt;U",$S$3:$S$3002,Calc!$F$2))</f>
        <v/>
      </c>
      <c r="Q905" s="35" t="str">
        <f aca="false">IF(OR($A905="",$C905="U",$S905&lt;&gt;Calc!$F$2),"",IF(COUNTIFS($E$3:$E905,$E905,$C$3:$C905,"&lt;&gt;U",$S$3:$S905,Calc!$F$2)=1,1,0))</f>
        <v/>
      </c>
      <c r="R905" s="35" t="str">
        <f aca="false">IF($Q905=1,$O905-ROW()/100000,"")</f>
        <v/>
      </c>
      <c r="S905" s="37" t="str">
        <f aca="false">IF($A905="","",INT($A905))</f>
        <v/>
      </c>
      <c r="T905" s="35" t="str">
        <f aca="false">IF($A905="","",IF(COUNTIFS($S$3:$S905,$S905)=1,1,0))</f>
        <v/>
      </c>
      <c r="U905" s="37" t="str">
        <f aca="false">IF($T905=1,$S905,"")</f>
        <v/>
      </c>
    </row>
    <row r="906" customFormat="false" ht="15" hidden="false" customHeight="false" outlineLevel="0" collapsed="false">
      <c r="M906" s="35" t="str">
        <f aca="false">IF($A906="","",HOUR($A906))</f>
        <v/>
      </c>
      <c r="N906" s="36" t="str">
        <f aca="false">IF($A906="","",$I906*$K906)</f>
        <v/>
      </c>
      <c r="O906" s="35" t="str">
        <f aca="false">IF(OR($A906="",$C906="U",$S906&lt;&gt;Calc!$F$2),"",SUMIFS($I$3:$I$3002,$E$3:$E$3002,$E906,$C$3:$C$3002,"&lt;&gt;U",$S$3:$S$3002,Calc!$F$2))</f>
        <v/>
      </c>
      <c r="P906" s="35" t="str">
        <f aca="false">IF(OR($A906="",$C906="U",$S906&lt;&gt;Calc!$F$2),"",SUMIFS($N$3:$N$3002,$E$3:$E$3002,$E906,$C$3:$C$3002,"&lt;&gt;U",$S$3:$S$3002,Calc!$F$2))</f>
        <v/>
      </c>
      <c r="Q906" s="35" t="str">
        <f aca="false">IF(OR($A906="",$C906="U",$S906&lt;&gt;Calc!$F$2),"",IF(COUNTIFS($E$3:$E906,$E906,$C$3:$C906,"&lt;&gt;U",$S$3:$S906,Calc!$F$2)=1,1,0))</f>
        <v/>
      </c>
      <c r="R906" s="35" t="str">
        <f aca="false">IF($Q906=1,$O906-ROW()/100000,"")</f>
        <v/>
      </c>
      <c r="S906" s="37" t="str">
        <f aca="false">IF($A906="","",INT($A906))</f>
        <v/>
      </c>
      <c r="T906" s="35" t="str">
        <f aca="false">IF($A906="","",IF(COUNTIFS($S$3:$S906,$S906)=1,1,0))</f>
        <v/>
      </c>
      <c r="U906" s="37" t="str">
        <f aca="false">IF($T906=1,$S906,"")</f>
        <v/>
      </c>
    </row>
    <row r="907" customFormat="false" ht="15" hidden="false" customHeight="false" outlineLevel="0" collapsed="false">
      <c r="M907" s="35" t="str">
        <f aca="false">IF($A907="","",HOUR($A907))</f>
        <v/>
      </c>
      <c r="N907" s="36" t="str">
        <f aca="false">IF($A907="","",$I907*$K907)</f>
        <v/>
      </c>
      <c r="O907" s="35" t="str">
        <f aca="false">IF(OR($A907="",$C907="U",$S907&lt;&gt;Calc!$F$2),"",SUMIFS($I$3:$I$3002,$E$3:$E$3002,$E907,$C$3:$C$3002,"&lt;&gt;U",$S$3:$S$3002,Calc!$F$2))</f>
        <v/>
      </c>
      <c r="P907" s="35" t="str">
        <f aca="false">IF(OR($A907="",$C907="U",$S907&lt;&gt;Calc!$F$2),"",SUMIFS($N$3:$N$3002,$E$3:$E$3002,$E907,$C$3:$C$3002,"&lt;&gt;U",$S$3:$S$3002,Calc!$F$2))</f>
        <v/>
      </c>
      <c r="Q907" s="35" t="str">
        <f aca="false">IF(OR($A907="",$C907="U",$S907&lt;&gt;Calc!$F$2),"",IF(COUNTIFS($E$3:$E907,$E907,$C$3:$C907,"&lt;&gt;U",$S$3:$S907,Calc!$F$2)=1,1,0))</f>
        <v/>
      </c>
      <c r="R907" s="35" t="str">
        <f aca="false">IF($Q907=1,$O907-ROW()/100000,"")</f>
        <v/>
      </c>
      <c r="S907" s="37" t="str">
        <f aca="false">IF($A907="","",INT($A907))</f>
        <v/>
      </c>
      <c r="T907" s="35" t="str">
        <f aca="false">IF($A907="","",IF(COUNTIFS($S$3:$S907,$S907)=1,1,0))</f>
        <v/>
      </c>
      <c r="U907" s="37" t="str">
        <f aca="false">IF($T907=1,$S907,"")</f>
        <v/>
      </c>
    </row>
    <row r="908" customFormat="false" ht="15" hidden="false" customHeight="false" outlineLevel="0" collapsed="false">
      <c r="M908" s="35" t="str">
        <f aca="false">IF($A908="","",HOUR($A908))</f>
        <v/>
      </c>
      <c r="N908" s="36" t="str">
        <f aca="false">IF($A908="","",$I908*$K908)</f>
        <v/>
      </c>
      <c r="O908" s="35" t="str">
        <f aca="false">IF(OR($A908="",$C908="U",$S908&lt;&gt;Calc!$F$2),"",SUMIFS($I$3:$I$3002,$E$3:$E$3002,$E908,$C$3:$C$3002,"&lt;&gt;U",$S$3:$S$3002,Calc!$F$2))</f>
        <v/>
      </c>
      <c r="P908" s="35" t="str">
        <f aca="false">IF(OR($A908="",$C908="U",$S908&lt;&gt;Calc!$F$2),"",SUMIFS($N$3:$N$3002,$E$3:$E$3002,$E908,$C$3:$C$3002,"&lt;&gt;U",$S$3:$S$3002,Calc!$F$2))</f>
        <v/>
      </c>
      <c r="Q908" s="35" t="str">
        <f aca="false">IF(OR($A908="",$C908="U",$S908&lt;&gt;Calc!$F$2),"",IF(COUNTIFS($E$3:$E908,$E908,$C$3:$C908,"&lt;&gt;U",$S$3:$S908,Calc!$F$2)=1,1,0))</f>
        <v/>
      </c>
      <c r="R908" s="35" t="str">
        <f aca="false">IF($Q908=1,$O908-ROW()/100000,"")</f>
        <v/>
      </c>
      <c r="S908" s="37" t="str">
        <f aca="false">IF($A908="","",INT($A908))</f>
        <v/>
      </c>
      <c r="T908" s="35" t="str">
        <f aca="false">IF($A908="","",IF(COUNTIFS($S$3:$S908,$S908)=1,1,0))</f>
        <v/>
      </c>
      <c r="U908" s="37" t="str">
        <f aca="false">IF($T908=1,$S908,"")</f>
        <v/>
      </c>
    </row>
    <row r="909" customFormat="false" ht="15" hidden="false" customHeight="false" outlineLevel="0" collapsed="false">
      <c r="M909" s="35" t="str">
        <f aca="false">IF($A909="","",HOUR($A909))</f>
        <v/>
      </c>
      <c r="N909" s="36" t="str">
        <f aca="false">IF($A909="","",$I909*$K909)</f>
        <v/>
      </c>
      <c r="O909" s="35" t="str">
        <f aca="false">IF(OR($A909="",$C909="U",$S909&lt;&gt;Calc!$F$2),"",SUMIFS($I$3:$I$3002,$E$3:$E$3002,$E909,$C$3:$C$3002,"&lt;&gt;U",$S$3:$S$3002,Calc!$F$2))</f>
        <v/>
      </c>
      <c r="P909" s="35" t="str">
        <f aca="false">IF(OR($A909="",$C909="U",$S909&lt;&gt;Calc!$F$2),"",SUMIFS($N$3:$N$3002,$E$3:$E$3002,$E909,$C$3:$C$3002,"&lt;&gt;U",$S$3:$S$3002,Calc!$F$2))</f>
        <v/>
      </c>
      <c r="Q909" s="35" t="str">
        <f aca="false">IF(OR($A909="",$C909="U",$S909&lt;&gt;Calc!$F$2),"",IF(COUNTIFS($E$3:$E909,$E909,$C$3:$C909,"&lt;&gt;U",$S$3:$S909,Calc!$F$2)=1,1,0))</f>
        <v/>
      </c>
      <c r="R909" s="35" t="str">
        <f aca="false">IF($Q909=1,$O909-ROW()/100000,"")</f>
        <v/>
      </c>
      <c r="S909" s="37" t="str">
        <f aca="false">IF($A909="","",INT($A909))</f>
        <v/>
      </c>
      <c r="T909" s="35" t="str">
        <f aca="false">IF($A909="","",IF(COUNTIFS($S$3:$S909,$S909)=1,1,0))</f>
        <v/>
      </c>
      <c r="U909" s="37" t="str">
        <f aca="false">IF($T909=1,$S909,"")</f>
        <v/>
      </c>
    </row>
    <row r="910" customFormat="false" ht="15" hidden="false" customHeight="false" outlineLevel="0" collapsed="false">
      <c r="M910" s="35" t="str">
        <f aca="false">IF($A910="","",HOUR($A910))</f>
        <v/>
      </c>
      <c r="N910" s="36" t="str">
        <f aca="false">IF($A910="","",$I910*$K910)</f>
        <v/>
      </c>
      <c r="O910" s="35" t="str">
        <f aca="false">IF(OR($A910="",$C910="U",$S910&lt;&gt;Calc!$F$2),"",SUMIFS($I$3:$I$3002,$E$3:$E$3002,$E910,$C$3:$C$3002,"&lt;&gt;U",$S$3:$S$3002,Calc!$F$2))</f>
        <v/>
      </c>
      <c r="P910" s="35" t="str">
        <f aca="false">IF(OR($A910="",$C910="U",$S910&lt;&gt;Calc!$F$2),"",SUMIFS($N$3:$N$3002,$E$3:$E$3002,$E910,$C$3:$C$3002,"&lt;&gt;U",$S$3:$S$3002,Calc!$F$2))</f>
        <v/>
      </c>
      <c r="Q910" s="35" t="str">
        <f aca="false">IF(OR($A910="",$C910="U",$S910&lt;&gt;Calc!$F$2),"",IF(COUNTIFS($E$3:$E910,$E910,$C$3:$C910,"&lt;&gt;U",$S$3:$S910,Calc!$F$2)=1,1,0))</f>
        <v/>
      </c>
      <c r="R910" s="35" t="str">
        <f aca="false">IF($Q910=1,$O910-ROW()/100000,"")</f>
        <v/>
      </c>
      <c r="S910" s="37" t="str">
        <f aca="false">IF($A910="","",INT($A910))</f>
        <v/>
      </c>
      <c r="T910" s="35" t="str">
        <f aca="false">IF($A910="","",IF(COUNTIFS($S$3:$S910,$S910)=1,1,0))</f>
        <v/>
      </c>
      <c r="U910" s="37" t="str">
        <f aca="false">IF($T910=1,$S910,"")</f>
        <v/>
      </c>
    </row>
    <row r="911" customFormat="false" ht="15" hidden="false" customHeight="false" outlineLevel="0" collapsed="false">
      <c r="M911" s="35" t="str">
        <f aca="false">IF($A911="","",HOUR($A911))</f>
        <v/>
      </c>
      <c r="N911" s="36" t="str">
        <f aca="false">IF($A911="","",$I911*$K911)</f>
        <v/>
      </c>
      <c r="O911" s="35" t="str">
        <f aca="false">IF(OR($A911="",$C911="U",$S911&lt;&gt;Calc!$F$2),"",SUMIFS($I$3:$I$3002,$E$3:$E$3002,$E911,$C$3:$C$3002,"&lt;&gt;U",$S$3:$S$3002,Calc!$F$2))</f>
        <v/>
      </c>
      <c r="P911" s="35" t="str">
        <f aca="false">IF(OR($A911="",$C911="U",$S911&lt;&gt;Calc!$F$2),"",SUMIFS($N$3:$N$3002,$E$3:$E$3002,$E911,$C$3:$C$3002,"&lt;&gt;U",$S$3:$S$3002,Calc!$F$2))</f>
        <v/>
      </c>
      <c r="Q911" s="35" t="str">
        <f aca="false">IF(OR($A911="",$C911="U",$S911&lt;&gt;Calc!$F$2),"",IF(COUNTIFS($E$3:$E911,$E911,$C$3:$C911,"&lt;&gt;U",$S$3:$S911,Calc!$F$2)=1,1,0))</f>
        <v/>
      </c>
      <c r="R911" s="35" t="str">
        <f aca="false">IF($Q911=1,$O911-ROW()/100000,"")</f>
        <v/>
      </c>
      <c r="S911" s="37" t="str">
        <f aca="false">IF($A911="","",INT($A911))</f>
        <v/>
      </c>
      <c r="T911" s="35" t="str">
        <f aca="false">IF($A911="","",IF(COUNTIFS($S$3:$S911,$S911)=1,1,0))</f>
        <v/>
      </c>
      <c r="U911" s="37" t="str">
        <f aca="false">IF($T911=1,$S911,"")</f>
        <v/>
      </c>
    </row>
    <row r="912" customFormat="false" ht="15" hidden="false" customHeight="false" outlineLevel="0" collapsed="false">
      <c r="M912" s="35" t="str">
        <f aca="false">IF($A912="","",HOUR($A912))</f>
        <v/>
      </c>
      <c r="N912" s="36" t="str">
        <f aca="false">IF($A912="","",$I912*$K912)</f>
        <v/>
      </c>
      <c r="O912" s="35" t="str">
        <f aca="false">IF(OR($A912="",$C912="U",$S912&lt;&gt;Calc!$F$2),"",SUMIFS($I$3:$I$3002,$E$3:$E$3002,$E912,$C$3:$C$3002,"&lt;&gt;U",$S$3:$S$3002,Calc!$F$2))</f>
        <v/>
      </c>
      <c r="P912" s="35" t="str">
        <f aca="false">IF(OR($A912="",$C912="U",$S912&lt;&gt;Calc!$F$2),"",SUMIFS($N$3:$N$3002,$E$3:$E$3002,$E912,$C$3:$C$3002,"&lt;&gt;U",$S$3:$S$3002,Calc!$F$2))</f>
        <v/>
      </c>
      <c r="Q912" s="35" t="str">
        <f aca="false">IF(OR($A912="",$C912="U",$S912&lt;&gt;Calc!$F$2),"",IF(COUNTIFS($E$3:$E912,$E912,$C$3:$C912,"&lt;&gt;U",$S$3:$S912,Calc!$F$2)=1,1,0))</f>
        <v/>
      </c>
      <c r="R912" s="35" t="str">
        <f aca="false">IF($Q912=1,$O912-ROW()/100000,"")</f>
        <v/>
      </c>
      <c r="S912" s="37" t="str">
        <f aca="false">IF($A912="","",INT($A912))</f>
        <v/>
      </c>
      <c r="T912" s="35" t="str">
        <f aca="false">IF($A912="","",IF(COUNTIFS($S$3:$S912,$S912)=1,1,0))</f>
        <v/>
      </c>
      <c r="U912" s="37" t="str">
        <f aca="false">IF($T912=1,$S912,"")</f>
        <v/>
      </c>
    </row>
    <row r="913" customFormat="false" ht="15" hidden="false" customHeight="false" outlineLevel="0" collapsed="false">
      <c r="M913" s="35" t="str">
        <f aca="false">IF($A913="","",HOUR($A913))</f>
        <v/>
      </c>
      <c r="N913" s="36" t="str">
        <f aca="false">IF($A913="","",$I913*$K913)</f>
        <v/>
      </c>
      <c r="O913" s="35" t="str">
        <f aca="false">IF(OR($A913="",$C913="U",$S913&lt;&gt;Calc!$F$2),"",SUMIFS($I$3:$I$3002,$E$3:$E$3002,$E913,$C$3:$C$3002,"&lt;&gt;U",$S$3:$S$3002,Calc!$F$2))</f>
        <v/>
      </c>
      <c r="P913" s="35" t="str">
        <f aca="false">IF(OR($A913="",$C913="U",$S913&lt;&gt;Calc!$F$2),"",SUMIFS($N$3:$N$3002,$E$3:$E$3002,$E913,$C$3:$C$3002,"&lt;&gt;U",$S$3:$S$3002,Calc!$F$2))</f>
        <v/>
      </c>
      <c r="Q913" s="35" t="str">
        <f aca="false">IF(OR($A913="",$C913="U",$S913&lt;&gt;Calc!$F$2),"",IF(COUNTIFS($E$3:$E913,$E913,$C$3:$C913,"&lt;&gt;U",$S$3:$S913,Calc!$F$2)=1,1,0))</f>
        <v/>
      </c>
      <c r="R913" s="35" t="str">
        <f aca="false">IF($Q913=1,$O913-ROW()/100000,"")</f>
        <v/>
      </c>
      <c r="S913" s="37" t="str">
        <f aca="false">IF($A913="","",INT($A913))</f>
        <v/>
      </c>
      <c r="T913" s="35" t="str">
        <f aca="false">IF($A913="","",IF(COUNTIFS($S$3:$S913,$S913)=1,1,0))</f>
        <v/>
      </c>
      <c r="U913" s="37" t="str">
        <f aca="false">IF($T913=1,$S913,"")</f>
        <v/>
      </c>
    </row>
    <row r="914" customFormat="false" ht="15" hidden="false" customHeight="false" outlineLevel="0" collapsed="false">
      <c r="M914" s="35" t="str">
        <f aca="false">IF($A914="","",HOUR($A914))</f>
        <v/>
      </c>
      <c r="N914" s="36" t="str">
        <f aca="false">IF($A914="","",$I914*$K914)</f>
        <v/>
      </c>
      <c r="O914" s="35" t="str">
        <f aca="false">IF(OR($A914="",$C914="U",$S914&lt;&gt;Calc!$F$2),"",SUMIFS($I$3:$I$3002,$E$3:$E$3002,$E914,$C$3:$C$3002,"&lt;&gt;U",$S$3:$S$3002,Calc!$F$2))</f>
        <v/>
      </c>
      <c r="P914" s="35" t="str">
        <f aca="false">IF(OR($A914="",$C914="U",$S914&lt;&gt;Calc!$F$2),"",SUMIFS($N$3:$N$3002,$E$3:$E$3002,$E914,$C$3:$C$3002,"&lt;&gt;U",$S$3:$S$3002,Calc!$F$2))</f>
        <v/>
      </c>
      <c r="Q914" s="35" t="str">
        <f aca="false">IF(OR($A914="",$C914="U",$S914&lt;&gt;Calc!$F$2),"",IF(COUNTIFS($E$3:$E914,$E914,$C$3:$C914,"&lt;&gt;U",$S$3:$S914,Calc!$F$2)=1,1,0))</f>
        <v/>
      </c>
      <c r="R914" s="35" t="str">
        <f aca="false">IF($Q914=1,$O914-ROW()/100000,"")</f>
        <v/>
      </c>
      <c r="S914" s="37" t="str">
        <f aca="false">IF($A914="","",INT($A914))</f>
        <v/>
      </c>
      <c r="T914" s="35" t="str">
        <f aca="false">IF($A914="","",IF(COUNTIFS($S$3:$S914,$S914)=1,1,0))</f>
        <v/>
      </c>
      <c r="U914" s="37" t="str">
        <f aca="false">IF($T914=1,$S914,"")</f>
        <v/>
      </c>
    </row>
    <row r="915" customFormat="false" ht="15" hidden="false" customHeight="false" outlineLevel="0" collapsed="false">
      <c r="M915" s="35" t="str">
        <f aca="false">IF($A915="","",HOUR($A915))</f>
        <v/>
      </c>
      <c r="N915" s="36" t="str">
        <f aca="false">IF($A915="","",$I915*$K915)</f>
        <v/>
      </c>
      <c r="O915" s="35" t="str">
        <f aca="false">IF(OR($A915="",$C915="U",$S915&lt;&gt;Calc!$F$2),"",SUMIFS($I$3:$I$3002,$E$3:$E$3002,$E915,$C$3:$C$3002,"&lt;&gt;U",$S$3:$S$3002,Calc!$F$2))</f>
        <v/>
      </c>
      <c r="P915" s="35" t="str">
        <f aca="false">IF(OR($A915="",$C915="U",$S915&lt;&gt;Calc!$F$2),"",SUMIFS($N$3:$N$3002,$E$3:$E$3002,$E915,$C$3:$C$3002,"&lt;&gt;U",$S$3:$S$3002,Calc!$F$2))</f>
        <v/>
      </c>
      <c r="Q915" s="35" t="str">
        <f aca="false">IF(OR($A915="",$C915="U",$S915&lt;&gt;Calc!$F$2),"",IF(COUNTIFS($E$3:$E915,$E915,$C$3:$C915,"&lt;&gt;U",$S$3:$S915,Calc!$F$2)=1,1,0))</f>
        <v/>
      </c>
      <c r="R915" s="35" t="str">
        <f aca="false">IF($Q915=1,$O915-ROW()/100000,"")</f>
        <v/>
      </c>
      <c r="S915" s="37" t="str">
        <f aca="false">IF($A915="","",INT($A915))</f>
        <v/>
      </c>
      <c r="T915" s="35" t="str">
        <f aca="false">IF($A915="","",IF(COUNTIFS($S$3:$S915,$S915)=1,1,0))</f>
        <v/>
      </c>
      <c r="U915" s="37" t="str">
        <f aca="false">IF($T915=1,$S915,"")</f>
        <v/>
      </c>
    </row>
    <row r="916" customFormat="false" ht="15" hidden="false" customHeight="false" outlineLevel="0" collapsed="false">
      <c r="M916" s="35" t="str">
        <f aca="false">IF($A916="","",HOUR($A916))</f>
        <v/>
      </c>
      <c r="N916" s="36" t="str">
        <f aca="false">IF($A916="","",$I916*$K916)</f>
        <v/>
      </c>
      <c r="O916" s="35" t="str">
        <f aca="false">IF(OR($A916="",$C916="U",$S916&lt;&gt;Calc!$F$2),"",SUMIFS($I$3:$I$3002,$E$3:$E$3002,$E916,$C$3:$C$3002,"&lt;&gt;U",$S$3:$S$3002,Calc!$F$2))</f>
        <v/>
      </c>
      <c r="P916" s="35" t="str">
        <f aca="false">IF(OR($A916="",$C916="U",$S916&lt;&gt;Calc!$F$2),"",SUMIFS($N$3:$N$3002,$E$3:$E$3002,$E916,$C$3:$C$3002,"&lt;&gt;U",$S$3:$S$3002,Calc!$F$2))</f>
        <v/>
      </c>
      <c r="Q916" s="35" t="str">
        <f aca="false">IF(OR($A916="",$C916="U",$S916&lt;&gt;Calc!$F$2),"",IF(COUNTIFS($E$3:$E916,$E916,$C$3:$C916,"&lt;&gt;U",$S$3:$S916,Calc!$F$2)=1,1,0))</f>
        <v/>
      </c>
      <c r="R916" s="35" t="str">
        <f aca="false">IF($Q916=1,$O916-ROW()/100000,"")</f>
        <v/>
      </c>
      <c r="S916" s="37" t="str">
        <f aca="false">IF($A916="","",INT($A916))</f>
        <v/>
      </c>
      <c r="T916" s="35" t="str">
        <f aca="false">IF($A916="","",IF(COUNTIFS($S$3:$S916,$S916)=1,1,0))</f>
        <v/>
      </c>
      <c r="U916" s="37" t="str">
        <f aca="false">IF($T916=1,$S916,"")</f>
        <v/>
      </c>
    </row>
    <row r="917" customFormat="false" ht="15" hidden="false" customHeight="false" outlineLevel="0" collapsed="false">
      <c r="M917" s="35" t="str">
        <f aca="false">IF($A917="","",HOUR($A917))</f>
        <v/>
      </c>
      <c r="N917" s="36" t="str">
        <f aca="false">IF($A917="","",$I917*$K917)</f>
        <v/>
      </c>
      <c r="O917" s="35" t="str">
        <f aca="false">IF(OR($A917="",$C917="U",$S917&lt;&gt;Calc!$F$2),"",SUMIFS($I$3:$I$3002,$E$3:$E$3002,$E917,$C$3:$C$3002,"&lt;&gt;U",$S$3:$S$3002,Calc!$F$2))</f>
        <v/>
      </c>
      <c r="P917" s="35" t="str">
        <f aca="false">IF(OR($A917="",$C917="U",$S917&lt;&gt;Calc!$F$2),"",SUMIFS($N$3:$N$3002,$E$3:$E$3002,$E917,$C$3:$C$3002,"&lt;&gt;U",$S$3:$S$3002,Calc!$F$2))</f>
        <v/>
      </c>
      <c r="Q917" s="35" t="str">
        <f aca="false">IF(OR($A917="",$C917="U",$S917&lt;&gt;Calc!$F$2),"",IF(COUNTIFS($E$3:$E917,$E917,$C$3:$C917,"&lt;&gt;U",$S$3:$S917,Calc!$F$2)=1,1,0))</f>
        <v/>
      </c>
      <c r="R917" s="35" t="str">
        <f aca="false">IF($Q917=1,$O917-ROW()/100000,"")</f>
        <v/>
      </c>
      <c r="S917" s="37" t="str">
        <f aca="false">IF($A917="","",INT($A917))</f>
        <v/>
      </c>
      <c r="T917" s="35" t="str">
        <f aca="false">IF($A917="","",IF(COUNTIFS($S$3:$S917,$S917)=1,1,0))</f>
        <v/>
      </c>
      <c r="U917" s="37" t="str">
        <f aca="false">IF($T917=1,$S917,"")</f>
        <v/>
      </c>
    </row>
    <row r="918" customFormat="false" ht="15" hidden="false" customHeight="false" outlineLevel="0" collapsed="false">
      <c r="M918" s="35" t="str">
        <f aca="false">IF($A918="","",HOUR($A918))</f>
        <v/>
      </c>
      <c r="N918" s="36" t="str">
        <f aca="false">IF($A918="","",$I918*$K918)</f>
        <v/>
      </c>
      <c r="O918" s="35" t="str">
        <f aca="false">IF(OR($A918="",$C918="U",$S918&lt;&gt;Calc!$F$2),"",SUMIFS($I$3:$I$3002,$E$3:$E$3002,$E918,$C$3:$C$3002,"&lt;&gt;U",$S$3:$S$3002,Calc!$F$2))</f>
        <v/>
      </c>
      <c r="P918" s="35" t="str">
        <f aca="false">IF(OR($A918="",$C918="U",$S918&lt;&gt;Calc!$F$2),"",SUMIFS($N$3:$N$3002,$E$3:$E$3002,$E918,$C$3:$C$3002,"&lt;&gt;U",$S$3:$S$3002,Calc!$F$2))</f>
        <v/>
      </c>
      <c r="Q918" s="35" t="str">
        <f aca="false">IF(OR($A918="",$C918="U",$S918&lt;&gt;Calc!$F$2),"",IF(COUNTIFS($E$3:$E918,$E918,$C$3:$C918,"&lt;&gt;U",$S$3:$S918,Calc!$F$2)=1,1,0))</f>
        <v/>
      </c>
      <c r="R918" s="35" t="str">
        <f aca="false">IF($Q918=1,$O918-ROW()/100000,"")</f>
        <v/>
      </c>
      <c r="S918" s="37" t="str">
        <f aca="false">IF($A918="","",INT($A918))</f>
        <v/>
      </c>
      <c r="T918" s="35" t="str">
        <f aca="false">IF($A918="","",IF(COUNTIFS($S$3:$S918,$S918)=1,1,0))</f>
        <v/>
      </c>
      <c r="U918" s="37" t="str">
        <f aca="false">IF($T918=1,$S918,"")</f>
        <v/>
      </c>
    </row>
    <row r="919" customFormat="false" ht="15" hidden="false" customHeight="false" outlineLevel="0" collapsed="false">
      <c r="M919" s="35" t="str">
        <f aca="false">IF($A919="","",HOUR($A919))</f>
        <v/>
      </c>
      <c r="N919" s="36" t="str">
        <f aca="false">IF($A919="","",$I919*$K919)</f>
        <v/>
      </c>
      <c r="O919" s="35" t="str">
        <f aca="false">IF(OR($A919="",$C919="U",$S919&lt;&gt;Calc!$F$2),"",SUMIFS($I$3:$I$3002,$E$3:$E$3002,$E919,$C$3:$C$3002,"&lt;&gt;U",$S$3:$S$3002,Calc!$F$2))</f>
        <v/>
      </c>
      <c r="P919" s="35" t="str">
        <f aca="false">IF(OR($A919="",$C919="U",$S919&lt;&gt;Calc!$F$2),"",SUMIFS($N$3:$N$3002,$E$3:$E$3002,$E919,$C$3:$C$3002,"&lt;&gt;U",$S$3:$S$3002,Calc!$F$2))</f>
        <v/>
      </c>
      <c r="Q919" s="35" t="str">
        <f aca="false">IF(OR($A919="",$C919="U",$S919&lt;&gt;Calc!$F$2),"",IF(COUNTIFS($E$3:$E919,$E919,$C$3:$C919,"&lt;&gt;U",$S$3:$S919,Calc!$F$2)=1,1,0))</f>
        <v/>
      </c>
      <c r="R919" s="35" t="str">
        <f aca="false">IF($Q919=1,$O919-ROW()/100000,"")</f>
        <v/>
      </c>
      <c r="S919" s="37" t="str">
        <f aca="false">IF($A919="","",INT($A919))</f>
        <v/>
      </c>
      <c r="T919" s="35" t="str">
        <f aca="false">IF($A919="","",IF(COUNTIFS($S$3:$S919,$S919)=1,1,0))</f>
        <v/>
      </c>
      <c r="U919" s="37" t="str">
        <f aca="false">IF($T919=1,$S919,"")</f>
        <v/>
      </c>
    </row>
    <row r="920" customFormat="false" ht="15" hidden="false" customHeight="false" outlineLevel="0" collapsed="false">
      <c r="M920" s="35" t="str">
        <f aca="false">IF($A920="","",HOUR($A920))</f>
        <v/>
      </c>
      <c r="N920" s="36" t="str">
        <f aca="false">IF($A920="","",$I920*$K920)</f>
        <v/>
      </c>
      <c r="O920" s="35" t="str">
        <f aca="false">IF(OR($A920="",$C920="U",$S920&lt;&gt;Calc!$F$2),"",SUMIFS($I$3:$I$3002,$E$3:$E$3002,$E920,$C$3:$C$3002,"&lt;&gt;U",$S$3:$S$3002,Calc!$F$2))</f>
        <v/>
      </c>
      <c r="P920" s="35" t="str">
        <f aca="false">IF(OR($A920="",$C920="U",$S920&lt;&gt;Calc!$F$2),"",SUMIFS($N$3:$N$3002,$E$3:$E$3002,$E920,$C$3:$C$3002,"&lt;&gt;U",$S$3:$S$3002,Calc!$F$2))</f>
        <v/>
      </c>
      <c r="Q920" s="35" t="str">
        <f aca="false">IF(OR($A920="",$C920="U",$S920&lt;&gt;Calc!$F$2),"",IF(COUNTIFS($E$3:$E920,$E920,$C$3:$C920,"&lt;&gt;U",$S$3:$S920,Calc!$F$2)=1,1,0))</f>
        <v/>
      </c>
      <c r="R920" s="35" t="str">
        <f aca="false">IF($Q920=1,$O920-ROW()/100000,"")</f>
        <v/>
      </c>
      <c r="S920" s="37" t="str">
        <f aca="false">IF($A920="","",INT($A920))</f>
        <v/>
      </c>
      <c r="T920" s="35" t="str">
        <f aca="false">IF($A920="","",IF(COUNTIFS($S$3:$S920,$S920)=1,1,0))</f>
        <v/>
      </c>
      <c r="U920" s="37" t="str">
        <f aca="false">IF($T920=1,$S920,"")</f>
        <v/>
      </c>
    </row>
    <row r="921" customFormat="false" ht="15" hidden="false" customHeight="false" outlineLevel="0" collapsed="false">
      <c r="M921" s="35" t="str">
        <f aca="false">IF($A921="","",HOUR($A921))</f>
        <v/>
      </c>
      <c r="N921" s="36" t="str">
        <f aca="false">IF($A921="","",$I921*$K921)</f>
        <v/>
      </c>
      <c r="O921" s="35" t="str">
        <f aca="false">IF(OR($A921="",$C921="U",$S921&lt;&gt;Calc!$F$2),"",SUMIFS($I$3:$I$3002,$E$3:$E$3002,$E921,$C$3:$C$3002,"&lt;&gt;U",$S$3:$S$3002,Calc!$F$2))</f>
        <v/>
      </c>
      <c r="P921" s="35" t="str">
        <f aca="false">IF(OR($A921="",$C921="U",$S921&lt;&gt;Calc!$F$2),"",SUMIFS($N$3:$N$3002,$E$3:$E$3002,$E921,$C$3:$C$3002,"&lt;&gt;U",$S$3:$S$3002,Calc!$F$2))</f>
        <v/>
      </c>
      <c r="Q921" s="35" t="str">
        <f aca="false">IF(OR($A921="",$C921="U",$S921&lt;&gt;Calc!$F$2),"",IF(COUNTIFS($E$3:$E921,$E921,$C$3:$C921,"&lt;&gt;U",$S$3:$S921,Calc!$F$2)=1,1,0))</f>
        <v/>
      </c>
      <c r="R921" s="35" t="str">
        <f aca="false">IF($Q921=1,$O921-ROW()/100000,"")</f>
        <v/>
      </c>
      <c r="S921" s="37" t="str">
        <f aca="false">IF($A921="","",INT($A921))</f>
        <v/>
      </c>
      <c r="T921" s="35" t="str">
        <f aca="false">IF($A921="","",IF(COUNTIFS($S$3:$S921,$S921)=1,1,0))</f>
        <v/>
      </c>
      <c r="U921" s="37" t="str">
        <f aca="false">IF($T921=1,$S921,"")</f>
        <v/>
      </c>
    </row>
    <row r="922" customFormat="false" ht="15" hidden="false" customHeight="false" outlineLevel="0" collapsed="false">
      <c r="M922" s="35" t="str">
        <f aca="false">IF($A922="","",HOUR($A922))</f>
        <v/>
      </c>
      <c r="N922" s="36" t="str">
        <f aca="false">IF($A922="","",$I922*$K922)</f>
        <v/>
      </c>
      <c r="O922" s="35" t="str">
        <f aca="false">IF(OR($A922="",$C922="U",$S922&lt;&gt;Calc!$F$2),"",SUMIFS($I$3:$I$3002,$E$3:$E$3002,$E922,$C$3:$C$3002,"&lt;&gt;U",$S$3:$S$3002,Calc!$F$2))</f>
        <v/>
      </c>
      <c r="P922" s="35" t="str">
        <f aca="false">IF(OR($A922="",$C922="U",$S922&lt;&gt;Calc!$F$2),"",SUMIFS($N$3:$N$3002,$E$3:$E$3002,$E922,$C$3:$C$3002,"&lt;&gt;U",$S$3:$S$3002,Calc!$F$2))</f>
        <v/>
      </c>
      <c r="Q922" s="35" t="str">
        <f aca="false">IF(OR($A922="",$C922="U",$S922&lt;&gt;Calc!$F$2),"",IF(COUNTIFS($E$3:$E922,$E922,$C$3:$C922,"&lt;&gt;U",$S$3:$S922,Calc!$F$2)=1,1,0))</f>
        <v/>
      </c>
      <c r="R922" s="35" t="str">
        <f aca="false">IF($Q922=1,$O922-ROW()/100000,"")</f>
        <v/>
      </c>
      <c r="S922" s="37" t="str">
        <f aca="false">IF($A922="","",INT($A922))</f>
        <v/>
      </c>
      <c r="T922" s="35" t="str">
        <f aca="false">IF($A922="","",IF(COUNTIFS($S$3:$S922,$S922)=1,1,0))</f>
        <v/>
      </c>
      <c r="U922" s="37" t="str">
        <f aca="false">IF($T922=1,$S922,"")</f>
        <v/>
      </c>
    </row>
    <row r="923" customFormat="false" ht="15" hidden="false" customHeight="false" outlineLevel="0" collapsed="false">
      <c r="M923" s="35" t="str">
        <f aca="false">IF($A923="","",HOUR($A923))</f>
        <v/>
      </c>
      <c r="N923" s="36" t="str">
        <f aca="false">IF($A923="","",$I923*$K923)</f>
        <v/>
      </c>
      <c r="O923" s="35" t="str">
        <f aca="false">IF(OR($A923="",$C923="U",$S923&lt;&gt;Calc!$F$2),"",SUMIFS($I$3:$I$3002,$E$3:$E$3002,$E923,$C$3:$C$3002,"&lt;&gt;U",$S$3:$S$3002,Calc!$F$2))</f>
        <v/>
      </c>
      <c r="P923" s="35" t="str">
        <f aca="false">IF(OR($A923="",$C923="U",$S923&lt;&gt;Calc!$F$2),"",SUMIFS($N$3:$N$3002,$E$3:$E$3002,$E923,$C$3:$C$3002,"&lt;&gt;U",$S$3:$S$3002,Calc!$F$2))</f>
        <v/>
      </c>
      <c r="Q923" s="35" t="str">
        <f aca="false">IF(OR($A923="",$C923="U",$S923&lt;&gt;Calc!$F$2),"",IF(COUNTIFS($E$3:$E923,$E923,$C$3:$C923,"&lt;&gt;U",$S$3:$S923,Calc!$F$2)=1,1,0))</f>
        <v/>
      </c>
      <c r="R923" s="35" t="str">
        <f aca="false">IF($Q923=1,$O923-ROW()/100000,"")</f>
        <v/>
      </c>
      <c r="S923" s="37" t="str">
        <f aca="false">IF($A923="","",INT($A923))</f>
        <v/>
      </c>
      <c r="T923" s="35" t="str">
        <f aca="false">IF($A923="","",IF(COUNTIFS($S$3:$S923,$S923)=1,1,0))</f>
        <v/>
      </c>
      <c r="U923" s="37" t="str">
        <f aca="false">IF($T923=1,$S923,"")</f>
        <v/>
      </c>
    </row>
    <row r="924" customFormat="false" ht="15" hidden="false" customHeight="false" outlineLevel="0" collapsed="false">
      <c r="M924" s="35" t="str">
        <f aca="false">IF($A924="","",HOUR($A924))</f>
        <v/>
      </c>
      <c r="N924" s="36" t="str">
        <f aca="false">IF($A924="","",$I924*$K924)</f>
        <v/>
      </c>
      <c r="O924" s="35" t="str">
        <f aca="false">IF(OR($A924="",$C924="U",$S924&lt;&gt;Calc!$F$2),"",SUMIFS($I$3:$I$3002,$E$3:$E$3002,$E924,$C$3:$C$3002,"&lt;&gt;U",$S$3:$S$3002,Calc!$F$2))</f>
        <v/>
      </c>
      <c r="P924" s="35" t="str">
        <f aca="false">IF(OR($A924="",$C924="U",$S924&lt;&gt;Calc!$F$2),"",SUMIFS($N$3:$N$3002,$E$3:$E$3002,$E924,$C$3:$C$3002,"&lt;&gt;U",$S$3:$S$3002,Calc!$F$2))</f>
        <v/>
      </c>
      <c r="Q924" s="35" t="str">
        <f aca="false">IF(OR($A924="",$C924="U",$S924&lt;&gt;Calc!$F$2),"",IF(COUNTIFS($E$3:$E924,$E924,$C$3:$C924,"&lt;&gt;U",$S$3:$S924,Calc!$F$2)=1,1,0))</f>
        <v/>
      </c>
      <c r="R924" s="35" t="str">
        <f aca="false">IF($Q924=1,$O924-ROW()/100000,"")</f>
        <v/>
      </c>
      <c r="S924" s="37" t="str">
        <f aca="false">IF($A924="","",INT($A924))</f>
        <v/>
      </c>
      <c r="T924" s="35" t="str">
        <f aca="false">IF($A924="","",IF(COUNTIFS($S$3:$S924,$S924)=1,1,0))</f>
        <v/>
      </c>
      <c r="U924" s="37" t="str">
        <f aca="false">IF($T924=1,$S924,"")</f>
        <v/>
      </c>
    </row>
    <row r="925" customFormat="false" ht="15" hidden="false" customHeight="false" outlineLevel="0" collapsed="false">
      <c r="M925" s="35" t="str">
        <f aca="false">IF($A925="","",HOUR($A925))</f>
        <v/>
      </c>
      <c r="N925" s="36" t="str">
        <f aca="false">IF($A925="","",$I925*$K925)</f>
        <v/>
      </c>
      <c r="O925" s="35" t="str">
        <f aca="false">IF(OR($A925="",$C925="U",$S925&lt;&gt;Calc!$F$2),"",SUMIFS($I$3:$I$3002,$E$3:$E$3002,$E925,$C$3:$C$3002,"&lt;&gt;U",$S$3:$S$3002,Calc!$F$2))</f>
        <v/>
      </c>
      <c r="P925" s="35" t="str">
        <f aca="false">IF(OR($A925="",$C925="U",$S925&lt;&gt;Calc!$F$2),"",SUMIFS($N$3:$N$3002,$E$3:$E$3002,$E925,$C$3:$C$3002,"&lt;&gt;U",$S$3:$S$3002,Calc!$F$2))</f>
        <v/>
      </c>
      <c r="Q925" s="35" t="str">
        <f aca="false">IF(OR($A925="",$C925="U",$S925&lt;&gt;Calc!$F$2),"",IF(COUNTIFS($E$3:$E925,$E925,$C$3:$C925,"&lt;&gt;U",$S$3:$S925,Calc!$F$2)=1,1,0))</f>
        <v/>
      </c>
      <c r="R925" s="35" t="str">
        <f aca="false">IF($Q925=1,$O925-ROW()/100000,"")</f>
        <v/>
      </c>
      <c r="S925" s="37" t="str">
        <f aca="false">IF($A925="","",INT($A925))</f>
        <v/>
      </c>
      <c r="T925" s="35" t="str">
        <f aca="false">IF($A925="","",IF(COUNTIFS($S$3:$S925,$S925)=1,1,0))</f>
        <v/>
      </c>
      <c r="U925" s="37" t="str">
        <f aca="false">IF($T925=1,$S925,"")</f>
        <v/>
      </c>
    </row>
    <row r="926" customFormat="false" ht="15" hidden="false" customHeight="false" outlineLevel="0" collapsed="false">
      <c r="M926" s="35" t="str">
        <f aca="false">IF($A926="","",HOUR($A926))</f>
        <v/>
      </c>
      <c r="N926" s="36" t="str">
        <f aca="false">IF($A926="","",$I926*$K926)</f>
        <v/>
      </c>
      <c r="O926" s="35" t="str">
        <f aca="false">IF(OR($A926="",$C926="U",$S926&lt;&gt;Calc!$F$2),"",SUMIFS($I$3:$I$3002,$E$3:$E$3002,$E926,$C$3:$C$3002,"&lt;&gt;U",$S$3:$S$3002,Calc!$F$2))</f>
        <v/>
      </c>
      <c r="P926" s="35" t="str">
        <f aca="false">IF(OR($A926="",$C926="U",$S926&lt;&gt;Calc!$F$2),"",SUMIFS($N$3:$N$3002,$E$3:$E$3002,$E926,$C$3:$C$3002,"&lt;&gt;U",$S$3:$S$3002,Calc!$F$2))</f>
        <v/>
      </c>
      <c r="Q926" s="35" t="str">
        <f aca="false">IF(OR($A926="",$C926="U",$S926&lt;&gt;Calc!$F$2),"",IF(COUNTIFS($E$3:$E926,$E926,$C$3:$C926,"&lt;&gt;U",$S$3:$S926,Calc!$F$2)=1,1,0))</f>
        <v/>
      </c>
      <c r="R926" s="35" t="str">
        <f aca="false">IF($Q926=1,$O926-ROW()/100000,"")</f>
        <v/>
      </c>
      <c r="S926" s="37" t="str">
        <f aca="false">IF($A926="","",INT($A926))</f>
        <v/>
      </c>
      <c r="T926" s="35" t="str">
        <f aca="false">IF($A926="","",IF(COUNTIFS($S$3:$S926,$S926)=1,1,0))</f>
        <v/>
      </c>
      <c r="U926" s="37" t="str">
        <f aca="false">IF($T926=1,$S926,"")</f>
        <v/>
      </c>
    </row>
    <row r="927" customFormat="false" ht="15" hidden="false" customHeight="false" outlineLevel="0" collapsed="false">
      <c r="M927" s="35" t="str">
        <f aca="false">IF($A927="","",HOUR($A927))</f>
        <v/>
      </c>
      <c r="N927" s="36" t="str">
        <f aca="false">IF($A927="","",$I927*$K927)</f>
        <v/>
      </c>
      <c r="O927" s="35" t="str">
        <f aca="false">IF(OR($A927="",$C927="U",$S927&lt;&gt;Calc!$F$2),"",SUMIFS($I$3:$I$3002,$E$3:$E$3002,$E927,$C$3:$C$3002,"&lt;&gt;U",$S$3:$S$3002,Calc!$F$2))</f>
        <v/>
      </c>
      <c r="P927" s="35" t="str">
        <f aca="false">IF(OR($A927="",$C927="U",$S927&lt;&gt;Calc!$F$2),"",SUMIFS($N$3:$N$3002,$E$3:$E$3002,$E927,$C$3:$C$3002,"&lt;&gt;U",$S$3:$S$3002,Calc!$F$2))</f>
        <v/>
      </c>
      <c r="Q927" s="35" t="str">
        <f aca="false">IF(OR($A927="",$C927="U",$S927&lt;&gt;Calc!$F$2),"",IF(COUNTIFS($E$3:$E927,$E927,$C$3:$C927,"&lt;&gt;U",$S$3:$S927,Calc!$F$2)=1,1,0))</f>
        <v/>
      </c>
      <c r="R927" s="35" t="str">
        <f aca="false">IF($Q927=1,$O927-ROW()/100000,"")</f>
        <v/>
      </c>
      <c r="S927" s="37" t="str">
        <f aca="false">IF($A927="","",INT($A927))</f>
        <v/>
      </c>
      <c r="T927" s="35" t="str">
        <f aca="false">IF($A927="","",IF(COUNTIFS($S$3:$S927,$S927)=1,1,0))</f>
        <v/>
      </c>
      <c r="U927" s="37" t="str">
        <f aca="false">IF($T927=1,$S927,"")</f>
        <v/>
      </c>
    </row>
    <row r="928" customFormat="false" ht="15" hidden="false" customHeight="false" outlineLevel="0" collapsed="false">
      <c r="M928" s="35" t="str">
        <f aca="false">IF($A928="","",HOUR($A928))</f>
        <v/>
      </c>
      <c r="N928" s="36" t="str">
        <f aca="false">IF($A928="","",$I928*$K928)</f>
        <v/>
      </c>
      <c r="O928" s="35" t="str">
        <f aca="false">IF(OR($A928="",$C928="U",$S928&lt;&gt;Calc!$F$2),"",SUMIFS($I$3:$I$3002,$E$3:$E$3002,$E928,$C$3:$C$3002,"&lt;&gt;U",$S$3:$S$3002,Calc!$F$2))</f>
        <v/>
      </c>
      <c r="P928" s="35" t="str">
        <f aca="false">IF(OR($A928="",$C928="U",$S928&lt;&gt;Calc!$F$2),"",SUMIFS($N$3:$N$3002,$E$3:$E$3002,$E928,$C$3:$C$3002,"&lt;&gt;U",$S$3:$S$3002,Calc!$F$2))</f>
        <v/>
      </c>
      <c r="Q928" s="35" t="str">
        <f aca="false">IF(OR($A928="",$C928="U",$S928&lt;&gt;Calc!$F$2),"",IF(COUNTIFS($E$3:$E928,$E928,$C$3:$C928,"&lt;&gt;U",$S$3:$S928,Calc!$F$2)=1,1,0))</f>
        <v/>
      </c>
      <c r="R928" s="35" t="str">
        <f aca="false">IF($Q928=1,$O928-ROW()/100000,"")</f>
        <v/>
      </c>
      <c r="S928" s="37" t="str">
        <f aca="false">IF($A928="","",INT($A928))</f>
        <v/>
      </c>
      <c r="T928" s="35" t="str">
        <f aca="false">IF($A928="","",IF(COUNTIFS($S$3:$S928,$S928)=1,1,0))</f>
        <v/>
      </c>
      <c r="U928" s="37" t="str">
        <f aca="false">IF($T928=1,$S928,"")</f>
        <v/>
      </c>
    </row>
    <row r="929" customFormat="false" ht="15" hidden="false" customHeight="false" outlineLevel="0" collapsed="false">
      <c r="M929" s="35" t="str">
        <f aca="false">IF($A929="","",HOUR($A929))</f>
        <v/>
      </c>
      <c r="N929" s="36" t="str">
        <f aca="false">IF($A929="","",$I929*$K929)</f>
        <v/>
      </c>
      <c r="O929" s="35" t="str">
        <f aca="false">IF(OR($A929="",$C929="U",$S929&lt;&gt;Calc!$F$2),"",SUMIFS($I$3:$I$3002,$E$3:$E$3002,$E929,$C$3:$C$3002,"&lt;&gt;U",$S$3:$S$3002,Calc!$F$2))</f>
        <v/>
      </c>
      <c r="P929" s="35" t="str">
        <f aca="false">IF(OR($A929="",$C929="U",$S929&lt;&gt;Calc!$F$2),"",SUMIFS($N$3:$N$3002,$E$3:$E$3002,$E929,$C$3:$C$3002,"&lt;&gt;U",$S$3:$S$3002,Calc!$F$2))</f>
        <v/>
      </c>
      <c r="Q929" s="35" t="str">
        <f aca="false">IF(OR($A929="",$C929="U",$S929&lt;&gt;Calc!$F$2),"",IF(COUNTIFS($E$3:$E929,$E929,$C$3:$C929,"&lt;&gt;U",$S$3:$S929,Calc!$F$2)=1,1,0))</f>
        <v/>
      </c>
      <c r="R929" s="35" t="str">
        <f aca="false">IF($Q929=1,$O929-ROW()/100000,"")</f>
        <v/>
      </c>
      <c r="S929" s="37" t="str">
        <f aca="false">IF($A929="","",INT($A929))</f>
        <v/>
      </c>
      <c r="T929" s="35" t="str">
        <f aca="false">IF($A929="","",IF(COUNTIFS($S$3:$S929,$S929)=1,1,0))</f>
        <v/>
      </c>
      <c r="U929" s="37" t="str">
        <f aca="false">IF($T929=1,$S929,"")</f>
        <v/>
      </c>
    </row>
    <row r="930" customFormat="false" ht="15" hidden="false" customHeight="false" outlineLevel="0" collapsed="false">
      <c r="M930" s="35" t="str">
        <f aca="false">IF($A930="","",HOUR($A930))</f>
        <v/>
      </c>
      <c r="N930" s="36" t="str">
        <f aca="false">IF($A930="","",$I930*$K930)</f>
        <v/>
      </c>
      <c r="O930" s="35" t="str">
        <f aca="false">IF(OR($A930="",$C930="U",$S930&lt;&gt;Calc!$F$2),"",SUMIFS($I$3:$I$3002,$E$3:$E$3002,$E930,$C$3:$C$3002,"&lt;&gt;U",$S$3:$S$3002,Calc!$F$2))</f>
        <v/>
      </c>
      <c r="P930" s="35" t="str">
        <f aca="false">IF(OR($A930="",$C930="U",$S930&lt;&gt;Calc!$F$2),"",SUMIFS($N$3:$N$3002,$E$3:$E$3002,$E930,$C$3:$C$3002,"&lt;&gt;U",$S$3:$S$3002,Calc!$F$2))</f>
        <v/>
      </c>
      <c r="Q930" s="35" t="str">
        <f aca="false">IF(OR($A930="",$C930="U",$S930&lt;&gt;Calc!$F$2),"",IF(COUNTIFS($E$3:$E930,$E930,$C$3:$C930,"&lt;&gt;U",$S$3:$S930,Calc!$F$2)=1,1,0))</f>
        <v/>
      </c>
      <c r="R930" s="35" t="str">
        <f aca="false">IF($Q930=1,$O930-ROW()/100000,"")</f>
        <v/>
      </c>
      <c r="S930" s="37" t="str">
        <f aca="false">IF($A930="","",INT($A930))</f>
        <v/>
      </c>
      <c r="T930" s="35" t="str">
        <f aca="false">IF($A930="","",IF(COUNTIFS($S$3:$S930,$S930)=1,1,0))</f>
        <v/>
      </c>
      <c r="U930" s="37" t="str">
        <f aca="false">IF($T930=1,$S930,"")</f>
        <v/>
      </c>
    </row>
    <row r="931" customFormat="false" ht="15" hidden="false" customHeight="false" outlineLevel="0" collapsed="false">
      <c r="M931" s="35" t="str">
        <f aca="false">IF($A931="","",HOUR($A931))</f>
        <v/>
      </c>
      <c r="N931" s="36" t="str">
        <f aca="false">IF($A931="","",$I931*$K931)</f>
        <v/>
      </c>
      <c r="O931" s="35" t="str">
        <f aca="false">IF(OR($A931="",$C931="U",$S931&lt;&gt;Calc!$F$2),"",SUMIFS($I$3:$I$3002,$E$3:$E$3002,$E931,$C$3:$C$3002,"&lt;&gt;U",$S$3:$S$3002,Calc!$F$2))</f>
        <v/>
      </c>
      <c r="P931" s="35" t="str">
        <f aca="false">IF(OR($A931="",$C931="U",$S931&lt;&gt;Calc!$F$2),"",SUMIFS($N$3:$N$3002,$E$3:$E$3002,$E931,$C$3:$C$3002,"&lt;&gt;U",$S$3:$S$3002,Calc!$F$2))</f>
        <v/>
      </c>
      <c r="Q931" s="35" t="str">
        <f aca="false">IF(OR($A931="",$C931="U",$S931&lt;&gt;Calc!$F$2),"",IF(COUNTIFS($E$3:$E931,$E931,$C$3:$C931,"&lt;&gt;U",$S$3:$S931,Calc!$F$2)=1,1,0))</f>
        <v/>
      </c>
      <c r="R931" s="35" t="str">
        <f aca="false">IF($Q931=1,$O931-ROW()/100000,"")</f>
        <v/>
      </c>
      <c r="S931" s="37" t="str">
        <f aca="false">IF($A931="","",INT($A931))</f>
        <v/>
      </c>
      <c r="T931" s="35" t="str">
        <f aca="false">IF($A931="","",IF(COUNTIFS($S$3:$S931,$S931)=1,1,0))</f>
        <v/>
      </c>
      <c r="U931" s="37" t="str">
        <f aca="false">IF($T931=1,$S931,"")</f>
        <v/>
      </c>
    </row>
    <row r="932" customFormat="false" ht="15" hidden="false" customHeight="false" outlineLevel="0" collapsed="false">
      <c r="M932" s="35" t="str">
        <f aca="false">IF($A932="","",HOUR($A932))</f>
        <v/>
      </c>
      <c r="N932" s="36" t="str">
        <f aca="false">IF($A932="","",$I932*$K932)</f>
        <v/>
      </c>
      <c r="O932" s="35" t="str">
        <f aca="false">IF(OR($A932="",$C932="U",$S932&lt;&gt;Calc!$F$2),"",SUMIFS($I$3:$I$3002,$E$3:$E$3002,$E932,$C$3:$C$3002,"&lt;&gt;U",$S$3:$S$3002,Calc!$F$2))</f>
        <v/>
      </c>
      <c r="P932" s="35" t="str">
        <f aca="false">IF(OR($A932="",$C932="U",$S932&lt;&gt;Calc!$F$2),"",SUMIFS($N$3:$N$3002,$E$3:$E$3002,$E932,$C$3:$C$3002,"&lt;&gt;U",$S$3:$S$3002,Calc!$F$2))</f>
        <v/>
      </c>
      <c r="Q932" s="35" t="str">
        <f aca="false">IF(OR($A932="",$C932="U",$S932&lt;&gt;Calc!$F$2),"",IF(COUNTIFS($E$3:$E932,$E932,$C$3:$C932,"&lt;&gt;U",$S$3:$S932,Calc!$F$2)=1,1,0))</f>
        <v/>
      </c>
      <c r="R932" s="35" t="str">
        <f aca="false">IF($Q932=1,$O932-ROW()/100000,"")</f>
        <v/>
      </c>
      <c r="S932" s="37" t="str">
        <f aca="false">IF($A932="","",INT($A932))</f>
        <v/>
      </c>
      <c r="T932" s="35" t="str">
        <f aca="false">IF($A932="","",IF(COUNTIFS($S$3:$S932,$S932)=1,1,0))</f>
        <v/>
      </c>
      <c r="U932" s="37" t="str">
        <f aca="false">IF($T932=1,$S932,"")</f>
        <v/>
      </c>
    </row>
    <row r="933" customFormat="false" ht="15" hidden="false" customHeight="false" outlineLevel="0" collapsed="false">
      <c r="M933" s="35" t="str">
        <f aca="false">IF($A933="","",HOUR($A933))</f>
        <v/>
      </c>
      <c r="N933" s="36" t="str">
        <f aca="false">IF($A933="","",$I933*$K933)</f>
        <v/>
      </c>
      <c r="O933" s="35" t="str">
        <f aca="false">IF(OR($A933="",$C933="U",$S933&lt;&gt;Calc!$F$2),"",SUMIFS($I$3:$I$3002,$E$3:$E$3002,$E933,$C$3:$C$3002,"&lt;&gt;U",$S$3:$S$3002,Calc!$F$2))</f>
        <v/>
      </c>
      <c r="P933" s="35" t="str">
        <f aca="false">IF(OR($A933="",$C933="U",$S933&lt;&gt;Calc!$F$2),"",SUMIFS($N$3:$N$3002,$E$3:$E$3002,$E933,$C$3:$C$3002,"&lt;&gt;U",$S$3:$S$3002,Calc!$F$2))</f>
        <v/>
      </c>
      <c r="Q933" s="35" t="str">
        <f aca="false">IF(OR($A933="",$C933="U",$S933&lt;&gt;Calc!$F$2),"",IF(COUNTIFS($E$3:$E933,$E933,$C$3:$C933,"&lt;&gt;U",$S$3:$S933,Calc!$F$2)=1,1,0))</f>
        <v/>
      </c>
      <c r="R933" s="35" t="str">
        <f aca="false">IF($Q933=1,$O933-ROW()/100000,"")</f>
        <v/>
      </c>
      <c r="S933" s="37" t="str">
        <f aca="false">IF($A933="","",INT($A933))</f>
        <v/>
      </c>
      <c r="T933" s="35" t="str">
        <f aca="false">IF($A933="","",IF(COUNTIFS($S$3:$S933,$S933)=1,1,0))</f>
        <v/>
      </c>
      <c r="U933" s="37" t="str">
        <f aca="false">IF($T933=1,$S933,"")</f>
        <v/>
      </c>
    </row>
    <row r="934" customFormat="false" ht="15" hidden="false" customHeight="false" outlineLevel="0" collapsed="false">
      <c r="M934" s="35" t="str">
        <f aca="false">IF($A934="","",HOUR($A934))</f>
        <v/>
      </c>
      <c r="N934" s="36" t="str">
        <f aca="false">IF($A934="","",$I934*$K934)</f>
        <v/>
      </c>
      <c r="O934" s="35" t="str">
        <f aca="false">IF(OR($A934="",$C934="U",$S934&lt;&gt;Calc!$F$2),"",SUMIFS($I$3:$I$3002,$E$3:$E$3002,$E934,$C$3:$C$3002,"&lt;&gt;U",$S$3:$S$3002,Calc!$F$2))</f>
        <v/>
      </c>
      <c r="P934" s="35" t="str">
        <f aca="false">IF(OR($A934="",$C934="U",$S934&lt;&gt;Calc!$F$2),"",SUMIFS($N$3:$N$3002,$E$3:$E$3002,$E934,$C$3:$C$3002,"&lt;&gt;U",$S$3:$S$3002,Calc!$F$2))</f>
        <v/>
      </c>
      <c r="Q934" s="35" t="str">
        <f aca="false">IF(OR($A934="",$C934="U",$S934&lt;&gt;Calc!$F$2),"",IF(COUNTIFS($E$3:$E934,$E934,$C$3:$C934,"&lt;&gt;U",$S$3:$S934,Calc!$F$2)=1,1,0))</f>
        <v/>
      </c>
      <c r="R934" s="35" t="str">
        <f aca="false">IF($Q934=1,$O934-ROW()/100000,"")</f>
        <v/>
      </c>
      <c r="S934" s="37" t="str">
        <f aca="false">IF($A934="","",INT($A934))</f>
        <v/>
      </c>
      <c r="T934" s="35" t="str">
        <f aca="false">IF($A934="","",IF(COUNTIFS($S$3:$S934,$S934)=1,1,0))</f>
        <v/>
      </c>
      <c r="U934" s="37" t="str">
        <f aca="false">IF($T934=1,$S934,"")</f>
        <v/>
      </c>
    </row>
    <row r="935" customFormat="false" ht="15" hidden="false" customHeight="false" outlineLevel="0" collapsed="false">
      <c r="M935" s="35" t="str">
        <f aca="false">IF($A935="","",HOUR($A935))</f>
        <v/>
      </c>
      <c r="N935" s="36" t="str">
        <f aca="false">IF($A935="","",$I935*$K935)</f>
        <v/>
      </c>
      <c r="O935" s="35" t="str">
        <f aca="false">IF(OR($A935="",$C935="U",$S935&lt;&gt;Calc!$F$2),"",SUMIFS($I$3:$I$3002,$E$3:$E$3002,$E935,$C$3:$C$3002,"&lt;&gt;U",$S$3:$S$3002,Calc!$F$2))</f>
        <v/>
      </c>
      <c r="P935" s="35" t="str">
        <f aca="false">IF(OR($A935="",$C935="U",$S935&lt;&gt;Calc!$F$2),"",SUMIFS($N$3:$N$3002,$E$3:$E$3002,$E935,$C$3:$C$3002,"&lt;&gt;U",$S$3:$S$3002,Calc!$F$2))</f>
        <v/>
      </c>
      <c r="Q935" s="35" t="str">
        <f aca="false">IF(OR($A935="",$C935="U",$S935&lt;&gt;Calc!$F$2),"",IF(COUNTIFS($E$3:$E935,$E935,$C$3:$C935,"&lt;&gt;U",$S$3:$S935,Calc!$F$2)=1,1,0))</f>
        <v/>
      </c>
      <c r="R935" s="35" t="str">
        <f aca="false">IF($Q935=1,$O935-ROW()/100000,"")</f>
        <v/>
      </c>
      <c r="S935" s="37" t="str">
        <f aca="false">IF($A935="","",INT($A935))</f>
        <v/>
      </c>
      <c r="T935" s="35" t="str">
        <f aca="false">IF($A935="","",IF(COUNTIFS($S$3:$S935,$S935)=1,1,0))</f>
        <v/>
      </c>
      <c r="U935" s="37" t="str">
        <f aca="false">IF($T935=1,$S935,"")</f>
        <v/>
      </c>
    </row>
    <row r="936" customFormat="false" ht="15" hidden="false" customHeight="false" outlineLevel="0" collapsed="false">
      <c r="M936" s="35" t="str">
        <f aca="false">IF($A936="","",HOUR($A936))</f>
        <v/>
      </c>
      <c r="N936" s="36" t="str">
        <f aca="false">IF($A936="","",$I936*$K936)</f>
        <v/>
      </c>
      <c r="O936" s="35" t="str">
        <f aca="false">IF(OR($A936="",$C936="U",$S936&lt;&gt;Calc!$F$2),"",SUMIFS($I$3:$I$3002,$E$3:$E$3002,$E936,$C$3:$C$3002,"&lt;&gt;U",$S$3:$S$3002,Calc!$F$2))</f>
        <v/>
      </c>
      <c r="P936" s="35" t="str">
        <f aca="false">IF(OR($A936="",$C936="U",$S936&lt;&gt;Calc!$F$2),"",SUMIFS($N$3:$N$3002,$E$3:$E$3002,$E936,$C$3:$C$3002,"&lt;&gt;U",$S$3:$S$3002,Calc!$F$2))</f>
        <v/>
      </c>
      <c r="Q936" s="35" t="str">
        <f aca="false">IF(OR($A936="",$C936="U",$S936&lt;&gt;Calc!$F$2),"",IF(COUNTIFS($E$3:$E936,$E936,$C$3:$C936,"&lt;&gt;U",$S$3:$S936,Calc!$F$2)=1,1,0))</f>
        <v/>
      </c>
      <c r="R936" s="35" t="str">
        <f aca="false">IF($Q936=1,$O936-ROW()/100000,"")</f>
        <v/>
      </c>
      <c r="S936" s="37" t="str">
        <f aca="false">IF($A936="","",INT($A936))</f>
        <v/>
      </c>
      <c r="T936" s="35" t="str">
        <f aca="false">IF($A936="","",IF(COUNTIFS($S$3:$S936,$S936)=1,1,0))</f>
        <v/>
      </c>
      <c r="U936" s="37" t="str">
        <f aca="false">IF($T936=1,$S936,"")</f>
        <v/>
      </c>
    </row>
    <row r="937" customFormat="false" ht="15" hidden="false" customHeight="false" outlineLevel="0" collapsed="false">
      <c r="M937" s="35" t="str">
        <f aca="false">IF($A937="","",HOUR($A937))</f>
        <v/>
      </c>
      <c r="N937" s="36" t="str">
        <f aca="false">IF($A937="","",$I937*$K937)</f>
        <v/>
      </c>
      <c r="O937" s="35" t="str">
        <f aca="false">IF(OR($A937="",$C937="U",$S937&lt;&gt;Calc!$F$2),"",SUMIFS($I$3:$I$3002,$E$3:$E$3002,$E937,$C$3:$C$3002,"&lt;&gt;U",$S$3:$S$3002,Calc!$F$2))</f>
        <v/>
      </c>
      <c r="P937" s="35" t="str">
        <f aca="false">IF(OR($A937="",$C937="U",$S937&lt;&gt;Calc!$F$2),"",SUMIFS($N$3:$N$3002,$E$3:$E$3002,$E937,$C$3:$C$3002,"&lt;&gt;U",$S$3:$S$3002,Calc!$F$2))</f>
        <v/>
      </c>
      <c r="Q937" s="35" t="str">
        <f aca="false">IF(OR($A937="",$C937="U",$S937&lt;&gt;Calc!$F$2),"",IF(COUNTIFS($E$3:$E937,$E937,$C$3:$C937,"&lt;&gt;U",$S$3:$S937,Calc!$F$2)=1,1,0))</f>
        <v/>
      </c>
      <c r="R937" s="35" t="str">
        <f aca="false">IF($Q937=1,$O937-ROW()/100000,"")</f>
        <v/>
      </c>
      <c r="S937" s="37" t="str">
        <f aca="false">IF($A937="","",INT($A937))</f>
        <v/>
      </c>
      <c r="T937" s="35" t="str">
        <f aca="false">IF($A937="","",IF(COUNTIFS($S$3:$S937,$S937)=1,1,0))</f>
        <v/>
      </c>
      <c r="U937" s="37" t="str">
        <f aca="false">IF($T937=1,$S937,"")</f>
        <v/>
      </c>
    </row>
    <row r="938" customFormat="false" ht="15" hidden="false" customHeight="false" outlineLevel="0" collapsed="false">
      <c r="M938" s="35" t="str">
        <f aca="false">IF($A938="","",HOUR($A938))</f>
        <v/>
      </c>
      <c r="N938" s="36" t="str">
        <f aca="false">IF($A938="","",$I938*$K938)</f>
        <v/>
      </c>
      <c r="O938" s="35" t="str">
        <f aca="false">IF(OR($A938="",$C938="U",$S938&lt;&gt;Calc!$F$2),"",SUMIFS($I$3:$I$3002,$E$3:$E$3002,$E938,$C$3:$C$3002,"&lt;&gt;U",$S$3:$S$3002,Calc!$F$2))</f>
        <v/>
      </c>
      <c r="P938" s="35" t="str">
        <f aca="false">IF(OR($A938="",$C938="U",$S938&lt;&gt;Calc!$F$2),"",SUMIFS($N$3:$N$3002,$E$3:$E$3002,$E938,$C$3:$C$3002,"&lt;&gt;U",$S$3:$S$3002,Calc!$F$2))</f>
        <v/>
      </c>
      <c r="Q938" s="35" t="str">
        <f aca="false">IF(OR($A938="",$C938="U",$S938&lt;&gt;Calc!$F$2),"",IF(COUNTIFS($E$3:$E938,$E938,$C$3:$C938,"&lt;&gt;U",$S$3:$S938,Calc!$F$2)=1,1,0))</f>
        <v/>
      </c>
      <c r="R938" s="35" t="str">
        <f aca="false">IF($Q938=1,$O938-ROW()/100000,"")</f>
        <v/>
      </c>
      <c r="S938" s="37" t="str">
        <f aca="false">IF($A938="","",INT($A938))</f>
        <v/>
      </c>
      <c r="T938" s="35" t="str">
        <f aca="false">IF($A938="","",IF(COUNTIFS($S$3:$S938,$S938)=1,1,0))</f>
        <v/>
      </c>
      <c r="U938" s="37" t="str">
        <f aca="false">IF($T938=1,$S938,"")</f>
        <v/>
      </c>
    </row>
    <row r="939" customFormat="false" ht="15" hidden="false" customHeight="false" outlineLevel="0" collapsed="false">
      <c r="M939" s="35" t="str">
        <f aca="false">IF($A939="","",HOUR($A939))</f>
        <v/>
      </c>
      <c r="N939" s="36" t="str">
        <f aca="false">IF($A939="","",$I939*$K939)</f>
        <v/>
      </c>
      <c r="O939" s="35" t="str">
        <f aca="false">IF(OR($A939="",$C939="U",$S939&lt;&gt;Calc!$F$2),"",SUMIFS($I$3:$I$3002,$E$3:$E$3002,$E939,$C$3:$C$3002,"&lt;&gt;U",$S$3:$S$3002,Calc!$F$2))</f>
        <v/>
      </c>
      <c r="P939" s="35" t="str">
        <f aca="false">IF(OR($A939="",$C939="U",$S939&lt;&gt;Calc!$F$2),"",SUMIFS($N$3:$N$3002,$E$3:$E$3002,$E939,$C$3:$C$3002,"&lt;&gt;U",$S$3:$S$3002,Calc!$F$2))</f>
        <v/>
      </c>
      <c r="Q939" s="35" t="str">
        <f aca="false">IF(OR($A939="",$C939="U",$S939&lt;&gt;Calc!$F$2),"",IF(COUNTIFS($E$3:$E939,$E939,$C$3:$C939,"&lt;&gt;U",$S$3:$S939,Calc!$F$2)=1,1,0))</f>
        <v/>
      </c>
      <c r="R939" s="35" t="str">
        <f aca="false">IF($Q939=1,$O939-ROW()/100000,"")</f>
        <v/>
      </c>
      <c r="S939" s="37" t="str">
        <f aca="false">IF($A939="","",INT($A939))</f>
        <v/>
      </c>
      <c r="T939" s="35" t="str">
        <f aca="false">IF($A939="","",IF(COUNTIFS($S$3:$S939,$S939)=1,1,0))</f>
        <v/>
      </c>
      <c r="U939" s="37" t="str">
        <f aca="false">IF($T939=1,$S939,"")</f>
        <v/>
      </c>
    </row>
    <row r="940" customFormat="false" ht="15" hidden="false" customHeight="false" outlineLevel="0" collapsed="false">
      <c r="M940" s="35" t="str">
        <f aca="false">IF($A940="","",HOUR($A940))</f>
        <v/>
      </c>
      <c r="N940" s="36" t="str">
        <f aca="false">IF($A940="","",$I940*$K940)</f>
        <v/>
      </c>
      <c r="O940" s="35" t="str">
        <f aca="false">IF(OR($A940="",$C940="U",$S940&lt;&gt;Calc!$F$2),"",SUMIFS($I$3:$I$3002,$E$3:$E$3002,$E940,$C$3:$C$3002,"&lt;&gt;U",$S$3:$S$3002,Calc!$F$2))</f>
        <v/>
      </c>
      <c r="P940" s="35" t="str">
        <f aca="false">IF(OR($A940="",$C940="U",$S940&lt;&gt;Calc!$F$2),"",SUMIFS($N$3:$N$3002,$E$3:$E$3002,$E940,$C$3:$C$3002,"&lt;&gt;U",$S$3:$S$3002,Calc!$F$2))</f>
        <v/>
      </c>
      <c r="Q940" s="35" t="str">
        <f aca="false">IF(OR($A940="",$C940="U",$S940&lt;&gt;Calc!$F$2),"",IF(COUNTIFS($E$3:$E940,$E940,$C$3:$C940,"&lt;&gt;U",$S$3:$S940,Calc!$F$2)=1,1,0))</f>
        <v/>
      </c>
      <c r="R940" s="35" t="str">
        <f aca="false">IF($Q940=1,$O940-ROW()/100000,"")</f>
        <v/>
      </c>
      <c r="S940" s="37" t="str">
        <f aca="false">IF($A940="","",INT($A940))</f>
        <v/>
      </c>
      <c r="T940" s="35" t="str">
        <f aca="false">IF($A940="","",IF(COUNTIFS($S$3:$S940,$S940)=1,1,0))</f>
        <v/>
      </c>
      <c r="U940" s="37" t="str">
        <f aca="false">IF($T940=1,$S940,"")</f>
        <v/>
      </c>
    </row>
    <row r="941" customFormat="false" ht="15" hidden="false" customHeight="false" outlineLevel="0" collapsed="false">
      <c r="M941" s="35" t="str">
        <f aca="false">IF($A941="","",HOUR($A941))</f>
        <v/>
      </c>
      <c r="N941" s="36" t="str">
        <f aca="false">IF($A941="","",$I941*$K941)</f>
        <v/>
      </c>
      <c r="O941" s="35" t="str">
        <f aca="false">IF(OR($A941="",$C941="U",$S941&lt;&gt;Calc!$F$2),"",SUMIFS($I$3:$I$3002,$E$3:$E$3002,$E941,$C$3:$C$3002,"&lt;&gt;U",$S$3:$S$3002,Calc!$F$2))</f>
        <v/>
      </c>
      <c r="P941" s="35" t="str">
        <f aca="false">IF(OR($A941="",$C941="U",$S941&lt;&gt;Calc!$F$2),"",SUMIFS($N$3:$N$3002,$E$3:$E$3002,$E941,$C$3:$C$3002,"&lt;&gt;U",$S$3:$S$3002,Calc!$F$2))</f>
        <v/>
      </c>
      <c r="Q941" s="35" t="str">
        <f aca="false">IF(OR($A941="",$C941="U",$S941&lt;&gt;Calc!$F$2),"",IF(COUNTIFS($E$3:$E941,$E941,$C$3:$C941,"&lt;&gt;U",$S$3:$S941,Calc!$F$2)=1,1,0))</f>
        <v/>
      </c>
      <c r="R941" s="35" t="str">
        <f aca="false">IF($Q941=1,$O941-ROW()/100000,"")</f>
        <v/>
      </c>
      <c r="S941" s="37" t="str">
        <f aca="false">IF($A941="","",INT($A941))</f>
        <v/>
      </c>
      <c r="T941" s="35" t="str">
        <f aca="false">IF($A941="","",IF(COUNTIFS($S$3:$S941,$S941)=1,1,0))</f>
        <v/>
      </c>
      <c r="U941" s="37" t="str">
        <f aca="false">IF($T941=1,$S941,"")</f>
        <v/>
      </c>
    </row>
    <row r="942" customFormat="false" ht="15" hidden="false" customHeight="false" outlineLevel="0" collapsed="false">
      <c r="M942" s="35" t="str">
        <f aca="false">IF($A942="","",HOUR($A942))</f>
        <v/>
      </c>
      <c r="N942" s="36" t="str">
        <f aca="false">IF($A942="","",$I942*$K942)</f>
        <v/>
      </c>
      <c r="O942" s="35" t="str">
        <f aca="false">IF(OR($A942="",$C942="U",$S942&lt;&gt;Calc!$F$2),"",SUMIFS($I$3:$I$3002,$E$3:$E$3002,$E942,$C$3:$C$3002,"&lt;&gt;U",$S$3:$S$3002,Calc!$F$2))</f>
        <v/>
      </c>
      <c r="P942" s="35" t="str">
        <f aca="false">IF(OR($A942="",$C942="U",$S942&lt;&gt;Calc!$F$2),"",SUMIFS($N$3:$N$3002,$E$3:$E$3002,$E942,$C$3:$C$3002,"&lt;&gt;U",$S$3:$S$3002,Calc!$F$2))</f>
        <v/>
      </c>
      <c r="Q942" s="35" t="str">
        <f aca="false">IF(OR($A942="",$C942="U",$S942&lt;&gt;Calc!$F$2),"",IF(COUNTIFS($E$3:$E942,$E942,$C$3:$C942,"&lt;&gt;U",$S$3:$S942,Calc!$F$2)=1,1,0))</f>
        <v/>
      </c>
      <c r="R942" s="35" t="str">
        <f aca="false">IF($Q942=1,$O942-ROW()/100000,"")</f>
        <v/>
      </c>
      <c r="S942" s="37" t="str">
        <f aca="false">IF($A942="","",INT($A942))</f>
        <v/>
      </c>
      <c r="T942" s="35" t="str">
        <f aca="false">IF($A942="","",IF(COUNTIFS($S$3:$S942,$S942)=1,1,0))</f>
        <v/>
      </c>
      <c r="U942" s="37" t="str">
        <f aca="false">IF($T942=1,$S942,"")</f>
        <v/>
      </c>
    </row>
    <row r="943" customFormat="false" ht="15" hidden="false" customHeight="false" outlineLevel="0" collapsed="false">
      <c r="M943" s="35" t="str">
        <f aca="false">IF($A943="","",HOUR($A943))</f>
        <v/>
      </c>
      <c r="N943" s="36" t="str">
        <f aca="false">IF($A943="","",$I943*$K943)</f>
        <v/>
      </c>
      <c r="O943" s="35" t="str">
        <f aca="false">IF(OR($A943="",$C943="U",$S943&lt;&gt;Calc!$F$2),"",SUMIFS($I$3:$I$3002,$E$3:$E$3002,$E943,$C$3:$C$3002,"&lt;&gt;U",$S$3:$S$3002,Calc!$F$2))</f>
        <v/>
      </c>
      <c r="P943" s="35" t="str">
        <f aca="false">IF(OR($A943="",$C943="U",$S943&lt;&gt;Calc!$F$2),"",SUMIFS($N$3:$N$3002,$E$3:$E$3002,$E943,$C$3:$C$3002,"&lt;&gt;U",$S$3:$S$3002,Calc!$F$2))</f>
        <v/>
      </c>
      <c r="Q943" s="35" t="str">
        <f aca="false">IF(OR($A943="",$C943="U",$S943&lt;&gt;Calc!$F$2),"",IF(COUNTIFS($E$3:$E943,$E943,$C$3:$C943,"&lt;&gt;U",$S$3:$S943,Calc!$F$2)=1,1,0))</f>
        <v/>
      </c>
      <c r="R943" s="35" t="str">
        <f aca="false">IF($Q943=1,$O943-ROW()/100000,"")</f>
        <v/>
      </c>
      <c r="S943" s="37" t="str">
        <f aca="false">IF($A943="","",INT($A943))</f>
        <v/>
      </c>
      <c r="T943" s="35" t="str">
        <f aca="false">IF($A943="","",IF(COUNTIFS($S$3:$S943,$S943)=1,1,0))</f>
        <v/>
      </c>
      <c r="U943" s="37" t="str">
        <f aca="false">IF($T943=1,$S943,"")</f>
        <v/>
      </c>
    </row>
    <row r="944" customFormat="false" ht="15" hidden="false" customHeight="false" outlineLevel="0" collapsed="false">
      <c r="M944" s="35" t="str">
        <f aca="false">IF($A944="","",HOUR($A944))</f>
        <v/>
      </c>
      <c r="N944" s="36" t="str">
        <f aca="false">IF($A944="","",$I944*$K944)</f>
        <v/>
      </c>
      <c r="O944" s="35" t="str">
        <f aca="false">IF(OR($A944="",$C944="U",$S944&lt;&gt;Calc!$F$2),"",SUMIFS($I$3:$I$3002,$E$3:$E$3002,$E944,$C$3:$C$3002,"&lt;&gt;U",$S$3:$S$3002,Calc!$F$2))</f>
        <v/>
      </c>
      <c r="P944" s="35" t="str">
        <f aca="false">IF(OR($A944="",$C944="U",$S944&lt;&gt;Calc!$F$2),"",SUMIFS($N$3:$N$3002,$E$3:$E$3002,$E944,$C$3:$C$3002,"&lt;&gt;U",$S$3:$S$3002,Calc!$F$2))</f>
        <v/>
      </c>
      <c r="Q944" s="35" t="str">
        <f aca="false">IF(OR($A944="",$C944="U",$S944&lt;&gt;Calc!$F$2),"",IF(COUNTIFS($E$3:$E944,$E944,$C$3:$C944,"&lt;&gt;U",$S$3:$S944,Calc!$F$2)=1,1,0))</f>
        <v/>
      </c>
      <c r="R944" s="35" t="str">
        <f aca="false">IF($Q944=1,$O944-ROW()/100000,"")</f>
        <v/>
      </c>
      <c r="S944" s="37" t="str">
        <f aca="false">IF($A944="","",INT($A944))</f>
        <v/>
      </c>
      <c r="T944" s="35" t="str">
        <f aca="false">IF($A944="","",IF(COUNTIFS($S$3:$S944,$S944)=1,1,0))</f>
        <v/>
      </c>
      <c r="U944" s="37" t="str">
        <f aca="false">IF($T944=1,$S944,"")</f>
        <v/>
      </c>
    </row>
    <row r="945" customFormat="false" ht="15" hidden="false" customHeight="false" outlineLevel="0" collapsed="false">
      <c r="M945" s="35" t="str">
        <f aca="false">IF($A945="","",HOUR($A945))</f>
        <v/>
      </c>
      <c r="N945" s="36" t="str">
        <f aca="false">IF($A945="","",$I945*$K945)</f>
        <v/>
      </c>
      <c r="O945" s="35" t="str">
        <f aca="false">IF(OR($A945="",$C945="U",$S945&lt;&gt;Calc!$F$2),"",SUMIFS($I$3:$I$3002,$E$3:$E$3002,$E945,$C$3:$C$3002,"&lt;&gt;U",$S$3:$S$3002,Calc!$F$2))</f>
        <v/>
      </c>
      <c r="P945" s="35" t="str">
        <f aca="false">IF(OR($A945="",$C945="U",$S945&lt;&gt;Calc!$F$2),"",SUMIFS($N$3:$N$3002,$E$3:$E$3002,$E945,$C$3:$C$3002,"&lt;&gt;U",$S$3:$S$3002,Calc!$F$2))</f>
        <v/>
      </c>
      <c r="Q945" s="35" t="str">
        <f aca="false">IF(OR($A945="",$C945="U",$S945&lt;&gt;Calc!$F$2),"",IF(COUNTIFS($E$3:$E945,$E945,$C$3:$C945,"&lt;&gt;U",$S$3:$S945,Calc!$F$2)=1,1,0))</f>
        <v/>
      </c>
      <c r="R945" s="35" t="str">
        <f aca="false">IF($Q945=1,$O945-ROW()/100000,"")</f>
        <v/>
      </c>
      <c r="S945" s="37" t="str">
        <f aca="false">IF($A945="","",INT($A945))</f>
        <v/>
      </c>
      <c r="T945" s="35" t="str">
        <f aca="false">IF($A945="","",IF(COUNTIFS($S$3:$S945,$S945)=1,1,0))</f>
        <v/>
      </c>
      <c r="U945" s="37" t="str">
        <f aca="false">IF($T945=1,$S945,"")</f>
        <v/>
      </c>
    </row>
    <row r="946" customFormat="false" ht="15" hidden="false" customHeight="false" outlineLevel="0" collapsed="false">
      <c r="M946" s="35" t="str">
        <f aca="false">IF($A946="","",HOUR($A946))</f>
        <v/>
      </c>
      <c r="N946" s="36" t="str">
        <f aca="false">IF($A946="","",$I946*$K946)</f>
        <v/>
      </c>
      <c r="O946" s="35" t="str">
        <f aca="false">IF(OR($A946="",$C946="U",$S946&lt;&gt;Calc!$F$2),"",SUMIFS($I$3:$I$3002,$E$3:$E$3002,$E946,$C$3:$C$3002,"&lt;&gt;U",$S$3:$S$3002,Calc!$F$2))</f>
        <v/>
      </c>
      <c r="P946" s="35" t="str">
        <f aca="false">IF(OR($A946="",$C946="U",$S946&lt;&gt;Calc!$F$2),"",SUMIFS($N$3:$N$3002,$E$3:$E$3002,$E946,$C$3:$C$3002,"&lt;&gt;U",$S$3:$S$3002,Calc!$F$2))</f>
        <v/>
      </c>
      <c r="Q946" s="35" t="str">
        <f aca="false">IF(OR($A946="",$C946="U",$S946&lt;&gt;Calc!$F$2),"",IF(COUNTIFS($E$3:$E946,$E946,$C$3:$C946,"&lt;&gt;U",$S$3:$S946,Calc!$F$2)=1,1,0))</f>
        <v/>
      </c>
      <c r="R946" s="35" t="str">
        <f aca="false">IF($Q946=1,$O946-ROW()/100000,"")</f>
        <v/>
      </c>
      <c r="S946" s="37" t="str">
        <f aca="false">IF($A946="","",INT($A946))</f>
        <v/>
      </c>
      <c r="T946" s="35" t="str">
        <f aca="false">IF($A946="","",IF(COUNTIFS($S$3:$S946,$S946)=1,1,0))</f>
        <v/>
      </c>
      <c r="U946" s="37" t="str">
        <f aca="false">IF($T946=1,$S946,"")</f>
        <v/>
      </c>
    </row>
    <row r="947" customFormat="false" ht="15" hidden="false" customHeight="false" outlineLevel="0" collapsed="false">
      <c r="M947" s="35" t="str">
        <f aca="false">IF($A947="","",HOUR($A947))</f>
        <v/>
      </c>
      <c r="N947" s="36" t="str">
        <f aca="false">IF($A947="","",$I947*$K947)</f>
        <v/>
      </c>
      <c r="O947" s="35" t="str">
        <f aca="false">IF(OR($A947="",$C947="U",$S947&lt;&gt;Calc!$F$2),"",SUMIFS($I$3:$I$3002,$E$3:$E$3002,$E947,$C$3:$C$3002,"&lt;&gt;U",$S$3:$S$3002,Calc!$F$2))</f>
        <v/>
      </c>
      <c r="P947" s="35" t="str">
        <f aca="false">IF(OR($A947="",$C947="U",$S947&lt;&gt;Calc!$F$2),"",SUMIFS($N$3:$N$3002,$E$3:$E$3002,$E947,$C$3:$C$3002,"&lt;&gt;U",$S$3:$S$3002,Calc!$F$2))</f>
        <v/>
      </c>
      <c r="Q947" s="35" t="str">
        <f aca="false">IF(OR($A947="",$C947="U",$S947&lt;&gt;Calc!$F$2),"",IF(COUNTIFS($E$3:$E947,$E947,$C$3:$C947,"&lt;&gt;U",$S$3:$S947,Calc!$F$2)=1,1,0))</f>
        <v/>
      </c>
      <c r="R947" s="35" t="str">
        <f aca="false">IF($Q947=1,$O947-ROW()/100000,"")</f>
        <v/>
      </c>
      <c r="S947" s="37" t="str">
        <f aca="false">IF($A947="","",INT($A947))</f>
        <v/>
      </c>
      <c r="T947" s="35" t="str">
        <f aca="false">IF($A947="","",IF(COUNTIFS($S$3:$S947,$S947)=1,1,0))</f>
        <v/>
      </c>
      <c r="U947" s="37" t="str">
        <f aca="false">IF($T947=1,$S947,"")</f>
        <v/>
      </c>
    </row>
    <row r="948" customFormat="false" ht="15" hidden="false" customHeight="false" outlineLevel="0" collapsed="false">
      <c r="M948" s="35" t="str">
        <f aca="false">IF($A948="","",HOUR($A948))</f>
        <v/>
      </c>
      <c r="N948" s="36" t="str">
        <f aca="false">IF($A948="","",$I948*$K948)</f>
        <v/>
      </c>
      <c r="O948" s="35" t="str">
        <f aca="false">IF(OR($A948="",$C948="U",$S948&lt;&gt;Calc!$F$2),"",SUMIFS($I$3:$I$3002,$E$3:$E$3002,$E948,$C$3:$C$3002,"&lt;&gt;U",$S$3:$S$3002,Calc!$F$2))</f>
        <v/>
      </c>
      <c r="P948" s="35" t="str">
        <f aca="false">IF(OR($A948="",$C948="U",$S948&lt;&gt;Calc!$F$2),"",SUMIFS($N$3:$N$3002,$E$3:$E$3002,$E948,$C$3:$C$3002,"&lt;&gt;U",$S$3:$S$3002,Calc!$F$2))</f>
        <v/>
      </c>
      <c r="Q948" s="35" t="str">
        <f aca="false">IF(OR($A948="",$C948="U",$S948&lt;&gt;Calc!$F$2),"",IF(COUNTIFS($E$3:$E948,$E948,$C$3:$C948,"&lt;&gt;U",$S$3:$S948,Calc!$F$2)=1,1,0))</f>
        <v/>
      </c>
      <c r="R948" s="35" t="str">
        <f aca="false">IF($Q948=1,$O948-ROW()/100000,"")</f>
        <v/>
      </c>
      <c r="S948" s="37" t="str">
        <f aca="false">IF($A948="","",INT($A948))</f>
        <v/>
      </c>
      <c r="T948" s="35" t="str">
        <f aca="false">IF($A948="","",IF(COUNTIFS($S$3:$S948,$S948)=1,1,0))</f>
        <v/>
      </c>
      <c r="U948" s="37" t="str">
        <f aca="false">IF($T948=1,$S948,"")</f>
        <v/>
      </c>
    </row>
    <row r="949" customFormat="false" ht="15" hidden="false" customHeight="false" outlineLevel="0" collapsed="false">
      <c r="M949" s="35" t="str">
        <f aca="false">IF($A949="","",HOUR($A949))</f>
        <v/>
      </c>
      <c r="N949" s="36" t="str">
        <f aca="false">IF($A949="","",$I949*$K949)</f>
        <v/>
      </c>
      <c r="O949" s="35" t="str">
        <f aca="false">IF(OR($A949="",$C949="U",$S949&lt;&gt;Calc!$F$2),"",SUMIFS($I$3:$I$3002,$E$3:$E$3002,$E949,$C$3:$C$3002,"&lt;&gt;U",$S$3:$S$3002,Calc!$F$2))</f>
        <v/>
      </c>
      <c r="P949" s="35" t="str">
        <f aca="false">IF(OR($A949="",$C949="U",$S949&lt;&gt;Calc!$F$2),"",SUMIFS($N$3:$N$3002,$E$3:$E$3002,$E949,$C$3:$C$3002,"&lt;&gt;U",$S$3:$S$3002,Calc!$F$2))</f>
        <v/>
      </c>
      <c r="Q949" s="35" t="str">
        <f aca="false">IF(OR($A949="",$C949="U",$S949&lt;&gt;Calc!$F$2),"",IF(COUNTIFS($E$3:$E949,$E949,$C$3:$C949,"&lt;&gt;U",$S$3:$S949,Calc!$F$2)=1,1,0))</f>
        <v/>
      </c>
      <c r="R949" s="35" t="str">
        <f aca="false">IF($Q949=1,$O949-ROW()/100000,"")</f>
        <v/>
      </c>
      <c r="S949" s="37" t="str">
        <f aca="false">IF($A949="","",INT($A949))</f>
        <v/>
      </c>
      <c r="T949" s="35" t="str">
        <f aca="false">IF($A949="","",IF(COUNTIFS($S$3:$S949,$S949)=1,1,0))</f>
        <v/>
      </c>
      <c r="U949" s="37" t="str">
        <f aca="false">IF($T949=1,$S949,"")</f>
        <v/>
      </c>
    </row>
    <row r="950" customFormat="false" ht="15" hidden="false" customHeight="false" outlineLevel="0" collapsed="false">
      <c r="M950" s="35" t="str">
        <f aca="false">IF($A950="","",HOUR($A950))</f>
        <v/>
      </c>
      <c r="N950" s="36" t="str">
        <f aca="false">IF($A950="","",$I950*$K950)</f>
        <v/>
      </c>
      <c r="O950" s="35" t="str">
        <f aca="false">IF(OR($A950="",$C950="U",$S950&lt;&gt;Calc!$F$2),"",SUMIFS($I$3:$I$3002,$E$3:$E$3002,$E950,$C$3:$C$3002,"&lt;&gt;U",$S$3:$S$3002,Calc!$F$2))</f>
        <v/>
      </c>
      <c r="P950" s="35" t="str">
        <f aca="false">IF(OR($A950="",$C950="U",$S950&lt;&gt;Calc!$F$2),"",SUMIFS($N$3:$N$3002,$E$3:$E$3002,$E950,$C$3:$C$3002,"&lt;&gt;U",$S$3:$S$3002,Calc!$F$2))</f>
        <v/>
      </c>
      <c r="Q950" s="35" t="str">
        <f aca="false">IF(OR($A950="",$C950="U",$S950&lt;&gt;Calc!$F$2),"",IF(COUNTIFS($E$3:$E950,$E950,$C$3:$C950,"&lt;&gt;U",$S$3:$S950,Calc!$F$2)=1,1,0))</f>
        <v/>
      </c>
      <c r="R950" s="35" t="str">
        <f aca="false">IF($Q950=1,$O950-ROW()/100000,"")</f>
        <v/>
      </c>
      <c r="S950" s="37" t="str">
        <f aca="false">IF($A950="","",INT($A950))</f>
        <v/>
      </c>
      <c r="T950" s="35" t="str">
        <f aca="false">IF($A950="","",IF(COUNTIFS($S$3:$S950,$S950)=1,1,0))</f>
        <v/>
      </c>
      <c r="U950" s="37" t="str">
        <f aca="false">IF($T950=1,$S950,"")</f>
        <v/>
      </c>
    </row>
    <row r="951" customFormat="false" ht="15" hidden="false" customHeight="false" outlineLevel="0" collapsed="false">
      <c r="M951" s="35" t="str">
        <f aca="false">IF($A951="","",HOUR($A951))</f>
        <v/>
      </c>
      <c r="N951" s="36" t="str">
        <f aca="false">IF($A951="","",$I951*$K951)</f>
        <v/>
      </c>
      <c r="O951" s="35" t="str">
        <f aca="false">IF(OR($A951="",$C951="U",$S951&lt;&gt;Calc!$F$2),"",SUMIFS($I$3:$I$3002,$E$3:$E$3002,$E951,$C$3:$C$3002,"&lt;&gt;U",$S$3:$S$3002,Calc!$F$2))</f>
        <v/>
      </c>
      <c r="P951" s="35" t="str">
        <f aca="false">IF(OR($A951="",$C951="U",$S951&lt;&gt;Calc!$F$2),"",SUMIFS($N$3:$N$3002,$E$3:$E$3002,$E951,$C$3:$C$3002,"&lt;&gt;U",$S$3:$S$3002,Calc!$F$2))</f>
        <v/>
      </c>
      <c r="Q951" s="35" t="str">
        <f aca="false">IF(OR($A951="",$C951="U",$S951&lt;&gt;Calc!$F$2),"",IF(COUNTIFS($E$3:$E951,$E951,$C$3:$C951,"&lt;&gt;U",$S$3:$S951,Calc!$F$2)=1,1,0))</f>
        <v/>
      </c>
      <c r="R951" s="35" t="str">
        <f aca="false">IF($Q951=1,$O951-ROW()/100000,"")</f>
        <v/>
      </c>
      <c r="S951" s="37" t="str">
        <f aca="false">IF($A951="","",INT($A951))</f>
        <v/>
      </c>
      <c r="T951" s="35" t="str">
        <f aca="false">IF($A951="","",IF(COUNTIFS($S$3:$S951,$S951)=1,1,0))</f>
        <v/>
      </c>
      <c r="U951" s="37" t="str">
        <f aca="false">IF($T951=1,$S951,"")</f>
        <v/>
      </c>
    </row>
    <row r="952" customFormat="false" ht="15" hidden="false" customHeight="false" outlineLevel="0" collapsed="false">
      <c r="M952" s="35" t="str">
        <f aca="false">IF($A952="","",HOUR($A952))</f>
        <v/>
      </c>
      <c r="N952" s="36" t="str">
        <f aca="false">IF($A952="","",$I952*$K952)</f>
        <v/>
      </c>
      <c r="O952" s="35" t="str">
        <f aca="false">IF(OR($A952="",$C952="U",$S952&lt;&gt;Calc!$F$2),"",SUMIFS($I$3:$I$3002,$E$3:$E$3002,$E952,$C$3:$C$3002,"&lt;&gt;U",$S$3:$S$3002,Calc!$F$2))</f>
        <v/>
      </c>
      <c r="P952" s="35" t="str">
        <f aca="false">IF(OR($A952="",$C952="U",$S952&lt;&gt;Calc!$F$2),"",SUMIFS($N$3:$N$3002,$E$3:$E$3002,$E952,$C$3:$C$3002,"&lt;&gt;U",$S$3:$S$3002,Calc!$F$2))</f>
        <v/>
      </c>
      <c r="Q952" s="35" t="str">
        <f aca="false">IF(OR($A952="",$C952="U",$S952&lt;&gt;Calc!$F$2),"",IF(COUNTIFS($E$3:$E952,$E952,$C$3:$C952,"&lt;&gt;U",$S$3:$S952,Calc!$F$2)=1,1,0))</f>
        <v/>
      </c>
      <c r="R952" s="35" t="str">
        <f aca="false">IF($Q952=1,$O952-ROW()/100000,"")</f>
        <v/>
      </c>
      <c r="S952" s="37" t="str">
        <f aca="false">IF($A952="","",INT($A952))</f>
        <v/>
      </c>
      <c r="T952" s="35" t="str">
        <f aca="false">IF($A952="","",IF(COUNTIFS($S$3:$S952,$S952)=1,1,0))</f>
        <v/>
      </c>
      <c r="U952" s="37" t="str">
        <f aca="false">IF($T952=1,$S952,"")</f>
        <v/>
      </c>
    </row>
    <row r="953" customFormat="false" ht="15" hidden="false" customHeight="false" outlineLevel="0" collapsed="false">
      <c r="M953" s="35" t="str">
        <f aca="false">IF($A953="","",HOUR($A953))</f>
        <v/>
      </c>
      <c r="N953" s="36" t="str">
        <f aca="false">IF($A953="","",$I953*$K953)</f>
        <v/>
      </c>
      <c r="O953" s="35" t="str">
        <f aca="false">IF(OR($A953="",$C953="U",$S953&lt;&gt;Calc!$F$2),"",SUMIFS($I$3:$I$3002,$E$3:$E$3002,$E953,$C$3:$C$3002,"&lt;&gt;U",$S$3:$S$3002,Calc!$F$2))</f>
        <v/>
      </c>
      <c r="P953" s="35" t="str">
        <f aca="false">IF(OR($A953="",$C953="U",$S953&lt;&gt;Calc!$F$2),"",SUMIFS($N$3:$N$3002,$E$3:$E$3002,$E953,$C$3:$C$3002,"&lt;&gt;U",$S$3:$S$3002,Calc!$F$2))</f>
        <v/>
      </c>
      <c r="Q953" s="35" t="str">
        <f aca="false">IF(OR($A953="",$C953="U",$S953&lt;&gt;Calc!$F$2),"",IF(COUNTIFS($E$3:$E953,$E953,$C$3:$C953,"&lt;&gt;U",$S$3:$S953,Calc!$F$2)=1,1,0))</f>
        <v/>
      </c>
      <c r="R953" s="35" t="str">
        <f aca="false">IF($Q953=1,$O953-ROW()/100000,"")</f>
        <v/>
      </c>
      <c r="S953" s="37" t="str">
        <f aca="false">IF($A953="","",INT($A953))</f>
        <v/>
      </c>
      <c r="T953" s="35" t="str">
        <f aca="false">IF($A953="","",IF(COUNTIFS($S$3:$S953,$S953)=1,1,0))</f>
        <v/>
      </c>
      <c r="U953" s="37" t="str">
        <f aca="false">IF($T953=1,$S953,"")</f>
        <v/>
      </c>
    </row>
    <row r="954" customFormat="false" ht="15" hidden="false" customHeight="false" outlineLevel="0" collapsed="false">
      <c r="M954" s="35" t="str">
        <f aca="false">IF($A954="","",HOUR($A954))</f>
        <v/>
      </c>
      <c r="N954" s="36" t="str">
        <f aca="false">IF($A954="","",$I954*$K954)</f>
        <v/>
      </c>
      <c r="O954" s="35" t="str">
        <f aca="false">IF(OR($A954="",$C954="U",$S954&lt;&gt;Calc!$F$2),"",SUMIFS($I$3:$I$3002,$E$3:$E$3002,$E954,$C$3:$C$3002,"&lt;&gt;U",$S$3:$S$3002,Calc!$F$2))</f>
        <v/>
      </c>
      <c r="P954" s="35" t="str">
        <f aca="false">IF(OR($A954="",$C954="U",$S954&lt;&gt;Calc!$F$2),"",SUMIFS($N$3:$N$3002,$E$3:$E$3002,$E954,$C$3:$C$3002,"&lt;&gt;U",$S$3:$S$3002,Calc!$F$2))</f>
        <v/>
      </c>
      <c r="Q954" s="35" t="str">
        <f aca="false">IF(OR($A954="",$C954="U",$S954&lt;&gt;Calc!$F$2),"",IF(COUNTIFS($E$3:$E954,$E954,$C$3:$C954,"&lt;&gt;U",$S$3:$S954,Calc!$F$2)=1,1,0))</f>
        <v/>
      </c>
      <c r="R954" s="35" t="str">
        <f aca="false">IF($Q954=1,$O954-ROW()/100000,"")</f>
        <v/>
      </c>
      <c r="S954" s="37" t="str">
        <f aca="false">IF($A954="","",INT($A954))</f>
        <v/>
      </c>
      <c r="T954" s="35" t="str">
        <f aca="false">IF($A954="","",IF(COUNTIFS($S$3:$S954,$S954)=1,1,0))</f>
        <v/>
      </c>
      <c r="U954" s="37" t="str">
        <f aca="false">IF($T954=1,$S954,"")</f>
        <v/>
      </c>
    </row>
    <row r="955" customFormat="false" ht="15" hidden="false" customHeight="false" outlineLevel="0" collapsed="false">
      <c r="M955" s="35" t="str">
        <f aca="false">IF($A955="","",HOUR($A955))</f>
        <v/>
      </c>
      <c r="N955" s="36" t="str">
        <f aca="false">IF($A955="","",$I955*$K955)</f>
        <v/>
      </c>
      <c r="O955" s="35" t="str">
        <f aca="false">IF(OR($A955="",$C955="U",$S955&lt;&gt;Calc!$F$2),"",SUMIFS($I$3:$I$3002,$E$3:$E$3002,$E955,$C$3:$C$3002,"&lt;&gt;U",$S$3:$S$3002,Calc!$F$2))</f>
        <v/>
      </c>
      <c r="P955" s="35" t="str">
        <f aca="false">IF(OR($A955="",$C955="U",$S955&lt;&gt;Calc!$F$2),"",SUMIFS($N$3:$N$3002,$E$3:$E$3002,$E955,$C$3:$C$3002,"&lt;&gt;U",$S$3:$S$3002,Calc!$F$2))</f>
        <v/>
      </c>
      <c r="Q955" s="35" t="str">
        <f aca="false">IF(OR($A955="",$C955="U",$S955&lt;&gt;Calc!$F$2),"",IF(COUNTIFS($E$3:$E955,$E955,$C$3:$C955,"&lt;&gt;U",$S$3:$S955,Calc!$F$2)=1,1,0))</f>
        <v/>
      </c>
      <c r="R955" s="35" t="str">
        <f aca="false">IF($Q955=1,$O955-ROW()/100000,"")</f>
        <v/>
      </c>
      <c r="S955" s="37" t="str">
        <f aca="false">IF($A955="","",INT($A955))</f>
        <v/>
      </c>
      <c r="T955" s="35" t="str">
        <f aca="false">IF($A955="","",IF(COUNTIFS($S$3:$S955,$S955)=1,1,0))</f>
        <v/>
      </c>
      <c r="U955" s="37" t="str">
        <f aca="false">IF($T955=1,$S955,"")</f>
        <v/>
      </c>
    </row>
    <row r="956" customFormat="false" ht="15" hidden="false" customHeight="false" outlineLevel="0" collapsed="false">
      <c r="M956" s="35" t="str">
        <f aca="false">IF($A956="","",HOUR($A956))</f>
        <v/>
      </c>
      <c r="N956" s="36" t="str">
        <f aca="false">IF($A956="","",$I956*$K956)</f>
        <v/>
      </c>
      <c r="O956" s="35" t="str">
        <f aca="false">IF(OR($A956="",$C956="U",$S956&lt;&gt;Calc!$F$2),"",SUMIFS($I$3:$I$3002,$E$3:$E$3002,$E956,$C$3:$C$3002,"&lt;&gt;U",$S$3:$S$3002,Calc!$F$2))</f>
        <v/>
      </c>
      <c r="P956" s="35" t="str">
        <f aca="false">IF(OR($A956="",$C956="U",$S956&lt;&gt;Calc!$F$2),"",SUMIFS($N$3:$N$3002,$E$3:$E$3002,$E956,$C$3:$C$3002,"&lt;&gt;U",$S$3:$S$3002,Calc!$F$2))</f>
        <v/>
      </c>
      <c r="Q956" s="35" t="str">
        <f aca="false">IF(OR($A956="",$C956="U",$S956&lt;&gt;Calc!$F$2),"",IF(COUNTIFS($E$3:$E956,$E956,$C$3:$C956,"&lt;&gt;U",$S$3:$S956,Calc!$F$2)=1,1,0))</f>
        <v/>
      </c>
      <c r="R956" s="35" t="str">
        <f aca="false">IF($Q956=1,$O956-ROW()/100000,"")</f>
        <v/>
      </c>
      <c r="S956" s="37" t="str">
        <f aca="false">IF($A956="","",INT($A956))</f>
        <v/>
      </c>
      <c r="T956" s="35" t="str">
        <f aca="false">IF($A956="","",IF(COUNTIFS($S$3:$S956,$S956)=1,1,0))</f>
        <v/>
      </c>
      <c r="U956" s="37" t="str">
        <f aca="false">IF($T956=1,$S956,"")</f>
        <v/>
      </c>
    </row>
    <row r="957" customFormat="false" ht="15" hidden="false" customHeight="false" outlineLevel="0" collapsed="false">
      <c r="M957" s="35" t="str">
        <f aca="false">IF($A957="","",HOUR($A957))</f>
        <v/>
      </c>
      <c r="N957" s="36" t="str">
        <f aca="false">IF($A957="","",$I957*$K957)</f>
        <v/>
      </c>
      <c r="O957" s="35" t="str">
        <f aca="false">IF(OR($A957="",$C957="U",$S957&lt;&gt;Calc!$F$2),"",SUMIFS($I$3:$I$3002,$E$3:$E$3002,$E957,$C$3:$C$3002,"&lt;&gt;U",$S$3:$S$3002,Calc!$F$2))</f>
        <v/>
      </c>
      <c r="P957" s="35" t="str">
        <f aca="false">IF(OR($A957="",$C957="U",$S957&lt;&gt;Calc!$F$2),"",SUMIFS($N$3:$N$3002,$E$3:$E$3002,$E957,$C$3:$C$3002,"&lt;&gt;U",$S$3:$S$3002,Calc!$F$2))</f>
        <v/>
      </c>
      <c r="Q957" s="35" t="str">
        <f aca="false">IF(OR($A957="",$C957="U",$S957&lt;&gt;Calc!$F$2),"",IF(COUNTIFS($E$3:$E957,$E957,$C$3:$C957,"&lt;&gt;U",$S$3:$S957,Calc!$F$2)=1,1,0))</f>
        <v/>
      </c>
      <c r="R957" s="35" t="str">
        <f aca="false">IF($Q957=1,$O957-ROW()/100000,"")</f>
        <v/>
      </c>
      <c r="S957" s="37" t="str">
        <f aca="false">IF($A957="","",INT($A957))</f>
        <v/>
      </c>
      <c r="T957" s="35" t="str">
        <f aca="false">IF($A957="","",IF(COUNTIFS($S$3:$S957,$S957)=1,1,0))</f>
        <v/>
      </c>
      <c r="U957" s="37" t="str">
        <f aca="false">IF($T957=1,$S957,"")</f>
        <v/>
      </c>
    </row>
    <row r="958" customFormat="false" ht="15" hidden="false" customHeight="false" outlineLevel="0" collapsed="false">
      <c r="M958" s="35" t="str">
        <f aca="false">IF($A958="","",HOUR($A958))</f>
        <v/>
      </c>
      <c r="N958" s="36" t="str">
        <f aca="false">IF($A958="","",$I958*$K958)</f>
        <v/>
      </c>
      <c r="O958" s="35" t="str">
        <f aca="false">IF(OR($A958="",$C958="U",$S958&lt;&gt;Calc!$F$2),"",SUMIFS($I$3:$I$3002,$E$3:$E$3002,$E958,$C$3:$C$3002,"&lt;&gt;U",$S$3:$S$3002,Calc!$F$2))</f>
        <v/>
      </c>
      <c r="P958" s="35" t="str">
        <f aca="false">IF(OR($A958="",$C958="U",$S958&lt;&gt;Calc!$F$2),"",SUMIFS($N$3:$N$3002,$E$3:$E$3002,$E958,$C$3:$C$3002,"&lt;&gt;U",$S$3:$S$3002,Calc!$F$2))</f>
        <v/>
      </c>
      <c r="Q958" s="35" t="str">
        <f aca="false">IF(OR($A958="",$C958="U",$S958&lt;&gt;Calc!$F$2),"",IF(COUNTIFS($E$3:$E958,$E958,$C$3:$C958,"&lt;&gt;U",$S$3:$S958,Calc!$F$2)=1,1,0))</f>
        <v/>
      </c>
      <c r="R958" s="35" t="str">
        <f aca="false">IF($Q958=1,$O958-ROW()/100000,"")</f>
        <v/>
      </c>
      <c r="S958" s="37" t="str">
        <f aca="false">IF($A958="","",INT($A958))</f>
        <v/>
      </c>
      <c r="T958" s="35" t="str">
        <f aca="false">IF($A958="","",IF(COUNTIFS($S$3:$S958,$S958)=1,1,0))</f>
        <v/>
      </c>
      <c r="U958" s="37" t="str">
        <f aca="false">IF($T958=1,$S958,"")</f>
        <v/>
      </c>
    </row>
    <row r="959" customFormat="false" ht="15" hidden="false" customHeight="false" outlineLevel="0" collapsed="false">
      <c r="M959" s="35" t="str">
        <f aca="false">IF($A959="","",HOUR($A959))</f>
        <v/>
      </c>
      <c r="N959" s="36" t="str">
        <f aca="false">IF($A959="","",$I959*$K959)</f>
        <v/>
      </c>
      <c r="O959" s="35" t="str">
        <f aca="false">IF(OR($A959="",$C959="U",$S959&lt;&gt;Calc!$F$2),"",SUMIFS($I$3:$I$3002,$E$3:$E$3002,$E959,$C$3:$C$3002,"&lt;&gt;U",$S$3:$S$3002,Calc!$F$2))</f>
        <v/>
      </c>
      <c r="P959" s="35" t="str">
        <f aca="false">IF(OR($A959="",$C959="U",$S959&lt;&gt;Calc!$F$2),"",SUMIFS($N$3:$N$3002,$E$3:$E$3002,$E959,$C$3:$C$3002,"&lt;&gt;U",$S$3:$S$3002,Calc!$F$2))</f>
        <v/>
      </c>
      <c r="Q959" s="35" t="str">
        <f aca="false">IF(OR($A959="",$C959="U",$S959&lt;&gt;Calc!$F$2),"",IF(COUNTIFS($E$3:$E959,$E959,$C$3:$C959,"&lt;&gt;U",$S$3:$S959,Calc!$F$2)=1,1,0))</f>
        <v/>
      </c>
      <c r="R959" s="35" t="str">
        <f aca="false">IF($Q959=1,$O959-ROW()/100000,"")</f>
        <v/>
      </c>
      <c r="S959" s="37" t="str">
        <f aca="false">IF($A959="","",INT($A959))</f>
        <v/>
      </c>
      <c r="T959" s="35" t="str">
        <f aca="false">IF($A959="","",IF(COUNTIFS($S$3:$S959,$S959)=1,1,0))</f>
        <v/>
      </c>
      <c r="U959" s="37" t="str">
        <f aca="false">IF($T959=1,$S959,"")</f>
        <v/>
      </c>
    </row>
    <row r="960" customFormat="false" ht="15" hidden="false" customHeight="false" outlineLevel="0" collapsed="false">
      <c r="M960" s="35" t="str">
        <f aca="false">IF($A960="","",HOUR($A960))</f>
        <v/>
      </c>
      <c r="N960" s="36" t="str">
        <f aca="false">IF($A960="","",$I960*$K960)</f>
        <v/>
      </c>
      <c r="O960" s="35" t="str">
        <f aca="false">IF(OR($A960="",$C960="U",$S960&lt;&gt;Calc!$F$2),"",SUMIFS($I$3:$I$3002,$E$3:$E$3002,$E960,$C$3:$C$3002,"&lt;&gt;U",$S$3:$S$3002,Calc!$F$2))</f>
        <v/>
      </c>
      <c r="P960" s="35" t="str">
        <f aca="false">IF(OR($A960="",$C960="U",$S960&lt;&gt;Calc!$F$2),"",SUMIFS($N$3:$N$3002,$E$3:$E$3002,$E960,$C$3:$C$3002,"&lt;&gt;U",$S$3:$S$3002,Calc!$F$2))</f>
        <v/>
      </c>
      <c r="Q960" s="35" t="str">
        <f aca="false">IF(OR($A960="",$C960="U",$S960&lt;&gt;Calc!$F$2),"",IF(COUNTIFS($E$3:$E960,$E960,$C$3:$C960,"&lt;&gt;U",$S$3:$S960,Calc!$F$2)=1,1,0))</f>
        <v/>
      </c>
      <c r="R960" s="35" t="str">
        <f aca="false">IF($Q960=1,$O960-ROW()/100000,"")</f>
        <v/>
      </c>
      <c r="S960" s="37" t="str">
        <f aca="false">IF($A960="","",INT($A960))</f>
        <v/>
      </c>
      <c r="T960" s="35" t="str">
        <f aca="false">IF($A960="","",IF(COUNTIFS($S$3:$S960,$S960)=1,1,0))</f>
        <v/>
      </c>
      <c r="U960" s="37" t="str">
        <f aca="false">IF($T960=1,$S960,"")</f>
        <v/>
      </c>
    </row>
    <row r="961" customFormat="false" ht="15" hidden="false" customHeight="false" outlineLevel="0" collapsed="false">
      <c r="M961" s="35" t="str">
        <f aca="false">IF($A961="","",HOUR($A961))</f>
        <v/>
      </c>
      <c r="N961" s="36" t="str">
        <f aca="false">IF($A961="","",$I961*$K961)</f>
        <v/>
      </c>
      <c r="O961" s="35" t="str">
        <f aca="false">IF(OR($A961="",$C961="U",$S961&lt;&gt;Calc!$F$2),"",SUMIFS($I$3:$I$3002,$E$3:$E$3002,$E961,$C$3:$C$3002,"&lt;&gt;U",$S$3:$S$3002,Calc!$F$2))</f>
        <v/>
      </c>
      <c r="P961" s="35" t="str">
        <f aca="false">IF(OR($A961="",$C961="U",$S961&lt;&gt;Calc!$F$2),"",SUMIFS($N$3:$N$3002,$E$3:$E$3002,$E961,$C$3:$C$3002,"&lt;&gt;U",$S$3:$S$3002,Calc!$F$2))</f>
        <v/>
      </c>
      <c r="Q961" s="35" t="str">
        <f aca="false">IF(OR($A961="",$C961="U",$S961&lt;&gt;Calc!$F$2),"",IF(COUNTIFS($E$3:$E961,$E961,$C$3:$C961,"&lt;&gt;U",$S$3:$S961,Calc!$F$2)=1,1,0))</f>
        <v/>
      </c>
      <c r="R961" s="35" t="str">
        <f aca="false">IF($Q961=1,$O961-ROW()/100000,"")</f>
        <v/>
      </c>
      <c r="S961" s="37" t="str">
        <f aca="false">IF($A961="","",INT($A961))</f>
        <v/>
      </c>
      <c r="T961" s="35" t="str">
        <f aca="false">IF($A961="","",IF(COUNTIFS($S$3:$S961,$S961)=1,1,0))</f>
        <v/>
      </c>
      <c r="U961" s="37" t="str">
        <f aca="false">IF($T961=1,$S961,"")</f>
        <v/>
      </c>
    </row>
    <row r="962" customFormat="false" ht="15" hidden="false" customHeight="false" outlineLevel="0" collapsed="false">
      <c r="M962" s="35" t="str">
        <f aca="false">IF($A962="","",HOUR($A962))</f>
        <v/>
      </c>
      <c r="N962" s="36" t="str">
        <f aca="false">IF($A962="","",$I962*$K962)</f>
        <v/>
      </c>
      <c r="O962" s="35" t="str">
        <f aca="false">IF(OR($A962="",$C962="U",$S962&lt;&gt;Calc!$F$2),"",SUMIFS($I$3:$I$3002,$E$3:$E$3002,$E962,$C$3:$C$3002,"&lt;&gt;U",$S$3:$S$3002,Calc!$F$2))</f>
        <v/>
      </c>
      <c r="P962" s="35" t="str">
        <f aca="false">IF(OR($A962="",$C962="U",$S962&lt;&gt;Calc!$F$2),"",SUMIFS($N$3:$N$3002,$E$3:$E$3002,$E962,$C$3:$C$3002,"&lt;&gt;U",$S$3:$S$3002,Calc!$F$2))</f>
        <v/>
      </c>
      <c r="Q962" s="35" t="str">
        <f aca="false">IF(OR($A962="",$C962="U",$S962&lt;&gt;Calc!$F$2),"",IF(COUNTIFS($E$3:$E962,$E962,$C$3:$C962,"&lt;&gt;U",$S$3:$S962,Calc!$F$2)=1,1,0))</f>
        <v/>
      </c>
      <c r="R962" s="35" t="str">
        <f aca="false">IF($Q962=1,$O962-ROW()/100000,"")</f>
        <v/>
      </c>
      <c r="S962" s="37" t="str">
        <f aca="false">IF($A962="","",INT($A962))</f>
        <v/>
      </c>
      <c r="T962" s="35" t="str">
        <f aca="false">IF($A962="","",IF(COUNTIFS($S$3:$S962,$S962)=1,1,0))</f>
        <v/>
      </c>
      <c r="U962" s="37" t="str">
        <f aca="false">IF($T962=1,$S962,"")</f>
        <v/>
      </c>
    </row>
    <row r="963" customFormat="false" ht="15" hidden="false" customHeight="false" outlineLevel="0" collapsed="false">
      <c r="M963" s="35" t="str">
        <f aca="false">IF($A963="","",HOUR($A963))</f>
        <v/>
      </c>
      <c r="N963" s="36" t="str">
        <f aca="false">IF($A963="","",$I963*$K963)</f>
        <v/>
      </c>
      <c r="O963" s="35" t="str">
        <f aca="false">IF(OR($A963="",$C963="U",$S963&lt;&gt;Calc!$F$2),"",SUMIFS($I$3:$I$3002,$E$3:$E$3002,$E963,$C$3:$C$3002,"&lt;&gt;U",$S$3:$S$3002,Calc!$F$2))</f>
        <v/>
      </c>
      <c r="P963" s="35" t="str">
        <f aca="false">IF(OR($A963="",$C963="U",$S963&lt;&gt;Calc!$F$2),"",SUMIFS($N$3:$N$3002,$E$3:$E$3002,$E963,$C$3:$C$3002,"&lt;&gt;U",$S$3:$S$3002,Calc!$F$2))</f>
        <v/>
      </c>
      <c r="Q963" s="35" t="str">
        <f aca="false">IF(OR($A963="",$C963="U",$S963&lt;&gt;Calc!$F$2),"",IF(COUNTIFS($E$3:$E963,$E963,$C$3:$C963,"&lt;&gt;U",$S$3:$S963,Calc!$F$2)=1,1,0))</f>
        <v/>
      </c>
      <c r="R963" s="35" t="str">
        <f aca="false">IF($Q963=1,$O963-ROW()/100000,"")</f>
        <v/>
      </c>
      <c r="S963" s="37" t="str">
        <f aca="false">IF($A963="","",INT($A963))</f>
        <v/>
      </c>
      <c r="T963" s="35" t="str">
        <f aca="false">IF($A963="","",IF(COUNTIFS($S$3:$S963,$S963)=1,1,0))</f>
        <v/>
      </c>
      <c r="U963" s="37" t="str">
        <f aca="false">IF($T963=1,$S963,"")</f>
        <v/>
      </c>
    </row>
    <row r="964" customFormat="false" ht="15" hidden="false" customHeight="false" outlineLevel="0" collapsed="false">
      <c r="M964" s="35" t="str">
        <f aca="false">IF($A964="","",HOUR($A964))</f>
        <v/>
      </c>
      <c r="N964" s="36" t="str">
        <f aca="false">IF($A964="","",$I964*$K964)</f>
        <v/>
      </c>
      <c r="O964" s="35" t="str">
        <f aca="false">IF(OR($A964="",$C964="U",$S964&lt;&gt;Calc!$F$2),"",SUMIFS($I$3:$I$3002,$E$3:$E$3002,$E964,$C$3:$C$3002,"&lt;&gt;U",$S$3:$S$3002,Calc!$F$2))</f>
        <v/>
      </c>
      <c r="P964" s="35" t="str">
        <f aca="false">IF(OR($A964="",$C964="U",$S964&lt;&gt;Calc!$F$2),"",SUMIFS($N$3:$N$3002,$E$3:$E$3002,$E964,$C$3:$C$3002,"&lt;&gt;U",$S$3:$S$3002,Calc!$F$2))</f>
        <v/>
      </c>
      <c r="Q964" s="35" t="str">
        <f aca="false">IF(OR($A964="",$C964="U",$S964&lt;&gt;Calc!$F$2),"",IF(COUNTIFS($E$3:$E964,$E964,$C$3:$C964,"&lt;&gt;U",$S$3:$S964,Calc!$F$2)=1,1,0))</f>
        <v/>
      </c>
      <c r="R964" s="35" t="str">
        <f aca="false">IF($Q964=1,$O964-ROW()/100000,"")</f>
        <v/>
      </c>
      <c r="S964" s="37" t="str">
        <f aca="false">IF($A964="","",INT($A964))</f>
        <v/>
      </c>
      <c r="T964" s="35" t="str">
        <f aca="false">IF($A964="","",IF(COUNTIFS($S$3:$S964,$S964)=1,1,0))</f>
        <v/>
      </c>
      <c r="U964" s="37" t="str">
        <f aca="false">IF($T964=1,$S964,"")</f>
        <v/>
      </c>
    </row>
    <row r="965" customFormat="false" ht="15" hidden="false" customHeight="false" outlineLevel="0" collapsed="false">
      <c r="M965" s="35" t="str">
        <f aca="false">IF($A965="","",HOUR($A965))</f>
        <v/>
      </c>
      <c r="N965" s="36" t="str">
        <f aca="false">IF($A965="","",$I965*$K965)</f>
        <v/>
      </c>
      <c r="O965" s="35" t="str">
        <f aca="false">IF(OR($A965="",$C965="U",$S965&lt;&gt;Calc!$F$2),"",SUMIFS($I$3:$I$3002,$E$3:$E$3002,$E965,$C$3:$C$3002,"&lt;&gt;U",$S$3:$S$3002,Calc!$F$2))</f>
        <v/>
      </c>
      <c r="P965" s="35" t="str">
        <f aca="false">IF(OR($A965="",$C965="U",$S965&lt;&gt;Calc!$F$2),"",SUMIFS($N$3:$N$3002,$E$3:$E$3002,$E965,$C$3:$C$3002,"&lt;&gt;U",$S$3:$S$3002,Calc!$F$2))</f>
        <v/>
      </c>
      <c r="Q965" s="35" t="str">
        <f aca="false">IF(OR($A965="",$C965="U",$S965&lt;&gt;Calc!$F$2),"",IF(COUNTIFS($E$3:$E965,$E965,$C$3:$C965,"&lt;&gt;U",$S$3:$S965,Calc!$F$2)=1,1,0))</f>
        <v/>
      </c>
      <c r="R965" s="35" t="str">
        <f aca="false">IF($Q965=1,$O965-ROW()/100000,"")</f>
        <v/>
      </c>
      <c r="S965" s="37" t="str">
        <f aca="false">IF($A965="","",INT($A965))</f>
        <v/>
      </c>
      <c r="T965" s="35" t="str">
        <f aca="false">IF($A965="","",IF(COUNTIFS($S$3:$S965,$S965)=1,1,0))</f>
        <v/>
      </c>
      <c r="U965" s="37" t="str">
        <f aca="false">IF($T965=1,$S965,"")</f>
        <v/>
      </c>
    </row>
    <row r="966" customFormat="false" ht="15" hidden="false" customHeight="false" outlineLevel="0" collapsed="false">
      <c r="M966" s="35" t="str">
        <f aca="false">IF($A966="","",HOUR($A966))</f>
        <v/>
      </c>
      <c r="N966" s="36" t="str">
        <f aca="false">IF($A966="","",$I966*$K966)</f>
        <v/>
      </c>
      <c r="O966" s="35" t="str">
        <f aca="false">IF(OR($A966="",$C966="U",$S966&lt;&gt;Calc!$F$2),"",SUMIFS($I$3:$I$3002,$E$3:$E$3002,$E966,$C$3:$C$3002,"&lt;&gt;U",$S$3:$S$3002,Calc!$F$2))</f>
        <v/>
      </c>
      <c r="P966" s="35" t="str">
        <f aca="false">IF(OR($A966="",$C966="U",$S966&lt;&gt;Calc!$F$2),"",SUMIFS($N$3:$N$3002,$E$3:$E$3002,$E966,$C$3:$C$3002,"&lt;&gt;U",$S$3:$S$3002,Calc!$F$2))</f>
        <v/>
      </c>
      <c r="Q966" s="35" t="str">
        <f aca="false">IF(OR($A966="",$C966="U",$S966&lt;&gt;Calc!$F$2),"",IF(COUNTIFS($E$3:$E966,$E966,$C$3:$C966,"&lt;&gt;U",$S$3:$S966,Calc!$F$2)=1,1,0))</f>
        <v/>
      </c>
      <c r="R966" s="35" t="str">
        <f aca="false">IF($Q966=1,$O966-ROW()/100000,"")</f>
        <v/>
      </c>
      <c r="S966" s="37" t="str">
        <f aca="false">IF($A966="","",INT($A966))</f>
        <v/>
      </c>
      <c r="T966" s="35" t="str">
        <f aca="false">IF($A966="","",IF(COUNTIFS($S$3:$S966,$S966)=1,1,0))</f>
        <v/>
      </c>
      <c r="U966" s="37" t="str">
        <f aca="false">IF($T966=1,$S966,"")</f>
        <v/>
      </c>
    </row>
    <row r="967" customFormat="false" ht="15" hidden="false" customHeight="false" outlineLevel="0" collapsed="false">
      <c r="M967" s="35" t="str">
        <f aca="false">IF($A967="","",HOUR($A967))</f>
        <v/>
      </c>
      <c r="N967" s="36" t="str">
        <f aca="false">IF($A967="","",$I967*$K967)</f>
        <v/>
      </c>
      <c r="O967" s="35" t="str">
        <f aca="false">IF(OR($A967="",$C967="U",$S967&lt;&gt;Calc!$F$2),"",SUMIFS($I$3:$I$3002,$E$3:$E$3002,$E967,$C$3:$C$3002,"&lt;&gt;U",$S$3:$S$3002,Calc!$F$2))</f>
        <v/>
      </c>
      <c r="P967" s="35" t="str">
        <f aca="false">IF(OR($A967="",$C967="U",$S967&lt;&gt;Calc!$F$2),"",SUMIFS($N$3:$N$3002,$E$3:$E$3002,$E967,$C$3:$C$3002,"&lt;&gt;U",$S$3:$S$3002,Calc!$F$2))</f>
        <v/>
      </c>
      <c r="Q967" s="35" t="str">
        <f aca="false">IF(OR($A967="",$C967="U",$S967&lt;&gt;Calc!$F$2),"",IF(COUNTIFS($E$3:$E967,$E967,$C$3:$C967,"&lt;&gt;U",$S$3:$S967,Calc!$F$2)=1,1,0))</f>
        <v/>
      </c>
      <c r="R967" s="35" t="str">
        <f aca="false">IF($Q967=1,$O967-ROW()/100000,"")</f>
        <v/>
      </c>
      <c r="S967" s="37" t="str">
        <f aca="false">IF($A967="","",INT($A967))</f>
        <v/>
      </c>
      <c r="T967" s="35" t="str">
        <f aca="false">IF($A967="","",IF(COUNTIFS($S$3:$S967,$S967)=1,1,0))</f>
        <v/>
      </c>
      <c r="U967" s="37" t="str">
        <f aca="false">IF($T967=1,$S967,"")</f>
        <v/>
      </c>
    </row>
    <row r="968" customFormat="false" ht="15" hidden="false" customHeight="false" outlineLevel="0" collapsed="false">
      <c r="M968" s="35" t="str">
        <f aca="false">IF($A968="","",HOUR($A968))</f>
        <v/>
      </c>
      <c r="N968" s="36" t="str">
        <f aca="false">IF($A968="","",$I968*$K968)</f>
        <v/>
      </c>
      <c r="O968" s="35" t="str">
        <f aca="false">IF(OR($A968="",$C968="U",$S968&lt;&gt;Calc!$F$2),"",SUMIFS($I$3:$I$3002,$E$3:$E$3002,$E968,$C$3:$C$3002,"&lt;&gt;U",$S$3:$S$3002,Calc!$F$2))</f>
        <v/>
      </c>
      <c r="P968" s="35" t="str">
        <f aca="false">IF(OR($A968="",$C968="U",$S968&lt;&gt;Calc!$F$2),"",SUMIFS($N$3:$N$3002,$E$3:$E$3002,$E968,$C$3:$C$3002,"&lt;&gt;U",$S$3:$S$3002,Calc!$F$2))</f>
        <v/>
      </c>
      <c r="Q968" s="35" t="str">
        <f aca="false">IF(OR($A968="",$C968="U",$S968&lt;&gt;Calc!$F$2),"",IF(COUNTIFS($E$3:$E968,$E968,$C$3:$C968,"&lt;&gt;U",$S$3:$S968,Calc!$F$2)=1,1,0))</f>
        <v/>
      </c>
      <c r="R968" s="35" t="str">
        <f aca="false">IF($Q968=1,$O968-ROW()/100000,"")</f>
        <v/>
      </c>
      <c r="S968" s="37" t="str">
        <f aca="false">IF($A968="","",INT($A968))</f>
        <v/>
      </c>
      <c r="T968" s="35" t="str">
        <f aca="false">IF($A968="","",IF(COUNTIFS($S$3:$S968,$S968)=1,1,0))</f>
        <v/>
      </c>
      <c r="U968" s="37" t="str">
        <f aca="false">IF($T968=1,$S968,"")</f>
        <v/>
      </c>
    </row>
    <row r="969" customFormat="false" ht="15" hidden="false" customHeight="false" outlineLevel="0" collapsed="false">
      <c r="M969" s="35" t="str">
        <f aca="false">IF($A969="","",HOUR($A969))</f>
        <v/>
      </c>
      <c r="N969" s="36" t="str">
        <f aca="false">IF($A969="","",$I969*$K969)</f>
        <v/>
      </c>
      <c r="O969" s="35" t="str">
        <f aca="false">IF(OR($A969="",$C969="U",$S969&lt;&gt;Calc!$F$2),"",SUMIFS($I$3:$I$3002,$E$3:$E$3002,$E969,$C$3:$C$3002,"&lt;&gt;U",$S$3:$S$3002,Calc!$F$2))</f>
        <v/>
      </c>
      <c r="P969" s="35" t="str">
        <f aca="false">IF(OR($A969="",$C969="U",$S969&lt;&gt;Calc!$F$2),"",SUMIFS($N$3:$N$3002,$E$3:$E$3002,$E969,$C$3:$C$3002,"&lt;&gt;U",$S$3:$S$3002,Calc!$F$2))</f>
        <v/>
      </c>
      <c r="Q969" s="35" t="str">
        <f aca="false">IF(OR($A969="",$C969="U",$S969&lt;&gt;Calc!$F$2),"",IF(COUNTIFS($E$3:$E969,$E969,$C$3:$C969,"&lt;&gt;U",$S$3:$S969,Calc!$F$2)=1,1,0))</f>
        <v/>
      </c>
      <c r="R969" s="35" t="str">
        <f aca="false">IF($Q969=1,$O969-ROW()/100000,"")</f>
        <v/>
      </c>
      <c r="S969" s="37" t="str">
        <f aca="false">IF($A969="","",INT($A969))</f>
        <v/>
      </c>
      <c r="T969" s="35" t="str">
        <f aca="false">IF($A969="","",IF(COUNTIFS($S$3:$S969,$S969)=1,1,0))</f>
        <v/>
      </c>
      <c r="U969" s="37" t="str">
        <f aca="false">IF($T969=1,$S969,"")</f>
        <v/>
      </c>
    </row>
    <row r="970" customFormat="false" ht="15" hidden="false" customHeight="false" outlineLevel="0" collapsed="false">
      <c r="M970" s="35" t="str">
        <f aca="false">IF($A970="","",HOUR($A970))</f>
        <v/>
      </c>
      <c r="N970" s="36" t="str">
        <f aca="false">IF($A970="","",$I970*$K970)</f>
        <v/>
      </c>
      <c r="O970" s="35" t="str">
        <f aca="false">IF(OR($A970="",$C970="U",$S970&lt;&gt;Calc!$F$2),"",SUMIFS($I$3:$I$3002,$E$3:$E$3002,$E970,$C$3:$C$3002,"&lt;&gt;U",$S$3:$S$3002,Calc!$F$2))</f>
        <v/>
      </c>
      <c r="P970" s="35" t="str">
        <f aca="false">IF(OR($A970="",$C970="U",$S970&lt;&gt;Calc!$F$2),"",SUMIFS($N$3:$N$3002,$E$3:$E$3002,$E970,$C$3:$C$3002,"&lt;&gt;U",$S$3:$S$3002,Calc!$F$2))</f>
        <v/>
      </c>
      <c r="Q970" s="35" t="str">
        <f aca="false">IF(OR($A970="",$C970="U",$S970&lt;&gt;Calc!$F$2),"",IF(COUNTIFS($E$3:$E970,$E970,$C$3:$C970,"&lt;&gt;U",$S$3:$S970,Calc!$F$2)=1,1,0))</f>
        <v/>
      </c>
      <c r="R970" s="35" t="str">
        <f aca="false">IF($Q970=1,$O970-ROW()/100000,"")</f>
        <v/>
      </c>
      <c r="S970" s="37" t="str">
        <f aca="false">IF($A970="","",INT($A970))</f>
        <v/>
      </c>
      <c r="T970" s="35" t="str">
        <f aca="false">IF($A970="","",IF(COUNTIFS($S$3:$S970,$S970)=1,1,0))</f>
        <v/>
      </c>
      <c r="U970" s="37" t="str">
        <f aca="false">IF($T970=1,$S970,"")</f>
        <v/>
      </c>
    </row>
    <row r="971" customFormat="false" ht="15" hidden="false" customHeight="false" outlineLevel="0" collapsed="false">
      <c r="M971" s="35" t="str">
        <f aca="false">IF($A971="","",HOUR($A971))</f>
        <v/>
      </c>
      <c r="N971" s="36" t="str">
        <f aca="false">IF($A971="","",$I971*$K971)</f>
        <v/>
      </c>
      <c r="O971" s="35" t="str">
        <f aca="false">IF(OR($A971="",$C971="U",$S971&lt;&gt;Calc!$F$2),"",SUMIFS($I$3:$I$3002,$E$3:$E$3002,$E971,$C$3:$C$3002,"&lt;&gt;U",$S$3:$S$3002,Calc!$F$2))</f>
        <v/>
      </c>
      <c r="P971" s="35" t="str">
        <f aca="false">IF(OR($A971="",$C971="U",$S971&lt;&gt;Calc!$F$2),"",SUMIFS($N$3:$N$3002,$E$3:$E$3002,$E971,$C$3:$C$3002,"&lt;&gt;U",$S$3:$S$3002,Calc!$F$2))</f>
        <v/>
      </c>
      <c r="Q971" s="35" t="str">
        <f aca="false">IF(OR($A971="",$C971="U",$S971&lt;&gt;Calc!$F$2),"",IF(COUNTIFS($E$3:$E971,$E971,$C$3:$C971,"&lt;&gt;U",$S$3:$S971,Calc!$F$2)=1,1,0))</f>
        <v/>
      </c>
      <c r="R971" s="35" t="str">
        <f aca="false">IF($Q971=1,$O971-ROW()/100000,"")</f>
        <v/>
      </c>
      <c r="S971" s="37" t="str">
        <f aca="false">IF($A971="","",INT($A971))</f>
        <v/>
      </c>
      <c r="T971" s="35" t="str">
        <f aca="false">IF($A971="","",IF(COUNTIFS($S$3:$S971,$S971)=1,1,0))</f>
        <v/>
      </c>
      <c r="U971" s="37" t="str">
        <f aca="false">IF($T971=1,$S971,"")</f>
        <v/>
      </c>
    </row>
    <row r="972" customFormat="false" ht="15" hidden="false" customHeight="false" outlineLevel="0" collapsed="false">
      <c r="M972" s="35" t="str">
        <f aca="false">IF($A972="","",HOUR($A972))</f>
        <v/>
      </c>
      <c r="N972" s="36" t="str">
        <f aca="false">IF($A972="","",$I972*$K972)</f>
        <v/>
      </c>
      <c r="O972" s="35" t="str">
        <f aca="false">IF(OR($A972="",$C972="U",$S972&lt;&gt;Calc!$F$2),"",SUMIFS($I$3:$I$3002,$E$3:$E$3002,$E972,$C$3:$C$3002,"&lt;&gt;U",$S$3:$S$3002,Calc!$F$2))</f>
        <v/>
      </c>
      <c r="P972" s="35" t="str">
        <f aca="false">IF(OR($A972="",$C972="U",$S972&lt;&gt;Calc!$F$2),"",SUMIFS($N$3:$N$3002,$E$3:$E$3002,$E972,$C$3:$C$3002,"&lt;&gt;U",$S$3:$S$3002,Calc!$F$2))</f>
        <v/>
      </c>
      <c r="Q972" s="35" t="str">
        <f aca="false">IF(OR($A972="",$C972="U",$S972&lt;&gt;Calc!$F$2),"",IF(COUNTIFS($E$3:$E972,$E972,$C$3:$C972,"&lt;&gt;U",$S$3:$S972,Calc!$F$2)=1,1,0))</f>
        <v/>
      </c>
      <c r="R972" s="35" t="str">
        <f aca="false">IF($Q972=1,$O972-ROW()/100000,"")</f>
        <v/>
      </c>
      <c r="S972" s="37" t="str">
        <f aca="false">IF($A972="","",INT($A972))</f>
        <v/>
      </c>
      <c r="T972" s="35" t="str">
        <f aca="false">IF($A972="","",IF(COUNTIFS($S$3:$S972,$S972)=1,1,0))</f>
        <v/>
      </c>
      <c r="U972" s="37" t="str">
        <f aca="false">IF($T972=1,$S972,"")</f>
        <v/>
      </c>
    </row>
    <row r="973" customFormat="false" ht="15" hidden="false" customHeight="false" outlineLevel="0" collapsed="false">
      <c r="M973" s="35" t="str">
        <f aca="false">IF($A973="","",HOUR($A973))</f>
        <v/>
      </c>
      <c r="N973" s="36" t="str">
        <f aca="false">IF($A973="","",$I973*$K973)</f>
        <v/>
      </c>
      <c r="O973" s="35" t="str">
        <f aca="false">IF(OR($A973="",$C973="U",$S973&lt;&gt;Calc!$F$2),"",SUMIFS($I$3:$I$3002,$E$3:$E$3002,$E973,$C$3:$C$3002,"&lt;&gt;U",$S$3:$S$3002,Calc!$F$2))</f>
        <v/>
      </c>
      <c r="P973" s="35" t="str">
        <f aca="false">IF(OR($A973="",$C973="U",$S973&lt;&gt;Calc!$F$2),"",SUMIFS($N$3:$N$3002,$E$3:$E$3002,$E973,$C$3:$C$3002,"&lt;&gt;U",$S$3:$S$3002,Calc!$F$2))</f>
        <v/>
      </c>
      <c r="Q973" s="35" t="str">
        <f aca="false">IF(OR($A973="",$C973="U",$S973&lt;&gt;Calc!$F$2),"",IF(COUNTIFS($E$3:$E973,$E973,$C$3:$C973,"&lt;&gt;U",$S$3:$S973,Calc!$F$2)=1,1,0))</f>
        <v/>
      </c>
      <c r="R973" s="35" t="str">
        <f aca="false">IF($Q973=1,$O973-ROW()/100000,"")</f>
        <v/>
      </c>
      <c r="S973" s="37" t="str">
        <f aca="false">IF($A973="","",INT($A973))</f>
        <v/>
      </c>
      <c r="T973" s="35" t="str">
        <f aca="false">IF($A973="","",IF(COUNTIFS($S$3:$S973,$S973)=1,1,0))</f>
        <v/>
      </c>
      <c r="U973" s="37" t="str">
        <f aca="false">IF($T973=1,$S973,"")</f>
        <v/>
      </c>
    </row>
    <row r="974" customFormat="false" ht="15" hidden="false" customHeight="false" outlineLevel="0" collapsed="false">
      <c r="M974" s="35" t="str">
        <f aca="false">IF($A974="","",HOUR($A974))</f>
        <v/>
      </c>
      <c r="N974" s="36" t="str">
        <f aca="false">IF($A974="","",$I974*$K974)</f>
        <v/>
      </c>
      <c r="O974" s="35" t="str">
        <f aca="false">IF(OR($A974="",$C974="U",$S974&lt;&gt;Calc!$F$2),"",SUMIFS($I$3:$I$3002,$E$3:$E$3002,$E974,$C$3:$C$3002,"&lt;&gt;U",$S$3:$S$3002,Calc!$F$2))</f>
        <v/>
      </c>
      <c r="P974" s="35" t="str">
        <f aca="false">IF(OR($A974="",$C974="U",$S974&lt;&gt;Calc!$F$2),"",SUMIFS($N$3:$N$3002,$E$3:$E$3002,$E974,$C$3:$C$3002,"&lt;&gt;U",$S$3:$S$3002,Calc!$F$2))</f>
        <v/>
      </c>
      <c r="Q974" s="35" t="str">
        <f aca="false">IF(OR($A974="",$C974="U",$S974&lt;&gt;Calc!$F$2),"",IF(COUNTIFS($E$3:$E974,$E974,$C$3:$C974,"&lt;&gt;U",$S$3:$S974,Calc!$F$2)=1,1,0))</f>
        <v/>
      </c>
      <c r="R974" s="35" t="str">
        <f aca="false">IF($Q974=1,$O974-ROW()/100000,"")</f>
        <v/>
      </c>
      <c r="S974" s="37" t="str">
        <f aca="false">IF($A974="","",INT($A974))</f>
        <v/>
      </c>
      <c r="T974" s="35" t="str">
        <f aca="false">IF($A974="","",IF(COUNTIFS($S$3:$S974,$S974)=1,1,0))</f>
        <v/>
      </c>
      <c r="U974" s="37" t="str">
        <f aca="false">IF($T974=1,$S974,"")</f>
        <v/>
      </c>
    </row>
    <row r="975" customFormat="false" ht="15" hidden="false" customHeight="false" outlineLevel="0" collapsed="false">
      <c r="M975" s="35" t="str">
        <f aca="false">IF($A975="","",HOUR($A975))</f>
        <v/>
      </c>
      <c r="N975" s="36" t="str">
        <f aca="false">IF($A975="","",$I975*$K975)</f>
        <v/>
      </c>
      <c r="O975" s="35" t="str">
        <f aca="false">IF(OR($A975="",$C975="U",$S975&lt;&gt;Calc!$F$2),"",SUMIFS($I$3:$I$3002,$E$3:$E$3002,$E975,$C$3:$C$3002,"&lt;&gt;U",$S$3:$S$3002,Calc!$F$2))</f>
        <v/>
      </c>
      <c r="P975" s="35" t="str">
        <f aca="false">IF(OR($A975="",$C975="U",$S975&lt;&gt;Calc!$F$2),"",SUMIFS($N$3:$N$3002,$E$3:$E$3002,$E975,$C$3:$C$3002,"&lt;&gt;U",$S$3:$S$3002,Calc!$F$2))</f>
        <v/>
      </c>
      <c r="Q975" s="35" t="str">
        <f aca="false">IF(OR($A975="",$C975="U",$S975&lt;&gt;Calc!$F$2),"",IF(COUNTIFS($E$3:$E975,$E975,$C$3:$C975,"&lt;&gt;U",$S$3:$S975,Calc!$F$2)=1,1,0))</f>
        <v/>
      </c>
      <c r="R975" s="35" t="str">
        <f aca="false">IF($Q975=1,$O975-ROW()/100000,"")</f>
        <v/>
      </c>
      <c r="S975" s="37" t="str">
        <f aca="false">IF($A975="","",INT($A975))</f>
        <v/>
      </c>
      <c r="T975" s="35" t="str">
        <f aca="false">IF($A975="","",IF(COUNTIFS($S$3:$S975,$S975)=1,1,0))</f>
        <v/>
      </c>
      <c r="U975" s="37" t="str">
        <f aca="false">IF($T975=1,$S975,"")</f>
        <v/>
      </c>
    </row>
    <row r="976" customFormat="false" ht="15" hidden="false" customHeight="false" outlineLevel="0" collapsed="false">
      <c r="M976" s="35" t="str">
        <f aca="false">IF($A976="","",HOUR($A976))</f>
        <v/>
      </c>
      <c r="N976" s="36" t="str">
        <f aca="false">IF($A976="","",$I976*$K976)</f>
        <v/>
      </c>
      <c r="O976" s="35" t="str">
        <f aca="false">IF(OR($A976="",$C976="U",$S976&lt;&gt;Calc!$F$2),"",SUMIFS($I$3:$I$3002,$E$3:$E$3002,$E976,$C$3:$C$3002,"&lt;&gt;U",$S$3:$S$3002,Calc!$F$2))</f>
        <v/>
      </c>
      <c r="P976" s="35" t="str">
        <f aca="false">IF(OR($A976="",$C976="U",$S976&lt;&gt;Calc!$F$2),"",SUMIFS($N$3:$N$3002,$E$3:$E$3002,$E976,$C$3:$C$3002,"&lt;&gt;U",$S$3:$S$3002,Calc!$F$2))</f>
        <v/>
      </c>
      <c r="Q976" s="35" t="str">
        <f aca="false">IF(OR($A976="",$C976="U",$S976&lt;&gt;Calc!$F$2),"",IF(COUNTIFS($E$3:$E976,$E976,$C$3:$C976,"&lt;&gt;U",$S$3:$S976,Calc!$F$2)=1,1,0))</f>
        <v/>
      </c>
      <c r="R976" s="35" t="str">
        <f aca="false">IF($Q976=1,$O976-ROW()/100000,"")</f>
        <v/>
      </c>
      <c r="S976" s="37" t="str">
        <f aca="false">IF($A976="","",INT($A976))</f>
        <v/>
      </c>
      <c r="T976" s="35" t="str">
        <f aca="false">IF($A976="","",IF(COUNTIFS($S$3:$S976,$S976)=1,1,0))</f>
        <v/>
      </c>
      <c r="U976" s="37" t="str">
        <f aca="false">IF($T976=1,$S976,"")</f>
        <v/>
      </c>
    </row>
    <row r="977" customFormat="false" ht="15" hidden="false" customHeight="false" outlineLevel="0" collapsed="false">
      <c r="M977" s="35" t="str">
        <f aca="false">IF($A977="","",HOUR($A977))</f>
        <v/>
      </c>
      <c r="N977" s="36" t="str">
        <f aca="false">IF($A977="","",$I977*$K977)</f>
        <v/>
      </c>
      <c r="O977" s="35" t="str">
        <f aca="false">IF(OR($A977="",$C977="U",$S977&lt;&gt;Calc!$F$2),"",SUMIFS($I$3:$I$3002,$E$3:$E$3002,$E977,$C$3:$C$3002,"&lt;&gt;U",$S$3:$S$3002,Calc!$F$2))</f>
        <v/>
      </c>
      <c r="P977" s="35" t="str">
        <f aca="false">IF(OR($A977="",$C977="U",$S977&lt;&gt;Calc!$F$2),"",SUMIFS($N$3:$N$3002,$E$3:$E$3002,$E977,$C$3:$C$3002,"&lt;&gt;U",$S$3:$S$3002,Calc!$F$2))</f>
        <v/>
      </c>
      <c r="Q977" s="35" t="str">
        <f aca="false">IF(OR($A977="",$C977="U",$S977&lt;&gt;Calc!$F$2),"",IF(COUNTIFS($E$3:$E977,$E977,$C$3:$C977,"&lt;&gt;U",$S$3:$S977,Calc!$F$2)=1,1,0))</f>
        <v/>
      </c>
      <c r="R977" s="35" t="str">
        <f aca="false">IF($Q977=1,$O977-ROW()/100000,"")</f>
        <v/>
      </c>
      <c r="S977" s="37" t="str">
        <f aca="false">IF($A977="","",INT($A977))</f>
        <v/>
      </c>
      <c r="T977" s="35" t="str">
        <f aca="false">IF($A977="","",IF(COUNTIFS($S$3:$S977,$S977)=1,1,0))</f>
        <v/>
      </c>
      <c r="U977" s="37" t="str">
        <f aca="false">IF($T977=1,$S977,"")</f>
        <v/>
      </c>
    </row>
    <row r="978" customFormat="false" ht="15" hidden="false" customHeight="false" outlineLevel="0" collapsed="false">
      <c r="M978" s="35" t="str">
        <f aca="false">IF($A978="","",HOUR($A978))</f>
        <v/>
      </c>
      <c r="N978" s="36" t="str">
        <f aca="false">IF($A978="","",$I978*$K978)</f>
        <v/>
      </c>
      <c r="O978" s="35" t="str">
        <f aca="false">IF(OR($A978="",$C978="U",$S978&lt;&gt;Calc!$F$2),"",SUMIFS($I$3:$I$3002,$E$3:$E$3002,$E978,$C$3:$C$3002,"&lt;&gt;U",$S$3:$S$3002,Calc!$F$2))</f>
        <v/>
      </c>
      <c r="P978" s="35" t="str">
        <f aca="false">IF(OR($A978="",$C978="U",$S978&lt;&gt;Calc!$F$2),"",SUMIFS($N$3:$N$3002,$E$3:$E$3002,$E978,$C$3:$C$3002,"&lt;&gt;U",$S$3:$S$3002,Calc!$F$2))</f>
        <v/>
      </c>
      <c r="Q978" s="35" t="str">
        <f aca="false">IF(OR($A978="",$C978="U",$S978&lt;&gt;Calc!$F$2),"",IF(COUNTIFS($E$3:$E978,$E978,$C$3:$C978,"&lt;&gt;U",$S$3:$S978,Calc!$F$2)=1,1,0))</f>
        <v/>
      </c>
      <c r="R978" s="35" t="str">
        <f aca="false">IF($Q978=1,$O978-ROW()/100000,"")</f>
        <v/>
      </c>
      <c r="S978" s="37" t="str">
        <f aca="false">IF($A978="","",INT($A978))</f>
        <v/>
      </c>
      <c r="T978" s="35" t="str">
        <f aca="false">IF($A978="","",IF(COUNTIFS($S$3:$S978,$S978)=1,1,0))</f>
        <v/>
      </c>
      <c r="U978" s="37" t="str">
        <f aca="false">IF($T978=1,$S978,"")</f>
        <v/>
      </c>
    </row>
    <row r="979" customFormat="false" ht="15" hidden="false" customHeight="false" outlineLevel="0" collapsed="false">
      <c r="M979" s="35" t="str">
        <f aca="false">IF($A979="","",HOUR($A979))</f>
        <v/>
      </c>
      <c r="N979" s="36" t="str">
        <f aca="false">IF($A979="","",$I979*$K979)</f>
        <v/>
      </c>
      <c r="O979" s="35" t="str">
        <f aca="false">IF(OR($A979="",$C979="U",$S979&lt;&gt;Calc!$F$2),"",SUMIFS($I$3:$I$3002,$E$3:$E$3002,$E979,$C$3:$C$3002,"&lt;&gt;U",$S$3:$S$3002,Calc!$F$2))</f>
        <v/>
      </c>
      <c r="P979" s="35" t="str">
        <f aca="false">IF(OR($A979="",$C979="U",$S979&lt;&gt;Calc!$F$2),"",SUMIFS($N$3:$N$3002,$E$3:$E$3002,$E979,$C$3:$C$3002,"&lt;&gt;U",$S$3:$S$3002,Calc!$F$2))</f>
        <v/>
      </c>
      <c r="Q979" s="35" t="str">
        <f aca="false">IF(OR($A979="",$C979="U",$S979&lt;&gt;Calc!$F$2),"",IF(COUNTIFS($E$3:$E979,$E979,$C$3:$C979,"&lt;&gt;U",$S$3:$S979,Calc!$F$2)=1,1,0))</f>
        <v/>
      </c>
      <c r="R979" s="35" t="str">
        <f aca="false">IF($Q979=1,$O979-ROW()/100000,"")</f>
        <v/>
      </c>
      <c r="S979" s="37" t="str">
        <f aca="false">IF($A979="","",INT($A979))</f>
        <v/>
      </c>
      <c r="T979" s="35" t="str">
        <f aca="false">IF($A979="","",IF(COUNTIFS($S$3:$S979,$S979)=1,1,0))</f>
        <v/>
      </c>
      <c r="U979" s="37" t="str">
        <f aca="false">IF($T979=1,$S979,"")</f>
        <v/>
      </c>
    </row>
    <row r="980" customFormat="false" ht="15" hidden="false" customHeight="false" outlineLevel="0" collapsed="false">
      <c r="M980" s="35" t="str">
        <f aca="false">IF($A980="","",HOUR($A980))</f>
        <v/>
      </c>
      <c r="N980" s="36" t="str">
        <f aca="false">IF($A980="","",$I980*$K980)</f>
        <v/>
      </c>
      <c r="O980" s="35" t="str">
        <f aca="false">IF(OR($A980="",$C980="U",$S980&lt;&gt;Calc!$F$2),"",SUMIFS($I$3:$I$3002,$E$3:$E$3002,$E980,$C$3:$C$3002,"&lt;&gt;U",$S$3:$S$3002,Calc!$F$2))</f>
        <v/>
      </c>
      <c r="P980" s="35" t="str">
        <f aca="false">IF(OR($A980="",$C980="U",$S980&lt;&gt;Calc!$F$2),"",SUMIFS($N$3:$N$3002,$E$3:$E$3002,$E980,$C$3:$C$3002,"&lt;&gt;U",$S$3:$S$3002,Calc!$F$2))</f>
        <v/>
      </c>
      <c r="Q980" s="35" t="str">
        <f aca="false">IF(OR($A980="",$C980="U",$S980&lt;&gt;Calc!$F$2),"",IF(COUNTIFS($E$3:$E980,$E980,$C$3:$C980,"&lt;&gt;U",$S$3:$S980,Calc!$F$2)=1,1,0))</f>
        <v/>
      </c>
      <c r="R980" s="35" t="str">
        <f aca="false">IF($Q980=1,$O980-ROW()/100000,"")</f>
        <v/>
      </c>
      <c r="S980" s="37" t="str">
        <f aca="false">IF($A980="","",INT($A980))</f>
        <v/>
      </c>
      <c r="T980" s="35" t="str">
        <f aca="false">IF($A980="","",IF(COUNTIFS($S$3:$S980,$S980)=1,1,0))</f>
        <v/>
      </c>
      <c r="U980" s="37" t="str">
        <f aca="false">IF($T980=1,$S980,"")</f>
        <v/>
      </c>
    </row>
    <row r="981" customFormat="false" ht="15" hidden="false" customHeight="false" outlineLevel="0" collapsed="false">
      <c r="M981" s="35" t="str">
        <f aca="false">IF($A981="","",HOUR($A981))</f>
        <v/>
      </c>
      <c r="N981" s="36" t="str">
        <f aca="false">IF($A981="","",$I981*$K981)</f>
        <v/>
      </c>
      <c r="O981" s="35" t="str">
        <f aca="false">IF(OR($A981="",$C981="U",$S981&lt;&gt;Calc!$F$2),"",SUMIFS($I$3:$I$3002,$E$3:$E$3002,$E981,$C$3:$C$3002,"&lt;&gt;U",$S$3:$S$3002,Calc!$F$2))</f>
        <v/>
      </c>
      <c r="P981" s="35" t="str">
        <f aca="false">IF(OR($A981="",$C981="U",$S981&lt;&gt;Calc!$F$2),"",SUMIFS($N$3:$N$3002,$E$3:$E$3002,$E981,$C$3:$C$3002,"&lt;&gt;U",$S$3:$S$3002,Calc!$F$2))</f>
        <v/>
      </c>
      <c r="Q981" s="35" t="str">
        <f aca="false">IF(OR($A981="",$C981="U",$S981&lt;&gt;Calc!$F$2),"",IF(COUNTIFS($E$3:$E981,$E981,$C$3:$C981,"&lt;&gt;U",$S$3:$S981,Calc!$F$2)=1,1,0))</f>
        <v/>
      </c>
      <c r="R981" s="35" t="str">
        <f aca="false">IF($Q981=1,$O981-ROW()/100000,"")</f>
        <v/>
      </c>
      <c r="S981" s="37" t="str">
        <f aca="false">IF($A981="","",INT($A981))</f>
        <v/>
      </c>
      <c r="T981" s="35" t="str">
        <f aca="false">IF($A981="","",IF(COUNTIFS($S$3:$S981,$S981)=1,1,0))</f>
        <v/>
      </c>
      <c r="U981" s="37" t="str">
        <f aca="false">IF($T981=1,$S981,"")</f>
        <v/>
      </c>
    </row>
    <row r="982" customFormat="false" ht="15" hidden="false" customHeight="false" outlineLevel="0" collapsed="false">
      <c r="M982" s="35" t="str">
        <f aca="false">IF($A982="","",HOUR($A982))</f>
        <v/>
      </c>
      <c r="N982" s="36" t="str">
        <f aca="false">IF($A982="","",$I982*$K982)</f>
        <v/>
      </c>
      <c r="O982" s="35" t="str">
        <f aca="false">IF(OR($A982="",$C982="U",$S982&lt;&gt;Calc!$F$2),"",SUMIFS($I$3:$I$3002,$E$3:$E$3002,$E982,$C$3:$C$3002,"&lt;&gt;U",$S$3:$S$3002,Calc!$F$2))</f>
        <v/>
      </c>
      <c r="P982" s="35" t="str">
        <f aca="false">IF(OR($A982="",$C982="U",$S982&lt;&gt;Calc!$F$2),"",SUMIFS($N$3:$N$3002,$E$3:$E$3002,$E982,$C$3:$C$3002,"&lt;&gt;U",$S$3:$S$3002,Calc!$F$2))</f>
        <v/>
      </c>
      <c r="Q982" s="35" t="str">
        <f aca="false">IF(OR($A982="",$C982="U",$S982&lt;&gt;Calc!$F$2),"",IF(COUNTIFS($E$3:$E982,$E982,$C$3:$C982,"&lt;&gt;U",$S$3:$S982,Calc!$F$2)=1,1,0))</f>
        <v/>
      </c>
      <c r="R982" s="35" t="str">
        <f aca="false">IF($Q982=1,$O982-ROW()/100000,"")</f>
        <v/>
      </c>
      <c r="S982" s="37" t="str">
        <f aca="false">IF($A982="","",INT($A982))</f>
        <v/>
      </c>
      <c r="T982" s="35" t="str">
        <f aca="false">IF($A982="","",IF(COUNTIFS($S$3:$S982,$S982)=1,1,0))</f>
        <v/>
      </c>
      <c r="U982" s="37" t="str">
        <f aca="false">IF($T982=1,$S982,"")</f>
        <v/>
      </c>
    </row>
    <row r="983" customFormat="false" ht="15" hidden="false" customHeight="false" outlineLevel="0" collapsed="false">
      <c r="M983" s="35" t="str">
        <f aca="false">IF($A983="","",HOUR($A983))</f>
        <v/>
      </c>
      <c r="N983" s="36" t="str">
        <f aca="false">IF($A983="","",$I983*$K983)</f>
        <v/>
      </c>
      <c r="O983" s="35" t="str">
        <f aca="false">IF(OR($A983="",$C983="U",$S983&lt;&gt;Calc!$F$2),"",SUMIFS($I$3:$I$3002,$E$3:$E$3002,$E983,$C$3:$C$3002,"&lt;&gt;U",$S$3:$S$3002,Calc!$F$2))</f>
        <v/>
      </c>
      <c r="P983" s="35" t="str">
        <f aca="false">IF(OR($A983="",$C983="U",$S983&lt;&gt;Calc!$F$2),"",SUMIFS($N$3:$N$3002,$E$3:$E$3002,$E983,$C$3:$C$3002,"&lt;&gt;U",$S$3:$S$3002,Calc!$F$2))</f>
        <v/>
      </c>
      <c r="Q983" s="35" t="str">
        <f aca="false">IF(OR($A983="",$C983="U",$S983&lt;&gt;Calc!$F$2),"",IF(COUNTIFS($E$3:$E983,$E983,$C$3:$C983,"&lt;&gt;U",$S$3:$S983,Calc!$F$2)=1,1,0))</f>
        <v/>
      </c>
      <c r="R983" s="35" t="str">
        <f aca="false">IF($Q983=1,$O983-ROW()/100000,"")</f>
        <v/>
      </c>
      <c r="S983" s="37" t="str">
        <f aca="false">IF($A983="","",INT($A983))</f>
        <v/>
      </c>
      <c r="T983" s="35" t="str">
        <f aca="false">IF($A983="","",IF(COUNTIFS($S$3:$S983,$S983)=1,1,0))</f>
        <v/>
      </c>
      <c r="U983" s="37" t="str">
        <f aca="false">IF($T983=1,$S983,"")</f>
        <v/>
      </c>
    </row>
    <row r="984" customFormat="false" ht="15" hidden="false" customHeight="false" outlineLevel="0" collapsed="false">
      <c r="M984" s="35" t="str">
        <f aca="false">IF($A984="","",HOUR($A984))</f>
        <v/>
      </c>
      <c r="N984" s="36" t="str">
        <f aca="false">IF($A984="","",$I984*$K984)</f>
        <v/>
      </c>
      <c r="O984" s="35" t="str">
        <f aca="false">IF(OR($A984="",$C984="U",$S984&lt;&gt;Calc!$F$2),"",SUMIFS($I$3:$I$3002,$E$3:$E$3002,$E984,$C$3:$C$3002,"&lt;&gt;U",$S$3:$S$3002,Calc!$F$2))</f>
        <v/>
      </c>
      <c r="P984" s="35" t="str">
        <f aca="false">IF(OR($A984="",$C984="U",$S984&lt;&gt;Calc!$F$2),"",SUMIFS($N$3:$N$3002,$E$3:$E$3002,$E984,$C$3:$C$3002,"&lt;&gt;U",$S$3:$S$3002,Calc!$F$2))</f>
        <v/>
      </c>
      <c r="Q984" s="35" t="str">
        <f aca="false">IF(OR($A984="",$C984="U",$S984&lt;&gt;Calc!$F$2),"",IF(COUNTIFS($E$3:$E984,$E984,$C$3:$C984,"&lt;&gt;U",$S$3:$S984,Calc!$F$2)=1,1,0))</f>
        <v/>
      </c>
      <c r="R984" s="35" t="str">
        <f aca="false">IF($Q984=1,$O984-ROW()/100000,"")</f>
        <v/>
      </c>
      <c r="S984" s="37" t="str">
        <f aca="false">IF($A984="","",INT($A984))</f>
        <v/>
      </c>
      <c r="T984" s="35" t="str">
        <f aca="false">IF($A984="","",IF(COUNTIFS($S$3:$S984,$S984)=1,1,0))</f>
        <v/>
      </c>
      <c r="U984" s="37" t="str">
        <f aca="false">IF($T984=1,$S984,"")</f>
        <v/>
      </c>
    </row>
    <row r="985" customFormat="false" ht="15" hidden="false" customHeight="false" outlineLevel="0" collapsed="false">
      <c r="M985" s="35" t="str">
        <f aca="false">IF($A985="","",HOUR($A985))</f>
        <v/>
      </c>
      <c r="N985" s="36" t="str">
        <f aca="false">IF($A985="","",$I985*$K985)</f>
        <v/>
      </c>
      <c r="O985" s="35" t="str">
        <f aca="false">IF(OR($A985="",$C985="U",$S985&lt;&gt;Calc!$F$2),"",SUMIFS($I$3:$I$3002,$E$3:$E$3002,$E985,$C$3:$C$3002,"&lt;&gt;U",$S$3:$S$3002,Calc!$F$2))</f>
        <v/>
      </c>
      <c r="P985" s="35" t="str">
        <f aca="false">IF(OR($A985="",$C985="U",$S985&lt;&gt;Calc!$F$2),"",SUMIFS($N$3:$N$3002,$E$3:$E$3002,$E985,$C$3:$C$3002,"&lt;&gt;U",$S$3:$S$3002,Calc!$F$2))</f>
        <v/>
      </c>
      <c r="Q985" s="35" t="str">
        <f aca="false">IF(OR($A985="",$C985="U",$S985&lt;&gt;Calc!$F$2),"",IF(COUNTIFS($E$3:$E985,$E985,$C$3:$C985,"&lt;&gt;U",$S$3:$S985,Calc!$F$2)=1,1,0))</f>
        <v/>
      </c>
      <c r="R985" s="35" t="str">
        <f aca="false">IF($Q985=1,$O985-ROW()/100000,"")</f>
        <v/>
      </c>
      <c r="S985" s="37" t="str">
        <f aca="false">IF($A985="","",INT($A985))</f>
        <v/>
      </c>
      <c r="T985" s="35" t="str">
        <f aca="false">IF($A985="","",IF(COUNTIFS($S$3:$S985,$S985)=1,1,0))</f>
        <v/>
      </c>
      <c r="U985" s="37" t="str">
        <f aca="false">IF($T985=1,$S985,"")</f>
        <v/>
      </c>
    </row>
    <row r="986" customFormat="false" ht="15" hidden="false" customHeight="false" outlineLevel="0" collapsed="false">
      <c r="M986" s="35" t="str">
        <f aca="false">IF($A986="","",HOUR($A986))</f>
        <v/>
      </c>
      <c r="N986" s="36" t="str">
        <f aca="false">IF($A986="","",$I986*$K986)</f>
        <v/>
      </c>
      <c r="O986" s="35" t="str">
        <f aca="false">IF(OR($A986="",$C986="U",$S986&lt;&gt;Calc!$F$2),"",SUMIFS($I$3:$I$3002,$E$3:$E$3002,$E986,$C$3:$C$3002,"&lt;&gt;U",$S$3:$S$3002,Calc!$F$2))</f>
        <v/>
      </c>
      <c r="P986" s="35" t="str">
        <f aca="false">IF(OR($A986="",$C986="U",$S986&lt;&gt;Calc!$F$2),"",SUMIFS($N$3:$N$3002,$E$3:$E$3002,$E986,$C$3:$C$3002,"&lt;&gt;U",$S$3:$S$3002,Calc!$F$2))</f>
        <v/>
      </c>
      <c r="Q986" s="35" t="str">
        <f aca="false">IF(OR($A986="",$C986="U",$S986&lt;&gt;Calc!$F$2),"",IF(COUNTIFS($E$3:$E986,$E986,$C$3:$C986,"&lt;&gt;U",$S$3:$S986,Calc!$F$2)=1,1,0))</f>
        <v/>
      </c>
      <c r="R986" s="35" t="str">
        <f aca="false">IF($Q986=1,$O986-ROW()/100000,"")</f>
        <v/>
      </c>
      <c r="S986" s="37" t="str">
        <f aca="false">IF($A986="","",INT($A986))</f>
        <v/>
      </c>
      <c r="T986" s="35" t="str">
        <f aca="false">IF($A986="","",IF(COUNTIFS($S$3:$S986,$S986)=1,1,0))</f>
        <v/>
      </c>
      <c r="U986" s="37" t="str">
        <f aca="false">IF($T986=1,$S986,"")</f>
        <v/>
      </c>
    </row>
    <row r="987" customFormat="false" ht="15" hidden="false" customHeight="false" outlineLevel="0" collapsed="false">
      <c r="M987" s="35" t="str">
        <f aca="false">IF($A987="","",HOUR($A987))</f>
        <v/>
      </c>
      <c r="N987" s="36" t="str">
        <f aca="false">IF($A987="","",$I987*$K987)</f>
        <v/>
      </c>
      <c r="O987" s="35" t="str">
        <f aca="false">IF(OR($A987="",$C987="U",$S987&lt;&gt;Calc!$F$2),"",SUMIFS($I$3:$I$3002,$E$3:$E$3002,$E987,$C$3:$C$3002,"&lt;&gt;U",$S$3:$S$3002,Calc!$F$2))</f>
        <v/>
      </c>
      <c r="P987" s="35" t="str">
        <f aca="false">IF(OR($A987="",$C987="U",$S987&lt;&gt;Calc!$F$2),"",SUMIFS($N$3:$N$3002,$E$3:$E$3002,$E987,$C$3:$C$3002,"&lt;&gt;U",$S$3:$S$3002,Calc!$F$2))</f>
        <v/>
      </c>
      <c r="Q987" s="35" t="str">
        <f aca="false">IF(OR($A987="",$C987="U",$S987&lt;&gt;Calc!$F$2),"",IF(COUNTIFS($E$3:$E987,$E987,$C$3:$C987,"&lt;&gt;U",$S$3:$S987,Calc!$F$2)=1,1,0))</f>
        <v/>
      </c>
      <c r="R987" s="35" t="str">
        <f aca="false">IF($Q987=1,$O987-ROW()/100000,"")</f>
        <v/>
      </c>
      <c r="S987" s="37" t="str">
        <f aca="false">IF($A987="","",INT($A987))</f>
        <v/>
      </c>
      <c r="T987" s="35" t="str">
        <f aca="false">IF($A987="","",IF(COUNTIFS($S$3:$S987,$S987)=1,1,0))</f>
        <v/>
      </c>
      <c r="U987" s="37" t="str">
        <f aca="false">IF($T987=1,$S987,"")</f>
        <v/>
      </c>
    </row>
    <row r="988" customFormat="false" ht="15" hidden="false" customHeight="false" outlineLevel="0" collapsed="false">
      <c r="M988" s="35" t="str">
        <f aca="false">IF($A988="","",HOUR($A988))</f>
        <v/>
      </c>
      <c r="N988" s="36" t="str">
        <f aca="false">IF($A988="","",$I988*$K988)</f>
        <v/>
      </c>
      <c r="O988" s="35" t="str">
        <f aca="false">IF(OR($A988="",$C988="U",$S988&lt;&gt;Calc!$F$2),"",SUMIFS($I$3:$I$3002,$E$3:$E$3002,$E988,$C$3:$C$3002,"&lt;&gt;U",$S$3:$S$3002,Calc!$F$2))</f>
        <v/>
      </c>
      <c r="P988" s="35" t="str">
        <f aca="false">IF(OR($A988="",$C988="U",$S988&lt;&gt;Calc!$F$2),"",SUMIFS($N$3:$N$3002,$E$3:$E$3002,$E988,$C$3:$C$3002,"&lt;&gt;U",$S$3:$S$3002,Calc!$F$2))</f>
        <v/>
      </c>
      <c r="Q988" s="35" t="str">
        <f aca="false">IF(OR($A988="",$C988="U",$S988&lt;&gt;Calc!$F$2),"",IF(COUNTIFS($E$3:$E988,$E988,$C$3:$C988,"&lt;&gt;U",$S$3:$S988,Calc!$F$2)=1,1,0))</f>
        <v/>
      </c>
      <c r="R988" s="35" t="str">
        <f aca="false">IF($Q988=1,$O988-ROW()/100000,"")</f>
        <v/>
      </c>
      <c r="S988" s="37" t="str">
        <f aca="false">IF($A988="","",INT($A988))</f>
        <v/>
      </c>
      <c r="T988" s="35" t="str">
        <f aca="false">IF($A988="","",IF(COUNTIFS($S$3:$S988,$S988)=1,1,0))</f>
        <v/>
      </c>
      <c r="U988" s="37" t="str">
        <f aca="false">IF($T988=1,$S988,"")</f>
        <v/>
      </c>
    </row>
    <row r="989" customFormat="false" ht="15" hidden="false" customHeight="false" outlineLevel="0" collapsed="false">
      <c r="M989" s="35" t="str">
        <f aca="false">IF($A989="","",HOUR($A989))</f>
        <v/>
      </c>
      <c r="N989" s="36" t="str">
        <f aca="false">IF($A989="","",$I989*$K989)</f>
        <v/>
      </c>
      <c r="O989" s="35" t="str">
        <f aca="false">IF(OR($A989="",$C989="U",$S989&lt;&gt;Calc!$F$2),"",SUMIFS($I$3:$I$3002,$E$3:$E$3002,$E989,$C$3:$C$3002,"&lt;&gt;U",$S$3:$S$3002,Calc!$F$2))</f>
        <v/>
      </c>
      <c r="P989" s="35" t="str">
        <f aca="false">IF(OR($A989="",$C989="U",$S989&lt;&gt;Calc!$F$2),"",SUMIFS($N$3:$N$3002,$E$3:$E$3002,$E989,$C$3:$C$3002,"&lt;&gt;U",$S$3:$S$3002,Calc!$F$2))</f>
        <v/>
      </c>
      <c r="Q989" s="35" t="str">
        <f aca="false">IF(OR($A989="",$C989="U",$S989&lt;&gt;Calc!$F$2),"",IF(COUNTIFS($E$3:$E989,$E989,$C$3:$C989,"&lt;&gt;U",$S$3:$S989,Calc!$F$2)=1,1,0))</f>
        <v/>
      </c>
      <c r="R989" s="35" t="str">
        <f aca="false">IF($Q989=1,$O989-ROW()/100000,"")</f>
        <v/>
      </c>
      <c r="S989" s="37" t="str">
        <f aca="false">IF($A989="","",INT($A989))</f>
        <v/>
      </c>
      <c r="T989" s="35" t="str">
        <f aca="false">IF($A989="","",IF(COUNTIFS($S$3:$S989,$S989)=1,1,0))</f>
        <v/>
      </c>
      <c r="U989" s="37" t="str">
        <f aca="false">IF($T989=1,$S989,"")</f>
        <v/>
      </c>
    </row>
    <row r="990" customFormat="false" ht="15" hidden="false" customHeight="false" outlineLevel="0" collapsed="false">
      <c r="M990" s="35" t="str">
        <f aca="false">IF($A990="","",HOUR($A990))</f>
        <v/>
      </c>
      <c r="N990" s="36" t="str">
        <f aca="false">IF($A990="","",$I990*$K990)</f>
        <v/>
      </c>
      <c r="O990" s="35" t="str">
        <f aca="false">IF(OR($A990="",$C990="U",$S990&lt;&gt;Calc!$F$2),"",SUMIFS($I$3:$I$3002,$E$3:$E$3002,$E990,$C$3:$C$3002,"&lt;&gt;U",$S$3:$S$3002,Calc!$F$2))</f>
        <v/>
      </c>
      <c r="P990" s="35" t="str">
        <f aca="false">IF(OR($A990="",$C990="U",$S990&lt;&gt;Calc!$F$2),"",SUMIFS($N$3:$N$3002,$E$3:$E$3002,$E990,$C$3:$C$3002,"&lt;&gt;U",$S$3:$S$3002,Calc!$F$2))</f>
        <v/>
      </c>
      <c r="Q990" s="35" t="str">
        <f aca="false">IF(OR($A990="",$C990="U",$S990&lt;&gt;Calc!$F$2),"",IF(COUNTIFS($E$3:$E990,$E990,$C$3:$C990,"&lt;&gt;U",$S$3:$S990,Calc!$F$2)=1,1,0))</f>
        <v/>
      </c>
      <c r="R990" s="35" t="str">
        <f aca="false">IF($Q990=1,$O990-ROW()/100000,"")</f>
        <v/>
      </c>
      <c r="S990" s="37" t="str">
        <f aca="false">IF($A990="","",INT($A990))</f>
        <v/>
      </c>
      <c r="T990" s="35" t="str">
        <f aca="false">IF($A990="","",IF(COUNTIFS($S$3:$S990,$S990)=1,1,0))</f>
        <v/>
      </c>
      <c r="U990" s="37" t="str">
        <f aca="false">IF($T990=1,$S990,"")</f>
        <v/>
      </c>
    </row>
    <row r="991" customFormat="false" ht="15" hidden="false" customHeight="false" outlineLevel="0" collapsed="false">
      <c r="M991" s="35" t="str">
        <f aca="false">IF($A991="","",HOUR($A991))</f>
        <v/>
      </c>
      <c r="N991" s="36" t="str">
        <f aca="false">IF($A991="","",$I991*$K991)</f>
        <v/>
      </c>
      <c r="O991" s="35" t="str">
        <f aca="false">IF(OR($A991="",$C991="U",$S991&lt;&gt;Calc!$F$2),"",SUMIFS($I$3:$I$3002,$E$3:$E$3002,$E991,$C$3:$C$3002,"&lt;&gt;U",$S$3:$S$3002,Calc!$F$2))</f>
        <v/>
      </c>
      <c r="P991" s="35" t="str">
        <f aca="false">IF(OR($A991="",$C991="U",$S991&lt;&gt;Calc!$F$2),"",SUMIFS($N$3:$N$3002,$E$3:$E$3002,$E991,$C$3:$C$3002,"&lt;&gt;U",$S$3:$S$3002,Calc!$F$2))</f>
        <v/>
      </c>
      <c r="Q991" s="35" t="str">
        <f aca="false">IF(OR($A991="",$C991="U",$S991&lt;&gt;Calc!$F$2),"",IF(COUNTIFS($E$3:$E991,$E991,$C$3:$C991,"&lt;&gt;U",$S$3:$S991,Calc!$F$2)=1,1,0))</f>
        <v/>
      </c>
      <c r="R991" s="35" t="str">
        <f aca="false">IF($Q991=1,$O991-ROW()/100000,"")</f>
        <v/>
      </c>
      <c r="S991" s="37" t="str">
        <f aca="false">IF($A991="","",INT($A991))</f>
        <v/>
      </c>
      <c r="T991" s="35" t="str">
        <f aca="false">IF($A991="","",IF(COUNTIFS($S$3:$S991,$S991)=1,1,0))</f>
        <v/>
      </c>
      <c r="U991" s="37" t="str">
        <f aca="false">IF($T991=1,$S991,"")</f>
        <v/>
      </c>
    </row>
    <row r="992" customFormat="false" ht="15" hidden="false" customHeight="false" outlineLevel="0" collapsed="false">
      <c r="M992" s="35" t="str">
        <f aca="false">IF($A992="","",HOUR($A992))</f>
        <v/>
      </c>
      <c r="N992" s="36" t="str">
        <f aca="false">IF($A992="","",$I992*$K992)</f>
        <v/>
      </c>
      <c r="O992" s="35" t="str">
        <f aca="false">IF(OR($A992="",$C992="U",$S992&lt;&gt;Calc!$F$2),"",SUMIFS($I$3:$I$3002,$E$3:$E$3002,$E992,$C$3:$C$3002,"&lt;&gt;U",$S$3:$S$3002,Calc!$F$2))</f>
        <v/>
      </c>
      <c r="P992" s="35" t="str">
        <f aca="false">IF(OR($A992="",$C992="U",$S992&lt;&gt;Calc!$F$2),"",SUMIFS($N$3:$N$3002,$E$3:$E$3002,$E992,$C$3:$C$3002,"&lt;&gt;U",$S$3:$S$3002,Calc!$F$2))</f>
        <v/>
      </c>
      <c r="Q992" s="35" t="str">
        <f aca="false">IF(OR($A992="",$C992="U",$S992&lt;&gt;Calc!$F$2),"",IF(COUNTIFS($E$3:$E992,$E992,$C$3:$C992,"&lt;&gt;U",$S$3:$S992,Calc!$F$2)=1,1,0))</f>
        <v/>
      </c>
      <c r="R992" s="35" t="str">
        <f aca="false">IF($Q992=1,$O992-ROW()/100000,"")</f>
        <v/>
      </c>
      <c r="S992" s="37" t="str">
        <f aca="false">IF($A992="","",INT($A992))</f>
        <v/>
      </c>
      <c r="T992" s="35" t="str">
        <f aca="false">IF($A992="","",IF(COUNTIFS($S$3:$S992,$S992)=1,1,0))</f>
        <v/>
      </c>
      <c r="U992" s="37" t="str">
        <f aca="false">IF($T992=1,$S992,"")</f>
        <v/>
      </c>
    </row>
    <row r="993" customFormat="false" ht="15" hidden="false" customHeight="false" outlineLevel="0" collapsed="false">
      <c r="M993" s="35" t="str">
        <f aca="false">IF($A993="","",HOUR($A993))</f>
        <v/>
      </c>
      <c r="N993" s="36" t="str">
        <f aca="false">IF($A993="","",$I993*$K993)</f>
        <v/>
      </c>
      <c r="O993" s="35" t="str">
        <f aca="false">IF(OR($A993="",$C993="U",$S993&lt;&gt;Calc!$F$2),"",SUMIFS($I$3:$I$3002,$E$3:$E$3002,$E993,$C$3:$C$3002,"&lt;&gt;U",$S$3:$S$3002,Calc!$F$2))</f>
        <v/>
      </c>
      <c r="P993" s="35" t="str">
        <f aca="false">IF(OR($A993="",$C993="U",$S993&lt;&gt;Calc!$F$2),"",SUMIFS($N$3:$N$3002,$E$3:$E$3002,$E993,$C$3:$C$3002,"&lt;&gt;U",$S$3:$S$3002,Calc!$F$2))</f>
        <v/>
      </c>
      <c r="Q993" s="35" t="str">
        <f aca="false">IF(OR($A993="",$C993="U",$S993&lt;&gt;Calc!$F$2),"",IF(COUNTIFS($E$3:$E993,$E993,$C$3:$C993,"&lt;&gt;U",$S$3:$S993,Calc!$F$2)=1,1,0))</f>
        <v/>
      </c>
      <c r="R993" s="35" t="str">
        <f aca="false">IF($Q993=1,$O993-ROW()/100000,"")</f>
        <v/>
      </c>
      <c r="S993" s="37" t="str">
        <f aca="false">IF($A993="","",INT($A993))</f>
        <v/>
      </c>
      <c r="T993" s="35" t="str">
        <f aca="false">IF($A993="","",IF(COUNTIFS($S$3:$S993,$S993)=1,1,0))</f>
        <v/>
      </c>
      <c r="U993" s="37" t="str">
        <f aca="false">IF($T993=1,$S993,"")</f>
        <v/>
      </c>
    </row>
    <row r="994" customFormat="false" ht="15" hidden="false" customHeight="false" outlineLevel="0" collapsed="false">
      <c r="M994" s="35" t="str">
        <f aca="false">IF($A994="","",HOUR($A994))</f>
        <v/>
      </c>
      <c r="N994" s="36" t="str">
        <f aca="false">IF($A994="","",$I994*$K994)</f>
        <v/>
      </c>
      <c r="O994" s="35" t="str">
        <f aca="false">IF(OR($A994="",$C994="U",$S994&lt;&gt;Calc!$F$2),"",SUMIFS($I$3:$I$3002,$E$3:$E$3002,$E994,$C$3:$C$3002,"&lt;&gt;U",$S$3:$S$3002,Calc!$F$2))</f>
        <v/>
      </c>
      <c r="P994" s="35" t="str">
        <f aca="false">IF(OR($A994="",$C994="U",$S994&lt;&gt;Calc!$F$2),"",SUMIFS($N$3:$N$3002,$E$3:$E$3002,$E994,$C$3:$C$3002,"&lt;&gt;U",$S$3:$S$3002,Calc!$F$2))</f>
        <v/>
      </c>
      <c r="Q994" s="35" t="str">
        <f aca="false">IF(OR($A994="",$C994="U",$S994&lt;&gt;Calc!$F$2),"",IF(COUNTIFS($E$3:$E994,$E994,$C$3:$C994,"&lt;&gt;U",$S$3:$S994,Calc!$F$2)=1,1,0))</f>
        <v/>
      </c>
      <c r="R994" s="35" t="str">
        <f aca="false">IF($Q994=1,$O994-ROW()/100000,"")</f>
        <v/>
      </c>
      <c r="S994" s="37" t="str">
        <f aca="false">IF($A994="","",INT($A994))</f>
        <v/>
      </c>
      <c r="T994" s="35" t="str">
        <f aca="false">IF($A994="","",IF(COUNTIFS($S$3:$S994,$S994)=1,1,0))</f>
        <v/>
      </c>
      <c r="U994" s="37" t="str">
        <f aca="false">IF($T994=1,$S994,"")</f>
        <v/>
      </c>
    </row>
    <row r="995" customFormat="false" ht="15" hidden="false" customHeight="false" outlineLevel="0" collapsed="false">
      <c r="M995" s="35" t="str">
        <f aca="false">IF($A995="","",HOUR($A995))</f>
        <v/>
      </c>
      <c r="N995" s="36" t="str">
        <f aca="false">IF($A995="","",$I995*$K995)</f>
        <v/>
      </c>
      <c r="O995" s="35" t="str">
        <f aca="false">IF(OR($A995="",$C995="U",$S995&lt;&gt;Calc!$F$2),"",SUMIFS($I$3:$I$3002,$E$3:$E$3002,$E995,$C$3:$C$3002,"&lt;&gt;U",$S$3:$S$3002,Calc!$F$2))</f>
        <v/>
      </c>
      <c r="P995" s="35" t="str">
        <f aca="false">IF(OR($A995="",$C995="U",$S995&lt;&gt;Calc!$F$2),"",SUMIFS($N$3:$N$3002,$E$3:$E$3002,$E995,$C$3:$C$3002,"&lt;&gt;U",$S$3:$S$3002,Calc!$F$2))</f>
        <v/>
      </c>
      <c r="Q995" s="35" t="str">
        <f aca="false">IF(OR($A995="",$C995="U",$S995&lt;&gt;Calc!$F$2),"",IF(COUNTIFS($E$3:$E995,$E995,$C$3:$C995,"&lt;&gt;U",$S$3:$S995,Calc!$F$2)=1,1,0))</f>
        <v/>
      </c>
      <c r="R995" s="35" t="str">
        <f aca="false">IF($Q995=1,$O995-ROW()/100000,"")</f>
        <v/>
      </c>
      <c r="S995" s="37" t="str">
        <f aca="false">IF($A995="","",INT($A995))</f>
        <v/>
      </c>
      <c r="T995" s="35" t="str">
        <f aca="false">IF($A995="","",IF(COUNTIFS($S$3:$S995,$S995)=1,1,0))</f>
        <v/>
      </c>
      <c r="U995" s="37" t="str">
        <f aca="false">IF($T995=1,$S995,"")</f>
        <v/>
      </c>
    </row>
    <row r="996" customFormat="false" ht="15" hidden="false" customHeight="false" outlineLevel="0" collapsed="false">
      <c r="M996" s="35" t="str">
        <f aca="false">IF($A996="","",HOUR($A996))</f>
        <v/>
      </c>
      <c r="N996" s="36" t="str">
        <f aca="false">IF($A996="","",$I996*$K996)</f>
        <v/>
      </c>
      <c r="O996" s="35" t="str">
        <f aca="false">IF(OR($A996="",$C996="U",$S996&lt;&gt;Calc!$F$2),"",SUMIFS($I$3:$I$3002,$E$3:$E$3002,$E996,$C$3:$C$3002,"&lt;&gt;U",$S$3:$S$3002,Calc!$F$2))</f>
        <v/>
      </c>
      <c r="P996" s="35" t="str">
        <f aca="false">IF(OR($A996="",$C996="U",$S996&lt;&gt;Calc!$F$2),"",SUMIFS($N$3:$N$3002,$E$3:$E$3002,$E996,$C$3:$C$3002,"&lt;&gt;U",$S$3:$S$3002,Calc!$F$2))</f>
        <v/>
      </c>
      <c r="Q996" s="35" t="str">
        <f aca="false">IF(OR($A996="",$C996="U",$S996&lt;&gt;Calc!$F$2),"",IF(COUNTIFS($E$3:$E996,$E996,$C$3:$C996,"&lt;&gt;U",$S$3:$S996,Calc!$F$2)=1,1,0))</f>
        <v/>
      </c>
      <c r="R996" s="35" t="str">
        <f aca="false">IF($Q996=1,$O996-ROW()/100000,"")</f>
        <v/>
      </c>
      <c r="S996" s="37" t="str">
        <f aca="false">IF($A996="","",INT($A996))</f>
        <v/>
      </c>
      <c r="T996" s="35" t="str">
        <f aca="false">IF($A996="","",IF(COUNTIFS($S$3:$S996,$S996)=1,1,0))</f>
        <v/>
      </c>
      <c r="U996" s="37" t="str">
        <f aca="false">IF($T996=1,$S996,"")</f>
        <v/>
      </c>
    </row>
    <row r="997" customFormat="false" ht="15" hidden="false" customHeight="false" outlineLevel="0" collapsed="false">
      <c r="M997" s="35" t="str">
        <f aca="false">IF($A997="","",HOUR($A997))</f>
        <v/>
      </c>
      <c r="N997" s="36" t="str">
        <f aca="false">IF($A997="","",$I997*$K997)</f>
        <v/>
      </c>
      <c r="O997" s="35" t="str">
        <f aca="false">IF(OR($A997="",$C997="U",$S997&lt;&gt;Calc!$F$2),"",SUMIFS($I$3:$I$3002,$E$3:$E$3002,$E997,$C$3:$C$3002,"&lt;&gt;U",$S$3:$S$3002,Calc!$F$2))</f>
        <v/>
      </c>
      <c r="P997" s="35" t="str">
        <f aca="false">IF(OR($A997="",$C997="U",$S997&lt;&gt;Calc!$F$2),"",SUMIFS($N$3:$N$3002,$E$3:$E$3002,$E997,$C$3:$C$3002,"&lt;&gt;U",$S$3:$S$3002,Calc!$F$2))</f>
        <v/>
      </c>
      <c r="Q997" s="35" t="str">
        <f aca="false">IF(OR($A997="",$C997="U",$S997&lt;&gt;Calc!$F$2),"",IF(COUNTIFS($E$3:$E997,$E997,$C$3:$C997,"&lt;&gt;U",$S$3:$S997,Calc!$F$2)=1,1,0))</f>
        <v/>
      </c>
      <c r="R997" s="35" t="str">
        <f aca="false">IF($Q997=1,$O997-ROW()/100000,"")</f>
        <v/>
      </c>
      <c r="S997" s="37" t="str">
        <f aca="false">IF($A997="","",INT($A997))</f>
        <v/>
      </c>
      <c r="T997" s="35" t="str">
        <f aca="false">IF($A997="","",IF(COUNTIFS($S$3:$S997,$S997)=1,1,0))</f>
        <v/>
      </c>
      <c r="U997" s="37" t="str">
        <f aca="false">IF($T997=1,$S997,"")</f>
        <v/>
      </c>
    </row>
    <row r="998" customFormat="false" ht="15" hidden="false" customHeight="false" outlineLevel="0" collapsed="false">
      <c r="M998" s="35" t="str">
        <f aca="false">IF($A998="","",HOUR($A998))</f>
        <v/>
      </c>
      <c r="N998" s="36" t="str">
        <f aca="false">IF($A998="","",$I998*$K998)</f>
        <v/>
      </c>
      <c r="O998" s="35" t="str">
        <f aca="false">IF(OR($A998="",$C998="U",$S998&lt;&gt;Calc!$F$2),"",SUMIFS($I$3:$I$3002,$E$3:$E$3002,$E998,$C$3:$C$3002,"&lt;&gt;U",$S$3:$S$3002,Calc!$F$2))</f>
        <v/>
      </c>
      <c r="P998" s="35" t="str">
        <f aca="false">IF(OR($A998="",$C998="U",$S998&lt;&gt;Calc!$F$2),"",SUMIFS($N$3:$N$3002,$E$3:$E$3002,$E998,$C$3:$C$3002,"&lt;&gt;U",$S$3:$S$3002,Calc!$F$2))</f>
        <v/>
      </c>
      <c r="Q998" s="35" t="str">
        <f aca="false">IF(OR($A998="",$C998="U",$S998&lt;&gt;Calc!$F$2),"",IF(COUNTIFS($E$3:$E998,$E998,$C$3:$C998,"&lt;&gt;U",$S$3:$S998,Calc!$F$2)=1,1,0))</f>
        <v/>
      </c>
      <c r="R998" s="35" t="str">
        <f aca="false">IF($Q998=1,$O998-ROW()/100000,"")</f>
        <v/>
      </c>
      <c r="S998" s="37" t="str">
        <f aca="false">IF($A998="","",INT($A998))</f>
        <v/>
      </c>
      <c r="T998" s="35" t="str">
        <f aca="false">IF($A998="","",IF(COUNTIFS($S$3:$S998,$S998)=1,1,0))</f>
        <v/>
      </c>
      <c r="U998" s="37" t="str">
        <f aca="false">IF($T998=1,$S998,"")</f>
        <v/>
      </c>
    </row>
    <row r="999" customFormat="false" ht="15" hidden="false" customHeight="false" outlineLevel="0" collapsed="false">
      <c r="M999" s="35" t="str">
        <f aca="false">IF($A999="","",HOUR($A999))</f>
        <v/>
      </c>
      <c r="N999" s="36" t="str">
        <f aca="false">IF($A999="","",$I999*$K999)</f>
        <v/>
      </c>
      <c r="O999" s="35" t="str">
        <f aca="false">IF(OR($A999="",$C999="U",$S999&lt;&gt;Calc!$F$2),"",SUMIFS($I$3:$I$3002,$E$3:$E$3002,$E999,$C$3:$C$3002,"&lt;&gt;U",$S$3:$S$3002,Calc!$F$2))</f>
        <v/>
      </c>
      <c r="P999" s="35" t="str">
        <f aca="false">IF(OR($A999="",$C999="U",$S999&lt;&gt;Calc!$F$2),"",SUMIFS($N$3:$N$3002,$E$3:$E$3002,$E999,$C$3:$C$3002,"&lt;&gt;U",$S$3:$S$3002,Calc!$F$2))</f>
        <v/>
      </c>
      <c r="Q999" s="35" t="str">
        <f aca="false">IF(OR($A999="",$C999="U",$S999&lt;&gt;Calc!$F$2),"",IF(COUNTIFS($E$3:$E999,$E999,$C$3:$C999,"&lt;&gt;U",$S$3:$S999,Calc!$F$2)=1,1,0))</f>
        <v/>
      </c>
      <c r="R999" s="35" t="str">
        <f aca="false">IF($Q999=1,$O999-ROW()/100000,"")</f>
        <v/>
      </c>
      <c r="S999" s="37" t="str">
        <f aca="false">IF($A999="","",INT($A999))</f>
        <v/>
      </c>
      <c r="T999" s="35" t="str">
        <f aca="false">IF($A999="","",IF(COUNTIFS($S$3:$S999,$S999)=1,1,0))</f>
        <v/>
      </c>
      <c r="U999" s="37" t="str">
        <f aca="false">IF($T999=1,$S999,"")</f>
        <v/>
      </c>
    </row>
    <row r="1000" customFormat="false" ht="15" hidden="false" customHeight="false" outlineLevel="0" collapsed="false">
      <c r="M1000" s="35" t="str">
        <f aca="false">IF($A1000="","",HOUR($A1000))</f>
        <v/>
      </c>
      <c r="N1000" s="36" t="str">
        <f aca="false">IF($A1000="","",$I1000*$K1000)</f>
        <v/>
      </c>
      <c r="O1000" s="35" t="str">
        <f aca="false">IF(OR($A1000="",$C1000="U",$S1000&lt;&gt;Calc!$F$2),"",SUMIFS($I$3:$I$3002,$E$3:$E$3002,$E1000,$C$3:$C$3002,"&lt;&gt;U",$S$3:$S$3002,Calc!$F$2))</f>
        <v/>
      </c>
      <c r="P1000" s="35" t="str">
        <f aca="false">IF(OR($A1000="",$C1000="U",$S1000&lt;&gt;Calc!$F$2),"",SUMIFS($N$3:$N$3002,$E$3:$E$3002,$E1000,$C$3:$C$3002,"&lt;&gt;U",$S$3:$S$3002,Calc!$F$2))</f>
        <v/>
      </c>
      <c r="Q1000" s="35" t="str">
        <f aca="false">IF(OR($A1000="",$C1000="U",$S1000&lt;&gt;Calc!$F$2),"",IF(COUNTIFS($E$3:$E1000,$E1000,$C$3:$C1000,"&lt;&gt;U",$S$3:$S1000,Calc!$F$2)=1,1,0))</f>
        <v/>
      </c>
      <c r="R1000" s="35" t="str">
        <f aca="false">IF($Q1000=1,$O1000-ROW()/100000,"")</f>
        <v/>
      </c>
      <c r="S1000" s="37" t="str">
        <f aca="false">IF($A1000="","",INT($A1000))</f>
        <v/>
      </c>
      <c r="T1000" s="35" t="str">
        <f aca="false">IF($A1000="","",IF(COUNTIFS($S$3:$S1000,$S1000)=1,1,0))</f>
        <v/>
      </c>
      <c r="U1000" s="37" t="str">
        <f aca="false">IF($T1000=1,$S1000,"")</f>
        <v/>
      </c>
    </row>
    <row r="1001" customFormat="false" ht="15" hidden="false" customHeight="false" outlineLevel="0" collapsed="false">
      <c r="M1001" s="35" t="str">
        <f aca="false">IF($A1001="","",HOUR($A1001))</f>
        <v/>
      </c>
      <c r="N1001" s="36" t="str">
        <f aca="false">IF($A1001="","",$I1001*$K1001)</f>
        <v/>
      </c>
      <c r="O1001" s="35" t="str">
        <f aca="false">IF(OR($A1001="",$C1001="U",$S1001&lt;&gt;Calc!$F$2),"",SUMIFS($I$3:$I$3002,$E$3:$E$3002,$E1001,$C$3:$C$3002,"&lt;&gt;U",$S$3:$S$3002,Calc!$F$2))</f>
        <v/>
      </c>
      <c r="P1001" s="35" t="str">
        <f aca="false">IF(OR($A1001="",$C1001="U",$S1001&lt;&gt;Calc!$F$2),"",SUMIFS($N$3:$N$3002,$E$3:$E$3002,$E1001,$C$3:$C$3002,"&lt;&gt;U",$S$3:$S$3002,Calc!$F$2))</f>
        <v/>
      </c>
      <c r="Q1001" s="35" t="str">
        <f aca="false">IF(OR($A1001="",$C1001="U",$S1001&lt;&gt;Calc!$F$2),"",IF(COUNTIFS($E$3:$E1001,$E1001,$C$3:$C1001,"&lt;&gt;U",$S$3:$S1001,Calc!$F$2)=1,1,0))</f>
        <v/>
      </c>
      <c r="R1001" s="35" t="str">
        <f aca="false">IF($Q1001=1,$O1001-ROW()/100000,"")</f>
        <v/>
      </c>
      <c r="S1001" s="37" t="str">
        <f aca="false">IF($A1001="","",INT($A1001))</f>
        <v/>
      </c>
      <c r="T1001" s="35" t="str">
        <f aca="false">IF($A1001="","",IF(COUNTIFS($S$3:$S1001,$S1001)=1,1,0))</f>
        <v/>
      </c>
      <c r="U1001" s="37" t="str">
        <f aca="false">IF($T1001=1,$S1001,"")</f>
        <v/>
      </c>
    </row>
    <row r="1002" customFormat="false" ht="15" hidden="false" customHeight="false" outlineLevel="0" collapsed="false">
      <c r="M1002" s="35" t="str">
        <f aca="false">IF($A1002="","",HOUR($A1002))</f>
        <v/>
      </c>
      <c r="N1002" s="36" t="str">
        <f aca="false">IF($A1002="","",$I1002*$K1002)</f>
        <v/>
      </c>
      <c r="O1002" s="35" t="str">
        <f aca="false">IF(OR($A1002="",$C1002="U",$S1002&lt;&gt;Calc!$F$2),"",SUMIFS($I$3:$I$3002,$E$3:$E$3002,$E1002,$C$3:$C$3002,"&lt;&gt;U",$S$3:$S$3002,Calc!$F$2))</f>
        <v/>
      </c>
      <c r="P1002" s="35" t="str">
        <f aca="false">IF(OR($A1002="",$C1002="U",$S1002&lt;&gt;Calc!$F$2),"",SUMIFS($N$3:$N$3002,$E$3:$E$3002,$E1002,$C$3:$C$3002,"&lt;&gt;U",$S$3:$S$3002,Calc!$F$2))</f>
        <v/>
      </c>
      <c r="Q1002" s="35" t="str">
        <f aca="false">IF(OR($A1002="",$C1002="U",$S1002&lt;&gt;Calc!$F$2),"",IF(COUNTIFS($E$3:$E1002,$E1002,$C$3:$C1002,"&lt;&gt;U",$S$3:$S1002,Calc!$F$2)=1,1,0))</f>
        <v/>
      </c>
      <c r="R1002" s="35" t="str">
        <f aca="false">IF($Q1002=1,$O1002-ROW()/100000,"")</f>
        <v/>
      </c>
      <c r="S1002" s="37" t="str">
        <f aca="false">IF($A1002="","",INT($A1002))</f>
        <v/>
      </c>
      <c r="T1002" s="35" t="str">
        <f aca="false">IF($A1002="","",IF(COUNTIFS($S$3:$S1002,$S1002)=1,1,0))</f>
        <v/>
      </c>
      <c r="U1002" s="37" t="str">
        <f aca="false">IF($T1002=1,$S1002,"")</f>
        <v/>
      </c>
    </row>
    <row r="1003" customFormat="false" ht="15" hidden="false" customHeight="false" outlineLevel="0" collapsed="false">
      <c r="M1003" s="35" t="str">
        <f aca="false">IF($A1003="","",HOUR($A1003))</f>
        <v/>
      </c>
      <c r="N1003" s="36" t="str">
        <f aca="false">IF($A1003="","",$I1003*$K1003)</f>
        <v/>
      </c>
      <c r="O1003" s="35" t="str">
        <f aca="false">IF(OR($A1003="",$C1003="U",$S1003&lt;&gt;Calc!$F$2),"",SUMIFS($I$3:$I$3002,$E$3:$E$3002,$E1003,$C$3:$C$3002,"&lt;&gt;U",$S$3:$S$3002,Calc!$F$2))</f>
        <v/>
      </c>
      <c r="P1003" s="35" t="str">
        <f aca="false">IF(OR($A1003="",$C1003="U",$S1003&lt;&gt;Calc!$F$2),"",SUMIFS($N$3:$N$3002,$E$3:$E$3002,$E1003,$C$3:$C$3002,"&lt;&gt;U",$S$3:$S$3002,Calc!$F$2))</f>
        <v/>
      </c>
      <c r="Q1003" s="35" t="str">
        <f aca="false">IF(OR($A1003="",$C1003="U",$S1003&lt;&gt;Calc!$F$2),"",IF(COUNTIFS($E$3:$E1003,$E1003,$C$3:$C1003,"&lt;&gt;U",$S$3:$S1003,Calc!$F$2)=1,1,0))</f>
        <v/>
      </c>
      <c r="R1003" s="35" t="str">
        <f aca="false">IF($Q1003=1,$O1003-ROW()/100000,"")</f>
        <v/>
      </c>
      <c r="S1003" s="37" t="str">
        <f aca="false">IF($A1003="","",INT($A1003))</f>
        <v/>
      </c>
      <c r="T1003" s="35" t="str">
        <f aca="false">IF($A1003="","",IF(COUNTIFS($S$3:$S1003,$S1003)=1,1,0))</f>
        <v/>
      </c>
      <c r="U1003" s="37" t="str">
        <f aca="false">IF($T1003=1,$S1003,"")</f>
        <v/>
      </c>
    </row>
    <row r="1004" customFormat="false" ht="15" hidden="false" customHeight="false" outlineLevel="0" collapsed="false">
      <c r="M1004" s="35" t="str">
        <f aca="false">IF($A1004="","",HOUR($A1004))</f>
        <v/>
      </c>
      <c r="N1004" s="36" t="str">
        <f aca="false">IF($A1004="","",$I1004*$K1004)</f>
        <v/>
      </c>
      <c r="O1004" s="35" t="str">
        <f aca="false">IF(OR($A1004="",$C1004="U",$S1004&lt;&gt;Calc!$F$2),"",SUMIFS($I$3:$I$3002,$E$3:$E$3002,$E1004,$C$3:$C$3002,"&lt;&gt;U",$S$3:$S$3002,Calc!$F$2))</f>
        <v/>
      </c>
      <c r="P1004" s="35" t="str">
        <f aca="false">IF(OR($A1004="",$C1004="U",$S1004&lt;&gt;Calc!$F$2),"",SUMIFS($N$3:$N$3002,$E$3:$E$3002,$E1004,$C$3:$C$3002,"&lt;&gt;U",$S$3:$S$3002,Calc!$F$2))</f>
        <v/>
      </c>
      <c r="Q1004" s="35" t="str">
        <f aca="false">IF(OR($A1004="",$C1004="U",$S1004&lt;&gt;Calc!$F$2),"",IF(COUNTIFS($E$3:$E1004,$E1004,$C$3:$C1004,"&lt;&gt;U",$S$3:$S1004,Calc!$F$2)=1,1,0))</f>
        <v/>
      </c>
      <c r="R1004" s="35" t="str">
        <f aca="false">IF($Q1004=1,$O1004-ROW()/100000,"")</f>
        <v/>
      </c>
      <c r="S1004" s="37" t="str">
        <f aca="false">IF($A1004="","",INT($A1004))</f>
        <v/>
      </c>
      <c r="T1004" s="35" t="str">
        <f aca="false">IF($A1004="","",IF(COUNTIFS($S$3:$S1004,$S1004)=1,1,0))</f>
        <v/>
      </c>
      <c r="U1004" s="37" t="str">
        <f aca="false">IF($T1004=1,$S1004,"")</f>
        <v/>
      </c>
    </row>
    <row r="1005" customFormat="false" ht="15" hidden="false" customHeight="false" outlineLevel="0" collapsed="false">
      <c r="M1005" s="35" t="str">
        <f aca="false">IF($A1005="","",HOUR($A1005))</f>
        <v/>
      </c>
      <c r="N1005" s="36" t="str">
        <f aca="false">IF($A1005="","",$I1005*$K1005)</f>
        <v/>
      </c>
      <c r="O1005" s="35" t="str">
        <f aca="false">IF(OR($A1005="",$C1005="U",$S1005&lt;&gt;Calc!$F$2),"",SUMIFS($I$3:$I$3002,$E$3:$E$3002,$E1005,$C$3:$C$3002,"&lt;&gt;U",$S$3:$S$3002,Calc!$F$2))</f>
        <v/>
      </c>
      <c r="P1005" s="35" t="str">
        <f aca="false">IF(OR($A1005="",$C1005="U",$S1005&lt;&gt;Calc!$F$2),"",SUMIFS($N$3:$N$3002,$E$3:$E$3002,$E1005,$C$3:$C$3002,"&lt;&gt;U",$S$3:$S$3002,Calc!$F$2))</f>
        <v/>
      </c>
      <c r="Q1005" s="35" t="str">
        <f aca="false">IF(OR($A1005="",$C1005="U",$S1005&lt;&gt;Calc!$F$2),"",IF(COUNTIFS($E$3:$E1005,$E1005,$C$3:$C1005,"&lt;&gt;U",$S$3:$S1005,Calc!$F$2)=1,1,0))</f>
        <v/>
      </c>
      <c r="R1005" s="35" t="str">
        <f aca="false">IF($Q1005=1,$O1005-ROW()/100000,"")</f>
        <v/>
      </c>
      <c r="S1005" s="37" t="str">
        <f aca="false">IF($A1005="","",INT($A1005))</f>
        <v/>
      </c>
      <c r="T1005" s="35" t="str">
        <f aca="false">IF($A1005="","",IF(COUNTIFS($S$3:$S1005,$S1005)=1,1,0))</f>
        <v/>
      </c>
      <c r="U1005" s="37" t="str">
        <f aca="false">IF($T1005=1,$S1005,"")</f>
        <v/>
      </c>
    </row>
    <row r="1006" customFormat="false" ht="15" hidden="false" customHeight="false" outlineLevel="0" collapsed="false">
      <c r="M1006" s="35" t="str">
        <f aca="false">IF($A1006="","",HOUR($A1006))</f>
        <v/>
      </c>
      <c r="N1006" s="36" t="str">
        <f aca="false">IF($A1006="","",$I1006*$K1006)</f>
        <v/>
      </c>
      <c r="O1006" s="35" t="str">
        <f aca="false">IF(OR($A1006="",$C1006="U",$S1006&lt;&gt;Calc!$F$2),"",SUMIFS($I$3:$I$3002,$E$3:$E$3002,$E1006,$C$3:$C$3002,"&lt;&gt;U",$S$3:$S$3002,Calc!$F$2))</f>
        <v/>
      </c>
      <c r="P1006" s="35" t="str">
        <f aca="false">IF(OR($A1006="",$C1006="U",$S1006&lt;&gt;Calc!$F$2),"",SUMIFS($N$3:$N$3002,$E$3:$E$3002,$E1006,$C$3:$C$3002,"&lt;&gt;U",$S$3:$S$3002,Calc!$F$2))</f>
        <v/>
      </c>
      <c r="Q1006" s="35" t="str">
        <f aca="false">IF(OR($A1006="",$C1006="U",$S1006&lt;&gt;Calc!$F$2),"",IF(COUNTIFS($E$3:$E1006,$E1006,$C$3:$C1006,"&lt;&gt;U",$S$3:$S1006,Calc!$F$2)=1,1,0))</f>
        <v/>
      </c>
      <c r="R1006" s="35" t="str">
        <f aca="false">IF($Q1006=1,$O1006-ROW()/100000,"")</f>
        <v/>
      </c>
      <c r="S1006" s="37" t="str">
        <f aca="false">IF($A1006="","",INT($A1006))</f>
        <v/>
      </c>
      <c r="T1006" s="35" t="str">
        <f aca="false">IF($A1006="","",IF(COUNTIFS($S$3:$S1006,$S1006)=1,1,0))</f>
        <v/>
      </c>
      <c r="U1006" s="37" t="str">
        <f aca="false">IF($T1006=1,$S1006,"")</f>
        <v/>
      </c>
    </row>
    <row r="1007" customFormat="false" ht="15" hidden="false" customHeight="false" outlineLevel="0" collapsed="false">
      <c r="M1007" s="35" t="str">
        <f aca="false">IF($A1007="","",HOUR($A1007))</f>
        <v/>
      </c>
      <c r="N1007" s="36" t="str">
        <f aca="false">IF($A1007="","",$I1007*$K1007)</f>
        <v/>
      </c>
      <c r="O1007" s="35" t="str">
        <f aca="false">IF(OR($A1007="",$C1007="U",$S1007&lt;&gt;Calc!$F$2),"",SUMIFS($I$3:$I$3002,$E$3:$E$3002,$E1007,$C$3:$C$3002,"&lt;&gt;U",$S$3:$S$3002,Calc!$F$2))</f>
        <v/>
      </c>
      <c r="P1007" s="35" t="str">
        <f aca="false">IF(OR($A1007="",$C1007="U",$S1007&lt;&gt;Calc!$F$2),"",SUMIFS($N$3:$N$3002,$E$3:$E$3002,$E1007,$C$3:$C$3002,"&lt;&gt;U",$S$3:$S$3002,Calc!$F$2))</f>
        <v/>
      </c>
      <c r="Q1007" s="35" t="str">
        <f aca="false">IF(OR($A1007="",$C1007="U",$S1007&lt;&gt;Calc!$F$2),"",IF(COUNTIFS($E$3:$E1007,$E1007,$C$3:$C1007,"&lt;&gt;U",$S$3:$S1007,Calc!$F$2)=1,1,0))</f>
        <v/>
      </c>
      <c r="R1007" s="35" t="str">
        <f aca="false">IF($Q1007=1,$O1007-ROW()/100000,"")</f>
        <v/>
      </c>
      <c r="S1007" s="37" t="str">
        <f aca="false">IF($A1007="","",INT($A1007))</f>
        <v/>
      </c>
      <c r="T1007" s="35" t="str">
        <f aca="false">IF($A1007="","",IF(COUNTIFS($S$3:$S1007,$S1007)=1,1,0))</f>
        <v/>
      </c>
      <c r="U1007" s="37" t="str">
        <f aca="false">IF($T1007=1,$S1007,"")</f>
        <v/>
      </c>
    </row>
    <row r="1008" customFormat="false" ht="15" hidden="false" customHeight="false" outlineLevel="0" collapsed="false">
      <c r="M1008" s="35" t="str">
        <f aca="false">IF($A1008="","",HOUR($A1008))</f>
        <v/>
      </c>
      <c r="N1008" s="36" t="str">
        <f aca="false">IF($A1008="","",$I1008*$K1008)</f>
        <v/>
      </c>
      <c r="O1008" s="35" t="str">
        <f aca="false">IF(OR($A1008="",$C1008="U",$S1008&lt;&gt;Calc!$F$2),"",SUMIFS($I$3:$I$3002,$E$3:$E$3002,$E1008,$C$3:$C$3002,"&lt;&gt;U",$S$3:$S$3002,Calc!$F$2))</f>
        <v/>
      </c>
      <c r="P1008" s="35" t="str">
        <f aca="false">IF(OR($A1008="",$C1008="U",$S1008&lt;&gt;Calc!$F$2),"",SUMIFS($N$3:$N$3002,$E$3:$E$3002,$E1008,$C$3:$C$3002,"&lt;&gt;U",$S$3:$S$3002,Calc!$F$2))</f>
        <v/>
      </c>
      <c r="Q1008" s="35" t="str">
        <f aca="false">IF(OR($A1008="",$C1008="U",$S1008&lt;&gt;Calc!$F$2),"",IF(COUNTIFS($E$3:$E1008,$E1008,$C$3:$C1008,"&lt;&gt;U",$S$3:$S1008,Calc!$F$2)=1,1,0))</f>
        <v/>
      </c>
      <c r="R1008" s="35" t="str">
        <f aca="false">IF($Q1008=1,$O1008-ROW()/100000,"")</f>
        <v/>
      </c>
      <c r="S1008" s="37" t="str">
        <f aca="false">IF($A1008="","",INT($A1008))</f>
        <v/>
      </c>
      <c r="T1008" s="35" t="str">
        <f aca="false">IF($A1008="","",IF(COUNTIFS($S$3:$S1008,$S1008)=1,1,0))</f>
        <v/>
      </c>
      <c r="U1008" s="37" t="str">
        <f aca="false">IF($T1008=1,$S1008,"")</f>
        <v/>
      </c>
    </row>
    <row r="1009" customFormat="false" ht="15" hidden="false" customHeight="false" outlineLevel="0" collapsed="false">
      <c r="M1009" s="35" t="str">
        <f aca="false">IF($A1009="","",HOUR($A1009))</f>
        <v/>
      </c>
      <c r="N1009" s="36" t="str">
        <f aca="false">IF($A1009="","",$I1009*$K1009)</f>
        <v/>
      </c>
      <c r="O1009" s="35" t="str">
        <f aca="false">IF(OR($A1009="",$C1009="U",$S1009&lt;&gt;Calc!$F$2),"",SUMIFS($I$3:$I$3002,$E$3:$E$3002,$E1009,$C$3:$C$3002,"&lt;&gt;U",$S$3:$S$3002,Calc!$F$2))</f>
        <v/>
      </c>
      <c r="P1009" s="35" t="str">
        <f aca="false">IF(OR($A1009="",$C1009="U",$S1009&lt;&gt;Calc!$F$2),"",SUMIFS($N$3:$N$3002,$E$3:$E$3002,$E1009,$C$3:$C$3002,"&lt;&gt;U",$S$3:$S$3002,Calc!$F$2))</f>
        <v/>
      </c>
      <c r="Q1009" s="35" t="str">
        <f aca="false">IF(OR($A1009="",$C1009="U",$S1009&lt;&gt;Calc!$F$2),"",IF(COUNTIFS($E$3:$E1009,$E1009,$C$3:$C1009,"&lt;&gt;U",$S$3:$S1009,Calc!$F$2)=1,1,0))</f>
        <v/>
      </c>
      <c r="R1009" s="35" t="str">
        <f aca="false">IF($Q1009=1,$O1009-ROW()/100000,"")</f>
        <v/>
      </c>
      <c r="S1009" s="37" t="str">
        <f aca="false">IF($A1009="","",INT($A1009))</f>
        <v/>
      </c>
      <c r="T1009" s="35" t="str">
        <f aca="false">IF($A1009="","",IF(COUNTIFS($S$3:$S1009,$S1009)=1,1,0))</f>
        <v/>
      </c>
      <c r="U1009" s="37" t="str">
        <f aca="false">IF($T1009=1,$S1009,"")</f>
        <v/>
      </c>
    </row>
    <row r="1010" customFormat="false" ht="15" hidden="false" customHeight="false" outlineLevel="0" collapsed="false">
      <c r="M1010" s="35" t="str">
        <f aca="false">IF($A1010="","",HOUR($A1010))</f>
        <v/>
      </c>
      <c r="N1010" s="36" t="str">
        <f aca="false">IF($A1010="","",$I1010*$K1010)</f>
        <v/>
      </c>
      <c r="O1010" s="35" t="str">
        <f aca="false">IF(OR($A1010="",$C1010="U",$S1010&lt;&gt;Calc!$F$2),"",SUMIFS($I$3:$I$3002,$E$3:$E$3002,$E1010,$C$3:$C$3002,"&lt;&gt;U",$S$3:$S$3002,Calc!$F$2))</f>
        <v/>
      </c>
      <c r="P1010" s="35" t="str">
        <f aca="false">IF(OR($A1010="",$C1010="U",$S1010&lt;&gt;Calc!$F$2),"",SUMIFS($N$3:$N$3002,$E$3:$E$3002,$E1010,$C$3:$C$3002,"&lt;&gt;U",$S$3:$S$3002,Calc!$F$2))</f>
        <v/>
      </c>
      <c r="Q1010" s="35" t="str">
        <f aca="false">IF(OR($A1010="",$C1010="U",$S1010&lt;&gt;Calc!$F$2),"",IF(COUNTIFS($E$3:$E1010,$E1010,$C$3:$C1010,"&lt;&gt;U",$S$3:$S1010,Calc!$F$2)=1,1,0))</f>
        <v/>
      </c>
      <c r="R1010" s="35" t="str">
        <f aca="false">IF($Q1010=1,$O1010-ROW()/100000,"")</f>
        <v/>
      </c>
      <c r="S1010" s="37" t="str">
        <f aca="false">IF($A1010="","",INT($A1010))</f>
        <v/>
      </c>
      <c r="T1010" s="35" t="str">
        <f aca="false">IF($A1010="","",IF(COUNTIFS($S$3:$S1010,$S1010)=1,1,0))</f>
        <v/>
      </c>
      <c r="U1010" s="37" t="str">
        <f aca="false">IF($T1010=1,$S1010,"")</f>
        <v/>
      </c>
    </row>
    <row r="1011" customFormat="false" ht="15" hidden="false" customHeight="false" outlineLevel="0" collapsed="false">
      <c r="M1011" s="35" t="str">
        <f aca="false">IF($A1011="","",HOUR($A1011))</f>
        <v/>
      </c>
      <c r="N1011" s="36" t="str">
        <f aca="false">IF($A1011="","",$I1011*$K1011)</f>
        <v/>
      </c>
      <c r="O1011" s="35" t="str">
        <f aca="false">IF(OR($A1011="",$C1011="U",$S1011&lt;&gt;Calc!$F$2),"",SUMIFS($I$3:$I$3002,$E$3:$E$3002,$E1011,$C$3:$C$3002,"&lt;&gt;U",$S$3:$S$3002,Calc!$F$2))</f>
        <v/>
      </c>
      <c r="P1011" s="35" t="str">
        <f aca="false">IF(OR($A1011="",$C1011="U",$S1011&lt;&gt;Calc!$F$2),"",SUMIFS($N$3:$N$3002,$E$3:$E$3002,$E1011,$C$3:$C$3002,"&lt;&gt;U",$S$3:$S$3002,Calc!$F$2))</f>
        <v/>
      </c>
      <c r="Q1011" s="35" t="str">
        <f aca="false">IF(OR($A1011="",$C1011="U",$S1011&lt;&gt;Calc!$F$2),"",IF(COUNTIFS($E$3:$E1011,$E1011,$C$3:$C1011,"&lt;&gt;U",$S$3:$S1011,Calc!$F$2)=1,1,0))</f>
        <v/>
      </c>
      <c r="R1011" s="35" t="str">
        <f aca="false">IF($Q1011=1,$O1011-ROW()/100000,"")</f>
        <v/>
      </c>
      <c r="S1011" s="37" t="str">
        <f aca="false">IF($A1011="","",INT($A1011))</f>
        <v/>
      </c>
      <c r="T1011" s="35" t="str">
        <f aca="false">IF($A1011="","",IF(COUNTIFS($S$3:$S1011,$S1011)=1,1,0))</f>
        <v/>
      </c>
      <c r="U1011" s="37" t="str">
        <f aca="false">IF($T1011=1,$S1011,"")</f>
        <v/>
      </c>
    </row>
    <row r="1012" customFormat="false" ht="15" hidden="false" customHeight="false" outlineLevel="0" collapsed="false">
      <c r="M1012" s="35" t="str">
        <f aca="false">IF($A1012="","",HOUR($A1012))</f>
        <v/>
      </c>
      <c r="N1012" s="36" t="str">
        <f aca="false">IF($A1012="","",$I1012*$K1012)</f>
        <v/>
      </c>
      <c r="O1012" s="35" t="str">
        <f aca="false">IF(OR($A1012="",$C1012="U",$S1012&lt;&gt;Calc!$F$2),"",SUMIFS($I$3:$I$3002,$E$3:$E$3002,$E1012,$C$3:$C$3002,"&lt;&gt;U",$S$3:$S$3002,Calc!$F$2))</f>
        <v/>
      </c>
      <c r="P1012" s="35" t="str">
        <f aca="false">IF(OR($A1012="",$C1012="U",$S1012&lt;&gt;Calc!$F$2),"",SUMIFS($N$3:$N$3002,$E$3:$E$3002,$E1012,$C$3:$C$3002,"&lt;&gt;U",$S$3:$S$3002,Calc!$F$2))</f>
        <v/>
      </c>
      <c r="Q1012" s="35" t="str">
        <f aca="false">IF(OR($A1012="",$C1012="U",$S1012&lt;&gt;Calc!$F$2),"",IF(COUNTIFS($E$3:$E1012,$E1012,$C$3:$C1012,"&lt;&gt;U",$S$3:$S1012,Calc!$F$2)=1,1,0))</f>
        <v/>
      </c>
      <c r="R1012" s="35" t="str">
        <f aca="false">IF($Q1012=1,$O1012-ROW()/100000,"")</f>
        <v/>
      </c>
      <c r="S1012" s="37" t="str">
        <f aca="false">IF($A1012="","",INT($A1012))</f>
        <v/>
      </c>
      <c r="T1012" s="35" t="str">
        <f aca="false">IF($A1012="","",IF(COUNTIFS($S$3:$S1012,$S1012)=1,1,0))</f>
        <v/>
      </c>
      <c r="U1012" s="37" t="str">
        <f aca="false">IF($T1012=1,$S1012,"")</f>
        <v/>
      </c>
    </row>
    <row r="1013" customFormat="false" ht="15" hidden="false" customHeight="false" outlineLevel="0" collapsed="false">
      <c r="M1013" s="35" t="str">
        <f aca="false">IF($A1013="","",HOUR($A1013))</f>
        <v/>
      </c>
      <c r="N1013" s="36" t="str">
        <f aca="false">IF($A1013="","",$I1013*$K1013)</f>
        <v/>
      </c>
      <c r="O1013" s="35" t="str">
        <f aca="false">IF(OR($A1013="",$C1013="U",$S1013&lt;&gt;Calc!$F$2),"",SUMIFS($I$3:$I$3002,$E$3:$E$3002,$E1013,$C$3:$C$3002,"&lt;&gt;U",$S$3:$S$3002,Calc!$F$2))</f>
        <v/>
      </c>
      <c r="P1013" s="35" t="str">
        <f aca="false">IF(OR($A1013="",$C1013="U",$S1013&lt;&gt;Calc!$F$2),"",SUMIFS($N$3:$N$3002,$E$3:$E$3002,$E1013,$C$3:$C$3002,"&lt;&gt;U",$S$3:$S$3002,Calc!$F$2))</f>
        <v/>
      </c>
      <c r="Q1013" s="35" t="str">
        <f aca="false">IF(OR($A1013="",$C1013="U",$S1013&lt;&gt;Calc!$F$2),"",IF(COUNTIFS($E$3:$E1013,$E1013,$C$3:$C1013,"&lt;&gt;U",$S$3:$S1013,Calc!$F$2)=1,1,0))</f>
        <v/>
      </c>
      <c r="R1013" s="35" t="str">
        <f aca="false">IF($Q1013=1,$O1013-ROW()/100000,"")</f>
        <v/>
      </c>
      <c r="S1013" s="37" t="str">
        <f aca="false">IF($A1013="","",INT($A1013))</f>
        <v/>
      </c>
      <c r="T1013" s="35" t="str">
        <f aca="false">IF($A1013="","",IF(COUNTIFS($S$3:$S1013,$S1013)=1,1,0))</f>
        <v/>
      </c>
      <c r="U1013" s="37" t="str">
        <f aca="false">IF($T1013=1,$S1013,"")</f>
        <v/>
      </c>
    </row>
    <row r="1014" customFormat="false" ht="15" hidden="false" customHeight="false" outlineLevel="0" collapsed="false">
      <c r="M1014" s="35" t="str">
        <f aca="false">IF($A1014="","",HOUR($A1014))</f>
        <v/>
      </c>
      <c r="N1014" s="36" t="str">
        <f aca="false">IF($A1014="","",$I1014*$K1014)</f>
        <v/>
      </c>
      <c r="O1014" s="35" t="str">
        <f aca="false">IF(OR($A1014="",$C1014="U",$S1014&lt;&gt;Calc!$F$2),"",SUMIFS($I$3:$I$3002,$E$3:$E$3002,$E1014,$C$3:$C$3002,"&lt;&gt;U",$S$3:$S$3002,Calc!$F$2))</f>
        <v/>
      </c>
      <c r="P1014" s="35" t="str">
        <f aca="false">IF(OR($A1014="",$C1014="U",$S1014&lt;&gt;Calc!$F$2),"",SUMIFS($N$3:$N$3002,$E$3:$E$3002,$E1014,$C$3:$C$3002,"&lt;&gt;U",$S$3:$S$3002,Calc!$F$2))</f>
        <v/>
      </c>
      <c r="Q1014" s="35" t="str">
        <f aca="false">IF(OR($A1014="",$C1014="U",$S1014&lt;&gt;Calc!$F$2),"",IF(COUNTIFS($E$3:$E1014,$E1014,$C$3:$C1014,"&lt;&gt;U",$S$3:$S1014,Calc!$F$2)=1,1,0))</f>
        <v/>
      </c>
      <c r="R1014" s="35" t="str">
        <f aca="false">IF($Q1014=1,$O1014-ROW()/100000,"")</f>
        <v/>
      </c>
      <c r="S1014" s="37" t="str">
        <f aca="false">IF($A1014="","",INT($A1014))</f>
        <v/>
      </c>
      <c r="T1014" s="35" t="str">
        <f aca="false">IF($A1014="","",IF(COUNTIFS($S$3:$S1014,$S1014)=1,1,0))</f>
        <v/>
      </c>
      <c r="U1014" s="37" t="str">
        <f aca="false">IF($T1014=1,$S1014,"")</f>
        <v/>
      </c>
    </row>
    <row r="1015" customFormat="false" ht="15" hidden="false" customHeight="false" outlineLevel="0" collapsed="false">
      <c r="M1015" s="35" t="str">
        <f aca="false">IF($A1015="","",HOUR($A1015))</f>
        <v/>
      </c>
      <c r="N1015" s="36" t="str">
        <f aca="false">IF($A1015="","",$I1015*$K1015)</f>
        <v/>
      </c>
      <c r="O1015" s="35" t="str">
        <f aca="false">IF(OR($A1015="",$C1015="U",$S1015&lt;&gt;Calc!$F$2),"",SUMIFS($I$3:$I$3002,$E$3:$E$3002,$E1015,$C$3:$C$3002,"&lt;&gt;U",$S$3:$S$3002,Calc!$F$2))</f>
        <v/>
      </c>
      <c r="P1015" s="35" t="str">
        <f aca="false">IF(OR($A1015="",$C1015="U",$S1015&lt;&gt;Calc!$F$2),"",SUMIFS($N$3:$N$3002,$E$3:$E$3002,$E1015,$C$3:$C$3002,"&lt;&gt;U",$S$3:$S$3002,Calc!$F$2))</f>
        <v/>
      </c>
      <c r="Q1015" s="35" t="str">
        <f aca="false">IF(OR($A1015="",$C1015="U",$S1015&lt;&gt;Calc!$F$2),"",IF(COUNTIFS($E$3:$E1015,$E1015,$C$3:$C1015,"&lt;&gt;U",$S$3:$S1015,Calc!$F$2)=1,1,0))</f>
        <v/>
      </c>
      <c r="R1015" s="35" t="str">
        <f aca="false">IF($Q1015=1,$O1015-ROW()/100000,"")</f>
        <v/>
      </c>
      <c r="S1015" s="37" t="str">
        <f aca="false">IF($A1015="","",INT($A1015))</f>
        <v/>
      </c>
      <c r="T1015" s="35" t="str">
        <f aca="false">IF($A1015="","",IF(COUNTIFS($S$3:$S1015,$S1015)=1,1,0))</f>
        <v/>
      </c>
      <c r="U1015" s="37" t="str">
        <f aca="false">IF($T1015=1,$S1015,"")</f>
        <v/>
      </c>
    </row>
    <row r="1016" customFormat="false" ht="15" hidden="false" customHeight="false" outlineLevel="0" collapsed="false">
      <c r="M1016" s="35" t="str">
        <f aca="false">IF($A1016="","",HOUR($A1016))</f>
        <v/>
      </c>
      <c r="N1016" s="36" t="str">
        <f aca="false">IF($A1016="","",$I1016*$K1016)</f>
        <v/>
      </c>
      <c r="O1016" s="35" t="str">
        <f aca="false">IF(OR($A1016="",$C1016="U",$S1016&lt;&gt;Calc!$F$2),"",SUMIFS($I$3:$I$3002,$E$3:$E$3002,$E1016,$C$3:$C$3002,"&lt;&gt;U",$S$3:$S$3002,Calc!$F$2))</f>
        <v/>
      </c>
      <c r="P1016" s="35" t="str">
        <f aca="false">IF(OR($A1016="",$C1016="U",$S1016&lt;&gt;Calc!$F$2),"",SUMIFS($N$3:$N$3002,$E$3:$E$3002,$E1016,$C$3:$C$3002,"&lt;&gt;U",$S$3:$S$3002,Calc!$F$2))</f>
        <v/>
      </c>
      <c r="Q1016" s="35" t="str">
        <f aca="false">IF(OR($A1016="",$C1016="U",$S1016&lt;&gt;Calc!$F$2),"",IF(COUNTIFS($E$3:$E1016,$E1016,$C$3:$C1016,"&lt;&gt;U",$S$3:$S1016,Calc!$F$2)=1,1,0))</f>
        <v/>
      </c>
      <c r="R1016" s="35" t="str">
        <f aca="false">IF($Q1016=1,$O1016-ROW()/100000,"")</f>
        <v/>
      </c>
      <c r="S1016" s="37" t="str">
        <f aca="false">IF($A1016="","",INT($A1016))</f>
        <v/>
      </c>
      <c r="T1016" s="35" t="str">
        <f aca="false">IF($A1016="","",IF(COUNTIFS($S$3:$S1016,$S1016)=1,1,0))</f>
        <v/>
      </c>
      <c r="U1016" s="37" t="str">
        <f aca="false">IF($T1016=1,$S1016,"")</f>
        <v/>
      </c>
    </row>
    <row r="1017" customFormat="false" ht="15" hidden="false" customHeight="false" outlineLevel="0" collapsed="false">
      <c r="M1017" s="35" t="str">
        <f aca="false">IF($A1017="","",HOUR($A1017))</f>
        <v/>
      </c>
      <c r="N1017" s="36" t="str">
        <f aca="false">IF($A1017="","",$I1017*$K1017)</f>
        <v/>
      </c>
      <c r="O1017" s="35" t="str">
        <f aca="false">IF(OR($A1017="",$C1017="U",$S1017&lt;&gt;Calc!$F$2),"",SUMIFS($I$3:$I$3002,$E$3:$E$3002,$E1017,$C$3:$C$3002,"&lt;&gt;U",$S$3:$S$3002,Calc!$F$2))</f>
        <v/>
      </c>
      <c r="P1017" s="35" t="str">
        <f aca="false">IF(OR($A1017="",$C1017="U",$S1017&lt;&gt;Calc!$F$2),"",SUMIFS($N$3:$N$3002,$E$3:$E$3002,$E1017,$C$3:$C$3002,"&lt;&gt;U",$S$3:$S$3002,Calc!$F$2))</f>
        <v/>
      </c>
      <c r="Q1017" s="35" t="str">
        <f aca="false">IF(OR($A1017="",$C1017="U",$S1017&lt;&gt;Calc!$F$2),"",IF(COUNTIFS($E$3:$E1017,$E1017,$C$3:$C1017,"&lt;&gt;U",$S$3:$S1017,Calc!$F$2)=1,1,0))</f>
        <v/>
      </c>
      <c r="R1017" s="35" t="str">
        <f aca="false">IF($Q1017=1,$O1017-ROW()/100000,"")</f>
        <v/>
      </c>
      <c r="S1017" s="37" t="str">
        <f aca="false">IF($A1017="","",INT($A1017))</f>
        <v/>
      </c>
      <c r="T1017" s="35" t="str">
        <f aca="false">IF($A1017="","",IF(COUNTIFS($S$3:$S1017,$S1017)=1,1,0))</f>
        <v/>
      </c>
      <c r="U1017" s="37" t="str">
        <f aca="false">IF($T1017=1,$S1017,"")</f>
        <v/>
      </c>
    </row>
    <row r="1018" customFormat="false" ht="15" hidden="false" customHeight="false" outlineLevel="0" collapsed="false">
      <c r="M1018" s="35" t="str">
        <f aca="false">IF($A1018="","",HOUR($A1018))</f>
        <v/>
      </c>
      <c r="N1018" s="36" t="str">
        <f aca="false">IF($A1018="","",$I1018*$K1018)</f>
        <v/>
      </c>
      <c r="O1018" s="35" t="str">
        <f aca="false">IF(OR($A1018="",$C1018="U",$S1018&lt;&gt;Calc!$F$2),"",SUMIFS($I$3:$I$3002,$E$3:$E$3002,$E1018,$C$3:$C$3002,"&lt;&gt;U",$S$3:$S$3002,Calc!$F$2))</f>
        <v/>
      </c>
      <c r="P1018" s="35" t="str">
        <f aca="false">IF(OR($A1018="",$C1018="U",$S1018&lt;&gt;Calc!$F$2),"",SUMIFS($N$3:$N$3002,$E$3:$E$3002,$E1018,$C$3:$C$3002,"&lt;&gt;U",$S$3:$S$3002,Calc!$F$2))</f>
        <v/>
      </c>
      <c r="Q1018" s="35" t="str">
        <f aca="false">IF(OR($A1018="",$C1018="U",$S1018&lt;&gt;Calc!$F$2),"",IF(COUNTIFS($E$3:$E1018,$E1018,$C$3:$C1018,"&lt;&gt;U",$S$3:$S1018,Calc!$F$2)=1,1,0))</f>
        <v/>
      </c>
      <c r="R1018" s="35" t="str">
        <f aca="false">IF($Q1018=1,$O1018-ROW()/100000,"")</f>
        <v/>
      </c>
      <c r="S1018" s="37" t="str">
        <f aca="false">IF($A1018="","",INT($A1018))</f>
        <v/>
      </c>
      <c r="T1018" s="35" t="str">
        <f aca="false">IF($A1018="","",IF(COUNTIFS($S$3:$S1018,$S1018)=1,1,0))</f>
        <v/>
      </c>
      <c r="U1018" s="37" t="str">
        <f aca="false">IF($T1018=1,$S1018,"")</f>
        <v/>
      </c>
    </row>
    <row r="1019" customFormat="false" ht="15" hidden="false" customHeight="false" outlineLevel="0" collapsed="false">
      <c r="M1019" s="35" t="str">
        <f aca="false">IF($A1019="","",HOUR($A1019))</f>
        <v/>
      </c>
      <c r="N1019" s="36" t="str">
        <f aca="false">IF($A1019="","",$I1019*$K1019)</f>
        <v/>
      </c>
      <c r="O1019" s="35" t="str">
        <f aca="false">IF(OR($A1019="",$C1019="U",$S1019&lt;&gt;Calc!$F$2),"",SUMIFS($I$3:$I$3002,$E$3:$E$3002,$E1019,$C$3:$C$3002,"&lt;&gt;U",$S$3:$S$3002,Calc!$F$2))</f>
        <v/>
      </c>
      <c r="P1019" s="35" t="str">
        <f aca="false">IF(OR($A1019="",$C1019="U",$S1019&lt;&gt;Calc!$F$2),"",SUMIFS($N$3:$N$3002,$E$3:$E$3002,$E1019,$C$3:$C$3002,"&lt;&gt;U",$S$3:$S$3002,Calc!$F$2))</f>
        <v/>
      </c>
      <c r="Q1019" s="35" t="str">
        <f aca="false">IF(OR($A1019="",$C1019="U",$S1019&lt;&gt;Calc!$F$2),"",IF(COUNTIFS($E$3:$E1019,$E1019,$C$3:$C1019,"&lt;&gt;U",$S$3:$S1019,Calc!$F$2)=1,1,0))</f>
        <v/>
      </c>
      <c r="R1019" s="35" t="str">
        <f aca="false">IF($Q1019=1,$O1019-ROW()/100000,"")</f>
        <v/>
      </c>
      <c r="S1019" s="37" t="str">
        <f aca="false">IF($A1019="","",INT($A1019))</f>
        <v/>
      </c>
      <c r="T1019" s="35" t="str">
        <f aca="false">IF($A1019="","",IF(COUNTIFS($S$3:$S1019,$S1019)=1,1,0))</f>
        <v/>
      </c>
      <c r="U1019" s="37" t="str">
        <f aca="false">IF($T1019=1,$S1019,"")</f>
        <v/>
      </c>
    </row>
    <row r="1020" customFormat="false" ht="15" hidden="false" customHeight="false" outlineLevel="0" collapsed="false">
      <c r="M1020" s="35" t="str">
        <f aca="false">IF($A1020="","",HOUR($A1020))</f>
        <v/>
      </c>
      <c r="N1020" s="36" t="str">
        <f aca="false">IF($A1020="","",$I1020*$K1020)</f>
        <v/>
      </c>
      <c r="O1020" s="35" t="str">
        <f aca="false">IF(OR($A1020="",$C1020="U",$S1020&lt;&gt;Calc!$F$2),"",SUMIFS($I$3:$I$3002,$E$3:$E$3002,$E1020,$C$3:$C$3002,"&lt;&gt;U",$S$3:$S$3002,Calc!$F$2))</f>
        <v/>
      </c>
      <c r="P1020" s="35" t="str">
        <f aca="false">IF(OR($A1020="",$C1020="U",$S1020&lt;&gt;Calc!$F$2),"",SUMIFS($N$3:$N$3002,$E$3:$E$3002,$E1020,$C$3:$C$3002,"&lt;&gt;U",$S$3:$S$3002,Calc!$F$2))</f>
        <v/>
      </c>
      <c r="Q1020" s="35" t="str">
        <f aca="false">IF(OR($A1020="",$C1020="U",$S1020&lt;&gt;Calc!$F$2),"",IF(COUNTIFS($E$3:$E1020,$E1020,$C$3:$C1020,"&lt;&gt;U",$S$3:$S1020,Calc!$F$2)=1,1,0))</f>
        <v/>
      </c>
      <c r="R1020" s="35" t="str">
        <f aca="false">IF($Q1020=1,$O1020-ROW()/100000,"")</f>
        <v/>
      </c>
      <c r="S1020" s="37" t="str">
        <f aca="false">IF($A1020="","",INT($A1020))</f>
        <v/>
      </c>
      <c r="T1020" s="35" t="str">
        <f aca="false">IF($A1020="","",IF(COUNTIFS($S$3:$S1020,$S1020)=1,1,0))</f>
        <v/>
      </c>
      <c r="U1020" s="37" t="str">
        <f aca="false">IF($T1020=1,$S1020,"")</f>
        <v/>
      </c>
    </row>
    <row r="1021" customFormat="false" ht="15" hidden="false" customHeight="false" outlineLevel="0" collapsed="false">
      <c r="M1021" s="35" t="str">
        <f aca="false">IF($A1021="","",HOUR($A1021))</f>
        <v/>
      </c>
      <c r="N1021" s="36" t="str">
        <f aca="false">IF($A1021="","",$I1021*$K1021)</f>
        <v/>
      </c>
      <c r="O1021" s="35" t="str">
        <f aca="false">IF(OR($A1021="",$C1021="U",$S1021&lt;&gt;Calc!$F$2),"",SUMIFS($I$3:$I$3002,$E$3:$E$3002,$E1021,$C$3:$C$3002,"&lt;&gt;U",$S$3:$S$3002,Calc!$F$2))</f>
        <v/>
      </c>
      <c r="P1021" s="35" t="str">
        <f aca="false">IF(OR($A1021="",$C1021="U",$S1021&lt;&gt;Calc!$F$2),"",SUMIFS($N$3:$N$3002,$E$3:$E$3002,$E1021,$C$3:$C$3002,"&lt;&gt;U",$S$3:$S$3002,Calc!$F$2))</f>
        <v/>
      </c>
      <c r="Q1021" s="35" t="str">
        <f aca="false">IF(OR($A1021="",$C1021="U",$S1021&lt;&gt;Calc!$F$2),"",IF(COUNTIFS($E$3:$E1021,$E1021,$C$3:$C1021,"&lt;&gt;U",$S$3:$S1021,Calc!$F$2)=1,1,0))</f>
        <v/>
      </c>
      <c r="R1021" s="35" t="str">
        <f aca="false">IF($Q1021=1,$O1021-ROW()/100000,"")</f>
        <v/>
      </c>
      <c r="S1021" s="37" t="str">
        <f aca="false">IF($A1021="","",INT($A1021))</f>
        <v/>
      </c>
      <c r="T1021" s="35" t="str">
        <f aca="false">IF($A1021="","",IF(COUNTIFS($S$3:$S1021,$S1021)=1,1,0))</f>
        <v/>
      </c>
      <c r="U1021" s="37" t="str">
        <f aca="false">IF($T1021=1,$S1021,"")</f>
        <v/>
      </c>
    </row>
    <row r="1022" customFormat="false" ht="15" hidden="false" customHeight="false" outlineLevel="0" collapsed="false">
      <c r="M1022" s="35" t="str">
        <f aca="false">IF($A1022="","",HOUR($A1022))</f>
        <v/>
      </c>
      <c r="N1022" s="36" t="str">
        <f aca="false">IF($A1022="","",$I1022*$K1022)</f>
        <v/>
      </c>
      <c r="O1022" s="35" t="str">
        <f aca="false">IF(OR($A1022="",$C1022="U",$S1022&lt;&gt;Calc!$F$2),"",SUMIFS($I$3:$I$3002,$E$3:$E$3002,$E1022,$C$3:$C$3002,"&lt;&gt;U",$S$3:$S$3002,Calc!$F$2))</f>
        <v/>
      </c>
      <c r="P1022" s="35" t="str">
        <f aca="false">IF(OR($A1022="",$C1022="U",$S1022&lt;&gt;Calc!$F$2),"",SUMIFS($N$3:$N$3002,$E$3:$E$3002,$E1022,$C$3:$C$3002,"&lt;&gt;U",$S$3:$S$3002,Calc!$F$2))</f>
        <v/>
      </c>
      <c r="Q1022" s="35" t="str">
        <f aca="false">IF(OR($A1022="",$C1022="U",$S1022&lt;&gt;Calc!$F$2),"",IF(COUNTIFS($E$3:$E1022,$E1022,$C$3:$C1022,"&lt;&gt;U",$S$3:$S1022,Calc!$F$2)=1,1,0))</f>
        <v/>
      </c>
      <c r="R1022" s="35" t="str">
        <f aca="false">IF($Q1022=1,$O1022-ROW()/100000,"")</f>
        <v/>
      </c>
      <c r="S1022" s="37" t="str">
        <f aca="false">IF($A1022="","",INT($A1022))</f>
        <v/>
      </c>
      <c r="T1022" s="35" t="str">
        <f aca="false">IF($A1022="","",IF(COUNTIFS($S$3:$S1022,$S1022)=1,1,0))</f>
        <v/>
      </c>
      <c r="U1022" s="37" t="str">
        <f aca="false">IF($T1022=1,$S1022,"")</f>
        <v/>
      </c>
    </row>
    <row r="1023" customFormat="false" ht="15" hidden="false" customHeight="false" outlineLevel="0" collapsed="false">
      <c r="M1023" s="35" t="str">
        <f aca="false">IF($A1023="","",HOUR($A1023))</f>
        <v/>
      </c>
      <c r="N1023" s="36" t="str">
        <f aca="false">IF($A1023="","",$I1023*$K1023)</f>
        <v/>
      </c>
      <c r="O1023" s="35" t="str">
        <f aca="false">IF(OR($A1023="",$C1023="U",$S1023&lt;&gt;Calc!$F$2),"",SUMIFS($I$3:$I$3002,$E$3:$E$3002,$E1023,$C$3:$C$3002,"&lt;&gt;U",$S$3:$S$3002,Calc!$F$2))</f>
        <v/>
      </c>
      <c r="P1023" s="35" t="str">
        <f aca="false">IF(OR($A1023="",$C1023="U",$S1023&lt;&gt;Calc!$F$2),"",SUMIFS($N$3:$N$3002,$E$3:$E$3002,$E1023,$C$3:$C$3002,"&lt;&gt;U",$S$3:$S$3002,Calc!$F$2))</f>
        <v/>
      </c>
      <c r="Q1023" s="35" t="str">
        <f aca="false">IF(OR($A1023="",$C1023="U",$S1023&lt;&gt;Calc!$F$2),"",IF(COUNTIFS($E$3:$E1023,$E1023,$C$3:$C1023,"&lt;&gt;U",$S$3:$S1023,Calc!$F$2)=1,1,0))</f>
        <v/>
      </c>
      <c r="R1023" s="35" t="str">
        <f aca="false">IF($Q1023=1,$O1023-ROW()/100000,"")</f>
        <v/>
      </c>
      <c r="S1023" s="37" t="str">
        <f aca="false">IF($A1023="","",INT($A1023))</f>
        <v/>
      </c>
      <c r="T1023" s="35" t="str">
        <f aca="false">IF($A1023="","",IF(COUNTIFS($S$3:$S1023,$S1023)=1,1,0))</f>
        <v/>
      </c>
      <c r="U1023" s="37" t="str">
        <f aca="false">IF($T1023=1,$S1023,"")</f>
        <v/>
      </c>
    </row>
    <row r="1024" customFormat="false" ht="15" hidden="false" customHeight="false" outlineLevel="0" collapsed="false">
      <c r="M1024" s="35" t="str">
        <f aca="false">IF($A1024="","",HOUR($A1024))</f>
        <v/>
      </c>
      <c r="N1024" s="36" t="str">
        <f aca="false">IF($A1024="","",$I1024*$K1024)</f>
        <v/>
      </c>
      <c r="O1024" s="35" t="str">
        <f aca="false">IF(OR($A1024="",$C1024="U",$S1024&lt;&gt;Calc!$F$2),"",SUMIFS($I$3:$I$3002,$E$3:$E$3002,$E1024,$C$3:$C$3002,"&lt;&gt;U",$S$3:$S$3002,Calc!$F$2))</f>
        <v/>
      </c>
      <c r="P1024" s="35" t="str">
        <f aca="false">IF(OR($A1024="",$C1024="U",$S1024&lt;&gt;Calc!$F$2),"",SUMIFS($N$3:$N$3002,$E$3:$E$3002,$E1024,$C$3:$C$3002,"&lt;&gt;U",$S$3:$S$3002,Calc!$F$2))</f>
        <v/>
      </c>
      <c r="Q1024" s="35" t="str">
        <f aca="false">IF(OR($A1024="",$C1024="U",$S1024&lt;&gt;Calc!$F$2),"",IF(COUNTIFS($E$3:$E1024,$E1024,$C$3:$C1024,"&lt;&gt;U",$S$3:$S1024,Calc!$F$2)=1,1,0))</f>
        <v/>
      </c>
      <c r="R1024" s="35" t="str">
        <f aca="false">IF($Q1024=1,$O1024-ROW()/100000,"")</f>
        <v/>
      </c>
      <c r="S1024" s="37" t="str">
        <f aca="false">IF($A1024="","",INT($A1024))</f>
        <v/>
      </c>
      <c r="T1024" s="35" t="str">
        <f aca="false">IF($A1024="","",IF(COUNTIFS($S$3:$S1024,$S1024)=1,1,0))</f>
        <v/>
      </c>
      <c r="U1024" s="37" t="str">
        <f aca="false">IF($T1024=1,$S1024,"")</f>
        <v/>
      </c>
    </row>
    <row r="1025" customFormat="false" ht="15" hidden="false" customHeight="false" outlineLevel="0" collapsed="false">
      <c r="M1025" s="35" t="str">
        <f aca="false">IF($A1025="","",HOUR($A1025))</f>
        <v/>
      </c>
      <c r="N1025" s="36" t="str">
        <f aca="false">IF($A1025="","",$I1025*$K1025)</f>
        <v/>
      </c>
      <c r="O1025" s="35" t="str">
        <f aca="false">IF(OR($A1025="",$C1025="U",$S1025&lt;&gt;Calc!$F$2),"",SUMIFS($I$3:$I$3002,$E$3:$E$3002,$E1025,$C$3:$C$3002,"&lt;&gt;U",$S$3:$S$3002,Calc!$F$2))</f>
        <v/>
      </c>
      <c r="P1025" s="35" t="str">
        <f aca="false">IF(OR($A1025="",$C1025="U",$S1025&lt;&gt;Calc!$F$2),"",SUMIFS($N$3:$N$3002,$E$3:$E$3002,$E1025,$C$3:$C$3002,"&lt;&gt;U",$S$3:$S$3002,Calc!$F$2))</f>
        <v/>
      </c>
      <c r="Q1025" s="35" t="str">
        <f aca="false">IF(OR($A1025="",$C1025="U",$S1025&lt;&gt;Calc!$F$2),"",IF(COUNTIFS($E$3:$E1025,$E1025,$C$3:$C1025,"&lt;&gt;U",$S$3:$S1025,Calc!$F$2)=1,1,0))</f>
        <v/>
      </c>
      <c r="R1025" s="35" t="str">
        <f aca="false">IF($Q1025=1,$O1025-ROW()/100000,"")</f>
        <v/>
      </c>
      <c r="S1025" s="37" t="str">
        <f aca="false">IF($A1025="","",INT($A1025))</f>
        <v/>
      </c>
      <c r="T1025" s="35" t="str">
        <f aca="false">IF($A1025="","",IF(COUNTIFS($S$3:$S1025,$S1025)=1,1,0))</f>
        <v/>
      </c>
      <c r="U1025" s="37" t="str">
        <f aca="false">IF($T1025=1,$S1025,"")</f>
        <v/>
      </c>
    </row>
    <row r="1026" customFormat="false" ht="15" hidden="false" customHeight="false" outlineLevel="0" collapsed="false">
      <c r="M1026" s="35" t="str">
        <f aca="false">IF($A1026="","",HOUR($A1026))</f>
        <v/>
      </c>
      <c r="N1026" s="36" t="str">
        <f aca="false">IF($A1026="","",$I1026*$K1026)</f>
        <v/>
      </c>
      <c r="O1026" s="35" t="str">
        <f aca="false">IF(OR($A1026="",$C1026="U",$S1026&lt;&gt;Calc!$F$2),"",SUMIFS($I$3:$I$3002,$E$3:$E$3002,$E1026,$C$3:$C$3002,"&lt;&gt;U",$S$3:$S$3002,Calc!$F$2))</f>
        <v/>
      </c>
      <c r="P1026" s="35" t="str">
        <f aca="false">IF(OR($A1026="",$C1026="U",$S1026&lt;&gt;Calc!$F$2),"",SUMIFS($N$3:$N$3002,$E$3:$E$3002,$E1026,$C$3:$C$3002,"&lt;&gt;U",$S$3:$S$3002,Calc!$F$2))</f>
        <v/>
      </c>
      <c r="Q1026" s="35" t="str">
        <f aca="false">IF(OR($A1026="",$C1026="U",$S1026&lt;&gt;Calc!$F$2),"",IF(COUNTIFS($E$3:$E1026,$E1026,$C$3:$C1026,"&lt;&gt;U",$S$3:$S1026,Calc!$F$2)=1,1,0))</f>
        <v/>
      </c>
      <c r="R1026" s="35" t="str">
        <f aca="false">IF($Q1026=1,$O1026-ROW()/100000,"")</f>
        <v/>
      </c>
      <c r="S1026" s="37" t="str">
        <f aca="false">IF($A1026="","",INT($A1026))</f>
        <v/>
      </c>
      <c r="T1026" s="35" t="str">
        <f aca="false">IF($A1026="","",IF(COUNTIFS($S$3:$S1026,$S1026)=1,1,0))</f>
        <v/>
      </c>
      <c r="U1026" s="37" t="str">
        <f aca="false">IF($T1026=1,$S1026,"")</f>
        <v/>
      </c>
    </row>
    <row r="1027" customFormat="false" ht="15" hidden="false" customHeight="false" outlineLevel="0" collapsed="false">
      <c r="M1027" s="35" t="str">
        <f aca="false">IF($A1027="","",HOUR($A1027))</f>
        <v/>
      </c>
      <c r="N1027" s="36" t="str">
        <f aca="false">IF($A1027="","",$I1027*$K1027)</f>
        <v/>
      </c>
      <c r="O1027" s="35" t="str">
        <f aca="false">IF(OR($A1027="",$C1027="U",$S1027&lt;&gt;Calc!$F$2),"",SUMIFS($I$3:$I$3002,$E$3:$E$3002,$E1027,$C$3:$C$3002,"&lt;&gt;U",$S$3:$S$3002,Calc!$F$2))</f>
        <v/>
      </c>
      <c r="P1027" s="35" t="str">
        <f aca="false">IF(OR($A1027="",$C1027="U",$S1027&lt;&gt;Calc!$F$2),"",SUMIFS($N$3:$N$3002,$E$3:$E$3002,$E1027,$C$3:$C$3002,"&lt;&gt;U",$S$3:$S$3002,Calc!$F$2))</f>
        <v/>
      </c>
      <c r="Q1027" s="35" t="str">
        <f aca="false">IF(OR($A1027="",$C1027="U",$S1027&lt;&gt;Calc!$F$2),"",IF(COUNTIFS($E$3:$E1027,$E1027,$C$3:$C1027,"&lt;&gt;U",$S$3:$S1027,Calc!$F$2)=1,1,0))</f>
        <v/>
      </c>
      <c r="R1027" s="35" t="str">
        <f aca="false">IF($Q1027=1,$O1027-ROW()/100000,"")</f>
        <v/>
      </c>
      <c r="S1027" s="37" t="str">
        <f aca="false">IF($A1027="","",INT($A1027))</f>
        <v/>
      </c>
      <c r="T1027" s="35" t="str">
        <f aca="false">IF($A1027="","",IF(COUNTIFS($S$3:$S1027,$S1027)=1,1,0))</f>
        <v/>
      </c>
      <c r="U1027" s="37" t="str">
        <f aca="false">IF($T1027=1,$S1027,"")</f>
        <v/>
      </c>
    </row>
    <row r="1028" customFormat="false" ht="15" hidden="false" customHeight="false" outlineLevel="0" collapsed="false">
      <c r="M1028" s="35" t="str">
        <f aca="false">IF($A1028="","",HOUR($A1028))</f>
        <v/>
      </c>
      <c r="N1028" s="36" t="str">
        <f aca="false">IF($A1028="","",$I1028*$K1028)</f>
        <v/>
      </c>
      <c r="O1028" s="35" t="str">
        <f aca="false">IF(OR($A1028="",$C1028="U",$S1028&lt;&gt;Calc!$F$2),"",SUMIFS($I$3:$I$3002,$E$3:$E$3002,$E1028,$C$3:$C$3002,"&lt;&gt;U",$S$3:$S$3002,Calc!$F$2))</f>
        <v/>
      </c>
      <c r="P1028" s="35" t="str">
        <f aca="false">IF(OR($A1028="",$C1028="U",$S1028&lt;&gt;Calc!$F$2),"",SUMIFS($N$3:$N$3002,$E$3:$E$3002,$E1028,$C$3:$C$3002,"&lt;&gt;U",$S$3:$S$3002,Calc!$F$2))</f>
        <v/>
      </c>
      <c r="Q1028" s="35" t="str">
        <f aca="false">IF(OR($A1028="",$C1028="U",$S1028&lt;&gt;Calc!$F$2),"",IF(COUNTIFS($E$3:$E1028,$E1028,$C$3:$C1028,"&lt;&gt;U",$S$3:$S1028,Calc!$F$2)=1,1,0))</f>
        <v/>
      </c>
      <c r="R1028" s="35" t="str">
        <f aca="false">IF($Q1028=1,$O1028-ROW()/100000,"")</f>
        <v/>
      </c>
      <c r="S1028" s="37" t="str">
        <f aca="false">IF($A1028="","",INT($A1028))</f>
        <v/>
      </c>
      <c r="T1028" s="35" t="str">
        <f aca="false">IF($A1028="","",IF(COUNTIFS($S$3:$S1028,$S1028)=1,1,0))</f>
        <v/>
      </c>
      <c r="U1028" s="37" t="str">
        <f aca="false">IF($T1028=1,$S1028,"")</f>
        <v/>
      </c>
    </row>
    <row r="1029" customFormat="false" ht="15" hidden="false" customHeight="false" outlineLevel="0" collapsed="false">
      <c r="M1029" s="35" t="str">
        <f aca="false">IF($A1029="","",HOUR($A1029))</f>
        <v/>
      </c>
      <c r="N1029" s="36" t="str">
        <f aca="false">IF($A1029="","",$I1029*$K1029)</f>
        <v/>
      </c>
      <c r="O1029" s="35" t="str">
        <f aca="false">IF(OR($A1029="",$C1029="U",$S1029&lt;&gt;Calc!$F$2),"",SUMIFS($I$3:$I$3002,$E$3:$E$3002,$E1029,$C$3:$C$3002,"&lt;&gt;U",$S$3:$S$3002,Calc!$F$2))</f>
        <v/>
      </c>
      <c r="P1029" s="35" t="str">
        <f aca="false">IF(OR($A1029="",$C1029="U",$S1029&lt;&gt;Calc!$F$2),"",SUMIFS($N$3:$N$3002,$E$3:$E$3002,$E1029,$C$3:$C$3002,"&lt;&gt;U",$S$3:$S$3002,Calc!$F$2))</f>
        <v/>
      </c>
      <c r="Q1029" s="35" t="str">
        <f aca="false">IF(OR($A1029="",$C1029="U",$S1029&lt;&gt;Calc!$F$2),"",IF(COUNTIFS($E$3:$E1029,$E1029,$C$3:$C1029,"&lt;&gt;U",$S$3:$S1029,Calc!$F$2)=1,1,0))</f>
        <v/>
      </c>
      <c r="R1029" s="35" t="str">
        <f aca="false">IF($Q1029=1,$O1029-ROW()/100000,"")</f>
        <v/>
      </c>
      <c r="S1029" s="37" t="str">
        <f aca="false">IF($A1029="","",INT($A1029))</f>
        <v/>
      </c>
      <c r="T1029" s="35" t="str">
        <f aca="false">IF($A1029="","",IF(COUNTIFS($S$3:$S1029,$S1029)=1,1,0))</f>
        <v/>
      </c>
      <c r="U1029" s="37" t="str">
        <f aca="false">IF($T1029=1,$S1029,"")</f>
        <v/>
      </c>
    </row>
    <row r="1030" customFormat="false" ht="15" hidden="false" customHeight="false" outlineLevel="0" collapsed="false">
      <c r="M1030" s="35" t="str">
        <f aca="false">IF($A1030="","",HOUR($A1030))</f>
        <v/>
      </c>
      <c r="N1030" s="36" t="str">
        <f aca="false">IF($A1030="","",$I1030*$K1030)</f>
        <v/>
      </c>
      <c r="O1030" s="35" t="str">
        <f aca="false">IF(OR($A1030="",$C1030="U",$S1030&lt;&gt;Calc!$F$2),"",SUMIFS($I$3:$I$3002,$E$3:$E$3002,$E1030,$C$3:$C$3002,"&lt;&gt;U",$S$3:$S$3002,Calc!$F$2))</f>
        <v/>
      </c>
      <c r="P1030" s="35" t="str">
        <f aca="false">IF(OR($A1030="",$C1030="U",$S1030&lt;&gt;Calc!$F$2),"",SUMIFS($N$3:$N$3002,$E$3:$E$3002,$E1030,$C$3:$C$3002,"&lt;&gt;U",$S$3:$S$3002,Calc!$F$2))</f>
        <v/>
      </c>
      <c r="Q1030" s="35" t="str">
        <f aca="false">IF(OR($A1030="",$C1030="U",$S1030&lt;&gt;Calc!$F$2),"",IF(COUNTIFS($E$3:$E1030,$E1030,$C$3:$C1030,"&lt;&gt;U",$S$3:$S1030,Calc!$F$2)=1,1,0))</f>
        <v/>
      </c>
      <c r="R1030" s="35" t="str">
        <f aca="false">IF($Q1030=1,$O1030-ROW()/100000,"")</f>
        <v/>
      </c>
      <c r="S1030" s="37" t="str">
        <f aca="false">IF($A1030="","",INT($A1030))</f>
        <v/>
      </c>
      <c r="T1030" s="35" t="str">
        <f aca="false">IF($A1030="","",IF(COUNTIFS($S$3:$S1030,$S1030)=1,1,0))</f>
        <v/>
      </c>
      <c r="U1030" s="37" t="str">
        <f aca="false">IF($T1030=1,$S1030,"")</f>
        <v/>
      </c>
    </row>
    <row r="1031" customFormat="false" ht="15" hidden="false" customHeight="false" outlineLevel="0" collapsed="false">
      <c r="M1031" s="35" t="str">
        <f aca="false">IF($A1031="","",HOUR($A1031))</f>
        <v/>
      </c>
      <c r="N1031" s="36" t="str">
        <f aca="false">IF($A1031="","",$I1031*$K1031)</f>
        <v/>
      </c>
      <c r="O1031" s="35" t="str">
        <f aca="false">IF(OR($A1031="",$C1031="U",$S1031&lt;&gt;Calc!$F$2),"",SUMIFS($I$3:$I$3002,$E$3:$E$3002,$E1031,$C$3:$C$3002,"&lt;&gt;U",$S$3:$S$3002,Calc!$F$2))</f>
        <v/>
      </c>
      <c r="P1031" s="35" t="str">
        <f aca="false">IF(OR($A1031="",$C1031="U",$S1031&lt;&gt;Calc!$F$2),"",SUMIFS($N$3:$N$3002,$E$3:$E$3002,$E1031,$C$3:$C$3002,"&lt;&gt;U",$S$3:$S$3002,Calc!$F$2))</f>
        <v/>
      </c>
      <c r="Q1031" s="35" t="str">
        <f aca="false">IF(OR($A1031="",$C1031="U",$S1031&lt;&gt;Calc!$F$2),"",IF(COUNTIFS($E$3:$E1031,$E1031,$C$3:$C1031,"&lt;&gt;U",$S$3:$S1031,Calc!$F$2)=1,1,0))</f>
        <v/>
      </c>
      <c r="R1031" s="35" t="str">
        <f aca="false">IF($Q1031=1,$O1031-ROW()/100000,"")</f>
        <v/>
      </c>
      <c r="S1031" s="37" t="str">
        <f aca="false">IF($A1031="","",INT($A1031))</f>
        <v/>
      </c>
      <c r="T1031" s="35" t="str">
        <f aca="false">IF($A1031="","",IF(COUNTIFS($S$3:$S1031,$S1031)=1,1,0))</f>
        <v/>
      </c>
      <c r="U1031" s="37" t="str">
        <f aca="false">IF($T1031=1,$S1031,"")</f>
        <v/>
      </c>
    </row>
    <row r="1032" customFormat="false" ht="15" hidden="false" customHeight="false" outlineLevel="0" collapsed="false">
      <c r="M1032" s="35" t="str">
        <f aca="false">IF($A1032="","",HOUR($A1032))</f>
        <v/>
      </c>
      <c r="N1032" s="36" t="str">
        <f aca="false">IF($A1032="","",$I1032*$K1032)</f>
        <v/>
      </c>
      <c r="O1032" s="35" t="str">
        <f aca="false">IF(OR($A1032="",$C1032="U",$S1032&lt;&gt;Calc!$F$2),"",SUMIFS($I$3:$I$3002,$E$3:$E$3002,$E1032,$C$3:$C$3002,"&lt;&gt;U",$S$3:$S$3002,Calc!$F$2))</f>
        <v/>
      </c>
      <c r="P1032" s="35" t="str">
        <f aca="false">IF(OR($A1032="",$C1032="U",$S1032&lt;&gt;Calc!$F$2),"",SUMIFS($N$3:$N$3002,$E$3:$E$3002,$E1032,$C$3:$C$3002,"&lt;&gt;U",$S$3:$S$3002,Calc!$F$2))</f>
        <v/>
      </c>
      <c r="Q1032" s="35" t="str">
        <f aca="false">IF(OR($A1032="",$C1032="U",$S1032&lt;&gt;Calc!$F$2),"",IF(COUNTIFS($E$3:$E1032,$E1032,$C$3:$C1032,"&lt;&gt;U",$S$3:$S1032,Calc!$F$2)=1,1,0))</f>
        <v/>
      </c>
      <c r="R1032" s="35" t="str">
        <f aca="false">IF($Q1032=1,$O1032-ROW()/100000,"")</f>
        <v/>
      </c>
      <c r="S1032" s="37" t="str">
        <f aca="false">IF($A1032="","",INT($A1032))</f>
        <v/>
      </c>
      <c r="T1032" s="35" t="str">
        <f aca="false">IF($A1032="","",IF(COUNTIFS($S$3:$S1032,$S1032)=1,1,0))</f>
        <v/>
      </c>
      <c r="U1032" s="37" t="str">
        <f aca="false">IF($T1032=1,$S1032,"")</f>
        <v/>
      </c>
    </row>
    <row r="1033" customFormat="false" ht="15" hidden="false" customHeight="false" outlineLevel="0" collapsed="false">
      <c r="M1033" s="35" t="str">
        <f aca="false">IF($A1033="","",HOUR($A1033))</f>
        <v/>
      </c>
      <c r="N1033" s="36" t="str">
        <f aca="false">IF($A1033="","",$I1033*$K1033)</f>
        <v/>
      </c>
      <c r="O1033" s="35" t="str">
        <f aca="false">IF(OR($A1033="",$C1033="U",$S1033&lt;&gt;Calc!$F$2),"",SUMIFS($I$3:$I$3002,$E$3:$E$3002,$E1033,$C$3:$C$3002,"&lt;&gt;U",$S$3:$S$3002,Calc!$F$2))</f>
        <v/>
      </c>
      <c r="P1033" s="35" t="str">
        <f aca="false">IF(OR($A1033="",$C1033="U",$S1033&lt;&gt;Calc!$F$2),"",SUMIFS($N$3:$N$3002,$E$3:$E$3002,$E1033,$C$3:$C$3002,"&lt;&gt;U",$S$3:$S$3002,Calc!$F$2))</f>
        <v/>
      </c>
      <c r="Q1033" s="35" t="str">
        <f aca="false">IF(OR($A1033="",$C1033="U",$S1033&lt;&gt;Calc!$F$2),"",IF(COUNTIFS($E$3:$E1033,$E1033,$C$3:$C1033,"&lt;&gt;U",$S$3:$S1033,Calc!$F$2)=1,1,0))</f>
        <v/>
      </c>
      <c r="R1033" s="35" t="str">
        <f aca="false">IF($Q1033=1,$O1033-ROW()/100000,"")</f>
        <v/>
      </c>
      <c r="S1033" s="37" t="str">
        <f aca="false">IF($A1033="","",INT($A1033))</f>
        <v/>
      </c>
      <c r="T1033" s="35" t="str">
        <f aca="false">IF($A1033="","",IF(COUNTIFS($S$3:$S1033,$S1033)=1,1,0))</f>
        <v/>
      </c>
      <c r="U1033" s="37" t="str">
        <f aca="false">IF($T1033=1,$S1033,"")</f>
        <v/>
      </c>
    </row>
    <row r="1034" customFormat="false" ht="15" hidden="false" customHeight="false" outlineLevel="0" collapsed="false">
      <c r="M1034" s="35" t="str">
        <f aca="false">IF($A1034="","",HOUR($A1034))</f>
        <v/>
      </c>
      <c r="N1034" s="36" t="str">
        <f aca="false">IF($A1034="","",$I1034*$K1034)</f>
        <v/>
      </c>
      <c r="O1034" s="35" t="str">
        <f aca="false">IF(OR($A1034="",$C1034="U",$S1034&lt;&gt;Calc!$F$2),"",SUMIFS($I$3:$I$3002,$E$3:$E$3002,$E1034,$C$3:$C$3002,"&lt;&gt;U",$S$3:$S$3002,Calc!$F$2))</f>
        <v/>
      </c>
      <c r="P1034" s="35" t="str">
        <f aca="false">IF(OR($A1034="",$C1034="U",$S1034&lt;&gt;Calc!$F$2),"",SUMIFS($N$3:$N$3002,$E$3:$E$3002,$E1034,$C$3:$C$3002,"&lt;&gt;U",$S$3:$S$3002,Calc!$F$2))</f>
        <v/>
      </c>
      <c r="Q1034" s="35" t="str">
        <f aca="false">IF(OR($A1034="",$C1034="U",$S1034&lt;&gt;Calc!$F$2),"",IF(COUNTIFS($E$3:$E1034,$E1034,$C$3:$C1034,"&lt;&gt;U",$S$3:$S1034,Calc!$F$2)=1,1,0))</f>
        <v/>
      </c>
      <c r="R1034" s="35" t="str">
        <f aca="false">IF($Q1034=1,$O1034-ROW()/100000,"")</f>
        <v/>
      </c>
      <c r="S1034" s="37" t="str">
        <f aca="false">IF($A1034="","",INT($A1034))</f>
        <v/>
      </c>
      <c r="T1034" s="35" t="str">
        <f aca="false">IF($A1034="","",IF(COUNTIFS($S$3:$S1034,$S1034)=1,1,0))</f>
        <v/>
      </c>
      <c r="U1034" s="37" t="str">
        <f aca="false">IF($T1034=1,$S1034,"")</f>
        <v/>
      </c>
    </row>
    <row r="1035" customFormat="false" ht="15" hidden="false" customHeight="false" outlineLevel="0" collapsed="false">
      <c r="M1035" s="35" t="str">
        <f aca="false">IF($A1035="","",HOUR($A1035))</f>
        <v/>
      </c>
      <c r="N1035" s="36" t="str">
        <f aca="false">IF($A1035="","",$I1035*$K1035)</f>
        <v/>
      </c>
      <c r="O1035" s="35" t="str">
        <f aca="false">IF(OR($A1035="",$C1035="U",$S1035&lt;&gt;Calc!$F$2),"",SUMIFS($I$3:$I$3002,$E$3:$E$3002,$E1035,$C$3:$C$3002,"&lt;&gt;U",$S$3:$S$3002,Calc!$F$2))</f>
        <v/>
      </c>
      <c r="P1035" s="35" t="str">
        <f aca="false">IF(OR($A1035="",$C1035="U",$S1035&lt;&gt;Calc!$F$2),"",SUMIFS($N$3:$N$3002,$E$3:$E$3002,$E1035,$C$3:$C$3002,"&lt;&gt;U",$S$3:$S$3002,Calc!$F$2))</f>
        <v/>
      </c>
      <c r="Q1035" s="35" t="str">
        <f aca="false">IF(OR($A1035="",$C1035="U",$S1035&lt;&gt;Calc!$F$2),"",IF(COUNTIFS($E$3:$E1035,$E1035,$C$3:$C1035,"&lt;&gt;U",$S$3:$S1035,Calc!$F$2)=1,1,0))</f>
        <v/>
      </c>
      <c r="R1035" s="35" t="str">
        <f aca="false">IF($Q1035=1,$O1035-ROW()/100000,"")</f>
        <v/>
      </c>
      <c r="S1035" s="37" t="str">
        <f aca="false">IF($A1035="","",INT($A1035))</f>
        <v/>
      </c>
      <c r="T1035" s="35" t="str">
        <f aca="false">IF($A1035="","",IF(COUNTIFS($S$3:$S1035,$S1035)=1,1,0))</f>
        <v/>
      </c>
      <c r="U1035" s="37" t="str">
        <f aca="false">IF($T1035=1,$S1035,"")</f>
        <v/>
      </c>
    </row>
    <row r="1036" customFormat="false" ht="15" hidden="false" customHeight="false" outlineLevel="0" collapsed="false">
      <c r="M1036" s="35" t="str">
        <f aca="false">IF($A1036="","",HOUR($A1036))</f>
        <v/>
      </c>
      <c r="N1036" s="36" t="str">
        <f aca="false">IF($A1036="","",$I1036*$K1036)</f>
        <v/>
      </c>
      <c r="O1036" s="35" t="str">
        <f aca="false">IF(OR($A1036="",$C1036="U",$S1036&lt;&gt;Calc!$F$2),"",SUMIFS($I$3:$I$3002,$E$3:$E$3002,$E1036,$C$3:$C$3002,"&lt;&gt;U",$S$3:$S$3002,Calc!$F$2))</f>
        <v/>
      </c>
      <c r="P1036" s="35" t="str">
        <f aca="false">IF(OR($A1036="",$C1036="U",$S1036&lt;&gt;Calc!$F$2),"",SUMIFS($N$3:$N$3002,$E$3:$E$3002,$E1036,$C$3:$C$3002,"&lt;&gt;U",$S$3:$S$3002,Calc!$F$2))</f>
        <v/>
      </c>
      <c r="Q1036" s="35" t="str">
        <f aca="false">IF(OR($A1036="",$C1036="U",$S1036&lt;&gt;Calc!$F$2),"",IF(COUNTIFS($E$3:$E1036,$E1036,$C$3:$C1036,"&lt;&gt;U",$S$3:$S1036,Calc!$F$2)=1,1,0))</f>
        <v/>
      </c>
      <c r="R1036" s="35" t="str">
        <f aca="false">IF($Q1036=1,$O1036-ROW()/100000,"")</f>
        <v/>
      </c>
      <c r="S1036" s="37" t="str">
        <f aca="false">IF($A1036="","",INT($A1036))</f>
        <v/>
      </c>
      <c r="T1036" s="35" t="str">
        <f aca="false">IF($A1036="","",IF(COUNTIFS($S$3:$S1036,$S1036)=1,1,0))</f>
        <v/>
      </c>
      <c r="U1036" s="37" t="str">
        <f aca="false">IF($T1036=1,$S1036,"")</f>
        <v/>
      </c>
    </row>
    <row r="1037" customFormat="false" ht="15" hidden="false" customHeight="false" outlineLevel="0" collapsed="false">
      <c r="M1037" s="35" t="str">
        <f aca="false">IF($A1037="","",HOUR($A1037))</f>
        <v/>
      </c>
      <c r="N1037" s="36" t="str">
        <f aca="false">IF($A1037="","",$I1037*$K1037)</f>
        <v/>
      </c>
      <c r="O1037" s="35" t="str">
        <f aca="false">IF(OR($A1037="",$C1037="U",$S1037&lt;&gt;Calc!$F$2),"",SUMIFS($I$3:$I$3002,$E$3:$E$3002,$E1037,$C$3:$C$3002,"&lt;&gt;U",$S$3:$S$3002,Calc!$F$2))</f>
        <v/>
      </c>
      <c r="P1037" s="35" t="str">
        <f aca="false">IF(OR($A1037="",$C1037="U",$S1037&lt;&gt;Calc!$F$2),"",SUMIFS($N$3:$N$3002,$E$3:$E$3002,$E1037,$C$3:$C$3002,"&lt;&gt;U",$S$3:$S$3002,Calc!$F$2))</f>
        <v/>
      </c>
      <c r="Q1037" s="35" t="str">
        <f aca="false">IF(OR($A1037="",$C1037="U",$S1037&lt;&gt;Calc!$F$2),"",IF(COUNTIFS($E$3:$E1037,$E1037,$C$3:$C1037,"&lt;&gt;U",$S$3:$S1037,Calc!$F$2)=1,1,0))</f>
        <v/>
      </c>
      <c r="R1037" s="35" t="str">
        <f aca="false">IF($Q1037=1,$O1037-ROW()/100000,"")</f>
        <v/>
      </c>
      <c r="S1037" s="37" t="str">
        <f aca="false">IF($A1037="","",INT($A1037))</f>
        <v/>
      </c>
      <c r="T1037" s="35" t="str">
        <f aca="false">IF($A1037="","",IF(COUNTIFS($S$3:$S1037,$S1037)=1,1,0))</f>
        <v/>
      </c>
      <c r="U1037" s="37" t="str">
        <f aca="false">IF($T1037=1,$S1037,"")</f>
        <v/>
      </c>
    </row>
    <row r="1038" customFormat="false" ht="15" hidden="false" customHeight="false" outlineLevel="0" collapsed="false">
      <c r="M1038" s="35" t="str">
        <f aca="false">IF($A1038="","",HOUR($A1038))</f>
        <v/>
      </c>
      <c r="N1038" s="36" t="str">
        <f aca="false">IF($A1038="","",$I1038*$K1038)</f>
        <v/>
      </c>
      <c r="O1038" s="35" t="str">
        <f aca="false">IF(OR($A1038="",$C1038="U",$S1038&lt;&gt;Calc!$F$2),"",SUMIFS($I$3:$I$3002,$E$3:$E$3002,$E1038,$C$3:$C$3002,"&lt;&gt;U",$S$3:$S$3002,Calc!$F$2))</f>
        <v/>
      </c>
      <c r="P1038" s="35" t="str">
        <f aca="false">IF(OR($A1038="",$C1038="U",$S1038&lt;&gt;Calc!$F$2),"",SUMIFS($N$3:$N$3002,$E$3:$E$3002,$E1038,$C$3:$C$3002,"&lt;&gt;U",$S$3:$S$3002,Calc!$F$2))</f>
        <v/>
      </c>
      <c r="Q1038" s="35" t="str">
        <f aca="false">IF(OR($A1038="",$C1038="U",$S1038&lt;&gt;Calc!$F$2),"",IF(COUNTIFS($E$3:$E1038,$E1038,$C$3:$C1038,"&lt;&gt;U",$S$3:$S1038,Calc!$F$2)=1,1,0))</f>
        <v/>
      </c>
      <c r="R1038" s="35" t="str">
        <f aca="false">IF($Q1038=1,$O1038-ROW()/100000,"")</f>
        <v/>
      </c>
      <c r="S1038" s="37" t="str">
        <f aca="false">IF($A1038="","",INT($A1038))</f>
        <v/>
      </c>
      <c r="T1038" s="35" t="str">
        <f aca="false">IF($A1038="","",IF(COUNTIFS($S$3:$S1038,$S1038)=1,1,0))</f>
        <v/>
      </c>
      <c r="U1038" s="37" t="str">
        <f aca="false">IF($T1038=1,$S1038,"")</f>
        <v/>
      </c>
    </row>
    <row r="1039" customFormat="false" ht="15" hidden="false" customHeight="false" outlineLevel="0" collapsed="false">
      <c r="M1039" s="35" t="str">
        <f aca="false">IF($A1039="","",HOUR($A1039))</f>
        <v/>
      </c>
      <c r="N1039" s="36" t="str">
        <f aca="false">IF($A1039="","",$I1039*$K1039)</f>
        <v/>
      </c>
      <c r="O1039" s="35" t="str">
        <f aca="false">IF(OR($A1039="",$C1039="U",$S1039&lt;&gt;Calc!$F$2),"",SUMIFS($I$3:$I$3002,$E$3:$E$3002,$E1039,$C$3:$C$3002,"&lt;&gt;U",$S$3:$S$3002,Calc!$F$2))</f>
        <v/>
      </c>
      <c r="P1039" s="35" t="str">
        <f aca="false">IF(OR($A1039="",$C1039="U",$S1039&lt;&gt;Calc!$F$2),"",SUMIFS($N$3:$N$3002,$E$3:$E$3002,$E1039,$C$3:$C$3002,"&lt;&gt;U",$S$3:$S$3002,Calc!$F$2))</f>
        <v/>
      </c>
      <c r="Q1039" s="35" t="str">
        <f aca="false">IF(OR($A1039="",$C1039="U",$S1039&lt;&gt;Calc!$F$2),"",IF(COUNTIFS($E$3:$E1039,$E1039,$C$3:$C1039,"&lt;&gt;U",$S$3:$S1039,Calc!$F$2)=1,1,0))</f>
        <v/>
      </c>
      <c r="R1039" s="35" t="str">
        <f aca="false">IF($Q1039=1,$O1039-ROW()/100000,"")</f>
        <v/>
      </c>
      <c r="S1039" s="37" t="str">
        <f aca="false">IF($A1039="","",INT($A1039))</f>
        <v/>
      </c>
      <c r="T1039" s="35" t="str">
        <f aca="false">IF($A1039="","",IF(COUNTIFS($S$3:$S1039,$S1039)=1,1,0))</f>
        <v/>
      </c>
      <c r="U1039" s="37" t="str">
        <f aca="false">IF($T1039=1,$S1039,"")</f>
        <v/>
      </c>
    </row>
    <row r="1040" customFormat="false" ht="15" hidden="false" customHeight="false" outlineLevel="0" collapsed="false">
      <c r="M1040" s="35" t="str">
        <f aca="false">IF($A1040="","",HOUR($A1040))</f>
        <v/>
      </c>
      <c r="N1040" s="36" t="str">
        <f aca="false">IF($A1040="","",$I1040*$K1040)</f>
        <v/>
      </c>
      <c r="O1040" s="35" t="str">
        <f aca="false">IF(OR($A1040="",$C1040="U",$S1040&lt;&gt;Calc!$F$2),"",SUMIFS($I$3:$I$3002,$E$3:$E$3002,$E1040,$C$3:$C$3002,"&lt;&gt;U",$S$3:$S$3002,Calc!$F$2))</f>
        <v/>
      </c>
      <c r="P1040" s="35" t="str">
        <f aca="false">IF(OR($A1040="",$C1040="U",$S1040&lt;&gt;Calc!$F$2),"",SUMIFS($N$3:$N$3002,$E$3:$E$3002,$E1040,$C$3:$C$3002,"&lt;&gt;U",$S$3:$S$3002,Calc!$F$2))</f>
        <v/>
      </c>
      <c r="Q1040" s="35" t="str">
        <f aca="false">IF(OR($A1040="",$C1040="U",$S1040&lt;&gt;Calc!$F$2),"",IF(COUNTIFS($E$3:$E1040,$E1040,$C$3:$C1040,"&lt;&gt;U",$S$3:$S1040,Calc!$F$2)=1,1,0))</f>
        <v/>
      </c>
      <c r="R1040" s="35" t="str">
        <f aca="false">IF($Q1040=1,$O1040-ROW()/100000,"")</f>
        <v/>
      </c>
      <c r="S1040" s="37" t="str">
        <f aca="false">IF($A1040="","",INT($A1040))</f>
        <v/>
      </c>
      <c r="T1040" s="35" t="str">
        <f aca="false">IF($A1040="","",IF(COUNTIFS($S$3:$S1040,$S1040)=1,1,0))</f>
        <v/>
      </c>
      <c r="U1040" s="37" t="str">
        <f aca="false">IF($T1040=1,$S1040,"")</f>
        <v/>
      </c>
    </row>
    <row r="1041" customFormat="false" ht="15" hidden="false" customHeight="false" outlineLevel="0" collapsed="false">
      <c r="M1041" s="35" t="str">
        <f aca="false">IF($A1041="","",HOUR($A1041))</f>
        <v/>
      </c>
      <c r="N1041" s="36" t="str">
        <f aca="false">IF($A1041="","",$I1041*$K1041)</f>
        <v/>
      </c>
      <c r="O1041" s="35" t="str">
        <f aca="false">IF(OR($A1041="",$C1041="U",$S1041&lt;&gt;Calc!$F$2),"",SUMIFS($I$3:$I$3002,$E$3:$E$3002,$E1041,$C$3:$C$3002,"&lt;&gt;U",$S$3:$S$3002,Calc!$F$2))</f>
        <v/>
      </c>
      <c r="P1041" s="35" t="str">
        <f aca="false">IF(OR($A1041="",$C1041="U",$S1041&lt;&gt;Calc!$F$2),"",SUMIFS($N$3:$N$3002,$E$3:$E$3002,$E1041,$C$3:$C$3002,"&lt;&gt;U",$S$3:$S$3002,Calc!$F$2))</f>
        <v/>
      </c>
      <c r="Q1041" s="35" t="str">
        <f aca="false">IF(OR($A1041="",$C1041="U",$S1041&lt;&gt;Calc!$F$2),"",IF(COUNTIFS($E$3:$E1041,$E1041,$C$3:$C1041,"&lt;&gt;U",$S$3:$S1041,Calc!$F$2)=1,1,0))</f>
        <v/>
      </c>
      <c r="R1041" s="35" t="str">
        <f aca="false">IF($Q1041=1,$O1041-ROW()/100000,"")</f>
        <v/>
      </c>
      <c r="S1041" s="37" t="str">
        <f aca="false">IF($A1041="","",INT($A1041))</f>
        <v/>
      </c>
      <c r="T1041" s="35" t="str">
        <f aca="false">IF($A1041="","",IF(COUNTIFS($S$3:$S1041,$S1041)=1,1,0))</f>
        <v/>
      </c>
      <c r="U1041" s="37" t="str">
        <f aca="false">IF($T1041=1,$S1041,"")</f>
        <v/>
      </c>
    </row>
    <row r="1042" customFormat="false" ht="15" hidden="false" customHeight="false" outlineLevel="0" collapsed="false">
      <c r="M1042" s="35" t="str">
        <f aca="false">IF($A1042="","",HOUR($A1042))</f>
        <v/>
      </c>
      <c r="N1042" s="36" t="str">
        <f aca="false">IF($A1042="","",$I1042*$K1042)</f>
        <v/>
      </c>
      <c r="O1042" s="35" t="str">
        <f aca="false">IF(OR($A1042="",$C1042="U",$S1042&lt;&gt;Calc!$F$2),"",SUMIFS($I$3:$I$3002,$E$3:$E$3002,$E1042,$C$3:$C$3002,"&lt;&gt;U",$S$3:$S$3002,Calc!$F$2))</f>
        <v/>
      </c>
      <c r="P1042" s="35" t="str">
        <f aca="false">IF(OR($A1042="",$C1042="U",$S1042&lt;&gt;Calc!$F$2),"",SUMIFS($N$3:$N$3002,$E$3:$E$3002,$E1042,$C$3:$C$3002,"&lt;&gt;U",$S$3:$S$3002,Calc!$F$2))</f>
        <v/>
      </c>
      <c r="Q1042" s="35" t="str">
        <f aca="false">IF(OR($A1042="",$C1042="U",$S1042&lt;&gt;Calc!$F$2),"",IF(COUNTIFS($E$3:$E1042,$E1042,$C$3:$C1042,"&lt;&gt;U",$S$3:$S1042,Calc!$F$2)=1,1,0))</f>
        <v/>
      </c>
      <c r="R1042" s="35" t="str">
        <f aca="false">IF($Q1042=1,$O1042-ROW()/100000,"")</f>
        <v/>
      </c>
      <c r="S1042" s="37" t="str">
        <f aca="false">IF($A1042="","",INT($A1042))</f>
        <v/>
      </c>
      <c r="T1042" s="35" t="str">
        <f aca="false">IF($A1042="","",IF(COUNTIFS($S$3:$S1042,$S1042)=1,1,0))</f>
        <v/>
      </c>
      <c r="U1042" s="37" t="str">
        <f aca="false">IF($T1042=1,$S1042,"")</f>
        <v/>
      </c>
    </row>
    <row r="1043" customFormat="false" ht="15" hidden="false" customHeight="false" outlineLevel="0" collapsed="false">
      <c r="M1043" s="35" t="str">
        <f aca="false">IF($A1043="","",HOUR($A1043))</f>
        <v/>
      </c>
      <c r="N1043" s="36" t="str">
        <f aca="false">IF($A1043="","",$I1043*$K1043)</f>
        <v/>
      </c>
      <c r="O1043" s="35" t="str">
        <f aca="false">IF(OR($A1043="",$C1043="U",$S1043&lt;&gt;Calc!$F$2),"",SUMIFS($I$3:$I$3002,$E$3:$E$3002,$E1043,$C$3:$C$3002,"&lt;&gt;U",$S$3:$S$3002,Calc!$F$2))</f>
        <v/>
      </c>
      <c r="P1043" s="35" t="str">
        <f aca="false">IF(OR($A1043="",$C1043="U",$S1043&lt;&gt;Calc!$F$2),"",SUMIFS($N$3:$N$3002,$E$3:$E$3002,$E1043,$C$3:$C$3002,"&lt;&gt;U",$S$3:$S$3002,Calc!$F$2))</f>
        <v/>
      </c>
      <c r="Q1043" s="35" t="str">
        <f aca="false">IF(OR($A1043="",$C1043="U",$S1043&lt;&gt;Calc!$F$2),"",IF(COUNTIFS($E$3:$E1043,$E1043,$C$3:$C1043,"&lt;&gt;U",$S$3:$S1043,Calc!$F$2)=1,1,0))</f>
        <v/>
      </c>
      <c r="R1043" s="35" t="str">
        <f aca="false">IF($Q1043=1,$O1043-ROW()/100000,"")</f>
        <v/>
      </c>
      <c r="S1043" s="37" t="str">
        <f aca="false">IF($A1043="","",INT($A1043))</f>
        <v/>
      </c>
      <c r="T1043" s="35" t="str">
        <f aca="false">IF($A1043="","",IF(COUNTIFS($S$3:$S1043,$S1043)=1,1,0))</f>
        <v/>
      </c>
      <c r="U1043" s="37" t="str">
        <f aca="false">IF($T1043=1,$S1043,"")</f>
        <v/>
      </c>
    </row>
    <row r="1044" customFormat="false" ht="15" hidden="false" customHeight="false" outlineLevel="0" collapsed="false">
      <c r="M1044" s="35" t="str">
        <f aca="false">IF($A1044="","",HOUR($A1044))</f>
        <v/>
      </c>
      <c r="N1044" s="36" t="str">
        <f aca="false">IF($A1044="","",$I1044*$K1044)</f>
        <v/>
      </c>
      <c r="O1044" s="35" t="str">
        <f aca="false">IF(OR($A1044="",$C1044="U",$S1044&lt;&gt;Calc!$F$2),"",SUMIFS($I$3:$I$3002,$E$3:$E$3002,$E1044,$C$3:$C$3002,"&lt;&gt;U",$S$3:$S$3002,Calc!$F$2))</f>
        <v/>
      </c>
      <c r="P1044" s="35" t="str">
        <f aca="false">IF(OR($A1044="",$C1044="U",$S1044&lt;&gt;Calc!$F$2),"",SUMIFS($N$3:$N$3002,$E$3:$E$3002,$E1044,$C$3:$C$3002,"&lt;&gt;U",$S$3:$S$3002,Calc!$F$2))</f>
        <v/>
      </c>
      <c r="Q1044" s="35" t="str">
        <f aca="false">IF(OR($A1044="",$C1044="U",$S1044&lt;&gt;Calc!$F$2),"",IF(COUNTIFS($E$3:$E1044,$E1044,$C$3:$C1044,"&lt;&gt;U",$S$3:$S1044,Calc!$F$2)=1,1,0))</f>
        <v/>
      </c>
      <c r="R1044" s="35" t="str">
        <f aca="false">IF($Q1044=1,$O1044-ROW()/100000,"")</f>
        <v/>
      </c>
      <c r="S1044" s="37" t="str">
        <f aca="false">IF($A1044="","",INT($A1044))</f>
        <v/>
      </c>
      <c r="T1044" s="35" t="str">
        <f aca="false">IF($A1044="","",IF(COUNTIFS($S$3:$S1044,$S1044)=1,1,0))</f>
        <v/>
      </c>
      <c r="U1044" s="37" t="str">
        <f aca="false">IF($T1044=1,$S1044,"")</f>
        <v/>
      </c>
    </row>
    <row r="1045" customFormat="false" ht="15" hidden="false" customHeight="false" outlineLevel="0" collapsed="false">
      <c r="M1045" s="35" t="str">
        <f aca="false">IF($A1045="","",HOUR($A1045))</f>
        <v/>
      </c>
      <c r="N1045" s="36" t="str">
        <f aca="false">IF($A1045="","",$I1045*$K1045)</f>
        <v/>
      </c>
      <c r="O1045" s="35" t="str">
        <f aca="false">IF(OR($A1045="",$C1045="U",$S1045&lt;&gt;Calc!$F$2),"",SUMIFS($I$3:$I$3002,$E$3:$E$3002,$E1045,$C$3:$C$3002,"&lt;&gt;U",$S$3:$S$3002,Calc!$F$2))</f>
        <v/>
      </c>
      <c r="P1045" s="35" t="str">
        <f aca="false">IF(OR($A1045="",$C1045="U",$S1045&lt;&gt;Calc!$F$2),"",SUMIFS($N$3:$N$3002,$E$3:$E$3002,$E1045,$C$3:$C$3002,"&lt;&gt;U",$S$3:$S$3002,Calc!$F$2))</f>
        <v/>
      </c>
      <c r="Q1045" s="35" t="str">
        <f aca="false">IF(OR($A1045="",$C1045="U",$S1045&lt;&gt;Calc!$F$2),"",IF(COUNTIFS($E$3:$E1045,$E1045,$C$3:$C1045,"&lt;&gt;U",$S$3:$S1045,Calc!$F$2)=1,1,0))</f>
        <v/>
      </c>
      <c r="R1045" s="35" t="str">
        <f aca="false">IF($Q1045=1,$O1045-ROW()/100000,"")</f>
        <v/>
      </c>
      <c r="S1045" s="37" t="str">
        <f aca="false">IF($A1045="","",INT($A1045))</f>
        <v/>
      </c>
      <c r="T1045" s="35" t="str">
        <f aca="false">IF($A1045="","",IF(COUNTIFS($S$3:$S1045,$S1045)=1,1,0))</f>
        <v/>
      </c>
      <c r="U1045" s="37" t="str">
        <f aca="false">IF($T1045=1,$S1045,"")</f>
        <v/>
      </c>
    </row>
    <row r="1046" customFormat="false" ht="15" hidden="false" customHeight="false" outlineLevel="0" collapsed="false">
      <c r="M1046" s="35" t="str">
        <f aca="false">IF($A1046="","",HOUR($A1046))</f>
        <v/>
      </c>
      <c r="N1046" s="36" t="str">
        <f aca="false">IF($A1046="","",$I1046*$K1046)</f>
        <v/>
      </c>
      <c r="O1046" s="35" t="str">
        <f aca="false">IF(OR($A1046="",$C1046="U",$S1046&lt;&gt;Calc!$F$2),"",SUMIFS($I$3:$I$3002,$E$3:$E$3002,$E1046,$C$3:$C$3002,"&lt;&gt;U",$S$3:$S$3002,Calc!$F$2))</f>
        <v/>
      </c>
      <c r="P1046" s="35" t="str">
        <f aca="false">IF(OR($A1046="",$C1046="U",$S1046&lt;&gt;Calc!$F$2),"",SUMIFS($N$3:$N$3002,$E$3:$E$3002,$E1046,$C$3:$C$3002,"&lt;&gt;U",$S$3:$S$3002,Calc!$F$2))</f>
        <v/>
      </c>
      <c r="Q1046" s="35" t="str">
        <f aca="false">IF(OR($A1046="",$C1046="U",$S1046&lt;&gt;Calc!$F$2),"",IF(COUNTIFS($E$3:$E1046,$E1046,$C$3:$C1046,"&lt;&gt;U",$S$3:$S1046,Calc!$F$2)=1,1,0))</f>
        <v/>
      </c>
      <c r="R1046" s="35" t="str">
        <f aca="false">IF($Q1046=1,$O1046-ROW()/100000,"")</f>
        <v/>
      </c>
      <c r="S1046" s="37" t="str">
        <f aca="false">IF($A1046="","",INT($A1046))</f>
        <v/>
      </c>
      <c r="T1046" s="35" t="str">
        <f aca="false">IF($A1046="","",IF(COUNTIFS($S$3:$S1046,$S1046)=1,1,0))</f>
        <v/>
      </c>
      <c r="U1046" s="37" t="str">
        <f aca="false">IF($T1046=1,$S1046,"")</f>
        <v/>
      </c>
    </row>
    <row r="1047" customFormat="false" ht="15" hidden="false" customHeight="false" outlineLevel="0" collapsed="false">
      <c r="M1047" s="35" t="str">
        <f aca="false">IF($A1047="","",HOUR($A1047))</f>
        <v/>
      </c>
      <c r="N1047" s="36" t="str">
        <f aca="false">IF($A1047="","",$I1047*$K1047)</f>
        <v/>
      </c>
      <c r="O1047" s="35" t="str">
        <f aca="false">IF(OR($A1047="",$C1047="U",$S1047&lt;&gt;Calc!$F$2),"",SUMIFS($I$3:$I$3002,$E$3:$E$3002,$E1047,$C$3:$C$3002,"&lt;&gt;U",$S$3:$S$3002,Calc!$F$2))</f>
        <v/>
      </c>
      <c r="P1047" s="35" t="str">
        <f aca="false">IF(OR($A1047="",$C1047="U",$S1047&lt;&gt;Calc!$F$2),"",SUMIFS($N$3:$N$3002,$E$3:$E$3002,$E1047,$C$3:$C$3002,"&lt;&gt;U",$S$3:$S$3002,Calc!$F$2))</f>
        <v/>
      </c>
      <c r="Q1047" s="35" t="str">
        <f aca="false">IF(OR($A1047="",$C1047="U",$S1047&lt;&gt;Calc!$F$2),"",IF(COUNTIFS($E$3:$E1047,$E1047,$C$3:$C1047,"&lt;&gt;U",$S$3:$S1047,Calc!$F$2)=1,1,0))</f>
        <v/>
      </c>
      <c r="R1047" s="35" t="str">
        <f aca="false">IF($Q1047=1,$O1047-ROW()/100000,"")</f>
        <v/>
      </c>
      <c r="S1047" s="37" t="str">
        <f aca="false">IF($A1047="","",INT($A1047))</f>
        <v/>
      </c>
      <c r="T1047" s="35" t="str">
        <f aca="false">IF($A1047="","",IF(COUNTIFS($S$3:$S1047,$S1047)=1,1,0))</f>
        <v/>
      </c>
      <c r="U1047" s="37" t="str">
        <f aca="false">IF($T1047=1,$S1047,"")</f>
        <v/>
      </c>
    </row>
    <row r="1048" customFormat="false" ht="15" hidden="false" customHeight="false" outlineLevel="0" collapsed="false">
      <c r="M1048" s="35" t="str">
        <f aca="false">IF($A1048="","",HOUR($A1048))</f>
        <v/>
      </c>
      <c r="N1048" s="36" t="str">
        <f aca="false">IF($A1048="","",$I1048*$K1048)</f>
        <v/>
      </c>
      <c r="O1048" s="35" t="str">
        <f aca="false">IF(OR($A1048="",$C1048="U",$S1048&lt;&gt;Calc!$F$2),"",SUMIFS($I$3:$I$3002,$E$3:$E$3002,$E1048,$C$3:$C$3002,"&lt;&gt;U",$S$3:$S$3002,Calc!$F$2))</f>
        <v/>
      </c>
      <c r="P1048" s="35" t="str">
        <f aca="false">IF(OR($A1048="",$C1048="U",$S1048&lt;&gt;Calc!$F$2),"",SUMIFS($N$3:$N$3002,$E$3:$E$3002,$E1048,$C$3:$C$3002,"&lt;&gt;U",$S$3:$S$3002,Calc!$F$2))</f>
        <v/>
      </c>
      <c r="Q1048" s="35" t="str">
        <f aca="false">IF(OR($A1048="",$C1048="U",$S1048&lt;&gt;Calc!$F$2),"",IF(COUNTIFS($E$3:$E1048,$E1048,$C$3:$C1048,"&lt;&gt;U",$S$3:$S1048,Calc!$F$2)=1,1,0))</f>
        <v/>
      </c>
      <c r="R1048" s="35" t="str">
        <f aca="false">IF($Q1048=1,$O1048-ROW()/100000,"")</f>
        <v/>
      </c>
      <c r="S1048" s="37" t="str">
        <f aca="false">IF($A1048="","",INT($A1048))</f>
        <v/>
      </c>
      <c r="T1048" s="35" t="str">
        <f aca="false">IF($A1048="","",IF(COUNTIFS($S$3:$S1048,$S1048)=1,1,0))</f>
        <v/>
      </c>
      <c r="U1048" s="37" t="str">
        <f aca="false">IF($T1048=1,$S1048,"")</f>
        <v/>
      </c>
    </row>
    <row r="1049" customFormat="false" ht="15" hidden="false" customHeight="false" outlineLevel="0" collapsed="false">
      <c r="M1049" s="35" t="str">
        <f aca="false">IF($A1049="","",HOUR($A1049))</f>
        <v/>
      </c>
      <c r="N1049" s="36" t="str">
        <f aca="false">IF($A1049="","",$I1049*$K1049)</f>
        <v/>
      </c>
      <c r="O1049" s="35" t="str">
        <f aca="false">IF(OR($A1049="",$C1049="U",$S1049&lt;&gt;Calc!$F$2),"",SUMIFS($I$3:$I$3002,$E$3:$E$3002,$E1049,$C$3:$C$3002,"&lt;&gt;U",$S$3:$S$3002,Calc!$F$2))</f>
        <v/>
      </c>
      <c r="P1049" s="35" t="str">
        <f aca="false">IF(OR($A1049="",$C1049="U",$S1049&lt;&gt;Calc!$F$2),"",SUMIFS($N$3:$N$3002,$E$3:$E$3002,$E1049,$C$3:$C$3002,"&lt;&gt;U",$S$3:$S$3002,Calc!$F$2))</f>
        <v/>
      </c>
      <c r="Q1049" s="35" t="str">
        <f aca="false">IF(OR($A1049="",$C1049="U",$S1049&lt;&gt;Calc!$F$2),"",IF(COUNTIFS($E$3:$E1049,$E1049,$C$3:$C1049,"&lt;&gt;U",$S$3:$S1049,Calc!$F$2)=1,1,0))</f>
        <v/>
      </c>
      <c r="R1049" s="35" t="str">
        <f aca="false">IF($Q1049=1,$O1049-ROW()/100000,"")</f>
        <v/>
      </c>
      <c r="S1049" s="37" t="str">
        <f aca="false">IF($A1049="","",INT($A1049))</f>
        <v/>
      </c>
      <c r="T1049" s="35" t="str">
        <f aca="false">IF($A1049="","",IF(COUNTIFS($S$3:$S1049,$S1049)=1,1,0))</f>
        <v/>
      </c>
      <c r="U1049" s="37" t="str">
        <f aca="false">IF($T1049=1,$S1049,"")</f>
        <v/>
      </c>
    </row>
    <row r="1050" customFormat="false" ht="15" hidden="false" customHeight="false" outlineLevel="0" collapsed="false">
      <c r="M1050" s="35" t="str">
        <f aca="false">IF($A1050="","",HOUR($A1050))</f>
        <v/>
      </c>
      <c r="N1050" s="36" t="str">
        <f aca="false">IF($A1050="","",$I1050*$K1050)</f>
        <v/>
      </c>
      <c r="O1050" s="35" t="str">
        <f aca="false">IF(OR($A1050="",$C1050="U",$S1050&lt;&gt;Calc!$F$2),"",SUMIFS($I$3:$I$3002,$E$3:$E$3002,$E1050,$C$3:$C$3002,"&lt;&gt;U",$S$3:$S$3002,Calc!$F$2))</f>
        <v/>
      </c>
      <c r="P1050" s="35" t="str">
        <f aca="false">IF(OR($A1050="",$C1050="U",$S1050&lt;&gt;Calc!$F$2),"",SUMIFS($N$3:$N$3002,$E$3:$E$3002,$E1050,$C$3:$C$3002,"&lt;&gt;U",$S$3:$S$3002,Calc!$F$2))</f>
        <v/>
      </c>
      <c r="Q1050" s="35" t="str">
        <f aca="false">IF(OR($A1050="",$C1050="U",$S1050&lt;&gt;Calc!$F$2),"",IF(COUNTIFS($E$3:$E1050,$E1050,$C$3:$C1050,"&lt;&gt;U",$S$3:$S1050,Calc!$F$2)=1,1,0))</f>
        <v/>
      </c>
      <c r="R1050" s="35" t="str">
        <f aca="false">IF($Q1050=1,$O1050-ROW()/100000,"")</f>
        <v/>
      </c>
      <c r="S1050" s="37" t="str">
        <f aca="false">IF($A1050="","",INT($A1050))</f>
        <v/>
      </c>
      <c r="T1050" s="35" t="str">
        <f aca="false">IF($A1050="","",IF(COUNTIFS($S$3:$S1050,$S1050)=1,1,0))</f>
        <v/>
      </c>
      <c r="U1050" s="37" t="str">
        <f aca="false">IF($T1050=1,$S1050,"")</f>
        <v/>
      </c>
    </row>
    <row r="1051" customFormat="false" ht="15" hidden="false" customHeight="false" outlineLevel="0" collapsed="false">
      <c r="M1051" s="35" t="str">
        <f aca="false">IF($A1051="","",HOUR($A1051))</f>
        <v/>
      </c>
      <c r="N1051" s="36" t="str">
        <f aca="false">IF($A1051="","",$I1051*$K1051)</f>
        <v/>
      </c>
      <c r="O1051" s="35" t="str">
        <f aca="false">IF(OR($A1051="",$C1051="U",$S1051&lt;&gt;Calc!$F$2),"",SUMIFS($I$3:$I$3002,$E$3:$E$3002,$E1051,$C$3:$C$3002,"&lt;&gt;U",$S$3:$S$3002,Calc!$F$2))</f>
        <v/>
      </c>
      <c r="P1051" s="35" t="str">
        <f aca="false">IF(OR($A1051="",$C1051="U",$S1051&lt;&gt;Calc!$F$2),"",SUMIFS($N$3:$N$3002,$E$3:$E$3002,$E1051,$C$3:$C$3002,"&lt;&gt;U",$S$3:$S$3002,Calc!$F$2))</f>
        <v/>
      </c>
      <c r="Q1051" s="35" t="str">
        <f aca="false">IF(OR($A1051="",$C1051="U",$S1051&lt;&gt;Calc!$F$2),"",IF(COUNTIFS($E$3:$E1051,$E1051,$C$3:$C1051,"&lt;&gt;U",$S$3:$S1051,Calc!$F$2)=1,1,0))</f>
        <v/>
      </c>
      <c r="R1051" s="35" t="str">
        <f aca="false">IF($Q1051=1,$O1051-ROW()/100000,"")</f>
        <v/>
      </c>
      <c r="S1051" s="37" t="str">
        <f aca="false">IF($A1051="","",INT($A1051))</f>
        <v/>
      </c>
      <c r="T1051" s="35" t="str">
        <f aca="false">IF($A1051="","",IF(COUNTIFS($S$3:$S1051,$S1051)=1,1,0))</f>
        <v/>
      </c>
      <c r="U1051" s="37" t="str">
        <f aca="false">IF($T1051=1,$S1051,"")</f>
        <v/>
      </c>
    </row>
    <row r="1052" customFormat="false" ht="15" hidden="false" customHeight="false" outlineLevel="0" collapsed="false">
      <c r="M1052" s="35" t="str">
        <f aca="false">IF($A1052="","",HOUR($A1052))</f>
        <v/>
      </c>
      <c r="N1052" s="36" t="str">
        <f aca="false">IF($A1052="","",$I1052*$K1052)</f>
        <v/>
      </c>
      <c r="O1052" s="35" t="str">
        <f aca="false">IF(OR($A1052="",$C1052="U",$S1052&lt;&gt;Calc!$F$2),"",SUMIFS($I$3:$I$3002,$E$3:$E$3002,$E1052,$C$3:$C$3002,"&lt;&gt;U",$S$3:$S$3002,Calc!$F$2))</f>
        <v/>
      </c>
      <c r="P1052" s="35" t="str">
        <f aca="false">IF(OR($A1052="",$C1052="U",$S1052&lt;&gt;Calc!$F$2),"",SUMIFS($N$3:$N$3002,$E$3:$E$3002,$E1052,$C$3:$C$3002,"&lt;&gt;U",$S$3:$S$3002,Calc!$F$2))</f>
        <v/>
      </c>
      <c r="Q1052" s="35" t="str">
        <f aca="false">IF(OR($A1052="",$C1052="U",$S1052&lt;&gt;Calc!$F$2),"",IF(COUNTIFS($E$3:$E1052,$E1052,$C$3:$C1052,"&lt;&gt;U",$S$3:$S1052,Calc!$F$2)=1,1,0))</f>
        <v/>
      </c>
      <c r="R1052" s="35" t="str">
        <f aca="false">IF($Q1052=1,$O1052-ROW()/100000,"")</f>
        <v/>
      </c>
      <c r="S1052" s="37" t="str">
        <f aca="false">IF($A1052="","",INT($A1052))</f>
        <v/>
      </c>
      <c r="T1052" s="35" t="str">
        <f aca="false">IF($A1052="","",IF(COUNTIFS($S$3:$S1052,$S1052)=1,1,0))</f>
        <v/>
      </c>
      <c r="U1052" s="37" t="str">
        <f aca="false">IF($T1052=1,$S1052,"")</f>
        <v/>
      </c>
    </row>
    <row r="1053" customFormat="false" ht="15" hidden="false" customHeight="false" outlineLevel="0" collapsed="false">
      <c r="M1053" s="35" t="str">
        <f aca="false">IF($A1053="","",HOUR($A1053))</f>
        <v/>
      </c>
      <c r="N1053" s="36" t="str">
        <f aca="false">IF($A1053="","",$I1053*$K1053)</f>
        <v/>
      </c>
      <c r="O1053" s="35" t="str">
        <f aca="false">IF(OR($A1053="",$C1053="U",$S1053&lt;&gt;Calc!$F$2),"",SUMIFS($I$3:$I$3002,$E$3:$E$3002,$E1053,$C$3:$C$3002,"&lt;&gt;U",$S$3:$S$3002,Calc!$F$2))</f>
        <v/>
      </c>
      <c r="P1053" s="35" t="str">
        <f aca="false">IF(OR($A1053="",$C1053="U",$S1053&lt;&gt;Calc!$F$2),"",SUMIFS($N$3:$N$3002,$E$3:$E$3002,$E1053,$C$3:$C$3002,"&lt;&gt;U",$S$3:$S$3002,Calc!$F$2))</f>
        <v/>
      </c>
      <c r="Q1053" s="35" t="str">
        <f aca="false">IF(OR($A1053="",$C1053="U",$S1053&lt;&gt;Calc!$F$2),"",IF(COUNTIFS($E$3:$E1053,$E1053,$C$3:$C1053,"&lt;&gt;U",$S$3:$S1053,Calc!$F$2)=1,1,0))</f>
        <v/>
      </c>
      <c r="R1053" s="35" t="str">
        <f aca="false">IF($Q1053=1,$O1053-ROW()/100000,"")</f>
        <v/>
      </c>
      <c r="S1053" s="37" t="str">
        <f aca="false">IF($A1053="","",INT($A1053))</f>
        <v/>
      </c>
      <c r="T1053" s="35" t="str">
        <f aca="false">IF($A1053="","",IF(COUNTIFS($S$3:$S1053,$S1053)=1,1,0))</f>
        <v/>
      </c>
      <c r="U1053" s="37" t="str">
        <f aca="false">IF($T1053=1,$S1053,"")</f>
        <v/>
      </c>
    </row>
    <row r="1054" customFormat="false" ht="15" hidden="false" customHeight="false" outlineLevel="0" collapsed="false">
      <c r="M1054" s="35" t="str">
        <f aca="false">IF($A1054="","",HOUR($A1054))</f>
        <v/>
      </c>
      <c r="N1054" s="36" t="str">
        <f aca="false">IF($A1054="","",$I1054*$K1054)</f>
        <v/>
      </c>
      <c r="O1054" s="35" t="str">
        <f aca="false">IF(OR($A1054="",$C1054="U",$S1054&lt;&gt;Calc!$F$2),"",SUMIFS($I$3:$I$3002,$E$3:$E$3002,$E1054,$C$3:$C$3002,"&lt;&gt;U",$S$3:$S$3002,Calc!$F$2))</f>
        <v/>
      </c>
      <c r="P1054" s="35" t="str">
        <f aca="false">IF(OR($A1054="",$C1054="U",$S1054&lt;&gt;Calc!$F$2),"",SUMIFS($N$3:$N$3002,$E$3:$E$3002,$E1054,$C$3:$C$3002,"&lt;&gt;U",$S$3:$S$3002,Calc!$F$2))</f>
        <v/>
      </c>
      <c r="Q1054" s="35" t="str">
        <f aca="false">IF(OR($A1054="",$C1054="U",$S1054&lt;&gt;Calc!$F$2),"",IF(COUNTIFS($E$3:$E1054,$E1054,$C$3:$C1054,"&lt;&gt;U",$S$3:$S1054,Calc!$F$2)=1,1,0))</f>
        <v/>
      </c>
      <c r="R1054" s="35" t="str">
        <f aca="false">IF($Q1054=1,$O1054-ROW()/100000,"")</f>
        <v/>
      </c>
      <c r="S1054" s="37" t="str">
        <f aca="false">IF($A1054="","",INT($A1054))</f>
        <v/>
      </c>
      <c r="T1054" s="35" t="str">
        <f aca="false">IF($A1054="","",IF(COUNTIFS($S$3:$S1054,$S1054)=1,1,0))</f>
        <v/>
      </c>
      <c r="U1054" s="37" t="str">
        <f aca="false">IF($T1054=1,$S1054,"")</f>
        <v/>
      </c>
    </row>
    <row r="1055" customFormat="false" ht="15" hidden="false" customHeight="false" outlineLevel="0" collapsed="false">
      <c r="M1055" s="35" t="str">
        <f aca="false">IF($A1055="","",HOUR($A1055))</f>
        <v/>
      </c>
      <c r="N1055" s="36" t="str">
        <f aca="false">IF($A1055="","",$I1055*$K1055)</f>
        <v/>
      </c>
      <c r="O1055" s="35" t="str">
        <f aca="false">IF(OR($A1055="",$C1055="U",$S1055&lt;&gt;Calc!$F$2),"",SUMIFS($I$3:$I$3002,$E$3:$E$3002,$E1055,$C$3:$C$3002,"&lt;&gt;U",$S$3:$S$3002,Calc!$F$2))</f>
        <v/>
      </c>
      <c r="P1055" s="35" t="str">
        <f aca="false">IF(OR($A1055="",$C1055="U",$S1055&lt;&gt;Calc!$F$2),"",SUMIFS($N$3:$N$3002,$E$3:$E$3002,$E1055,$C$3:$C$3002,"&lt;&gt;U",$S$3:$S$3002,Calc!$F$2))</f>
        <v/>
      </c>
      <c r="Q1055" s="35" t="str">
        <f aca="false">IF(OR($A1055="",$C1055="U",$S1055&lt;&gt;Calc!$F$2),"",IF(COUNTIFS($E$3:$E1055,$E1055,$C$3:$C1055,"&lt;&gt;U",$S$3:$S1055,Calc!$F$2)=1,1,0))</f>
        <v/>
      </c>
      <c r="R1055" s="35" t="str">
        <f aca="false">IF($Q1055=1,$O1055-ROW()/100000,"")</f>
        <v/>
      </c>
      <c r="S1055" s="37" t="str">
        <f aca="false">IF($A1055="","",INT($A1055))</f>
        <v/>
      </c>
      <c r="T1055" s="35" t="str">
        <f aca="false">IF($A1055="","",IF(COUNTIFS($S$3:$S1055,$S1055)=1,1,0))</f>
        <v/>
      </c>
      <c r="U1055" s="37" t="str">
        <f aca="false">IF($T1055=1,$S1055,"")</f>
        <v/>
      </c>
    </row>
    <row r="1056" customFormat="false" ht="15" hidden="false" customHeight="false" outlineLevel="0" collapsed="false">
      <c r="M1056" s="35" t="str">
        <f aca="false">IF($A1056="","",HOUR($A1056))</f>
        <v/>
      </c>
      <c r="N1056" s="36" t="str">
        <f aca="false">IF($A1056="","",$I1056*$K1056)</f>
        <v/>
      </c>
      <c r="O1056" s="35" t="str">
        <f aca="false">IF(OR($A1056="",$C1056="U",$S1056&lt;&gt;Calc!$F$2),"",SUMIFS($I$3:$I$3002,$E$3:$E$3002,$E1056,$C$3:$C$3002,"&lt;&gt;U",$S$3:$S$3002,Calc!$F$2))</f>
        <v/>
      </c>
      <c r="P1056" s="35" t="str">
        <f aca="false">IF(OR($A1056="",$C1056="U",$S1056&lt;&gt;Calc!$F$2),"",SUMIFS($N$3:$N$3002,$E$3:$E$3002,$E1056,$C$3:$C$3002,"&lt;&gt;U",$S$3:$S$3002,Calc!$F$2))</f>
        <v/>
      </c>
      <c r="Q1056" s="35" t="str">
        <f aca="false">IF(OR($A1056="",$C1056="U",$S1056&lt;&gt;Calc!$F$2),"",IF(COUNTIFS($E$3:$E1056,$E1056,$C$3:$C1056,"&lt;&gt;U",$S$3:$S1056,Calc!$F$2)=1,1,0))</f>
        <v/>
      </c>
      <c r="R1056" s="35" t="str">
        <f aca="false">IF($Q1056=1,$O1056-ROW()/100000,"")</f>
        <v/>
      </c>
      <c r="S1056" s="37" t="str">
        <f aca="false">IF($A1056="","",INT($A1056))</f>
        <v/>
      </c>
      <c r="T1056" s="35" t="str">
        <f aca="false">IF($A1056="","",IF(COUNTIFS($S$3:$S1056,$S1056)=1,1,0))</f>
        <v/>
      </c>
      <c r="U1056" s="37" t="str">
        <f aca="false">IF($T1056=1,$S1056,"")</f>
        <v/>
      </c>
    </row>
    <row r="1057" customFormat="false" ht="15" hidden="false" customHeight="false" outlineLevel="0" collapsed="false">
      <c r="M1057" s="35" t="str">
        <f aca="false">IF($A1057="","",HOUR($A1057))</f>
        <v/>
      </c>
      <c r="N1057" s="36" t="str">
        <f aca="false">IF($A1057="","",$I1057*$K1057)</f>
        <v/>
      </c>
      <c r="O1057" s="35" t="str">
        <f aca="false">IF(OR($A1057="",$C1057="U",$S1057&lt;&gt;Calc!$F$2),"",SUMIFS($I$3:$I$3002,$E$3:$E$3002,$E1057,$C$3:$C$3002,"&lt;&gt;U",$S$3:$S$3002,Calc!$F$2))</f>
        <v/>
      </c>
      <c r="P1057" s="35" t="str">
        <f aca="false">IF(OR($A1057="",$C1057="U",$S1057&lt;&gt;Calc!$F$2),"",SUMIFS($N$3:$N$3002,$E$3:$E$3002,$E1057,$C$3:$C$3002,"&lt;&gt;U",$S$3:$S$3002,Calc!$F$2))</f>
        <v/>
      </c>
      <c r="Q1057" s="35" t="str">
        <f aca="false">IF(OR($A1057="",$C1057="U",$S1057&lt;&gt;Calc!$F$2),"",IF(COUNTIFS($E$3:$E1057,$E1057,$C$3:$C1057,"&lt;&gt;U",$S$3:$S1057,Calc!$F$2)=1,1,0))</f>
        <v/>
      </c>
      <c r="R1057" s="35" t="str">
        <f aca="false">IF($Q1057=1,$O1057-ROW()/100000,"")</f>
        <v/>
      </c>
      <c r="S1057" s="37" t="str">
        <f aca="false">IF($A1057="","",INT($A1057))</f>
        <v/>
      </c>
      <c r="T1057" s="35" t="str">
        <f aca="false">IF($A1057="","",IF(COUNTIFS($S$3:$S1057,$S1057)=1,1,0))</f>
        <v/>
      </c>
      <c r="U1057" s="37" t="str">
        <f aca="false">IF($T1057=1,$S1057,"")</f>
        <v/>
      </c>
    </row>
    <row r="1058" customFormat="false" ht="15" hidden="false" customHeight="false" outlineLevel="0" collapsed="false">
      <c r="M1058" s="35" t="str">
        <f aca="false">IF($A1058="","",HOUR($A1058))</f>
        <v/>
      </c>
      <c r="N1058" s="36" t="str">
        <f aca="false">IF($A1058="","",$I1058*$K1058)</f>
        <v/>
      </c>
      <c r="O1058" s="35" t="str">
        <f aca="false">IF(OR($A1058="",$C1058="U",$S1058&lt;&gt;Calc!$F$2),"",SUMIFS($I$3:$I$3002,$E$3:$E$3002,$E1058,$C$3:$C$3002,"&lt;&gt;U",$S$3:$S$3002,Calc!$F$2))</f>
        <v/>
      </c>
      <c r="P1058" s="35" t="str">
        <f aca="false">IF(OR($A1058="",$C1058="U",$S1058&lt;&gt;Calc!$F$2),"",SUMIFS($N$3:$N$3002,$E$3:$E$3002,$E1058,$C$3:$C$3002,"&lt;&gt;U",$S$3:$S$3002,Calc!$F$2))</f>
        <v/>
      </c>
      <c r="Q1058" s="35" t="str">
        <f aca="false">IF(OR($A1058="",$C1058="U",$S1058&lt;&gt;Calc!$F$2),"",IF(COUNTIFS($E$3:$E1058,$E1058,$C$3:$C1058,"&lt;&gt;U",$S$3:$S1058,Calc!$F$2)=1,1,0))</f>
        <v/>
      </c>
      <c r="R1058" s="35" t="str">
        <f aca="false">IF($Q1058=1,$O1058-ROW()/100000,"")</f>
        <v/>
      </c>
      <c r="S1058" s="37" t="str">
        <f aca="false">IF($A1058="","",INT($A1058))</f>
        <v/>
      </c>
      <c r="T1058" s="35" t="str">
        <f aca="false">IF($A1058="","",IF(COUNTIFS($S$3:$S1058,$S1058)=1,1,0))</f>
        <v/>
      </c>
      <c r="U1058" s="37" t="str">
        <f aca="false">IF($T1058=1,$S1058,"")</f>
        <v/>
      </c>
    </row>
    <row r="1059" customFormat="false" ht="15" hidden="false" customHeight="false" outlineLevel="0" collapsed="false">
      <c r="M1059" s="35" t="str">
        <f aca="false">IF($A1059="","",HOUR($A1059))</f>
        <v/>
      </c>
      <c r="N1059" s="36" t="str">
        <f aca="false">IF($A1059="","",$I1059*$K1059)</f>
        <v/>
      </c>
      <c r="O1059" s="35" t="str">
        <f aca="false">IF(OR($A1059="",$C1059="U",$S1059&lt;&gt;Calc!$F$2),"",SUMIFS($I$3:$I$3002,$E$3:$E$3002,$E1059,$C$3:$C$3002,"&lt;&gt;U",$S$3:$S$3002,Calc!$F$2))</f>
        <v/>
      </c>
      <c r="P1059" s="35" t="str">
        <f aca="false">IF(OR($A1059="",$C1059="U",$S1059&lt;&gt;Calc!$F$2),"",SUMIFS($N$3:$N$3002,$E$3:$E$3002,$E1059,$C$3:$C$3002,"&lt;&gt;U",$S$3:$S$3002,Calc!$F$2))</f>
        <v/>
      </c>
      <c r="Q1059" s="35" t="str">
        <f aca="false">IF(OR($A1059="",$C1059="U",$S1059&lt;&gt;Calc!$F$2),"",IF(COUNTIFS($E$3:$E1059,$E1059,$C$3:$C1059,"&lt;&gt;U",$S$3:$S1059,Calc!$F$2)=1,1,0))</f>
        <v/>
      </c>
      <c r="R1059" s="35" t="str">
        <f aca="false">IF($Q1059=1,$O1059-ROW()/100000,"")</f>
        <v/>
      </c>
      <c r="S1059" s="37" t="str">
        <f aca="false">IF($A1059="","",INT($A1059))</f>
        <v/>
      </c>
      <c r="T1059" s="35" t="str">
        <f aca="false">IF($A1059="","",IF(COUNTIFS($S$3:$S1059,$S1059)=1,1,0))</f>
        <v/>
      </c>
      <c r="U1059" s="37" t="str">
        <f aca="false">IF($T1059=1,$S1059,"")</f>
        <v/>
      </c>
    </row>
    <row r="1060" customFormat="false" ht="15" hidden="false" customHeight="false" outlineLevel="0" collapsed="false">
      <c r="M1060" s="35" t="str">
        <f aca="false">IF($A1060="","",HOUR($A1060))</f>
        <v/>
      </c>
      <c r="N1060" s="36" t="str">
        <f aca="false">IF($A1060="","",$I1060*$K1060)</f>
        <v/>
      </c>
      <c r="O1060" s="35" t="str">
        <f aca="false">IF(OR($A1060="",$C1060="U",$S1060&lt;&gt;Calc!$F$2),"",SUMIFS($I$3:$I$3002,$E$3:$E$3002,$E1060,$C$3:$C$3002,"&lt;&gt;U",$S$3:$S$3002,Calc!$F$2))</f>
        <v/>
      </c>
      <c r="P1060" s="35" t="str">
        <f aca="false">IF(OR($A1060="",$C1060="U",$S1060&lt;&gt;Calc!$F$2),"",SUMIFS($N$3:$N$3002,$E$3:$E$3002,$E1060,$C$3:$C$3002,"&lt;&gt;U",$S$3:$S$3002,Calc!$F$2))</f>
        <v/>
      </c>
      <c r="Q1060" s="35" t="str">
        <f aca="false">IF(OR($A1060="",$C1060="U",$S1060&lt;&gt;Calc!$F$2),"",IF(COUNTIFS($E$3:$E1060,$E1060,$C$3:$C1060,"&lt;&gt;U",$S$3:$S1060,Calc!$F$2)=1,1,0))</f>
        <v/>
      </c>
      <c r="R1060" s="35" t="str">
        <f aca="false">IF($Q1060=1,$O1060-ROW()/100000,"")</f>
        <v/>
      </c>
      <c r="S1060" s="37" t="str">
        <f aca="false">IF($A1060="","",INT($A1060))</f>
        <v/>
      </c>
      <c r="T1060" s="35" t="str">
        <f aca="false">IF($A1060="","",IF(COUNTIFS($S$3:$S1060,$S1060)=1,1,0))</f>
        <v/>
      </c>
      <c r="U1060" s="37" t="str">
        <f aca="false">IF($T1060=1,$S1060,"")</f>
        <v/>
      </c>
    </row>
    <row r="1061" customFormat="false" ht="15" hidden="false" customHeight="false" outlineLevel="0" collapsed="false">
      <c r="M1061" s="35" t="str">
        <f aca="false">IF($A1061="","",HOUR($A1061))</f>
        <v/>
      </c>
      <c r="N1061" s="36" t="str">
        <f aca="false">IF($A1061="","",$I1061*$K1061)</f>
        <v/>
      </c>
      <c r="O1061" s="35" t="str">
        <f aca="false">IF(OR($A1061="",$C1061="U",$S1061&lt;&gt;Calc!$F$2),"",SUMIFS($I$3:$I$3002,$E$3:$E$3002,$E1061,$C$3:$C$3002,"&lt;&gt;U",$S$3:$S$3002,Calc!$F$2))</f>
        <v/>
      </c>
      <c r="P1061" s="35" t="str">
        <f aca="false">IF(OR($A1061="",$C1061="U",$S1061&lt;&gt;Calc!$F$2),"",SUMIFS($N$3:$N$3002,$E$3:$E$3002,$E1061,$C$3:$C$3002,"&lt;&gt;U",$S$3:$S$3002,Calc!$F$2))</f>
        <v/>
      </c>
      <c r="Q1061" s="35" t="str">
        <f aca="false">IF(OR($A1061="",$C1061="U",$S1061&lt;&gt;Calc!$F$2),"",IF(COUNTIFS($E$3:$E1061,$E1061,$C$3:$C1061,"&lt;&gt;U",$S$3:$S1061,Calc!$F$2)=1,1,0))</f>
        <v/>
      </c>
      <c r="R1061" s="35" t="str">
        <f aca="false">IF($Q1061=1,$O1061-ROW()/100000,"")</f>
        <v/>
      </c>
      <c r="S1061" s="37" t="str">
        <f aca="false">IF($A1061="","",INT($A1061))</f>
        <v/>
      </c>
      <c r="T1061" s="35" t="str">
        <f aca="false">IF($A1061="","",IF(COUNTIFS($S$3:$S1061,$S1061)=1,1,0))</f>
        <v/>
      </c>
      <c r="U1061" s="37" t="str">
        <f aca="false">IF($T1061=1,$S1061,"")</f>
        <v/>
      </c>
    </row>
    <row r="1062" customFormat="false" ht="15" hidden="false" customHeight="false" outlineLevel="0" collapsed="false">
      <c r="M1062" s="35" t="str">
        <f aca="false">IF($A1062="","",HOUR($A1062))</f>
        <v/>
      </c>
      <c r="N1062" s="36" t="str">
        <f aca="false">IF($A1062="","",$I1062*$K1062)</f>
        <v/>
      </c>
      <c r="O1062" s="35" t="str">
        <f aca="false">IF(OR($A1062="",$C1062="U",$S1062&lt;&gt;Calc!$F$2),"",SUMIFS($I$3:$I$3002,$E$3:$E$3002,$E1062,$C$3:$C$3002,"&lt;&gt;U",$S$3:$S$3002,Calc!$F$2))</f>
        <v/>
      </c>
      <c r="P1062" s="35" t="str">
        <f aca="false">IF(OR($A1062="",$C1062="U",$S1062&lt;&gt;Calc!$F$2),"",SUMIFS($N$3:$N$3002,$E$3:$E$3002,$E1062,$C$3:$C$3002,"&lt;&gt;U",$S$3:$S$3002,Calc!$F$2))</f>
        <v/>
      </c>
      <c r="Q1062" s="35" t="str">
        <f aca="false">IF(OR($A1062="",$C1062="U",$S1062&lt;&gt;Calc!$F$2),"",IF(COUNTIFS($E$3:$E1062,$E1062,$C$3:$C1062,"&lt;&gt;U",$S$3:$S1062,Calc!$F$2)=1,1,0))</f>
        <v/>
      </c>
      <c r="R1062" s="35" t="str">
        <f aca="false">IF($Q1062=1,$O1062-ROW()/100000,"")</f>
        <v/>
      </c>
      <c r="S1062" s="37" t="str">
        <f aca="false">IF($A1062="","",INT($A1062))</f>
        <v/>
      </c>
      <c r="T1062" s="35" t="str">
        <f aca="false">IF($A1062="","",IF(COUNTIFS($S$3:$S1062,$S1062)=1,1,0))</f>
        <v/>
      </c>
      <c r="U1062" s="37" t="str">
        <f aca="false">IF($T1062=1,$S1062,"")</f>
        <v/>
      </c>
    </row>
    <row r="1063" customFormat="false" ht="15" hidden="false" customHeight="false" outlineLevel="0" collapsed="false">
      <c r="M1063" s="35" t="str">
        <f aca="false">IF($A1063="","",HOUR($A1063))</f>
        <v/>
      </c>
      <c r="N1063" s="36" t="str">
        <f aca="false">IF($A1063="","",$I1063*$K1063)</f>
        <v/>
      </c>
      <c r="O1063" s="35" t="str">
        <f aca="false">IF(OR($A1063="",$C1063="U",$S1063&lt;&gt;Calc!$F$2),"",SUMIFS($I$3:$I$3002,$E$3:$E$3002,$E1063,$C$3:$C$3002,"&lt;&gt;U",$S$3:$S$3002,Calc!$F$2))</f>
        <v/>
      </c>
      <c r="P1063" s="35" t="str">
        <f aca="false">IF(OR($A1063="",$C1063="U",$S1063&lt;&gt;Calc!$F$2),"",SUMIFS($N$3:$N$3002,$E$3:$E$3002,$E1063,$C$3:$C$3002,"&lt;&gt;U",$S$3:$S$3002,Calc!$F$2))</f>
        <v/>
      </c>
      <c r="Q1063" s="35" t="str">
        <f aca="false">IF(OR($A1063="",$C1063="U",$S1063&lt;&gt;Calc!$F$2),"",IF(COUNTIFS($E$3:$E1063,$E1063,$C$3:$C1063,"&lt;&gt;U",$S$3:$S1063,Calc!$F$2)=1,1,0))</f>
        <v/>
      </c>
      <c r="R1063" s="35" t="str">
        <f aca="false">IF($Q1063=1,$O1063-ROW()/100000,"")</f>
        <v/>
      </c>
      <c r="S1063" s="37" t="str">
        <f aca="false">IF($A1063="","",INT($A1063))</f>
        <v/>
      </c>
      <c r="T1063" s="35" t="str">
        <f aca="false">IF($A1063="","",IF(COUNTIFS($S$3:$S1063,$S1063)=1,1,0))</f>
        <v/>
      </c>
      <c r="U1063" s="37" t="str">
        <f aca="false">IF($T1063=1,$S1063,"")</f>
        <v/>
      </c>
    </row>
    <row r="1064" customFormat="false" ht="15" hidden="false" customHeight="false" outlineLevel="0" collapsed="false">
      <c r="M1064" s="35" t="str">
        <f aca="false">IF($A1064="","",HOUR($A1064))</f>
        <v/>
      </c>
      <c r="N1064" s="36" t="str">
        <f aca="false">IF($A1064="","",$I1064*$K1064)</f>
        <v/>
      </c>
      <c r="O1064" s="35" t="str">
        <f aca="false">IF(OR($A1064="",$C1064="U",$S1064&lt;&gt;Calc!$F$2),"",SUMIFS($I$3:$I$3002,$E$3:$E$3002,$E1064,$C$3:$C$3002,"&lt;&gt;U",$S$3:$S$3002,Calc!$F$2))</f>
        <v/>
      </c>
      <c r="P1064" s="35" t="str">
        <f aca="false">IF(OR($A1064="",$C1064="U",$S1064&lt;&gt;Calc!$F$2),"",SUMIFS($N$3:$N$3002,$E$3:$E$3002,$E1064,$C$3:$C$3002,"&lt;&gt;U",$S$3:$S$3002,Calc!$F$2))</f>
        <v/>
      </c>
      <c r="Q1064" s="35" t="str">
        <f aca="false">IF(OR($A1064="",$C1064="U",$S1064&lt;&gt;Calc!$F$2),"",IF(COUNTIFS($E$3:$E1064,$E1064,$C$3:$C1064,"&lt;&gt;U",$S$3:$S1064,Calc!$F$2)=1,1,0))</f>
        <v/>
      </c>
      <c r="R1064" s="35" t="str">
        <f aca="false">IF($Q1064=1,$O1064-ROW()/100000,"")</f>
        <v/>
      </c>
      <c r="S1064" s="37" t="str">
        <f aca="false">IF($A1064="","",INT($A1064))</f>
        <v/>
      </c>
      <c r="T1064" s="35" t="str">
        <f aca="false">IF($A1064="","",IF(COUNTIFS($S$3:$S1064,$S1064)=1,1,0))</f>
        <v/>
      </c>
      <c r="U1064" s="37" t="str">
        <f aca="false">IF($T1064=1,$S1064,"")</f>
        <v/>
      </c>
    </row>
    <row r="1065" customFormat="false" ht="15" hidden="false" customHeight="false" outlineLevel="0" collapsed="false">
      <c r="M1065" s="35" t="str">
        <f aca="false">IF($A1065="","",HOUR($A1065))</f>
        <v/>
      </c>
      <c r="N1065" s="36" t="str">
        <f aca="false">IF($A1065="","",$I1065*$K1065)</f>
        <v/>
      </c>
      <c r="O1065" s="35" t="str">
        <f aca="false">IF(OR($A1065="",$C1065="U",$S1065&lt;&gt;Calc!$F$2),"",SUMIFS($I$3:$I$3002,$E$3:$E$3002,$E1065,$C$3:$C$3002,"&lt;&gt;U",$S$3:$S$3002,Calc!$F$2))</f>
        <v/>
      </c>
      <c r="P1065" s="35" t="str">
        <f aca="false">IF(OR($A1065="",$C1065="U",$S1065&lt;&gt;Calc!$F$2),"",SUMIFS($N$3:$N$3002,$E$3:$E$3002,$E1065,$C$3:$C$3002,"&lt;&gt;U",$S$3:$S$3002,Calc!$F$2))</f>
        <v/>
      </c>
      <c r="Q1065" s="35" t="str">
        <f aca="false">IF(OR($A1065="",$C1065="U",$S1065&lt;&gt;Calc!$F$2),"",IF(COUNTIFS($E$3:$E1065,$E1065,$C$3:$C1065,"&lt;&gt;U",$S$3:$S1065,Calc!$F$2)=1,1,0))</f>
        <v/>
      </c>
      <c r="R1065" s="35" t="str">
        <f aca="false">IF($Q1065=1,$O1065-ROW()/100000,"")</f>
        <v/>
      </c>
      <c r="S1065" s="37" t="str">
        <f aca="false">IF($A1065="","",INT($A1065))</f>
        <v/>
      </c>
      <c r="T1065" s="35" t="str">
        <f aca="false">IF($A1065="","",IF(COUNTIFS($S$3:$S1065,$S1065)=1,1,0))</f>
        <v/>
      </c>
      <c r="U1065" s="37" t="str">
        <f aca="false">IF($T1065=1,$S1065,"")</f>
        <v/>
      </c>
    </row>
    <row r="1066" customFormat="false" ht="15" hidden="false" customHeight="false" outlineLevel="0" collapsed="false">
      <c r="M1066" s="35" t="str">
        <f aca="false">IF($A1066="","",HOUR($A1066))</f>
        <v/>
      </c>
      <c r="N1066" s="36" t="str">
        <f aca="false">IF($A1066="","",$I1066*$K1066)</f>
        <v/>
      </c>
      <c r="O1066" s="35" t="str">
        <f aca="false">IF(OR($A1066="",$C1066="U",$S1066&lt;&gt;Calc!$F$2),"",SUMIFS($I$3:$I$3002,$E$3:$E$3002,$E1066,$C$3:$C$3002,"&lt;&gt;U",$S$3:$S$3002,Calc!$F$2))</f>
        <v/>
      </c>
      <c r="P1066" s="35" t="str">
        <f aca="false">IF(OR($A1066="",$C1066="U",$S1066&lt;&gt;Calc!$F$2),"",SUMIFS($N$3:$N$3002,$E$3:$E$3002,$E1066,$C$3:$C$3002,"&lt;&gt;U",$S$3:$S$3002,Calc!$F$2))</f>
        <v/>
      </c>
      <c r="Q1066" s="35" t="str">
        <f aca="false">IF(OR($A1066="",$C1066="U",$S1066&lt;&gt;Calc!$F$2),"",IF(COUNTIFS($E$3:$E1066,$E1066,$C$3:$C1066,"&lt;&gt;U",$S$3:$S1066,Calc!$F$2)=1,1,0))</f>
        <v/>
      </c>
      <c r="R1066" s="35" t="str">
        <f aca="false">IF($Q1066=1,$O1066-ROW()/100000,"")</f>
        <v/>
      </c>
      <c r="S1066" s="37" t="str">
        <f aca="false">IF($A1066="","",INT($A1066))</f>
        <v/>
      </c>
      <c r="T1066" s="35" t="str">
        <f aca="false">IF($A1066="","",IF(COUNTIFS($S$3:$S1066,$S1066)=1,1,0))</f>
        <v/>
      </c>
      <c r="U1066" s="37" t="str">
        <f aca="false">IF($T1066=1,$S1066,"")</f>
        <v/>
      </c>
    </row>
    <row r="1067" customFormat="false" ht="15" hidden="false" customHeight="false" outlineLevel="0" collapsed="false">
      <c r="M1067" s="35" t="str">
        <f aca="false">IF($A1067="","",HOUR($A1067))</f>
        <v/>
      </c>
      <c r="N1067" s="36" t="str">
        <f aca="false">IF($A1067="","",$I1067*$K1067)</f>
        <v/>
      </c>
      <c r="O1067" s="35" t="str">
        <f aca="false">IF(OR($A1067="",$C1067="U",$S1067&lt;&gt;Calc!$F$2),"",SUMIFS($I$3:$I$3002,$E$3:$E$3002,$E1067,$C$3:$C$3002,"&lt;&gt;U",$S$3:$S$3002,Calc!$F$2))</f>
        <v/>
      </c>
      <c r="P1067" s="35" t="str">
        <f aca="false">IF(OR($A1067="",$C1067="U",$S1067&lt;&gt;Calc!$F$2),"",SUMIFS($N$3:$N$3002,$E$3:$E$3002,$E1067,$C$3:$C$3002,"&lt;&gt;U",$S$3:$S$3002,Calc!$F$2))</f>
        <v/>
      </c>
      <c r="Q1067" s="35" t="str">
        <f aca="false">IF(OR($A1067="",$C1067="U",$S1067&lt;&gt;Calc!$F$2),"",IF(COUNTIFS($E$3:$E1067,$E1067,$C$3:$C1067,"&lt;&gt;U",$S$3:$S1067,Calc!$F$2)=1,1,0))</f>
        <v/>
      </c>
      <c r="R1067" s="35" t="str">
        <f aca="false">IF($Q1067=1,$O1067-ROW()/100000,"")</f>
        <v/>
      </c>
      <c r="S1067" s="37" t="str">
        <f aca="false">IF($A1067="","",INT($A1067))</f>
        <v/>
      </c>
      <c r="T1067" s="35" t="str">
        <f aca="false">IF($A1067="","",IF(COUNTIFS($S$3:$S1067,$S1067)=1,1,0))</f>
        <v/>
      </c>
      <c r="U1067" s="37" t="str">
        <f aca="false">IF($T1067=1,$S1067,"")</f>
        <v/>
      </c>
    </row>
    <row r="1068" customFormat="false" ht="15" hidden="false" customHeight="false" outlineLevel="0" collapsed="false">
      <c r="M1068" s="35" t="str">
        <f aca="false">IF($A1068="","",HOUR($A1068))</f>
        <v/>
      </c>
      <c r="N1068" s="36" t="str">
        <f aca="false">IF($A1068="","",$I1068*$K1068)</f>
        <v/>
      </c>
      <c r="O1068" s="35" t="str">
        <f aca="false">IF(OR($A1068="",$C1068="U",$S1068&lt;&gt;Calc!$F$2),"",SUMIFS($I$3:$I$3002,$E$3:$E$3002,$E1068,$C$3:$C$3002,"&lt;&gt;U",$S$3:$S$3002,Calc!$F$2))</f>
        <v/>
      </c>
      <c r="P1068" s="35" t="str">
        <f aca="false">IF(OR($A1068="",$C1068="U",$S1068&lt;&gt;Calc!$F$2),"",SUMIFS($N$3:$N$3002,$E$3:$E$3002,$E1068,$C$3:$C$3002,"&lt;&gt;U",$S$3:$S$3002,Calc!$F$2))</f>
        <v/>
      </c>
      <c r="Q1068" s="35" t="str">
        <f aca="false">IF(OR($A1068="",$C1068="U",$S1068&lt;&gt;Calc!$F$2),"",IF(COUNTIFS($E$3:$E1068,$E1068,$C$3:$C1068,"&lt;&gt;U",$S$3:$S1068,Calc!$F$2)=1,1,0))</f>
        <v/>
      </c>
      <c r="R1068" s="35" t="str">
        <f aca="false">IF($Q1068=1,$O1068-ROW()/100000,"")</f>
        <v/>
      </c>
      <c r="S1068" s="37" t="str">
        <f aca="false">IF($A1068="","",INT($A1068))</f>
        <v/>
      </c>
      <c r="T1068" s="35" t="str">
        <f aca="false">IF($A1068="","",IF(COUNTIFS($S$3:$S1068,$S1068)=1,1,0))</f>
        <v/>
      </c>
      <c r="U1068" s="37" t="str">
        <f aca="false">IF($T1068=1,$S1068,"")</f>
        <v/>
      </c>
    </row>
    <row r="1069" customFormat="false" ht="15" hidden="false" customHeight="false" outlineLevel="0" collapsed="false">
      <c r="M1069" s="35" t="str">
        <f aca="false">IF($A1069="","",HOUR($A1069))</f>
        <v/>
      </c>
      <c r="N1069" s="36" t="str">
        <f aca="false">IF($A1069="","",$I1069*$K1069)</f>
        <v/>
      </c>
      <c r="O1069" s="35" t="str">
        <f aca="false">IF(OR($A1069="",$C1069="U",$S1069&lt;&gt;Calc!$F$2),"",SUMIFS($I$3:$I$3002,$E$3:$E$3002,$E1069,$C$3:$C$3002,"&lt;&gt;U",$S$3:$S$3002,Calc!$F$2))</f>
        <v/>
      </c>
      <c r="P1069" s="35" t="str">
        <f aca="false">IF(OR($A1069="",$C1069="U",$S1069&lt;&gt;Calc!$F$2),"",SUMIFS($N$3:$N$3002,$E$3:$E$3002,$E1069,$C$3:$C$3002,"&lt;&gt;U",$S$3:$S$3002,Calc!$F$2))</f>
        <v/>
      </c>
      <c r="Q1069" s="35" t="str">
        <f aca="false">IF(OR($A1069="",$C1069="U",$S1069&lt;&gt;Calc!$F$2),"",IF(COUNTIFS($E$3:$E1069,$E1069,$C$3:$C1069,"&lt;&gt;U",$S$3:$S1069,Calc!$F$2)=1,1,0))</f>
        <v/>
      </c>
      <c r="R1069" s="35" t="str">
        <f aca="false">IF($Q1069=1,$O1069-ROW()/100000,"")</f>
        <v/>
      </c>
      <c r="S1069" s="37" t="str">
        <f aca="false">IF($A1069="","",INT($A1069))</f>
        <v/>
      </c>
      <c r="T1069" s="35" t="str">
        <f aca="false">IF($A1069="","",IF(COUNTIFS($S$3:$S1069,$S1069)=1,1,0))</f>
        <v/>
      </c>
      <c r="U1069" s="37" t="str">
        <f aca="false">IF($T1069=1,$S1069,"")</f>
        <v/>
      </c>
    </row>
    <row r="1070" customFormat="false" ht="15" hidden="false" customHeight="false" outlineLevel="0" collapsed="false">
      <c r="M1070" s="35" t="str">
        <f aca="false">IF($A1070="","",HOUR($A1070))</f>
        <v/>
      </c>
      <c r="N1070" s="36" t="str">
        <f aca="false">IF($A1070="","",$I1070*$K1070)</f>
        <v/>
      </c>
      <c r="O1070" s="35" t="str">
        <f aca="false">IF(OR($A1070="",$C1070="U",$S1070&lt;&gt;Calc!$F$2),"",SUMIFS($I$3:$I$3002,$E$3:$E$3002,$E1070,$C$3:$C$3002,"&lt;&gt;U",$S$3:$S$3002,Calc!$F$2))</f>
        <v/>
      </c>
      <c r="P1070" s="35" t="str">
        <f aca="false">IF(OR($A1070="",$C1070="U",$S1070&lt;&gt;Calc!$F$2),"",SUMIFS($N$3:$N$3002,$E$3:$E$3002,$E1070,$C$3:$C$3002,"&lt;&gt;U",$S$3:$S$3002,Calc!$F$2))</f>
        <v/>
      </c>
      <c r="Q1070" s="35" t="str">
        <f aca="false">IF(OR($A1070="",$C1070="U",$S1070&lt;&gt;Calc!$F$2),"",IF(COUNTIFS($E$3:$E1070,$E1070,$C$3:$C1070,"&lt;&gt;U",$S$3:$S1070,Calc!$F$2)=1,1,0))</f>
        <v/>
      </c>
      <c r="R1070" s="35" t="str">
        <f aca="false">IF($Q1070=1,$O1070-ROW()/100000,"")</f>
        <v/>
      </c>
      <c r="S1070" s="37" t="str">
        <f aca="false">IF($A1070="","",INT($A1070))</f>
        <v/>
      </c>
      <c r="T1070" s="35" t="str">
        <f aca="false">IF($A1070="","",IF(COUNTIFS($S$3:$S1070,$S1070)=1,1,0))</f>
        <v/>
      </c>
      <c r="U1070" s="37" t="str">
        <f aca="false">IF($T1070=1,$S1070,"")</f>
        <v/>
      </c>
    </row>
    <row r="1071" customFormat="false" ht="15" hidden="false" customHeight="false" outlineLevel="0" collapsed="false">
      <c r="M1071" s="35" t="str">
        <f aca="false">IF($A1071="","",HOUR($A1071))</f>
        <v/>
      </c>
      <c r="N1071" s="36" t="str">
        <f aca="false">IF($A1071="","",$I1071*$K1071)</f>
        <v/>
      </c>
      <c r="O1071" s="35" t="str">
        <f aca="false">IF(OR($A1071="",$C1071="U",$S1071&lt;&gt;Calc!$F$2),"",SUMIFS($I$3:$I$3002,$E$3:$E$3002,$E1071,$C$3:$C$3002,"&lt;&gt;U",$S$3:$S$3002,Calc!$F$2))</f>
        <v/>
      </c>
      <c r="P1071" s="35" t="str">
        <f aca="false">IF(OR($A1071="",$C1071="U",$S1071&lt;&gt;Calc!$F$2),"",SUMIFS($N$3:$N$3002,$E$3:$E$3002,$E1071,$C$3:$C$3002,"&lt;&gt;U",$S$3:$S$3002,Calc!$F$2))</f>
        <v/>
      </c>
      <c r="Q1071" s="35" t="str">
        <f aca="false">IF(OR($A1071="",$C1071="U",$S1071&lt;&gt;Calc!$F$2),"",IF(COUNTIFS($E$3:$E1071,$E1071,$C$3:$C1071,"&lt;&gt;U",$S$3:$S1071,Calc!$F$2)=1,1,0))</f>
        <v/>
      </c>
      <c r="R1071" s="35" t="str">
        <f aca="false">IF($Q1071=1,$O1071-ROW()/100000,"")</f>
        <v/>
      </c>
      <c r="S1071" s="37" t="str">
        <f aca="false">IF($A1071="","",INT($A1071))</f>
        <v/>
      </c>
      <c r="T1071" s="35" t="str">
        <f aca="false">IF($A1071="","",IF(COUNTIFS($S$3:$S1071,$S1071)=1,1,0))</f>
        <v/>
      </c>
      <c r="U1071" s="37" t="str">
        <f aca="false">IF($T1071=1,$S1071,"")</f>
        <v/>
      </c>
    </row>
    <row r="1072" customFormat="false" ht="15" hidden="false" customHeight="false" outlineLevel="0" collapsed="false">
      <c r="M1072" s="35" t="str">
        <f aca="false">IF($A1072="","",HOUR($A1072))</f>
        <v/>
      </c>
      <c r="N1072" s="36" t="str">
        <f aca="false">IF($A1072="","",$I1072*$K1072)</f>
        <v/>
      </c>
      <c r="O1072" s="35" t="str">
        <f aca="false">IF(OR($A1072="",$C1072="U",$S1072&lt;&gt;Calc!$F$2),"",SUMIFS($I$3:$I$3002,$E$3:$E$3002,$E1072,$C$3:$C$3002,"&lt;&gt;U",$S$3:$S$3002,Calc!$F$2))</f>
        <v/>
      </c>
      <c r="P1072" s="35" t="str">
        <f aca="false">IF(OR($A1072="",$C1072="U",$S1072&lt;&gt;Calc!$F$2),"",SUMIFS($N$3:$N$3002,$E$3:$E$3002,$E1072,$C$3:$C$3002,"&lt;&gt;U",$S$3:$S$3002,Calc!$F$2))</f>
        <v/>
      </c>
      <c r="Q1072" s="35" t="str">
        <f aca="false">IF(OR($A1072="",$C1072="U",$S1072&lt;&gt;Calc!$F$2),"",IF(COUNTIFS($E$3:$E1072,$E1072,$C$3:$C1072,"&lt;&gt;U",$S$3:$S1072,Calc!$F$2)=1,1,0))</f>
        <v/>
      </c>
      <c r="R1072" s="35" t="str">
        <f aca="false">IF($Q1072=1,$O1072-ROW()/100000,"")</f>
        <v/>
      </c>
      <c r="S1072" s="37" t="str">
        <f aca="false">IF($A1072="","",INT($A1072))</f>
        <v/>
      </c>
      <c r="T1072" s="35" t="str">
        <f aca="false">IF($A1072="","",IF(COUNTIFS($S$3:$S1072,$S1072)=1,1,0))</f>
        <v/>
      </c>
      <c r="U1072" s="37" t="str">
        <f aca="false">IF($T1072=1,$S1072,"")</f>
        <v/>
      </c>
    </row>
    <row r="1073" customFormat="false" ht="15" hidden="false" customHeight="false" outlineLevel="0" collapsed="false">
      <c r="M1073" s="35" t="str">
        <f aca="false">IF($A1073="","",HOUR($A1073))</f>
        <v/>
      </c>
      <c r="N1073" s="36" t="str">
        <f aca="false">IF($A1073="","",$I1073*$K1073)</f>
        <v/>
      </c>
      <c r="O1073" s="35" t="str">
        <f aca="false">IF(OR($A1073="",$C1073="U",$S1073&lt;&gt;Calc!$F$2),"",SUMIFS($I$3:$I$3002,$E$3:$E$3002,$E1073,$C$3:$C$3002,"&lt;&gt;U",$S$3:$S$3002,Calc!$F$2))</f>
        <v/>
      </c>
      <c r="P1073" s="35" t="str">
        <f aca="false">IF(OR($A1073="",$C1073="U",$S1073&lt;&gt;Calc!$F$2),"",SUMIFS($N$3:$N$3002,$E$3:$E$3002,$E1073,$C$3:$C$3002,"&lt;&gt;U",$S$3:$S$3002,Calc!$F$2))</f>
        <v/>
      </c>
      <c r="Q1073" s="35" t="str">
        <f aca="false">IF(OR($A1073="",$C1073="U",$S1073&lt;&gt;Calc!$F$2),"",IF(COUNTIFS($E$3:$E1073,$E1073,$C$3:$C1073,"&lt;&gt;U",$S$3:$S1073,Calc!$F$2)=1,1,0))</f>
        <v/>
      </c>
      <c r="R1073" s="35" t="str">
        <f aca="false">IF($Q1073=1,$O1073-ROW()/100000,"")</f>
        <v/>
      </c>
      <c r="S1073" s="37" t="str">
        <f aca="false">IF($A1073="","",INT($A1073))</f>
        <v/>
      </c>
      <c r="T1073" s="35" t="str">
        <f aca="false">IF($A1073="","",IF(COUNTIFS($S$3:$S1073,$S1073)=1,1,0))</f>
        <v/>
      </c>
      <c r="U1073" s="37" t="str">
        <f aca="false">IF($T1073=1,$S1073,"")</f>
        <v/>
      </c>
    </row>
    <row r="1074" customFormat="false" ht="15" hidden="false" customHeight="false" outlineLevel="0" collapsed="false">
      <c r="M1074" s="35" t="str">
        <f aca="false">IF($A1074="","",HOUR($A1074))</f>
        <v/>
      </c>
      <c r="N1074" s="36" t="str">
        <f aca="false">IF($A1074="","",$I1074*$K1074)</f>
        <v/>
      </c>
      <c r="O1074" s="35" t="str">
        <f aca="false">IF(OR($A1074="",$C1074="U",$S1074&lt;&gt;Calc!$F$2),"",SUMIFS($I$3:$I$3002,$E$3:$E$3002,$E1074,$C$3:$C$3002,"&lt;&gt;U",$S$3:$S$3002,Calc!$F$2))</f>
        <v/>
      </c>
      <c r="P1074" s="35" t="str">
        <f aca="false">IF(OR($A1074="",$C1074="U",$S1074&lt;&gt;Calc!$F$2),"",SUMIFS($N$3:$N$3002,$E$3:$E$3002,$E1074,$C$3:$C$3002,"&lt;&gt;U",$S$3:$S$3002,Calc!$F$2))</f>
        <v/>
      </c>
      <c r="Q1074" s="35" t="str">
        <f aca="false">IF(OR($A1074="",$C1074="U",$S1074&lt;&gt;Calc!$F$2),"",IF(COUNTIFS($E$3:$E1074,$E1074,$C$3:$C1074,"&lt;&gt;U",$S$3:$S1074,Calc!$F$2)=1,1,0))</f>
        <v/>
      </c>
      <c r="R1074" s="35" t="str">
        <f aca="false">IF($Q1074=1,$O1074-ROW()/100000,"")</f>
        <v/>
      </c>
      <c r="S1074" s="37" t="str">
        <f aca="false">IF($A1074="","",INT($A1074))</f>
        <v/>
      </c>
      <c r="T1074" s="35" t="str">
        <f aca="false">IF($A1074="","",IF(COUNTIFS($S$3:$S1074,$S1074)=1,1,0))</f>
        <v/>
      </c>
      <c r="U1074" s="37" t="str">
        <f aca="false">IF($T1074=1,$S1074,"")</f>
        <v/>
      </c>
    </row>
    <row r="1075" customFormat="false" ht="15" hidden="false" customHeight="false" outlineLevel="0" collapsed="false">
      <c r="M1075" s="35" t="str">
        <f aca="false">IF($A1075="","",HOUR($A1075))</f>
        <v/>
      </c>
      <c r="N1075" s="36" t="str">
        <f aca="false">IF($A1075="","",$I1075*$K1075)</f>
        <v/>
      </c>
      <c r="O1075" s="35" t="str">
        <f aca="false">IF(OR($A1075="",$C1075="U",$S1075&lt;&gt;Calc!$F$2),"",SUMIFS($I$3:$I$3002,$E$3:$E$3002,$E1075,$C$3:$C$3002,"&lt;&gt;U",$S$3:$S$3002,Calc!$F$2))</f>
        <v/>
      </c>
      <c r="P1075" s="35" t="str">
        <f aca="false">IF(OR($A1075="",$C1075="U",$S1075&lt;&gt;Calc!$F$2),"",SUMIFS($N$3:$N$3002,$E$3:$E$3002,$E1075,$C$3:$C$3002,"&lt;&gt;U",$S$3:$S$3002,Calc!$F$2))</f>
        <v/>
      </c>
      <c r="Q1075" s="35" t="str">
        <f aca="false">IF(OR($A1075="",$C1075="U",$S1075&lt;&gt;Calc!$F$2),"",IF(COUNTIFS($E$3:$E1075,$E1075,$C$3:$C1075,"&lt;&gt;U",$S$3:$S1075,Calc!$F$2)=1,1,0))</f>
        <v/>
      </c>
      <c r="R1075" s="35" t="str">
        <f aca="false">IF($Q1075=1,$O1075-ROW()/100000,"")</f>
        <v/>
      </c>
      <c r="S1075" s="37" t="str">
        <f aca="false">IF($A1075="","",INT($A1075))</f>
        <v/>
      </c>
      <c r="T1075" s="35" t="str">
        <f aca="false">IF($A1075="","",IF(COUNTIFS($S$3:$S1075,$S1075)=1,1,0))</f>
        <v/>
      </c>
      <c r="U1075" s="37" t="str">
        <f aca="false">IF($T1075=1,$S1075,"")</f>
        <v/>
      </c>
    </row>
    <row r="1076" customFormat="false" ht="15" hidden="false" customHeight="false" outlineLevel="0" collapsed="false">
      <c r="M1076" s="35" t="str">
        <f aca="false">IF($A1076="","",HOUR($A1076))</f>
        <v/>
      </c>
      <c r="N1076" s="36" t="str">
        <f aca="false">IF($A1076="","",$I1076*$K1076)</f>
        <v/>
      </c>
      <c r="O1076" s="35" t="str">
        <f aca="false">IF(OR($A1076="",$C1076="U",$S1076&lt;&gt;Calc!$F$2),"",SUMIFS($I$3:$I$3002,$E$3:$E$3002,$E1076,$C$3:$C$3002,"&lt;&gt;U",$S$3:$S$3002,Calc!$F$2))</f>
        <v/>
      </c>
      <c r="P1076" s="35" t="str">
        <f aca="false">IF(OR($A1076="",$C1076="U",$S1076&lt;&gt;Calc!$F$2),"",SUMIFS($N$3:$N$3002,$E$3:$E$3002,$E1076,$C$3:$C$3002,"&lt;&gt;U",$S$3:$S$3002,Calc!$F$2))</f>
        <v/>
      </c>
      <c r="Q1076" s="35" t="str">
        <f aca="false">IF(OR($A1076="",$C1076="U",$S1076&lt;&gt;Calc!$F$2),"",IF(COUNTIFS($E$3:$E1076,$E1076,$C$3:$C1076,"&lt;&gt;U",$S$3:$S1076,Calc!$F$2)=1,1,0))</f>
        <v/>
      </c>
      <c r="R1076" s="35" t="str">
        <f aca="false">IF($Q1076=1,$O1076-ROW()/100000,"")</f>
        <v/>
      </c>
      <c r="S1076" s="37" t="str">
        <f aca="false">IF($A1076="","",INT($A1076))</f>
        <v/>
      </c>
      <c r="T1076" s="35" t="str">
        <f aca="false">IF($A1076="","",IF(COUNTIFS($S$3:$S1076,$S1076)=1,1,0))</f>
        <v/>
      </c>
      <c r="U1076" s="37" t="str">
        <f aca="false">IF($T1076=1,$S1076,"")</f>
        <v/>
      </c>
    </row>
    <row r="1077" customFormat="false" ht="15" hidden="false" customHeight="false" outlineLevel="0" collapsed="false">
      <c r="M1077" s="35" t="str">
        <f aca="false">IF($A1077="","",HOUR($A1077))</f>
        <v/>
      </c>
      <c r="N1077" s="36" t="str">
        <f aca="false">IF($A1077="","",$I1077*$K1077)</f>
        <v/>
      </c>
      <c r="O1077" s="35" t="str">
        <f aca="false">IF(OR($A1077="",$C1077="U",$S1077&lt;&gt;Calc!$F$2),"",SUMIFS($I$3:$I$3002,$E$3:$E$3002,$E1077,$C$3:$C$3002,"&lt;&gt;U",$S$3:$S$3002,Calc!$F$2))</f>
        <v/>
      </c>
      <c r="P1077" s="35" t="str">
        <f aca="false">IF(OR($A1077="",$C1077="U",$S1077&lt;&gt;Calc!$F$2),"",SUMIFS($N$3:$N$3002,$E$3:$E$3002,$E1077,$C$3:$C$3002,"&lt;&gt;U",$S$3:$S$3002,Calc!$F$2))</f>
        <v/>
      </c>
      <c r="Q1077" s="35" t="str">
        <f aca="false">IF(OR($A1077="",$C1077="U",$S1077&lt;&gt;Calc!$F$2),"",IF(COUNTIFS($E$3:$E1077,$E1077,$C$3:$C1077,"&lt;&gt;U",$S$3:$S1077,Calc!$F$2)=1,1,0))</f>
        <v/>
      </c>
      <c r="R1077" s="35" t="str">
        <f aca="false">IF($Q1077=1,$O1077-ROW()/100000,"")</f>
        <v/>
      </c>
      <c r="S1077" s="37" t="str">
        <f aca="false">IF($A1077="","",INT($A1077))</f>
        <v/>
      </c>
      <c r="T1077" s="35" t="str">
        <f aca="false">IF($A1077="","",IF(COUNTIFS($S$3:$S1077,$S1077)=1,1,0))</f>
        <v/>
      </c>
      <c r="U1077" s="37" t="str">
        <f aca="false">IF($T1077=1,$S1077,"")</f>
        <v/>
      </c>
    </row>
    <row r="1078" customFormat="false" ht="15" hidden="false" customHeight="false" outlineLevel="0" collapsed="false">
      <c r="M1078" s="35" t="str">
        <f aca="false">IF($A1078="","",HOUR($A1078))</f>
        <v/>
      </c>
      <c r="N1078" s="36" t="str">
        <f aca="false">IF($A1078="","",$I1078*$K1078)</f>
        <v/>
      </c>
      <c r="O1078" s="35" t="str">
        <f aca="false">IF(OR($A1078="",$C1078="U",$S1078&lt;&gt;Calc!$F$2),"",SUMIFS($I$3:$I$3002,$E$3:$E$3002,$E1078,$C$3:$C$3002,"&lt;&gt;U",$S$3:$S$3002,Calc!$F$2))</f>
        <v/>
      </c>
      <c r="P1078" s="35" t="str">
        <f aca="false">IF(OR($A1078="",$C1078="U",$S1078&lt;&gt;Calc!$F$2),"",SUMIFS($N$3:$N$3002,$E$3:$E$3002,$E1078,$C$3:$C$3002,"&lt;&gt;U",$S$3:$S$3002,Calc!$F$2))</f>
        <v/>
      </c>
      <c r="Q1078" s="35" t="str">
        <f aca="false">IF(OR($A1078="",$C1078="U",$S1078&lt;&gt;Calc!$F$2),"",IF(COUNTIFS($E$3:$E1078,$E1078,$C$3:$C1078,"&lt;&gt;U",$S$3:$S1078,Calc!$F$2)=1,1,0))</f>
        <v/>
      </c>
      <c r="R1078" s="35" t="str">
        <f aca="false">IF($Q1078=1,$O1078-ROW()/100000,"")</f>
        <v/>
      </c>
      <c r="S1078" s="37" t="str">
        <f aca="false">IF($A1078="","",INT($A1078))</f>
        <v/>
      </c>
      <c r="T1078" s="35" t="str">
        <f aca="false">IF($A1078="","",IF(COUNTIFS($S$3:$S1078,$S1078)=1,1,0))</f>
        <v/>
      </c>
      <c r="U1078" s="37" t="str">
        <f aca="false">IF($T1078=1,$S1078,"")</f>
        <v/>
      </c>
    </row>
    <row r="1079" customFormat="false" ht="15" hidden="false" customHeight="false" outlineLevel="0" collapsed="false">
      <c r="M1079" s="35" t="str">
        <f aca="false">IF($A1079="","",HOUR($A1079))</f>
        <v/>
      </c>
      <c r="N1079" s="36" t="str">
        <f aca="false">IF($A1079="","",$I1079*$K1079)</f>
        <v/>
      </c>
      <c r="O1079" s="35" t="str">
        <f aca="false">IF(OR($A1079="",$C1079="U",$S1079&lt;&gt;Calc!$F$2),"",SUMIFS($I$3:$I$3002,$E$3:$E$3002,$E1079,$C$3:$C$3002,"&lt;&gt;U",$S$3:$S$3002,Calc!$F$2))</f>
        <v/>
      </c>
      <c r="P1079" s="35" t="str">
        <f aca="false">IF(OR($A1079="",$C1079="U",$S1079&lt;&gt;Calc!$F$2),"",SUMIFS($N$3:$N$3002,$E$3:$E$3002,$E1079,$C$3:$C$3002,"&lt;&gt;U",$S$3:$S$3002,Calc!$F$2))</f>
        <v/>
      </c>
      <c r="Q1079" s="35" t="str">
        <f aca="false">IF(OR($A1079="",$C1079="U",$S1079&lt;&gt;Calc!$F$2),"",IF(COUNTIFS($E$3:$E1079,$E1079,$C$3:$C1079,"&lt;&gt;U",$S$3:$S1079,Calc!$F$2)=1,1,0))</f>
        <v/>
      </c>
      <c r="R1079" s="35" t="str">
        <f aca="false">IF($Q1079=1,$O1079-ROW()/100000,"")</f>
        <v/>
      </c>
      <c r="S1079" s="37" t="str">
        <f aca="false">IF($A1079="","",INT($A1079))</f>
        <v/>
      </c>
      <c r="T1079" s="35" t="str">
        <f aca="false">IF($A1079="","",IF(COUNTIFS($S$3:$S1079,$S1079)=1,1,0))</f>
        <v/>
      </c>
      <c r="U1079" s="37" t="str">
        <f aca="false">IF($T1079=1,$S1079,"")</f>
        <v/>
      </c>
    </row>
    <row r="1080" customFormat="false" ht="15" hidden="false" customHeight="false" outlineLevel="0" collapsed="false">
      <c r="M1080" s="35" t="str">
        <f aca="false">IF($A1080="","",HOUR($A1080))</f>
        <v/>
      </c>
      <c r="N1080" s="36" t="str">
        <f aca="false">IF($A1080="","",$I1080*$K1080)</f>
        <v/>
      </c>
      <c r="O1080" s="35" t="str">
        <f aca="false">IF(OR($A1080="",$C1080="U",$S1080&lt;&gt;Calc!$F$2),"",SUMIFS($I$3:$I$3002,$E$3:$E$3002,$E1080,$C$3:$C$3002,"&lt;&gt;U",$S$3:$S$3002,Calc!$F$2))</f>
        <v/>
      </c>
      <c r="P1080" s="35" t="str">
        <f aca="false">IF(OR($A1080="",$C1080="U",$S1080&lt;&gt;Calc!$F$2),"",SUMIFS($N$3:$N$3002,$E$3:$E$3002,$E1080,$C$3:$C$3002,"&lt;&gt;U",$S$3:$S$3002,Calc!$F$2))</f>
        <v/>
      </c>
      <c r="Q1080" s="35" t="str">
        <f aca="false">IF(OR($A1080="",$C1080="U",$S1080&lt;&gt;Calc!$F$2),"",IF(COUNTIFS($E$3:$E1080,$E1080,$C$3:$C1080,"&lt;&gt;U",$S$3:$S1080,Calc!$F$2)=1,1,0))</f>
        <v/>
      </c>
      <c r="R1080" s="35" t="str">
        <f aca="false">IF($Q1080=1,$O1080-ROW()/100000,"")</f>
        <v/>
      </c>
      <c r="S1080" s="37" t="str">
        <f aca="false">IF($A1080="","",INT($A1080))</f>
        <v/>
      </c>
      <c r="T1080" s="35" t="str">
        <f aca="false">IF($A1080="","",IF(COUNTIFS($S$3:$S1080,$S1080)=1,1,0))</f>
        <v/>
      </c>
      <c r="U1080" s="37" t="str">
        <f aca="false">IF($T1080=1,$S1080,"")</f>
        <v/>
      </c>
    </row>
    <row r="1081" customFormat="false" ht="15" hidden="false" customHeight="false" outlineLevel="0" collapsed="false">
      <c r="M1081" s="35" t="str">
        <f aca="false">IF($A1081="","",HOUR($A1081))</f>
        <v/>
      </c>
      <c r="N1081" s="36" t="str">
        <f aca="false">IF($A1081="","",$I1081*$K1081)</f>
        <v/>
      </c>
      <c r="O1081" s="35" t="str">
        <f aca="false">IF(OR($A1081="",$C1081="U",$S1081&lt;&gt;Calc!$F$2),"",SUMIFS($I$3:$I$3002,$E$3:$E$3002,$E1081,$C$3:$C$3002,"&lt;&gt;U",$S$3:$S$3002,Calc!$F$2))</f>
        <v/>
      </c>
      <c r="P1081" s="35" t="str">
        <f aca="false">IF(OR($A1081="",$C1081="U",$S1081&lt;&gt;Calc!$F$2),"",SUMIFS($N$3:$N$3002,$E$3:$E$3002,$E1081,$C$3:$C$3002,"&lt;&gt;U",$S$3:$S$3002,Calc!$F$2))</f>
        <v/>
      </c>
      <c r="Q1081" s="35" t="str">
        <f aca="false">IF(OR($A1081="",$C1081="U",$S1081&lt;&gt;Calc!$F$2),"",IF(COUNTIFS($E$3:$E1081,$E1081,$C$3:$C1081,"&lt;&gt;U",$S$3:$S1081,Calc!$F$2)=1,1,0))</f>
        <v/>
      </c>
      <c r="R1081" s="35" t="str">
        <f aca="false">IF($Q1081=1,$O1081-ROW()/100000,"")</f>
        <v/>
      </c>
      <c r="S1081" s="37" t="str">
        <f aca="false">IF($A1081="","",INT($A1081))</f>
        <v/>
      </c>
      <c r="T1081" s="35" t="str">
        <f aca="false">IF($A1081="","",IF(COUNTIFS($S$3:$S1081,$S1081)=1,1,0))</f>
        <v/>
      </c>
      <c r="U1081" s="37" t="str">
        <f aca="false">IF($T1081=1,$S1081,"")</f>
        <v/>
      </c>
    </row>
    <row r="1082" customFormat="false" ht="15" hidden="false" customHeight="false" outlineLevel="0" collapsed="false">
      <c r="M1082" s="35" t="str">
        <f aca="false">IF($A1082="","",HOUR($A1082))</f>
        <v/>
      </c>
      <c r="N1082" s="36" t="str">
        <f aca="false">IF($A1082="","",$I1082*$K1082)</f>
        <v/>
      </c>
      <c r="O1082" s="35" t="str">
        <f aca="false">IF(OR($A1082="",$C1082="U",$S1082&lt;&gt;Calc!$F$2),"",SUMIFS($I$3:$I$3002,$E$3:$E$3002,$E1082,$C$3:$C$3002,"&lt;&gt;U",$S$3:$S$3002,Calc!$F$2))</f>
        <v/>
      </c>
      <c r="P1082" s="35" t="str">
        <f aca="false">IF(OR($A1082="",$C1082="U",$S1082&lt;&gt;Calc!$F$2),"",SUMIFS($N$3:$N$3002,$E$3:$E$3002,$E1082,$C$3:$C$3002,"&lt;&gt;U",$S$3:$S$3002,Calc!$F$2))</f>
        <v/>
      </c>
      <c r="Q1082" s="35" t="str">
        <f aca="false">IF(OR($A1082="",$C1082="U",$S1082&lt;&gt;Calc!$F$2),"",IF(COUNTIFS($E$3:$E1082,$E1082,$C$3:$C1082,"&lt;&gt;U",$S$3:$S1082,Calc!$F$2)=1,1,0))</f>
        <v/>
      </c>
      <c r="R1082" s="35" t="str">
        <f aca="false">IF($Q1082=1,$O1082-ROW()/100000,"")</f>
        <v/>
      </c>
      <c r="S1082" s="37" t="str">
        <f aca="false">IF($A1082="","",INT($A1082))</f>
        <v/>
      </c>
      <c r="T1082" s="35" t="str">
        <f aca="false">IF($A1082="","",IF(COUNTIFS($S$3:$S1082,$S1082)=1,1,0))</f>
        <v/>
      </c>
      <c r="U1082" s="37" t="str">
        <f aca="false">IF($T1082=1,$S1082,"")</f>
        <v/>
      </c>
    </row>
    <row r="1083" customFormat="false" ht="15" hidden="false" customHeight="false" outlineLevel="0" collapsed="false">
      <c r="M1083" s="35" t="str">
        <f aca="false">IF($A1083="","",HOUR($A1083))</f>
        <v/>
      </c>
      <c r="N1083" s="36" t="str">
        <f aca="false">IF($A1083="","",$I1083*$K1083)</f>
        <v/>
      </c>
      <c r="O1083" s="35" t="str">
        <f aca="false">IF(OR($A1083="",$C1083="U",$S1083&lt;&gt;Calc!$F$2),"",SUMIFS($I$3:$I$3002,$E$3:$E$3002,$E1083,$C$3:$C$3002,"&lt;&gt;U",$S$3:$S$3002,Calc!$F$2))</f>
        <v/>
      </c>
      <c r="P1083" s="35" t="str">
        <f aca="false">IF(OR($A1083="",$C1083="U",$S1083&lt;&gt;Calc!$F$2),"",SUMIFS($N$3:$N$3002,$E$3:$E$3002,$E1083,$C$3:$C$3002,"&lt;&gt;U",$S$3:$S$3002,Calc!$F$2))</f>
        <v/>
      </c>
      <c r="Q1083" s="35" t="str">
        <f aca="false">IF(OR($A1083="",$C1083="U",$S1083&lt;&gt;Calc!$F$2),"",IF(COUNTIFS($E$3:$E1083,$E1083,$C$3:$C1083,"&lt;&gt;U",$S$3:$S1083,Calc!$F$2)=1,1,0))</f>
        <v/>
      </c>
      <c r="R1083" s="35" t="str">
        <f aca="false">IF($Q1083=1,$O1083-ROW()/100000,"")</f>
        <v/>
      </c>
      <c r="S1083" s="37" t="str">
        <f aca="false">IF($A1083="","",INT($A1083))</f>
        <v/>
      </c>
      <c r="T1083" s="35" t="str">
        <f aca="false">IF($A1083="","",IF(COUNTIFS($S$3:$S1083,$S1083)=1,1,0))</f>
        <v/>
      </c>
      <c r="U1083" s="37" t="str">
        <f aca="false">IF($T1083=1,$S1083,"")</f>
        <v/>
      </c>
    </row>
    <row r="1084" customFormat="false" ht="15" hidden="false" customHeight="false" outlineLevel="0" collapsed="false">
      <c r="M1084" s="35" t="str">
        <f aca="false">IF($A1084="","",HOUR($A1084))</f>
        <v/>
      </c>
      <c r="N1084" s="36" t="str">
        <f aca="false">IF($A1084="","",$I1084*$K1084)</f>
        <v/>
      </c>
      <c r="O1084" s="35" t="str">
        <f aca="false">IF(OR($A1084="",$C1084="U",$S1084&lt;&gt;Calc!$F$2),"",SUMIFS($I$3:$I$3002,$E$3:$E$3002,$E1084,$C$3:$C$3002,"&lt;&gt;U",$S$3:$S$3002,Calc!$F$2))</f>
        <v/>
      </c>
      <c r="P1084" s="35" t="str">
        <f aca="false">IF(OR($A1084="",$C1084="U",$S1084&lt;&gt;Calc!$F$2),"",SUMIFS($N$3:$N$3002,$E$3:$E$3002,$E1084,$C$3:$C$3002,"&lt;&gt;U",$S$3:$S$3002,Calc!$F$2))</f>
        <v/>
      </c>
      <c r="Q1084" s="35" t="str">
        <f aca="false">IF(OR($A1084="",$C1084="U",$S1084&lt;&gt;Calc!$F$2),"",IF(COUNTIFS($E$3:$E1084,$E1084,$C$3:$C1084,"&lt;&gt;U",$S$3:$S1084,Calc!$F$2)=1,1,0))</f>
        <v/>
      </c>
      <c r="R1084" s="35" t="str">
        <f aca="false">IF($Q1084=1,$O1084-ROW()/100000,"")</f>
        <v/>
      </c>
      <c r="S1084" s="37" t="str">
        <f aca="false">IF($A1084="","",INT($A1084))</f>
        <v/>
      </c>
      <c r="T1084" s="35" t="str">
        <f aca="false">IF($A1084="","",IF(COUNTIFS($S$3:$S1084,$S1084)=1,1,0))</f>
        <v/>
      </c>
      <c r="U1084" s="37" t="str">
        <f aca="false">IF($T1084=1,$S1084,"")</f>
        <v/>
      </c>
    </row>
    <row r="1085" customFormat="false" ht="15" hidden="false" customHeight="false" outlineLevel="0" collapsed="false">
      <c r="M1085" s="35" t="str">
        <f aca="false">IF($A1085="","",HOUR($A1085))</f>
        <v/>
      </c>
      <c r="N1085" s="36" t="str">
        <f aca="false">IF($A1085="","",$I1085*$K1085)</f>
        <v/>
      </c>
      <c r="O1085" s="35" t="str">
        <f aca="false">IF(OR($A1085="",$C1085="U",$S1085&lt;&gt;Calc!$F$2),"",SUMIFS($I$3:$I$3002,$E$3:$E$3002,$E1085,$C$3:$C$3002,"&lt;&gt;U",$S$3:$S$3002,Calc!$F$2))</f>
        <v/>
      </c>
      <c r="P1085" s="35" t="str">
        <f aca="false">IF(OR($A1085="",$C1085="U",$S1085&lt;&gt;Calc!$F$2),"",SUMIFS($N$3:$N$3002,$E$3:$E$3002,$E1085,$C$3:$C$3002,"&lt;&gt;U",$S$3:$S$3002,Calc!$F$2))</f>
        <v/>
      </c>
      <c r="Q1085" s="35" t="str">
        <f aca="false">IF(OR($A1085="",$C1085="U",$S1085&lt;&gt;Calc!$F$2),"",IF(COUNTIFS($E$3:$E1085,$E1085,$C$3:$C1085,"&lt;&gt;U",$S$3:$S1085,Calc!$F$2)=1,1,0))</f>
        <v/>
      </c>
      <c r="R1085" s="35" t="str">
        <f aca="false">IF($Q1085=1,$O1085-ROW()/100000,"")</f>
        <v/>
      </c>
      <c r="S1085" s="37" t="str">
        <f aca="false">IF($A1085="","",INT($A1085))</f>
        <v/>
      </c>
      <c r="T1085" s="35" t="str">
        <f aca="false">IF($A1085="","",IF(COUNTIFS($S$3:$S1085,$S1085)=1,1,0))</f>
        <v/>
      </c>
      <c r="U1085" s="37" t="str">
        <f aca="false">IF($T1085=1,$S1085,"")</f>
        <v/>
      </c>
    </row>
    <row r="1086" customFormat="false" ht="15" hidden="false" customHeight="false" outlineLevel="0" collapsed="false">
      <c r="M1086" s="35" t="str">
        <f aca="false">IF($A1086="","",HOUR($A1086))</f>
        <v/>
      </c>
      <c r="N1086" s="36" t="str">
        <f aca="false">IF($A1086="","",$I1086*$K1086)</f>
        <v/>
      </c>
      <c r="O1086" s="35" t="str">
        <f aca="false">IF(OR($A1086="",$C1086="U",$S1086&lt;&gt;Calc!$F$2),"",SUMIFS($I$3:$I$3002,$E$3:$E$3002,$E1086,$C$3:$C$3002,"&lt;&gt;U",$S$3:$S$3002,Calc!$F$2))</f>
        <v/>
      </c>
      <c r="P1086" s="35" t="str">
        <f aca="false">IF(OR($A1086="",$C1086="U",$S1086&lt;&gt;Calc!$F$2),"",SUMIFS($N$3:$N$3002,$E$3:$E$3002,$E1086,$C$3:$C$3002,"&lt;&gt;U",$S$3:$S$3002,Calc!$F$2))</f>
        <v/>
      </c>
      <c r="Q1086" s="35" t="str">
        <f aca="false">IF(OR($A1086="",$C1086="U",$S1086&lt;&gt;Calc!$F$2),"",IF(COUNTIFS($E$3:$E1086,$E1086,$C$3:$C1086,"&lt;&gt;U",$S$3:$S1086,Calc!$F$2)=1,1,0))</f>
        <v/>
      </c>
      <c r="R1086" s="35" t="str">
        <f aca="false">IF($Q1086=1,$O1086-ROW()/100000,"")</f>
        <v/>
      </c>
      <c r="S1086" s="37" t="str">
        <f aca="false">IF($A1086="","",INT($A1086))</f>
        <v/>
      </c>
      <c r="T1086" s="35" t="str">
        <f aca="false">IF($A1086="","",IF(COUNTIFS($S$3:$S1086,$S1086)=1,1,0))</f>
        <v/>
      </c>
      <c r="U1086" s="37" t="str">
        <f aca="false">IF($T1086=1,$S1086,"")</f>
        <v/>
      </c>
    </row>
    <row r="1087" customFormat="false" ht="15" hidden="false" customHeight="false" outlineLevel="0" collapsed="false">
      <c r="M1087" s="35" t="str">
        <f aca="false">IF($A1087="","",HOUR($A1087))</f>
        <v/>
      </c>
      <c r="N1087" s="36" t="str">
        <f aca="false">IF($A1087="","",$I1087*$K1087)</f>
        <v/>
      </c>
      <c r="O1087" s="35" t="str">
        <f aca="false">IF(OR($A1087="",$C1087="U",$S1087&lt;&gt;Calc!$F$2),"",SUMIFS($I$3:$I$3002,$E$3:$E$3002,$E1087,$C$3:$C$3002,"&lt;&gt;U",$S$3:$S$3002,Calc!$F$2))</f>
        <v/>
      </c>
      <c r="P1087" s="35" t="str">
        <f aca="false">IF(OR($A1087="",$C1087="U",$S1087&lt;&gt;Calc!$F$2),"",SUMIFS($N$3:$N$3002,$E$3:$E$3002,$E1087,$C$3:$C$3002,"&lt;&gt;U",$S$3:$S$3002,Calc!$F$2))</f>
        <v/>
      </c>
      <c r="Q1087" s="35" t="str">
        <f aca="false">IF(OR($A1087="",$C1087="U",$S1087&lt;&gt;Calc!$F$2),"",IF(COUNTIFS($E$3:$E1087,$E1087,$C$3:$C1087,"&lt;&gt;U",$S$3:$S1087,Calc!$F$2)=1,1,0))</f>
        <v/>
      </c>
      <c r="R1087" s="35" t="str">
        <f aca="false">IF($Q1087=1,$O1087-ROW()/100000,"")</f>
        <v/>
      </c>
      <c r="S1087" s="37" t="str">
        <f aca="false">IF($A1087="","",INT($A1087))</f>
        <v/>
      </c>
      <c r="T1087" s="35" t="str">
        <f aca="false">IF($A1087="","",IF(COUNTIFS($S$3:$S1087,$S1087)=1,1,0))</f>
        <v/>
      </c>
      <c r="U1087" s="37" t="str">
        <f aca="false">IF($T1087=1,$S1087,"")</f>
        <v/>
      </c>
    </row>
    <row r="1088" customFormat="false" ht="15" hidden="false" customHeight="false" outlineLevel="0" collapsed="false">
      <c r="M1088" s="35" t="str">
        <f aca="false">IF($A1088="","",HOUR($A1088))</f>
        <v/>
      </c>
      <c r="N1088" s="36" t="str">
        <f aca="false">IF($A1088="","",$I1088*$K1088)</f>
        <v/>
      </c>
      <c r="O1088" s="35" t="str">
        <f aca="false">IF(OR($A1088="",$C1088="U",$S1088&lt;&gt;Calc!$F$2),"",SUMIFS($I$3:$I$3002,$E$3:$E$3002,$E1088,$C$3:$C$3002,"&lt;&gt;U",$S$3:$S$3002,Calc!$F$2))</f>
        <v/>
      </c>
      <c r="P1088" s="35" t="str">
        <f aca="false">IF(OR($A1088="",$C1088="U",$S1088&lt;&gt;Calc!$F$2),"",SUMIFS($N$3:$N$3002,$E$3:$E$3002,$E1088,$C$3:$C$3002,"&lt;&gt;U",$S$3:$S$3002,Calc!$F$2))</f>
        <v/>
      </c>
      <c r="Q1088" s="35" t="str">
        <f aca="false">IF(OR($A1088="",$C1088="U",$S1088&lt;&gt;Calc!$F$2),"",IF(COUNTIFS($E$3:$E1088,$E1088,$C$3:$C1088,"&lt;&gt;U",$S$3:$S1088,Calc!$F$2)=1,1,0))</f>
        <v/>
      </c>
      <c r="R1088" s="35" t="str">
        <f aca="false">IF($Q1088=1,$O1088-ROW()/100000,"")</f>
        <v/>
      </c>
      <c r="S1088" s="37" t="str">
        <f aca="false">IF($A1088="","",INT($A1088))</f>
        <v/>
      </c>
      <c r="T1088" s="35" t="str">
        <f aca="false">IF($A1088="","",IF(COUNTIFS($S$3:$S1088,$S1088)=1,1,0))</f>
        <v/>
      </c>
      <c r="U1088" s="37" t="str">
        <f aca="false">IF($T1088=1,$S1088,"")</f>
        <v/>
      </c>
    </row>
    <row r="1089" customFormat="false" ht="15" hidden="false" customHeight="false" outlineLevel="0" collapsed="false">
      <c r="M1089" s="35" t="str">
        <f aca="false">IF($A1089="","",HOUR($A1089))</f>
        <v/>
      </c>
      <c r="N1089" s="36" t="str">
        <f aca="false">IF($A1089="","",$I1089*$K1089)</f>
        <v/>
      </c>
      <c r="O1089" s="35" t="str">
        <f aca="false">IF(OR($A1089="",$C1089="U",$S1089&lt;&gt;Calc!$F$2),"",SUMIFS($I$3:$I$3002,$E$3:$E$3002,$E1089,$C$3:$C$3002,"&lt;&gt;U",$S$3:$S$3002,Calc!$F$2))</f>
        <v/>
      </c>
      <c r="P1089" s="35" t="str">
        <f aca="false">IF(OR($A1089="",$C1089="U",$S1089&lt;&gt;Calc!$F$2),"",SUMIFS($N$3:$N$3002,$E$3:$E$3002,$E1089,$C$3:$C$3002,"&lt;&gt;U",$S$3:$S$3002,Calc!$F$2))</f>
        <v/>
      </c>
      <c r="Q1089" s="35" t="str">
        <f aca="false">IF(OR($A1089="",$C1089="U",$S1089&lt;&gt;Calc!$F$2),"",IF(COUNTIFS($E$3:$E1089,$E1089,$C$3:$C1089,"&lt;&gt;U",$S$3:$S1089,Calc!$F$2)=1,1,0))</f>
        <v/>
      </c>
      <c r="R1089" s="35" t="str">
        <f aca="false">IF($Q1089=1,$O1089-ROW()/100000,"")</f>
        <v/>
      </c>
      <c r="S1089" s="37" t="str">
        <f aca="false">IF($A1089="","",INT($A1089))</f>
        <v/>
      </c>
      <c r="T1089" s="35" t="str">
        <f aca="false">IF($A1089="","",IF(COUNTIFS($S$3:$S1089,$S1089)=1,1,0))</f>
        <v/>
      </c>
      <c r="U1089" s="37" t="str">
        <f aca="false">IF($T1089=1,$S1089,"")</f>
        <v/>
      </c>
    </row>
    <row r="1090" customFormat="false" ht="15" hidden="false" customHeight="false" outlineLevel="0" collapsed="false">
      <c r="M1090" s="35" t="str">
        <f aca="false">IF($A1090="","",HOUR($A1090))</f>
        <v/>
      </c>
      <c r="N1090" s="36" t="str">
        <f aca="false">IF($A1090="","",$I1090*$K1090)</f>
        <v/>
      </c>
      <c r="O1090" s="35" t="str">
        <f aca="false">IF(OR($A1090="",$C1090="U",$S1090&lt;&gt;Calc!$F$2),"",SUMIFS($I$3:$I$3002,$E$3:$E$3002,$E1090,$C$3:$C$3002,"&lt;&gt;U",$S$3:$S$3002,Calc!$F$2))</f>
        <v/>
      </c>
      <c r="P1090" s="35" t="str">
        <f aca="false">IF(OR($A1090="",$C1090="U",$S1090&lt;&gt;Calc!$F$2),"",SUMIFS($N$3:$N$3002,$E$3:$E$3002,$E1090,$C$3:$C$3002,"&lt;&gt;U",$S$3:$S$3002,Calc!$F$2))</f>
        <v/>
      </c>
      <c r="Q1090" s="35" t="str">
        <f aca="false">IF(OR($A1090="",$C1090="U",$S1090&lt;&gt;Calc!$F$2),"",IF(COUNTIFS($E$3:$E1090,$E1090,$C$3:$C1090,"&lt;&gt;U",$S$3:$S1090,Calc!$F$2)=1,1,0))</f>
        <v/>
      </c>
      <c r="R1090" s="35" t="str">
        <f aca="false">IF($Q1090=1,$O1090-ROW()/100000,"")</f>
        <v/>
      </c>
      <c r="S1090" s="37" t="str">
        <f aca="false">IF($A1090="","",INT($A1090))</f>
        <v/>
      </c>
      <c r="T1090" s="35" t="str">
        <f aca="false">IF($A1090="","",IF(COUNTIFS($S$3:$S1090,$S1090)=1,1,0))</f>
        <v/>
      </c>
      <c r="U1090" s="37" t="str">
        <f aca="false">IF($T1090=1,$S1090,"")</f>
        <v/>
      </c>
    </row>
    <row r="1091" customFormat="false" ht="15" hidden="false" customHeight="false" outlineLevel="0" collapsed="false">
      <c r="M1091" s="35" t="str">
        <f aca="false">IF($A1091="","",HOUR($A1091))</f>
        <v/>
      </c>
      <c r="N1091" s="36" t="str">
        <f aca="false">IF($A1091="","",$I1091*$K1091)</f>
        <v/>
      </c>
      <c r="O1091" s="35" t="str">
        <f aca="false">IF(OR($A1091="",$C1091="U",$S1091&lt;&gt;Calc!$F$2),"",SUMIFS($I$3:$I$3002,$E$3:$E$3002,$E1091,$C$3:$C$3002,"&lt;&gt;U",$S$3:$S$3002,Calc!$F$2))</f>
        <v/>
      </c>
      <c r="P1091" s="35" t="str">
        <f aca="false">IF(OR($A1091="",$C1091="U",$S1091&lt;&gt;Calc!$F$2),"",SUMIFS($N$3:$N$3002,$E$3:$E$3002,$E1091,$C$3:$C$3002,"&lt;&gt;U",$S$3:$S$3002,Calc!$F$2))</f>
        <v/>
      </c>
      <c r="Q1091" s="35" t="str">
        <f aca="false">IF(OR($A1091="",$C1091="U",$S1091&lt;&gt;Calc!$F$2),"",IF(COUNTIFS($E$3:$E1091,$E1091,$C$3:$C1091,"&lt;&gt;U",$S$3:$S1091,Calc!$F$2)=1,1,0))</f>
        <v/>
      </c>
      <c r="R1091" s="35" t="str">
        <f aca="false">IF($Q1091=1,$O1091-ROW()/100000,"")</f>
        <v/>
      </c>
      <c r="S1091" s="37" t="str">
        <f aca="false">IF($A1091="","",INT($A1091))</f>
        <v/>
      </c>
      <c r="T1091" s="35" t="str">
        <f aca="false">IF($A1091="","",IF(COUNTIFS($S$3:$S1091,$S1091)=1,1,0))</f>
        <v/>
      </c>
      <c r="U1091" s="37" t="str">
        <f aca="false">IF($T1091=1,$S1091,"")</f>
        <v/>
      </c>
    </row>
    <row r="1092" customFormat="false" ht="15" hidden="false" customHeight="false" outlineLevel="0" collapsed="false">
      <c r="M1092" s="35" t="str">
        <f aca="false">IF($A1092="","",HOUR($A1092))</f>
        <v/>
      </c>
      <c r="N1092" s="36" t="str">
        <f aca="false">IF($A1092="","",$I1092*$K1092)</f>
        <v/>
      </c>
      <c r="O1092" s="35" t="str">
        <f aca="false">IF(OR($A1092="",$C1092="U",$S1092&lt;&gt;Calc!$F$2),"",SUMIFS($I$3:$I$3002,$E$3:$E$3002,$E1092,$C$3:$C$3002,"&lt;&gt;U",$S$3:$S$3002,Calc!$F$2))</f>
        <v/>
      </c>
      <c r="P1092" s="35" t="str">
        <f aca="false">IF(OR($A1092="",$C1092="U",$S1092&lt;&gt;Calc!$F$2),"",SUMIFS($N$3:$N$3002,$E$3:$E$3002,$E1092,$C$3:$C$3002,"&lt;&gt;U",$S$3:$S$3002,Calc!$F$2))</f>
        <v/>
      </c>
      <c r="Q1092" s="35" t="str">
        <f aca="false">IF(OR($A1092="",$C1092="U",$S1092&lt;&gt;Calc!$F$2),"",IF(COUNTIFS($E$3:$E1092,$E1092,$C$3:$C1092,"&lt;&gt;U",$S$3:$S1092,Calc!$F$2)=1,1,0))</f>
        <v/>
      </c>
      <c r="R1092" s="35" t="str">
        <f aca="false">IF($Q1092=1,$O1092-ROW()/100000,"")</f>
        <v/>
      </c>
      <c r="S1092" s="37" t="str">
        <f aca="false">IF($A1092="","",INT($A1092))</f>
        <v/>
      </c>
      <c r="T1092" s="35" t="str">
        <f aca="false">IF($A1092="","",IF(COUNTIFS($S$3:$S1092,$S1092)=1,1,0))</f>
        <v/>
      </c>
      <c r="U1092" s="37" t="str">
        <f aca="false">IF($T1092=1,$S1092,"")</f>
        <v/>
      </c>
    </row>
    <row r="1093" customFormat="false" ht="15" hidden="false" customHeight="false" outlineLevel="0" collapsed="false">
      <c r="M1093" s="35" t="str">
        <f aca="false">IF($A1093="","",HOUR($A1093))</f>
        <v/>
      </c>
      <c r="N1093" s="36" t="str">
        <f aca="false">IF($A1093="","",$I1093*$K1093)</f>
        <v/>
      </c>
      <c r="O1093" s="35" t="str">
        <f aca="false">IF(OR($A1093="",$C1093="U",$S1093&lt;&gt;Calc!$F$2),"",SUMIFS($I$3:$I$3002,$E$3:$E$3002,$E1093,$C$3:$C$3002,"&lt;&gt;U",$S$3:$S$3002,Calc!$F$2))</f>
        <v/>
      </c>
      <c r="P1093" s="35" t="str">
        <f aca="false">IF(OR($A1093="",$C1093="U",$S1093&lt;&gt;Calc!$F$2),"",SUMIFS($N$3:$N$3002,$E$3:$E$3002,$E1093,$C$3:$C$3002,"&lt;&gt;U",$S$3:$S$3002,Calc!$F$2))</f>
        <v/>
      </c>
      <c r="Q1093" s="35" t="str">
        <f aca="false">IF(OR($A1093="",$C1093="U",$S1093&lt;&gt;Calc!$F$2),"",IF(COUNTIFS($E$3:$E1093,$E1093,$C$3:$C1093,"&lt;&gt;U",$S$3:$S1093,Calc!$F$2)=1,1,0))</f>
        <v/>
      </c>
      <c r="R1093" s="35" t="str">
        <f aca="false">IF($Q1093=1,$O1093-ROW()/100000,"")</f>
        <v/>
      </c>
      <c r="S1093" s="37" t="str">
        <f aca="false">IF($A1093="","",INT($A1093))</f>
        <v/>
      </c>
      <c r="T1093" s="35" t="str">
        <f aca="false">IF($A1093="","",IF(COUNTIFS($S$3:$S1093,$S1093)=1,1,0))</f>
        <v/>
      </c>
      <c r="U1093" s="37" t="str">
        <f aca="false">IF($T1093=1,$S1093,"")</f>
        <v/>
      </c>
    </row>
    <row r="1094" customFormat="false" ht="15" hidden="false" customHeight="false" outlineLevel="0" collapsed="false">
      <c r="M1094" s="35" t="str">
        <f aca="false">IF($A1094="","",HOUR($A1094))</f>
        <v/>
      </c>
      <c r="N1094" s="36" t="str">
        <f aca="false">IF($A1094="","",$I1094*$K1094)</f>
        <v/>
      </c>
      <c r="O1094" s="35" t="str">
        <f aca="false">IF(OR($A1094="",$C1094="U",$S1094&lt;&gt;Calc!$F$2),"",SUMIFS($I$3:$I$3002,$E$3:$E$3002,$E1094,$C$3:$C$3002,"&lt;&gt;U",$S$3:$S$3002,Calc!$F$2))</f>
        <v/>
      </c>
      <c r="P1094" s="35" t="str">
        <f aca="false">IF(OR($A1094="",$C1094="U",$S1094&lt;&gt;Calc!$F$2),"",SUMIFS($N$3:$N$3002,$E$3:$E$3002,$E1094,$C$3:$C$3002,"&lt;&gt;U",$S$3:$S$3002,Calc!$F$2))</f>
        <v/>
      </c>
      <c r="Q1094" s="35" t="str">
        <f aca="false">IF(OR($A1094="",$C1094="U",$S1094&lt;&gt;Calc!$F$2),"",IF(COUNTIFS($E$3:$E1094,$E1094,$C$3:$C1094,"&lt;&gt;U",$S$3:$S1094,Calc!$F$2)=1,1,0))</f>
        <v/>
      </c>
      <c r="R1094" s="35" t="str">
        <f aca="false">IF($Q1094=1,$O1094-ROW()/100000,"")</f>
        <v/>
      </c>
      <c r="S1094" s="37" t="str">
        <f aca="false">IF($A1094="","",INT($A1094))</f>
        <v/>
      </c>
      <c r="T1094" s="35" t="str">
        <f aca="false">IF($A1094="","",IF(COUNTIFS($S$3:$S1094,$S1094)=1,1,0))</f>
        <v/>
      </c>
      <c r="U1094" s="37" t="str">
        <f aca="false">IF($T1094=1,$S1094,"")</f>
        <v/>
      </c>
    </row>
    <row r="1095" customFormat="false" ht="15" hidden="false" customHeight="false" outlineLevel="0" collapsed="false">
      <c r="M1095" s="35" t="str">
        <f aca="false">IF($A1095="","",HOUR($A1095))</f>
        <v/>
      </c>
      <c r="N1095" s="36" t="str">
        <f aca="false">IF($A1095="","",$I1095*$K1095)</f>
        <v/>
      </c>
      <c r="O1095" s="35" t="str">
        <f aca="false">IF(OR($A1095="",$C1095="U",$S1095&lt;&gt;Calc!$F$2),"",SUMIFS($I$3:$I$3002,$E$3:$E$3002,$E1095,$C$3:$C$3002,"&lt;&gt;U",$S$3:$S$3002,Calc!$F$2))</f>
        <v/>
      </c>
      <c r="P1095" s="35" t="str">
        <f aca="false">IF(OR($A1095="",$C1095="U",$S1095&lt;&gt;Calc!$F$2),"",SUMIFS($N$3:$N$3002,$E$3:$E$3002,$E1095,$C$3:$C$3002,"&lt;&gt;U",$S$3:$S$3002,Calc!$F$2))</f>
        <v/>
      </c>
      <c r="Q1095" s="35" t="str">
        <f aca="false">IF(OR($A1095="",$C1095="U",$S1095&lt;&gt;Calc!$F$2),"",IF(COUNTIFS($E$3:$E1095,$E1095,$C$3:$C1095,"&lt;&gt;U",$S$3:$S1095,Calc!$F$2)=1,1,0))</f>
        <v/>
      </c>
      <c r="R1095" s="35" t="str">
        <f aca="false">IF($Q1095=1,$O1095-ROW()/100000,"")</f>
        <v/>
      </c>
      <c r="S1095" s="37" t="str">
        <f aca="false">IF($A1095="","",INT($A1095))</f>
        <v/>
      </c>
      <c r="T1095" s="35" t="str">
        <f aca="false">IF($A1095="","",IF(COUNTIFS($S$3:$S1095,$S1095)=1,1,0))</f>
        <v/>
      </c>
      <c r="U1095" s="37" t="str">
        <f aca="false">IF($T1095=1,$S1095,"")</f>
        <v/>
      </c>
    </row>
    <row r="1096" customFormat="false" ht="15" hidden="false" customHeight="false" outlineLevel="0" collapsed="false">
      <c r="M1096" s="35" t="str">
        <f aca="false">IF($A1096="","",HOUR($A1096))</f>
        <v/>
      </c>
      <c r="N1096" s="36" t="str">
        <f aca="false">IF($A1096="","",$I1096*$K1096)</f>
        <v/>
      </c>
      <c r="O1096" s="35" t="str">
        <f aca="false">IF(OR($A1096="",$C1096="U",$S1096&lt;&gt;Calc!$F$2),"",SUMIFS($I$3:$I$3002,$E$3:$E$3002,$E1096,$C$3:$C$3002,"&lt;&gt;U",$S$3:$S$3002,Calc!$F$2))</f>
        <v/>
      </c>
      <c r="P1096" s="35" t="str">
        <f aca="false">IF(OR($A1096="",$C1096="U",$S1096&lt;&gt;Calc!$F$2),"",SUMIFS($N$3:$N$3002,$E$3:$E$3002,$E1096,$C$3:$C$3002,"&lt;&gt;U",$S$3:$S$3002,Calc!$F$2))</f>
        <v/>
      </c>
      <c r="Q1096" s="35" t="str">
        <f aca="false">IF(OR($A1096="",$C1096="U",$S1096&lt;&gt;Calc!$F$2),"",IF(COUNTIFS($E$3:$E1096,$E1096,$C$3:$C1096,"&lt;&gt;U",$S$3:$S1096,Calc!$F$2)=1,1,0))</f>
        <v/>
      </c>
      <c r="R1096" s="35" t="str">
        <f aca="false">IF($Q1096=1,$O1096-ROW()/100000,"")</f>
        <v/>
      </c>
      <c r="S1096" s="37" t="str">
        <f aca="false">IF($A1096="","",INT($A1096))</f>
        <v/>
      </c>
      <c r="T1096" s="35" t="str">
        <f aca="false">IF($A1096="","",IF(COUNTIFS($S$3:$S1096,$S1096)=1,1,0))</f>
        <v/>
      </c>
      <c r="U1096" s="37" t="str">
        <f aca="false">IF($T1096=1,$S1096,"")</f>
        <v/>
      </c>
    </row>
    <row r="1097" customFormat="false" ht="15" hidden="false" customHeight="false" outlineLevel="0" collapsed="false">
      <c r="M1097" s="35" t="str">
        <f aca="false">IF($A1097="","",HOUR($A1097))</f>
        <v/>
      </c>
      <c r="N1097" s="36" t="str">
        <f aca="false">IF($A1097="","",$I1097*$K1097)</f>
        <v/>
      </c>
      <c r="O1097" s="35" t="str">
        <f aca="false">IF(OR($A1097="",$C1097="U",$S1097&lt;&gt;Calc!$F$2),"",SUMIFS($I$3:$I$3002,$E$3:$E$3002,$E1097,$C$3:$C$3002,"&lt;&gt;U",$S$3:$S$3002,Calc!$F$2))</f>
        <v/>
      </c>
      <c r="P1097" s="35" t="str">
        <f aca="false">IF(OR($A1097="",$C1097="U",$S1097&lt;&gt;Calc!$F$2),"",SUMIFS($N$3:$N$3002,$E$3:$E$3002,$E1097,$C$3:$C$3002,"&lt;&gt;U",$S$3:$S$3002,Calc!$F$2))</f>
        <v/>
      </c>
      <c r="Q1097" s="35" t="str">
        <f aca="false">IF(OR($A1097="",$C1097="U",$S1097&lt;&gt;Calc!$F$2),"",IF(COUNTIFS($E$3:$E1097,$E1097,$C$3:$C1097,"&lt;&gt;U",$S$3:$S1097,Calc!$F$2)=1,1,0))</f>
        <v/>
      </c>
      <c r="R1097" s="35" t="str">
        <f aca="false">IF($Q1097=1,$O1097-ROW()/100000,"")</f>
        <v/>
      </c>
      <c r="S1097" s="37" t="str">
        <f aca="false">IF($A1097="","",INT($A1097))</f>
        <v/>
      </c>
      <c r="T1097" s="35" t="str">
        <f aca="false">IF($A1097="","",IF(COUNTIFS($S$3:$S1097,$S1097)=1,1,0))</f>
        <v/>
      </c>
      <c r="U1097" s="37" t="str">
        <f aca="false">IF($T1097=1,$S1097,"")</f>
        <v/>
      </c>
    </row>
    <row r="1098" customFormat="false" ht="15" hidden="false" customHeight="false" outlineLevel="0" collapsed="false">
      <c r="M1098" s="35" t="str">
        <f aca="false">IF($A1098="","",HOUR($A1098))</f>
        <v/>
      </c>
      <c r="N1098" s="36" t="str">
        <f aca="false">IF($A1098="","",$I1098*$K1098)</f>
        <v/>
      </c>
      <c r="O1098" s="35" t="str">
        <f aca="false">IF(OR($A1098="",$C1098="U",$S1098&lt;&gt;Calc!$F$2),"",SUMIFS($I$3:$I$3002,$E$3:$E$3002,$E1098,$C$3:$C$3002,"&lt;&gt;U",$S$3:$S$3002,Calc!$F$2))</f>
        <v/>
      </c>
      <c r="P1098" s="35" t="str">
        <f aca="false">IF(OR($A1098="",$C1098="U",$S1098&lt;&gt;Calc!$F$2),"",SUMIFS($N$3:$N$3002,$E$3:$E$3002,$E1098,$C$3:$C$3002,"&lt;&gt;U",$S$3:$S$3002,Calc!$F$2))</f>
        <v/>
      </c>
      <c r="Q1098" s="35" t="str">
        <f aca="false">IF(OR($A1098="",$C1098="U",$S1098&lt;&gt;Calc!$F$2),"",IF(COUNTIFS($E$3:$E1098,$E1098,$C$3:$C1098,"&lt;&gt;U",$S$3:$S1098,Calc!$F$2)=1,1,0))</f>
        <v/>
      </c>
      <c r="R1098" s="35" t="str">
        <f aca="false">IF($Q1098=1,$O1098-ROW()/100000,"")</f>
        <v/>
      </c>
      <c r="S1098" s="37" t="str">
        <f aca="false">IF($A1098="","",INT($A1098))</f>
        <v/>
      </c>
      <c r="T1098" s="35" t="str">
        <f aca="false">IF($A1098="","",IF(COUNTIFS($S$3:$S1098,$S1098)=1,1,0))</f>
        <v/>
      </c>
      <c r="U1098" s="37" t="str">
        <f aca="false">IF($T1098=1,$S1098,"")</f>
        <v/>
      </c>
    </row>
    <row r="1099" customFormat="false" ht="15" hidden="false" customHeight="false" outlineLevel="0" collapsed="false">
      <c r="M1099" s="35" t="str">
        <f aca="false">IF($A1099="","",HOUR($A1099))</f>
        <v/>
      </c>
      <c r="N1099" s="36" t="str">
        <f aca="false">IF($A1099="","",$I1099*$K1099)</f>
        <v/>
      </c>
      <c r="O1099" s="35" t="str">
        <f aca="false">IF(OR($A1099="",$C1099="U",$S1099&lt;&gt;Calc!$F$2),"",SUMIFS($I$3:$I$3002,$E$3:$E$3002,$E1099,$C$3:$C$3002,"&lt;&gt;U",$S$3:$S$3002,Calc!$F$2))</f>
        <v/>
      </c>
      <c r="P1099" s="35" t="str">
        <f aca="false">IF(OR($A1099="",$C1099="U",$S1099&lt;&gt;Calc!$F$2),"",SUMIFS($N$3:$N$3002,$E$3:$E$3002,$E1099,$C$3:$C$3002,"&lt;&gt;U",$S$3:$S$3002,Calc!$F$2))</f>
        <v/>
      </c>
      <c r="Q1099" s="35" t="str">
        <f aca="false">IF(OR($A1099="",$C1099="U",$S1099&lt;&gt;Calc!$F$2),"",IF(COUNTIFS($E$3:$E1099,$E1099,$C$3:$C1099,"&lt;&gt;U",$S$3:$S1099,Calc!$F$2)=1,1,0))</f>
        <v/>
      </c>
      <c r="R1099" s="35" t="str">
        <f aca="false">IF($Q1099=1,$O1099-ROW()/100000,"")</f>
        <v/>
      </c>
      <c r="S1099" s="37" t="str">
        <f aca="false">IF($A1099="","",INT($A1099))</f>
        <v/>
      </c>
      <c r="T1099" s="35" t="str">
        <f aca="false">IF($A1099="","",IF(COUNTIFS($S$3:$S1099,$S1099)=1,1,0))</f>
        <v/>
      </c>
      <c r="U1099" s="37" t="str">
        <f aca="false">IF($T1099=1,$S1099,"")</f>
        <v/>
      </c>
    </row>
    <row r="1100" customFormat="false" ht="15" hidden="false" customHeight="false" outlineLevel="0" collapsed="false">
      <c r="M1100" s="35" t="str">
        <f aca="false">IF($A1100="","",HOUR($A1100))</f>
        <v/>
      </c>
      <c r="N1100" s="36" t="str">
        <f aca="false">IF($A1100="","",$I1100*$K1100)</f>
        <v/>
      </c>
      <c r="O1100" s="35" t="str">
        <f aca="false">IF(OR($A1100="",$C1100="U",$S1100&lt;&gt;Calc!$F$2),"",SUMIFS($I$3:$I$3002,$E$3:$E$3002,$E1100,$C$3:$C$3002,"&lt;&gt;U",$S$3:$S$3002,Calc!$F$2))</f>
        <v/>
      </c>
      <c r="P1100" s="35" t="str">
        <f aca="false">IF(OR($A1100="",$C1100="U",$S1100&lt;&gt;Calc!$F$2),"",SUMIFS($N$3:$N$3002,$E$3:$E$3002,$E1100,$C$3:$C$3002,"&lt;&gt;U",$S$3:$S$3002,Calc!$F$2))</f>
        <v/>
      </c>
      <c r="Q1100" s="35" t="str">
        <f aca="false">IF(OR($A1100="",$C1100="U",$S1100&lt;&gt;Calc!$F$2),"",IF(COUNTIFS($E$3:$E1100,$E1100,$C$3:$C1100,"&lt;&gt;U",$S$3:$S1100,Calc!$F$2)=1,1,0))</f>
        <v/>
      </c>
      <c r="R1100" s="35" t="str">
        <f aca="false">IF($Q1100=1,$O1100-ROW()/100000,"")</f>
        <v/>
      </c>
      <c r="S1100" s="37" t="str">
        <f aca="false">IF($A1100="","",INT($A1100))</f>
        <v/>
      </c>
      <c r="T1100" s="35" t="str">
        <f aca="false">IF($A1100="","",IF(COUNTIFS($S$3:$S1100,$S1100)=1,1,0))</f>
        <v/>
      </c>
      <c r="U1100" s="37" t="str">
        <f aca="false">IF($T1100=1,$S1100,"")</f>
        <v/>
      </c>
    </row>
    <row r="1101" customFormat="false" ht="15" hidden="false" customHeight="false" outlineLevel="0" collapsed="false">
      <c r="M1101" s="35" t="str">
        <f aca="false">IF($A1101="","",HOUR($A1101))</f>
        <v/>
      </c>
      <c r="N1101" s="36" t="str">
        <f aca="false">IF($A1101="","",$I1101*$K1101)</f>
        <v/>
      </c>
      <c r="O1101" s="35" t="str">
        <f aca="false">IF(OR($A1101="",$C1101="U",$S1101&lt;&gt;Calc!$F$2),"",SUMIFS($I$3:$I$3002,$E$3:$E$3002,$E1101,$C$3:$C$3002,"&lt;&gt;U",$S$3:$S$3002,Calc!$F$2))</f>
        <v/>
      </c>
      <c r="P1101" s="35" t="str">
        <f aca="false">IF(OR($A1101="",$C1101="U",$S1101&lt;&gt;Calc!$F$2),"",SUMIFS($N$3:$N$3002,$E$3:$E$3002,$E1101,$C$3:$C$3002,"&lt;&gt;U",$S$3:$S$3002,Calc!$F$2))</f>
        <v/>
      </c>
      <c r="Q1101" s="35" t="str">
        <f aca="false">IF(OR($A1101="",$C1101="U",$S1101&lt;&gt;Calc!$F$2),"",IF(COUNTIFS($E$3:$E1101,$E1101,$C$3:$C1101,"&lt;&gt;U",$S$3:$S1101,Calc!$F$2)=1,1,0))</f>
        <v/>
      </c>
      <c r="R1101" s="35" t="str">
        <f aca="false">IF($Q1101=1,$O1101-ROW()/100000,"")</f>
        <v/>
      </c>
      <c r="S1101" s="37" t="str">
        <f aca="false">IF($A1101="","",INT($A1101))</f>
        <v/>
      </c>
      <c r="T1101" s="35" t="str">
        <f aca="false">IF($A1101="","",IF(COUNTIFS($S$3:$S1101,$S1101)=1,1,0))</f>
        <v/>
      </c>
      <c r="U1101" s="37" t="str">
        <f aca="false">IF($T1101=1,$S1101,"")</f>
        <v/>
      </c>
    </row>
    <row r="1102" customFormat="false" ht="15" hidden="false" customHeight="false" outlineLevel="0" collapsed="false">
      <c r="M1102" s="35" t="str">
        <f aca="false">IF($A1102="","",HOUR($A1102))</f>
        <v/>
      </c>
      <c r="N1102" s="36" t="str">
        <f aca="false">IF($A1102="","",$I1102*$K1102)</f>
        <v/>
      </c>
      <c r="O1102" s="35" t="str">
        <f aca="false">IF(OR($A1102="",$C1102="U",$S1102&lt;&gt;Calc!$F$2),"",SUMIFS($I$3:$I$3002,$E$3:$E$3002,$E1102,$C$3:$C$3002,"&lt;&gt;U",$S$3:$S$3002,Calc!$F$2))</f>
        <v/>
      </c>
      <c r="P1102" s="35" t="str">
        <f aca="false">IF(OR($A1102="",$C1102="U",$S1102&lt;&gt;Calc!$F$2),"",SUMIFS($N$3:$N$3002,$E$3:$E$3002,$E1102,$C$3:$C$3002,"&lt;&gt;U",$S$3:$S$3002,Calc!$F$2))</f>
        <v/>
      </c>
      <c r="Q1102" s="35" t="str">
        <f aca="false">IF(OR($A1102="",$C1102="U",$S1102&lt;&gt;Calc!$F$2),"",IF(COUNTIFS($E$3:$E1102,$E1102,$C$3:$C1102,"&lt;&gt;U",$S$3:$S1102,Calc!$F$2)=1,1,0))</f>
        <v/>
      </c>
      <c r="R1102" s="35" t="str">
        <f aca="false">IF($Q1102=1,$O1102-ROW()/100000,"")</f>
        <v/>
      </c>
      <c r="S1102" s="37" t="str">
        <f aca="false">IF($A1102="","",INT($A1102))</f>
        <v/>
      </c>
      <c r="T1102" s="35" t="str">
        <f aca="false">IF($A1102="","",IF(COUNTIFS($S$3:$S1102,$S1102)=1,1,0))</f>
        <v/>
      </c>
      <c r="U1102" s="37" t="str">
        <f aca="false">IF($T1102=1,$S1102,"")</f>
        <v/>
      </c>
    </row>
    <row r="1103" customFormat="false" ht="15" hidden="false" customHeight="false" outlineLevel="0" collapsed="false">
      <c r="M1103" s="35" t="str">
        <f aca="false">IF($A1103="","",HOUR($A1103))</f>
        <v/>
      </c>
      <c r="N1103" s="36" t="str">
        <f aca="false">IF($A1103="","",$I1103*$K1103)</f>
        <v/>
      </c>
      <c r="O1103" s="35" t="str">
        <f aca="false">IF(OR($A1103="",$C1103="U",$S1103&lt;&gt;Calc!$F$2),"",SUMIFS($I$3:$I$3002,$E$3:$E$3002,$E1103,$C$3:$C$3002,"&lt;&gt;U",$S$3:$S$3002,Calc!$F$2))</f>
        <v/>
      </c>
      <c r="P1103" s="35" t="str">
        <f aca="false">IF(OR($A1103="",$C1103="U",$S1103&lt;&gt;Calc!$F$2),"",SUMIFS($N$3:$N$3002,$E$3:$E$3002,$E1103,$C$3:$C$3002,"&lt;&gt;U",$S$3:$S$3002,Calc!$F$2))</f>
        <v/>
      </c>
      <c r="Q1103" s="35" t="str">
        <f aca="false">IF(OR($A1103="",$C1103="U",$S1103&lt;&gt;Calc!$F$2),"",IF(COUNTIFS($E$3:$E1103,$E1103,$C$3:$C1103,"&lt;&gt;U",$S$3:$S1103,Calc!$F$2)=1,1,0))</f>
        <v/>
      </c>
      <c r="R1103" s="35" t="str">
        <f aca="false">IF($Q1103=1,$O1103-ROW()/100000,"")</f>
        <v/>
      </c>
      <c r="S1103" s="37" t="str">
        <f aca="false">IF($A1103="","",INT($A1103))</f>
        <v/>
      </c>
      <c r="T1103" s="35" t="str">
        <f aca="false">IF($A1103="","",IF(COUNTIFS($S$3:$S1103,$S1103)=1,1,0))</f>
        <v/>
      </c>
      <c r="U1103" s="37" t="str">
        <f aca="false">IF($T1103=1,$S1103,"")</f>
        <v/>
      </c>
    </row>
    <row r="1104" customFormat="false" ht="15" hidden="false" customHeight="false" outlineLevel="0" collapsed="false">
      <c r="M1104" s="35" t="str">
        <f aca="false">IF($A1104="","",HOUR($A1104))</f>
        <v/>
      </c>
      <c r="N1104" s="36" t="str">
        <f aca="false">IF($A1104="","",$I1104*$K1104)</f>
        <v/>
      </c>
      <c r="O1104" s="35" t="str">
        <f aca="false">IF(OR($A1104="",$C1104="U",$S1104&lt;&gt;Calc!$F$2),"",SUMIFS($I$3:$I$3002,$E$3:$E$3002,$E1104,$C$3:$C$3002,"&lt;&gt;U",$S$3:$S$3002,Calc!$F$2))</f>
        <v/>
      </c>
      <c r="P1104" s="35" t="str">
        <f aca="false">IF(OR($A1104="",$C1104="U",$S1104&lt;&gt;Calc!$F$2),"",SUMIFS($N$3:$N$3002,$E$3:$E$3002,$E1104,$C$3:$C$3002,"&lt;&gt;U",$S$3:$S$3002,Calc!$F$2))</f>
        <v/>
      </c>
      <c r="Q1104" s="35" t="str">
        <f aca="false">IF(OR($A1104="",$C1104="U",$S1104&lt;&gt;Calc!$F$2),"",IF(COUNTIFS($E$3:$E1104,$E1104,$C$3:$C1104,"&lt;&gt;U",$S$3:$S1104,Calc!$F$2)=1,1,0))</f>
        <v/>
      </c>
      <c r="R1104" s="35" t="str">
        <f aca="false">IF($Q1104=1,$O1104-ROW()/100000,"")</f>
        <v/>
      </c>
      <c r="S1104" s="37" t="str">
        <f aca="false">IF($A1104="","",INT($A1104))</f>
        <v/>
      </c>
      <c r="T1104" s="35" t="str">
        <f aca="false">IF($A1104="","",IF(COUNTIFS($S$3:$S1104,$S1104)=1,1,0))</f>
        <v/>
      </c>
      <c r="U1104" s="37" t="str">
        <f aca="false">IF($T1104=1,$S1104,"")</f>
        <v/>
      </c>
    </row>
    <row r="1105" customFormat="false" ht="15" hidden="false" customHeight="false" outlineLevel="0" collapsed="false">
      <c r="M1105" s="35" t="str">
        <f aca="false">IF($A1105="","",HOUR($A1105))</f>
        <v/>
      </c>
      <c r="N1105" s="36" t="str">
        <f aca="false">IF($A1105="","",$I1105*$K1105)</f>
        <v/>
      </c>
      <c r="O1105" s="35" t="str">
        <f aca="false">IF(OR($A1105="",$C1105="U",$S1105&lt;&gt;Calc!$F$2),"",SUMIFS($I$3:$I$3002,$E$3:$E$3002,$E1105,$C$3:$C$3002,"&lt;&gt;U",$S$3:$S$3002,Calc!$F$2))</f>
        <v/>
      </c>
      <c r="P1105" s="35" t="str">
        <f aca="false">IF(OR($A1105="",$C1105="U",$S1105&lt;&gt;Calc!$F$2),"",SUMIFS($N$3:$N$3002,$E$3:$E$3002,$E1105,$C$3:$C$3002,"&lt;&gt;U",$S$3:$S$3002,Calc!$F$2))</f>
        <v/>
      </c>
      <c r="Q1105" s="35" t="str">
        <f aca="false">IF(OR($A1105="",$C1105="U",$S1105&lt;&gt;Calc!$F$2),"",IF(COUNTIFS($E$3:$E1105,$E1105,$C$3:$C1105,"&lt;&gt;U",$S$3:$S1105,Calc!$F$2)=1,1,0))</f>
        <v/>
      </c>
      <c r="R1105" s="35" t="str">
        <f aca="false">IF($Q1105=1,$O1105-ROW()/100000,"")</f>
        <v/>
      </c>
      <c r="S1105" s="37" t="str">
        <f aca="false">IF($A1105="","",INT($A1105))</f>
        <v/>
      </c>
      <c r="T1105" s="35" t="str">
        <f aca="false">IF($A1105="","",IF(COUNTIFS($S$3:$S1105,$S1105)=1,1,0))</f>
        <v/>
      </c>
      <c r="U1105" s="37" t="str">
        <f aca="false">IF($T1105=1,$S1105,"")</f>
        <v/>
      </c>
    </row>
    <row r="1106" customFormat="false" ht="15" hidden="false" customHeight="false" outlineLevel="0" collapsed="false">
      <c r="M1106" s="35" t="str">
        <f aca="false">IF($A1106="","",HOUR($A1106))</f>
        <v/>
      </c>
      <c r="N1106" s="36" t="str">
        <f aca="false">IF($A1106="","",$I1106*$K1106)</f>
        <v/>
      </c>
      <c r="O1106" s="35" t="str">
        <f aca="false">IF(OR($A1106="",$C1106="U",$S1106&lt;&gt;Calc!$F$2),"",SUMIFS($I$3:$I$3002,$E$3:$E$3002,$E1106,$C$3:$C$3002,"&lt;&gt;U",$S$3:$S$3002,Calc!$F$2))</f>
        <v/>
      </c>
      <c r="P1106" s="35" t="str">
        <f aca="false">IF(OR($A1106="",$C1106="U",$S1106&lt;&gt;Calc!$F$2),"",SUMIFS($N$3:$N$3002,$E$3:$E$3002,$E1106,$C$3:$C$3002,"&lt;&gt;U",$S$3:$S$3002,Calc!$F$2))</f>
        <v/>
      </c>
      <c r="Q1106" s="35" t="str">
        <f aca="false">IF(OR($A1106="",$C1106="U",$S1106&lt;&gt;Calc!$F$2),"",IF(COUNTIFS($E$3:$E1106,$E1106,$C$3:$C1106,"&lt;&gt;U",$S$3:$S1106,Calc!$F$2)=1,1,0))</f>
        <v/>
      </c>
      <c r="R1106" s="35" t="str">
        <f aca="false">IF($Q1106=1,$O1106-ROW()/100000,"")</f>
        <v/>
      </c>
      <c r="S1106" s="37" t="str">
        <f aca="false">IF($A1106="","",INT($A1106))</f>
        <v/>
      </c>
      <c r="T1106" s="35" t="str">
        <f aca="false">IF($A1106="","",IF(COUNTIFS($S$3:$S1106,$S1106)=1,1,0))</f>
        <v/>
      </c>
      <c r="U1106" s="37" t="str">
        <f aca="false">IF($T1106=1,$S1106,"")</f>
        <v/>
      </c>
    </row>
    <row r="1107" customFormat="false" ht="15" hidden="false" customHeight="false" outlineLevel="0" collapsed="false">
      <c r="M1107" s="35" t="str">
        <f aca="false">IF($A1107="","",HOUR($A1107))</f>
        <v/>
      </c>
      <c r="N1107" s="36" t="str">
        <f aca="false">IF($A1107="","",$I1107*$K1107)</f>
        <v/>
      </c>
      <c r="O1107" s="35" t="str">
        <f aca="false">IF(OR($A1107="",$C1107="U",$S1107&lt;&gt;Calc!$F$2),"",SUMIFS($I$3:$I$3002,$E$3:$E$3002,$E1107,$C$3:$C$3002,"&lt;&gt;U",$S$3:$S$3002,Calc!$F$2))</f>
        <v/>
      </c>
      <c r="P1107" s="35" t="str">
        <f aca="false">IF(OR($A1107="",$C1107="U",$S1107&lt;&gt;Calc!$F$2),"",SUMIFS($N$3:$N$3002,$E$3:$E$3002,$E1107,$C$3:$C$3002,"&lt;&gt;U",$S$3:$S$3002,Calc!$F$2))</f>
        <v/>
      </c>
      <c r="Q1107" s="35" t="str">
        <f aca="false">IF(OR($A1107="",$C1107="U",$S1107&lt;&gt;Calc!$F$2),"",IF(COUNTIFS($E$3:$E1107,$E1107,$C$3:$C1107,"&lt;&gt;U",$S$3:$S1107,Calc!$F$2)=1,1,0))</f>
        <v/>
      </c>
      <c r="R1107" s="35" t="str">
        <f aca="false">IF($Q1107=1,$O1107-ROW()/100000,"")</f>
        <v/>
      </c>
      <c r="S1107" s="37" t="str">
        <f aca="false">IF($A1107="","",INT($A1107))</f>
        <v/>
      </c>
      <c r="T1107" s="35" t="str">
        <f aca="false">IF($A1107="","",IF(COUNTIFS($S$3:$S1107,$S1107)=1,1,0))</f>
        <v/>
      </c>
      <c r="U1107" s="37" t="str">
        <f aca="false">IF($T1107=1,$S1107,"")</f>
        <v/>
      </c>
    </row>
    <row r="1108" customFormat="false" ht="15" hidden="false" customHeight="false" outlineLevel="0" collapsed="false">
      <c r="M1108" s="35" t="str">
        <f aca="false">IF($A1108="","",HOUR($A1108))</f>
        <v/>
      </c>
      <c r="N1108" s="36" t="str">
        <f aca="false">IF($A1108="","",$I1108*$K1108)</f>
        <v/>
      </c>
      <c r="O1108" s="35" t="str">
        <f aca="false">IF(OR($A1108="",$C1108="U",$S1108&lt;&gt;Calc!$F$2),"",SUMIFS($I$3:$I$3002,$E$3:$E$3002,$E1108,$C$3:$C$3002,"&lt;&gt;U",$S$3:$S$3002,Calc!$F$2))</f>
        <v/>
      </c>
      <c r="P1108" s="35" t="str">
        <f aca="false">IF(OR($A1108="",$C1108="U",$S1108&lt;&gt;Calc!$F$2),"",SUMIFS($N$3:$N$3002,$E$3:$E$3002,$E1108,$C$3:$C$3002,"&lt;&gt;U",$S$3:$S$3002,Calc!$F$2))</f>
        <v/>
      </c>
      <c r="Q1108" s="35" t="str">
        <f aca="false">IF(OR($A1108="",$C1108="U",$S1108&lt;&gt;Calc!$F$2),"",IF(COUNTIFS($E$3:$E1108,$E1108,$C$3:$C1108,"&lt;&gt;U",$S$3:$S1108,Calc!$F$2)=1,1,0))</f>
        <v/>
      </c>
      <c r="R1108" s="35" t="str">
        <f aca="false">IF($Q1108=1,$O1108-ROW()/100000,"")</f>
        <v/>
      </c>
      <c r="S1108" s="37" t="str">
        <f aca="false">IF($A1108="","",INT($A1108))</f>
        <v/>
      </c>
      <c r="T1108" s="35" t="str">
        <f aca="false">IF($A1108="","",IF(COUNTIFS($S$3:$S1108,$S1108)=1,1,0))</f>
        <v/>
      </c>
      <c r="U1108" s="37" t="str">
        <f aca="false">IF($T1108=1,$S1108,"")</f>
        <v/>
      </c>
    </row>
    <row r="1109" customFormat="false" ht="15" hidden="false" customHeight="false" outlineLevel="0" collapsed="false">
      <c r="M1109" s="35" t="str">
        <f aca="false">IF($A1109="","",HOUR($A1109))</f>
        <v/>
      </c>
      <c r="N1109" s="36" t="str">
        <f aca="false">IF($A1109="","",$I1109*$K1109)</f>
        <v/>
      </c>
      <c r="O1109" s="35" t="str">
        <f aca="false">IF(OR($A1109="",$C1109="U",$S1109&lt;&gt;Calc!$F$2),"",SUMIFS($I$3:$I$3002,$E$3:$E$3002,$E1109,$C$3:$C$3002,"&lt;&gt;U",$S$3:$S$3002,Calc!$F$2))</f>
        <v/>
      </c>
      <c r="P1109" s="35" t="str">
        <f aca="false">IF(OR($A1109="",$C1109="U",$S1109&lt;&gt;Calc!$F$2),"",SUMIFS($N$3:$N$3002,$E$3:$E$3002,$E1109,$C$3:$C$3002,"&lt;&gt;U",$S$3:$S$3002,Calc!$F$2))</f>
        <v/>
      </c>
      <c r="Q1109" s="35" t="str">
        <f aca="false">IF(OR($A1109="",$C1109="U",$S1109&lt;&gt;Calc!$F$2),"",IF(COUNTIFS($E$3:$E1109,$E1109,$C$3:$C1109,"&lt;&gt;U",$S$3:$S1109,Calc!$F$2)=1,1,0))</f>
        <v/>
      </c>
      <c r="R1109" s="35" t="str">
        <f aca="false">IF($Q1109=1,$O1109-ROW()/100000,"")</f>
        <v/>
      </c>
      <c r="S1109" s="37" t="str">
        <f aca="false">IF($A1109="","",INT($A1109))</f>
        <v/>
      </c>
      <c r="T1109" s="35" t="str">
        <f aca="false">IF($A1109="","",IF(COUNTIFS($S$3:$S1109,$S1109)=1,1,0))</f>
        <v/>
      </c>
      <c r="U1109" s="37" t="str">
        <f aca="false">IF($T1109=1,$S1109,"")</f>
        <v/>
      </c>
    </row>
    <row r="1110" customFormat="false" ht="15" hidden="false" customHeight="false" outlineLevel="0" collapsed="false">
      <c r="M1110" s="35" t="str">
        <f aca="false">IF($A1110="","",HOUR($A1110))</f>
        <v/>
      </c>
      <c r="N1110" s="36" t="str">
        <f aca="false">IF($A1110="","",$I1110*$K1110)</f>
        <v/>
      </c>
      <c r="O1110" s="35" t="str">
        <f aca="false">IF(OR($A1110="",$C1110="U",$S1110&lt;&gt;Calc!$F$2),"",SUMIFS($I$3:$I$3002,$E$3:$E$3002,$E1110,$C$3:$C$3002,"&lt;&gt;U",$S$3:$S$3002,Calc!$F$2))</f>
        <v/>
      </c>
      <c r="P1110" s="35" t="str">
        <f aca="false">IF(OR($A1110="",$C1110="U",$S1110&lt;&gt;Calc!$F$2),"",SUMIFS($N$3:$N$3002,$E$3:$E$3002,$E1110,$C$3:$C$3002,"&lt;&gt;U",$S$3:$S$3002,Calc!$F$2))</f>
        <v/>
      </c>
      <c r="Q1110" s="35" t="str">
        <f aca="false">IF(OR($A1110="",$C1110="U",$S1110&lt;&gt;Calc!$F$2),"",IF(COUNTIFS($E$3:$E1110,$E1110,$C$3:$C1110,"&lt;&gt;U",$S$3:$S1110,Calc!$F$2)=1,1,0))</f>
        <v/>
      </c>
      <c r="R1110" s="35" t="str">
        <f aca="false">IF($Q1110=1,$O1110-ROW()/100000,"")</f>
        <v/>
      </c>
      <c r="S1110" s="37" t="str">
        <f aca="false">IF($A1110="","",INT($A1110))</f>
        <v/>
      </c>
      <c r="T1110" s="35" t="str">
        <f aca="false">IF($A1110="","",IF(COUNTIFS($S$3:$S1110,$S1110)=1,1,0))</f>
        <v/>
      </c>
      <c r="U1110" s="37" t="str">
        <f aca="false">IF($T1110=1,$S1110,"")</f>
        <v/>
      </c>
    </row>
    <row r="1111" customFormat="false" ht="15" hidden="false" customHeight="false" outlineLevel="0" collapsed="false">
      <c r="M1111" s="35" t="str">
        <f aca="false">IF($A1111="","",HOUR($A1111))</f>
        <v/>
      </c>
      <c r="N1111" s="36" t="str">
        <f aca="false">IF($A1111="","",$I1111*$K1111)</f>
        <v/>
      </c>
      <c r="O1111" s="35" t="str">
        <f aca="false">IF(OR($A1111="",$C1111="U",$S1111&lt;&gt;Calc!$F$2),"",SUMIFS($I$3:$I$3002,$E$3:$E$3002,$E1111,$C$3:$C$3002,"&lt;&gt;U",$S$3:$S$3002,Calc!$F$2))</f>
        <v/>
      </c>
      <c r="P1111" s="35" t="str">
        <f aca="false">IF(OR($A1111="",$C1111="U",$S1111&lt;&gt;Calc!$F$2),"",SUMIFS($N$3:$N$3002,$E$3:$E$3002,$E1111,$C$3:$C$3002,"&lt;&gt;U",$S$3:$S$3002,Calc!$F$2))</f>
        <v/>
      </c>
      <c r="Q1111" s="35" t="str">
        <f aca="false">IF(OR($A1111="",$C1111="U",$S1111&lt;&gt;Calc!$F$2),"",IF(COUNTIFS($E$3:$E1111,$E1111,$C$3:$C1111,"&lt;&gt;U",$S$3:$S1111,Calc!$F$2)=1,1,0))</f>
        <v/>
      </c>
      <c r="R1111" s="35" t="str">
        <f aca="false">IF($Q1111=1,$O1111-ROW()/100000,"")</f>
        <v/>
      </c>
      <c r="S1111" s="37" t="str">
        <f aca="false">IF($A1111="","",INT($A1111))</f>
        <v/>
      </c>
      <c r="T1111" s="35" t="str">
        <f aca="false">IF($A1111="","",IF(COUNTIFS($S$3:$S1111,$S1111)=1,1,0))</f>
        <v/>
      </c>
      <c r="U1111" s="37" t="str">
        <f aca="false">IF($T1111=1,$S1111,"")</f>
        <v/>
      </c>
    </row>
    <row r="1112" customFormat="false" ht="15" hidden="false" customHeight="false" outlineLevel="0" collapsed="false">
      <c r="M1112" s="35" t="str">
        <f aca="false">IF($A1112="","",HOUR($A1112))</f>
        <v/>
      </c>
      <c r="N1112" s="36" t="str">
        <f aca="false">IF($A1112="","",$I1112*$K1112)</f>
        <v/>
      </c>
      <c r="O1112" s="35" t="str">
        <f aca="false">IF(OR($A1112="",$C1112="U",$S1112&lt;&gt;Calc!$F$2),"",SUMIFS($I$3:$I$3002,$E$3:$E$3002,$E1112,$C$3:$C$3002,"&lt;&gt;U",$S$3:$S$3002,Calc!$F$2))</f>
        <v/>
      </c>
      <c r="P1112" s="35" t="str">
        <f aca="false">IF(OR($A1112="",$C1112="U",$S1112&lt;&gt;Calc!$F$2),"",SUMIFS($N$3:$N$3002,$E$3:$E$3002,$E1112,$C$3:$C$3002,"&lt;&gt;U",$S$3:$S$3002,Calc!$F$2))</f>
        <v/>
      </c>
      <c r="Q1112" s="35" t="str">
        <f aca="false">IF(OR($A1112="",$C1112="U",$S1112&lt;&gt;Calc!$F$2),"",IF(COUNTIFS($E$3:$E1112,$E1112,$C$3:$C1112,"&lt;&gt;U",$S$3:$S1112,Calc!$F$2)=1,1,0))</f>
        <v/>
      </c>
      <c r="R1112" s="35" t="str">
        <f aca="false">IF($Q1112=1,$O1112-ROW()/100000,"")</f>
        <v/>
      </c>
      <c r="S1112" s="37" t="str">
        <f aca="false">IF($A1112="","",INT($A1112))</f>
        <v/>
      </c>
      <c r="T1112" s="35" t="str">
        <f aca="false">IF($A1112="","",IF(COUNTIFS($S$3:$S1112,$S1112)=1,1,0))</f>
        <v/>
      </c>
      <c r="U1112" s="37" t="str">
        <f aca="false">IF($T1112=1,$S1112,"")</f>
        <v/>
      </c>
    </row>
    <row r="1113" customFormat="false" ht="15" hidden="false" customHeight="false" outlineLevel="0" collapsed="false">
      <c r="M1113" s="35" t="str">
        <f aca="false">IF($A1113="","",HOUR($A1113))</f>
        <v/>
      </c>
      <c r="N1113" s="36" t="str">
        <f aca="false">IF($A1113="","",$I1113*$K1113)</f>
        <v/>
      </c>
      <c r="O1113" s="35" t="str">
        <f aca="false">IF(OR($A1113="",$C1113="U",$S1113&lt;&gt;Calc!$F$2),"",SUMIFS($I$3:$I$3002,$E$3:$E$3002,$E1113,$C$3:$C$3002,"&lt;&gt;U",$S$3:$S$3002,Calc!$F$2))</f>
        <v/>
      </c>
      <c r="P1113" s="35" t="str">
        <f aca="false">IF(OR($A1113="",$C1113="U",$S1113&lt;&gt;Calc!$F$2),"",SUMIFS($N$3:$N$3002,$E$3:$E$3002,$E1113,$C$3:$C$3002,"&lt;&gt;U",$S$3:$S$3002,Calc!$F$2))</f>
        <v/>
      </c>
      <c r="Q1113" s="35" t="str">
        <f aca="false">IF(OR($A1113="",$C1113="U",$S1113&lt;&gt;Calc!$F$2),"",IF(COUNTIFS($E$3:$E1113,$E1113,$C$3:$C1113,"&lt;&gt;U",$S$3:$S1113,Calc!$F$2)=1,1,0))</f>
        <v/>
      </c>
      <c r="R1113" s="35" t="str">
        <f aca="false">IF($Q1113=1,$O1113-ROW()/100000,"")</f>
        <v/>
      </c>
      <c r="S1113" s="37" t="str">
        <f aca="false">IF($A1113="","",INT($A1113))</f>
        <v/>
      </c>
      <c r="T1113" s="35" t="str">
        <f aca="false">IF($A1113="","",IF(COUNTIFS($S$3:$S1113,$S1113)=1,1,0))</f>
        <v/>
      </c>
      <c r="U1113" s="37" t="str">
        <f aca="false">IF($T1113=1,$S1113,"")</f>
        <v/>
      </c>
    </row>
    <row r="1114" customFormat="false" ht="15" hidden="false" customHeight="false" outlineLevel="0" collapsed="false">
      <c r="M1114" s="35" t="str">
        <f aca="false">IF($A1114="","",HOUR($A1114))</f>
        <v/>
      </c>
      <c r="N1114" s="36" t="str">
        <f aca="false">IF($A1114="","",$I1114*$K1114)</f>
        <v/>
      </c>
      <c r="O1114" s="35" t="str">
        <f aca="false">IF(OR($A1114="",$C1114="U",$S1114&lt;&gt;Calc!$F$2),"",SUMIFS($I$3:$I$3002,$E$3:$E$3002,$E1114,$C$3:$C$3002,"&lt;&gt;U",$S$3:$S$3002,Calc!$F$2))</f>
        <v/>
      </c>
      <c r="P1114" s="35" t="str">
        <f aca="false">IF(OR($A1114="",$C1114="U",$S1114&lt;&gt;Calc!$F$2),"",SUMIFS($N$3:$N$3002,$E$3:$E$3002,$E1114,$C$3:$C$3002,"&lt;&gt;U",$S$3:$S$3002,Calc!$F$2))</f>
        <v/>
      </c>
      <c r="Q1114" s="35" t="str">
        <f aca="false">IF(OR($A1114="",$C1114="U",$S1114&lt;&gt;Calc!$F$2),"",IF(COUNTIFS($E$3:$E1114,$E1114,$C$3:$C1114,"&lt;&gt;U",$S$3:$S1114,Calc!$F$2)=1,1,0))</f>
        <v/>
      </c>
      <c r="R1114" s="35" t="str">
        <f aca="false">IF($Q1114=1,$O1114-ROW()/100000,"")</f>
        <v/>
      </c>
      <c r="S1114" s="37" t="str">
        <f aca="false">IF($A1114="","",INT($A1114))</f>
        <v/>
      </c>
      <c r="T1114" s="35" t="str">
        <f aca="false">IF($A1114="","",IF(COUNTIFS($S$3:$S1114,$S1114)=1,1,0))</f>
        <v/>
      </c>
      <c r="U1114" s="37" t="str">
        <f aca="false">IF($T1114=1,$S1114,"")</f>
        <v/>
      </c>
    </row>
    <row r="1115" customFormat="false" ht="15" hidden="false" customHeight="false" outlineLevel="0" collapsed="false">
      <c r="M1115" s="35" t="str">
        <f aca="false">IF($A1115="","",HOUR($A1115))</f>
        <v/>
      </c>
      <c r="N1115" s="36" t="str">
        <f aca="false">IF($A1115="","",$I1115*$K1115)</f>
        <v/>
      </c>
      <c r="O1115" s="35" t="str">
        <f aca="false">IF(OR($A1115="",$C1115="U",$S1115&lt;&gt;Calc!$F$2),"",SUMIFS($I$3:$I$3002,$E$3:$E$3002,$E1115,$C$3:$C$3002,"&lt;&gt;U",$S$3:$S$3002,Calc!$F$2))</f>
        <v/>
      </c>
      <c r="P1115" s="35" t="str">
        <f aca="false">IF(OR($A1115="",$C1115="U",$S1115&lt;&gt;Calc!$F$2),"",SUMIFS($N$3:$N$3002,$E$3:$E$3002,$E1115,$C$3:$C$3002,"&lt;&gt;U",$S$3:$S$3002,Calc!$F$2))</f>
        <v/>
      </c>
      <c r="Q1115" s="35" t="str">
        <f aca="false">IF(OR($A1115="",$C1115="U",$S1115&lt;&gt;Calc!$F$2),"",IF(COUNTIFS($E$3:$E1115,$E1115,$C$3:$C1115,"&lt;&gt;U",$S$3:$S1115,Calc!$F$2)=1,1,0))</f>
        <v/>
      </c>
      <c r="R1115" s="35" t="str">
        <f aca="false">IF($Q1115=1,$O1115-ROW()/100000,"")</f>
        <v/>
      </c>
      <c r="S1115" s="37" t="str">
        <f aca="false">IF($A1115="","",INT($A1115))</f>
        <v/>
      </c>
      <c r="T1115" s="35" t="str">
        <f aca="false">IF($A1115="","",IF(COUNTIFS($S$3:$S1115,$S1115)=1,1,0))</f>
        <v/>
      </c>
      <c r="U1115" s="37" t="str">
        <f aca="false">IF($T1115=1,$S1115,"")</f>
        <v/>
      </c>
    </row>
    <row r="1116" customFormat="false" ht="15" hidden="false" customHeight="false" outlineLevel="0" collapsed="false">
      <c r="M1116" s="35" t="str">
        <f aca="false">IF($A1116="","",HOUR($A1116))</f>
        <v/>
      </c>
      <c r="N1116" s="36" t="str">
        <f aca="false">IF($A1116="","",$I1116*$K1116)</f>
        <v/>
      </c>
      <c r="O1116" s="35" t="str">
        <f aca="false">IF(OR($A1116="",$C1116="U",$S1116&lt;&gt;Calc!$F$2),"",SUMIFS($I$3:$I$3002,$E$3:$E$3002,$E1116,$C$3:$C$3002,"&lt;&gt;U",$S$3:$S$3002,Calc!$F$2))</f>
        <v/>
      </c>
      <c r="P1116" s="35" t="str">
        <f aca="false">IF(OR($A1116="",$C1116="U",$S1116&lt;&gt;Calc!$F$2),"",SUMIFS($N$3:$N$3002,$E$3:$E$3002,$E1116,$C$3:$C$3002,"&lt;&gt;U",$S$3:$S$3002,Calc!$F$2))</f>
        <v/>
      </c>
      <c r="Q1116" s="35" t="str">
        <f aca="false">IF(OR($A1116="",$C1116="U",$S1116&lt;&gt;Calc!$F$2),"",IF(COUNTIFS($E$3:$E1116,$E1116,$C$3:$C1116,"&lt;&gt;U",$S$3:$S1116,Calc!$F$2)=1,1,0))</f>
        <v/>
      </c>
      <c r="R1116" s="35" t="str">
        <f aca="false">IF($Q1116=1,$O1116-ROW()/100000,"")</f>
        <v/>
      </c>
      <c r="S1116" s="37" t="str">
        <f aca="false">IF($A1116="","",INT($A1116))</f>
        <v/>
      </c>
      <c r="T1116" s="35" t="str">
        <f aca="false">IF($A1116="","",IF(COUNTIFS($S$3:$S1116,$S1116)=1,1,0))</f>
        <v/>
      </c>
      <c r="U1116" s="37" t="str">
        <f aca="false">IF($T1116=1,$S1116,"")</f>
        <v/>
      </c>
    </row>
    <row r="1117" customFormat="false" ht="15" hidden="false" customHeight="false" outlineLevel="0" collapsed="false">
      <c r="M1117" s="35" t="str">
        <f aca="false">IF($A1117="","",HOUR($A1117))</f>
        <v/>
      </c>
      <c r="N1117" s="36" t="str">
        <f aca="false">IF($A1117="","",$I1117*$K1117)</f>
        <v/>
      </c>
      <c r="O1117" s="35" t="str">
        <f aca="false">IF(OR($A1117="",$C1117="U",$S1117&lt;&gt;Calc!$F$2),"",SUMIFS($I$3:$I$3002,$E$3:$E$3002,$E1117,$C$3:$C$3002,"&lt;&gt;U",$S$3:$S$3002,Calc!$F$2))</f>
        <v/>
      </c>
      <c r="P1117" s="35" t="str">
        <f aca="false">IF(OR($A1117="",$C1117="U",$S1117&lt;&gt;Calc!$F$2),"",SUMIFS($N$3:$N$3002,$E$3:$E$3002,$E1117,$C$3:$C$3002,"&lt;&gt;U",$S$3:$S$3002,Calc!$F$2))</f>
        <v/>
      </c>
      <c r="Q1117" s="35" t="str">
        <f aca="false">IF(OR($A1117="",$C1117="U",$S1117&lt;&gt;Calc!$F$2),"",IF(COUNTIFS($E$3:$E1117,$E1117,$C$3:$C1117,"&lt;&gt;U",$S$3:$S1117,Calc!$F$2)=1,1,0))</f>
        <v/>
      </c>
      <c r="R1117" s="35" t="str">
        <f aca="false">IF($Q1117=1,$O1117-ROW()/100000,"")</f>
        <v/>
      </c>
      <c r="S1117" s="37" t="str">
        <f aca="false">IF($A1117="","",INT($A1117))</f>
        <v/>
      </c>
      <c r="T1117" s="35" t="str">
        <f aca="false">IF($A1117="","",IF(COUNTIFS($S$3:$S1117,$S1117)=1,1,0))</f>
        <v/>
      </c>
      <c r="U1117" s="37" t="str">
        <f aca="false">IF($T1117=1,$S1117,"")</f>
        <v/>
      </c>
    </row>
    <row r="1118" customFormat="false" ht="15" hidden="false" customHeight="false" outlineLevel="0" collapsed="false">
      <c r="M1118" s="35" t="str">
        <f aca="false">IF($A1118="","",HOUR($A1118))</f>
        <v/>
      </c>
      <c r="N1118" s="36" t="str">
        <f aca="false">IF($A1118="","",$I1118*$K1118)</f>
        <v/>
      </c>
      <c r="O1118" s="35" t="str">
        <f aca="false">IF(OR($A1118="",$C1118="U",$S1118&lt;&gt;Calc!$F$2),"",SUMIFS($I$3:$I$3002,$E$3:$E$3002,$E1118,$C$3:$C$3002,"&lt;&gt;U",$S$3:$S$3002,Calc!$F$2))</f>
        <v/>
      </c>
      <c r="P1118" s="35" t="str">
        <f aca="false">IF(OR($A1118="",$C1118="U",$S1118&lt;&gt;Calc!$F$2),"",SUMIFS($N$3:$N$3002,$E$3:$E$3002,$E1118,$C$3:$C$3002,"&lt;&gt;U",$S$3:$S$3002,Calc!$F$2))</f>
        <v/>
      </c>
      <c r="Q1118" s="35" t="str">
        <f aca="false">IF(OR($A1118="",$C1118="U",$S1118&lt;&gt;Calc!$F$2),"",IF(COUNTIFS($E$3:$E1118,$E1118,$C$3:$C1118,"&lt;&gt;U",$S$3:$S1118,Calc!$F$2)=1,1,0))</f>
        <v/>
      </c>
      <c r="R1118" s="35" t="str">
        <f aca="false">IF($Q1118=1,$O1118-ROW()/100000,"")</f>
        <v/>
      </c>
      <c r="S1118" s="37" t="str">
        <f aca="false">IF($A1118="","",INT($A1118))</f>
        <v/>
      </c>
      <c r="T1118" s="35" t="str">
        <f aca="false">IF($A1118="","",IF(COUNTIFS($S$3:$S1118,$S1118)=1,1,0))</f>
        <v/>
      </c>
      <c r="U1118" s="37" t="str">
        <f aca="false">IF($T1118=1,$S1118,"")</f>
        <v/>
      </c>
    </row>
    <row r="1119" customFormat="false" ht="15" hidden="false" customHeight="false" outlineLevel="0" collapsed="false">
      <c r="M1119" s="35" t="str">
        <f aca="false">IF($A1119="","",HOUR($A1119))</f>
        <v/>
      </c>
      <c r="N1119" s="36" t="str">
        <f aca="false">IF($A1119="","",$I1119*$K1119)</f>
        <v/>
      </c>
      <c r="O1119" s="35" t="str">
        <f aca="false">IF(OR($A1119="",$C1119="U",$S1119&lt;&gt;Calc!$F$2),"",SUMIFS($I$3:$I$3002,$E$3:$E$3002,$E1119,$C$3:$C$3002,"&lt;&gt;U",$S$3:$S$3002,Calc!$F$2))</f>
        <v/>
      </c>
      <c r="P1119" s="35" t="str">
        <f aca="false">IF(OR($A1119="",$C1119="U",$S1119&lt;&gt;Calc!$F$2),"",SUMIFS($N$3:$N$3002,$E$3:$E$3002,$E1119,$C$3:$C$3002,"&lt;&gt;U",$S$3:$S$3002,Calc!$F$2))</f>
        <v/>
      </c>
      <c r="Q1119" s="35" t="str">
        <f aca="false">IF(OR($A1119="",$C1119="U",$S1119&lt;&gt;Calc!$F$2),"",IF(COUNTIFS($E$3:$E1119,$E1119,$C$3:$C1119,"&lt;&gt;U",$S$3:$S1119,Calc!$F$2)=1,1,0))</f>
        <v/>
      </c>
      <c r="R1119" s="35" t="str">
        <f aca="false">IF($Q1119=1,$O1119-ROW()/100000,"")</f>
        <v/>
      </c>
      <c r="S1119" s="37" t="str">
        <f aca="false">IF($A1119="","",INT($A1119))</f>
        <v/>
      </c>
      <c r="T1119" s="35" t="str">
        <f aca="false">IF($A1119="","",IF(COUNTIFS($S$3:$S1119,$S1119)=1,1,0))</f>
        <v/>
      </c>
      <c r="U1119" s="37" t="str">
        <f aca="false">IF($T1119=1,$S1119,"")</f>
        <v/>
      </c>
    </row>
    <row r="1120" customFormat="false" ht="15" hidden="false" customHeight="false" outlineLevel="0" collapsed="false">
      <c r="M1120" s="35" t="str">
        <f aca="false">IF($A1120="","",HOUR($A1120))</f>
        <v/>
      </c>
      <c r="N1120" s="36" t="str">
        <f aca="false">IF($A1120="","",$I1120*$K1120)</f>
        <v/>
      </c>
      <c r="O1120" s="35" t="str">
        <f aca="false">IF(OR($A1120="",$C1120="U",$S1120&lt;&gt;Calc!$F$2),"",SUMIFS($I$3:$I$3002,$E$3:$E$3002,$E1120,$C$3:$C$3002,"&lt;&gt;U",$S$3:$S$3002,Calc!$F$2))</f>
        <v/>
      </c>
      <c r="P1120" s="35" t="str">
        <f aca="false">IF(OR($A1120="",$C1120="U",$S1120&lt;&gt;Calc!$F$2),"",SUMIFS($N$3:$N$3002,$E$3:$E$3002,$E1120,$C$3:$C$3002,"&lt;&gt;U",$S$3:$S$3002,Calc!$F$2))</f>
        <v/>
      </c>
      <c r="Q1120" s="35" t="str">
        <f aca="false">IF(OR($A1120="",$C1120="U",$S1120&lt;&gt;Calc!$F$2),"",IF(COUNTIFS($E$3:$E1120,$E1120,$C$3:$C1120,"&lt;&gt;U",$S$3:$S1120,Calc!$F$2)=1,1,0))</f>
        <v/>
      </c>
      <c r="R1120" s="35" t="str">
        <f aca="false">IF($Q1120=1,$O1120-ROW()/100000,"")</f>
        <v/>
      </c>
      <c r="S1120" s="37" t="str">
        <f aca="false">IF($A1120="","",INT($A1120))</f>
        <v/>
      </c>
      <c r="T1120" s="35" t="str">
        <f aca="false">IF($A1120="","",IF(COUNTIFS($S$3:$S1120,$S1120)=1,1,0))</f>
        <v/>
      </c>
      <c r="U1120" s="37" t="str">
        <f aca="false">IF($T1120=1,$S1120,"")</f>
        <v/>
      </c>
    </row>
    <row r="1121" customFormat="false" ht="15" hidden="false" customHeight="false" outlineLevel="0" collapsed="false">
      <c r="M1121" s="35" t="str">
        <f aca="false">IF($A1121="","",HOUR($A1121))</f>
        <v/>
      </c>
      <c r="N1121" s="36" t="str">
        <f aca="false">IF($A1121="","",$I1121*$K1121)</f>
        <v/>
      </c>
      <c r="O1121" s="35" t="str">
        <f aca="false">IF(OR($A1121="",$C1121="U",$S1121&lt;&gt;Calc!$F$2),"",SUMIFS($I$3:$I$3002,$E$3:$E$3002,$E1121,$C$3:$C$3002,"&lt;&gt;U",$S$3:$S$3002,Calc!$F$2))</f>
        <v/>
      </c>
      <c r="P1121" s="35" t="str">
        <f aca="false">IF(OR($A1121="",$C1121="U",$S1121&lt;&gt;Calc!$F$2),"",SUMIFS($N$3:$N$3002,$E$3:$E$3002,$E1121,$C$3:$C$3002,"&lt;&gt;U",$S$3:$S$3002,Calc!$F$2))</f>
        <v/>
      </c>
      <c r="Q1121" s="35" t="str">
        <f aca="false">IF(OR($A1121="",$C1121="U",$S1121&lt;&gt;Calc!$F$2),"",IF(COUNTIFS($E$3:$E1121,$E1121,$C$3:$C1121,"&lt;&gt;U",$S$3:$S1121,Calc!$F$2)=1,1,0))</f>
        <v/>
      </c>
      <c r="R1121" s="35" t="str">
        <f aca="false">IF($Q1121=1,$O1121-ROW()/100000,"")</f>
        <v/>
      </c>
      <c r="S1121" s="37" t="str">
        <f aca="false">IF($A1121="","",INT($A1121))</f>
        <v/>
      </c>
      <c r="T1121" s="35" t="str">
        <f aca="false">IF($A1121="","",IF(COUNTIFS($S$3:$S1121,$S1121)=1,1,0))</f>
        <v/>
      </c>
      <c r="U1121" s="37" t="str">
        <f aca="false">IF($T1121=1,$S1121,"")</f>
        <v/>
      </c>
    </row>
    <row r="1122" customFormat="false" ht="15" hidden="false" customHeight="false" outlineLevel="0" collapsed="false">
      <c r="M1122" s="35" t="str">
        <f aca="false">IF($A1122="","",HOUR($A1122))</f>
        <v/>
      </c>
      <c r="N1122" s="36" t="str">
        <f aca="false">IF($A1122="","",$I1122*$K1122)</f>
        <v/>
      </c>
      <c r="O1122" s="35" t="str">
        <f aca="false">IF(OR($A1122="",$C1122="U",$S1122&lt;&gt;Calc!$F$2),"",SUMIFS($I$3:$I$3002,$E$3:$E$3002,$E1122,$C$3:$C$3002,"&lt;&gt;U",$S$3:$S$3002,Calc!$F$2))</f>
        <v/>
      </c>
      <c r="P1122" s="35" t="str">
        <f aca="false">IF(OR($A1122="",$C1122="U",$S1122&lt;&gt;Calc!$F$2),"",SUMIFS($N$3:$N$3002,$E$3:$E$3002,$E1122,$C$3:$C$3002,"&lt;&gt;U",$S$3:$S$3002,Calc!$F$2))</f>
        <v/>
      </c>
      <c r="Q1122" s="35" t="str">
        <f aca="false">IF(OR($A1122="",$C1122="U",$S1122&lt;&gt;Calc!$F$2),"",IF(COUNTIFS($E$3:$E1122,$E1122,$C$3:$C1122,"&lt;&gt;U",$S$3:$S1122,Calc!$F$2)=1,1,0))</f>
        <v/>
      </c>
      <c r="R1122" s="35" t="str">
        <f aca="false">IF($Q1122=1,$O1122-ROW()/100000,"")</f>
        <v/>
      </c>
      <c r="S1122" s="37" t="str">
        <f aca="false">IF($A1122="","",INT($A1122))</f>
        <v/>
      </c>
      <c r="T1122" s="35" t="str">
        <f aca="false">IF($A1122="","",IF(COUNTIFS($S$3:$S1122,$S1122)=1,1,0))</f>
        <v/>
      </c>
      <c r="U1122" s="37" t="str">
        <f aca="false">IF($T1122=1,$S1122,"")</f>
        <v/>
      </c>
    </row>
    <row r="1123" customFormat="false" ht="15" hidden="false" customHeight="false" outlineLevel="0" collapsed="false">
      <c r="M1123" s="35" t="str">
        <f aca="false">IF($A1123="","",HOUR($A1123))</f>
        <v/>
      </c>
      <c r="N1123" s="36" t="str">
        <f aca="false">IF($A1123="","",$I1123*$K1123)</f>
        <v/>
      </c>
      <c r="O1123" s="35" t="str">
        <f aca="false">IF(OR($A1123="",$C1123="U",$S1123&lt;&gt;Calc!$F$2),"",SUMIFS($I$3:$I$3002,$E$3:$E$3002,$E1123,$C$3:$C$3002,"&lt;&gt;U",$S$3:$S$3002,Calc!$F$2))</f>
        <v/>
      </c>
      <c r="P1123" s="35" t="str">
        <f aca="false">IF(OR($A1123="",$C1123="U",$S1123&lt;&gt;Calc!$F$2),"",SUMIFS($N$3:$N$3002,$E$3:$E$3002,$E1123,$C$3:$C$3002,"&lt;&gt;U",$S$3:$S$3002,Calc!$F$2))</f>
        <v/>
      </c>
      <c r="Q1123" s="35" t="str">
        <f aca="false">IF(OR($A1123="",$C1123="U",$S1123&lt;&gt;Calc!$F$2),"",IF(COUNTIFS($E$3:$E1123,$E1123,$C$3:$C1123,"&lt;&gt;U",$S$3:$S1123,Calc!$F$2)=1,1,0))</f>
        <v/>
      </c>
      <c r="R1123" s="35" t="str">
        <f aca="false">IF($Q1123=1,$O1123-ROW()/100000,"")</f>
        <v/>
      </c>
      <c r="S1123" s="37" t="str">
        <f aca="false">IF($A1123="","",INT($A1123))</f>
        <v/>
      </c>
      <c r="T1123" s="35" t="str">
        <f aca="false">IF($A1123="","",IF(COUNTIFS($S$3:$S1123,$S1123)=1,1,0))</f>
        <v/>
      </c>
      <c r="U1123" s="37" t="str">
        <f aca="false">IF($T1123=1,$S1123,"")</f>
        <v/>
      </c>
    </row>
    <row r="1124" customFormat="false" ht="15" hidden="false" customHeight="false" outlineLevel="0" collapsed="false">
      <c r="M1124" s="35" t="str">
        <f aca="false">IF($A1124="","",HOUR($A1124))</f>
        <v/>
      </c>
      <c r="N1124" s="36" t="str">
        <f aca="false">IF($A1124="","",$I1124*$K1124)</f>
        <v/>
      </c>
      <c r="O1124" s="35" t="str">
        <f aca="false">IF(OR($A1124="",$C1124="U",$S1124&lt;&gt;Calc!$F$2),"",SUMIFS($I$3:$I$3002,$E$3:$E$3002,$E1124,$C$3:$C$3002,"&lt;&gt;U",$S$3:$S$3002,Calc!$F$2))</f>
        <v/>
      </c>
      <c r="P1124" s="35" t="str">
        <f aca="false">IF(OR($A1124="",$C1124="U",$S1124&lt;&gt;Calc!$F$2),"",SUMIFS($N$3:$N$3002,$E$3:$E$3002,$E1124,$C$3:$C$3002,"&lt;&gt;U",$S$3:$S$3002,Calc!$F$2))</f>
        <v/>
      </c>
      <c r="Q1124" s="35" t="str">
        <f aca="false">IF(OR($A1124="",$C1124="U",$S1124&lt;&gt;Calc!$F$2),"",IF(COUNTIFS($E$3:$E1124,$E1124,$C$3:$C1124,"&lt;&gt;U",$S$3:$S1124,Calc!$F$2)=1,1,0))</f>
        <v/>
      </c>
      <c r="R1124" s="35" t="str">
        <f aca="false">IF($Q1124=1,$O1124-ROW()/100000,"")</f>
        <v/>
      </c>
      <c r="S1124" s="37" t="str">
        <f aca="false">IF($A1124="","",INT($A1124))</f>
        <v/>
      </c>
      <c r="T1124" s="35" t="str">
        <f aca="false">IF($A1124="","",IF(COUNTIFS($S$3:$S1124,$S1124)=1,1,0))</f>
        <v/>
      </c>
      <c r="U1124" s="37" t="str">
        <f aca="false">IF($T1124=1,$S1124,"")</f>
        <v/>
      </c>
    </row>
    <row r="1125" customFormat="false" ht="15" hidden="false" customHeight="false" outlineLevel="0" collapsed="false">
      <c r="M1125" s="35" t="str">
        <f aca="false">IF($A1125="","",HOUR($A1125))</f>
        <v/>
      </c>
      <c r="N1125" s="36" t="str">
        <f aca="false">IF($A1125="","",$I1125*$K1125)</f>
        <v/>
      </c>
      <c r="O1125" s="35" t="str">
        <f aca="false">IF(OR($A1125="",$C1125="U",$S1125&lt;&gt;Calc!$F$2),"",SUMIFS($I$3:$I$3002,$E$3:$E$3002,$E1125,$C$3:$C$3002,"&lt;&gt;U",$S$3:$S$3002,Calc!$F$2))</f>
        <v/>
      </c>
      <c r="P1125" s="35" t="str">
        <f aca="false">IF(OR($A1125="",$C1125="U",$S1125&lt;&gt;Calc!$F$2),"",SUMIFS($N$3:$N$3002,$E$3:$E$3002,$E1125,$C$3:$C$3002,"&lt;&gt;U",$S$3:$S$3002,Calc!$F$2))</f>
        <v/>
      </c>
      <c r="Q1125" s="35" t="str">
        <f aca="false">IF(OR($A1125="",$C1125="U",$S1125&lt;&gt;Calc!$F$2),"",IF(COUNTIFS($E$3:$E1125,$E1125,$C$3:$C1125,"&lt;&gt;U",$S$3:$S1125,Calc!$F$2)=1,1,0))</f>
        <v/>
      </c>
      <c r="R1125" s="35" t="str">
        <f aca="false">IF($Q1125=1,$O1125-ROW()/100000,"")</f>
        <v/>
      </c>
      <c r="S1125" s="37" t="str">
        <f aca="false">IF($A1125="","",INT($A1125))</f>
        <v/>
      </c>
      <c r="T1125" s="35" t="str">
        <f aca="false">IF($A1125="","",IF(COUNTIFS($S$3:$S1125,$S1125)=1,1,0))</f>
        <v/>
      </c>
      <c r="U1125" s="37" t="str">
        <f aca="false">IF($T1125=1,$S1125,"")</f>
        <v/>
      </c>
    </row>
    <row r="1126" customFormat="false" ht="15" hidden="false" customHeight="false" outlineLevel="0" collapsed="false">
      <c r="M1126" s="35" t="str">
        <f aca="false">IF($A1126="","",HOUR($A1126))</f>
        <v/>
      </c>
      <c r="N1126" s="36" t="str">
        <f aca="false">IF($A1126="","",$I1126*$K1126)</f>
        <v/>
      </c>
      <c r="O1126" s="35" t="str">
        <f aca="false">IF(OR($A1126="",$C1126="U",$S1126&lt;&gt;Calc!$F$2),"",SUMIFS($I$3:$I$3002,$E$3:$E$3002,$E1126,$C$3:$C$3002,"&lt;&gt;U",$S$3:$S$3002,Calc!$F$2))</f>
        <v/>
      </c>
      <c r="P1126" s="35" t="str">
        <f aca="false">IF(OR($A1126="",$C1126="U",$S1126&lt;&gt;Calc!$F$2),"",SUMIFS($N$3:$N$3002,$E$3:$E$3002,$E1126,$C$3:$C$3002,"&lt;&gt;U",$S$3:$S$3002,Calc!$F$2))</f>
        <v/>
      </c>
      <c r="Q1126" s="35" t="str">
        <f aca="false">IF(OR($A1126="",$C1126="U",$S1126&lt;&gt;Calc!$F$2),"",IF(COUNTIFS($E$3:$E1126,$E1126,$C$3:$C1126,"&lt;&gt;U",$S$3:$S1126,Calc!$F$2)=1,1,0))</f>
        <v/>
      </c>
      <c r="R1126" s="35" t="str">
        <f aca="false">IF($Q1126=1,$O1126-ROW()/100000,"")</f>
        <v/>
      </c>
      <c r="S1126" s="37" t="str">
        <f aca="false">IF($A1126="","",INT($A1126))</f>
        <v/>
      </c>
      <c r="T1126" s="35" t="str">
        <f aca="false">IF($A1126="","",IF(COUNTIFS($S$3:$S1126,$S1126)=1,1,0))</f>
        <v/>
      </c>
      <c r="U1126" s="37" t="str">
        <f aca="false">IF($T1126=1,$S1126,"")</f>
        <v/>
      </c>
    </row>
    <row r="1127" customFormat="false" ht="15" hidden="false" customHeight="false" outlineLevel="0" collapsed="false">
      <c r="M1127" s="35" t="str">
        <f aca="false">IF($A1127="","",HOUR($A1127))</f>
        <v/>
      </c>
      <c r="N1127" s="36" t="str">
        <f aca="false">IF($A1127="","",$I1127*$K1127)</f>
        <v/>
      </c>
      <c r="O1127" s="35" t="str">
        <f aca="false">IF(OR($A1127="",$C1127="U",$S1127&lt;&gt;Calc!$F$2),"",SUMIFS($I$3:$I$3002,$E$3:$E$3002,$E1127,$C$3:$C$3002,"&lt;&gt;U",$S$3:$S$3002,Calc!$F$2))</f>
        <v/>
      </c>
      <c r="P1127" s="35" t="str">
        <f aca="false">IF(OR($A1127="",$C1127="U",$S1127&lt;&gt;Calc!$F$2),"",SUMIFS($N$3:$N$3002,$E$3:$E$3002,$E1127,$C$3:$C$3002,"&lt;&gt;U",$S$3:$S$3002,Calc!$F$2))</f>
        <v/>
      </c>
      <c r="Q1127" s="35" t="str">
        <f aca="false">IF(OR($A1127="",$C1127="U",$S1127&lt;&gt;Calc!$F$2),"",IF(COUNTIFS($E$3:$E1127,$E1127,$C$3:$C1127,"&lt;&gt;U",$S$3:$S1127,Calc!$F$2)=1,1,0))</f>
        <v/>
      </c>
      <c r="R1127" s="35" t="str">
        <f aca="false">IF($Q1127=1,$O1127-ROW()/100000,"")</f>
        <v/>
      </c>
      <c r="S1127" s="37" t="str">
        <f aca="false">IF($A1127="","",INT($A1127))</f>
        <v/>
      </c>
      <c r="T1127" s="35" t="str">
        <f aca="false">IF($A1127="","",IF(COUNTIFS($S$3:$S1127,$S1127)=1,1,0))</f>
        <v/>
      </c>
      <c r="U1127" s="37" t="str">
        <f aca="false">IF($T1127=1,$S1127,"")</f>
        <v/>
      </c>
    </row>
    <row r="1128" customFormat="false" ht="15" hidden="false" customHeight="false" outlineLevel="0" collapsed="false">
      <c r="M1128" s="35" t="str">
        <f aca="false">IF($A1128="","",HOUR($A1128))</f>
        <v/>
      </c>
      <c r="N1128" s="36" t="str">
        <f aca="false">IF($A1128="","",$I1128*$K1128)</f>
        <v/>
      </c>
      <c r="O1128" s="35" t="str">
        <f aca="false">IF(OR($A1128="",$C1128="U",$S1128&lt;&gt;Calc!$F$2),"",SUMIFS($I$3:$I$3002,$E$3:$E$3002,$E1128,$C$3:$C$3002,"&lt;&gt;U",$S$3:$S$3002,Calc!$F$2))</f>
        <v/>
      </c>
      <c r="P1128" s="35" t="str">
        <f aca="false">IF(OR($A1128="",$C1128="U",$S1128&lt;&gt;Calc!$F$2),"",SUMIFS($N$3:$N$3002,$E$3:$E$3002,$E1128,$C$3:$C$3002,"&lt;&gt;U",$S$3:$S$3002,Calc!$F$2))</f>
        <v/>
      </c>
      <c r="Q1128" s="35" t="str">
        <f aca="false">IF(OR($A1128="",$C1128="U",$S1128&lt;&gt;Calc!$F$2),"",IF(COUNTIFS($E$3:$E1128,$E1128,$C$3:$C1128,"&lt;&gt;U",$S$3:$S1128,Calc!$F$2)=1,1,0))</f>
        <v/>
      </c>
      <c r="R1128" s="35" t="str">
        <f aca="false">IF($Q1128=1,$O1128-ROW()/100000,"")</f>
        <v/>
      </c>
      <c r="S1128" s="37" t="str">
        <f aca="false">IF($A1128="","",INT($A1128))</f>
        <v/>
      </c>
      <c r="T1128" s="35" t="str">
        <f aca="false">IF($A1128="","",IF(COUNTIFS($S$3:$S1128,$S1128)=1,1,0))</f>
        <v/>
      </c>
      <c r="U1128" s="37" t="str">
        <f aca="false">IF($T1128=1,$S1128,"")</f>
        <v/>
      </c>
    </row>
    <row r="1129" customFormat="false" ht="15" hidden="false" customHeight="false" outlineLevel="0" collapsed="false">
      <c r="M1129" s="35" t="str">
        <f aca="false">IF($A1129="","",HOUR($A1129))</f>
        <v/>
      </c>
      <c r="N1129" s="36" t="str">
        <f aca="false">IF($A1129="","",$I1129*$K1129)</f>
        <v/>
      </c>
      <c r="O1129" s="35" t="str">
        <f aca="false">IF(OR($A1129="",$C1129="U",$S1129&lt;&gt;Calc!$F$2),"",SUMIFS($I$3:$I$3002,$E$3:$E$3002,$E1129,$C$3:$C$3002,"&lt;&gt;U",$S$3:$S$3002,Calc!$F$2))</f>
        <v/>
      </c>
      <c r="P1129" s="35" t="str">
        <f aca="false">IF(OR($A1129="",$C1129="U",$S1129&lt;&gt;Calc!$F$2),"",SUMIFS($N$3:$N$3002,$E$3:$E$3002,$E1129,$C$3:$C$3002,"&lt;&gt;U",$S$3:$S$3002,Calc!$F$2))</f>
        <v/>
      </c>
      <c r="Q1129" s="35" t="str">
        <f aca="false">IF(OR($A1129="",$C1129="U",$S1129&lt;&gt;Calc!$F$2),"",IF(COUNTIFS($E$3:$E1129,$E1129,$C$3:$C1129,"&lt;&gt;U",$S$3:$S1129,Calc!$F$2)=1,1,0))</f>
        <v/>
      </c>
      <c r="R1129" s="35" t="str">
        <f aca="false">IF($Q1129=1,$O1129-ROW()/100000,"")</f>
        <v/>
      </c>
      <c r="S1129" s="37" t="str">
        <f aca="false">IF($A1129="","",INT($A1129))</f>
        <v/>
      </c>
      <c r="T1129" s="35" t="str">
        <f aca="false">IF($A1129="","",IF(COUNTIFS($S$3:$S1129,$S1129)=1,1,0))</f>
        <v/>
      </c>
      <c r="U1129" s="37" t="str">
        <f aca="false">IF($T1129=1,$S1129,"")</f>
        <v/>
      </c>
    </row>
    <row r="1130" customFormat="false" ht="15" hidden="false" customHeight="false" outlineLevel="0" collapsed="false">
      <c r="M1130" s="35" t="str">
        <f aca="false">IF($A1130="","",HOUR($A1130))</f>
        <v/>
      </c>
      <c r="N1130" s="36" t="str">
        <f aca="false">IF($A1130="","",$I1130*$K1130)</f>
        <v/>
      </c>
      <c r="O1130" s="35" t="str">
        <f aca="false">IF(OR($A1130="",$C1130="U",$S1130&lt;&gt;Calc!$F$2),"",SUMIFS($I$3:$I$3002,$E$3:$E$3002,$E1130,$C$3:$C$3002,"&lt;&gt;U",$S$3:$S$3002,Calc!$F$2))</f>
        <v/>
      </c>
      <c r="P1130" s="35" t="str">
        <f aca="false">IF(OR($A1130="",$C1130="U",$S1130&lt;&gt;Calc!$F$2),"",SUMIFS($N$3:$N$3002,$E$3:$E$3002,$E1130,$C$3:$C$3002,"&lt;&gt;U",$S$3:$S$3002,Calc!$F$2))</f>
        <v/>
      </c>
      <c r="Q1130" s="35" t="str">
        <f aca="false">IF(OR($A1130="",$C1130="U",$S1130&lt;&gt;Calc!$F$2),"",IF(COUNTIFS($E$3:$E1130,$E1130,$C$3:$C1130,"&lt;&gt;U",$S$3:$S1130,Calc!$F$2)=1,1,0))</f>
        <v/>
      </c>
      <c r="R1130" s="35" t="str">
        <f aca="false">IF($Q1130=1,$O1130-ROW()/100000,"")</f>
        <v/>
      </c>
      <c r="S1130" s="37" t="str">
        <f aca="false">IF($A1130="","",INT($A1130))</f>
        <v/>
      </c>
      <c r="T1130" s="35" t="str">
        <f aca="false">IF($A1130="","",IF(COUNTIFS($S$3:$S1130,$S1130)=1,1,0))</f>
        <v/>
      </c>
      <c r="U1130" s="37" t="str">
        <f aca="false">IF($T1130=1,$S1130,"")</f>
        <v/>
      </c>
    </row>
    <row r="1131" customFormat="false" ht="15" hidden="false" customHeight="false" outlineLevel="0" collapsed="false">
      <c r="M1131" s="35" t="str">
        <f aca="false">IF($A1131="","",HOUR($A1131))</f>
        <v/>
      </c>
      <c r="N1131" s="36" t="str">
        <f aca="false">IF($A1131="","",$I1131*$K1131)</f>
        <v/>
      </c>
      <c r="O1131" s="35" t="str">
        <f aca="false">IF(OR($A1131="",$C1131="U",$S1131&lt;&gt;Calc!$F$2),"",SUMIFS($I$3:$I$3002,$E$3:$E$3002,$E1131,$C$3:$C$3002,"&lt;&gt;U",$S$3:$S$3002,Calc!$F$2))</f>
        <v/>
      </c>
      <c r="P1131" s="35" t="str">
        <f aca="false">IF(OR($A1131="",$C1131="U",$S1131&lt;&gt;Calc!$F$2),"",SUMIFS($N$3:$N$3002,$E$3:$E$3002,$E1131,$C$3:$C$3002,"&lt;&gt;U",$S$3:$S$3002,Calc!$F$2))</f>
        <v/>
      </c>
      <c r="Q1131" s="35" t="str">
        <f aca="false">IF(OR($A1131="",$C1131="U",$S1131&lt;&gt;Calc!$F$2),"",IF(COUNTIFS($E$3:$E1131,$E1131,$C$3:$C1131,"&lt;&gt;U",$S$3:$S1131,Calc!$F$2)=1,1,0))</f>
        <v/>
      </c>
      <c r="R1131" s="35" t="str">
        <f aca="false">IF($Q1131=1,$O1131-ROW()/100000,"")</f>
        <v/>
      </c>
      <c r="S1131" s="37" t="str">
        <f aca="false">IF($A1131="","",INT($A1131))</f>
        <v/>
      </c>
      <c r="T1131" s="35" t="str">
        <f aca="false">IF($A1131="","",IF(COUNTIFS($S$3:$S1131,$S1131)=1,1,0))</f>
        <v/>
      </c>
      <c r="U1131" s="37" t="str">
        <f aca="false">IF($T1131=1,$S1131,"")</f>
        <v/>
      </c>
    </row>
    <row r="1132" customFormat="false" ht="15" hidden="false" customHeight="false" outlineLevel="0" collapsed="false">
      <c r="M1132" s="35" t="str">
        <f aca="false">IF($A1132="","",HOUR($A1132))</f>
        <v/>
      </c>
      <c r="N1132" s="36" t="str">
        <f aca="false">IF($A1132="","",$I1132*$K1132)</f>
        <v/>
      </c>
      <c r="O1132" s="35" t="str">
        <f aca="false">IF(OR($A1132="",$C1132="U",$S1132&lt;&gt;Calc!$F$2),"",SUMIFS($I$3:$I$3002,$E$3:$E$3002,$E1132,$C$3:$C$3002,"&lt;&gt;U",$S$3:$S$3002,Calc!$F$2))</f>
        <v/>
      </c>
      <c r="P1132" s="35" t="str">
        <f aca="false">IF(OR($A1132="",$C1132="U",$S1132&lt;&gt;Calc!$F$2),"",SUMIFS($N$3:$N$3002,$E$3:$E$3002,$E1132,$C$3:$C$3002,"&lt;&gt;U",$S$3:$S$3002,Calc!$F$2))</f>
        <v/>
      </c>
      <c r="Q1132" s="35" t="str">
        <f aca="false">IF(OR($A1132="",$C1132="U",$S1132&lt;&gt;Calc!$F$2),"",IF(COUNTIFS($E$3:$E1132,$E1132,$C$3:$C1132,"&lt;&gt;U",$S$3:$S1132,Calc!$F$2)=1,1,0))</f>
        <v/>
      </c>
      <c r="R1132" s="35" t="str">
        <f aca="false">IF($Q1132=1,$O1132-ROW()/100000,"")</f>
        <v/>
      </c>
      <c r="S1132" s="37" t="str">
        <f aca="false">IF($A1132="","",INT($A1132))</f>
        <v/>
      </c>
      <c r="T1132" s="35" t="str">
        <f aca="false">IF($A1132="","",IF(COUNTIFS($S$3:$S1132,$S1132)=1,1,0))</f>
        <v/>
      </c>
      <c r="U1132" s="37" t="str">
        <f aca="false">IF($T1132=1,$S1132,"")</f>
        <v/>
      </c>
    </row>
    <row r="1133" customFormat="false" ht="15" hidden="false" customHeight="false" outlineLevel="0" collapsed="false">
      <c r="M1133" s="35" t="str">
        <f aca="false">IF($A1133="","",HOUR($A1133))</f>
        <v/>
      </c>
      <c r="N1133" s="36" t="str">
        <f aca="false">IF($A1133="","",$I1133*$K1133)</f>
        <v/>
      </c>
      <c r="O1133" s="35" t="str">
        <f aca="false">IF(OR($A1133="",$C1133="U",$S1133&lt;&gt;Calc!$F$2),"",SUMIFS($I$3:$I$3002,$E$3:$E$3002,$E1133,$C$3:$C$3002,"&lt;&gt;U",$S$3:$S$3002,Calc!$F$2))</f>
        <v/>
      </c>
      <c r="P1133" s="35" t="str">
        <f aca="false">IF(OR($A1133="",$C1133="U",$S1133&lt;&gt;Calc!$F$2),"",SUMIFS($N$3:$N$3002,$E$3:$E$3002,$E1133,$C$3:$C$3002,"&lt;&gt;U",$S$3:$S$3002,Calc!$F$2))</f>
        <v/>
      </c>
      <c r="Q1133" s="35" t="str">
        <f aca="false">IF(OR($A1133="",$C1133="U",$S1133&lt;&gt;Calc!$F$2),"",IF(COUNTIFS($E$3:$E1133,$E1133,$C$3:$C1133,"&lt;&gt;U",$S$3:$S1133,Calc!$F$2)=1,1,0))</f>
        <v/>
      </c>
      <c r="R1133" s="35" t="str">
        <f aca="false">IF($Q1133=1,$O1133-ROW()/100000,"")</f>
        <v/>
      </c>
      <c r="S1133" s="37" t="str">
        <f aca="false">IF($A1133="","",INT($A1133))</f>
        <v/>
      </c>
      <c r="T1133" s="35" t="str">
        <f aca="false">IF($A1133="","",IF(COUNTIFS($S$3:$S1133,$S1133)=1,1,0))</f>
        <v/>
      </c>
      <c r="U1133" s="37" t="str">
        <f aca="false">IF($T1133=1,$S1133,"")</f>
        <v/>
      </c>
    </row>
    <row r="1134" customFormat="false" ht="15" hidden="false" customHeight="false" outlineLevel="0" collapsed="false">
      <c r="M1134" s="35" t="str">
        <f aca="false">IF($A1134="","",HOUR($A1134))</f>
        <v/>
      </c>
      <c r="N1134" s="36" t="str">
        <f aca="false">IF($A1134="","",$I1134*$K1134)</f>
        <v/>
      </c>
      <c r="O1134" s="35" t="str">
        <f aca="false">IF(OR($A1134="",$C1134="U",$S1134&lt;&gt;Calc!$F$2),"",SUMIFS($I$3:$I$3002,$E$3:$E$3002,$E1134,$C$3:$C$3002,"&lt;&gt;U",$S$3:$S$3002,Calc!$F$2))</f>
        <v/>
      </c>
      <c r="P1134" s="35" t="str">
        <f aca="false">IF(OR($A1134="",$C1134="U",$S1134&lt;&gt;Calc!$F$2),"",SUMIFS($N$3:$N$3002,$E$3:$E$3002,$E1134,$C$3:$C$3002,"&lt;&gt;U",$S$3:$S$3002,Calc!$F$2))</f>
        <v/>
      </c>
      <c r="Q1134" s="35" t="str">
        <f aca="false">IF(OR($A1134="",$C1134="U",$S1134&lt;&gt;Calc!$F$2),"",IF(COUNTIFS($E$3:$E1134,$E1134,$C$3:$C1134,"&lt;&gt;U",$S$3:$S1134,Calc!$F$2)=1,1,0))</f>
        <v/>
      </c>
      <c r="R1134" s="35" t="str">
        <f aca="false">IF($Q1134=1,$O1134-ROW()/100000,"")</f>
        <v/>
      </c>
      <c r="S1134" s="37" t="str">
        <f aca="false">IF($A1134="","",INT($A1134))</f>
        <v/>
      </c>
      <c r="T1134" s="35" t="str">
        <f aca="false">IF($A1134="","",IF(COUNTIFS($S$3:$S1134,$S1134)=1,1,0))</f>
        <v/>
      </c>
      <c r="U1134" s="37" t="str">
        <f aca="false">IF($T1134=1,$S1134,"")</f>
        <v/>
      </c>
    </row>
    <row r="1135" customFormat="false" ht="15" hidden="false" customHeight="false" outlineLevel="0" collapsed="false">
      <c r="M1135" s="35" t="str">
        <f aca="false">IF($A1135="","",HOUR($A1135))</f>
        <v/>
      </c>
      <c r="N1135" s="36" t="str">
        <f aca="false">IF($A1135="","",$I1135*$K1135)</f>
        <v/>
      </c>
      <c r="O1135" s="35" t="str">
        <f aca="false">IF(OR($A1135="",$C1135="U",$S1135&lt;&gt;Calc!$F$2),"",SUMIFS($I$3:$I$3002,$E$3:$E$3002,$E1135,$C$3:$C$3002,"&lt;&gt;U",$S$3:$S$3002,Calc!$F$2))</f>
        <v/>
      </c>
      <c r="P1135" s="35" t="str">
        <f aca="false">IF(OR($A1135="",$C1135="U",$S1135&lt;&gt;Calc!$F$2),"",SUMIFS($N$3:$N$3002,$E$3:$E$3002,$E1135,$C$3:$C$3002,"&lt;&gt;U",$S$3:$S$3002,Calc!$F$2))</f>
        <v/>
      </c>
      <c r="Q1135" s="35" t="str">
        <f aca="false">IF(OR($A1135="",$C1135="U",$S1135&lt;&gt;Calc!$F$2),"",IF(COUNTIFS($E$3:$E1135,$E1135,$C$3:$C1135,"&lt;&gt;U",$S$3:$S1135,Calc!$F$2)=1,1,0))</f>
        <v/>
      </c>
      <c r="R1135" s="35" t="str">
        <f aca="false">IF($Q1135=1,$O1135-ROW()/100000,"")</f>
        <v/>
      </c>
      <c r="S1135" s="37" t="str">
        <f aca="false">IF($A1135="","",INT($A1135))</f>
        <v/>
      </c>
      <c r="T1135" s="35" t="str">
        <f aca="false">IF($A1135="","",IF(COUNTIFS($S$3:$S1135,$S1135)=1,1,0))</f>
        <v/>
      </c>
      <c r="U1135" s="37" t="str">
        <f aca="false">IF($T1135=1,$S1135,"")</f>
        <v/>
      </c>
    </row>
    <row r="1136" customFormat="false" ht="15" hidden="false" customHeight="false" outlineLevel="0" collapsed="false">
      <c r="M1136" s="35" t="str">
        <f aca="false">IF($A1136="","",HOUR($A1136))</f>
        <v/>
      </c>
      <c r="N1136" s="36" t="str">
        <f aca="false">IF($A1136="","",$I1136*$K1136)</f>
        <v/>
      </c>
      <c r="O1136" s="35" t="str">
        <f aca="false">IF(OR($A1136="",$C1136="U",$S1136&lt;&gt;Calc!$F$2),"",SUMIFS($I$3:$I$3002,$E$3:$E$3002,$E1136,$C$3:$C$3002,"&lt;&gt;U",$S$3:$S$3002,Calc!$F$2))</f>
        <v/>
      </c>
      <c r="P1136" s="35" t="str">
        <f aca="false">IF(OR($A1136="",$C1136="U",$S1136&lt;&gt;Calc!$F$2),"",SUMIFS($N$3:$N$3002,$E$3:$E$3002,$E1136,$C$3:$C$3002,"&lt;&gt;U",$S$3:$S$3002,Calc!$F$2))</f>
        <v/>
      </c>
      <c r="Q1136" s="35" t="str">
        <f aca="false">IF(OR($A1136="",$C1136="U",$S1136&lt;&gt;Calc!$F$2),"",IF(COUNTIFS($E$3:$E1136,$E1136,$C$3:$C1136,"&lt;&gt;U",$S$3:$S1136,Calc!$F$2)=1,1,0))</f>
        <v/>
      </c>
      <c r="R1136" s="35" t="str">
        <f aca="false">IF($Q1136=1,$O1136-ROW()/100000,"")</f>
        <v/>
      </c>
      <c r="S1136" s="37" t="str">
        <f aca="false">IF($A1136="","",INT($A1136))</f>
        <v/>
      </c>
      <c r="T1136" s="35" t="str">
        <f aca="false">IF($A1136="","",IF(COUNTIFS($S$3:$S1136,$S1136)=1,1,0))</f>
        <v/>
      </c>
      <c r="U1136" s="37" t="str">
        <f aca="false">IF($T1136=1,$S1136,"")</f>
        <v/>
      </c>
    </row>
    <row r="1137" customFormat="false" ht="15" hidden="false" customHeight="false" outlineLevel="0" collapsed="false">
      <c r="M1137" s="35" t="str">
        <f aca="false">IF($A1137="","",HOUR($A1137))</f>
        <v/>
      </c>
      <c r="N1137" s="36" t="str">
        <f aca="false">IF($A1137="","",$I1137*$K1137)</f>
        <v/>
      </c>
      <c r="O1137" s="35" t="str">
        <f aca="false">IF(OR($A1137="",$C1137="U",$S1137&lt;&gt;Calc!$F$2),"",SUMIFS($I$3:$I$3002,$E$3:$E$3002,$E1137,$C$3:$C$3002,"&lt;&gt;U",$S$3:$S$3002,Calc!$F$2))</f>
        <v/>
      </c>
      <c r="P1137" s="35" t="str">
        <f aca="false">IF(OR($A1137="",$C1137="U",$S1137&lt;&gt;Calc!$F$2),"",SUMIFS($N$3:$N$3002,$E$3:$E$3002,$E1137,$C$3:$C$3002,"&lt;&gt;U",$S$3:$S$3002,Calc!$F$2))</f>
        <v/>
      </c>
      <c r="Q1137" s="35" t="str">
        <f aca="false">IF(OR($A1137="",$C1137="U",$S1137&lt;&gt;Calc!$F$2),"",IF(COUNTIFS($E$3:$E1137,$E1137,$C$3:$C1137,"&lt;&gt;U",$S$3:$S1137,Calc!$F$2)=1,1,0))</f>
        <v/>
      </c>
      <c r="R1137" s="35" t="str">
        <f aca="false">IF($Q1137=1,$O1137-ROW()/100000,"")</f>
        <v/>
      </c>
      <c r="S1137" s="37" t="str">
        <f aca="false">IF($A1137="","",INT($A1137))</f>
        <v/>
      </c>
      <c r="T1137" s="35" t="str">
        <f aca="false">IF($A1137="","",IF(COUNTIFS($S$3:$S1137,$S1137)=1,1,0))</f>
        <v/>
      </c>
      <c r="U1137" s="37" t="str">
        <f aca="false">IF($T1137=1,$S1137,"")</f>
        <v/>
      </c>
    </row>
    <row r="1138" customFormat="false" ht="15" hidden="false" customHeight="false" outlineLevel="0" collapsed="false">
      <c r="M1138" s="35" t="str">
        <f aca="false">IF($A1138="","",HOUR($A1138))</f>
        <v/>
      </c>
      <c r="N1138" s="36" t="str">
        <f aca="false">IF($A1138="","",$I1138*$K1138)</f>
        <v/>
      </c>
      <c r="O1138" s="35" t="str">
        <f aca="false">IF(OR($A1138="",$C1138="U",$S1138&lt;&gt;Calc!$F$2),"",SUMIFS($I$3:$I$3002,$E$3:$E$3002,$E1138,$C$3:$C$3002,"&lt;&gt;U",$S$3:$S$3002,Calc!$F$2))</f>
        <v/>
      </c>
      <c r="P1138" s="35" t="str">
        <f aca="false">IF(OR($A1138="",$C1138="U",$S1138&lt;&gt;Calc!$F$2),"",SUMIFS($N$3:$N$3002,$E$3:$E$3002,$E1138,$C$3:$C$3002,"&lt;&gt;U",$S$3:$S$3002,Calc!$F$2))</f>
        <v/>
      </c>
      <c r="Q1138" s="35" t="str">
        <f aca="false">IF(OR($A1138="",$C1138="U",$S1138&lt;&gt;Calc!$F$2),"",IF(COUNTIFS($E$3:$E1138,$E1138,$C$3:$C1138,"&lt;&gt;U",$S$3:$S1138,Calc!$F$2)=1,1,0))</f>
        <v/>
      </c>
      <c r="R1138" s="35" t="str">
        <f aca="false">IF($Q1138=1,$O1138-ROW()/100000,"")</f>
        <v/>
      </c>
      <c r="S1138" s="37" t="str">
        <f aca="false">IF($A1138="","",INT($A1138))</f>
        <v/>
      </c>
      <c r="T1138" s="35" t="str">
        <f aca="false">IF($A1138="","",IF(COUNTIFS($S$3:$S1138,$S1138)=1,1,0))</f>
        <v/>
      </c>
      <c r="U1138" s="37" t="str">
        <f aca="false">IF($T1138=1,$S1138,"")</f>
        <v/>
      </c>
    </row>
    <row r="1139" customFormat="false" ht="15" hidden="false" customHeight="false" outlineLevel="0" collapsed="false">
      <c r="M1139" s="35" t="str">
        <f aca="false">IF($A1139="","",HOUR($A1139))</f>
        <v/>
      </c>
      <c r="N1139" s="36" t="str">
        <f aca="false">IF($A1139="","",$I1139*$K1139)</f>
        <v/>
      </c>
      <c r="O1139" s="35" t="str">
        <f aca="false">IF(OR($A1139="",$C1139="U",$S1139&lt;&gt;Calc!$F$2),"",SUMIFS($I$3:$I$3002,$E$3:$E$3002,$E1139,$C$3:$C$3002,"&lt;&gt;U",$S$3:$S$3002,Calc!$F$2))</f>
        <v/>
      </c>
      <c r="P1139" s="35" t="str">
        <f aca="false">IF(OR($A1139="",$C1139="U",$S1139&lt;&gt;Calc!$F$2),"",SUMIFS($N$3:$N$3002,$E$3:$E$3002,$E1139,$C$3:$C$3002,"&lt;&gt;U",$S$3:$S$3002,Calc!$F$2))</f>
        <v/>
      </c>
      <c r="Q1139" s="35" t="str">
        <f aca="false">IF(OR($A1139="",$C1139="U",$S1139&lt;&gt;Calc!$F$2),"",IF(COUNTIFS($E$3:$E1139,$E1139,$C$3:$C1139,"&lt;&gt;U",$S$3:$S1139,Calc!$F$2)=1,1,0))</f>
        <v/>
      </c>
      <c r="R1139" s="35" t="str">
        <f aca="false">IF($Q1139=1,$O1139-ROW()/100000,"")</f>
        <v/>
      </c>
      <c r="S1139" s="37" t="str">
        <f aca="false">IF($A1139="","",INT($A1139))</f>
        <v/>
      </c>
      <c r="T1139" s="35" t="str">
        <f aca="false">IF($A1139="","",IF(COUNTIFS($S$3:$S1139,$S1139)=1,1,0))</f>
        <v/>
      </c>
      <c r="U1139" s="37" t="str">
        <f aca="false">IF($T1139=1,$S1139,"")</f>
        <v/>
      </c>
    </row>
    <row r="1140" customFormat="false" ht="15" hidden="false" customHeight="false" outlineLevel="0" collapsed="false">
      <c r="M1140" s="35" t="str">
        <f aca="false">IF($A1140="","",HOUR($A1140))</f>
        <v/>
      </c>
      <c r="N1140" s="36" t="str">
        <f aca="false">IF($A1140="","",$I1140*$K1140)</f>
        <v/>
      </c>
      <c r="O1140" s="35" t="str">
        <f aca="false">IF(OR($A1140="",$C1140="U",$S1140&lt;&gt;Calc!$F$2),"",SUMIFS($I$3:$I$3002,$E$3:$E$3002,$E1140,$C$3:$C$3002,"&lt;&gt;U",$S$3:$S$3002,Calc!$F$2))</f>
        <v/>
      </c>
      <c r="P1140" s="35" t="str">
        <f aca="false">IF(OR($A1140="",$C1140="U",$S1140&lt;&gt;Calc!$F$2),"",SUMIFS($N$3:$N$3002,$E$3:$E$3002,$E1140,$C$3:$C$3002,"&lt;&gt;U",$S$3:$S$3002,Calc!$F$2))</f>
        <v/>
      </c>
      <c r="Q1140" s="35" t="str">
        <f aca="false">IF(OR($A1140="",$C1140="U",$S1140&lt;&gt;Calc!$F$2),"",IF(COUNTIFS($E$3:$E1140,$E1140,$C$3:$C1140,"&lt;&gt;U",$S$3:$S1140,Calc!$F$2)=1,1,0))</f>
        <v/>
      </c>
      <c r="R1140" s="35" t="str">
        <f aca="false">IF($Q1140=1,$O1140-ROW()/100000,"")</f>
        <v/>
      </c>
      <c r="S1140" s="37" t="str">
        <f aca="false">IF($A1140="","",INT($A1140))</f>
        <v/>
      </c>
      <c r="T1140" s="35" t="str">
        <f aca="false">IF($A1140="","",IF(COUNTIFS($S$3:$S1140,$S1140)=1,1,0))</f>
        <v/>
      </c>
      <c r="U1140" s="37" t="str">
        <f aca="false">IF($T1140=1,$S1140,"")</f>
        <v/>
      </c>
    </row>
    <row r="1141" customFormat="false" ht="15" hidden="false" customHeight="false" outlineLevel="0" collapsed="false">
      <c r="M1141" s="35" t="str">
        <f aca="false">IF($A1141="","",HOUR($A1141))</f>
        <v/>
      </c>
      <c r="N1141" s="36" t="str">
        <f aca="false">IF($A1141="","",$I1141*$K1141)</f>
        <v/>
      </c>
      <c r="O1141" s="35" t="str">
        <f aca="false">IF(OR($A1141="",$C1141="U",$S1141&lt;&gt;Calc!$F$2),"",SUMIFS($I$3:$I$3002,$E$3:$E$3002,$E1141,$C$3:$C$3002,"&lt;&gt;U",$S$3:$S$3002,Calc!$F$2))</f>
        <v/>
      </c>
      <c r="P1141" s="35" t="str">
        <f aca="false">IF(OR($A1141="",$C1141="U",$S1141&lt;&gt;Calc!$F$2),"",SUMIFS($N$3:$N$3002,$E$3:$E$3002,$E1141,$C$3:$C$3002,"&lt;&gt;U",$S$3:$S$3002,Calc!$F$2))</f>
        <v/>
      </c>
      <c r="Q1141" s="35" t="str">
        <f aca="false">IF(OR($A1141="",$C1141="U",$S1141&lt;&gt;Calc!$F$2),"",IF(COUNTIFS($E$3:$E1141,$E1141,$C$3:$C1141,"&lt;&gt;U",$S$3:$S1141,Calc!$F$2)=1,1,0))</f>
        <v/>
      </c>
      <c r="R1141" s="35" t="str">
        <f aca="false">IF($Q1141=1,$O1141-ROW()/100000,"")</f>
        <v/>
      </c>
      <c r="S1141" s="37" t="str">
        <f aca="false">IF($A1141="","",INT($A1141))</f>
        <v/>
      </c>
      <c r="T1141" s="35" t="str">
        <f aca="false">IF($A1141="","",IF(COUNTIFS($S$3:$S1141,$S1141)=1,1,0))</f>
        <v/>
      </c>
      <c r="U1141" s="37" t="str">
        <f aca="false">IF($T1141=1,$S1141,"")</f>
        <v/>
      </c>
    </row>
    <row r="1142" customFormat="false" ht="15" hidden="false" customHeight="false" outlineLevel="0" collapsed="false">
      <c r="M1142" s="35" t="str">
        <f aca="false">IF($A1142="","",HOUR($A1142))</f>
        <v/>
      </c>
      <c r="N1142" s="36" t="str">
        <f aca="false">IF($A1142="","",$I1142*$K1142)</f>
        <v/>
      </c>
      <c r="O1142" s="35" t="str">
        <f aca="false">IF(OR($A1142="",$C1142="U",$S1142&lt;&gt;Calc!$F$2),"",SUMIFS($I$3:$I$3002,$E$3:$E$3002,$E1142,$C$3:$C$3002,"&lt;&gt;U",$S$3:$S$3002,Calc!$F$2))</f>
        <v/>
      </c>
      <c r="P1142" s="35" t="str">
        <f aca="false">IF(OR($A1142="",$C1142="U",$S1142&lt;&gt;Calc!$F$2),"",SUMIFS($N$3:$N$3002,$E$3:$E$3002,$E1142,$C$3:$C$3002,"&lt;&gt;U",$S$3:$S$3002,Calc!$F$2))</f>
        <v/>
      </c>
      <c r="Q1142" s="35" t="str">
        <f aca="false">IF(OR($A1142="",$C1142="U",$S1142&lt;&gt;Calc!$F$2),"",IF(COUNTIFS($E$3:$E1142,$E1142,$C$3:$C1142,"&lt;&gt;U",$S$3:$S1142,Calc!$F$2)=1,1,0))</f>
        <v/>
      </c>
      <c r="R1142" s="35" t="str">
        <f aca="false">IF($Q1142=1,$O1142-ROW()/100000,"")</f>
        <v/>
      </c>
      <c r="S1142" s="37" t="str">
        <f aca="false">IF($A1142="","",INT($A1142))</f>
        <v/>
      </c>
      <c r="T1142" s="35" t="str">
        <f aca="false">IF($A1142="","",IF(COUNTIFS($S$3:$S1142,$S1142)=1,1,0))</f>
        <v/>
      </c>
      <c r="U1142" s="37" t="str">
        <f aca="false">IF($T1142=1,$S1142,"")</f>
        <v/>
      </c>
    </row>
    <row r="1143" customFormat="false" ht="15" hidden="false" customHeight="false" outlineLevel="0" collapsed="false">
      <c r="M1143" s="35" t="str">
        <f aca="false">IF($A1143="","",HOUR($A1143))</f>
        <v/>
      </c>
      <c r="N1143" s="36" t="str">
        <f aca="false">IF($A1143="","",$I1143*$K1143)</f>
        <v/>
      </c>
      <c r="O1143" s="35" t="str">
        <f aca="false">IF(OR($A1143="",$C1143="U",$S1143&lt;&gt;Calc!$F$2),"",SUMIFS($I$3:$I$3002,$E$3:$E$3002,$E1143,$C$3:$C$3002,"&lt;&gt;U",$S$3:$S$3002,Calc!$F$2))</f>
        <v/>
      </c>
      <c r="P1143" s="35" t="str">
        <f aca="false">IF(OR($A1143="",$C1143="U",$S1143&lt;&gt;Calc!$F$2),"",SUMIFS($N$3:$N$3002,$E$3:$E$3002,$E1143,$C$3:$C$3002,"&lt;&gt;U",$S$3:$S$3002,Calc!$F$2))</f>
        <v/>
      </c>
      <c r="Q1143" s="35" t="str">
        <f aca="false">IF(OR($A1143="",$C1143="U",$S1143&lt;&gt;Calc!$F$2),"",IF(COUNTIFS($E$3:$E1143,$E1143,$C$3:$C1143,"&lt;&gt;U",$S$3:$S1143,Calc!$F$2)=1,1,0))</f>
        <v/>
      </c>
      <c r="R1143" s="35" t="str">
        <f aca="false">IF($Q1143=1,$O1143-ROW()/100000,"")</f>
        <v/>
      </c>
      <c r="S1143" s="37" t="str">
        <f aca="false">IF($A1143="","",INT($A1143))</f>
        <v/>
      </c>
      <c r="T1143" s="35" t="str">
        <f aca="false">IF($A1143="","",IF(COUNTIFS($S$3:$S1143,$S1143)=1,1,0))</f>
        <v/>
      </c>
      <c r="U1143" s="37" t="str">
        <f aca="false">IF($T1143=1,$S1143,"")</f>
        <v/>
      </c>
    </row>
    <row r="1144" customFormat="false" ht="15" hidden="false" customHeight="false" outlineLevel="0" collapsed="false">
      <c r="M1144" s="35" t="str">
        <f aca="false">IF($A1144="","",HOUR($A1144))</f>
        <v/>
      </c>
      <c r="N1144" s="36" t="str">
        <f aca="false">IF($A1144="","",$I1144*$K1144)</f>
        <v/>
      </c>
      <c r="O1144" s="35" t="str">
        <f aca="false">IF(OR($A1144="",$C1144="U",$S1144&lt;&gt;Calc!$F$2),"",SUMIFS($I$3:$I$3002,$E$3:$E$3002,$E1144,$C$3:$C$3002,"&lt;&gt;U",$S$3:$S$3002,Calc!$F$2))</f>
        <v/>
      </c>
      <c r="P1144" s="35" t="str">
        <f aca="false">IF(OR($A1144="",$C1144="U",$S1144&lt;&gt;Calc!$F$2),"",SUMIFS($N$3:$N$3002,$E$3:$E$3002,$E1144,$C$3:$C$3002,"&lt;&gt;U",$S$3:$S$3002,Calc!$F$2))</f>
        <v/>
      </c>
      <c r="Q1144" s="35" t="str">
        <f aca="false">IF(OR($A1144="",$C1144="U",$S1144&lt;&gt;Calc!$F$2),"",IF(COUNTIFS($E$3:$E1144,$E1144,$C$3:$C1144,"&lt;&gt;U",$S$3:$S1144,Calc!$F$2)=1,1,0))</f>
        <v/>
      </c>
      <c r="R1144" s="35" t="str">
        <f aca="false">IF($Q1144=1,$O1144-ROW()/100000,"")</f>
        <v/>
      </c>
      <c r="S1144" s="37" t="str">
        <f aca="false">IF($A1144="","",INT($A1144))</f>
        <v/>
      </c>
      <c r="T1144" s="35" t="str">
        <f aca="false">IF($A1144="","",IF(COUNTIFS($S$3:$S1144,$S1144)=1,1,0))</f>
        <v/>
      </c>
      <c r="U1144" s="37" t="str">
        <f aca="false">IF($T1144=1,$S1144,"")</f>
        <v/>
      </c>
    </row>
    <row r="1145" customFormat="false" ht="15" hidden="false" customHeight="false" outlineLevel="0" collapsed="false">
      <c r="M1145" s="35" t="str">
        <f aca="false">IF($A1145="","",HOUR($A1145))</f>
        <v/>
      </c>
      <c r="N1145" s="36" t="str">
        <f aca="false">IF($A1145="","",$I1145*$K1145)</f>
        <v/>
      </c>
      <c r="O1145" s="35" t="str">
        <f aca="false">IF(OR($A1145="",$C1145="U",$S1145&lt;&gt;Calc!$F$2),"",SUMIFS($I$3:$I$3002,$E$3:$E$3002,$E1145,$C$3:$C$3002,"&lt;&gt;U",$S$3:$S$3002,Calc!$F$2))</f>
        <v/>
      </c>
      <c r="P1145" s="35" t="str">
        <f aca="false">IF(OR($A1145="",$C1145="U",$S1145&lt;&gt;Calc!$F$2),"",SUMIFS($N$3:$N$3002,$E$3:$E$3002,$E1145,$C$3:$C$3002,"&lt;&gt;U",$S$3:$S$3002,Calc!$F$2))</f>
        <v/>
      </c>
      <c r="Q1145" s="35" t="str">
        <f aca="false">IF(OR($A1145="",$C1145="U",$S1145&lt;&gt;Calc!$F$2),"",IF(COUNTIFS($E$3:$E1145,$E1145,$C$3:$C1145,"&lt;&gt;U",$S$3:$S1145,Calc!$F$2)=1,1,0))</f>
        <v/>
      </c>
      <c r="R1145" s="35" t="str">
        <f aca="false">IF($Q1145=1,$O1145-ROW()/100000,"")</f>
        <v/>
      </c>
      <c r="S1145" s="37" t="str">
        <f aca="false">IF($A1145="","",INT($A1145))</f>
        <v/>
      </c>
      <c r="T1145" s="35" t="str">
        <f aca="false">IF($A1145="","",IF(COUNTIFS($S$3:$S1145,$S1145)=1,1,0))</f>
        <v/>
      </c>
      <c r="U1145" s="37" t="str">
        <f aca="false">IF($T1145=1,$S1145,"")</f>
        <v/>
      </c>
    </row>
    <row r="1146" customFormat="false" ht="15" hidden="false" customHeight="false" outlineLevel="0" collapsed="false">
      <c r="M1146" s="35" t="str">
        <f aca="false">IF($A1146="","",HOUR($A1146))</f>
        <v/>
      </c>
      <c r="N1146" s="36" t="str">
        <f aca="false">IF($A1146="","",$I1146*$K1146)</f>
        <v/>
      </c>
      <c r="O1146" s="35" t="str">
        <f aca="false">IF(OR($A1146="",$C1146="U",$S1146&lt;&gt;Calc!$F$2),"",SUMIFS($I$3:$I$3002,$E$3:$E$3002,$E1146,$C$3:$C$3002,"&lt;&gt;U",$S$3:$S$3002,Calc!$F$2))</f>
        <v/>
      </c>
      <c r="P1146" s="35" t="str">
        <f aca="false">IF(OR($A1146="",$C1146="U",$S1146&lt;&gt;Calc!$F$2),"",SUMIFS($N$3:$N$3002,$E$3:$E$3002,$E1146,$C$3:$C$3002,"&lt;&gt;U",$S$3:$S$3002,Calc!$F$2))</f>
        <v/>
      </c>
      <c r="Q1146" s="35" t="str">
        <f aca="false">IF(OR($A1146="",$C1146="U",$S1146&lt;&gt;Calc!$F$2),"",IF(COUNTIFS($E$3:$E1146,$E1146,$C$3:$C1146,"&lt;&gt;U",$S$3:$S1146,Calc!$F$2)=1,1,0))</f>
        <v/>
      </c>
      <c r="R1146" s="35" t="str">
        <f aca="false">IF($Q1146=1,$O1146-ROW()/100000,"")</f>
        <v/>
      </c>
      <c r="S1146" s="37" t="str">
        <f aca="false">IF($A1146="","",INT($A1146))</f>
        <v/>
      </c>
      <c r="T1146" s="35" t="str">
        <f aca="false">IF($A1146="","",IF(COUNTIFS($S$3:$S1146,$S1146)=1,1,0))</f>
        <v/>
      </c>
      <c r="U1146" s="37" t="str">
        <f aca="false">IF($T1146=1,$S1146,"")</f>
        <v/>
      </c>
    </row>
    <row r="1147" customFormat="false" ht="15" hidden="false" customHeight="false" outlineLevel="0" collapsed="false">
      <c r="M1147" s="35" t="str">
        <f aca="false">IF($A1147="","",HOUR($A1147))</f>
        <v/>
      </c>
      <c r="N1147" s="36" t="str">
        <f aca="false">IF($A1147="","",$I1147*$K1147)</f>
        <v/>
      </c>
      <c r="O1147" s="35" t="str">
        <f aca="false">IF(OR($A1147="",$C1147="U",$S1147&lt;&gt;Calc!$F$2),"",SUMIFS($I$3:$I$3002,$E$3:$E$3002,$E1147,$C$3:$C$3002,"&lt;&gt;U",$S$3:$S$3002,Calc!$F$2))</f>
        <v/>
      </c>
      <c r="P1147" s="35" t="str">
        <f aca="false">IF(OR($A1147="",$C1147="U",$S1147&lt;&gt;Calc!$F$2),"",SUMIFS($N$3:$N$3002,$E$3:$E$3002,$E1147,$C$3:$C$3002,"&lt;&gt;U",$S$3:$S$3002,Calc!$F$2))</f>
        <v/>
      </c>
      <c r="Q1147" s="35" t="str">
        <f aca="false">IF(OR($A1147="",$C1147="U",$S1147&lt;&gt;Calc!$F$2),"",IF(COUNTIFS($E$3:$E1147,$E1147,$C$3:$C1147,"&lt;&gt;U",$S$3:$S1147,Calc!$F$2)=1,1,0))</f>
        <v/>
      </c>
      <c r="R1147" s="35" t="str">
        <f aca="false">IF($Q1147=1,$O1147-ROW()/100000,"")</f>
        <v/>
      </c>
      <c r="S1147" s="37" t="str">
        <f aca="false">IF($A1147="","",INT($A1147))</f>
        <v/>
      </c>
      <c r="T1147" s="35" t="str">
        <f aca="false">IF($A1147="","",IF(COUNTIFS($S$3:$S1147,$S1147)=1,1,0))</f>
        <v/>
      </c>
      <c r="U1147" s="37" t="str">
        <f aca="false">IF($T1147=1,$S1147,"")</f>
        <v/>
      </c>
    </row>
    <row r="1148" customFormat="false" ht="15" hidden="false" customHeight="false" outlineLevel="0" collapsed="false">
      <c r="M1148" s="35" t="str">
        <f aca="false">IF($A1148="","",HOUR($A1148))</f>
        <v/>
      </c>
      <c r="N1148" s="36" t="str">
        <f aca="false">IF($A1148="","",$I1148*$K1148)</f>
        <v/>
      </c>
      <c r="O1148" s="35" t="str">
        <f aca="false">IF(OR($A1148="",$C1148="U",$S1148&lt;&gt;Calc!$F$2),"",SUMIFS($I$3:$I$3002,$E$3:$E$3002,$E1148,$C$3:$C$3002,"&lt;&gt;U",$S$3:$S$3002,Calc!$F$2))</f>
        <v/>
      </c>
      <c r="P1148" s="35" t="str">
        <f aca="false">IF(OR($A1148="",$C1148="U",$S1148&lt;&gt;Calc!$F$2),"",SUMIFS($N$3:$N$3002,$E$3:$E$3002,$E1148,$C$3:$C$3002,"&lt;&gt;U",$S$3:$S$3002,Calc!$F$2))</f>
        <v/>
      </c>
      <c r="Q1148" s="35" t="str">
        <f aca="false">IF(OR($A1148="",$C1148="U",$S1148&lt;&gt;Calc!$F$2),"",IF(COUNTIFS($E$3:$E1148,$E1148,$C$3:$C1148,"&lt;&gt;U",$S$3:$S1148,Calc!$F$2)=1,1,0))</f>
        <v/>
      </c>
      <c r="R1148" s="35" t="str">
        <f aca="false">IF($Q1148=1,$O1148-ROW()/100000,"")</f>
        <v/>
      </c>
      <c r="S1148" s="37" t="str">
        <f aca="false">IF($A1148="","",INT($A1148))</f>
        <v/>
      </c>
      <c r="T1148" s="35" t="str">
        <f aca="false">IF($A1148="","",IF(COUNTIFS($S$3:$S1148,$S1148)=1,1,0))</f>
        <v/>
      </c>
      <c r="U1148" s="37" t="str">
        <f aca="false">IF($T1148=1,$S1148,"")</f>
        <v/>
      </c>
    </row>
    <row r="1149" customFormat="false" ht="15" hidden="false" customHeight="false" outlineLevel="0" collapsed="false">
      <c r="M1149" s="35" t="str">
        <f aca="false">IF($A1149="","",HOUR($A1149))</f>
        <v/>
      </c>
      <c r="N1149" s="36" t="str">
        <f aca="false">IF($A1149="","",$I1149*$K1149)</f>
        <v/>
      </c>
      <c r="O1149" s="35" t="str">
        <f aca="false">IF(OR($A1149="",$C1149="U",$S1149&lt;&gt;Calc!$F$2),"",SUMIFS($I$3:$I$3002,$E$3:$E$3002,$E1149,$C$3:$C$3002,"&lt;&gt;U",$S$3:$S$3002,Calc!$F$2))</f>
        <v/>
      </c>
      <c r="P1149" s="35" t="str">
        <f aca="false">IF(OR($A1149="",$C1149="U",$S1149&lt;&gt;Calc!$F$2),"",SUMIFS($N$3:$N$3002,$E$3:$E$3002,$E1149,$C$3:$C$3002,"&lt;&gt;U",$S$3:$S$3002,Calc!$F$2))</f>
        <v/>
      </c>
      <c r="Q1149" s="35" t="str">
        <f aca="false">IF(OR($A1149="",$C1149="U",$S1149&lt;&gt;Calc!$F$2),"",IF(COUNTIFS($E$3:$E1149,$E1149,$C$3:$C1149,"&lt;&gt;U",$S$3:$S1149,Calc!$F$2)=1,1,0))</f>
        <v/>
      </c>
      <c r="R1149" s="35" t="str">
        <f aca="false">IF($Q1149=1,$O1149-ROW()/100000,"")</f>
        <v/>
      </c>
      <c r="S1149" s="37" t="str">
        <f aca="false">IF($A1149="","",INT($A1149))</f>
        <v/>
      </c>
      <c r="T1149" s="35" t="str">
        <f aca="false">IF($A1149="","",IF(COUNTIFS($S$3:$S1149,$S1149)=1,1,0))</f>
        <v/>
      </c>
      <c r="U1149" s="37" t="str">
        <f aca="false">IF($T1149=1,$S1149,"")</f>
        <v/>
      </c>
    </row>
    <row r="1150" customFormat="false" ht="15" hidden="false" customHeight="false" outlineLevel="0" collapsed="false">
      <c r="M1150" s="35" t="str">
        <f aca="false">IF($A1150="","",HOUR($A1150))</f>
        <v/>
      </c>
      <c r="N1150" s="36" t="str">
        <f aca="false">IF($A1150="","",$I1150*$K1150)</f>
        <v/>
      </c>
      <c r="O1150" s="35" t="str">
        <f aca="false">IF(OR($A1150="",$C1150="U",$S1150&lt;&gt;Calc!$F$2),"",SUMIFS($I$3:$I$3002,$E$3:$E$3002,$E1150,$C$3:$C$3002,"&lt;&gt;U",$S$3:$S$3002,Calc!$F$2))</f>
        <v/>
      </c>
      <c r="P1150" s="35" t="str">
        <f aca="false">IF(OR($A1150="",$C1150="U",$S1150&lt;&gt;Calc!$F$2),"",SUMIFS($N$3:$N$3002,$E$3:$E$3002,$E1150,$C$3:$C$3002,"&lt;&gt;U",$S$3:$S$3002,Calc!$F$2))</f>
        <v/>
      </c>
      <c r="Q1150" s="35" t="str">
        <f aca="false">IF(OR($A1150="",$C1150="U",$S1150&lt;&gt;Calc!$F$2),"",IF(COUNTIFS($E$3:$E1150,$E1150,$C$3:$C1150,"&lt;&gt;U",$S$3:$S1150,Calc!$F$2)=1,1,0))</f>
        <v/>
      </c>
      <c r="R1150" s="35" t="str">
        <f aca="false">IF($Q1150=1,$O1150-ROW()/100000,"")</f>
        <v/>
      </c>
      <c r="S1150" s="37" t="str">
        <f aca="false">IF($A1150="","",INT($A1150))</f>
        <v/>
      </c>
      <c r="T1150" s="35" t="str">
        <f aca="false">IF($A1150="","",IF(COUNTIFS($S$3:$S1150,$S1150)=1,1,0))</f>
        <v/>
      </c>
      <c r="U1150" s="37" t="str">
        <f aca="false">IF($T1150=1,$S1150,"")</f>
        <v/>
      </c>
    </row>
    <row r="1151" customFormat="false" ht="15" hidden="false" customHeight="false" outlineLevel="0" collapsed="false">
      <c r="M1151" s="35" t="str">
        <f aca="false">IF($A1151="","",HOUR($A1151))</f>
        <v/>
      </c>
      <c r="N1151" s="36" t="str">
        <f aca="false">IF($A1151="","",$I1151*$K1151)</f>
        <v/>
      </c>
      <c r="O1151" s="35" t="str">
        <f aca="false">IF(OR($A1151="",$C1151="U",$S1151&lt;&gt;Calc!$F$2),"",SUMIFS($I$3:$I$3002,$E$3:$E$3002,$E1151,$C$3:$C$3002,"&lt;&gt;U",$S$3:$S$3002,Calc!$F$2))</f>
        <v/>
      </c>
      <c r="P1151" s="35" t="str">
        <f aca="false">IF(OR($A1151="",$C1151="U",$S1151&lt;&gt;Calc!$F$2),"",SUMIFS($N$3:$N$3002,$E$3:$E$3002,$E1151,$C$3:$C$3002,"&lt;&gt;U",$S$3:$S$3002,Calc!$F$2))</f>
        <v/>
      </c>
      <c r="Q1151" s="35" t="str">
        <f aca="false">IF(OR($A1151="",$C1151="U",$S1151&lt;&gt;Calc!$F$2),"",IF(COUNTIFS($E$3:$E1151,$E1151,$C$3:$C1151,"&lt;&gt;U",$S$3:$S1151,Calc!$F$2)=1,1,0))</f>
        <v/>
      </c>
      <c r="R1151" s="35" t="str">
        <f aca="false">IF($Q1151=1,$O1151-ROW()/100000,"")</f>
        <v/>
      </c>
      <c r="S1151" s="37" t="str">
        <f aca="false">IF($A1151="","",INT($A1151))</f>
        <v/>
      </c>
      <c r="T1151" s="35" t="str">
        <f aca="false">IF($A1151="","",IF(COUNTIFS($S$3:$S1151,$S1151)=1,1,0))</f>
        <v/>
      </c>
      <c r="U1151" s="37" t="str">
        <f aca="false">IF($T1151=1,$S1151,"")</f>
        <v/>
      </c>
    </row>
    <row r="1152" customFormat="false" ht="15" hidden="false" customHeight="false" outlineLevel="0" collapsed="false">
      <c r="M1152" s="35" t="str">
        <f aca="false">IF($A1152="","",HOUR($A1152))</f>
        <v/>
      </c>
      <c r="N1152" s="36" t="str">
        <f aca="false">IF($A1152="","",$I1152*$K1152)</f>
        <v/>
      </c>
      <c r="O1152" s="35" t="str">
        <f aca="false">IF(OR($A1152="",$C1152="U",$S1152&lt;&gt;Calc!$F$2),"",SUMIFS($I$3:$I$3002,$E$3:$E$3002,$E1152,$C$3:$C$3002,"&lt;&gt;U",$S$3:$S$3002,Calc!$F$2))</f>
        <v/>
      </c>
      <c r="P1152" s="35" t="str">
        <f aca="false">IF(OR($A1152="",$C1152="U",$S1152&lt;&gt;Calc!$F$2),"",SUMIFS($N$3:$N$3002,$E$3:$E$3002,$E1152,$C$3:$C$3002,"&lt;&gt;U",$S$3:$S$3002,Calc!$F$2))</f>
        <v/>
      </c>
      <c r="Q1152" s="35" t="str">
        <f aca="false">IF(OR($A1152="",$C1152="U",$S1152&lt;&gt;Calc!$F$2),"",IF(COUNTIFS($E$3:$E1152,$E1152,$C$3:$C1152,"&lt;&gt;U",$S$3:$S1152,Calc!$F$2)=1,1,0))</f>
        <v/>
      </c>
      <c r="R1152" s="35" t="str">
        <f aca="false">IF($Q1152=1,$O1152-ROW()/100000,"")</f>
        <v/>
      </c>
      <c r="S1152" s="37" t="str">
        <f aca="false">IF($A1152="","",INT($A1152))</f>
        <v/>
      </c>
      <c r="T1152" s="35" t="str">
        <f aca="false">IF($A1152="","",IF(COUNTIFS($S$3:$S1152,$S1152)=1,1,0))</f>
        <v/>
      </c>
      <c r="U1152" s="37" t="str">
        <f aca="false">IF($T1152=1,$S1152,"")</f>
        <v/>
      </c>
    </row>
    <row r="1153" customFormat="false" ht="15" hidden="false" customHeight="false" outlineLevel="0" collapsed="false">
      <c r="M1153" s="35" t="str">
        <f aca="false">IF($A1153="","",HOUR($A1153))</f>
        <v/>
      </c>
      <c r="N1153" s="36" t="str">
        <f aca="false">IF($A1153="","",$I1153*$K1153)</f>
        <v/>
      </c>
      <c r="O1153" s="35" t="str">
        <f aca="false">IF(OR($A1153="",$C1153="U",$S1153&lt;&gt;Calc!$F$2),"",SUMIFS($I$3:$I$3002,$E$3:$E$3002,$E1153,$C$3:$C$3002,"&lt;&gt;U",$S$3:$S$3002,Calc!$F$2))</f>
        <v/>
      </c>
      <c r="P1153" s="35" t="str">
        <f aca="false">IF(OR($A1153="",$C1153="U",$S1153&lt;&gt;Calc!$F$2),"",SUMIFS($N$3:$N$3002,$E$3:$E$3002,$E1153,$C$3:$C$3002,"&lt;&gt;U",$S$3:$S$3002,Calc!$F$2))</f>
        <v/>
      </c>
      <c r="Q1153" s="35" t="str">
        <f aca="false">IF(OR($A1153="",$C1153="U",$S1153&lt;&gt;Calc!$F$2),"",IF(COUNTIFS($E$3:$E1153,$E1153,$C$3:$C1153,"&lt;&gt;U",$S$3:$S1153,Calc!$F$2)=1,1,0))</f>
        <v/>
      </c>
      <c r="R1153" s="35" t="str">
        <f aca="false">IF($Q1153=1,$O1153-ROW()/100000,"")</f>
        <v/>
      </c>
      <c r="S1153" s="37" t="str">
        <f aca="false">IF($A1153="","",INT($A1153))</f>
        <v/>
      </c>
      <c r="T1153" s="35" t="str">
        <f aca="false">IF($A1153="","",IF(COUNTIFS($S$3:$S1153,$S1153)=1,1,0))</f>
        <v/>
      </c>
      <c r="U1153" s="37" t="str">
        <f aca="false">IF($T1153=1,$S1153,"")</f>
        <v/>
      </c>
    </row>
    <row r="1154" customFormat="false" ht="15" hidden="false" customHeight="false" outlineLevel="0" collapsed="false">
      <c r="M1154" s="35" t="str">
        <f aca="false">IF($A1154="","",HOUR($A1154))</f>
        <v/>
      </c>
      <c r="N1154" s="36" t="str">
        <f aca="false">IF($A1154="","",$I1154*$K1154)</f>
        <v/>
      </c>
      <c r="O1154" s="35" t="str">
        <f aca="false">IF(OR($A1154="",$C1154="U",$S1154&lt;&gt;Calc!$F$2),"",SUMIFS($I$3:$I$3002,$E$3:$E$3002,$E1154,$C$3:$C$3002,"&lt;&gt;U",$S$3:$S$3002,Calc!$F$2))</f>
        <v/>
      </c>
      <c r="P1154" s="35" t="str">
        <f aca="false">IF(OR($A1154="",$C1154="U",$S1154&lt;&gt;Calc!$F$2),"",SUMIFS($N$3:$N$3002,$E$3:$E$3002,$E1154,$C$3:$C$3002,"&lt;&gt;U",$S$3:$S$3002,Calc!$F$2))</f>
        <v/>
      </c>
      <c r="Q1154" s="35" t="str">
        <f aca="false">IF(OR($A1154="",$C1154="U",$S1154&lt;&gt;Calc!$F$2),"",IF(COUNTIFS($E$3:$E1154,$E1154,$C$3:$C1154,"&lt;&gt;U",$S$3:$S1154,Calc!$F$2)=1,1,0))</f>
        <v/>
      </c>
      <c r="R1154" s="35" t="str">
        <f aca="false">IF($Q1154=1,$O1154-ROW()/100000,"")</f>
        <v/>
      </c>
      <c r="S1154" s="37" t="str">
        <f aca="false">IF($A1154="","",INT($A1154))</f>
        <v/>
      </c>
      <c r="T1154" s="35" t="str">
        <f aca="false">IF($A1154="","",IF(COUNTIFS($S$3:$S1154,$S1154)=1,1,0))</f>
        <v/>
      </c>
      <c r="U1154" s="37" t="str">
        <f aca="false">IF($T1154=1,$S1154,"")</f>
        <v/>
      </c>
    </row>
    <row r="1155" customFormat="false" ht="15" hidden="false" customHeight="false" outlineLevel="0" collapsed="false">
      <c r="M1155" s="35" t="str">
        <f aca="false">IF($A1155="","",HOUR($A1155))</f>
        <v/>
      </c>
      <c r="N1155" s="36" t="str">
        <f aca="false">IF($A1155="","",$I1155*$K1155)</f>
        <v/>
      </c>
      <c r="O1155" s="35" t="str">
        <f aca="false">IF(OR($A1155="",$C1155="U",$S1155&lt;&gt;Calc!$F$2),"",SUMIFS($I$3:$I$3002,$E$3:$E$3002,$E1155,$C$3:$C$3002,"&lt;&gt;U",$S$3:$S$3002,Calc!$F$2))</f>
        <v/>
      </c>
      <c r="P1155" s="35" t="str">
        <f aca="false">IF(OR($A1155="",$C1155="U",$S1155&lt;&gt;Calc!$F$2),"",SUMIFS($N$3:$N$3002,$E$3:$E$3002,$E1155,$C$3:$C$3002,"&lt;&gt;U",$S$3:$S$3002,Calc!$F$2))</f>
        <v/>
      </c>
      <c r="Q1155" s="35" t="str">
        <f aca="false">IF(OR($A1155="",$C1155="U",$S1155&lt;&gt;Calc!$F$2),"",IF(COUNTIFS($E$3:$E1155,$E1155,$C$3:$C1155,"&lt;&gt;U",$S$3:$S1155,Calc!$F$2)=1,1,0))</f>
        <v/>
      </c>
      <c r="R1155" s="35" t="str">
        <f aca="false">IF($Q1155=1,$O1155-ROW()/100000,"")</f>
        <v/>
      </c>
      <c r="S1155" s="37" t="str">
        <f aca="false">IF($A1155="","",INT($A1155))</f>
        <v/>
      </c>
      <c r="T1155" s="35" t="str">
        <f aca="false">IF($A1155="","",IF(COUNTIFS($S$3:$S1155,$S1155)=1,1,0))</f>
        <v/>
      </c>
      <c r="U1155" s="37" t="str">
        <f aca="false">IF($T1155=1,$S1155,"")</f>
        <v/>
      </c>
    </row>
    <row r="1156" customFormat="false" ht="15" hidden="false" customHeight="false" outlineLevel="0" collapsed="false">
      <c r="M1156" s="35" t="str">
        <f aca="false">IF($A1156="","",HOUR($A1156))</f>
        <v/>
      </c>
      <c r="N1156" s="36" t="str">
        <f aca="false">IF($A1156="","",$I1156*$K1156)</f>
        <v/>
      </c>
      <c r="O1156" s="35" t="str">
        <f aca="false">IF(OR($A1156="",$C1156="U",$S1156&lt;&gt;Calc!$F$2),"",SUMIFS($I$3:$I$3002,$E$3:$E$3002,$E1156,$C$3:$C$3002,"&lt;&gt;U",$S$3:$S$3002,Calc!$F$2))</f>
        <v/>
      </c>
      <c r="P1156" s="35" t="str">
        <f aca="false">IF(OR($A1156="",$C1156="U",$S1156&lt;&gt;Calc!$F$2),"",SUMIFS($N$3:$N$3002,$E$3:$E$3002,$E1156,$C$3:$C$3002,"&lt;&gt;U",$S$3:$S$3002,Calc!$F$2))</f>
        <v/>
      </c>
      <c r="Q1156" s="35" t="str">
        <f aca="false">IF(OR($A1156="",$C1156="U",$S1156&lt;&gt;Calc!$F$2),"",IF(COUNTIFS($E$3:$E1156,$E1156,$C$3:$C1156,"&lt;&gt;U",$S$3:$S1156,Calc!$F$2)=1,1,0))</f>
        <v/>
      </c>
      <c r="R1156" s="35" t="str">
        <f aca="false">IF($Q1156=1,$O1156-ROW()/100000,"")</f>
        <v/>
      </c>
      <c r="S1156" s="37" t="str">
        <f aca="false">IF($A1156="","",INT($A1156))</f>
        <v/>
      </c>
      <c r="T1156" s="35" t="str">
        <f aca="false">IF($A1156="","",IF(COUNTIFS($S$3:$S1156,$S1156)=1,1,0))</f>
        <v/>
      </c>
      <c r="U1156" s="37" t="str">
        <f aca="false">IF($T1156=1,$S1156,"")</f>
        <v/>
      </c>
    </row>
    <row r="1157" customFormat="false" ht="15" hidden="false" customHeight="false" outlineLevel="0" collapsed="false">
      <c r="M1157" s="35" t="str">
        <f aca="false">IF($A1157="","",HOUR($A1157))</f>
        <v/>
      </c>
      <c r="N1157" s="36" t="str">
        <f aca="false">IF($A1157="","",$I1157*$K1157)</f>
        <v/>
      </c>
      <c r="O1157" s="35" t="str">
        <f aca="false">IF(OR($A1157="",$C1157="U",$S1157&lt;&gt;Calc!$F$2),"",SUMIFS($I$3:$I$3002,$E$3:$E$3002,$E1157,$C$3:$C$3002,"&lt;&gt;U",$S$3:$S$3002,Calc!$F$2))</f>
        <v/>
      </c>
      <c r="P1157" s="35" t="str">
        <f aca="false">IF(OR($A1157="",$C1157="U",$S1157&lt;&gt;Calc!$F$2),"",SUMIFS($N$3:$N$3002,$E$3:$E$3002,$E1157,$C$3:$C$3002,"&lt;&gt;U",$S$3:$S$3002,Calc!$F$2))</f>
        <v/>
      </c>
      <c r="Q1157" s="35" t="str">
        <f aca="false">IF(OR($A1157="",$C1157="U",$S1157&lt;&gt;Calc!$F$2),"",IF(COUNTIFS($E$3:$E1157,$E1157,$C$3:$C1157,"&lt;&gt;U",$S$3:$S1157,Calc!$F$2)=1,1,0))</f>
        <v/>
      </c>
      <c r="R1157" s="35" t="str">
        <f aca="false">IF($Q1157=1,$O1157-ROW()/100000,"")</f>
        <v/>
      </c>
      <c r="S1157" s="37" t="str">
        <f aca="false">IF($A1157="","",INT($A1157))</f>
        <v/>
      </c>
      <c r="T1157" s="35" t="str">
        <f aca="false">IF($A1157="","",IF(COUNTIFS($S$3:$S1157,$S1157)=1,1,0))</f>
        <v/>
      </c>
      <c r="U1157" s="37" t="str">
        <f aca="false">IF($T1157=1,$S1157,"")</f>
        <v/>
      </c>
    </row>
    <row r="1158" customFormat="false" ht="15" hidden="false" customHeight="false" outlineLevel="0" collapsed="false">
      <c r="M1158" s="35" t="str">
        <f aca="false">IF($A1158="","",HOUR($A1158))</f>
        <v/>
      </c>
      <c r="N1158" s="36" t="str">
        <f aca="false">IF($A1158="","",$I1158*$K1158)</f>
        <v/>
      </c>
      <c r="O1158" s="35" t="str">
        <f aca="false">IF(OR($A1158="",$C1158="U",$S1158&lt;&gt;Calc!$F$2),"",SUMIFS($I$3:$I$3002,$E$3:$E$3002,$E1158,$C$3:$C$3002,"&lt;&gt;U",$S$3:$S$3002,Calc!$F$2))</f>
        <v/>
      </c>
      <c r="P1158" s="35" t="str">
        <f aca="false">IF(OR($A1158="",$C1158="U",$S1158&lt;&gt;Calc!$F$2),"",SUMIFS($N$3:$N$3002,$E$3:$E$3002,$E1158,$C$3:$C$3002,"&lt;&gt;U",$S$3:$S$3002,Calc!$F$2))</f>
        <v/>
      </c>
      <c r="Q1158" s="35" t="str">
        <f aca="false">IF(OR($A1158="",$C1158="U",$S1158&lt;&gt;Calc!$F$2),"",IF(COUNTIFS($E$3:$E1158,$E1158,$C$3:$C1158,"&lt;&gt;U",$S$3:$S1158,Calc!$F$2)=1,1,0))</f>
        <v/>
      </c>
      <c r="R1158" s="35" t="str">
        <f aca="false">IF($Q1158=1,$O1158-ROW()/100000,"")</f>
        <v/>
      </c>
      <c r="S1158" s="37" t="str">
        <f aca="false">IF($A1158="","",INT($A1158))</f>
        <v/>
      </c>
      <c r="T1158" s="35" t="str">
        <f aca="false">IF($A1158="","",IF(COUNTIFS($S$3:$S1158,$S1158)=1,1,0))</f>
        <v/>
      </c>
      <c r="U1158" s="37" t="str">
        <f aca="false">IF($T1158=1,$S1158,"")</f>
        <v/>
      </c>
    </row>
    <row r="1159" customFormat="false" ht="15" hidden="false" customHeight="false" outlineLevel="0" collapsed="false">
      <c r="M1159" s="35" t="str">
        <f aca="false">IF($A1159="","",HOUR($A1159))</f>
        <v/>
      </c>
      <c r="N1159" s="36" t="str">
        <f aca="false">IF($A1159="","",$I1159*$K1159)</f>
        <v/>
      </c>
      <c r="O1159" s="35" t="str">
        <f aca="false">IF(OR($A1159="",$C1159="U",$S1159&lt;&gt;Calc!$F$2),"",SUMIFS($I$3:$I$3002,$E$3:$E$3002,$E1159,$C$3:$C$3002,"&lt;&gt;U",$S$3:$S$3002,Calc!$F$2))</f>
        <v/>
      </c>
      <c r="P1159" s="35" t="str">
        <f aca="false">IF(OR($A1159="",$C1159="U",$S1159&lt;&gt;Calc!$F$2),"",SUMIFS($N$3:$N$3002,$E$3:$E$3002,$E1159,$C$3:$C$3002,"&lt;&gt;U",$S$3:$S$3002,Calc!$F$2))</f>
        <v/>
      </c>
      <c r="Q1159" s="35" t="str">
        <f aca="false">IF(OR($A1159="",$C1159="U",$S1159&lt;&gt;Calc!$F$2),"",IF(COUNTIFS($E$3:$E1159,$E1159,$C$3:$C1159,"&lt;&gt;U",$S$3:$S1159,Calc!$F$2)=1,1,0))</f>
        <v/>
      </c>
      <c r="R1159" s="35" t="str">
        <f aca="false">IF($Q1159=1,$O1159-ROW()/100000,"")</f>
        <v/>
      </c>
      <c r="S1159" s="37" t="str">
        <f aca="false">IF($A1159="","",INT($A1159))</f>
        <v/>
      </c>
      <c r="T1159" s="35" t="str">
        <f aca="false">IF($A1159="","",IF(COUNTIFS($S$3:$S1159,$S1159)=1,1,0))</f>
        <v/>
      </c>
      <c r="U1159" s="37" t="str">
        <f aca="false">IF($T1159=1,$S1159,"")</f>
        <v/>
      </c>
    </row>
    <row r="1160" customFormat="false" ht="15" hidden="false" customHeight="false" outlineLevel="0" collapsed="false">
      <c r="M1160" s="35" t="str">
        <f aca="false">IF($A1160="","",HOUR($A1160))</f>
        <v/>
      </c>
      <c r="N1160" s="36" t="str">
        <f aca="false">IF($A1160="","",$I1160*$K1160)</f>
        <v/>
      </c>
      <c r="O1160" s="35" t="str">
        <f aca="false">IF(OR($A1160="",$C1160="U",$S1160&lt;&gt;Calc!$F$2),"",SUMIFS($I$3:$I$3002,$E$3:$E$3002,$E1160,$C$3:$C$3002,"&lt;&gt;U",$S$3:$S$3002,Calc!$F$2))</f>
        <v/>
      </c>
      <c r="P1160" s="35" t="str">
        <f aca="false">IF(OR($A1160="",$C1160="U",$S1160&lt;&gt;Calc!$F$2),"",SUMIFS($N$3:$N$3002,$E$3:$E$3002,$E1160,$C$3:$C$3002,"&lt;&gt;U",$S$3:$S$3002,Calc!$F$2))</f>
        <v/>
      </c>
      <c r="Q1160" s="35" t="str">
        <f aca="false">IF(OR($A1160="",$C1160="U",$S1160&lt;&gt;Calc!$F$2),"",IF(COUNTIFS($E$3:$E1160,$E1160,$C$3:$C1160,"&lt;&gt;U",$S$3:$S1160,Calc!$F$2)=1,1,0))</f>
        <v/>
      </c>
      <c r="R1160" s="35" t="str">
        <f aca="false">IF($Q1160=1,$O1160-ROW()/100000,"")</f>
        <v/>
      </c>
      <c r="S1160" s="37" t="str">
        <f aca="false">IF($A1160="","",INT($A1160))</f>
        <v/>
      </c>
      <c r="T1160" s="35" t="str">
        <f aca="false">IF($A1160="","",IF(COUNTIFS($S$3:$S1160,$S1160)=1,1,0))</f>
        <v/>
      </c>
      <c r="U1160" s="37" t="str">
        <f aca="false">IF($T1160=1,$S1160,"")</f>
        <v/>
      </c>
    </row>
    <row r="1161" customFormat="false" ht="15" hidden="false" customHeight="false" outlineLevel="0" collapsed="false">
      <c r="M1161" s="35" t="str">
        <f aca="false">IF($A1161="","",HOUR($A1161))</f>
        <v/>
      </c>
      <c r="N1161" s="36" t="str">
        <f aca="false">IF($A1161="","",$I1161*$K1161)</f>
        <v/>
      </c>
      <c r="O1161" s="35" t="str">
        <f aca="false">IF(OR($A1161="",$C1161="U",$S1161&lt;&gt;Calc!$F$2),"",SUMIFS($I$3:$I$3002,$E$3:$E$3002,$E1161,$C$3:$C$3002,"&lt;&gt;U",$S$3:$S$3002,Calc!$F$2))</f>
        <v/>
      </c>
      <c r="P1161" s="35" t="str">
        <f aca="false">IF(OR($A1161="",$C1161="U",$S1161&lt;&gt;Calc!$F$2),"",SUMIFS($N$3:$N$3002,$E$3:$E$3002,$E1161,$C$3:$C$3002,"&lt;&gt;U",$S$3:$S$3002,Calc!$F$2))</f>
        <v/>
      </c>
      <c r="Q1161" s="35" t="str">
        <f aca="false">IF(OR($A1161="",$C1161="U",$S1161&lt;&gt;Calc!$F$2),"",IF(COUNTIFS($E$3:$E1161,$E1161,$C$3:$C1161,"&lt;&gt;U",$S$3:$S1161,Calc!$F$2)=1,1,0))</f>
        <v/>
      </c>
      <c r="R1161" s="35" t="str">
        <f aca="false">IF($Q1161=1,$O1161-ROW()/100000,"")</f>
        <v/>
      </c>
      <c r="S1161" s="37" t="str">
        <f aca="false">IF($A1161="","",INT($A1161))</f>
        <v/>
      </c>
      <c r="T1161" s="35" t="str">
        <f aca="false">IF($A1161="","",IF(COUNTIFS($S$3:$S1161,$S1161)=1,1,0))</f>
        <v/>
      </c>
      <c r="U1161" s="37" t="str">
        <f aca="false">IF($T1161=1,$S1161,"")</f>
        <v/>
      </c>
    </row>
    <row r="1162" customFormat="false" ht="15" hidden="false" customHeight="false" outlineLevel="0" collapsed="false">
      <c r="M1162" s="35" t="str">
        <f aca="false">IF($A1162="","",HOUR($A1162))</f>
        <v/>
      </c>
      <c r="N1162" s="36" t="str">
        <f aca="false">IF($A1162="","",$I1162*$K1162)</f>
        <v/>
      </c>
      <c r="O1162" s="35" t="str">
        <f aca="false">IF(OR($A1162="",$C1162="U",$S1162&lt;&gt;Calc!$F$2),"",SUMIFS($I$3:$I$3002,$E$3:$E$3002,$E1162,$C$3:$C$3002,"&lt;&gt;U",$S$3:$S$3002,Calc!$F$2))</f>
        <v/>
      </c>
      <c r="P1162" s="35" t="str">
        <f aca="false">IF(OR($A1162="",$C1162="U",$S1162&lt;&gt;Calc!$F$2),"",SUMIFS($N$3:$N$3002,$E$3:$E$3002,$E1162,$C$3:$C$3002,"&lt;&gt;U",$S$3:$S$3002,Calc!$F$2))</f>
        <v/>
      </c>
      <c r="Q1162" s="35" t="str">
        <f aca="false">IF(OR($A1162="",$C1162="U",$S1162&lt;&gt;Calc!$F$2),"",IF(COUNTIFS($E$3:$E1162,$E1162,$C$3:$C1162,"&lt;&gt;U",$S$3:$S1162,Calc!$F$2)=1,1,0))</f>
        <v/>
      </c>
      <c r="R1162" s="35" t="str">
        <f aca="false">IF($Q1162=1,$O1162-ROW()/100000,"")</f>
        <v/>
      </c>
      <c r="S1162" s="37" t="str">
        <f aca="false">IF($A1162="","",INT($A1162))</f>
        <v/>
      </c>
      <c r="T1162" s="35" t="str">
        <f aca="false">IF($A1162="","",IF(COUNTIFS($S$3:$S1162,$S1162)=1,1,0))</f>
        <v/>
      </c>
      <c r="U1162" s="37" t="str">
        <f aca="false">IF($T1162=1,$S1162,"")</f>
        <v/>
      </c>
    </row>
    <row r="1163" customFormat="false" ht="15" hidden="false" customHeight="false" outlineLevel="0" collapsed="false">
      <c r="M1163" s="35" t="str">
        <f aca="false">IF($A1163="","",HOUR($A1163))</f>
        <v/>
      </c>
      <c r="N1163" s="36" t="str">
        <f aca="false">IF($A1163="","",$I1163*$K1163)</f>
        <v/>
      </c>
      <c r="O1163" s="35" t="str">
        <f aca="false">IF(OR($A1163="",$C1163="U",$S1163&lt;&gt;Calc!$F$2),"",SUMIFS($I$3:$I$3002,$E$3:$E$3002,$E1163,$C$3:$C$3002,"&lt;&gt;U",$S$3:$S$3002,Calc!$F$2))</f>
        <v/>
      </c>
      <c r="P1163" s="35" t="str">
        <f aca="false">IF(OR($A1163="",$C1163="U",$S1163&lt;&gt;Calc!$F$2),"",SUMIFS($N$3:$N$3002,$E$3:$E$3002,$E1163,$C$3:$C$3002,"&lt;&gt;U",$S$3:$S$3002,Calc!$F$2))</f>
        <v/>
      </c>
      <c r="Q1163" s="35" t="str">
        <f aca="false">IF(OR($A1163="",$C1163="U",$S1163&lt;&gt;Calc!$F$2),"",IF(COUNTIFS($E$3:$E1163,$E1163,$C$3:$C1163,"&lt;&gt;U",$S$3:$S1163,Calc!$F$2)=1,1,0))</f>
        <v/>
      </c>
      <c r="R1163" s="35" t="str">
        <f aca="false">IF($Q1163=1,$O1163-ROW()/100000,"")</f>
        <v/>
      </c>
      <c r="S1163" s="37" t="str">
        <f aca="false">IF($A1163="","",INT($A1163))</f>
        <v/>
      </c>
      <c r="T1163" s="35" t="str">
        <f aca="false">IF($A1163="","",IF(COUNTIFS($S$3:$S1163,$S1163)=1,1,0))</f>
        <v/>
      </c>
      <c r="U1163" s="37" t="str">
        <f aca="false">IF($T1163=1,$S1163,"")</f>
        <v/>
      </c>
    </row>
    <row r="1164" customFormat="false" ht="15" hidden="false" customHeight="false" outlineLevel="0" collapsed="false">
      <c r="M1164" s="35" t="str">
        <f aca="false">IF($A1164="","",HOUR($A1164))</f>
        <v/>
      </c>
      <c r="N1164" s="36" t="str">
        <f aca="false">IF($A1164="","",$I1164*$K1164)</f>
        <v/>
      </c>
      <c r="O1164" s="35" t="str">
        <f aca="false">IF(OR($A1164="",$C1164="U",$S1164&lt;&gt;Calc!$F$2),"",SUMIFS($I$3:$I$3002,$E$3:$E$3002,$E1164,$C$3:$C$3002,"&lt;&gt;U",$S$3:$S$3002,Calc!$F$2))</f>
        <v/>
      </c>
      <c r="P1164" s="35" t="str">
        <f aca="false">IF(OR($A1164="",$C1164="U",$S1164&lt;&gt;Calc!$F$2),"",SUMIFS($N$3:$N$3002,$E$3:$E$3002,$E1164,$C$3:$C$3002,"&lt;&gt;U",$S$3:$S$3002,Calc!$F$2))</f>
        <v/>
      </c>
      <c r="Q1164" s="35" t="str">
        <f aca="false">IF(OR($A1164="",$C1164="U",$S1164&lt;&gt;Calc!$F$2),"",IF(COUNTIFS($E$3:$E1164,$E1164,$C$3:$C1164,"&lt;&gt;U",$S$3:$S1164,Calc!$F$2)=1,1,0))</f>
        <v/>
      </c>
      <c r="R1164" s="35" t="str">
        <f aca="false">IF($Q1164=1,$O1164-ROW()/100000,"")</f>
        <v/>
      </c>
      <c r="S1164" s="37" t="str">
        <f aca="false">IF($A1164="","",INT($A1164))</f>
        <v/>
      </c>
      <c r="T1164" s="35" t="str">
        <f aca="false">IF($A1164="","",IF(COUNTIFS($S$3:$S1164,$S1164)=1,1,0))</f>
        <v/>
      </c>
      <c r="U1164" s="37" t="str">
        <f aca="false">IF($T1164=1,$S1164,"")</f>
        <v/>
      </c>
    </row>
    <row r="1165" customFormat="false" ht="15" hidden="false" customHeight="false" outlineLevel="0" collapsed="false">
      <c r="M1165" s="35" t="str">
        <f aca="false">IF($A1165="","",HOUR($A1165))</f>
        <v/>
      </c>
      <c r="N1165" s="36" t="str">
        <f aca="false">IF($A1165="","",$I1165*$K1165)</f>
        <v/>
      </c>
      <c r="O1165" s="35" t="str">
        <f aca="false">IF(OR($A1165="",$C1165="U",$S1165&lt;&gt;Calc!$F$2),"",SUMIFS($I$3:$I$3002,$E$3:$E$3002,$E1165,$C$3:$C$3002,"&lt;&gt;U",$S$3:$S$3002,Calc!$F$2))</f>
        <v/>
      </c>
      <c r="P1165" s="35" t="str">
        <f aca="false">IF(OR($A1165="",$C1165="U",$S1165&lt;&gt;Calc!$F$2),"",SUMIFS($N$3:$N$3002,$E$3:$E$3002,$E1165,$C$3:$C$3002,"&lt;&gt;U",$S$3:$S$3002,Calc!$F$2))</f>
        <v/>
      </c>
      <c r="Q1165" s="35" t="str">
        <f aca="false">IF(OR($A1165="",$C1165="U",$S1165&lt;&gt;Calc!$F$2),"",IF(COUNTIFS($E$3:$E1165,$E1165,$C$3:$C1165,"&lt;&gt;U",$S$3:$S1165,Calc!$F$2)=1,1,0))</f>
        <v/>
      </c>
      <c r="R1165" s="35" t="str">
        <f aca="false">IF($Q1165=1,$O1165-ROW()/100000,"")</f>
        <v/>
      </c>
      <c r="S1165" s="37" t="str">
        <f aca="false">IF($A1165="","",INT($A1165))</f>
        <v/>
      </c>
      <c r="T1165" s="35" t="str">
        <f aca="false">IF($A1165="","",IF(COUNTIFS($S$3:$S1165,$S1165)=1,1,0))</f>
        <v/>
      </c>
      <c r="U1165" s="37" t="str">
        <f aca="false">IF($T1165=1,$S1165,"")</f>
        <v/>
      </c>
    </row>
    <row r="1166" customFormat="false" ht="15" hidden="false" customHeight="false" outlineLevel="0" collapsed="false">
      <c r="M1166" s="35" t="str">
        <f aca="false">IF($A1166="","",HOUR($A1166))</f>
        <v/>
      </c>
      <c r="N1166" s="36" t="str">
        <f aca="false">IF($A1166="","",$I1166*$K1166)</f>
        <v/>
      </c>
      <c r="O1166" s="35" t="str">
        <f aca="false">IF(OR($A1166="",$C1166="U",$S1166&lt;&gt;Calc!$F$2),"",SUMIFS($I$3:$I$3002,$E$3:$E$3002,$E1166,$C$3:$C$3002,"&lt;&gt;U",$S$3:$S$3002,Calc!$F$2))</f>
        <v/>
      </c>
      <c r="P1166" s="35" t="str">
        <f aca="false">IF(OR($A1166="",$C1166="U",$S1166&lt;&gt;Calc!$F$2),"",SUMIFS($N$3:$N$3002,$E$3:$E$3002,$E1166,$C$3:$C$3002,"&lt;&gt;U",$S$3:$S$3002,Calc!$F$2))</f>
        <v/>
      </c>
      <c r="Q1166" s="35" t="str">
        <f aca="false">IF(OR($A1166="",$C1166="U",$S1166&lt;&gt;Calc!$F$2),"",IF(COUNTIFS($E$3:$E1166,$E1166,$C$3:$C1166,"&lt;&gt;U",$S$3:$S1166,Calc!$F$2)=1,1,0))</f>
        <v/>
      </c>
      <c r="R1166" s="35" t="str">
        <f aca="false">IF($Q1166=1,$O1166-ROW()/100000,"")</f>
        <v/>
      </c>
      <c r="S1166" s="37" t="str">
        <f aca="false">IF($A1166="","",INT($A1166))</f>
        <v/>
      </c>
      <c r="T1166" s="35" t="str">
        <f aca="false">IF($A1166="","",IF(COUNTIFS($S$3:$S1166,$S1166)=1,1,0))</f>
        <v/>
      </c>
      <c r="U1166" s="37" t="str">
        <f aca="false">IF($T1166=1,$S1166,"")</f>
        <v/>
      </c>
    </row>
    <row r="1167" customFormat="false" ht="15" hidden="false" customHeight="false" outlineLevel="0" collapsed="false">
      <c r="M1167" s="35" t="str">
        <f aca="false">IF($A1167="","",HOUR($A1167))</f>
        <v/>
      </c>
      <c r="N1167" s="36" t="str">
        <f aca="false">IF($A1167="","",$I1167*$K1167)</f>
        <v/>
      </c>
      <c r="O1167" s="35" t="str">
        <f aca="false">IF(OR($A1167="",$C1167="U",$S1167&lt;&gt;Calc!$F$2),"",SUMIFS($I$3:$I$3002,$E$3:$E$3002,$E1167,$C$3:$C$3002,"&lt;&gt;U",$S$3:$S$3002,Calc!$F$2))</f>
        <v/>
      </c>
      <c r="P1167" s="35" t="str">
        <f aca="false">IF(OR($A1167="",$C1167="U",$S1167&lt;&gt;Calc!$F$2),"",SUMIFS($N$3:$N$3002,$E$3:$E$3002,$E1167,$C$3:$C$3002,"&lt;&gt;U",$S$3:$S$3002,Calc!$F$2))</f>
        <v/>
      </c>
      <c r="Q1167" s="35" t="str">
        <f aca="false">IF(OR($A1167="",$C1167="U",$S1167&lt;&gt;Calc!$F$2),"",IF(COUNTIFS($E$3:$E1167,$E1167,$C$3:$C1167,"&lt;&gt;U",$S$3:$S1167,Calc!$F$2)=1,1,0))</f>
        <v/>
      </c>
      <c r="R1167" s="35" t="str">
        <f aca="false">IF($Q1167=1,$O1167-ROW()/100000,"")</f>
        <v/>
      </c>
      <c r="S1167" s="37" t="str">
        <f aca="false">IF($A1167="","",INT($A1167))</f>
        <v/>
      </c>
      <c r="T1167" s="35" t="str">
        <f aca="false">IF($A1167="","",IF(COUNTIFS($S$3:$S1167,$S1167)=1,1,0))</f>
        <v/>
      </c>
      <c r="U1167" s="37" t="str">
        <f aca="false">IF($T1167=1,$S1167,"")</f>
        <v/>
      </c>
    </row>
    <row r="1168" customFormat="false" ht="15" hidden="false" customHeight="false" outlineLevel="0" collapsed="false">
      <c r="M1168" s="35" t="str">
        <f aca="false">IF($A1168="","",HOUR($A1168))</f>
        <v/>
      </c>
      <c r="N1168" s="36" t="str">
        <f aca="false">IF($A1168="","",$I1168*$K1168)</f>
        <v/>
      </c>
      <c r="O1168" s="35" t="str">
        <f aca="false">IF(OR($A1168="",$C1168="U",$S1168&lt;&gt;Calc!$F$2),"",SUMIFS($I$3:$I$3002,$E$3:$E$3002,$E1168,$C$3:$C$3002,"&lt;&gt;U",$S$3:$S$3002,Calc!$F$2))</f>
        <v/>
      </c>
      <c r="P1168" s="35" t="str">
        <f aca="false">IF(OR($A1168="",$C1168="U",$S1168&lt;&gt;Calc!$F$2),"",SUMIFS($N$3:$N$3002,$E$3:$E$3002,$E1168,$C$3:$C$3002,"&lt;&gt;U",$S$3:$S$3002,Calc!$F$2))</f>
        <v/>
      </c>
      <c r="Q1168" s="35" t="str">
        <f aca="false">IF(OR($A1168="",$C1168="U",$S1168&lt;&gt;Calc!$F$2),"",IF(COUNTIFS($E$3:$E1168,$E1168,$C$3:$C1168,"&lt;&gt;U",$S$3:$S1168,Calc!$F$2)=1,1,0))</f>
        <v/>
      </c>
      <c r="R1168" s="35" t="str">
        <f aca="false">IF($Q1168=1,$O1168-ROW()/100000,"")</f>
        <v/>
      </c>
      <c r="S1168" s="37" t="str">
        <f aca="false">IF($A1168="","",INT($A1168))</f>
        <v/>
      </c>
      <c r="T1168" s="35" t="str">
        <f aca="false">IF($A1168="","",IF(COUNTIFS($S$3:$S1168,$S1168)=1,1,0))</f>
        <v/>
      </c>
      <c r="U1168" s="37" t="str">
        <f aca="false">IF($T1168=1,$S1168,"")</f>
        <v/>
      </c>
    </row>
    <row r="1169" customFormat="false" ht="15" hidden="false" customHeight="false" outlineLevel="0" collapsed="false">
      <c r="M1169" s="35" t="str">
        <f aca="false">IF($A1169="","",HOUR($A1169))</f>
        <v/>
      </c>
      <c r="N1169" s="36" t="str">
        <f aca="false">IF($A1169="","",$I1169*$K1169)</f>
        <v/>
      </c>
      <c r="O1169" s="35" t="str">
        <f aca="false">IF(OR($A1169="",$C1169="U",$S1169&lt;&gt;Calc!$F$2),"",SUMIFS($I$3:$I$3002,$E$3:$E$3002,$E1169,$C$3:$C$3002,"&lt;&gt;U",$S$3:$S$3002,Calc!$F$2))</f>
        <v/>
      </c>
      <c r="P1169" s="35" t="str">
        <f aca="false">IF(OR($A1169="",$C1169="U",$S1169&lt;&gt;Calc!$F$2),"",SUMIFS($N$3:$N$3002,$E$3:$E$3002,$E1169,$C$3:$C$3002,"&lt;&gt;U",$S$3:$S$3002,Calc!$F$2))</f>
        <v/>
      </c>
      <c r="Q1169" s="35" t="str">
        <f aca="false">IF(OR($A1169="",$C1169="U",$S1169&lt;&gt;Calc!$F$2),"",IF(COUNTIFS($E$3:$E1169,$E1169,$C$3:$C1169,"&lt;&gt;U",$S$3:$S1169,Calc!$F$2)=1,1,0))</f>
        <v/>
      </c>
      <c r="R1169" s="35" t="str">
        <f aca="false">IF($Q1169=1,$O1169-ROW()/100000,"")</f>
        <v/>
      </c>
      <c r="S1169" s="37" t="str">
        <f aca="false">IF($A1169="","",INT($A1169))</f>
        <v/>
      </c>
      <c r="T1169" s="35" t="str">
        <f aca="false">IF($A1169="","",IF(COUNTIFS($S$3:$S1169,$S1169)=1,1,0))</f>
        <v/>
      </c>
      <c r="U1169" s="37" t="str">
        <f aca="false">IF($T1169=1,$S1169,"")</f>
        <v/>
      </c>
    </row>
    <row r="1170" customFormat="false" ht="15" hidden="false" customHeight="false" outlineLevel="0" collapsed="false">
      <c r="M1170" s="35" t="str">
        <f aca="false">IF($A1170="","",HOUR($A1170))</f>
        <v/>
      </c>
      <c r="N1170" s="36" t="str">
        <f aca="false">IF($A1170="","",$I1170*$K1170)</f>
        <v/>
      </c>
      <c r="O1170" s="35" t="str">
        <f aca="false">IF(OR($A1170="",$C1170="U",$S1170&lt;&gt;Calc!$F$2),"",SUMIFS($I$3:$I$3002,$E$3:$E$3002,$E1170,$C$3:$C$3002,"&lt;&gt;U",$S$3:$S$3002,Calc!$F$2))</f>
        <v/>
      </c>
      <c r="P1170" s="35" t="str">
        <f aca="false">IF(OR($A1170="",$C1170="U",$S1170&lt;&gt;Calc!$F$2),"",SUMIFS($N$3:$N$3002,$E$3:$E$3002,$E1170,$C$3:$C$3002,"&lt;&gt;U",$S$3:$S$3002,Calc!$F$2))</f>
        <v/>
      </c>
      <c r="Q1170" s="35" t="str">
        <f aca="false">IF(OR($A1170="",$C1170="U",$S1170&lt;&gt;Calc!$F$2),"",IF(COUNTIFS($E$3:$E1170,$E1170,$C$3:$C1170,"&lt;&gt;U",$S$3:$S1170,Calc!$F$2)=1,1,0))</f>
        <v/>
      </c>
      <c r="R1170" s="35" t="str">
        <f aca="false">IF($Q1170=1,$O1170-ROW()/100000,"")</f>
        <v/>
      </c>
      <c r="S1170" s="37" t="str">
        <f aca="false">IF($A1170="","",INT($A1170))</f>
        <v/>
      </c>
      <c r="T1170" s="35" t="str">
        <f aca="false">IF($A1170="","",IF(COUNTIFS($S$3:$S1170,$S1170)=1,1,0))</f>
        <v/>
      </c>
      <c r="U1170" s="37" t="str">
        <f aca="false">IF($T1170=1,$S1170,"")</f>
        <v/>
      </c>
    </row>
    <row r="1171" customFormat="false" ht="15" hidden="false" customHeight="false" outlineLevel="0" collapsed="false">
      <c r="M1171" s="35" t="str">
        <f aca="false">IF($A1171="","",HOUR($A1171))</f>
        <v/>
      </c>
      <c r="N1171" s="36" t="str">
        <f aca="false">IF($A1171="","",$I1171*$K1171)</f>
        <v/>
      </c>
      <c r="O1171" s="35" t="str">
        <f aca="false">IF(OR($A1171="",$C1171="U",$S1171&lt;&gt;Calc!$F$2),"",SUMIFS($I$3:$I$3002,$E$3:$E$3002,$E1171,$C$3:$C$3002,"&lt;&gt;U",$S$3:$S$3002,Calc!$F$2))</f>
        <v/>
      </c>
      <c r="P1171" s="35" t="str">
        <f aca="false">IF(OR($A1171="",$C1171="U",$S1171&lt;&gt;Calc!$F$2),"",SUMIFS($N$3:$N$3002,$E$3:$E$3002,$E1171,$C$3:$C$3002,"&lt;&gt;U",$S$3:$S$3002,Calc!$F$2))</f>
        <v/>
      </c>
      <c r="Q1171" s="35" t="str">
        <f aca="false">IF(OR($A1171="",$C1171="U",$S1171&lt;&gt;Calc!$F$2),"",IF(COUNTIFS($E$3:$E1171,$E1171,$C$3:$C1171,"&lt;&gt;U",$S$3:$S1171,Calc!$F$2)=1,1,0))</f>
        <v/>
      </c>
      <c r="R1171" s="35" t="str">
        <f aca="false">IF($Q1171=1,$O1171-ROW()/100000,"")</f>
        <v/>
      </c>
      <c r="S1171" s="37" t="str">
        <f aca="false">IF($A1171="","",INT($A1171))</f>
        <v/>
      </c>
      <c r="T1171" s="35" t="str">
        <f aca="false">IF($A1171="","",IF(COUNTIFS($S$3:$S1171,$S1171)=1,1,0))</f>
        <v/>
      </c>
      <c r="U1171" s="37" t="str">
        <f aca="false">IF($T1171=1,$S1171,"")</f>
        <v/>
      </c>
    </row>
    <row r="1172" customFormat="false" ht="15" hidden="false" customHeight="false" outlineLevel="0" collapsed="false">
      <c r="M1172" s="35" t="str">
        <f aca="false">IF($A1172="","",HOUR($A1172))</f>
        <v/>
      </c>
      <c r="N1172" s="36" t="str">
        <f aca="false">IF($A1172="","",$I1172*$K1172)</f>
        <v/>
      </c>
      <c r="O1172" s="35" t="str">
        <f aca="false">IF(OR($A1172="",$C1172="U",$S1172&lt;&gt;Calc!$F$2),"",SUMIFS($I$3:$I$3002,$E$3:$E$3002,$E1172,$C$3:$C$3002,"&lt;&gt;U",$S$3:$S$3002,Calc!$F$2))</f>
        <v/>
      </c>
      <c r="P1172" s="35" t="str">
        <f aca="false">IF(OR($A1172="",$C1172="U",$S1172&lt;&gt;Calc!$F$2),"",SUMIFS($N$3:$N$3002,$E$3:$E$3002,$E1172,$C$3:$C$3002,"&lt;&gt;U",$S$3:$S$3002,Calc!$F$2))</f>
        <v/>
      </c>
      <c r="Q1172" s="35" t="str">
        <f aca="false">IF(OR($A1172="",$C1172="U",$S1172&lt;&gt;Calc!$F$2),"",IF(COUNTIFS($E$3:$E1172,$E1172,$C$3:$C1172,"&lt;&gt;U",$S$3:$S1172,Calc!$F$2)=1,1,0))</f>
        <v/>
      </c>
      <c r="R1172" s="35" t="str">
        <f aca="false">IF($Q1172=1,$O1172-ROW()/100000,"")</f>
        <v/>
      </c>
      <c r="S1172" s="37" t="str">
        <f aca="false">IF($A1172="","",INT($A1172))</f>
        <v/>
      </c>
      <c r="T1172" s="35" t="str">
        <f aca="false">IF($A1172="","",IF(COUNTIFS($S$3:$S1172,$S1172)=1,1,0))</f>
        <v/>
      </c>
      <c r="U1172" s="37" t="str">
        <f aca="false">IF($T1172=1,$S1172,"")</f>
        <v/>
      </c>
    </row>
    <row r="1173" customFormat="false" ht="15" hidden="false" customHeight="false" outlineLevel="0" collapsed="false">
      <c r="M1173" s="35" t="str">
        <f aca="false">IF($A1173="","",HOUR($A1173))</f>
        <v/>
      </c>
      <c r="N1173" s="36" t="str">
        <f aca="false">IF($A1173="","",$I1173*$K1173)</f>
        <v/>
      </c>
      <c r="O1173" s="35" t="str">
        <f aca="false">IF(OR($A1173="",$C1173="U",$S1173&lt;&gt;Calc!$F$2),"",SUMIFS($I$3:$I$3002,$E$3:$E$3002,$E1173,$C$3:$C$3002,"&lt;&gt;U",$S$3:$S$3002,Calc!$F$2))</f>
        <v/>
      </c>
      <c r="P1173" s="35" t="str">
        <f aca="false">IF(OR($A1173="",$C1173="U",$S1173&lt;&gt;Calc!$F$2),"",SUMIFS($N$3:$N$3002,$E$3:$E$3002,$E1173,$C$3:$C$3002,"&lt;&gt;U",$S$3:$S$3002,Calc!$F$2))</f>
        <v/>
      </c>
      <c r="Q1173" s="35" t="str">
        <f aca="false">IF(OR($A1173="",$C1173="U",$S1173&lt;&gt;Calc!$F$2),"",IF(COUNTIFS($E$3:$E1173,$E1173,$C$3:$C1173,"&lt;&gt;U",$S$3:$S1173,Calc!$F$2)=1,1,0))</f>
        <v/>
      </c>
      <c r="R1173" s="35" t="str">
        <f aca="false">IF($Q1173=1,$O1173-ROW()/100000,"")</f>
        <v/>
      </c>
      <c r="S1173" s="37" t="str">
        <f aca="false">IF($A1173="","",INT($A1173))</f>
        <v/>
      </c>
      <c r="T1173" s="35" t="str">
        <f aca="false">IF($A1173="","",IF(COUNTIFS($S$3:$S1173,$S1173)=1,1,0))</f>
        <v/>
      </c>
      <c r="U1173" s="37" t="str">
        <f aca="false">IF($T1173=1,$S1173,"")</f>
        <v/>
      </c>
    </row>
    <row r="1174" customFormat="false" ht="15" hidden="false" customHeight="false" outlineLevel="0" collapsed="false">
      <c r="M1174" s="35" t="str">
        <f aca="false">IF($A1174="","",HOUR($A1174))</f>
        <v/>
      </c>
      <c r="N1174" s="36" t="str">
        <f aca="false">IF($A1174="","",$I1174*$K1174)</f>
        <v/>
      </c>
      <c r="O1174" s="35" t="str">
        <f aca="false">IF(OR($A1174="",$C1174="U",$S1174&lt;&gt;Calc!$F$2),"",SUMIFS($I$3:$I$3002,$E$3:$E$3002,$E1174,$C$3:$C$3002,"&lt;&gt;U",$S$3:$S$3002,Calc!$F$2))</f>
        <v/>
      </c>
      <c r="P1174" s="35" t="str">
        <f aca="false">IF(OR($A1174="",$C1174="U",$S1174&lt;&gt;Calc!$F$2),"",SUMIFS($N$3:$N$3002,$E$3:$E$3002,$E1174,$C$3:$C$3002,"&lt;&gt;U",$S$3:$S$3002,Calc!$F$2))</f>
        <v/>
      </c>
      <c r="Q1174" s="35" t="str">
        <f aca="false">IF(OR($A1174="",$C1174="U",$S1174&lt;&gt;Calc!$F$2),"",IF(COUNTIFS($E$3:$E1174,$E1174,$C$3:$C1174,"&lt;&gt;U",$S$3:$S1174,Calc!$F$2)=1,1,0))</f>
        <v/>
      </c>
      <c r="R1174" s="35" t="str">
        <f aca="false">IF($Q1174=1,$O1174-ROW()/100000,"")</f>
        <v/>
      </c>
      <c r="S1174" s="37" t="str">
        <f aca="false">IF($A1174="","",INT($A1174))</f>
        <v/>
      </c>
      <c r="T1174" s="35" t="str">
        <f aca="false">IF($A1174="","",IF(COUNTIFS($S$3:$S1174,$S1174)=1,1,0))</f>
        <v/>
      </c>
      <c r="U1174" s="37" t="str">
        <f aca="false">IF($T1174=1,$S1174,"")</f>
        <v/>
      </c>
    </row>
    <row r="1175" customFormat="false" ht="15" hidden="false" customHeight="false" outlineLevel="0" collapsed="false">
      <c r="M1175" s="35" t="str">
        <f aca="false">IF($A1175="","",HOUR($A1175))</f>
        <v/>
      </c>
      <c r="N1175" s="36" t="str">
        <f aca="false">IF($A1175="","",$I1175*$K1175)</f>
        <v/>
      </c>
      <c r="O1175" s="35" t="str">
        <f aca="false">IF(OR($A1175="",$C1175="U",$S1175&lt;&gt;Calc!$F$2),"",SUMIFS($I$3:$I$3002,$E$3:$E$3002,$E1175,$C$3:$C$3002,"&lt;&gt;U",$S$3:$S$3002,Calc!$F$2))</f>
        <v/>
      </c>
      <c r="P1175" s="35" t="str">
        <f aca="false">IF(OR($A1175="",$C1175="U",$S1175&lt;&gt;Calc!$F$2),"",SUMIFS($N$3:$N$3002,$E$3:$E$3002,$E1175,$C$3:$C$3002,"&lt;&gt;U",$S$3:$S$3002,Calc!$F$2))</f>
        <v/>
      </c>
      <c r="Q1175" s="35" t="str">
        <f aca="false">IF(OR($A1175="",$C1175="U",$S1175&lt;&gt;Calc!$F$2),"",IF(COUNTIFS($E$3:$E1175,$E1175,$C$3:$C1175,"&lt;&gt;U",$S$3:$S1175,Calc!$F$2)=1,1,0))</f>
        <v/>
      </c>
      <c r="R1175" s="35" t="str">
        <f aca="false">IF($Q1175=1,$O1175-ROW()/100000,"")</f>
        <v/>
      </c>
      <c r="S1175" s="37" t="str">
        <f aca="false">IF($A1175="","",INT($A1175))</f>
        <v/>
      </c>
      <c r="T1175" s="35" t="str">
        <f aca="false">IF($A1175="","",IF(COUNTIFS($S$3:$S1175,$S1175)=1,1,0))</f>
        <v/>
      </c>
      <c r="U1175" s="37" t="str">
        <f aca="false">IF($T1175=1,$S1175,"")</f>
        <v/>
      </c>
    </row>
    <row r="1176" customFormat="false" ht="15" hidden="false" customHeight="false" outlineLevel="0" collapsed="false">
      <c r="M1176" s="35" t="str">
        <f aca="false">IF($A1176="","",HOUR($A1176))</f>
        <v/>
      </c>
      <c r="N1176" s="36" t="str">
        <f aca="false">IF($A1176="","",$I1176*$K1176)</f>
        <v/>
      </c>
      <c r="O1176" s="35" t="str">
        <f aca="false">IF(OR($A1176="",$C1176="U",$S1176&lt;&gt;Calc!$F$2),"",SUMIFS($I$3:$I$3002,$E$3:$E$3002,$E1176,$C$3:$C$3002,"&lt;&gt;U",$S$3:$S$3002,Calc!$F$2))</f>
        <v/>
      </c>
      <c r="P1176" s="35" t="str">
        <f aca="false">IF(OR($A1176="",$C1176="U",$S1176&lt;&gt;Calc!$F$2),"",SUMIFS($N$3:$N$3002,$E$3:$E$3002,$E1176,$C$3:$C$3002,"&lt;&gt;U",$S$3:$S$3002,Calc!$F$2))</f>
        <v/>
      </c>
      <c r="Q1176" s="35" t="str">
        <f aca="false">IF(OR($A1176="",$C1176="U",$S1176&lt;&gt;Calc!$F$2),"",IF(COUNTIFS($E$3:$E1176,$E1176,$C$3:$C1176,"&lt;&gt;U",$S$3:$S1176,Calc!$F$2)=1,1,0))</f>
        <v/>
      </c>
      <c r="R1176" s="35" t="str">
        <f aca="false">IF($Q1176=1,$O1176-ROW()/100000,"")</f>
        <v/>
      </c>
      <c r="S1176" s="37" t="str">
        <f aca="false">IF($A1176="","",INT($A1176))</f>
        <v/>
      </c>
      <c r="T1176" s="35" t="str">
        <f aca="false">IF($A1176="","",IF(COUNTIFS($S$3:$S1176,$S1176)=1,1,0))</f>
        <v/>
      </c>
      <c r="U1176" s="37" t="str">
        <f aca="false">IF($T1176=1,$S1176,"")</f>
        <v/>
      </c>
    </row>
    <row r="1177" customFormat="false" ht="15" hidden="false" customHeight="false" outlineLevel="0" collapsed="false">
      <c r="M1177" s="35" t="str">
        <f aca="false">IF($A1177="","",HOUR($A1177))</f>
        <v/>
      </c>
      <c r="N1177" s="36" t="str">
        <f aca="false">IF($A1177="","",$I1177*$K1177)</f>
        <v/>
      </c>
      <c r="O1177" s="35" t="str">
        <f aca="false">IF(OR($A1177="",$C1177="U",$S1177&lt;&gt;Calc!$F$2),"",SUMIFS($I$3:$I$3002,$E$3:$E$3002,$E1177,$C$3:$C$3002,"&lt;&gt;U",$S$3:$S$3002,Calc!$F$2))</f>
        <v/>
      </c>
      <c r="P1177" s="35" t="str">
        <f aca="false">IF(OR($A1177="",$C1177="U",$S1177&lt;&gt;Calc!$F$2),"",SUMIFS($N$3:$N$3002,$E$3:$E$3002,$E1177,$C$3:$C$3002,"&lt;&gt;U",$S$3:$S$3002,Calc!$F$2))</f>
        <v/>
      </c>
      <c r="Q1177" s="35" t="str">
        <f aca="false">IF(OR($A1177="",$C1177="U",$S1177&lt;&gt;Calc!$F$2),"",IF(COUNTIFS($E$3:$E1177,$E1177,$C$3:$C1177,"&lt;&gt;U",$S$3:$S1177,Calc!$F$2)=1,1,0))</f>
        <v/>
      </c>
      <c r="R1177" s="35" t="str">
        <f aca="false">IF($Q1177=1,$O1177-ROW()/100000,"")</f>
        <v/>
      </c>
      <c r="S1177" s="37" t="str">
        <f aca="false">IF($A1177="","",INT($A1177))</f>
        <v/>
      </c>
      <c r="T1177" s="35" t="str">
        <f aca="false">IF($A1177="","",IF(COUNTIFS($S$3:$S1177,$S1177)=1,1,0))</f>
        <v/>
      </c>
      <c r="U1177" s="37" t="str">
        <f aca="false">IF($T1177=1,$S1177,"")</f>
        <v/>
      </c>
    </row>
    <row r="1178" customFormat="false" ht="15" hidden="false" customHeight="false" outlineLevel="0" collapsed="false">
      <c r="M1178" s="35" t="str">
        <f aca="false">IF($A1178="","",HOUR($A1178))</f>
        <v/>
      </c>
      <c r="N1178" s="36" t="str">
        <f aca="false">IF($A1178="","",$I1178*$K1178)</f>
        <v/>
      </c>
      <c r="O1178" s="35" t="str">
        <f aca="false">IF(OR($A1178="",$C1178="U",$S1178&lt;&gt;Calc!$F$2),"",SUMIFS($I$3:$I$3002,$E$3:$E$3002,$E1178,$C$3:$C$3002,"&lt;&gt;U",$S$3:$S$3002,Calc!$F$2))</f>
        <v/>
      </c>
      <c r="P1178" s="35" t="str">
        <f aca="false">IF(OR($A1178="",$C1178="U",$S1178&lt;&gt;Calc!$F$2),"",SUMIFS($N$3:$N$3002,$E$3:$E$3002,$E1178,$C$3:$C$3002,"&lt;&gt;U",$S$3:$S$3002,Calc!$F$2))</f>
        <v/>
      </c>
      <c r="Q1178" s="35" t="str">
        <f aca="false">IF(OR($A1178="",$C1178="U",$S1178&lt;&gt;Calc!$F$2),"",IF(COUNTIFS($E$3:$E1178,$E1178,$C$3:$C1178,"&lt;&gt;U",$S$3:$S1178,Calc!$F$2)=1,1,0))</f>
        <v/>
      </c>
      <c r="R1178" s="35" t="str">
        <f aca="false">IF($Q1178=1,$O1178-ROW()/100000,"")</f>
        <v/>
      </c>
      <c r="S1178" s="37" t="str">
        <f aca="false">IF($A1178="","",INT($A1178))</f>
        <v/>
      </c>
      <c r="T1178" s="35" t="str">
        <f aca="false">IF($A1178="","",IF(COUNTIFS($S$3:$S1178,$S1178)=1,1,0))</f>
        <v/>
      </c>
      <c r="U1178" s="37" t="str">
        <f aca="false">IF($T1178=1,$S1178,"")</f>
        <v/>
      </c>
    </row>
    <row r="1179" customFormat="false" ht="15" hidden="false" customHeight="false" outlineLevel="0" collapsed="false">
      <c r="M1179" s="35" t="str">
        <f aca="false">IF($A1179="","",HOUR($A1179))</f>
        <v/>
      </c>
      <c r="N1179" s="36" t="str">
        <f aca="false">IF($A1179="","",$I1179*$K1179)</f>
        <v/>
      </c>
      <c r="O1179" s="35" t="str">
        <f aca="false">IF(OR($A1179="",$C1179="U",$S1179&lt;&gt;Calc!$F$2),"",SUMIFS($I$3:$I$3002,$E$3:$E$3002,$E1179,$C$3:$C$3002,"&lt;&gt;U",$S$3:$S$3002,Calc!$F$2))</f>
        <v/>
      </c>
      <c r="P1179" s="35" t="str">
        <f aca="false">IF(OR($A1179="",$C1179="U",$S1179&lt;&gt;Calc!$F$2),"",SUMIFS($N$3:$N$3002,$E$3:$E$3002,$E1179,$C$3:$C$3002,"&lt;&gt;U",$S$3:$S$3002,Calc!$F$2))</f>
        <v/>
      </c>
      <c r="Q1179" s="35" t="str">
        <f aca="false">IF(OR($A1179="",$C1179="U",$S1179&lt;&gt;Calc!$F$2),"",IF(COUNTIFS($E$3:$E1179,$E1179,$C$3:$C1179,"&lt;&gt;U",$S$3:$S1179,Calc!$F$2)=1,1,0))</f>
        <v/>
      </c>
      <c r="R1179" s="35" t="str">
        <f aca="false">IF($Q1179=1,$O1179-ROW()/100000,"")</f>
        <v/>
      </c>
      <c r="S1179" s="37" t="str">
        <f aca="false">IF($A1179="","",INT($A1179))</f>
        <v/>
      </c>
      <c r="T1179" s="35" t="str">
        <f aca="false">IF($A1179="","",IF(COUNTIFS($S$3:$S1179,$S1179)=1,1,0))</f>
        <v/>
      </c>
      <c r="U1179" s="37" t="str">
        <f aca="false">IF($T1179=1,$S1179,"")</f>
        <v/>
      </c>
    </row>
    <row r="1180" customFormat="false" ht="15" hidden="false" customHeight="false" outlineLevel="0" collapsed="false">
      <c r="M1180" s="35" t="str">
        <f aca="false">IF($A1180="","",HOUR($A1180))</f>
        <v/>
      </c>
      <c r="N1180" s="36" t="str">
        <f aca="false">IF($A1180="","",$I1180*$K1180)</f>
        <v/>
      </c>
      <c r="O1180" s="35" t="str">
        <f aca="false">IF(OR($A1180="",$C1180="U",$S1180&lt;&gt;Calc!$F$2),"",SUMIFS($I$3:$I$3002,$E$3:$E$3002,$E1180,$C$3:$C$3002,"&lt;&gt;U",$S$3:$S$3002,Calc!$F$2))</f>
        <v/>
      </c>
      <c r="P1180" s="35" t="str">
        <f aca="false">IF(OR($A1180="",$C1180="U",$S1180&lt;&gt;Calc!$F$2),"",SUMIFS($N$3:$N$3002,$E$3:$E$3002,$E1180,$C$3:$C$3002,"&lt;&gt;U",$S$3:$S$3002,Calc!$F$2))</f>
        <v/>
      </c>
      <c r="Q1180" s="35" t="str">
        <f aca="false">IF(OR($A1180="",$C1180="U",$S1180&lt;&gt;Calc!$F$2),"",IF(COUNTIFS($E$3:$E1180,$E1180,$C$3:$C1180,"&lt;&gt;U",$S$3:$S1180,Calc!$F$2)=1,1,0))</f>
        <v/>
      </c>
      <c r="R1180" s="35" t="str">
        <f aca="false">IF($Q1180=1,$O1180-ROW()/100000,"")</f>
        <v/>
      </c>
      <c r="S1180" s="37" t="str">
        <f aca="false">IF($A1180="","",INT($A1180))</f>
        <v/>
      </c>
      <c r="T1180" s="35" t="str">
        <f aca="false">IF($A1180="","",IF(COUNTIFS($S$3:$S1180,$S1180)=1,1,0))</f>
        <v/>
      </c>
      <c r="U1180" s="37" t="str">
        <f aca="false">IF($T1180=1,$S1180,"")</f>
        <v/>
      </c>
    </row>
    <row r="1181" customFormat="false" ht="15" hidden="false" customHeight="false" outlineLevel="0" collapsed="false">
      <c r="M1181" s="35" t="str">
        <f aca="false">IF($A1181="","",HOUR($A1181))</f>
        <v/>
      </c>
      <c r="N1181" s="36" t="str">
        <f aca="false">IF($A1181="","",$I1181*$K1181)</f>
        <v/>
      </c>
      <c r="O1181" s="35" t="str">
        <f aca="false">IF(OR($A1181="",$C1181="U",$S1181&lt;&gt;Calc!$F$2),"",SUMIFS($I$3:$I$3002,$E$3:$E$3002,$E1181,$C$3:$C$3002,"&lt;&gt;U",$S$3:$S$3002,Calc!$F$2))</f>
        <v/>
      </c>
      <c r="P1181" s="35" t="str">
        <f aca="false">IF(OR($A1181="",$C1181="U",$S1181&lt;&gt;Calc!$F$2),"",SUMIFS($N$3:$N$3002,$E$3:$E$3002,$E1181,$C$3:$C$3002,"&lt;&gt;U",$S$3:$S$3002,Calc!$F$2))</f>
        <v/>
      </c>
      <c r="Q1181" s="35" t="str">
        <f aca="false">IF(OR($A1181="",$C1181="U",$S1181&lt;&gt;Calc!$F$2),"",IF(COUNTIFS($E$3:$E1181,$E1181,$C$3:$C1181,"&lt;&gt;U",$S$3:$S1181,Calc!$F$2)=1,1,0))</f>
        <v/>
      </c>
      <c r="R1181" s="35" t="str">
        <f aca="false">IF($Q1181=1,$O1181-ROW()/100000,"")</f>
        <v/>
      </c>
      <c r="S1181" s="37" t="str">
        <f aca="false">IF($A1181="","",INT($A1181))</f>
        <v/>
      </c>
      <c r="T1181" s="35" t="str">
        <f aca="false">IF($A1181="","",IF(COUNTIFS($S$3:$S1181,$S1181)=1,1,0))</f>
        <v/>
      </c>
      <c r="U1181" s="37" t="str">
        <f aca="false">IF($T1181=1,$S1181,"")</f>
        <v/>
      </c>
    </row>
    <row r="1182" customFormat="false" ht="15" hidden="false" customHeight="false" outlineLevel="0" collapsed="false">
      <c r="M1182" s="35" t="str">
        <f aca="false">IF($A1182="","",HOUR($A1182))</f>
        <v/>
      </c>
      <c r="N1182" s="36" t="str">
        <f aca="false">IF($A1182="","",$I1182*$K1182)</f>
        <v/>
      </c>
      <c r="O1182" s="35" t="str">
        <f aca="false">IF(OR($A1182="",$C1182="U",$S1182&lt;&gt;Calc!$F$2),"",SUMIFS($I$3:$I$3002,$E$3:$E$3002,$E1182,$C$3:$C$3002,"&lt;&gt;U",$S$3:$S$3002,Calc!$F$2))</f>
        <v/>
      </c>
      <c r="P1182" s="35" t="str">
        <f aca="false">IF(OR($A1182="",$C1182="U",$S1182&lt;&gt;Calc!$F$2),"",SUMIFS($N$3:$N$3002,$E$3:$E$3002,$E1182,$C$3:$C$3002,"&lt;&gt;U",$S$3:$S$3002,Calc!$F$2))</f>
        <v/>
      </c>
      <c r="Q1182" s="35" t="str">
        <f aca="false">IF(OR($A1182="",$C1182="U",$S1182&lt;&gt;Calc!$F$2),"",IF(COUNTIFS($E$3:$E1182,$E1182,$C$3:$C1182,"&lt;&gt;U",$S$3:$S1182,Calc!$F$2)=1,1,0))</f>
        <v/>
      </c>
      <c r="R1182" s="35" t="str">
        <f aca="false">IF($Q1182=1,$O1182-ROW()/100000,"")</f>
        <v/>
      </c>
      <c r="S1182" s="37" t="str">
        <f aca="false">IF($A1182="","",INT($A1182))</f>
        <v/>
      </c>
      <c r="T1182" s="35" t="str">
        <f aca="false">IF($A1182="","",IF(COUNTIFS($S$3:$S1182,$S1182)=1,1,0))</f>
        <v/>
      </c>
      <c r="U1182" s="37" t="str">
        <f aca="false">IF($T1182=1,$S1182,"")</f>
        <v/>
      </c>
    </row>
    <row r="1183" customFormat="false" ht="15" hidden="false" customHeight="false" outlineLevel="0" collapsed="false">
      <c r="M1183" s="35" t="str">
        <f aca="false">IF($A1183="","",HOUR($A1183))</f>
        <v/>
      </c>
      <c r="N1183" s="36" t="str">
        <f aca="false">IF($A1183="","",$I1183*$K1183)</f>
        <v/>
      </c>
      <c r="O1183" s="35" t="str">
        <f aca="false">IF(OR($A1183="",$C1183="U",$S1183&lt;&gt;Calc!$F$2),"",SUMIFS($I$3:$I$3002,$E$3:$E$3002,$E1183,$C$3:$C$3002,"&lt;&gt;U",$S$3:$S$3002,Calc!$F$2))</f>
        <v/>
      </c>
      <c r="P1183" s="35" t="str">
        <f aca="false">IF(OR($A1183="",$C1183="U",$S1183&lt;&gt;Calc!$F$2),"",SUMIFS($N$3:$N$3002,$E$3:$E$3002,$E1183,$C$3:$C$3002,"&lt;&gt;U",$S$3:$S$3002,Calc!$F$2))</f>
        <v/>
      </c>
      <c r="Q1183" s="35" t="str">
        <f aca="false">IF(OR($A1183="",$C1183="U",$S1183&lt;&gt;Calc!$F$2),"",IF(COUNTIFS($E$3:$E1183,$E1183,$C$3:$C1183,"&lt;&gt;U",$S$3:$S1183,Calc!$F$2)=1,1,0))</f>
        <v/>
      </c>
      <c r="R1183" s="35" t="str">
        <f aca="false">IF($Q1183=1,$O1183-ROW()/100000,"")</f>
        <v/>
      </c>
      <c r="S1183" s="37" t="str">
        <f aca="false">IF($A1183="","",INT($A1183))</f>
        <v/>
      </c>
      <c r="T1183" s="35" t="str">
        <f aca="false">IF($A1183="","",IF(COUNTIFS($S$3:$S1183,$S1183)=1,1,0))</f>
        <v/>
      </c>
      <c r="U1183" s="37" t="str">
        <f aca="false">IF($T1183=1,$S1183,"")</f>
        <v/>
      </c>
    </row>
    <row r="1184" customFormat="false" ht="15" hidden="false" customHeight="false" outlineLevel="0" collapsed="false">
      <c r="M1184" s="35" t="str">
        <f aca="false">IF($A1184="","",HOUR($A1184))</f>
        <v/>
      </c>
      <c r="N1184" s="36" t="str">
        <f aca="false">IF($A1184="","",$I1184*$K1184)</f>
        <v/>
      </c>
      <c r="O1184" s="35" t="str">
        <f aca="false">IF(OR($A1184="",$C1184="U",$S1184&lt;&gt;Calc!$F$2),"",SUMIFS($I$3:$I$3002,$E$3:$E$3002,$E1184,$C$3:$C$3002,"&lt;&gt;U",$S$3:$S$3002,Calc!$F$2))</f>
        <v/>
      </c>
      <c r="P1184" s="35" t="str">
        <f aca="false">IF(OR($A1184="",$C1184="U",$S1184&lt;&gt;Calc!$F$2),"",SUMIFS($N$3:$N$3002,$E$3:$E$3002,$E1184,$C$3:$C$3002,"&lt;&gt;U",$S$3:$S$3002,Calc!$F$2))</f>
        <v/>
      </c>
      <c r="Q1184" s="35" t="str">
        <f aca="false">IF(OR($A1184="",$C1184="U",$S1184&lt;&gt;Calc!$F$2),"",IF(COUNTIFS($E$3:$E1184,$E1184,$C$3:$C1184,"&lt;&gt;U",$S$3:$S1184,Calc!$F$2)=1,1,0))</f>
        <v/>
      </c>
      <c r="R1184" s="35" t="str">
        <f aca="false">IF($Q1184=1,$O1184-ROW()/100000,"")</f>
        <v/>
      </c>
      <c r="S1184" s="37" t="str">
        <f aca="false">IF($A1184="","",INT($A1184))</f>
        <v/>
      </c>
      <c r="T1184" s="35" t="str">
        <f aca="false">IF($A1184="","",IF(COUNTIFS($S$3:$S1184,$S1184)=1,1,0))</f>
        <v/>
      </c>
      <c r="U1184" s="37" t="str">
        <f aca="false">IF($T1184=1,$S1184,"")</f>
        <v/>
      </c>
    </row>
    <row r="1185" customFormat="false" ht="15" hidden="false" customHeight="false" outlineLevel="0" collapsed="false">
      <c r="M1185" s="35" t="str">
        <f aca="false">IF($A1185="","",HOUR($A1185))</f>
        <v/>
      </c>
      <c r="N1185" s="36" t="str">
        <f aca="false">IF($A1185="","",$I1185*$K1185)</f>
        <v/>
      </c>
      <c r="O1185" s="35" t="str">
        <f aca="false">IF(OR($A1185="",$C1185="U",$S1185&lt;&gt;Calc!$F$2),"",SUMIFS($I$3:$I$3002,$E$3:$E$3002,$E1185,$C$3:$C$3002,"&lt;&gt;U",$S$3:$S$3002,Calc!$F$2))</f>
        <v/>
      </c>
      <c r="P1185" s="35" t="str">
        <f aca="false">IF(OR($A1185="",$C1185="U",$S1185&lt;&gt;Calc!$F$2),"",SUMIFS($N$3:$N$3002,$E$3:$E$3002,$E1185,$C$3:$C$3002,"&lt;&gt;U",$S$3:$S$3002,Calc!$F$2))</f>
        <v/>
      </c>
      <c r="Q1185" s="35" t="str">
        <f aca="false">IF(OR($A1185="",$C1185="U",$S1185&lt;&gt;Calc!$F$2),"",IF(COUNTIFS($E$3:$E1185,$E1185,$C$3:$C1185,"&lt;&gt;U",$S$3:$S1185,Calc!$F$2)=1,1,0))</f>
        <v/>
      </c>
      <c r="R1185" s="35" t="str">
        <f aca="false">IF($Q1185=1,$O1185-ROW()/100000,"")</f>
        <v/>
      </c>
      <c r="S1185" s="37" t="str">
        <f aca="false">IF($A1185="","",INT($A1185))</f>
        <v/>
      </c>
      <c r="T1185" s="35" t="str">
        <f aca="false">IF($A1185="","",IF(COUNTIFS($S$3:$S1185,$S1185)=1,1,0))</f>
        <v/>
      </c>
      <c r="U1185" s="37" t="str">
        <f aca="false">IF($T1185=1,$S1185,"")</f>
        <v/>
      </c>
    </row>
    <row r="1186" customFormat="false" ht="15" hidden="false" customHeight="false" outlineLevel="0" collapsed="false">
      <c r="M1186" s="35" t="str">
        <f aca="false">IF($A1186="","",HOUR($A1186))</f>
        <v/>
      </c>
      <c r="N1186" s="36" t="str">
        <f aca="false">IF($A1186="","",$I1186*$K1186)</f>
        <v/>
      </c>
      <c r="O1186" s="35" t="str">
        <f aca="false">IF(OR($A1186="",$C1186="U",$S1186&lt;&gt;Calc!$F$2),"",SUMIFS($I$3:$I$3002,$E$3:$E$3002,$E1186,$C$3:$C$3002,"&lt;&gt;U",$S$3:$S$3002,Calc!$F$2))</f>
        <v/>
      </c>
      <c r="P1186" s="35" t="str">
        <f aca="false">IF(OR($A1186="",$C1186="U",$S1186&lt;&gt;Calc!$F$2),"",SUMIFS($N$3:$N$3002,$E$3:$E$3002,$E1186,$C$3:$C$3002,"&lt;&gt;U",$S$3:$S$3002,Calc!$F$2))</f>
        <v/>
      </c>
      <c r="Q1186" s="35" t="str">
        <f aca="false">IF(OR($A1186="",$C1186="U",$S1186&lt;&gt;Calc!$F$2),"",IF(COUNTIFS($E$3:$E1186,$E1186,$C$3:$C1186,"&lt;&gt;U",$S$3:$S1186,Calc!$F$2)=1,1,0))</f>
        <v/>
      </c>
      <c r="R1186" s="35" t="str">
        <f aca="false">IF($Q1186=1,$O1186-ROW()/100000,"")</f>
        <v/>
      </c>
      <c r="S1186" s="37" t="str">
        <f aca="false">IF($A1186="","",INT($A1186))</f>
        <v/>
      </c>
      <c r="T1186" s="35" t="str">
        <f aca="false">IF($A1186="","",IF(COUNTIFS($S$3:$S1186,$S1186)=1,1,0))</f>
        <v/>
      </c>
      <c r="U1186" s="37" t="str">
        <f aca="false">IF($T1186=1,$S1186,"")</f>
        <v/>
      </c>
    </row>
    <row r="1187" customFormat="false" ht="15" hidden="false" customHeight="false" outlineLevel="0" collapsed="false">
      <c r="M1187" s="35" t="str">
        <f aca="false">IF($A1187="","",HOUR($A1187))</f>
        <v/>
      </c>
      <c r="N1187" s="36" t="str">
        <f aca="false">IF($A1187="","",$I1187*$K1187)</f>
        <v/>
      </c>
      <c r="O1187" s="35" t="str">
        <f aca="false">IF(OR($A1187="",$C1187="U",$S1187&lt;&gt;Calc!$F$2),"",SUMIFS($I$3:$I$3002,$E$3:$E$3002,$E1187,$C$3:$C$3002,"&lt;&gt;U",$S$3:$S$3002,Calc!$F$2))</f>
        <v/>
      </c>
      <c r="P1187" s="35" t="str">
        <f aca="false">IF(OR($A1187="",$C1187="U",$S1187&lt;&gt;Calc!$F$2),"",SUMIFS($N$3:$N$3002,$E$3:$E$3002,$E1187,$C$3:$C$3002,"&lt;&gt;U",$S$3:$S$3002,Calc!$F$2))</f>
        <v/>
      </c>
      <c r="Q1187" s="35" t="str">
        <f aca="false">IF(OR($A1187="",$C1187="U",$S1187&lt;&gt;Calc!$F$2),"",IF(COUNTIFS($E$3:$E1187,$E1187,$C$3:$C1187,"&lt;&gt;U",$S$3:$S1187,Calc!$F$2)=1,1,0))</f>
        <v/>
      </c>
      <c r="R1187" s="35" t="str">
        <f aca="false">IF($Q1187=1,$O1187-ROW()/100000,"")</f>
        <v/>
      </c>
      <c r="S1187" s="37" t="str">
        <f aca="false">IF($A1187="","",INT($A1187))</f>
        <v/>
      </c>
      <c r="T1187" s="35" t="str">
        <f aca="false">IF($A1187="","",IF(COUNTIFS($S$3:$S1187,$S1187)=1,1,0))</f>
        <v/>
      </c>
      <c r="U1187" s="37" t="str">
        <f aca="false">IF($T1187=1,$S1187,"")</f>
        <v/>
      </c>
    </row>
    <row r="1188" customFormat="false" ht="15" hidden="false" customHeight="false" outlineLevel="0" collapsed="false">
      <c r="M1188" s="35" t="str">
        <f aca="false">IF($A1188="","",HOUR($A1188))</f>
        <v/>
      </c>
      <c r="N1188" s="36" t="str">
        <f aca="false">IF($A1188="","",$I1188*$K1188)</f>
        <v/>
      </c>
      <c r="O1188" s="35" t="str">
        <f aca="false">IF(OR($A1188="",$C1188="U",$S1188&lt;&gt;Calc!$F$2),"",SUMIFS($I$3:$I$3002,$E$3:$E$3002,$E1188,$C$3:$C$3002,"&lt;&gt;U",$S$3:$S$3002,Calc!$F$2))</f>
        <v/>
      </c>
      <c r="P1188" s="35" t="str">
        <f aca="false">IF(OR($A1188="",$C1188="U",$S1188&lt;&gt;Calc!$F$2),"",SUMIFS($N$3:$N$3002,$E$3:$E$3002,$E1188,$C$3:$C$3002,"&lt;&gt;U",$S$3:$S$3002,Calc!$F$2))</f>
        <v/>
      </c>
      <c r="Q1188" s="35" t="str">
        <f aca="false">IF(OR($A1188="",$C1188="U",$S1188&lt;&gt;Calc!$F$2),"",IF(COUNTIFS($E$3:$E1188,$E1188,$C$3:$C1188,"&lt;&gt;U",$S$3:$S1188,Calc!$F$2)=1,1,0))</f>
        <v/>
      </c>
      <c r="R1188" s="35" t="str">
        <f aca="false">IF($Q1188=1,$O1188-ROW()/100000,"")</f>
        <v/>
      </c>
      <c r="S1188" s="37" t="str">
        <f aca="false">IF($A1188="","",INT($A1188))</f>
        <v/>
      </c>
      <c r="T1188" s="35" t="str">
        <f aca="false">IF($A1188="","",IF(COUNTIFS($S$3:$S1188,$S1188)=1,1,0))</f>
        <v/>
      </c>
      <c r="U1188" s="37" t="str">
        <f aca="false">IF($T1188=1,$S1188,"")</f>
        <v/>
      </c>
    </row>
    <row r="1189" customFormat="false" ht="15" hidden="false" customHeight="false" outlineLevel="0" collapsed="false">
      <c r="M1189" s="35" t="str">
        <f aca="false">IF($A1189="","",HOUR($A1189))</f>
        <v/>
      </c>
      <c r="N1189" s="36" t="str">
        <f aca="false">IF($A1189="","",$I1189*$K1189)</f>
        <v/>
      </c>
      <c r="O1189" s="35" t="str">
        <f aca="false">IF(OR($A1189="",$C1189="U",$S1189&lt;&gt;Calc!$F$2),"",SUMIFS($I$3:$I$3002,$E$3:$E$3002,$E1189,$C$3:$C$3002,"&lt;&gt;U",$S$3:$S$3002,Calc!$F$2))</f>
        <v/>
      </c>
      <c r="P1189" s="35" t="str">
        <f aca="false">IF(OR($A1189="",$C1189="U",$S1189&lt;&gt;Calc!$F$2),"",SUMIFS($N$3:$N$3002,$E$3:$E$3002,$E1189,$C$3:$C$3002,"&lt;&gt;U",$S$3:$S$3002,Calc!$F$2))</f>
        <v/>
      </c>
      <c r="Q1189" s="35" t="str">
        <f aca="false">IF(OR($A1189="",$C1189="U",$S1189&lt;&gt;Calc!$F$2),"",IF(COUNTIFS($E$3:$E1189,$E1189,$C$3:$C1189,"&lt;&gt;U",$S$3:$S1189,Calc!$F$2)=1,1,0))</f>
        <v/>
      </c>
      <c r="R1189" s="35" t="str">
        <f aca="false">IF($Q1189=1,$O1189-ROW()/100000,"")</f>
        <v/>
      </c>
      <c r="S1189" s="37" t="str">
        <f aca="false">IF($A1189="","",INT($A1189))</f>
        <v/>
      </c>
      <c r="T1189" s="35" t="str">
        <f aca="false">IF($A1189="","",IF(COUNTIFS($S$3:$S1189,$S1189)=1,1,0))</f>
        <v/>
      </c>
      <c r="U1189" s="37" t="str">
        <f aca="false">IF($T1189=1,$S1189,"")</f>
        <v/>
      </c>
    </row>
    <row r="1190" customFormat="false" ht="15" hidden="false" customHeight="false" outlineLevel="0" collapsed="false">
      <c r="M1190" s="35" t="str">
        <f aca="false">IF($A1190="","",HOUR($A1190))</f>
        <v/>
      </c>
      <c r="N1190" s="36" t="str">
        <f aca="false">IF($A1190="","",$I1190*$K1190)</f>
        <v/>
      </c>
      <c r="O1190" s="35" t="str">
        <f aca="false">IF(OR($A1190="",$C1190="U",$S1190&lt;&gt;Calc!$F$2),"",SUMIFS($I$3:$I$3002,$E$3:$E$3002,$E1190,$C$3:$C$3002,"&lt;&gt;U",$S$3:$S$3002,Calc!$F$2))</f>
        <v/>
      </c>
      <c r="P1190" s="35" t="str">
        <f aca="false">IF(OR($A1190="",$C1190="U",$S1190&lt;&gt;Calc!$F$2),"",SUMIFS($N$3:$N$3002,$E$3:$E$3002,$E1190,$C$3:$C$3002,"&lt;&gt;U",$S$3:$S$3002,Calc!$F$2))</f>
        <v/>
      </c>
      <c r="Q1190" s="35" t="str">
        <f aca="false">IF(OR($A1190="",$C1190="U",$S1190&lt;&gt;Calc!$F$2),"",IF(COUNTIFS($E$3:$E1190,$E1190,$C$3:$C1190,"&lt;&gt;U",$S$3:$S1190,Calc!$F$2)=1,1,0))</f>
        <v/>
      </c>
      <c r="R1190" s="35" t="str">
        <f aca="false">IF($Q1190=1,$O1190-ROW()/100000,"")</f>
        <v/>
      </c>
      <c r="S1190" s="37" t="str">
        <f aca="false">IF($A1190="","",INT($A1190))</f>
        <v/>
      </c>
      <c r="T1190" s="35" t="str">
        <f aca="false">IF($A1190="","",IF(COUNTIFS($S$3:$S1190,$S1190)=1,1,0))</f>
        <v/>
      </c>
      <c r="U1190" s="37" t="str">
        <f aca="false">IF($T1190=1,$S1190,"")</f>
        <v/>
      </c>
    </row>
    <row r="1191" customFormat="false" ht="15" hidden="false" customHeight="false" outlineLevel="0" collapsed="false">
      <c r="M1191" s="35" t="str">
        <f aca="false">IF($A1191="","",HOUR($A1191))</f>
        <v/>
      </c>
      <c r="N1191" s="36" t="str">
        <f aca="false">IF($A1191="","",$I1191*$K1191)</f>
        <v/>
      </c>
      <c r="O1191" s="35" t="str">
        <f aca="false">IF(OR($A1191="",$C1191="U",$S1191&lt;&gt;Calc!$F$2),"",SUMIFS($I$3:$I$3002,$E$3:$E$3002,$E1191,$C$3:$C$3002,"&lt;&gt;U",$S$3:$S$3002,Calc!$F$2))</f>
        <v/>
      </c>
      <c r="P1191" s="35" t="str">
        <f aca="false">IF(OR($A1191="",$C1191="U",$S1191&lt;&gt;Calc!$F$2),"",SUMIFS($N$3:$N$3002,$E$3:$E$3002,$E1191,$C$3:$C$3002,"&lt;&gt;U",$S$3:$S$3002,Calc!$F$2))</f>
        <v/>
      </c>
      <c r="Q1191" s="35" t="str">
        <f aca="false">IF(OR($A1191="",$C1191="U",$S1191&lt;&gt;Calc!$F$2),"",IF(COUNTIFS($E$3:$E1191,$E1191,$C$3:$C1191,"&lt;&gt;U",$S$3:$S1191,Calc!$F$2)=1,1,0))</f>
        <v/>
      </c>
      <c r="R1191" s="35" t="str">
        <f aca="false">IF($Q1191=1,$O1191-ROW()/100000,"")</f>
        <v/>
      </c>
      <c r="S1191" s="37" t="str">
        <f aca="false">IF($A1191="","",INT($A1191))</f>
        <v/>
      </c>
      <c r="T1191" s="35" t="str">
        <f aca="false">IF($A1191="","",IF(COUNTIFS($S$3:$S1191,$S1191)=1,1,0))</f>
        <v/>
      </c>
      <c r="U1191" s="37" t="str">
        <f aca="false">IF($T1191=1,$S1191,"")</f>
        <v/>
      </c>
    </row>
    <row r="1192" customFormat="false" ht="15" hidden="false" customHeight="false" outlineLevel="0" collapsed="false">
      <c r="M1192" s="35" t="str">
        <f aca="false">IF($A1192="","",HOUR($A1192))</f>
        <v/>
      </c>
      <c r="N1192" s="36" t="str">
        <f aca="false">IF($A1192="","",$I1192*$K1192)</f>
        <v/>
      </c>
      <c r="O1192" s="35" t="str">
        <f aca="false">IF(OR($A1192="",$C1192="U",$S1192&lt;&gt;Calc!$F$2),"",SUMIFS($I$3:$I$3002,$E$3:$E$3002,$E1192,$C$3:$C$3002,"&lt;&gt;U",$S$3:$S$3002,Calc!$F$2))</f>
        <v/>
      </c>
      <c r="P1192" s="35" t="str">
        <f aca="false">IF(OR($A1192="",$C1192="U",$S1192&lt;&gt;Calc!$F$2),"",SUMIFS($N$3:$N$3002,$E$3:$E$3002,$E1192,$C$3:$C$3002,"&lt;&gt;U",$S$3:$S$3002,Calc!$F$2))</f>
        <v/>
      </c>
      <c r="Q1192" s="35" t="str">
        <f aca="false">IF(OR($A1192="",$C1192="U",$S1192&lt;&gt;Calc!$F$2),"",IF(COUNTIFS($E$3:$E1192,$E1192,$C$3:$C1192,"&lt;&gt;U",$S$3:$S1192,Calc!$F$2)=1,1,0))</f>
        <v/>
      </c>
      <c r="R1192" s="35" t="str">
        <f aca="false">IF($Q1192=1,$O1192-ROW()/100000,"")</f>
        <v/>
      </c>
      <c r="S1192" s="37" t="str">
        <f aca="false">IF($A1192="","",INT($A1192))</f>
        <v/>
      </c>
      <c r="T1192" s="35" t="str">
        <f aca="false">IF($A1192="","",IF(COUNTIFS($S$3:$S1192,$S1192)=1,1,0))</f>
        <v/>
      </c>
      <c r="U1192" s="37" t="str">
        <f aca="false">IF($T1192=1,$S1192,"")</f>
        <v/>
      </c>
    </row>
    <row r="1193" customFormat="false" ht="15" hidden="false" customHeight="false" outlineLevel="0" collapsed="false">
      <c r="M1193" s="35" t="str">
        <f aca="false">IF($A1193="","",HOUR($A1193))</f>
        <v/>
      </c>
      <c r="N1193" s="36" t="str">
        <f aca="false">IF($A1193="","",$I1193*$K1193)</f>
        <v/>
      </c>
      <c r="O1193" s="35" t="str">
        <f aca="false">IF(OR($A1193="",$C1193="U",$S1193&lt;&gt;Calc!$F$2),"",SUMIFS($I$3:$I$3002,$E$3:$E$3002,$E1193,$C$3:$C$3002,"&lt;&gt;U",$S$3:$S$3002,Calc!$F$2))</f>
        <v/>
      </c>
      <c r="P1193" s="35" t="str">
        <f aca="false">IF(OR($A1193="",$C1193="U",$S1193&lt;&gt;Calc!$F$2),"",SUMIFS($N$3:$N$3002,$E$3:$E$3002,$E1193,$C$3:$C$3002,"&lt;&gt;U",$S$3:$S$3002,Calc!$F$2))</f>
        <v/>
      </c>
      <c r="Q1193" s="35" t="str">
        <f aca="false">IF(OR($A1193="",$C1193="U",$S1193&lt;&gt;Calc!$F$2),"",IF(COUNTIFS($E$3:$E1193,$E1193,$C$3:$C1193,"&lt;&gt;U",$S$3:$S1193,Calc!$F$2)=1,1,0))</f>
        <v/>
      </c>
      <c r="R1193" s="35" t="str">
        <f aca="false">IF($Q1193=1,$O1193-ROW()/100000,"")</f>
        <v/>
      </c>
      <c r="S1193" s="37" t="str">
        <f aca="false">IF($A1193="","",INT($A1193))</f>
        <v/>
      </c>
      <c r="T1193" s="35" t="str">
        <f aca="false">IF($A1193="","",IF(COUNTIFS($S$3:$S1193,$S1193)=1,1,0))</f>
        <v/>
      </c>
      <c r="U1193" s="37" t="str">
        <f aca="false">IF($T1193=1,$S1193,"")</f>
        <v/>
      </c>
    </row>
    <row r="1194" customFormat="false" ht="15" hidden="false" customHeight="false" outlineLevel="0" collapsed="false">
      <c r="M1194" s="35" t="str">
        <f aca="false">IF($A1194="","",HOUR($A1194))</f>
        <v/>
      </c>
      <c r="N1194" s="36" t="str">
        <f aca="false">IF($A1194="","",$I1194*$K1194)</f>
        <v/>
      </c>
      <c r="O1194" s="35" t="str">
        <f aca="false">IF(OR($A1194="",$C1194="U",$S1194&lt;&gt;Calc!$F$2),"",SUMIFS($I$3:$I$3002,$E$3:$E$3002,$E1194,$C$3:$C$3002,"&lt;&gt;U",$S$3:$S$3002,Calc!$F$2))</f>
        <v/>
      </c>
      <c r="P1194" s="35" t="str">
        <f aca="false">IF(OR($A1194="",$C1194="U",$S1194&lt;&gt;Calc!$F$2),"",SUMIFS($N$3:$N$3002,$E$3:$E$3002,$E1194,$C$3:$C$3002,"&lt;&gt;U",$S$3:$S$3002,Calc!$F$2))</f>
        <v/>
      </c>
      <c r="Q1194" s="35" t="str">
        <f aca="false">IF(OR($A1194="",$C1194="U",$S1194&lt;&gt;Calc!$F$2),"",IF(COUNTIFS($E$3:$E1194,$E1194,$C$3:$C1194,"&lt;&gt;U",$S$3:$S1194,Calc!$F$2)=1,1,0))</f>
        <v/>
      </c>
      <c r="R1194" s="35" t="str">
        <f aca="false">IF($Q1194=1,$O1194-ROW()/100000,"")</f>
        <v/>
      </c>
      <c r="S1194" s="37" t="str">
        <f aca="false">IF($A1194="","",INT($A1194))</f>
        <v/>
      </c>
      <c r="T1194" s="35" t="str">
        <f aca="false">IF($A1194="","",IF(COUNTIFS($S$3:$S1194,$S1194)=1,1,0))</f>
        <v/>
      </c>
      <c r="U1194" s="37" t="str">
        <f aca="false">IF($T1194=1,$S1194,"")</f>
        <v/>
      </c>
    </row>
    <row r="1195" customFormat="false" ht="15" hidden="false" customHeight="false" outlineLevel="0" collapsed="false">
      <c r="M1195" s="35" t="str">
        <f aca="false">IF($A1195="","",HOUR($A1195))</f>
        <v/>
      </c>
      <c r="N1195" s="36" t="str">
        <f aca="false">IF($A1195="","",$I1195*$K1195)</f>
        <v/>
      </c>
      <c r="O1195" s="35" t="str">
        <f aca="false">IF(OR($A1195="",$C1195="U",$S1195&lt;&gt;Calc!$F$2),"",SUMIFS($I$3:$I$3002,$E$3:$E$3002,$E1195,$C$3:$C$3002,"&lt;&gt;U",$S$3:$S$3002,Calc!$F$2))</f>
        <v/>
      </c>
      <c r="P1195" s="35" t="str">
        <f aca="false">IF(OR($A1195="",$C1195="U",$S1195&lt;&gt;Calc!$F$2),"",SUMIFS($N$3:$N$3002,$E$3:$E$3002,$E1195,$C$3:$C$3002,"&lt;&gt;U",$S$3:$S$3002,Calc!$F$2))</f>
        <v/>
      </c>
      <c r="Q1195" s="35" t="str">
        <f aca="false">IF(OR($A1195="",$C1195="U",$S1195&lt;&gt;Calc!$F$2),"",IF(COUNTIFS($E$3:$E1195,$E1195,$C$3:$C1195,"&lt;&gt;U",$S$3:$S1195,Calc!$F$2)=1,1,0))</f>
        <v/>
      </c>
      <c r="R1195" s="35" t="str">
        <f aca="false">IF($Q1195=1,$O1195-ROW()/100000,"")</f>
        <v/>
      </c>
      <c r="S1195" s="37" t="str">
        <f aca="false">IF($A1195="","",INT($A1195))</f>
        <v/>
      </c>
      <c r="T1195" s="35" t="str">
        <f aca="false">IF($A1195="","",IF(COUNTIFS($S$3:$S1195,$S1195)=1,1,0))</f>
        <v/>
      </c>
      <c r="U1195" s="37" t="str">
        <f aca="false">IF($T1195=1,$S1195,"")</f>
        <v/>
      </c>
    </row>
    <row r="1196" customFormat="false" ht="15" hidden="false" customHeight="false" outlineLevel="0" collapsed="false">
      <c r="M1196" s="35" t="str">
        <f aca="false">IF($A1196="","",HOUR($A1196))</f>
        <v/>
      </c>
      <c r="N1196" s="36" t="str">
        <f aca="false">IF($A1196="","",$I1196*$K1196)</f>
        <v/>
      </c>
      <c r="O1196" s="35" t="str">
        <f aca="false">IF(OR($A1196="",$C1196="U",$S1196&lt;&gt;Calc!$F$2),"",SUMIFS($I$3:$I$3002,$E$3:$E$3002,$E1196,$C$3:$C$3002,"&lt;&gt;U",$S$3:$S$3002,Calc!$F$2))</f>
        <v/>
      </c>
      <c r="P1196" s="35" t="str">
        <f aca="false">IF(OR($A1196="",$C1196="U",$S1196&lt;&gt;Calc!$F$2),"",SUMIFS($N$3:$N$3002,$E$3:$E$3002,$E1196,$C$3:$C$3002,"&lt;&gt;U",$S$3:$S$3002,Calc!$F$2))</f>
        <v/>
      </c>
      <c r="Q1196" s="35" t="str">
        <f aca="false">IF(OR($A1196="",$C1196="U",$S1196&lt;&gt;Calc!$F$2),"",IF(COUNTIFS($E$3:$E1196,$E1196,$C$3:$C1196,"&lt;&gt;U",$S$3:$S1196,Calc!$F$2)=1,1,0))</f>
        <v/>
      </c>
      <c r="R1196" s="35" t="str">
        <f aca="false">IF($Q1196=1,$O1196-ROW()/100000,"")</f>
        <v/>
      </c>
      <c r="S1196" s="37" t="str">
        <f aca="false">IF($A1196="","",INT($A1196))</f>
        <v/>
      </c>
      <c r="T1196" s="35" t="str">
        <f aca="false">IF($A1196="","",IF(COUNTIFS($S$3:$S1196,$S1196)=1,1,0))</f>
        <v/>
      </c>
      <c r="U1196" s="37" t="str">
        <f aca="false">IF($T1196=1,$S1196,"")</f>
        <v/>
      </c>
    </row>
    <row r="1197" customFormat="false" ht="15" hidden="false" customHeight="false" outlineLevel="0" collapsed="false">
      <c r="M1197" s="35" t="str">
        <f aca="false">IF($A1197="","",HOUR($A1197))</f>
        <v/>
      </c>
      <c r="N1197" s="36" t="str">
        <f aca="false">IF($A1197="","",$I1197*$K1197)</f>
        <v/>
      </c>
      <c r="O1197" s="35" t="str">
        <f aca="false">IF(OR($A1197="",$C1197="U",$S1197&lt;&gt;Calc!$F$2),"",SUMIFS($I$3:$I$3002,$E$3:$E$3002,$E1197,$C$3:$C$3002,"&lt;&gt;U",$S$3:$S$3002,Calc!$F$2))</f>
        <v/>
      </c>
      <c r="P1197" s="35" t="str">
        <f aca="false">IF(OR($A1197="",$C1197="U",$S1197&lt;&gt;Calc!$F$2),"",SUMIFS($N$3:$N$3002,$E$3:$E$3002,$E1197,$C$3:$C$3002,"&lt;&gt;U",$S$3:$S$3002,Calc!$F$2))</f>
        <v/>
      </c>
      <c r="Q1197" s="35" t="str">
        <f aca="false">IF(OR($A1197="",$C1197="U",$S1197&lt;&gt;Calc!$F$2),"",IF(COUNTIFS($E$3:$E1197,$E1197,$C$3:$C1197,"&lt;&gt;U",$S$3:$S1197,Calc!$F$2)=1,1,0))</f>
        <v/>
      </c>
      <c r="R1197" s="35" t="str">
        <f aca="false">IF($Q1197=1,$O1197-ROW()/100000,"")</f>
        <v/>
      </c>
      <c r="S1197" s="37" t="str">
        <f aca="false">IF($A1197="","",INT($A1197))</f>
        <v/>
      </c>
      <c r="T1197" s="35" t="str">
        <f aca="false">IF($A1197="","",IF(COUNTIFS($S$3:$S1197,$S1197)=1,1,0))</f>
        <v/>
      </c>
      <c r="U1197" s="37" t="str">
        <f aca="false">IF($T1197=1,$S1197,"")</f>
        <v/>
      </c>
    </row>
    <row r="1198" customFormat="false" ht="15" hidden="false" customHeight="false" outlineLevel="0" collapsed="false">
      <c r="M1198" s="35" t="str">
        <f aca="false">IF($A1198="","",HOUR($A1198))</f>
        <v/>
      </c>
      <c r="N1198" s="36" t="str">
        <f aca="false">IF($A1198="","",$I1198*$K1198)</f>
        <v/>
      </c>
      <c r="O1198" s="35" t="str">
        <f aca="false">IF(OR($A1198="",$C1198="U",$S1198&lt;&gt;Calc!$F$2),"",SUMIFS($I$3:$I$3002,$E$3:$E$3002,$E1198,$C$3:$C$3002,"&lt;&gt;U",$S$3:$S$3002,Calc!$F$2))</f>
        <v/>
      </c>
      <c r="P1198" s="35" t="str">
        <f aca="false">IF(OR($A1198="",$C1198="U",$S1198&lt;&gt;Calc!$F$2),"",SUMIFS($N$3:$N$3002,$E$3:$E$3002,$E1198,$C$3:$C$3002,"&lt;&gt;U",$S$3:$S$3002,Calc!$F$2))</f>
        <v/>
      </c>
      <c r="Q1198" s="35" t="str">
        <f aca="false">IF(OR($A1198="",$C1198="U",$S1198&lt;&gt;Calc!$F$2),"",IF(COUNTIFS($E$3:$E1198,$E1198,$C$3:$C1198,"&lt;&gt;U",$S$3:$S1198,Calc!$F$2)=1,1,0))</f>
        <v/>
      </c>
      <c r="R1198" s="35" t="str">
        <f aca="false">IF($Q1198=1,$O1198-ROW()/100000,"")</f>
        <v/>
      </c>
      <c r="S1198" s="37" t="str">
        <f aca="false">IF($A1198="","",INT($A1198))</f>
        <v/>
      </c>
      <c r="T1198" s="35" t="str">
        <f aca="false">IF($A1198="","",IF(COUNTIFS($S$3:$S1198,$S1198)=1,1,0))</f>
        <v/>
      </c>
      <c r="U1198" s="37" t="str">
        <f aca="false">IF($T1198=1,$S1198,"")</f>
        <v/>
      </c>
    </row>
    <row r="1199" customFormat="false" ht="15" hidden="false" customHeight="false" outlineLevel="0" collapsed="false">
      <c r="M1199" s="35" t="str">
        <f aca="false">IF($A1199="","",HOUR($A1199))</f>
        <v/>
      </c>
      <c r="N1199" s="36" t="str">
        <f aca="false">IF($A1199="","",$I1199*$K1199)</f>
        <v/>
      </c>
      <c r="O1199" s="35" t="str">
        <f aca="false">IF(OR($A1199="",$C1199="U",$S1199&lt;&gt;Calc!$F$2),"",SUMIFS($I$3:$I$3002,$E$3:$E$3002,$E1199,$C$3:$C$3002,"&lt;&gt;U",$S$3:$S$3002,Calc!$F$2))</f>
        <v/>
      </c>
      <c r="P1199" s="35" t="str">
        <f aca="false">IF(OR($A1199="",$C1199="U",$S1199&lt;&gt;Calc!$F$2),"",SUMIFS($N$3:$N$3002,$E$3:$E$3002,$E1199,$C$3:$C$3002,"&lt;&gt;U",$S$3:$S$3002,Calc!$F$2))</f>
        <v/>
      </c>
      <c r="Q1199" s="35" t="str">
        <f aca="false">IF(OR($A1199="",$C1199="U",$S1199&lt;&gt;Calc!$F$2),"",IF(COUNTIFS($E$3:$E1199,$E1199,$C$3:$C1199,"&lt;&gt;U",$S$3:$S1199,Calc!$F$2)=1,1,0))</f>
        <v/>
      </c>
      <c r="R1199" s="35" t="str">
        <f aca="false">IF($Q1199=1,$O1199-ROW()/100000,"")</f>
        <v/>
      </c>
      <c r="S1199" s="37" t="str">
        <f aca="false">IF($A1199="","",INT($A1199))</f>
        <v/>
      </c>
      <c r="T1199" s="35" t="str">
        <f aca="false">IF($A1199="","",IF(COUNTIFS($S$3:$S1199,$S1199)=1,1,0))</f>
        <v/>
      </c>
      <c r="U1199" s="37" t="str">
        <f aca="false">IF($T1199=1,$S1199,"")</f>
        <v/>
      </c>
    </row>
    <row r="1200" customFormat="false" ht="15" hidden="false" customHeight="false" outlineLevel="0" collapsed="false">
      <c r="M1200" s="35" t="str">
        <f aca="false">IF($A1200="","",HOUR($A1200))</f>
        <v/>
      </c>
      <c r="N1200" s="36" t="str">
        <f aca="false">IF($A1200="","",$I1200*$K1200)</f>
        <v/>
      </c>
      <c r="O1200" s="35" t="str">
        <f aca="false">IF(OR($A1200="",$C1200="U",$S1200&lt;&gt;Calc!$F$2),"",SUMIFS($I$3:$I$3002,$E$3:$E$3002,$E1200,$C$3:$C$3002,"&lt;&gt;U",$S$3:$S$3002,Calc!$F$2))</f>
        <v/>
      </c>
      <c r="P1200" s="35" t="str">
        <f aca="false">IF(OR($A1200="",$C1200="U",$S1200&lt;&gt;Calc!$F$2),"",SUMIFS($N$3:$N$3002,$E$3:$E$3002,$E1200,$C$3:$C$3002,"&lt;&gt;U",$S$3:$S$3002,Calc!$F$2))</f>
        <v/>
      </c>
      <c r="Q1200" s="35" t="str">
        <f aca="false">IF(OR($A1200="",$C1200="U",$S1200&lt;&gt;Calc!$F$2),"",IF(COUNTIFS($E$3:$E1200,$E1200,$C$3:$C1200,"&lt;&gt;U",$S$3:$S1200,Calc!$F$2)=1,1,0))</f>
        <v/>
      </c>
      <c r="R1200" s="35" t="str">
        <f aca="false">IF($Q1200=1,$O1200-ROW()/100000,"")</f>
        <v/>
      </c>
      <c r="S1200" s="37" t="str">
        <f aca="false">IF($A1200="","",INT($A1200))</f>
        <v/>
      </c>
      <c r="T1200" s="35" t="str">
        <f aca="false">IF($A1200="","",IF(COUNTIFS($S$3:$S1200,$S1200)=1,1,0))</f>
        <v/>
      </c>
      <c r="U1200" s="37" t="str">
        <f aca="false">IF($T1200=1,$S1200,"")</f>
        <v/>
      </c>
    </row>
    <row r="1201" customFormat="false" ht="15" hidden="false" customHeight="false" outlineLevel="0" collapsed="false">
      <c r="M1201" s="35" t="str">
        <f aca="false">IF($A1201="","",HOUR($A1201))</f>
        <v/>
      </c>
      <c r="N1201" s="36" t="str">
        <f aca="false">IF($A1201="","",$I1201*$K1201)</f>
        <v/>
      </c>
      <c r="O1201" s="35" t="str">
        <f aca="false">IF(OR($A1201="",$C1201="U",$S1201&lt;&gt;Calc!$F$2),"",SUMIFS($I$3:$I$3002,$E$3:$E$3002,$E1201,$C$3:$C$3002,"&lt;&gt;U",$S$3:$S$3002,Calc!$F$2))</f>
        <v/>
      </c>
      <c r="P1201" s="35" t="str">
        <f aca="false">IF(OR($A1201="",$C1201="U",$S1201&lt;&gt;Calc!$F$2),"",SUMIFS($N$3:$N$3002,$E$3:$E$3002,$E1201,$C$3:$C$3002,"&lt;&gt;U",$S$3:$S$3002,Calc!$F$2))</f>
        <v/>
      </c>
      <c r="Q1201" s="35" t="str">
        <f aca="false">IF(OR($A1201="",$C1201="U",$S1201&lt;&gt;Calc!$F$2),"",IF(COUNTIFS($E$3:$E1201,$E1201,$C$3:$C1201,"&lt;&gt;U",$S$3:$S1201,Calc!$F$2)=1,1,0))</f>
        <v/>
      </c>
      <c r="R1201" s="35" t="str">
        <f aca="false">IF($Q1201=1,$O1201-ROW()/100000,"")</f>
        <v/>
      </c>
      <c r="S1201" s="37" t="str">
        <f aca="false">IF($A1201="","",INT($A1201))</f>
        <v/>
      </c>
      <c r="T1201" s="35" t="str">
        <f aca="false">IF($A1201="","",IF(COUNTIFS($S$3:$S1201,$S1201)=1,1,0))</f>
        <v/>
      </c>
      <c r="U1201" s="37" t="str">
        <f aca="false">IF($T1201=1,$S1201,"")</f>
        <v/>
      </c>
    </row>
    <row r="1202" customFormat="false" ht="15" hidden="false" customHeight="false" outlineLevel="0" collapsed="false">
      <c r="M1202" s="35" t="str">
        <f aca="false">IF($A1202="","",HOUR($A1202))</f>
        <v/>
      </c>
      <c r="N1202" s="36" t="str">
        <f aca="false">IF($A1202="","",$I1202*$K1202)</f>
        <v/>
      </c>
      <c r="O1202" s="35" t="str">
        <f aca="false">IF(OR($A1202="",$C1202="U",$S1202&lt;&gt;Calc!$F$2),"",SUMIFS($I$3:$I$3002,$E$3:$E$3002,$E1202,$C$3:$C$3002,"&lt;&gt;U",$S$3:$S$3002,Calc!$F$2))</f>
        <v/>
      </c>
      <c r="P1202" s="35" t="str">
        <f aca="false">IF(OR($A1202="",$C1202="U",$S1202&lt;&gt;Calc!$F$2),"",SUMIFS($N$3:$N$3002,$E$3:$E$3002,$E1202,$C$3:$C$3002,"&lt;&gt;U",$S$3:$S$3002,Calc!$F$2))</f>
        <v/>
      </c>
      <c r="Q1202" s="35" t="str">
        <f aca="false">IF(OR($A1202="",$C1202="U",$S1202&lt;&gt;Calc!$F$2),"",IF(COUNTIFS($E$3:$E1202,$E1202,$C$3:$C1202,"&lt;&gt;U",$S$3:$S1202,Calc!$F$2)=1,1,0))</f>
        <v/>
      </c>
      <c r="R1202" s="35" t="str">
        <f aca="false">IF($Q1202=1,$O1202-ROW()/100000,"")</f>
        <v/>
      </c>
      <c r="S1202" s="37" t="str">
        <f aca="false">IF($A1202="","",INT($A1202))</f>
        <v/>
      </c>
      <c r="T1202" s="35" t="str">
        <f aca="false">IF($A1202="","",IF(COUNTIFS($S$3:$S1202,$S1202)=1,1,0))</f>
        <v/>
      </c>
      <c r="U1202" s="37" t="str">
        <f aca="false">IF($T1202=1,$S1202,"")</f>
        <v/>
      </c>
    </row>
    <row r="1203" customFormat="false" ht="15" hidden="false" customHeight="false" outlineLevel="0" collapsed="false">
      <c r="M1203" s="35" t="str">
        <f aca="false">IF($A1203="","",HOUR($A1203))</f>
        <v/>
      </c>
      <c r="N1203" s="36" t="str">
        <f aca="false">IF($A1203="","",$I1203*$K1203)</f>
        <v/>
      </c>
      <c r="O1203" s="35" t="str">
        <f aca="false">IF(OR($A1203="",$C1203="U",$S1203&lt;&gt;Calc!$F$2),"",SUMIFS($I$3:$I$3002,$E$3:$E$3002,$E1203,$C$3:$C$3002,"&lt;&gt;U",$S$3:$S$3002,Calc!$F$2))</f>
        <v/>
      </c>
      <c r="P1203" s="35" t="str">
        <f aca="false">IF(OR($A1203="",$C1203="U",$S1203&lt;&gt;Calc!$F$2),"",SUMIFS($N$3:$N$3002,$E$3:$E$3002,$E1203,$C$3:$C$3002,"&lt;&gt;U",$S$3:$S$3002,Calc!$F$2))</f>
        <v/>
      </c>
      <c r="Q1203" s="35" t="str">
        <f aca="false">IF(OR($A1203="",$C1203="U",$S1203&lt;&gt;Calc!$F$2),"",IF(COUNTIFS($E$3:$E1203,$E1203,$C$3:$C1203,"&lt;&gt;U",$S$3:$S1203,Calc!$F$2)=1,1,0))</f>
        <v/>
      </c>
      <c r="R1203" s="35" t="str">
        <f aca="false">IF($Q1203=1,$O1203-ROW()/100000,"")</f>
        <v/>
      </c>
      <c r="S1203" s="37" t="str">
        <f aca="false">IF($A1203="","",INT($A1203))</f>
        <v/>
      </c>
      <c r="T1203" s="35" t="str">
        <f aca="false">IF($A1203="","",IF(COUNTIFS($S$3:$S1203,$S1203)=1,1,0))</f>
        <v/>
      </c>
      <c r="U1203" s="37" t="str">
        <f aca="false">IF($T1203=1,$S1203,"")</f>
        <v/>
      </c>
    </row>
    <row r="1204" customFormat="false" ht="15" hidden="false" customHeight="false" outlineLevel="0" collapsed="false">
      <c r="M1204" s="35" t="str">
        <f aca="false">IF($A1204="","",HOUR($A1204))</f>
        <v/>
      </c>
      <c r="N1204" s="36" t="str">
        <f aca="false">IF($A1204="","",$I1204*$K1204)</f>
        <v/>
      </c>
      <c r="O1204" s="35" t="str">
        <f aca="false">IF(OR($A1204="",$C1204="U",$S1204&lt;&gt;Calc!$F$2),"",SUMIFS($I$3:$I$3002,$E$3:$E$3002,$E1204,$C$3:$C$3002,"&lt;&gt;U",$S$3:$S$3002,Calc!$F$2))</f>
        <v/>
      </c>
      <c r="P1204" s="35" t="str">
        <f aca="false">IF(OR($A1204="",$C1204="U",$S1204&lt;&gt;Calc!$F$2),"",SUMIFS($N$3:$N$3002,$E$3:$E$3002,$E1204,$C$3:$C$3002,"&lt;&gt;U",$S$3:$S$3002,Calc!$F$2))</f>
        <v/>
      </c>
      <c r="Q1204" s="35" t="str">
        <f aca="false">IF(OR($A1204="",$C1204="U",$S1204&lt;&gt;Calc!$F$2),"",IF(COUNTIFS($E$3:$E1204,$E1204,$C$3:$C1204,"&lt;&gt;U",$S$3:$S1204,Calc!$F$2)=1,1,0))</f>
        <v/>
      </c>
      <c r="R1204" s="35" t="str">
        <f aca="false">IF($Q1204=1,$O1204-ROW()/100000,"")</f>
        <v/>
      </c>
      <c r="S1204" s="37" t="str">
        <f aca="false">IF($A1204="","",INT($A1204))</f>
        <v/>
      </c>
      <c r="T1204" s="35" t="str">
        <f aca="false">IF($A1204="","",IF(COUNTIFS($S$3:$S1204,$S1204)=1,1,0))</f>
        <v/>
      </c>
      <c r="U1204" s="37" t="str">
        <f aca="false">IF($T1204=1,$S1204,"")</f>
        <v/>
      </c>
    </row>
    <row r="1205" customFormat="false" ht="15" hidden="false" customHeight="false" outlineLevel="0" collapsed="false">
      <c r="M1205" s="35" t="str">
        <f aca="false">IF($A1205="","",HOUR($A1205))</f>
        <v/>
      </c>
      <c r="N1205" s="36" t="str">
        <f aca="false">IF($A1205="","",$I1205*$K1205)</f>
        <v/>
      </c>
      <c r="O1205" s="35" t="str">
        <f aca="false">IF(OR($A1205="",$C1205="U",$S1205&lt;&gt;Calc!$F$2),"",SUMIFS($I$3:$I$3002,$E$3:$E$3002,$E1205,$C$3:$C$3002,"&lt;&gt;U",$S$3:$S$3002,Calc!$F$2))</f>
        <v/>
      </c>
      <c r="P1205" s="35" t="str">
        <f aca="false">IF(OR($A1205="",$C1205="U",$S1205&lt;&gt;Calc!$F$2),"",SUMIFS($N$3:$N$3002,$E$3:$E$3002,$E1205,$C$3:$C$3002,"&lt;&gt;U",$S$3:$S$3002,Calc!$F$2))</f>
        <v/>
      </c>
      <c r="Q1205" s="35" t="str">
        <f aca="false">IF(OR($A1205="",$C1205="U",$S1205&lt;&gt;Calc!$F$2),"",IF(COUNTIFS($E$3:$E1205,$E1205,$C$3:$C1205,"&lt;&gt;U",$S$3:$S1205,Calc!$F$2)=1,1,0))</f>
        <v/>
      </c>
      <c r="R1205" s="35" t="str">
        <f aca="false">IF($Q1205=1,$O1205-ROW()/100000,"")</f>
        <v/>
      </c>
      <c r="S1205" s="37" t="str">
        <f aca="false">IF($A1205="","",INT($A1205))</f>
        <v/>
      </c>
      <c r="T1205" s="35" t="str">
        <f aca="false">IF($A1205="","",IF(COUNTIFS($S$3:$S1205,$S1205)=1,1,0))</f>
        <v/>
      </c>
      <c r="U1205" s="37" t="str">
        <f aca="false">IF($T1205=1,$S1205,"")</f>
        <v/>
      </c>
    </row>
    <row r="1206" customFormat="false" ht="15" hidden="false" customHeight="false" outlineLevel="0" collapsed="false">
      <c r="M1206" s="35" t="str">
        <f aca="false">IF($A1206="","",HOUR($A1206))</f>
        <v/>
      </c>
      <c r="N1206" s="36" t="str">
        <f aca="false">IF($A1206="","",$I1206*$K1206)</f>
        <v/>
      </c>
      <c r="O1206" s="35" t="str">
        <f aca="false">IF(OR($A1206="",$C1206="U",$S1206&lt;&gt;Calc!$F$2),"",SUMIFS($I$3:$I$3002,$E$3:$E$3002,$E1206,$C$3:$C$3002,"&lt;&gt;U",$S$3:$S$3002,Calc!$F$2))</f>
        <v/>
      </c>
      <c r="P1206" s="35" t="str">
        <f aca="false">IF(OR($A1206="",$C1206="U",$S1206&lt;&gt;Calc!$F$2),"",SUMIFS($N$3:$N$3002,$E$3:$E$3002,$E1206,$C$3:$C$3002,"&lt;&gt;U",$S$3:$S$3002,Calc!$F$2))</f>
        <v/>
      </c>
      <c r="Q1206" s="35" t="str">
        <f aca="false">IF(OR($A1206="",$C1206="U",$S1206&lt;&gt;Calc!$F$2),"",IF(COUNTIFS($E$3:$E1206,$E1206,$C$3:$C1206,"&lt;&gt;U",$S$3:$S1206,Calc!$F$2)=1,1,0))</f>
        <v/>
      </c>
      <c r="R1206" s="35" t="str">
        <f aca="false">IF($Q1206=1,$O1206-ROW()/100000,"")</f>
        <v/>
      </c>
      <c r="S1206" s="37" t="str">
        <f aca="false">IF($A1206="","",INT($A1206))</f>
        <v/>
      </c>
      <c r="T1206" s="35" t="str">
        <f aca="false">IF($A1206="","",IF(COUNTIFS($S$3:$S1206,$S1206)=1,1,0))</f>
        <v/>
      </c>
      <c r="U1206" s="37" t="str">
        <f aca="false">IF($T1206=1,$S1206,"")</f>
        <v/>
      </c>
    </row>
    <row r="1207" customFormat="false" ht="15" hidden="false" customHeight="false" outlineLevel="0" collapsed="false">
      <c r="M1207" s="35" t="str">
        <f aca="false">IF($A1207="","",HOUR($A1207))</f>
        <v/>
      </c>
      <c r="N1207" s="36" t="str">
        <f aca="false">IF($A1207="","",$I1207*$K1207)</f>
        <v/>
      </c>
      <c r="O1207" s="35" t="str">
        <f aca="false">IF(OR($A1207="",$C1207="U",$S1207&lt;&gt;Calc!$F$2),"",SUMIFS($I$3:$I$3002,$E$3:$E$3002,$E1207,$C$3:$C$3002,"&lt;&gt;U",$S$3:$S$3002,Calc!$F$2))</f>
        <v/>
      </c>
      <c r="P1207" s="35" t="str">
        <f aca="false">IF(OR($A1207="",$C1207="U",$S1207&lt;&gt;Calc!$F$2),"",SUMIFS($N$3:$N$3002,$E$3:$E$3002,$E1207,$C$3:$C$3002,"&lt;&gt;U",$S$3:$S$3002,Calc!$F$2))</f>
        <v/>
      </c>
      <c r="Q1207" s="35" t="str">
        <f aca="false">IF(OR($A1207="",$C1207="U",$S1207&lt;&gt;Calc!$F$2),"",IF(COUNTIFS($E$3:$E1207,$E1207,$C$3:$C1207,"&lt;&gt;U",$S$3:$S1207,Calc!$F$2)=1,1,0))</f>
        <v/>
      </c>
      <c r="R1207" s="35" t="str">
        <f aca="false">IF($Q1207=1,$O1207-ROW()/100000,"")</f>
        <v/>
      </c>
      <c r="S1207" s="37" t="str">
        <f aca="false">IF($A1207="","",INT($A1207))</f>
        <v/>
      </c>
      <c r="T1207" s="35" t="str">
        <f aca="false">IF($A1207="","",IF(COUNTIFS($S$3:$S1207,$S1207)=1,1,0))</f>
        <v/>
      </c>
      <c r="U1207" s="37" t="str">
        <f aca="false">IF($T1207=1,$S1207,"")</f>
        <v/>
      </c>
    </row>
    <row r="1208" customFormat="false" ht="15" hidden="false" customHeight="false" outlineLevel="0" collapsed="false">
      <c r="M1208" s="35" t="str">
        <f aca="false">IF($A1208="","",HOUR($A1208))</f>
        <v/>
      </c>
      <c r="N1208" s="36" t="str">
        <f aca="false">IF($A1208="","",$I1208*$K1208)</f>
        <v/>
      </c>
      <c r="O1208" s="35" t="str">
        <f aca="false">IF(OR($A1208="",$C1208="U",$S1208&lt;&gt;Calc!$F$2),"",SUMIFS($I$3:$I$3002,$E$3:$E$3002,$E1208,$C$3:$C$3002,"&lt;&gt;U",$S$3:$S$3002,Calc!$F$2))</f>
        <v/>
      </c>
      <c r="P1208" s="35" t="str">
        <f aca="false">IF(OR($A1208="",$C1208="U",$S1208&lt;&gt;Calc!$F$2),"",SUMIFS($N$3:$N$3002,$E$3:$E$3002,$E1208,$C$3:$C$3002,"&lt;&gt;U",$S$3:$S$3002,Calc!$F$2))</f>
        <v/>
      </c>
      <c r="Q1208" s="35" t="str">
        <f aca="false">IF(OR($A1208="",$C1208="U",$S1208&lt;&gt;Calc!$F$2),"",IF(COUNTIFS($E$3:$E1208,$E1208,$C$3:$C1208,"&lt;&gt;U",$S$3:$S1208,Calc!$F$2)=1,1,0))</f>
        <v/>
      </c>
      <c r="R1208" s="35" t="str">
        <f aca="false">IF($Q1208=1,$O1208-ROW()/100000,"")</f>
        <v/>
      </c>
      <c r="S1208" s="37" t="str">
        <f aca="false">IF($A1208="","",INT($A1208))</f>
        <v/>
      </c>
      <c r="T1208" s="35" t="str">
        <f aca="false">IF($A1208="","",IF(COUNTIFS($S$3:$S1208,$S1208)=1,1,0))</f>
        <v/>
      </c>
      <c r="U1208" s="37" t="str">
        <f aca="false">IF($T1208=1,$S1208,"")</f>
        <v/>
      </c>
    </row>
    <row r="1209" customFormat="false" ht="15" hidden="false" customHeight="false" outlineLevel="0" collapsed="false">
      <c r="M1209" s="35" t="str">
        <f aca="false">IF($A1209="","",HOUR($A1209))</f>
        <v/>
      </c>
      <c r="N1209" s="36" t="str">
        <f aca="false">IF($A1209="","",$I1209*$K1209)</f>
        <v/>
      </c>
      <c r="O1209" s="35" t="str">
        <f aca="false">IF(OR($A1209="",$C1209="U",$S1209&lt;&gt;Calc!$F$2),"",SUMIFS($I$3:$I$3002,$E$3:$E$3002,$E1209,$C$3:$C$3002,"&lt;&gt;U",$S$3:$S$3002,Calc!$F$2))</f>
        <v/>
      </c>
      <c r="P1209" s="35" t="str">
        <f aca="false">IF(OR($A1209="",$C1209="U",$S1209&lt;&gt;Calc!$F$2),"",SUMIFS($N$3:$N$3002,$E$3:$E$3002,$E1209,$C$3:$C$3002,"&lt;&gt;U",$S$3:$S$3002,Calc!$F$2))</f>
        <v/>
      </c>
      <c r="Q1209" s="35" t="str">
        <f aca="false">IF(OR($A1209="",$C1209="U",$S1209&lt;&gt;Calc!$F$2),"",IF(COUNTIFS($E$3:$E1209,$E1209,$C$3:$C1209,"&lt;&gt;U",$S$3:$S1209,Calc!$F$2)=1,1,0))</f>
        <v/>
      </c>
      <c r="R1209" s="35" t="str">
        <f aca="false">IF($Q1209=1,$O1209-ROW()/100000,"")</f>
        <v/>
      </c>
      <c r="S1209" s="37" t="str">
        <f aca="false">IF($A1209="","",INT($A1209))</f>
        <v/>
      </c>
      <c r="T1209" s="35" t="str">
        <f aca="false">IF($A1209="","",IF(COUNTIFS($S$3:$S1209,$S1209)=1,1,0))</f>
        <v/>
      </c>
      <c r="U1209" s="37" t="str">
        <f aca="false">IF($T1209=1,$S1209,"")</f>
        <v/>
      </c>
    </row>
    <row r="1210" customFormat="false" ht="15" hidden="false" customHeight="false" outlineLevel="0" collapsed="false">
      <c r="M1210" s="35" t="str">
        <f aca="false">IF($A1210="","",HOUR($A1210))</f>
        <v/>
      </c>
      <c r="N1210" s="36" t="str">
        <f aca="false">IF($A1210="","",$I1210*$K1210)</f>
        <v/>
      </c>
      <c r="O1210" s="35" t="str">
        <f aca="false">IF(OR($A1210="",$C1210="U",$S1210&lt;&gt;Calc!$F$2),"",SUMIFS($I$3:$I$3002,$E$3:$E$3002,$E1210,$C$3:$C$3002,"&lt;&gt;U",$S$3:$S$3002,Calc!$F$2))</f>
        <v/>
      </c>
      <c r="P1210" s="35" t="str">
        <f aca="false">IF(OR($A1210="",$C1210="U",$S1210&lt;&gt;Calc!$F$2),"",SUMIFS($N$3:$N$3002,$E$3:$E$3002,$E1210,$C$3:$C$3002,"&lt;&gt;U",$S$3:$S$3002,Calc!$F$2))</f>
        <v/>
      </c>
      <c r="Q1210" s="35" t="str">
        <f aca="false">IF(OR($A1210="",$C1210="U",$S1210&lt;&gt;Calc!$F$2),"",IF(COUNTIFS($E$3:$E1210,$E1210,$C$3:$C1210,"&lt;&gt;U",$S$3:$S1210,Calc!$F$2)=1,1,0))</f>
        <v/>
      </c>
      <c r="R1210" s="35" t="str">
        <f aca="false">IF($Q1210=1,$O1210-ROW()/100000,"")</f>
        <v/>
      </c>
      <c r="S1210" s="37" t="str">
        <f aca="false">IF($A1210="","",INT($A1210))</f>
        <v/>
      </c>
      <c r="T1210" s="35" t="str">
        <f aca="false">IF($A1210="","",IF(COUNTIFS($S$3:$S1210,$S1210)=1,1,0))</f>
        <v/>
      </c>
      <c r="U1210" s="37" t="str">
        <f aca="false">IF($T1210=1,$S1210,"")</f>
        <v/>
      </c>
    </row>
    <row r="1211" customFormat="false" ht="15" hidden="false" customHeight="false" outlineLevel="0" collapsed="false">
      <c r="M1211" s="35" t="str">
        <f aca="false">IF($A1211="","",HOUR($A1211))</f>
        <v/>
      </c>
      <c r="N1211" s="36" t="str">
        <f aca="false">IF($A1211="","",$I1211*$K1211)</f>
        <v/>
      </c>
      <c r="O1211" s="35" t="str">
        <f aca="false">IF(OR($A1211="",$C1211="U",$S1211&lt;&gt;Calc!$F$2),"",SUMIFS($I$3:$I$3002,$E$3:$E$3002,$E1211,$C$3:$C$3002,"&lt;&gt;U",$S$3:$S$3002,Calc!$F$2))</f>
        <v/>
      </c>
      <c r="P1211" s="35" t="str">
        <f aca="false">IF(OR($A1211="",$C1211="U",$S1211&lt;&gt;Calc!$F$2),"",SUMIFS($N$3:$N$3002,$E$3:$E$3002,$E1211,$C$3:$C$3002,"&lt;&gt;U",$S$3:$S$3002,Calc!$F$2))</f>
        <v/>
      </c>
      <c r="Q1211" s="35" t="str">
        <f aca="false">IF(OR($A1211="",$C1211="U",$S1211&lt;&gt;Calc!$F$2),"",IF(COUNTIFS($E$3:$E1211,$E1211,$C$3:$C1211,"&lt;&gt;U",$S$3:$S1211,Calc!$F$2)=1,1,0))</f>
        <v/>
      </c>
      <c r="R1211" s="35" t="str">
        <f aca="false">IF($Q1211=1,$O1211-ROW()/100000,"")</f>
        <v/>
      </c>
      <c r="S1211" s="37" t="str">
        <f aca="false">IF($A1211="","",INT($A1211))</f>
        <v/>
      </c>
      <c r="T1211" s="35" t="str">
        <f aca="false">IF($A1211="","",IF(COUNTIFS($S$3:$S1211,$S1211)=1,1,0))</f>
        <v/>
      </c>
      <c r="U1211" s="37" t="str">
        <f aca="false">IF($T1211=1,$S1211,"")</f>
        <v/>
      </c>
    </row>
    <row r="1212" customFormat="false" ht="15" hidden="false" customHeight="false" outlineLevel="0" collapsed="false">
      <c r="M1212" s="35" t="str">
        <f aca="false">IF($A1212="","",HOUR($A1212))</f>
        <v/>
      </c>
      <c r="N1212" s="36" t="str">
        <f aca="false">IF($A1212="","",$I1212*$K1212)</f>
        <v/>
      </c>
      <c r="O1212" s="35" t="str">
        <f aca="false">IF(OR($A1212="",$C1212="U",$S1212&lt;&gt;Calc!$F$2),"",SUMIFS($I$3:$I$3002,$E$3:$E$3002,$E1212,$C$3:$C$3002,"&lt;&gt;U",$S$3:$S$3002,Calc!$F$2))</f>
        <v/>
      </c>
      <c r="P1212" s="35" t="str">
        <f aca="false">IF(OR($A1212="",$C1212="U",$S1212&lt;&gt;Calc!$F$2),"",SUMIFS($N$3:$N$3002,$E$3:$E$3002,$E1212,$C$3:$C$3002,"&lt;&gt;U",$S$3:$S$3002,Calc!$F$2))</f>
        <v/>
      </c>
      <c r="Q1212" s="35" t="str">
        <f aca="false">IF(OR($A1212="",$C1212="U",$S1212&lt;&gt;Calc!$F$2),"",IF(COUNTIFS($E$3:$E1212,$E1212,$C$3:$C1212,"&lt;&gt;U",$S$3:$S1212,Calc!$F$2)=1,1,0))</f>
        <v/>
      </c>
      <c r="R1212" s="35" t="str">
        <f aca="false">IF($Q1212=1,$O1212-ROW()/100000,"")</f>
        <v/>
      </c>
      <c r="S1212" s="37" t="str">
        <f aca="false">IF($A1212="","",INT($A1212))</f>
        <v/>
      </c>
      <c r="T1212" s="35" t="str">
        <f aca="false">IF($A1212="","",IF(COUNTIFS($S$3:$S1212,$S1212)=1,1,0))</f>
        <v/>
      </c>
      <c r="U1212" s="37" t="str">
        <f aca="false">IF($T1212=1,$S1212,"")</f>
        <v/>
      </c>
    </row>
    <row r="1213" customFormat="false" ht="15" hidden="false" customHeight="false" outlineLevel="0" collapsed="false">
      <c r="M1213" s="35" t="str">
        <f aca="false">IF($A1213="","",HOUR($A1213))</f>
        <v/>
      </c>
      <c r="N1213" s="36" t="str">
        <f aca="false">IF($A1213="","",$I1213*$K1213)</f>
        <v/>
      </c>
      <c r="O1213" s="35" t="str">
        <f aca="false">IF(OR($A1213="",$C1213="U",$S1213&lt;&gt;Calc!$F$2),"",SUMIFS($I$3:$I$3002,$E$3:$E$3002,$E1213,$C$3:$C$3002,"&lt;&gt;U",$S$3:$S$3002,Calc!$F$2))</f>
        <v/>
      </c>
      <c r="P1213" s="35" t="str">
        <f aca="false">IF(OR($A1213="",$C1213="U",$S1213&lt;&gt;Calc!$F$2),"",SUMIFS($N$3:$N$3002,$E$3:$E$3002,$E1213,$C$3:$C$3002,"&lt;&gt;U",$S$3:$S$3002,Calc!$F$2))</f>
        <v/>
      </c>
      <c r="Q1213" s="35" t="str">
        <f aca="false">IF(OR($A1213="",$C1213="U",$S1213&lt;&gt;Calc!$F$2),"",IF(COUNTIFS($E$3:$E1213,$E1213,$C$3:$C1213,"&lt;&gt;U",$S$3:$S1213,Calc!$F$2)=1,1,0))</f>
        <v/>
      </c>
      <c r="R1213" s="35" t="str">
        <f aca="false">IF($Q1213=1,$O1213-ROW()/100000,"")</f>
        <v/>
      </c>
      <c r="S1213" s="37" t="str">
        <f aca="false">IF($A1213="","",INT($A1213))</f>
        <v/>
      </c>
      <c r="T1213" s="35" t="str">
        <f aca="false">IF($A1213="","",IF(COUNTIFS($S$3:$S1213,$S1213)=1,1,0))</f>
        <v/>
      </c>
      <c r="U1213" s="37" t="str">
        <f aca="false">IF($T1213=1,$S1213,"")</f>
        <v/>
      </c>
    </row>
    <row r="1214" customFormat="false" ht="15" hidden="false" customHeight="false" outlineLevel="0" collapsed="false">
      <c r="M1214" s="35" t="str">
        <f aca="false">IF($A1214="","",HOUR($A1214))</f>
        <v/>
      </c>
      <c r="N1214" s="36" t="str">
        <f aca="false">IF($A1214="","",$I1214*$K1214)</f>
        <v/>
      </c>
      <c r="O1214" s="35" t="str">
        <f aca="false">IF(OR($A1214="",$C1214="U",$S1214&lt;&gt;Calc!$F$2),"",SUMIFS($I$3:$I$3002,$E$3:$E$3002,$E1214,$C$3:$C$3002,"&lt;&gt;U",$S$3:$S$3002,Calc!$F$2))</f>
        <v/>
      </c>
      <c r="P1214" s="35" t="str">
        <f aca="false">IF(OR($A1214="",$C1214="U",$S1214&lt;&gt;Calc!$F$2),"",SUMIFS($N$3:$N$3002,$E$3:$E$3002,$E1214,$C$3:$C$3002,"&lt;&gt;U",$S$3:$S$3002,Calc!$F$2))</f>
        <v/>
      </c>
      <c r="Q1214" s="35" t="str">
        <f aca="false">IF(OR($A1214="",$C1214="U",$S1214&lt;&gt;Calc!$F$2),"",IF(COUNTIFS($E$3:$E1214,$E1214,$C$3:$C1214,"&lt;&gt;U",$S$3:$S1214,Calc!$F$2)=1,1,0))</f>
        <v/>
      </c>
      <c r="R1214" s="35" t="str">
        <f aca="false">IF($Q1214=1,$O1214-ROW()/100000,"")</f>
        <v/>
      </c>
      <c r="S1214" s="37" t="str">
        <f aca="false">IF($A1214="","",INT($A1214))</f>
        <v/>
      </c>
      <c r="T1214" s="35" t="str">
        <f aca="false">IF($A1214="","",IF(COUNTIFS($S$3:$S1214,$S1214)=1,1,0))</f>
        <v/>
      </c>
      <c r="U1214" s="37" t="str">
        <f aca="false">IF($T1214=1,$S1214,"")</f>
        <v/>
      </c>
    </row>
    <row r="1215" customFormat="false" ht="15" hidden="false" customHeight="false" outlineLevel="0" collapsed="false">
      <c r="M1215" s="35" t="str">
        <f aca="false">IF($A1215="","",HOUR($A1215))</f>
        <v/>
      </c>
      <c r="N1215" s="36" t="str">
        <f aca="false">IF($A1215="","",$I1215*$K1215)</f>
        <v/>
      </c>
      <c r="O1215" s="35" t="str">
        <f aca="false">IF(OR($A1215="",$C1215="U",$S1215&lt;&gt;Calc!$F$2),"",SUMIFS($I$3:$I$3002,$E$3:$E$3002,$E1215,$C$3:$C$3002,"&lt;&gt;U",$S$3:$S$3002,Calc!$F$2))</f>
        <v/>
      </c>
      <c r="P1215" s="35" t="str">
        <f aca="false">IF(OR($A1215="",$C1215="U",$S1215&lt;&gt;Calc!$F$2),"",SUMIFS($N$3:$N$3002,$E$3:$E$3002,$E1215,$C$3:$C$3002,"&lt;&gt;U",$S$3:$S$3002,Calc!$F$2))</f>
        <v/>
      </c>
      <c r="Q1215" s="35" t="str">
        <f aca="false">IF(OR($A1215="",$C1215="U",$S1215&lt;&gt;Calc!$F$2),"",IF(COUNTIFS($E$3:$E1215,$E1215,$C$3:$C1215,"&lt;&gt;U",$S$3:$S1215,Calc!$F$2)=1,1,0))</f>
        <v/>
      </c>
      <c r="R1215" s="35" t="str">
        <f aca="false">IF($Q1215=1,$O1215-ROW()/100000,"")</f>
        <v/>
      </c>
      <c r="S1215" s="37" t="str">
        <f aca="false">IF($A1215="","",INT($A1215))</f>
        <v/>
      </c>
      <c r="T1215" s="35" t="str">
        <f aca="false">IF($A1215="","",IF(COUNTIFS($S$3:$S1215,$S1215)=1,1,0))</f>
        <v/>
      </c>
      <c r="U1215" s="37" t="str">
        <f aca="false">IF($T1215=1,$S1215,"")</f>
        <v/>
      </c>
    </row>
    <row r="1216" customFormat="false" ht="15" hidden="false" customHeight="false" outlineLevel="0" collapsed="false">
      <c r="M1216" s="35" t="str">
        <f aca="false">IF($A1216="","",HOUR($A1216))</f>
        <v/>
      </c>
      <c r="N1216" s="36" t="str">
        <f aca="false">IF($A1216="","",$I1216*$K1216)</f>
        <v/>
      </c>
      <c r="O1216" s="35" t="str">
        <f aca="false">IF(OR($A1216="",$C1216="U",$S1216&lt;&gt;Calc!$F$2),"",SUMIFS($I$3:$I$3002,$E$3:$E$3002,$E1216,$C$3:$C$3002,"&lt;&gt;U",$S$3:$S$3002,Calc!$F$2))</f>
        <v/>
      </c>
      <c r="P1216" s="35" t="str">
        <f aca="false">IF(OR($A1216="",$C1216="U",$S1216&lt;&gt;Calc!$F$2),"",SUMIFS($N$3:$N$3002,$E$3:$E$3002,$E1216,$C$3:$C$3002,"&lt;&gt;U",$S$3:$S$3002,Calc!$F$2))</f>
        <v/>
      </c>
      <c r="Q1216" s="35" t="str">
        <f aca="false">IF(OR($A1216="",$C1216="U",$S1216&lt;&gt;Calc!$F$2),"",IF(COUNTIFS($E$3:$E1216,$E1216,$C$3:$C1216,"&lt;&gt;U",$S$3:$S1216,Calc!$F$2)=1,1,0))</f>
        <v/>
      </c>
      <c r="R1216" s="35" t="str">
        <f aca="false">IF($Q1216=1,$O1216-ROW()/100000,"")</f>
        <v/>
      </c>
      <c r="S1216" s="37" t="str">
        <f aca="false">IF($A1216="","",INT($A1216))</f>
        <v/>
      </c>
      <c r="T1216" s="35" t="str">
        <f aca="false">IF($A1216="","",IF(COUNTIFS($S$3:$S1216,$S1216)=1,1,0))</f>
        <v/>
      </c>
      <c r="U1216" s="37" t="str">
        <f aca="false">IF($T1216=1,$S1216,"")</f>
        <v/>
      </c>
    </row>
    <row r="1217" customFormat="false" ht="15" hidden="false" customHeight="false" outlineLevel="0" collapsed="false">
      <c r="M1217" s="35" t="str">
        <f aca="false">IF($A1217="","",HOUR($A1217))</f>
        <v/>
      </c>
      <c r="N1217" s="36" t="str">
        <f aca="false">IF($A1217="","",$I1217*$K1217)</f>
        <v/>
      </c>
      <c r="O1217" s="35" t="str">
        <f aca="false">IF(OR($A1217="",$C1217="U",$S1217&lt;&gt;Calc!$F$2),"",SUMIFS($I$3:$I$3002,$E$3:$E$3002,$E1217,$C$3:$C$3002,"&lt;&gt;U",$S$3:$S$3002,Calc!$F$2))</f>
        <v/>
      </c>
      <c r="P1217" s="35" t="str">
        <f aca="false">IF(OR($A1217="",$C1217="U",$S1217&lt;&gt;Calc!$F$2),"",SUMIFS($N$3:$N$3002,$E$3:$E$3002,$E1217,$C$3:$C$3002,"&lt;&gt;U",$S$3:$S$3002,Calc!$F$2))</f>
        <v/>
      </c>
      <c r="Q1217" s="35" t="str">
        <f aca="false">IF(OR($A1217="",$C1217="U",$S1217&lt;&gt;Calc!$F$2),"",IF(COUNTIFS($E$3:$E1217,$E1217,$C$3:$C1217,"&lt;&gt;U",$S$3:$S1217,Calc!$F$2)=1,1,0))</f>
        <v/>
      </c>
      <c r="R1217" s="35" t="str">
        <f aca="false">IF($Q1217=1,$O1217-ROW()/100000,"")</f>
        <v/>
      </c>
      <c r="S1217" s="37" t="str">
        <f aca="false">IF($A1217="","",INT($A1217))</f>
        <v/>
      </c>
      <c r="T1217" s="35" t="str">
        <f aca="false">IF($A1217="","",IF(COUNTIFS($S$3:$S1217,$S1217)=1,1,0))</f>
        <v/>
      </c>
      <c r="U1217" s="37" t="str">
        <f aca="false">IF($T1217=1,$S1217,"")</f>
        <v/>
      </c>
    </row>
    <row r="1218" customFormat="false" ht="15" hidden="false" customHeight="false" outlineLevel="0" collapsed="false">
      <c r="M1218" s="35" t="str">
        <f aca="false">IF($A1218="","",HOUR($A1218))</f>
        <v/>
      </c>
      <c r="N1218" s="36" t="str">
        <f aca="false">IF($A1218="","",$I1218*$K1218)</f>
        <v/>
      </c>
      <c r="O1218" s="35" t="str">
        <f aca="false">IF(OR($A1218="",$C1218="U",$S1218&lt;&gt;Calc!$F$2),"",SUMIFS($I$3:$I$3002,$E$3:$E$3002,$E1218,$C$3:$C$3002,"&lt;&gt;U",$S$3:$S$3002,Calc!$F$2))</f>
        <v/>
      </c>
      <c r="P1218" s="35" t="str">
        <f aca="false">IF(OR($A1218="",$C1218="U",$S1218&lt;&gt;Calc!$F$2),"",SUMIFS($N$3:$N$3002,$E$3:$E$3002,$E1218,$C$3:$C$3002,"&lt;&gt;U",$S$3:$S$3002,Calc!$F$2))</f>
        <v/>
      </c>
      <c r="Q1218" s="35" t="str">
        <f aca="false">IF(OR($A1218="",$C1218="U",$S1218&lt;&gt;Calc!$F$2),"",IF(COUNTIFS($E$3:$E1218,$E1218,$C$3:$C1218,"&lt;&gt;U",$S$3:$S1218,Calc!$F$2)=1,1,0))</f>
        <v/>
      </c>
      <c r="R1218" s="35" t="str">
        <f aca="false">IF($Q1218=1,$O1218-ROW()/100000,"")</f>
        <v/>
      </c>
      <c r="S1218" s="37" t="str">
        <f aca="false">IF($A1218="","",INT($A1218))</f>
        <v/>
      </c>
      <c r="T1218" s="35" t="str">
        <f aca="false">IF($A1218="","",IF(COUNTIFS($S$3:$S1218,$S1218)=1,1,0))</f>
        <v/>
      </c>
      <c r="U1218" s="37" t="str">
        <f aca="false">IF($T1218=1,$S1218,"")</f>
        <v/>
      </c>
    </row>
    <row r="1219" customFormat="false" ht="15" hidden="false" customHeight="false" outlineLevel="0" collapsed="false">
      <c r="M1219" s="35" t="str">
        <f aca="false">IF($A1219="","",HOUR($A1219))</f>
        <v/>
      </c>
      <c r="N1219" s="36" t="str">
        <f aca="false">IF($A1219="","",$I1219*$K1219)</f>
        <v/>
      </c>
      <c r="O1219" s="35" t="str">
        <f aca="false">IF(OR($A1219="",$C1219="U",$S1219&lt;&gt;Calc!$F$2),"",SUMIFS($I$3:$I$3002,$E$3:$E$3002,$E1219,$C$3:$C$3002,"&lt;&gt;U",$S$3:$S$3002,Calc!$F$2))</f>
        <v/>
      </c>
      <c r="P1219" s="35" t="str">
        <f aca="false">IF(OR($A1219="",$C1219="U",$S1219&lt;&gt;Calc!$F$2),"",SUMIFS($N$3:$N$3002,$E$3:$E$3002,$E1219,$C$3:$C$3002,"&lt;&gt;U",$S$3:$S$3002,Calc!$F$2))</f>
        <v/>
      </c>
      <c r="Q1219" s="35" t="str">
        <f aca="false">IF(OR($A1219="",$C1219="U",$S1219&lt;&gt;Calc!$F$2),"",IF(COUNTIFS($E$3:$E1219,$E1219,$C$3:$C1219,"&lt;&gt;U",$S$3:$S1219,Calc!$F$2)=1,1,0))</f>
        <v/>
      </c>
      <c r="R1219" s="35" t="str">
        <f aca="false">IF($Q1219=1,$O1219-ROW()/100000,"")</f>
        <v/>
      </c>
      <c r="S1219" s="37" t="str">
        <f aca="false">IF($A1219="","",INT($A1219))</f>
        <v/>
      </c>
      <c r="T1219" s="35" t="str">
        <f aca="false">IF($A1219="","",IF(COUNTIFS($S$3:$S1219,$S1219)=1,1,0))</f>
        <v/>
      </c>
      <c r="U1219" s="37" t="str">
        <f aca="false">IF($T1219=1,$S1219,"")</f>
        <v/>
      </c>
    </row>
    <row r="1220" customFormat="false" ht="15" hidden="false" customHeight="false" outlineLevel="0" collapsed="false">
      <c r="M1220" s="35" t="str">
        <f aca="false">IF($A1220="","",HOUR($A1220))</f>
        <v/>
      </c>
      <c r="N1220" s="36" t="str">
        <f aca="false">IF($A1220="","",$I1220*$K1220)</f>
        <v/>
      </c>
      <c r="O1220" s="35" t="str">
        <f aca="false">IF(OR($A1220="",$C1220="U",$S1220&lt;&gt;Calc!$F$2),"",SUMIFS($I$3:$I$3002,$E$3:$E$3002,$E1220,$C$3:$C$3002,"&lt;&gt;U",$S$3:$S$3002,Calc!$F$2))</f>
        <v/>
      </c>
      <c r="P1220" s="35" t="str">
        <f aca="false">IF(OR($A1220="",$C1220="U",$S1220&lt;&gt;Calc!$F$2),"",SUMIFS($N$3:$N$3002,$E$3:$E$3002,$E1220,$C$3:$C$3002,"&lt;&gt;U",$S$3:$S$3002,Calc!$F$2))</f>
        <v/>
      </c>
      <c r="Q1220" s="35" t="str">
        <f aca="false">IF(OR($A1220="",$C1220="U",$S1220&lt;&gt;Calc!$F$2),"",IF(COUNTIFS($E$3:$E1220,$E1220,$C$3:$C1220,"&lt;&gt;U",$S$3:$S1220,Calc!$F$2)=1,1,0))</f>
        <v/>
      </c>
      <c r="R1220" s="35" t="str">
        <f aca="false">IF($Q1220=1,$O1220-ROW()/100000,"")</f>
        <v/>
      </c>
      <c r="S1220" s="37" t="str">
        <f aca="false">IF($A1220="","",INT($A1220))</f>
        <v/>
      </c>
      <c r="T1220" s="35" t="str">
        <f aca="false">IF($A1220="","",IF(COUNTIFS($S$3:$S1220,$S1220)=1,1,0))</f>
        <v/>
      </c>
      <c r="U1220" s="37" t="str">
        <f aca="false">IF($T1220=1,$S1220,"")</f>
        <v/>
      </c>
    </row>
    <row r="1221" customFormat="false" ht="15" hidden="false" customHeight="false" outlineLevel="0" collapsed="false">
      <c r="M1221" s="35" t="str">
        <f aca="false">IF($A1221="","",HOUR($A1221))</f>
        <v/>
      </c>
      <c r="N1221" s="36" t="str">
        <f aca="false">IF($A1221="","",$I1221*$K1221)</f>
        <v/>
      </c>
      <c r="O1221" s="35" t="str">
        <f aca="false">IF(OR($A1221="",$C1221="U",$S1221&lt;&gt;Calc!$F$2),"",SUMIFS($I$3:$I$3002,$E$3:$E$3002,$E1221,$C$3:$C$3002,"&lt;&gt;U",$S$3:$S$3002,Calc!$F$2))</f>
        <v/>
      </c>
      <c r="P1221" s="35" t="str">
        <f aca="false">IF(OR($A1221="",$C1221="U",$S1221&lt;&gt;Calc!$F$2),"",SUMIFS($N$3:$N$3002,$E$3:$E$3002,$E1221,$C$3:$C$3002,"&lt;&gt;U",$S$3:$S$3002,Calc!$F$2))</f>
        <v/>
      </c>
      <c r="Q1221" s="35" t="str">
        <f aca="false">IF(OR($A1221="",$C1221="U",$S1221&lt;&gt;Calc!$F$2),"",IF(COUNTIFS($E$3:$E1221,$E1221,$C$3:$C1221,"&lt;&gt;U",$S$3:$S1221,Calc!$F$2)=1,1,0))</f>
        <v/>
      </c>
      <c r="R1221" s="35" t="str">
        <f aca="false">IF($Q1221=1,$O1221-ROW()/100000,"")</f>
        <v/>
      </c>
      <c r="S1221" s="37" t="str">
        <f aca="false">IF($A1221="","",INT($A1221))</f>
        <v/>
      </c>
      <c r="T1221" s="35" t="str">
        <f aca="false">IF($A1221="","",IF(COUNTIFS($S$3:$S1221,$S1221)=1,1,0))</f>
        <v/>
      </c>
      <c r="U1221" s="37" t="str">
        <f aca="false">IF($T1221=1,$S1221,"")</f>
        <v/>
      </c>
    </row>
    <row r="1222" customFormat="false" ht="15" hidden="false" customHeight="false" outlineLevel="0" collapsed="false">
      <c r="M1222" s="35" t="str">
        <f aca="false">IF($A1222="","",HOUR($A1222))</f>
        <v/>
      </c>
      <c r="N1222" s="36" t="str">
        <f aca="false">IF($A1222="","",$I1222*$K1222)</f>
        <v/>
      </c>
      <c r="O1222" s="35" t="str">
        <f aca="false">IF(OR($A1222="",$C1222="U",$S1222&lt;&gt;Calc!$F$2),"",SUMIFS($I$3:$I$3002,$E$3:$E$3002,$E1222,$C$3:$C$3002,"&lt;&gt;U",$S$3:$S$3002,Calc!$F$2))</f>
        <v/>
      </c>
      <c r="P1222" s="35" t="str">
        <f aca="false">IF(OR($A1222="",$C1222="U",$S1222&lt;&gt;Calc!$F$2),"",SUMIFS($N$3:$N$3002,$E$3:$E$3002,$E1222,$C$3:$C$3002,"&lt;&gt;U",$S$3:$S$3002,Calc!$F$2))</f>
        <v/>
      </c>
      <c r="Q1222" s="35" t="str">
        <f aca="false">IF(OR($A1222="",$C1222="U",$S1222&lt;&gt;Calc!$F$2),"",IF(COUNTIFS($E$3:$E1222,$E1222,$C$3:$C1222,"&lt;&gt;U",$S$3:$S1222,Calc!$F$2)=1,1,0))</f>
        <v/>
      </c>
      <c r="R1222" s="35" t="str">
        <f aca="false">IF($Q1222=1,$O1222-ROW()/100000,"")</f>
        <v/>
      </c>
      <c r="S1222" s="37" t="str">
        <f aca="false">IF($A1222="","",INT($A1222))</f>
        <v/>
      </c>
      <c r="T1222" s="35" t="str">
        <f aca="false">IF($A1222="","",IF(COUNTIFS($S$3:$S1222,$S1222)=1,1,0))</f>
        <v/>
      </c>
      <c r="U1222" s="37" t="str">
        <f aca="false">IF($T1222=1,$S1222,"")</f>
        <v/>
      </c>
    </row>
    <row r="1223" customFormat="false" ht="15" hidden="false" customHeight="false" outlineLevel="0" collapsed="false">
      <c r="M1223" s="35" t="str">
        <f aca="false">IF($A1223="","",HOUR($A1223))</f>
        <v/>
      </c>
      <c r="N1223" s="36" t="str">
        <f aca="false">IF($A1223="","",$I1223*$K1223)</f>
        <v/>
      </c>
      <c r="O1223" s="35" t="str">
        <f aca="false">IF(OR($A1223="",$C1223="U",$S1223&lt;&gt;Calc!$F$2),"",SUMIFS($I$3:$I$3002,$E$3:$E$3002,$E1223,$C$3:$C$3002,"&lt;&gt;U",$S$3:$S$3002,Calc!$F$2))</f>
        <v/>
      </c>
      <c r="P1223" s="35" t="str">
        <f aca="false">IF(OR($A1223="",$C1223="U",$S1223&lt;&gt;Calc!$F$2),"",SUMIFS($N$3:$N$3002,$E$3:$E$3002,$E1223,$C$3:$C$3002,"&lt;&gt;U",$S$3:$S$3002,Calc!$F$2))</f>
        <v/>
      </c>
      <c r="Q1223" s="35" t="str">
        <f aca="false">IF(OR($A1223="",$C1223="U",$S1223&lt;&gt;Calc!$F$2),"",IF(COUNTIFS($E$3:$E1223,$E1223,$C$3:$C1223,"&lt;&gt;U",$S$3:$S1223,Calc!$F$2)=1,1,0))</f>
        <v/>
      </c>
      <c r="R1223" s="35" t="str">
        <f aca="false">IF($Q1223=1,$O1223-ROW()/100000,"")</f>
        <v/>
      </c>
      <c r="S1223" s="37" t="str">
        <f aca="false">IF($A1223="","",INT($A1223))</f>
        <v/>
      </c>
      <c r="T1223" s="35" t="str">
        <f aca="false">IF($A1223="","",IF(COUNTIFS($S$3:$S1223,$S1223)=1,1,0))</f>
        <v/>
      </c>
      <c r="U1223" s="37" t="str">
        <f aca="false">IF($T1223=1,$S1223,"")</f>
        <v/>
      </c>
    </row>
    <row r="1224" customFormat="false" ht="15" hidden="false" customHeight="false" outlineLevel="0" collapsed="false">
      <c r="M1224" s="35" t="str">
        <f aca="false">IF($A1224="","",HOUR($A1224))</f>
        <v/>
      </c>
      <c r="N1224" s="36" t="str">
        <f aca="false">IF($A1224="","",$I1224*$K1224)</f>
        <v/>
      </c>
      <c r="O1224" s="35" t="str">
        <f aca="false">IF(OR($A1224="",$C1224="U",$S1224&lt;&gt;Calc!$F$2),"",SUMIFS($I$3:$I$3002,$E$3:$E$3002,$E1224,$C$3:$C$3002,"&lt;&gt;U",$S$3:$S$3002,Calc!$F$2))</f>
        <v/>
      </c>
      <c r="P1224" s="35" t="str">
        <f aca="false">IF(OR($A1224="",$C1224="U",$S1224&lt;&gt;Calc!$F$2),"",SUMIFS($N$3:$N$3002,$E$3:$E$3002,$E1224,$C$3:$C$3002,"&lt;&gt;U",$S$3:$S$3002,Calc!$F$2))</f>
        <v/>
      </c>
      <c r="Q1224" s="35" t="str">
        <f aca="false">IF(OR($A1224="",$C1224="U",$S1224&lt;&gt;Calc!$F$2),"",IF(COUNTIFS($E$3:$E1224,$E1224,$C$3:$C1224,"&lt;&gt;U",$S$3:$S1224,Calc!$F$2)=1,1,0))</f>
        <v/>
      </c>
      <c r="R1224" s="35" t="str">
        <f aca="false">IF($Q1224=1,$O1224-ROW()/100000,"")</f>
        <v/>
      </c>
      <c r="S1224" s="37" t="str">
        <f aca="false">IF($A1224="","",INT($A1224))</f>
        <v/>
      </c>
      <c r="T1224" s="35" t="str">
        <f aca="false">IF($A1224="","",IF(COUNTIFS($S$3:$S1224,$S1224)=1,1,0))</f>
        <v/>
      </c>
      <c r="U1224" s="37" t="str">
        <f aca="false">IF($T1224=1,$S1224,"")</f>
        <v/>
      </c>
    </row>
    <row r="1225" customFormat="false" ht="15" hidden="false" customHeight="false" outlineLevel="0" collapsed="false">
      <c r="M1225" s="35" t="str">
        <f aca="false">IF($A1225="","",HOUR($A1225))</f>
        <v/>
      </c>
      <c r="N1225" s="36" t="str">
        <f aca="false">IF($A1225="","",$I1225*$K1225)</f>
        <v/>
      </c>
      <c r="O1225" s="35" t="str">
        <f aca="false">IF(OR($A1225="",$C1225="U",$S1225&lt;&gt;Calc!$F$2),"",SUMIFS($I$3:$I$3002,$E$3:$E$3002,$E1225,$C$3:$C$3002,"&lt;&gt;U",$S$3:$S$3002,Calc!$F$2))</f>
        <v/>
      </c>
      <c r="P1225" s="35" t="str">
        <f aca="false">IF(OR($A1225="",$C1225="U",$S1225&lt;&gt;Calc!$F$2),"",SUMIFS($N$3:$N$3002,$E$3:$E$3002,$E1225,$C$3:$C$3002,"&lt;&gt;U",$S$3:$S$3002,Calc!$F$2))</f>
        <v/>
      </c>
      <c r="Q1225" s="35" t="str">
        <f aca="false">IF(OR($A1225="",$C1225="U",$S1225&lt;&gt;Calc!$F$2),"",IF(COUNTIFS($E$3:$E1225,$E1225,$C$3:$C1225,"&lt;&gt;U",$S$3:$S1225,Calc!$F$2)=1,1,0))</f>
        <v/>
      </c>
      <c r="R1225" s="35" t="str">
        <f aca="false">IF($Q1225=1,$O1225-ROW()/100000,"")</f>
        <v/>
      </c>
      <c r="S1225" s="37" t="str">
        <f aca="false">IF($A1225="","",INT($A1225))</f>
        <v/>
      </c>
      <c r="T1225" s="35" t="str">
        <f aca="false">IF($A1225="","",IF(COUNTIFS($S$3:$S1225,$S1225)=1,1,0))</f>
        <v/>
      </c>
      <c r="U1225" s="37" t="str">
        <f aca="false">IF($T1225=1,$S1225,"")</f>
        <v/>
      </c>
    </row>
    <row r="1226" customFormat="false" ht="15" hidden="false" customHeight="false" outlineLevel="0" collapsed="false">
      <c r="M1226" s="35" t="str">
        <f aca="false">IF($A1226="","",HOUR($A1226))</f>
        <v/>
      </c>
      <c r="N1226" s="36" t="str">
        <f aca="false">IF($A1226="","",$I1226*$K1226)</f>
        <v/>
      </c>
      <c r="O1226" s="35" t="str">
        <f aca="false">IF(OR($A1226="",$C1226="U",$S1226&lt;&gt;Calc!$F$2),"",SUMIFS($I$3:$I$3002,$E$3:$E$3002,$E1226,$C$3:$C$3002,"&lt;&gt;U",$S$3:$S$3002,Calc!$F$2))</f>
        <v/>
      </c>
      <c r="P1226" s="35" t="str">
        <f aca="false">IF(OR($A1226="",$C1226="U",$S1226&lt;&gt;Calc!$F$2),"",SUMIFS($N$3:$N$3002,$E$3:$E$3002,$E1226,$C$3:$C$3002,"&lt;&gt;U",$S$3:$S$3002,Calc!$F$2))</f>
        <v/>
      </c>
      <c r="Q1226" s="35" t="str">
        <f aca="false">IF(OR($A1226="",$C1226="U",$S1226&lt;&gt;Calc!$F$2),"",IF(COUNTIFS($E$3:$E1226,$E1226,$C$3:$C1226,"&lt;&gt;U",$S$3:$S1226,Calc!$F$2)=1,1,0))</f>
        <v/>
      </c>
      <c r="R1226" s="35" t="str">
        <f aca="false">IF($Q1226=1,$O1226-ROW()/100000,"")</f>
        <v/>
      </c>
      <c r="S1226" s="37" t="str">
        <f aca="false">IF($A1226="","",INT($A1226))</f>
        <v/>
      </c>
      <c r="T1226" s="35" t="str">
        <f aca="false">IF($A1226="","",IF(COUNTIFS($S$3:$S1226,$S1226)=1,1,0))</f>
        <v/>
      </c>
      <c r="U1226" s="37" t="str">
        <f aca="false">IF($T1226=1,$S1226,"")</f>
        <v/>
      </c>
    </row>
    <row r="1227" customFormat="false" ht="15" hidden="false" customHeight="false" outlineLevel="0" collapsed="false">
      <c r="M1227" s="35" t="str">
        <f aca="false">IF($A1227="","",HOUR($A1227))</f>
        <v/>
      </c>
      <c r="N1227" s="36" t="str">
        <f aca="false">IF($A1227="","",$I1227*$K1227)</f>
        <v/>
      </c>
      <c r="O1227" s="35" t="str">
        <f aca="false">IF(OR($A1227="",$C1227="U",$S1227&lt;&gt;Calc!$F$2),"",SUMIFS($I$3:$I$3002,$E$3:$E$3002,$E1227,$C$3:$C$3002,"&lt;&gt;U",$S$3:$S$3002,Calc!$F$2))</f>
        <v/>
      </c>
      <c r="P1227" s="35" t="str">
        <f aca="false">IF(OR($A1227="",$C1227="U",$S1227&lt;&gt;Calc!$F$2),"",SUMIFS($N$3:$N$3002,$E$3:$E$3002,$E1227,$C$3:$C$3002,"&lt;&gt;U",$S$3:$S$3002,Calc!$F$2))</f>
        <v/>
      </c>
      <c r="Q1227" s="35" t="str">
        <f aca="false">IF(OR($A1227="",$C1227="U",$S1227&lt;&gt;Calc!$F$2),"",IF(COUNTIFS($E$3:$E1227,$E1227,$C$3:$C1227,"&lt;&gt;U",$S$3:$S1227,Calc!$F$2)=1,1,0))</f>
        <v/>
      </c>
      <c r="R1227" s="35" t="str">
        <f aca="false">IF($Q1227=1,$O1227-ROW()/100000,"")</f>
        <v/>
      </c>
      <c r="S1227" s="37" t="str">
        <f aca="false">IF($A1227="","",INT($A1227))</f>
        <v/>
      </c>
      <c r="T1227" s="35" t="str">
        <f aca="false">IF($A1227="","",IF(COUNTIFS($S$3:$S1227,$S1227)=1,1,0))</f>
        <v/>
      </c>
      <c r="U1227" s="37" t="str">
        <f aca="false">IF($T1227=1,$S1227,"")</f>
        <v/>
      </c>
    </row>
    <row r="1228" customFormat="false" ht="15" hidden="false" customHeight="false" outlineLevel="0" collapsed="false">
      <c r="M1228" s="35" t="str">
        <f aca="false">IF($A1228="","",HOUR($A1228))</f>
        <v/>
      </c>
      <c r="N1228" s="36" t="str">
        <f aca="false">IF($A1228="","",$I1228*$K1228)</f>
        <v/>
      </c>
      <c r="O1228" s="35" t="str">
        <f aca="false">IF(OR($A1228="",$C1228="U",$S1228&lt;&gt;Calc!$F$2),"",SUMIFS($I$3:$I$3002,$E$3:$E$3002,$E1228,$C$3:$C$3002,"&lt;&gt;U",$S$3:$S$3002,Calc!$F$2))</f>
        <v/>
      </c>
      <c r="P1228" s="35" t="str">
        <f aca="false">IF(OR($A1228="",$C1228="U",$S1228&lt;&gt;Calc!$F$2),"",SUMIFS($N$3:$N$3002,$E$3:$E$3002,$E1228,$C$3:$C$3002,"&lt;&gt;U",$S$3:$S$3002,Calc!$F$2))</f>
        <v/>
      </c>
      <c r="Q1228" s="35" t="str">
        <f aca="false">IF(OR($A1228="",$C1228="U",$S1228&lt;&gt;Calc!$F$2),"",IF(COUNTIFS($E$3:$E1228,$E1228,$C$3:$C1228,"&lt;&gt;U",$S$3:$S1228,Calc!$F$2)=1,1,0))</f>
        <v/>
      </c>
      <c r="R1228" s="35" t="str">
        <f aca="false">IF($Q1228=1,$O1228-ROW()/100000,"")</f>
        <v/>
      </c>
      <c r="S1228" s="37" t="str">
        <f aca="false">IF($A1228="","",INT($A1228))</f>
        <v/>
      </c>
      <c r="T1228" s="35" t="str">
        <f aca="false">IF($A1228="","",IF(COUNTIFS($S$3:$S1228,$S1228)=1,1,0))</f>
        <v/>
      </c>
      <c r="U1228" s="37" t="str">
        <f aca="false">IF($T1228=1,$S1228,"")</f>
        <v/>
      </c>
    </row>
    <row r="1229" customFormat="false" ht="15" hidden="false" customHeight="false" outlineLevel="0" collapsed="false">
      <c r="M1229" s="35" t="str">
        <f aca="false">IF($A1229="","",HOUR($A1229))</f>
        <v/>
      </c>
      <c r="N1229" s="36" t="str">
        <f aca="false">IF($A1229="","",$I1229*$K1229)</f>
        <v/>
      </c>
      <c r="O1229" s="35" t="str">
        <f aca="false">IF(OR($A1229="",$C1229="U",$S1229&lt;&gt;Calc!$F$2),"",SUMIFS($I$3:$I$3002,$E$3:$E$3002,$E1229,$C$3:$C$3002,"&lt;&gt;U",$S$3:$S$3002,Calc!$F$2))</f>
        <v/>
      </c>
      <c r="P1229" s="35" t="str">
        <f aca="false">IF(OR($A1229="",$C1229="U",$S1229&lt;&gt;Calc!$F$2),"",SUMIFS($N$3:$N$3002,$E$3:$E$3002,$E1229,$C$3:$C$3002,"&lt;&gt;U",$S$3:$S$3002,Calc!$F$2))</f>
        <v/>
      </c>
      <c r="Q1229" s="35" t="str">
        <f aca="false">IF(OR($A1229="",$C1229="U",$S1229&lt;&gt;Calc!$F$2),"",IF(COUNTIFS($E$3:$E1229,$E1229,$C$3:$C1229,"&lt;&gt;U",$S$3:$S1229,Calc!$F$2)=1,1,0))</f>
        <v/>
      </c>
      <c r="R1229" s="35" t="str">
        <f aca="false">IF($Q1229=1,$O1229-ROW()/100000,"")</f>
        <v/>
      </c>
      <c r="S1229" s="37" t="str">
        <f aca="false">IF($A1229="","",INT($A1229))</f>
        <v/>
      </c>
      <c r="T1229" s="35" t="str">
        <f aca="false">IF($A1229="","",IF(COUNTIFS($S$3:$S1229,$S1229)=1,1,0))</f>
        <v/>
      </c>
      <c r="U1229" s="37" t="str">
        <f aca="false">IF($T1229=1,$S1229,"")</f>
        <v/>
      </c>
    </row>
    <row r="1230" customFormat="false" ht="15" hidden="false" customHeight="false" outlineLevel="0" collapsed="false">
      <c r="M1230" s="35" t="str">
        <f aca="false">IF($A1230="","",HOUR($A1230))</f>
        <v/>
      </c>
      <c r="N1230" s="36" t="str">
        <f aca="false">IF($A1230="","",$I1230*$K1230)</f>
        <v/>
      </c>
      <c r="O1230" s="35" t="str">
        <f aca="false">IF(OR($A1230="",$C1230="U",$S1230&lt;&gt;Calc!$F$2),"",SUMIFS($I$3:$I$3002,$E$3:$E$3002,$E1230,$C$3:$C$3002,"&lt;&gt;U",$S$3:$S$3002,Calc!$F$2))</f>
        <v/>
      </c>
      <c r="P1230" s="35" t="str">
        <f aca="false">IF(OR($A1230="",$C1230="U",$S1230&lt;&gt;Calc!$F$2),"",SUMIFS($N$3:$N$3002,$E$3:$E$3002,$E1230,$C$3:$C$3002,"&lt;&gt;U",$S$3:$S$3002,Calc!$F$2))</f>
        <v/>
      </c>
      <c r="Q1230" s="35" t="str">
        <f aca="false">IF(OR($A1230="",$C1230="U",$S1230&lt;&gt;Calc!$F$2),"",IF(COUNTIFS($E$3:$E1230,$E1230,$C$3:$C1230,"&lt;&gt;U",$S$3:$S1230,Calc!$F$2)=1,1,0))</f>
        <v/>
      </c>
      <c r="R1230" s="35" t="str">
        <f aca="false">IF($Q1230=1,$O1230-ROW()/100000,"")</f>
        <v/>
      </c>
      <c r="S1230" s="37" t="str">
        <f aca="false">IF($A1230="","",INT($A1230))</f>
        <v/>
      </c>
      <c r="T1230" s="35" t="str">
        <f aca="false">IF($A1230="","",IF(COUNTIFS($S$3:$S1230,$S1230)=1,1,0))</f>
        <v/>
      </c>
      <c r="U1230" s="37" t="str">
        <f aca="false">IF($T1230=1,$S1230,"")</f>
        <v/>
      </c>
    </row>
    <row r="1231" customFormat="false" ht="15" hidden="false" customHeight="false" outlineLevel="0" collapsed="false">
      <c r="M1231" s="35" t="str">
        <f aca="false">IF($A1231="","",HOUR($A1231))</f>
        <v/>
      </c>
      <c r="N1231" s="36" t="str">
        <f aca="false">IF($A1231="","",$I1231*$K1231)</f>
        <v/>
      </c>
      <c r="O1231" s="35" t="str">
        <f aca="false">IF(OR($A1231="",$C1231="U",$S1231&lt;&gt;Calc!$F$2),"",SUMIFS($I$3:$I$3002,$E$3:$E$3002,$E1231,$C$3:$C$3002,"&lt;&gt;U",$S$3:$S$3002,Calc!$F$2))</f>
        <v/>
      </c>
      <c r="P1231" s="35" t="str">
        <f aca="false">IF(OR($A1231="",$C1231="U",$S1231&lt;&gt;Calc!$F$2),"",SUMIFS($N$3:$N$3002,$E$3:$E$3002,$E1231,$C$3:$C$3002,"&lt;&gt;U",$S$3:$S$3002,Calc!$F$2))</f>
        <v/>
      </c>
      <c r="Q1231" s="35" t="str">
        <f aca="false">IF(OR($A1231="",$C1231="U",$S1231&lt;&gt;Calc!$F$2),"",IF(COUNTIFS($E$3:$E1231,$E1231,$C$3:$C1231,"&lt;&gt;U",$S$3:$S1231,Calc!$F$2)=1,1,0))</f>
        <v/>
      </c>
      <c r="R1231" s="35" t="str">
        <f aca="false">IF($Q1231=1,$O1231-ROW()/100000,"")</f>
        <v/>
      </c>
      <c r="S1231" s="37" t="str">
        <f aca="false">IF($A1231="","",INT($A1231))</f>
        <v/>
      </c>
      <c r="T1231" s="35" t="str">
        <f aca="false">IF($A1231="","",IF(COUNTIFS($S$3:$S1231,$S1231)=1,1,0))</f>
        <v/>
      </c>
      <c r="U1231" s="37" t="str">
        <f aca="false">IF($T1231=1,$S1231,"")</f>
        <v/>
      </c>
    </row>
    <row r="1232" customFormat="false" ht="15" hidden="false" customHeight="false" outlineLevel="0" collapsed="false">
      <c r="M1232" s="35" t="str">
        <f aca="false">IF($A1232="","",HOUR($A1232))</f>
        <v/>
      </c>
      <c r="N1232" s="36" t="str">
        <f aca="false">IF($A1232="","",$I1232*$K1232)</f>
        <v/>
      </c>
      <c r="O1232" s="35" t="str">
        <f aca="false">IF(OR($A1232="",$C1232="U",$S1232&lt;&gt;Calc!$F$2),"",SUMIFS($I$3:$I$3002,$E$3:$E$3002,$E1232,$C$3:$C$3002,"&lt;&gt;U",$S$3:$S$3002,Calc!$F$2))</f>
        <v/>
      </c>
      <c r="P1232" s="35" t="str">
        <f aca="false">IF(OR($A1232="",$C1232="U",$S1232&lt;&gt;Calc!$F$2),"",SUMIFS($N$3:$N$3002,$E$3:$E$3002,$E1232,$C$3:$C$3002,"&lt;&gt;U",$S$3:$S$3002,Calc!$F$2))</f>
        <v/>
      </c>
      <c r="Q1232" s="35" t="str">
        <f aca="false">IF(OR($A1232="",$C1232="U",$S1232&lt;&gt;Calc!$F$2),"",IF(COUNTIFS($E$3:$E1232,$E1232,$C$3:$C1232,"&lt;&gt;U",$S$3:$S1232,Calc!$F$2)=1,1,0))</f>
        <v/>
      </c>
      <c r="R1232" s="35" t="str">
        <f aca="false">IF($Q1232=1,$O1232-ROW()/100000,"")</f>
        <v/>
      </c>
      <c r="S1232" s="37" t="str">
        <f aca="false">IF($A1232="","",INT($A1232))</f>
        <v/>
      </c>
      <c r="T1232" s="35" t="str">
        <f aca="false">IF($A1232="","",IF(COUNTIFS($S$3:$S1232,$S1232)=1,1,0))</f>
        <v/>
      </c>
      <c r="U1232" s="37" t="str">
        <f aca="false">IF($T1232=1,$S1232,"")</f>
        <v/>
      </c>
    </row>
    <row r="1233" customFormat="false" ht="15" hidden="false" customHeight="false" outlineLevel="0" collapsed="false">
      <c r="M1233" s="35" t="str">
        <f aca="false">IF($A1233="","",HOUR($A1233))</f>
        <v/>
      </c>
      <c r="N1233" s="36" t="str">
        <f aca="false">IF($A1233="","",$I1233*$K1233)</f>
        <v/>
      </c>
      <c r="O1233" s="35" t="str">
        <f aca="false">IF(OR($A1233="",$C1233="U",$S1233&lt;&gt;Calc!$F$2),"",SUMIFS($I$3:$I$3002,$E$3:$E$3002,$E1233,$C$3:$C$3002,"&lt;&gt;U",$S$3:$S$3002,Calc!$F$2))</f>
        <v/>
      </c>
      <c r="P1233" s="35" t="str">
        <f aca="false">IF(OR($A1233="",$C1233="U",$S1233&lt;&gt;Calc!$F$2),"",SUMIFS($N$3:$N$3002,$E$3:$E$3002,$E1233,$C$3:$C$3002,"&lt;&gt;U",$S$3:$S$3002,Calc!$F$2))</f>
        <v/>
      </c>
      <c r="Q1233" s="35" t="str">
        <f aca="false">IF(OR($A1233="",$C1233="U",$S1233&lt;&gt;Calc!$F$2),"",IF(COUNTIFS($E$3:$E1233,$E1233,$C$3:$C1233,"&lt;&gt;U",$S$3:$S1233,Calc!$F$2)=1,1,0))</f>
        <v/>
      </c>
      <c r="R1233" s="35" t="str">
        <f aca="false">IF($Q1233=1,$O1233-ROW()/100000,"")</f>
        <v/>
      </c>
      <c r="S1233" s="37" t="str">
        <f aca="false">IF($A1233="","",INT($A1233))</f>
        <v/>
      </c>
      <c r="T1233" s="35" t="str">
        <f aca="false">IF($A1233="","",IF(COUNTIFS($S$3:$S1233,$S1233)=1,1,0))</f>
        <v/>
      </c>
      <c r="U1233" s="37" t="str">
        <f aca="false">IF($T1233=1,$S1233,"")</f>
        <v/>
      </c>
    </row>
    <row r="1234" customFormat="false" ht="15" hidden="false" customHeight="false" outlineLevel="0" collapsed="false">
      <c r="M1234" s="35" t="str">
        <f aca="false">IF($A1234="","",HOUR($A1234))</f>
        <v/>
      </c>
      <c r="N1234" s="36" t="str">
        <f aca="false">IF($A1234="","",$I1234*$K1234)</f>
        <v/>
      </c>
      <c r="O1234" s="35" t="str">
        <f aca="false">IF(OR($A1234="",$C1234="U",$S1234&lt;&gt;Calc!$F$2),"",SUMIFS($I$3:$I$3002,$E$3:$E$3002,$E1234,$C$3:$C$3002,"&lt;&gt;U",$S$3:$S$3002,Calc!$F$2))</f>
        <v/>
      </c>
      <c r="P1234" s="35" t="str">
        <f aca="false">IF(OR($A1234="",$C1234="U",$S1234&lt;&gt;Calc!$F$2),"",SUMIFS($N$3:$N$3002,$E$3:$E$3002,$E1234,$C$3:$C$3002,"&lt;&gt;U",$S$3:$S$3002,Calc!$F$2))</f>
        <v/>
      </c>
      <c r="Q1234" s="35" t="str">
        <f aca="false">IF(OR($A1234="",$C1234="U",$S1234&lt;&gt;Calc!$F$2),"",IF(COUNTIFS($E$3:$E1234,$E1234,$C$3:$C1234,"&lt;&gt;U",$S$3:$S1234,Calc!$F$2)=1,1,0))</f>
        <v/>
      </c>
      <c r="R1234" s="35" t="str">
        <f aca="false">IF($Q1234=1,$O1234-ROW()/100000,"")</f>
        <v/>
      </c>
      <c r="S1234" s="37" t="str">
        <f aca="false">IF($A1234="","",INT($A1234))</f>
        <v/>
      </c>
      <c r="T1234" s="35" t="str">
        <f aca="false">IF($A1234="","",IF(COUNTIFS($S$3:$S1234,$S1234)=1,1,0))</f>
        <v/>
      </c>
      <c r="U1234" s="37" t="str">
        <f aca="false">IF($T1234=1,$S1234,"")</f>
        <v/>
      </c>
    </row>
    <row r="1235" customFormat="false" ht="15" hidden="false" customHeight="false" outlineLevel="0" collapsed="false">
      <c r="M1235" s="35" t="str">
        <f aca="false">IF($A1235="","",HOUR($A1235))</f>
        <v/>
      </c>
      <c r="N1235" s="36" t="str">
        <f aca="false">IF($A1235="","",$I1235*$K1235)</f>
        <v/>
      </c>
      <c r="O1235" s="35" t="str">
        <f aca="false">IF(OR($A1235="",$C1235="U",$S1235&lt;&gt;Calc!$F$2),"",SUMIFS($I$3:$I$3002,$E$3:$E$3002,$E1235,$C$3:$C$3002,"&lt;&gt;U",$S$3:$S$3002,Calc!$F$2))</f>
        <v/>
      </c>
      <c r="P1235" s="35" t="str">
        <f aca="false">IF(OR($A1235="",$C1235="U",$S1235&lt;&gt;Calc!$F$2),"",SUMIFS($N$3:$N$3002,$E$3:$E$3002,$E1235,$C$3:$C$3002,"&lt;&gt;U",$S$3:$S$3002,Calc!$F$2))</f>
        <v/>
      </c>
      <c r="Q1235" s="35" t="str">
        <f aca="false">IF(OR($A1235="",$C1235="U",$S1235&lt;&gt;Calc!$F$2),"",IF(COUNTIFS($E$3:$E1235,$E1235,$C$3:$C1235,"&lt;&gt;U",$S$3:$S1235,Calc!$F$2)=1,1,0))</f>
        <v/>
      </c>
      <c r="R1235" s="35" t="str">
        <f aca="false">IF($Q1235=1,$O1235-ROW()/100000,"")</f>
        <v/>
      </c>
      <c r="S1235" s="37" t="str">
        <f aca="false">IF($A1235="","",INT($A1235))</f>
        <v/>
      </c>
      <c r="T1235" s="35" t="str">
        <f aca="false">IF($A1235="","",IF(COUNTIFS($S$3:$S1235,$S1235)=1,1,0))</f>
        <v/>
      </c>
      <c r="U1235" s="37" t="str">
        <f aca="false">IF($T1235=1,$S1235,"")</f>
        <v/>
      </c>
    </row>
    <row r="1236" customFormat="false" ht="15" hidden="false" customHeight="false" outlineLevel="0" collapsed="false">
      <c r="M1236" s="35" t="str">
        <f aca="false">IF($A1236="","",HOUR($A1236))</f>
        <v/>
      </c>
      <c r="N1236" s="36" t="str">
        <f aca="false">IF($A1236="","",$I1236*$K1236)</f>
        <v/>
      </c>
      <c r="O1236" s="35" t="str">
        <f aca="false">IF(OR($A1236="",$C1236="U",$S1236&lt;&gt;Calc!$F$2),"",SUMIFS($I$3:$I$3002,$E$3:$E$3002,$E1236,$C$3:$C$3002,"&lt;&gt;U",$S$3:$S$3002,Calc!$F$2))</f>
        <v/>
      </c>
      <c r="P1236" s="35" t="str">
        <f aca="false">IF(OR($A1236="",$C1236="U",$S1236&lt;&gt;Calc!$F$2),"",SUMIFS($N$3:$N$3002,$E$3:$E$3002,$E1236,$C$3:$C$3002,"&lt;&gt;U",$S$3:$S$3002,Calc!$F$2))</f>
        <v/>
      </c>
      <c r="Q1236" s="35" t="str">
        <f aca="false">IF(OR($A1236="",$C1236="U",$S1236&lt;&gt;Calc!$F$2),"",IF(COUNTIFS($E$3:$E1236,$E1236,$C$3:$C1236,"&lt;&gt;U",$S$3:$S1236,Calc!$F$2)=1,1,0))</f>
        <v/>
      </c>
      <c r="R1236" s="35" t="str">
        <f aca="false">IF($Q1236=1,$O1236-ROW()/100000,"")</f>
        <v/>
      </c>
      <c r="S1236" s="37" t="str">
        <f aca="false">IF($A1236="","",INT($A1236))</f>
        <v/>
      </c>
      <c r="T1236" s="35" t="str">
        <f aca="false">IF($A1236="","",IF(COUNTIFS($S$3:$S1236,$S1236)=1,1,0))</f>
        <v/>
      </c>
      <c r="U1236" s="37" t="str">
        <f aca="false">IF($T1236=1,$S1236,"")</f>
        <v/>
      </c>
    </row>
    <row r="1237" customFormat="false" ht="15" hidden="false" customHeight="false" outlineLevel="0" collapsed="false">
      <c r="M1237" s="35" t="str">
        <f aca="false">IF($A1237="","",HOUR($A1237))</f>
        <v/>
      </c>
      <c r="N1237" s="36" t="str">
        <f aca="false">IF($A1237="","",$I1237*$K1237)</f>
        <v/>
      </c>
      <c r="O1237" s="35" t="str">
        <f aca="false">IF(OR($A1237="",$C1237="U",$S1237&lt;&gt;Calc!$F$2),"",SUMIFS($I$3:$I$3002,$E$3:$E$3002,$E1237,$C$3:$C$3002,"&lt;&gt;U",$S$3:$S$3002,Calc!$F$2))</f>
        <v/>
      </c>
      <c r="P1237" s="35" t="str">
        <f aca="false">IF(OR($A1237="",$C1237="U",$S1237&lt;&gt;Calc!$F$2),"",SUMIFS($N$3:$N$3002,$E$3:$E$3002,$E1237,$C$3:$C$3002,"&lt;&gt;U",$S$3:$S$3002,Calc!$F$2))</f>
        <v/>
      </c>
      <c r="Q1237" s="35" t="str">
        <f aca="false">IF(OR($A1237="",$C1237="U",$S1237&lt;&gt;Calc!$F$2),"",IF(COUNTIFS($E$3:$E1237,$E1237,$C$3:$C1237,"&lt;&gt;U",$S$3:$S1237,Calc!$F$2)=1,1,0))</f>
        <v/>
      </c>
      <c r="R1237" s="35" t="str">
        <f aca="false">IF($Q1237=1,$O1237-ROW()/100000,"")</f>
        <v/>
      </c>
      <c r="S1237" s="37" t="str">
        <f aca="false">IF($A1237="","",INT($A1237))</f>
        <v/>
      </c>
      <c r="T1237" s="35" t="str">
        <f aca="false">IF($A1237="","",IF(COUNTIFS($S$3:$S1237,$S1237)=1,1,0))</f>
        <v/>
      </c>
      <c r="U1237" s="37" t="str">
        <f aca="false">IF($T1237=1,$S1237,"")</f>
        <v/>
      </c>
    </row>
    <row r="1238" customFormat="false" ht="15" hidden="false" customHeight="false" outlineLevel="0" collapsed="false">
      <c r="M1238" s="35" t="str">
        <f aca="false">IF($A1238="","",HOUR($A1238))</f>
        <v/>
      </c>
      <c r="N1238" s="36" t="str">
        <f aca="false">IF($A1238="","",$I1238*$K1238)</f>
        <v/>
      </c>
      <c r="O1238" s="35" t="str">
        <f aca="false">IF(OR($A1238="",$C1238="U",$S1238&lt;&gt;Calc!$F$2),"",SUMIFS($I$3:$I$3002,$E$3:$E$3002,$E1238,$C$3:$C$3002,"&lt;&gt;U",$S$3:$S$3002,Calc!$F$2))</f>
        <v/>
      </c>
      <c r="P1238" s="35" t="str">
        <f aca="false">IF(OR($A1238="",$C1238="U",$S1238&lt;&gt;Calc!$F$2),"",SUMIFS($N$3:$N$3002,$E$3:$E$3002,$E1238,$C$3:$C$3002,"&lt;&gt;U",$S$3:$S$3002,Calc!$F$2))</f>
        <v/>
      </c>
      <c r="Q1238" s="35" t="str">
        <f aca="false">IF(OR($A1238="",$C1238="U",$S1238&lt;&gt;Calc!$F$2),"",IF(COUNTIFS($E$3:$E1238,$E1238,$C$3:$C1238,"&lt;&gt;U",$S$3:$S1238,Calc!$F$2)=1,1,0))</f>
        <v/>
      </c>
      <c r="R1238" s="35" t="str">
        <f aca="false">IF($Q1238=1,$O1238-ROW()/100000,"")</f>
        <v/>
      </c>
      <c r="S1238" s="37" t="str">
        <f aca="false">IF($A1238="","",INT($A1238))</f>
        <v/>
      </c>
      <c r="T1238" s="35" t="str">
        <f aca="false">IF($A1238="","",IF(COUNTIFS($S$3:$S1238,$S1238)=1,1,0))</f>
        <v/>
      </c>
      <c r="U1238" s="37" t="str">
        <f aca="false">IF($T1238=1,$S1238,"")</f>
        <v/>
      </c>
    </row>
    <row r="1239" customFormat="false" ht="15" hidden="false" customHeight="false" outlineLevel="0" collapsed="false">
      <c r="M1239" s="35" t="str">
        <f aca="false">IF($A1239="","",HOUR($A1239))</f>
        <v/>
      </c>
      <c r="N1239" s="36" t="str">
        <f aca="false">IF($A1239="","",$I1239*$K1239)</f>
        <v/>
      </c>
      <c r="O1239" s="35" t="str">
        <f aca="false">IF(OR($A1239="",$C1239="U",$S1239&lt;&gt;Calc!$F$2),"",SUMIFS($I$3:$I$3002,$E$3:$E$3002,$E1239,$C$3:$C$3002,"&lt;&gt;U",$S$3:$S$3002,Calc!$F$2))</f>
        <v/>
      </c>
      <c r="P1239" s="35" t="str">
        <f aca="false">IF(OR($A1239="",$C1239="U",$S1239&lt;&gt;Calc!$F$2),"",SUMIFS($N$3:$N$3002,$E$3:$E$3002,$E1239,$C$3:$C$3002,"&lt;&gt;U",$S$3:$S$3002,Calc!$F$2))</f>
        <v/>
      </c>
      <c r="Q1239" s="35" t="str">
        <f aca="false">IF(OR($A1239="",$C1239="U",$S1239&lt;&gt;Calc!$F$2),"",IF(COUNTIFS($E$3:$E1239,$E1239,$C$3:$C1239,"&lt;&gt;U",$S$3:$S1239,Calc!$F$2)=1,1,0))</f>
        <v/>
      </c>
      <c r="R1239" s="35" t="str">
        <f aca="false">IF($Q1239=1,$O1239-ROW()/100000,"")</f>
        <v/>
      </c>
      <c r="S1239" s="37" t="str">
        <f aca="false">IF($A1239="","",INT($A1239))</f>
        <v/>
      </c>
      <c r="T1239" s="35" t="str">
        <f aca="false">IF($A1239="","",IF(COUNTIFS($S$3:$S1239,$S1239)=1,1,0))</f>
        <v/>
      </c>
      <c r="U1239" s="37" t="str">
        <f aca="false">IF($T1239=1,$S1239,"")</f>
        <v/>
      </c>
    </row>
    <row r="1240" customFormat="false" ht="15" hidden="false" customHeight="false" outlineLevel="0" collapsed="false">
      <c r="M1240" s="35" t="str">
        <f aca="false">IF($A1240="","",HOUR($A1240))</f>
        <v/>
      </c>
      <c r="N1240" s="36" t="str">
        <f aca="false">IF($A1240="","",$I1240*$K1240)</f>
        <v/>
      </c>
      <c r="O1240" s="35" t="str">
        <f aca="false">IF(OR($A1240="",$C1240="U",$S1240&lt;&gt;Calc!$F$2),"",SUMIFS($I$3:$I$3002,$E$3:$E$3002,$E1240,$C$3:$C$3002,"&lt;&gt;U",$S$3:$S$3002,Calc!$F$2))</f>
        <v/>
      </c>
      <c r="P1240" s="35" t="str">
        <f aca="false">IF(OR($A1240="",$C1240="U",$S1240&lt;&gt;Calc!$F$2),"",SUMIFS($N$3:$N$3002,$E$3:$E$3002,$E1240,$C$3:$C$3002,"&lt;&gt;U",$S$3:$S$3002,Calc!$F$2))</f>
        <v/>
      </c>
      <c r="Q1240" s="35" t="str">
        <f aca="false">IF(OR($A1240="",$C1240="U",$S1240&lt;&gt;Calc!$F$2),"",IF(COUNTIFS($E$3:$E1240,$E1240,$C$3:$C1240,"&lt;&gt;U",$S$3:$S1240,Calc!$F$2)=1,1,0))</f>
        <v/>
      </c>
      <c r="R1240" s="35" t="str">
        <f aca="false">IF($Q1240=1,$O1240-ROW()/100000,"")</f>
        <v/>
      </c>
      <c r="S1240" s="37" t="str">
        <f aca="false">IF($A1240="","",INT($A1240))</f>
        <v/>
      </c>
      <c r="T1240" s="35" t="str">
        <f aca="false">IF($A1240="","",IF(COUNTIFS($S$3:$S1240,$S1240)=1,1,0))</f>
        <v/>
      </c>
      <c r="U1240" s="37" t="str">
        <f aca="false">IF($T1240=1,$S1240,"")</f>
        <v/>
      </c>
    </row>
    <row r="1241" customFormat="false" ht="15" hidden="false" customHeight="false" outlineLevel="0" collapsed="false">
      <c r="M1241" s="35" t="str">
        <f aca="false">IF($A1241="","",HOUR($A1241))</f>
        <v/>
      </c>
      <c r="N1241" s="36" t="str">
        <f aca="false">IF($A1241="","",$I1241*$K1241)</f>
        <v/>
      </c>
      <c r="O1241" s="35" t="str">
        <f aca="false">IF(OR($A1241="",$C1241="U",$S1241&lt;&gt;Calc!$F$2),"",SUMIFS($I$3:$I$3002,$E$3:$E$3002,$E1241,$C$3:$C$3002,"&lt;&gt;U",$S$3:$S$3002,Calc!$F$2))</f>
        <v/>
      </c>
      <c r="P1241" s="35" t="str">
        <f aca="false">IF(OR($A1241="",$C1241="U",$S1241&lt;&gt;Calc!$F$2),"",SUMIFS($N$3:$N$3002,$E$3:$E$3002,$E1241,$C$3:$C$3002,"&lt;&gt;U",$S$3:$S$3002,Calc!$F$2))</f>
        <v/>
      </c>
      <c r="Q1241" s="35" t="str">
        <f aca="false">IF(OR($A1241="",$C1241="U",$S1241&lt;&gt;Calc!$F$2),"",IF(COUNTIFS($E$3:$E1241,$E1241,$C$3:$C1241,"&lt;&gt;U",$S$3:$S1241,Calc!$F$2)=1,1,0))</f>
        <v/>
      </c>
      <c r="R1241" s="35" t="str">
        <f aca="false">IF($Q1241=1,$O1241-ROW()/100000,"")</f>
        <v/>
      </c>
      <c r="S1241" s="37" t="str">
        <f aca="false">IF($A1241="","",INT($A1241))</f>
        <v/>
      </c>
      <c r="T1241" s="35" t="str">
        <f aca="false">IF($A1241="","",IF(COUNTIFS($S$3:$S1241,$S1241)=1,1,0))</f>
        <v/>
      </c>
      <c r="U1241" s="37" t="str">
        <f aca="false">IF($T1241=1,$S1241,"")</f>
        <v/>
      </c>
    </row>
    <row r="1242" customFormat="false" ht="15" hidden="false" customHeight="false" outlineLevel="0" collapsed="false">
      <c r="M1242" s="35" t="str">
        <f aca="false">IF($A1242="","",HOUR($A1242))</f>
        <v/>
      </c>
      <c r="N1242" s="36" t="str">
        <f aca="false">IF($A1242="","",$I1242*$K1242)</f>
        <v/>
      </c>
      <c r="O1242" s="35" t="str">
        <f aca="false">IF(OR($A1242="",$C1242="U",$S1242&lt;&gt;Calc!$F$2),"",SUMIFS($I$3:$I$3002,$E$3:$E$3002,$E1242,$C$3:$C$3002,"&lt;&gt;U",$S$3:$S$3002,Calc!$F$2))</f>
        <v/>
      </c>
      <c r="P1242" s="35" t="str">
        <f aca="false">IF(OR($A1242="",$C1242="U",$S1242&lt;&gt;Calc!$F$2),"",SUMIFS($N$3:$N$3002,$E$3:$E$3002,$E1242,$C$3:$C$3002,"&lt;&gt;U",$S$3:$S$3002,Calc!$F$2))</f>
        <v/>
      </c>
      <c r="Q1242" s="35" t="str">
        <f aca="false">IF(OR($A1242="",$C1242="U",$S1242&lt;&gt;Calc!$F$2),"",IF(COUNTIFS($E$3:$E1242,$E1242,$C$3:$C1242,"&lt;&gt;U",$S$3:$S1242,Calc!$F$2)=1,1,0))</f>
        <v/>
      </c>
      <c r="R1242" s="35" t="str">
        <f aca="false">IF($Q1242=1,$O1242-ROW()/100000,"")</f>
        <v/>
      </c>
      <c r="S1242" s="37" t="str">
        <f aca="false">IF($A1242="","",INT($A1242))</f>
        <v/>
      </c>
      <c r="T1242" s="35" t="str">
        <f aca="false">IF($A1242="","",IF(COUNTIFS($S$3:$S1242,$S1242)=1,1,0))</f>
        <v/>
      </c>
      <c r="U1242" s="37" t="str">
        <f aca="false">IF($T1242=1,$S1242,"")</f>
        <v/>
      </c>
    </row>
    <row r="1243" customFormat="false" ht="15" hidden="false" customHeight="false" outlineLevel="0" collapsed="false">
      <c r="M1243" s="35" t="str">
        <f aca="false">IF($A1243="","",HOUR($A1243))</f>
        <v/>
      </c>
      <c r="N1243" s="36" t="str">
        <f aca="false">IF($A1243="","",$I1243*$K1243)</f>
        <v/>
      </c>
      <c r="O1243" s="35" t="str">
        <f aca="false">IF(OR($A1243="",$C1243="U",$S1243&lt;&gt;Calc!$F$2),"",SUMIFS($I$3:$I$3002,$E$3:$E$3002,$E1243,$C$3:$C$3002,"&lt;&gt;U",$S$3:$S$3002,Calc!$F$2))</f>
        <v/>
      </c>
      <c r="P1243" s="35" t="str">
        <f aca="false">IF(OR($A1243="",$C1243="U",$S1243&lt;&gt;Calc!$F$2),"",SUMIFS($N$3:$N$3002,$E$3:$E$3002,$E1243,$C$3:$C$3002,"&lt;&gt;U",$S$3:$S$3002,Calc!$F$2))</f>
        <v/>
      </c>
      <c r="Q1243" s="35" t="str">
        <f aca="false">IF(OR($A1243="",$C1243="U",$S1243&lt;&gt;Calc!$F$2),"",IF(COUNTIFS($E$3:$E1243,$E1243,$C$3:$C1243,"&lt;&gt;U",$S$3:$S1243,Calc!$F$2)=1,1,0))</f>
        <v/>
      </c>
      <c r="R1243" s="35" t="str">
        <f aca="false">IF($Q1243=1,$O1243-ROW()/100000,"")</f>
        <v/>
      </c>
      <c r="S1243" s="37" t="str">
        <f aca="false">IF($A1243="","",INT($A1243))</f>
        <v/>
      </c>
      <c r="T1243" s="35" t="str">
        <f aca="false">IF($A1243="","",IF(COUNTIFS($S$3:$S1243,$S1243)=1,1,0))</f>
        <v/>
      </c>
      <c r="U1243" s="37" t="str">
        <f aca="false">IF($T1243=1,$S1243,"")</f>
        <v/>
      </c>
    </row>
    <row r="1244" customFormat="false" ht="15" hidden="false" customHeight="false" outlineLevel="0" collapsed="false">
      <c r="M1244" s="35" t="str">
        <f aca="false">IF($A1244="","",HOUR($A1244))</f>
        <v/>
      </c>
      <c r="N1244" s="36" t="str">
        <f aca="false">IF($A1244="","",$I1244*$K1244)</f>
        <v/>
      </c>
      <c r="O1244" s="35" t="str">
        <f aca="false">IF(OR($A1244="",$C1244="U",$S1244&lt;&gt;Calc!$F$2),"",SUMIFS($I$3:$I$3002,$E$3:$E$3002,$E1244,$C$3:$C$3002,"&lt;&gt;U",$S$3:$S$3002,Calc!$F$2))</f>
        <v/>
      </c>
      <c r="P1244" s="35" t="str">
        <f aca="false">IF(OR($A1244="",$C1244="U",$S1244&lt;&gt;Calc!$F$2),"",SUMIFS($N$3:$N$3002,$E$3:$E$3002,$E1244,$C$3:$C$3002,"&lt;&gt;U",$S$3:$S$3002,Calc!$F$2))</f>
        <v/>
      </c>
      <c r="Q1244" s="35" t="str">
        <f aca="false">IF(OR($A1244="",$C1244="U",$S1244&lt;&gt;Calc!$F$2),"",IF(COUNTIFS($E$3:$E1244,$E1244,$C$3:$C1244,"&lt;&gt;U",$S$3:$S1244,Calc!$F$2)=1,1,0))</f>
        <v/>
      </c>
      <c r="R1244" s="35" t="str">
        <f aca="false">IF($Q1244=1,$O1244-ROW()/100000,"")</f>
        <v/>
      </c>
      <c r="S1244" s="37" t="str">
        <f aca="false">IF($A1244="","",INT($A1244))</f>
        <v/>
      </c>
      <c r="T1244" s="35" t="str">
        <f aca="false">IF($A1244="","",IF(COUNTIFS($S$3:$S1244,$S1244)=1,1,0))</f>
        <v/>
      </c>
      <c r="U1244" s="37" t="str">
        <f aca="false">IF($T1244=1,$S1244,"")</f>
        <v/>
      </c>
    </row>
    <row r="1245" customFormat="false" ht="15" hidden="false" customHeight="false" outlineLevel="0" collapsed="false">
      <c r="M1245" s="35" t="str">
        <f aca="false">IF($A1245="","",HOUR($A1245))</f>
        <v/>
      </c>
      <c r="N1245" s="36" t="str">
        <f aca="false">IF($A1245="","",$I1245*$K1245)</f>
        <v/>
      </c>
      <c r="O1245" s="35" t="str">
        <f aca="false">IF(OR($A1245="",$C1245="U",$S1245&lt;&gt;Calc!$F$2),"",SUMIFS($I$3:$I$3002,$E$3:$E$3002,$E1245,$C$3:$C$3002,"&lt;&gt;U",$S$3:$S$3002,Calc!$F$2))</f>
        <v/>
      </c>
      <c r="P1245" s="35" t="str">
        <f aca="false">IF(OR($A1245="",$C1245="U",$S1245&lt;&gt;Calc!$F$2),"",SUMIFS($N$3:$N$3002,$E$3:$E$3002,$E1245,$C$3:$C$3002,"&lt;&gt;U",$S$3:$S$3002,Calc!$F$2))</f>
        <v/>
      </c>
      <c r="Q1245" s="35" t="str">
        <f aca="false">IF(OR($A1245="",$C1245="U",$S1245&lt;&gt;Calc!$F$2),"",IF(COUNTIFS($E$3:$E1245,$E1245,$C$3:$C1245,"&lt;&gt;U",$S$3:$S1245,Calc!$F$2)=1,1,0))</f>
        <v/>
      </c>
      <c r="R1245" s="35" t="str">
        <f aca="false">IF($Q1245=1,$O1245-ROW()/100000,"")</f>
        <v/>
      </c>
      <c r="S1245" s="37" t="str">
        <f aca="false">IF($A1245="","",INT($A1245))</f>
        <v/>
      </c>
      <c r="T1245" s="35" t="str">
        <f aca="false">IF($A1245="","",IF(COUNTIFS($S$3:$S1245,$S1245)=1,1,0))</f>
        <v/>
      </c>
      <c r="U1245" s="37" t="str">
        <f aca="false">IF($T1245=1,$S1245,"")</f>
        <v/>
      </c>
    </row>
    <row r="1246" customFormat="false" ht="15" hidden="false" customHeight="false" outlineLevel="0" collapsed="false">
      <c r="M1246" s="35" t="str">
        <f aca="false">IF($A1246="","",HOUR($A1246))</f>
        <v/>
      </c>
      <c r="N1246" s="36" t="str">
        <f aca="false">IF($A1246="","",$I1246*$K1246)</f>
        <v/>
      </c>
      <c r="O1246" s="35" t="str">
        <f aca="false">IF(OR($A1246="",$C1246="U",$S1246&lt;&gt;Calc!$F$2),"",SUMIFS($I$3:$I$3002,$E$3:$E$3002,$E1246,$C$3:$C$3002,"&lt;&gt;U",$S$3:$S$3002,Calc!$F$2))</f>
        <v/>
      </c>
      <c r="P1246" s="35" t="str">
        <f aca="false">IF(OR($A1246="",$C1246="U",$S1246&lt;&gt;Calc!$F$2),"",SUMIFS($N$3:$N$3002,$E$3:$E$3002,$E1246,$C$3:$C$3002,"&lt;&gt;U",$S$3:$S$3002,Calc!$F$2))</f>
        <v/>
      </c>
      <c r="Q1246" s="35" t="str">
        <f aca="false">IF(OR($A1246="",$C1246="U",$S1246&lt;&gt;Calc!$F$2),"",IF(COUNTIFS($E$3:$E1246,$E1246,$C$3:$C1246,"&lt;&gt;U",$S$3:$S1246,Calc!$F$2)=1,1,0))</f>
        <v/>
      </c>
      <c r="R1246" s="35" t="str">
        <f aca="false">IF($Q1246=1,$O1246-ROW()/100000,"")</f>
        <v/>
      </c>
      <c r="S1246" s="37" t="str">
        <f aca="false">IF($A1246="","",INT($A1246))</f>
        <v/>
      </c>
      <c r="T1246" s="35" t="str">
        <f aca="false">IF($A1246="","",IF(COUNTIFS($S$3:$S1246,$S1246)=1,1,0))</f>
        <v/>
      </c>
      <c r="U1246" s="37" t="str">
        <f aca="false">IF($T1246=1,$S1246,"")</f>
        <v/>
      </c>
    </row>
    <row r="1247" customFormat="false" ht="15" hidden="false" customHeight="false" outlineLevel="0" collapsed="false">
      <c r="M1247" s="35" t="str">
        <f aca="false">IF($A1247="","",HOUR($A1247))</f>
        <v/>
      </c>
      <c r="N1247" s="36" t="str">
        <f aca="false">IF($A1247="","",$I1247*$K1247)</f>
        <v/>
      </c>
      <c r="O1247" s="35" t="str">
        <f aca="false">IF(OR($A1247="",$C1247="U",$S1247&lt;&gt;Calc!$F$2),"",SUMIFS($I$3:$I$3002,$E$3:$E$3002,$E1247,$C$3:$C$3002,"&lt;&gt;U",$S$3:$S$3002,Calc!$F$2))</f>
        <v/>
      </c>
      <c r="P1247" s="35" t="str">
        <f aca="false">IF(OR($A1247="",$C1247="U",$S1247&lt;&gt;Calc!$F$2),"",SUMIFS($N$3:$N$3002,$E$3:$E$3002,$E1247,$C$3:$C$3002,"&lt;&gt;U",$S$3:$S$3002,Calc!$F$2))</f>
        <v/>
      </c>
      <c r="Q1247" s="35" t="str">
        <f aca="false">IF(OR($A1247="",$C1247="U",$S1247&lt;&gt;Calc!$F$2),"",IF(COUNTIFS($E$3:$E1247,$E1247,$C$3:$C1247,"&lt;&gt;U",$S$3:$S1247,Calc!$F$2)=1,1,0))</f>
        <v/>
      </c>
      <c r="R1247" s="35" t="str">
        <f aca="false">IF($Q1247=1,$O1247-ROW()/100000,"")</f>
        <v/>
      </c>
      <c r="S1247" s="37" t="str">
        <f aca="false">IF($A1247="","",INT($A1247))</f>
        <v/>
      </c>
      <c r="T1247" s="35" t="str">
        <f aca="false">IF($A1247="","",IF(COUNTIFS($S$3:$S1247,$S1247)=1,1,0))</f>
        <v/>
      </c>
      <c r="U1247" s="37" t="str">
        <f aca="false">IF($T1247=1,$S1247,"")</f>
        <v/>
      </c>
    </row>
    <row r="1248" customFormat="false" ht="15" hidden="false" customHeight="false" outlineLevel="0" collapsed="false">
      <c r="M1248" s="35" t="str">
        <f aca="false">IF($A1248="","",HOUR($A1248))</f>
        <v/>
      </c>
      <c r="N1248" s="36" t="str">
        <f aca="false">IF($A1248="","",$I1248*$K1248)</f>
        <v/>
      </c>
      <c r="O1248" s="35" t="str">
        <f aca="false">IF(OR($A1248="",$C1248="U",$S1248&lt;&gt;Calc!$F$2),"",SUMIFS($I$3:$I$3002,$E$3:$E$3002,$E1248,$C$3:$C$3002,"&lt;&gt;U",$S$3:$S$3002,Calc!$F$2))</f>
        <v/>
      </c>
      <c r="P1248" s="35" t="str">
        <f aca="false">IF(OR($A1248="",$C1248="U",$S1248&lt;&gt;Calc!$F$2),"",SUMIFS($N$3:$N$3002,$E$3:$E$3002,$E1248,$C$3:$C$3002,"&lt;&gt;U",$S$3:$S$3002,Calc!$F$2))</f>
        <v/>
      </c>
      <c r="Q1248" s="35" t="str">
        <f aca="false">IF(OR($A1248="",$C1248="U",$S1248&lt;&gt;Calc!$F$2),"",IF(COUNTIFS($E$3:$E1248,$E1248,$C$3:$C1248,"&lt;&gt;U",$S$3:$S1248,Calc!$F$2)=1,1,0))</f>
        <v/>
      </c>
      <c r="R1248" s="35" t="str">
        <f aca="false">IF($Q1248=1,$O1248-ROW()/100000,"")</f>
        <v/>
      </c>
      <c r="S1248" s="37" t="str">
        <f aca="false">IF($A1248="","",INT($A1248))</f>
        <v/>
      </c>
      <c r="T1248" s="35" t="str">
        <f aca="false">IF($A1248="","",IF(COUNTIFS($S$3:$S1248,$S1248)=1,1,0))</f>
        <v/>
      </c>
      <c r="U1248" s="37" t="str">
        <f aca="false">IF($T1248=1,$S1248,"")</f>
        <v/>
      </c>
    </row>
    <row r="1249" customFormat="false" ht="15" hidden="false" customHeight="false" outlineLevel="0" collapsed="false">
      <c r="M1249" s="35" t="str">
        <f aca="false">IF($A1249="","",HOUR($A1249))</f>
        <v/>
      </c>
      <c r="N1249" s="36" t="str">
        <f aca="false">IF($A1249="","",$I1249*$K1249)</f>
        <v/>
      </c>
      <c r="O1249" s="35" t="str">
        <f aca="false">IF(OR($A1249="",$C1249="U",$S1249&lt;&gt;Calc!$F$2),"",SUMIFS($I$3:$I$3002,$E$3:$E$3002,$E1249,$C$3:$C$3002,"&lt;&gt;U",$S$3:$S$3002,Calc!$F$2))</f>
        <v/>
      </c>
      <c r="P1249" s="35" t="str">
        <f aca="false">IF(OR($A1249="",$C1249="U",$S1249&lt;&gt;Calc!$F$2),"",SUMIFS($N$3:$N$3002,$E$3:$E$3002,$E1249,$C$3:$C$3002,"&lt;&gt;U",$S$3:$S$3002,Calc!$F$2))</f>
        <v/>
      </c>
      <c r="Q1249" s="35" t="str">
        <f aca="false">IF(OR($A1249="",$C1249="U",$S1249&lt;&gt;Calc!$F$2),"",IF(COUNTIFS($E$3:$E1249,$E1249,$C$3:$C1249,"&lt;&gt;U",$S$3:$S1249,Calc!$F$2)=1,1,0))</f>
        <v/>
      </c>
      <c r="R1249" s="35" t="str">
        <f aca="false">IF($Q1249=1,$O1249-ROW()/100000,"")</f>
        <v/>
      </c>
      <c r="S1249" s="37" t="str">
        <f aca="false">IF($A1249="","",INT($A1249))</f>
        <v/>
      </c>
      <c r="T1249" s="35" t="str">
        <f aca="false">IF($A1249="","",IF(COUNTIFS($S$3:$S1249,$S1249)=1,1,0))</f>
        <v/>
      </c>
      <c r="U1249" s="37" t="str">
        <f aca="false">IF($T1249=1,$S1249,"")</f>
        <v/>
      </c>
    </row>
    <row r="1250" customFormat="false" ht="15" hidden="false" customHeight="false" outlineLevel="0" collapsed="false">
      <c r="M1250" s="35" t="str">
        <f aca="false">IF($A1250="","",HOUR($A1250))</f>
        <v/>
      </c>
      <c r="N1250" s="36" t="str">
        <f aca="false">IF($A1250="","",$I1250*$K1250)</f>
        <v/>
      </c>
      <c r="O1250" s="35" t="str">
        <f aca="false">IF(OR($A1250="",$C1250="U",$S1250&lt;&gt;Calc!$F$2),"",SUMIFS($I$3:$I$3002,$E$3:$E$3002,$E1250,$C$3:$C$3002,"&lt;&gt;U",$S$3:$S$3002,Calc!$F$2))</f>
        <v/>
      </c>
      <c r="P1250" s="35" t="str">
        <f aca="false">IF(OR($A1250="",$C1250="U",$S1250&lt;&gt;Calc!$F$2),"",SUMIFS($N$3:$N$3002,$E$3:$E$3002,$E1250,$C$3:$C$3002,"&lt;&gt;U",$S$3:$S$3002,Calc!$F$2))</f>
        <v/>
      </c>
      <c r="Q1250" s="35" t="str">
        <f aca="false">IF(OR($A1250="",$C1250="U",$S1250&lt;&gt;Calc!$F$2),"",IF(COUNTIFS($E$3:$E1250,$E1250,$C$3:$C1250,"&lt;&gt;U",$S$3:$S1250,Calc!$F$2)=1,1,0))</f>
        <v/>
      </c>
      <c r="R1250" s="35" t="str">
        <f aca="false">IF($Q1250=1,$O1250-ROW()/100000,"")</f>
        <v/>
      </c>
      <c r="S1250" s="37" t="str">
        <f aca="false">IF($A1250="","",INT($A1250))</f>
        <v/>
      </c>
      <c r="T1250" s="35" t="str">
        <f aca="false">IF($A1250="","",IF(COUNTIFS($S$3:$S1250,$S1250)=1,1,0))</f>
        <v/>
      </c>
      <c r="U1250" s="37" t="str">
        <f aca="false">IF($T1250=1,$S1250,"")</f>
        <v/>
      </c>
    </row>
    <row r="1251" customFormat="false" ht="15" hidden="false" customHeight="false" outlineLevel="0" collapsed="false">
      <c r="M1251" s="35" t="str">
        <f aca="false">IF($A1251="","",HOUR($A1251))</f>
        <v/>
      </c>
      <c r="N1251" s="36" t="str">
        <f aca="false">IF($A1251="","",$I1251*$K1251)</f>
        <v/>
      </c>
      <c r="O1251" s="35" t="str">
        <f aca="false">IF(OR($A1251="",$C1251="U",$S1251&lt;&gt;Calc!$F$2),"",SUMIFS($I$3:$I$3002,$E$3:$E$3002,$E1251,$C$3:$C$3002,"&lt;&gt;U",$S$3:$S$3002,Calc!$F$2))</f>
        <v/>
      </c>
      <c r="P1251" s="35" t="str">
        <f aca="false">IF(OR($A1251="",$C1251="U",$S1251&lt;&gt;Calc!$F$2),"",SUMIFS($N$3:$N$3002,$E$3:$E$3002,$E1251,$C$3:$C$3002,"&lt;&gt;U",$S$3:$S$3002,Calc!$F$2))</f>
        <v/>
      </c>
      <c r="Q1251" s="35" t="str">
        <f aca="false">IF(OR($A1251="",$C1251="U",$S1251&lt;&gt;Calc!$F$2),"",IF(COUNTIFS($E$3:$E1251,$E1251,$C$3:$C1251,"&lt;&gt;U",$S$3:$S1251,Calc!$F$2)=1,1,0))</f>
        <v/>
      </c>
      <c r="R1251" s="35" t="str">
        <f aca="false">IF($Q1251=1,$O1251-ROW()/100000,"")</f>
        <v/>
      </c>
      <c r="S1251" s="37" t="str">
        <f aca="false">IF($A1251="","",INT($A1251))</f>
        <v/>
      </c>
      <c r="T1251" s="35" t="str">
        <f aca="false">IF($A1251="","",IF(COUNTIFS($S$3:$S1251,$S1251)=1,1,0))</f>
        <v/>
      </c>
      <c r="U1251" s="37" t="str">
        <f aca="false">IF($T1251=1,$S1251,"")</f>
        <v/>
      </c>
    </row>
    <row r="1252" customFormat="false" ht="15" hidden="false" customHeight="false" outlineLevel="0" collapsed="false">
      <c r="M1252" s="35" t="str">
        <f aca="false">IF($A1252="","",HOUR($A1252))</f>
        <v/>
      </c>
      <c r="N1252" s="36" t="str">
        <f aca="false">IF($A1252="","",$I1252*$K1252)</f>
        <v/>
      </c>
      <c r="O1252" s="35" t="str">
        <f aca="false">IF(OR($A1252="",$C1252="U",$S1252&lt;&gt;Calc!$F$2),"",SUMIFS($I$3:$I$3002,$E$3:$E$3002,$E1252,$C$3:$C$3002,"&lt;&gt;U",$S$3:$S$3002,Calc!$F$2))</f>
        <v/>
      </c>
      <c r="P1252" s="35" t="str">
        <f aca="false">IF(OR($A1252="",$C1252="U",$S1252&lt;&gt;Calc!$F$2),"",SUMIFS($N$3:$N$3002,$E$3:$E$3002,$E1252,$C$3:$C$3002,"&lt;&gt;U",$S$3:$S$3002,Calc!$F$2))</f>
        <v/>
      </c>
      <c r="Q1252" s="35" t="str">
        <f aca="false">IF(OR($A1252="",$C1252="U",$S1252&lt;&gt;Calc!$F$2),"",IF(COUNTIFS($E$3:$E1252,$E1252,$C$3:$C1252,"&lt;&gt;U",$S$3:$S1252,Calc!$F$2)=1,1,0))</f>
        <v/>
      </c>
      <c r="R1252" s="35" t="str">
        <f aca="false">IF($Q1252=1,$O1252-ROW()/100000,"")</f>
        <v/>
      </c>
      <c r="S1252" s="37" t="str">
        <f aca="false">IF($A1252="","",INT($A1252))</f>
        <v/>
      </c>
      <c r="T1252" s="35" t="str">
        <f aca="false">IF($A1252="","",IF(COUNTIFS($S$3:$S1252,$S1252)=1,1,0))</f>
        <v/>
      </c>
      <c r="U1252" s="37" t="str">
        <f aca="false">IF($T1252=1,$S1252,"")</f>
        <v/>
      </c>
    </row>
    <row r="1253" customFormat="false" ht="15" hidden="false" customHeight="false" outlineLevel="0" collapsed="false">
      <c r="M1253" s="35" t="str">
        <f aca="false">IF($A1253="","",HOUR($A1253))</f>
        <v/>
      </c>
      <c r="N1253" s="36" t="str">
        <f aca="false">IF($A1253="","",$I1253*$K1253)</f>
        <v/>
      </c>
      <c r="O1253" s="35" t="str">
        <f aca="false">IF(OR($A1253="",$C1253="U",$S1253&lt;&gt;Calc!$F$2),"",SUMIFS($I$3:$I$3002,$E$3:$E$3002,$E1253,$C$3:$C$3002,"&lt;&gt;U",$S$3:$S$3002,Calc!$F$2))</f>
        <v/>
      </c>
      <c r="P1253" s="35" t="str">
        <f aca="false">IF(OR($A1253="",$C1253="U",$S1253&lt;&gt;Calc!$F$2),"",SUMIFS($N$3:$N$3002,$E$3:$E$3002,$E1253,$C$3:$C$3002,"&lt;&gt;U",$S$3:$S$3002,Calc!$F$2))</f>
        <v/>
      </c>
      <c r="Q1253" s="35" t="str">
        <f aca="false">IF(OR($A1253="",$C1253="U",$S1253&lt;&gt;Calc!$F$2),"",IF(COUNTIFS($E$3:$E1253,$E1253,$C$3:$C1253,"&lt;&gt;U",$S$3:$S1253,Calc!$F$2)=1,1,0))</f>
        <v/>
      </c>
      <c r="R1253" s="35" t="str">
        <f aca="false">IF($Q1253=1,$O1253-ROW()/100000,"")</f>
        <v/>
      </c>
      <c r="S1253" s="37" t="str">
        <f aca="false">IF($A1253="","",INT($A1253))</f>
        <v/>
      </c>
      <c r="T1253" s="35" t="str">
        <f aca="false">IF($A1253="","",IF(COUNTIFS($S$3:$S1253,$S1253)=1,1,0))</f>
        <v/>
      </c>
      <c r="U1253" s="37" t="str">
        <f aca="false">IF($T1253=1,$S1253,"")</f>
        <v/>
      </c>
    </row>
    <row r="1254" customFormat="false" ht="15" hidden="false" customHeight="false" outlineLevel="0" collapsed="false">
      <c r="M1254" s="35" t="str">
        <f aca="false">IF($A1254="","",HOUR($A1254))</f>
        <v/>
      </c>
      <c r="N1254" s="36" t="str">
        <f aca="false">IF($A1254="","",$I1254*$K1254)</f>
        <v/>
      </c>
      <c r="O1254" s="35" t="str">
        <f aca="false">IF(OR($A1254="",$C1254="U",$S1254&lt;&gt;Calc!$F$2),"",SUMIFS($I$3:$I$3002,$E$3:$E$3002,$E1254,$C$3:$C$3002,"&lt;&gt;U",$S$3:$S$3002,Calc!$F$2))</f>
        <v/>
      </c>
      <c r="P1254" s="35" t="str">
        <f aca="false">IF(OR($A1254="",$C1254="U",$S1254&lt;&gt;Calc!$F$2),"",SUMIFS($N$3:$N$3002,$E$3:$E$3002,$E1254,$C$3:$C$3002,"&lt;&gt;U",$S$3:$S$3002,Calc!$F$2))</f>
        <v/>
      </c>
      <c r="Q1254" s="35" t="str">
        <f aca="false">IF(OR($A1254="",$C1254="U",$S1254&lt;&gt;Calc!$F$2),"",IF(COUNTIFS($E$3:$E1254,$E1254,$C$3:$C1254,"&lt;&gt;U",$S$3:$S1254,Calc!$F$2)=1,1,0))</f>
        <v/>
      </c>
      <c r="R1254" s="35" t="str">
        <f aca="false">IF($Q1254=1,$O1254-ROW()/100000,"")</f>
        <v/>
      </c>
      <c r="S1254" s="37" t="str">
        <f aca="false">IF($A1254="","",INT($A1254))</f>
        <v/>
      </c>
      <c r="T1254" s="35" t="str">
        <f aca="false">IF($A1254="","",IF(COUNTIFS($S$3:$S1254,$S1254)=1,1,0))</f>
        <v/>
      </c>
      <c r="U1254" s="37" t="str">
        <f aca="false">IF($T1254=1,$S1254,"")</f>
        <v/>
      </c>
    </row>
    <row r="1255" customFormat="false" ht="15" hidden="false" customHeight="false" outlineLevel="0" collapsed="false">
      <c r="M1255" s="35" t="str">
        <f aca="false">IF($A1255="","",HOUR($A1255))</f>
        <v/>
      </c>
      <c r="N1255" s="36" t="str">
        <f aca="false">IF($A1255="","",$I1255*$K1255)</f>
        <v/>
      </c>
      <c r="O1255" s="35" t="str">
        <f aca="false">IF(OR($A1255="",$C1255="U",$S1255&lt;&gt;Calc!$F$2),"",SUMIFS($I$3:$I$3002,$E$3:$E$3002,$E1255,$C$3:$C$3002,"&lt;&gt;U",$S$3:$S$3002,Calc!$F$2))</f>
        <v/>
      </c>
      <c r="P1255" s="35" t="str">
        <f aca="false">IF(OR($A1255="",$C1255="U",$S1255&lt;&gt;Calc!$F$2),"",SUMIFS($N$3:$N$3002,$E$3:$E$3002,$E1255,$C$3:$C$3002,"&lt;&gt;U",$S$3:$S$3002,Calc!$F$2))</f>
        <v/>
      </c>
      <c r="Q1255" s="35" t="str">
        <f aca="false">IF(OR($A1255="",$C1255="U",$S1255&lt;&gt;Calc!$F$2),"",IF(COUNTIFS($E$3:$E1255,$E1255,$C$3:$C1255,"&lt;&gt;U",$S$3:$S1255,Calc!$F$2)=1,1,0))</f>
        <v/>
      </c>
      <c r="R1255" s="35" t="str">
        <f aca="false">IF($Q1255=1,$O1255-ROW()/100000,"")</f>
        <v/>
      </c>
      <c r="S1255" s="37" t="str">
        <f aca="false">IF($A1255="","",INT($A1255))</f>
        <v/>
      </c>
      <c r="T1255" s="35" t="str">
        <f aca="false">IF($A1255="","",IF(COUNTIFS($S$3:$S1255,$S1255)=1,1,0))</f>
        <v/>
      </c>
      <c r="U1255" s="37" t="str">
        <f aca="false">IF($T1255=1,$S1255,"")</f>
        <v/>
      </c>
    </row>
    <row r="1256" customFormat="false" ht="15" hidden="false" customHeight="false" outlineLevel="0" collapsed="false">
      <c r="M1256" s="35" t="str">
        <f aca="false">IF($A1256="","",HOUR($A1256))</f>
        <v/>
      </c>
      <c r="N1256" s="36" t="str">
        <f aca="false">IF($A1256="","",$I1256*$K1256)</f>
        <v/>
      </c>
      <c r="O1256" s="35" t="str">
        <f aca="false">IF(OR($A1256="",$C1256="U",$S1256&lt;&gt;Calc!$F$2),"",SUMIFS($I$3:$I$3002,$E$3:$E$3002,$E1256,$C$3:$C$3002,"&lt;&gt;U",$S$3:$S$3002,Calc!$F$2))</f>
        <v/>
      </c>
      <c r="P1256" s="35" t="str">
        <f aca="false">IF(OR($A1256="",$C1256="U",$S1256&lt;&gt;Calc!$F$2),"",SUMIFS($N$3:$N$3002,$E$3:$E$3002,$E1256,$C$3:$C$3002,"&lt;&gt;U",$S$3:$S$3002,Calc!$F$2))</f>
        <v/>
      </c>
      <c r="Q1256" s="35" t="str">
        <f aca="false">IF(OR($A1256="",$C1256="U",$S1256&lt;&gt;Calc!$F$2),"",IF(COUNTIFS($E$3:$E1256,$E1256,$C$3:$C1256,"&lt;&gt;U",$S$3:$S1256,Calc!$F$2)=1,1,0))</f>
        <v/>
      </c>
      <c r="R1256" s="35" t="str">
        <f aca="false">IF($Q1256=1,$O1256-ROW()/100000,"")</f>
        <v/>
      </c>
      <c r="S1256" s="37" t="str">
        <f aca="false">IF($A1256="","",INT($A1256))</f>
        <v/>
      </c>
      <c r="T1256" s="35" t="str">
        <f aca="false">IF($A1256="","",IF(COUNTIFS($S$3:$S1256,$S1256)=1,1,0))</f>
        <v/>
      </c>
      <c r="U1256" s="37" t="str">
        <f aca="false">IF($T1256=1,$S1256,"")</f>
        <v/>
      </c>
    </row>
    <row r="1257" customFormat="false" ht="15" hidden="false" customHeight="false" outlineLevel="0" collapsed="false">
      <c r="M1257" s="35" t="str">
        <f aca="false">IF($A1257="","",HOUR($A1257))</f>
        <v/>
      </c>
      <c r="N1257" s="36" t="str">
        <f aca="false">IF($A1257="","",$I1257*$K1257)</f>
        <v/>
      </c>
      <c r="O1257" s="35" t="str">
        <f aca="false">IF(OR($A1257="",$C1257="U",$S1257&lt;&gt;Calc!$F$2),"",SUMIFS($I$3:$I$3002,$E$3:$E$3002,$E1257,$C$3:$C$3002,"&lt;&gt;U",$S$3:$S$3002,Calc!$F$2))</f>
        <v/>
      </c>
      <c r="P1257" s="35" t="str">
        <f aca="false">IF(OR($A1257="",$C1257="U",$S1257&lt;&gt;Calc!$F$2),"",SUMIFS($N$3:$N$3002,$E$3:$E$3002,$E1257,$C$3:$C$3002,"&lt;&gt;U",$S$3:$S$3002,Calc!$F$2))</f>
        <v/>
      </c>
      <c r="Q1257" s="35" t="str">
        <f aca="false">IF(OR($A1257="",$C1257="U",$S1257&lt;&gt;Calc!$F$2),"",IF(COUNTIFS($E$3:$E1257,$E1257,$C$3:$C1257,"&lt;&gt;U",$S$3:$S1257,Calc!$F$2)=1,1,0))</f>
        <v/>
      </c>
      <c r="R1257" s="35" t="str">
        <f aca="false">IF($Q1257=1,$O1257-ROW()/100000,"")</f>
        <v/>
      </c>
      <c r="S1257" s="37" t="str">
        <f aca="false">IF($A1257="","",INT($A1257))</f>
        <v/>
      </c>
      <c r="T1257" s="35" t="str">
        <f aca="false">IF($A1257="","",IF(COUNTIFS($S$3:$S1257,$S1257)=1,1,0))</f>
        <v/>
      </c>
      <c r="U1257" s="37" t="str">
        <f aca="false">IF($T1257=1,$S1257,"")</f>
        <v/>
      </c>
    </row>
    <row r="1258" customFormat="false" ht="15" hidden="false" customHeight="false" outlineLevel="0" collapsed="false">
      <c r="M1258" s="35" t="str">
        <f aca="false">IF($A1258="","",HOUR($A1258))</f>
        <v/>
      </c>
      <c r="N1258" s="36" t="str">
        <f aca="false">IF($A1258="","",$I1258*$K1258)</f>
        <v/>
      </c>
      <c r="O1258" s="35" t="str">
        <f aca="false">IF(OR($A1258="",$C1258="U",$S1258&lt;&gt;Calc!$F$2),"",SUMIFS($I$3:$I$3002,$E$3:$E$3002,$E1258,$C$3:$C$3002,"&lt;&gt;U",$S$3:$S$3002,Calc!$F$2))</f>
        <v/>
      </c>
      <c r="P1258" s="35" t="str">
        <f aca="false">IF(OR($A1258="",$C1258="U",$S1258&lt;&gt;Calc!$F$2),"",SUMIFS($N$3:$N$3002,$E$3:$E$3002,$E1258,$C$3:$C$3002,"&lt;&gt;U",$S$3:$S$3002,Calc!$F$2))</f>
        <v/>
      </c>
      <c r="Q1258" s="35" t="str">
        <f aca="false">IF(OR($A1258="",$C1258="U",$S1258&lt;&gt;Calc!$F$2),"",IF(COUNTIFS($E$3:$E1258,$E1258,$C$3:$C1258,"&lt;&gt;U",$S$3:$S1258,Calc!$F$2)=1,1,0))</f>
        <v/>
      </c>
      <c r="R1258" s="35" t="str">
        <f aca="false">IF($Q1258=1,$O1258-ROW()/100000,"")</f>
        <v/>
      </c>
      <c r="S1258" s="37" t="str">
        <f aca="false">IF($A1258="","",INT($A1258))</f>
        <v/>
      </c>
      <c r="T1258" s="35" t="str">
        <f aca="false">IF($A1258="","",IF(COUNTIFS($S$3:$S1258,$S1258)=1,1,0))</f>
        <v/>
      </c>
      <c r="U1258" s="37" t="str">
        <f aca="false">IF($T1258=1,$S1258,"")</f>
        <v/>
      </c>
    </row>
    <row r="1259" customFormat="false" ht="15" hidden="false" customHeight="false" outlineLevel="0" collapsed="false">
      <c r="M1259" s="35" t="str">
        <f aca="false">IF($A1259="","",HOUR($A1259))</f>
        <v/>
      </c>
      <c r="N1259" s="36" t="str">
        <f aca="false">IF($A1259="","",$I1259*$K1259)</f>
        <v/>
      </c>
      <c r="O1259" s="35" t="str">
        <f aca="false">IF(OR($A1259="",$C1259="U",$S1259&lt;&gt;Calc!$F$2),"",SUMIFS($I$3:$I$3002,$E$3:$E$3002,$E1259,$C$3:$C$3002,"&lt;&gt;U",$S$3:$S$3002,Calc!$F$2))</f>
        <v/>
      </c>
      <c r="P1259" s="35" t="str">
        <f aca="false">IF(OR($A1259="",$C1259="U",$S1259&lt;&gt;Calc!$F$2),"",SUMIFS($N$3:$N$3002,$E$3:$E$3002,$E1259,$C$3:$C$3002,"&lt;&gt;U",$S$3:$S$3002,Calc!$F$2))</f>
        <v/>
      </c>
      <c r="Q1259" s="35" t="str">
        <f aca="false">IF(OR($A1259="",$C1259="U",$S1259&lt;&gt;Calc!$F$2),"",IF(COUNTIFS($E$3:$E1259,$E1259,$C$3:$C1259,"&lt;&gt;U",$S$3:$S1259,Calc!$F$2)=1,1,0))</f>
        <v/>
      </c>
      <c r="R1259" s="35" t="str">
        <f aca="false">IF($Q1259=1,$O1259-ROW()/100000,"")</f>
        <v/>
      </c>
      <c r="S1259" s="37" t="str">
        <f aca="false">IF($A1259="","",INT($A1259))</f>
        <v/>
      </c>
      <c r="T1259" s="35" t="str">
        <f aca="false">IF($A1259="","",IF(COUNTIFS($S$3:$S1259,$S1259)=1,1,0))</f>
        <v/>
      </c>
      <c r="U1259" s="37" t="str">
        <f aca="false">IF($T1259=1,$S1259,"")</f>
        <v/>
      </c>
    </row>
    <row r="1260" customFormat="false" ht="15" hidden="false" customHeight="false" outlineLevel="0" collapsed="false">
      <c r="M1260" s="35" t="str">
        <f aca="false">IF($A1260="","",HOUR($A1260))</f>
        <v/>
      </c>
      <c r="N1260" s="36" t="str">
        <f aca="false">IF($A1260="","",$I1260*$K1260)</f>
        <v/>
      </c>
      <c r="O1260" s="35" t="str">
        <f aca="false">IF(OR($A1260="",$C1260="U",$S1260&lt;&gt;Calc!$F$2),"",SUMIFS($I$3:$I$3002,$E$3:$E$3002,$E1260,$C$3:$C$3002,"&lt;&gt;U",$S$3:$S$3002,Calc!$F$2))</f>
        <v/>
      </c>
      <c r="P1260" s="35" t="str">
        <f aca="false">IF(OR($A1260="",$C1260="U",$S1260&lt;&gt;Calc!$F$2),"",SUMIFS($N$3:$N$3002,$E$3:$E$3002,$E1260,$C$3:$C$3002,"&lt;&gt;U",$S$3:$S$3002,Calc!$F$2))</f>
        <v/>
      </c>
      <c r="Q1260" s="35" t="str">
        <f aca="false">IF(OR($A1260="",$C1260="U",$S1260&lt;&gt;Calc!$F$2),"",IF(COUNTIFS($E$3:$E1260,$E1260,$C$3:$C1260,"&lt;&gt;U",$S$3:$S1260,Calc!$F$2)=1,1,0))</f>
        <v/>
      </c>
      <c r="R1260" s="35" t="str">
        <f aca="false">IF($Q1260=1,$O1260-ROW()/100000,"")</f>
        <v/>
      </c>
      <c r="S1260" s="37" t="str">
        <f aca="false">IF($A1260="","",INT($A1260))</f>
        <v/>
      </c>
      <c r="T1260" s="35" t="str">
        <f aca="false">IF($A1260="","",IF(COUNTIFS($S$3:$S1260,$S1260)=1,1,0))</f>
        <v/>
      </c>
      <c r="U1260" s="37" t="str">
        <f aca="false">IF($T1260=1,$S1260,"")</f>
        <v/>
      </c>
    </row>
    <row r="1261" customFormat="false" ht="15" hidden="false" customHeight="false" outlineLevel="0" collapsed="false">
      <c r="M1261" s="35" t="str">
        <f aca="false">IF($A1261="","",HOUR($A1261))</f>
        <v/>
      </c>
      <c r="N1261" s="36" t="str">
        <f aca="false">IF($A1261="","",$I1261*$K1261)</f>
        <v/>
      </c>
      <c r="O1261" s="35" t="str">
        <f aca="false">IF(OR($A1261="",$C1261="U",$S1261&lt;&gt;Calc!$F$2),"",SUMIFS($I$3:$I$3002,$E$3:$E$3002,$E1261,$C$3:$C$3002,"&lt;&gt;U",$S$3:$S$3002,Calc!$F$2))</f>
        <v/>
      </c>
      <c r="P1261" s="35" t="str">
        <f aca="false">IF(OR($A1261="",$C1261="U",$S1261&lt;&gt;Calc!$F$2),"",SUMIFS($N$3:$N$3002,$E$3:$E$3002,$E1261,$C$3:$C$3002,"&lt;&gt;U",$S$3:$S$3002,Calc!$F$2))</f>
        <v/>
      </c>
      <c r="Q1261" s="35" t="str">
        <f aca="false">IF(OR($A1261="",$C1261="U",$S1261&lt;&gt;Calc!$F$2),"",IF(COUNTIFS($E$3:$E1261,$E1261,$C$3:$C1261,"&lt;&gt;U",$S$3:$S1261,Calc!$F$2)=1,1,0))</f>
        <v/>
      </c>
      <c r="R1261" s="35" t="str">
        <f aca="false">IF($Q1261=1,$O1261-ROW()/100000,"")</f>
        <v/>
      </c>
      <c r="S1261" s="37" t="str">
        <f aca="false">IF($A1261="","",INT($A1261))</f>
        <v/>
      </c>
      <c r="T1261" s="35" t="str">
        <f aca="false">IF($A1261="","",IF(COUNTIFS($S$3:$S1261,$S1261)=1,1,0))</f>
        <v/>
      </c>
      <c r="U1261" s="37" t="str">
        <f aca="false">IF($T1261=1,$S1261,"")</f>
        <v/>
      </c>
    </row>
    <row r="1262" customFormat="false" ht="15" hidden="false" customHeight="false" outlineLevel="0" collapsed="false">
      <c r="M1262" s="35" t="str">
        <f aca="false">IF($A1262="","",HOUR($A1262))</f>
        <v/>
      </c>
      <c r="N1262" s="36" t="str">
        <f aca="false">IF($A1262="","",$I1262*$K1262)</f>
        <v/>
      </c>
      <c r="O1262" s="35" t="str">
        <f aca="false">IF(OR($A1262="",$C1262="U",$S1262&lt;&gt;Calc!$F$2),"",SUMIFS($I$3:$I$3002,$E$3:$E$3002,$E1262,$C$3:$C$3002,"&lt;&gt;U",$S$3:$S$3002,Calc!$F$2))</f>
        <v/>
      </c>
      <c r="P1262" s="35" t="str">
        <f aca="false">IF(OR($A1262="",$C1262="U",$S1262&lt;&gt;Calc!$F$2),"",SUMIFS($N$3:$N$3002,$E$3:$E$3002,$E1262,$C$3:$C$3002,"&lt;&gt;U",$S$3:$S$3002,Calc!$F$2))</f>
        <v/>
      </c>
      <c r="Q1262" s="35" t="str">
        <f aca="false">IF(OR($A1262="",$C1262="U",$S1262&lt;&gt;Calc!$F$2),"",IF(COUNTIFS($E$3:$E1262,$E1262,$C$3:$C1262,"&lt;&gt;U",$S$3:$S1262,Calc!$F$2)=1,1,0))</f>
        <v/>
      </c>
      <c r="R1262" s="35" t="str">
        <f aca="false">IF($Q1262=1,$O1262-ROW()/100000,"")</f>
        <v/>
      </c>
      <c r="S1262" s="37" t="str">
        <f aca="false">IF($A1262="","",INT($A1262))</f>
        <v/>
      </c>
      <c r="T1262" s="35" t="str">
        <f aca="false">IF($A1262="","",IF(COUNTIFS($S$3:$S1262,$S1262)=1,1,0))</f>
        <v/>
      </c>
      <c r="U1262" s="37" t="str">
        <f aca="false">IF($T1262=1,$S1262,"")</f>
        <v/>
      </c>
    </row>
    <row r="1263" customFormat="false" ht="15" hidden="false" customHeight="false" outlineLevel="0" collapsed="false">
      <c r="M1263" s="35" t="str">
        <f aca="false">IF($A1263="","",HOUR($A1263))</f>
        <v/>
      </c>
      <c r="N1263" s="36" t="str">
        <f aca="false">IF($A1263="","",$I1263*$K1263)</f>
        <v/>
      </c>
      <c r="O1263" s="35" t="str">
        <f aca="false">IF(OR($A1263="",$C1263="U",$S1263&lt;&gt;Calc!$F$2),"",SUMIFS($I$3:$I$3002,$E$3:$E$3002,$E1263,$C$3:$C$3002,"&lt;&gt;U",$S$3:$S$3002,Calc!$F$2))</f>
        <v/>
      </c>
      <c r="P1263" s="35" t="str">
        <f aca="false">IF(OR($A1263="",$C1263="U",$S1263&lt;&gt;Calc!$F$2),"",SUMIFS($N$3:$N$3002,$E$3:$E$3002,$E1263,$C$3:$C$3002,"&lt;&gt;U",$S$3:$S$3002,Calc!$F$2))</f>
        <v/>
      </c>
      <c r="Q1263" s="35" t="str">
        <f aca="false">IF(OR($A1263="",$C1263="U",$S1263&lt;&gt;Calc!$F$2),"",IF(COUNTIFS($E$3:$E1263,$E1263,$C$3:$C1263,"&lt;&gt;U",$S$3:$S1263,Calc!$F$2)=1,1,0))</f>
        <v/>
      </c>
      <c r="R1263" s="35" t="str">
        <f aca="false">IF($Q1263=1,$O1263-ROW()/100000,"")</f>
        <v/>
      </c>
      <c r="S1263" s="37" t="str">
        <f aca="false">IF($A1263="","",INT($A1263))</f>
        <v/>
      </c>
      <c r="T1263" s="35" t="str">
        <f aca="false">IF($A1263="","",IF(COUNTIFS($S$3:$S1263,$S1263)=1,1,0))</f>
        <v/>
      </c>
      <c r="U1263" s="37" t="str">
        <f aca="false">IF($T1263=1,$S1263,"")</f>
        <v/>
      </c>
    </row>
    <row r="1264" customFormat="false" ht="15" hidden="false" customHeight="false" outlineLevel="0" collapsed="false">
      <c r="M1264" s="35" t="str">
        <f aca="false">IF($A1264="","",HOUR($A1264))</f>
        <v/>
      </c>
      <c r="N1264" s="36" t="str">
        <f aca="false">IF($A1264="","",$I1264*$K1264)</f>
        <v/>
      </c>
      <c r="O1264" s="35" t="str">
        <f aca="false">IF(OR($A1264="",$C1264="U",$S1264&lt;&gt;Calc!$F$2),"",SUMIFS($I$3:$I$3002,$E$3:$E$3002,$E1264,$C$3:$C$3002,"&lt;&gt;U",$S$3:$S$3002,Calc!$F$2))</f>
        <v/>
      </c>
      <c r="P1264" s="35" t="str">
        <f aca="false">IF(OR($A1264="",$C1264="U",$S1264&lt;&gt;Calc!$F$2),"",SUMIFS($N$3:$N$3002,$E$3:$E$3002,$E1264,$C$3:$C$3002,"&lt;&gt;U",$S$3:$S$3002,Calc!$F$2))</f>
        <v/>
      </c>
      <c r="Q1264" s="35" t="str">
        <f aca="false">IF(OR($A1264="",$C1264="U",$S1264&lt;&gt;Calc!$F$2),"",IF(COUNTIFS($E$3:$E1264,$E1264,$C$3:$C1264,"&lt;&gt;U",$S$3:$S1264,Calc!$F$2)=1,1,0))</f>
        <v/>
      </c>
      <c r="R1264" s="35" t="str">
        <f aca="false">IF($Q1264=1,$O1264-ROW()/100000,"")</f>
        <v/>
      </c>
      <c r="S1264" s="37" t="str">
        <f aca="false">IF($A1264="","",INT($A1264))</f>
        <v/>
      </c>
      <c r="T1264" s="35" t="str">
        <f aca="false">IF($A1264="","",IF(COUNTIFS($S$3:$S1264,$S1264)=1,1,0))</f>
        <v/>
      </c>
      <c r="U1264" s="37" t="str">
        <f aca="false">IF($T1264=1,$S1264,"")</f>
        <v/>
      </c>
    </row>
    <row r="1265" customFormat="false" ht="15" hidden="false" customHeight="false" outlineLevel="0" collapsed="false">
      <c r="M1265" s="35" t="str">
        <f aca="false">IF($A1265="","",HOUR($A1265))</f>
        <v/>
      </c>
      <c r="N1265" s="36" t="str">
        <f aca="false">IF($A1265="","",$I1265*$K1265)</f>
        <v/>
      </c>
      <c r="O1265" s="35" t="str">
        <f aca="false">IF(OR($A1265="",$C1265="U",$S1265&lt;&gt;Calc!$F$2),"",SUMIFS($I$3:$I$3002,$E$3:$E$3002,$E1265,$C$3:$C$3002,"&lt;&gt;U",$S$3:$S$3002,Calc!$F$2))</f>
        <v/>
      </c>
      <c r="P1265" s="35" t="str">
        <f aca="false">IF(OR($A1265="",$C1265="U",$S1265&lt;&gt;Calc!$F$2),"",SUMIFS($N$3:$N$3002,$E$3:$E$3002,$E1265,$C$3:$C$3002,"&lt;&gt;U",$S$3:$S$3002,Calc!$F$2))</f>
        <v/>
      </c>
      <c r="Q1265" s="35" t="str">
        <f aca="false">IF(OR($A1265="",$C1265="U",$S1265&lt;&gt;Calc!$F$2),"",IF(COUNTIFS($E$3:$E1265,$E1265,$C$3:$C1265,"&lt;&gt;U",$S$3:$S1265,Calc!$F$2)=1,1,0))</f>
        <v/>
      </c>
      <c r="R1265" s="35" t="str">
        <f aca="false">IF($Q1265=1,$O1265-ROW()/100000,"")</f>
        <v/>
      </c>
      <c r="S1265" s="37" t="str">
        <f aca="false">IF($A1265="","",INT($A1265))</f>
        <v/>
      </c>
      <c r="T1265" s="35" t="str">
        <f aca="false">IF($A1265="","",IF(COUNTIFS($S$3:$S1265,$S1265)=1,1,0))</f>
        <v/>
      </c>
      <c r="U1265" s="37" t="str">
        <f aca="false">IF($T1265=1,$S1265,"")</f>
        <v/>
      </c>
    </row>
    <row r="1266" customFormat="false" ht="15" hidden="false" customHeight="false" outlineLevel="0" collapsed="false">
      <c r="M1266" s="35" t="str">
        <f aca="false">IF($A1266="","",HOUR($A1266))</f>
        <v/>
      </c>
      <c r="N1266" s="36" t="str">
        <f aca="false">IF($A1266="","",$I1266*$K1266)</f>
        <v/>
      </c>
      <c r="O1266" s="35" t="str">
        <f aca="false">IF(OR($A1266="",$C1266="U",$S1266&lt;&gt;Calc!$F$2),"",SUMIFS($I$3:$I$3002,$E$3:$E$3002,$E1266,$C$3:$C$3002,"&lt;&gt;U",$S$3:$S$3002,Calc!$F$2))</f>
        <v/>
      </c>
      <c r="P1266" s="35" t="str">
        <f aca="false">IF(OR($A1266="",$C1266="U",$S1266&lt;&gt;Calc!$F$2),"",SUMIFS($N$3:$N$3002,$E$3:$E$3002,$E1266,$C$3:$C$3002,"&lt;&gt;U",$S$3:$S$3002,Calc!$F$2))</f>
        <v/>
      </c>
      <c r="Q1266" s="35" t="str">
        <f aca="false">IF(OR($A1266="",$C1266="U",$S1266&lt;&gt;Calc!$F$2),"",IF(COUNTIFS($E$3:$E1266,$E1266,$C$3:$C1266,"&lt;&gt;U",$S$3:$S1266,Calc!$F$2)=1,1,0))</f>
        <v/>
      </c>
      <c r="R1266" s="35" t="str">
        <f aca="false">IF($Q1266=1,$O1266-ROW()/100000,"")</f>
        <v/>
      </c>
      <c r="S1266" s="37" t="str">
        <f aca="false">IF($A1266="","",INT($A1266))</f>
        <v/>
      </c>
      <c r="T1266" s="35" t="str">
        <f aca="false">IF($A1266="","",IF(COUNTIFS($S$3:$S1266,$S1266)=1,1,0))</f>
        <v/>
      </c>
      <c r="U1266" s="37" t="str">
        <f aca="false">IF($T1266=1,$S1266,"")</f>
        <v/>
      </c>
    </row>
    <row r="1267" customFormat="false" ht="15" hidden="false" customHeight="false" outlineLevel="0" collapsed="false">
      <c r="M1267" s="35" t="str">
        <f aca="false">IF($A1267="","",HOUR($A1267))</f>
        <v/>
      </c>
      <c r="N1267" s="36" t="str">
        <f aca="false">IF($A1267="","",$I1267*$K1267)</f>
        <v/>
      </c>
      <c r="O1267" s="35" t="str">
        <f aca="false">IF(OR($A1267="",$C1267="U",$S1267&lt;&gt;Calc!$F$2),"",SUMIFS($I$3:$I$3002,$E$3:$E$3002,$E1267,$C$3:$C$3002,"&lt;&gt;U",$S$3:$S$3002,Calc!$F$2))</f>
        <v/>
      </c>
      <c r="P1267" s="35" t="str">
        <f aca="false">IF(OR($A1267="",$C1267="U",$S1267&lt;&gt;Calc!$F$2),"",SUMIFS($N$3:$N$3002,$E$3:$E$3002,$E1267,$C$3:$C$3002,"&lt;&gt;U",$S$3:$S$3002,Calc!$F$2))</f>
        <v/>
      </c>
      <c r="Q1267" s="35" t="str">
        <f aca="false">IF(OR($A1267="",$C1267="U",$S1267&lt;&gt;Calc!$F$2),"",IF(COUNTIFS($E$3:$E1267,$E1267,$C$3:$C1267,"&lt;&gt;U",$S$3:$S1267,Calc!$F$2)=1,1,0))</f>
        <v/>
      </c>
      <c r="R1267" s="35" t="str">
        <f aca="false">IF($Q1267=1,$O1267-ROW()/100000,"")</f>
        <v/>
      </c>
      <c r="S1267" s="37" t="str">
        <f aca="false">IF($A1267="","",INT($A1267))</f>
        <v/>
      </c>
      <c r="T1267" s="35" t="str">
        <f aca="false">IF($A1267="","",IF(COUNTIFS($S$3:$S1267,$S1267)=1,1,0))</f>
        <v/>
      </c>
      <c r="U1267" s="37" t="str">
        <f aca="false">IF($T1267=1,$S1267,"")</f>
        <v/>
      </c>
    </row>
    <row r="1268" customFormat="false" ht="15" hidden="false" customHeight="false" outlineLevel="0" collapsed="false">
      <c r="M1268" s="35" t="str">
        <f aca="false">IF($A1268="","",HOUR($A1268))</f>
        <v/>
      </c>
      <c r="N1268" s="36" t="str">
        <f aca="false">IF($A1268="","",$I1268*$K1268)</f>
        <v/>
      </c>
      <c r="O1268" s="35" t="str">
        <f aca="false">IF(OR($A1268="",$C1268="U",$S1268&lt;&gt;Calc!$F$2),"",SUMIFS($I$3:$I$3002,$E$3:$E$3002,$E1268,$C$3:$C$3002,"&lt;&gt;U",$S$3:$S$3002,Calc!$F$2))</f>
        <v/>
      </c>
      <c r="P1268" s="35" t="str">
        <f aca="false">IF(OR($A1268="",$C1268="U",$S1268&lt;&gt;Calc!$F$2),"",SUMIFS($N$3:$N$3002,$E$3:$E$3002,$E1268,$C$3:$C$3002,"&lt;&gt;U",$S$3:$S$3002,Calc!$F$2))</f>
        <v/>
      </c>
      <c r="Q1268" s="35" t="str">
        <f aca="false">IF(OR($A1268="",$C1268="U",$S1268&lt;&gt;Calc!$F$2),"",IF(COUNTIFS($E$3:$E1268,$E1268,$C$3:$C1268,"&lt;&gt;U",$S$3:$S1268,Calc!$F$2)=1,1,0))</f>
        <v/>
      </c>
      <c r="R1268" s="35" t="str">
        <f aca="false">IF($Q1268=1,$O1268-ROW()/100000,"")</f>
        <v/>
      </c>
      <c r="S1268" s="37" t="str">
        <f aca="false">IF($A1268="","",INT($A1268))</f>
        <v/>
      </c>
      <c r="T1268" s="35" t="str">
        <f aca="false">IF($A1268="","",IF(COUNTIFS($S$3:$S1268,$S1268)=1,1,0))</f>
        <v/>
      </c>
      <c r="U1268" s="37" t="str">
        <f aca="false">IF($T1268=1,$S1268,"")</f>
        <v/>
      </c>
    </row>
    <row r="1269" customFormat="false" ht="15" hidden="false" customHeight="false" outlineLevel="0" collapsed="false">
      <c r="M1269" s="35" t="str">
        <f aca="false">IF($A1269="","",HOUR($A1269))</f>
        <v/>
      </c>
      <c r="N1269" s="36" t="str">
        <f aca="false">IF($A1269="","",$I1269*$K1269)</f>
        <v/>
      </c>
      <c r="O1269" s="35" t="str">
        <f aca="false">IF(OR($A1269="",$C1269="U",$S1269&lt;&gt;Calc!$F$2),"",SUMIFS($I$3:$I$3002,$E$3:$E$3002,$E1269,$C$3:$C$3002,"&lt;&gt;U",$S$3:$S$3002,Calc!$F$2))</f>
        <v/>
      </c>
      <c r="P1269" s="35" t="str">
        <f aca="false">IF(OR($A1269="",$C1269="U",$S1269&lt;&gt;Calc!$F$2),"",SUMIFS($N$3:$N$3002,$E$3:$E$3002,$E1269,$C$3:$C$3002,"&lt;&gt;U",$S$3:$S$3002,Calc!$F$2))</f>
        <v/>
      </c>
      <c r="Q1269" s="35" t="str">
        <f aca="false">IF(OR($A1269="",$C1269="U",$S1269&lt;&gt;Calc!$F$2),"",IF(COUNTIFS($E$3:$E1269,$E1269,$C$3:$C1269,"&lt;&gt;U",$S$3:$S1269,Calc!$F$2)=1,1,0))</f>
        <v/>
      </c>
      <c r="R1269" s="35" t="str">
        <f aca="false">IF($Q1269=1,$O1269-ROW()/100000,"")</f>
        <v/>
      </c>
      <c r="S1269" s="37" t="str">
        <f aca="false">IF($A1269="","",INT($A1269))</f>
        <v/>
      </c>
      <c r="T1269" s="35" t="str">
        <f aca="false">IF($A1269="","",IF(COUNTIFS($S$3:$S1269,$S1269)=1,1,0))</f>
        <v/>
      </c>
      <c r="U1269" s="37" t="str">
        <f aca="false">IF($T1269=1,$S1269,"")</f>
        <v/>
      </c>
    </row>
    <row r="1270" customFormat="false" ht="15" hidden="false" customHeight="false" outlineLevel="0" collapsed="false">
      <c r="M1270" s="35" t="str">
        <f aca="false">IF($A1270="","",HOUR($A1270))</f>
        <v/>
      </c>
      <c r="N1270" s="36" t="str">
        <f aca="false">IF($A1270="","",$I1270*$K1270)</f>
        <v/>
      </c>
      <c r="O1270" s="35" t="str">
        <f aca="false">IF(OR($A1270="",$C1270="U",$S1270&lt;&gt;Calc!$F$2),"",SUMIFS($I$3:$I$3002,$E$3:$E$3002,$E1270,$C$3:$C$3002,"&lt;&gt;U",$S$3:$S$3002,Calc!$F$2))</f>
        <v/>
      </c>
      <c r="P1270" s="35" t="str">
        <f aca="false">IF(OR($A1270="",$C1270="U",$S1270&lt;&gt;Calc!$F$2),"",SUMIFS($N$3:$N$3002,$E$3:$E$3002,$E1270,$C$3:$C$3002,"&lt;&gt;U",$S$3:$S$3002,Calc!$F$2))</f>
        <v/>
      </c>
      <c r="Q1270" s="35" t="str">
        <f aca="false">IF(OR($A1270="",$C1270="U",$S1270&lt;&gt;Calc!$F$2),"",IF(COUNTIFS($E$3:$E1270,$E1270,$C$3:$C1270,"&lt;&gt;U",$S$3:$S1270,Calc!$F$2)=1,1,0))</f>
        <v/>
      </c>
      <c r="R1270" s="35" t="str">
        <f aca="false">IF($Q1270=1,$O1270-ROW()/100000,"")</f>
        <v/>
      </c>
      <c r="S1270" s="37" t="str">
        <f aca="false">IF($A1270="","",INT($A1270))</f>
        <v/>
      </c>
      <c r="T1270" s="35" t="str">
        <f aca="false">IF($A1270="","",IF(COUNTIFS($S$3:$S1270,$S1270)=1,1,0))</f>
        <v/>
      </c>
      <c r="U1270" s="37" t="str">
        <f aca="false">IF($T1270=1,$S1270,"")</f>
        <v/>
      </c>
    </row>
    <row r="1271" customFormat="false" ht="15" hidden="false" customHeight="false" outlineLevel="0" collapsed="false">
      <c r="M1271" s="35" t="str">
        <f aca="false">IF($A1271="","",HOUR($A1271))</f>
        <v/>
      </c>
      <c r="N1271" s="36" t="str">
        <f aca="false">IF($A1271="","",$I1271*$K1271)</f>
        <v/>
      </c>
      <c r="O1271" s="35" t="str">
        <f aca="false">IF(OR($A1271="",$C1271="U",$S1271&lt;&gt;Calc!$F$2),"",SUMIFS($I$3:$I$3002,$E$3:$E$3002,$E1271,$C$3:$C$3002,"&lt;&gt;U",$S$3:$S$3002,Calc!$F$2))</f>
        <v/>
      </c>
      <c r="P1271" s="35" t="str">
        <f aca="false">IF(OR($A1271="",$C1271="U",$S1271&lt;&gt;Calc!$F$2),"",SUMIFS($N$3:$N$3002,$E$3:$E$3002,$E1271,$C$3:$C$3002,"&lt;&gt;U",$S$3:$S$3002,Calc!$F$2))</f>
        <v/>
      </c>
      <c r="Q1271" s="35" t="str">
        <f aca="false">IF(OR($A1271="",$C1271="U",$S1271&lt;&gt;Calc!$F$2),"",IF(COUNTIFS($E$3:$E1271,$E1271,$C$3:$C1271,"&lt;&gt;U",$S$3:$S1271,Calc!$F$2)=1,1,0))</f>
        <v/>
      </c>
      <c r="R1271" s="35" t="str">
        <f aca="false">IF($Q1271=1,$O1271-ROW()/100000,"")</f>
        <v/>
      </c>
      <c r="S1271" s="37" t="str">
        <f aca="false">IF($A1271="","",INT($A1271))</f>
        <v/>
      </c>
      <c r="T1271" s="35" t="str">
        <f aca="false">IF($A1271="","",IF(COUNTIFS($S$3:$S1271,$S1271)=1,1,0))</f>
        <v/>
      </c>
      <c r="U1271" s="37" t="str">
        <f aca="false">IF($T1271=1,$S1271,"")</f>
        <v/>
      </c>
    </row>
    <row r="1272" customFormat="false" ht="15" hidden="false" customHeight="false" outlineLevel="0" collapsed="false">
      <c r="M1272" s="35" t="str">
        <f aca="false">IF($A1272="","",HOUR($A1272))</f>
        <v/>
      </c>
      <c r="N1272" s="36" t="str">
        <f aca="false">IF($A1272="","",$I1272*$K1272)</f>
        <v/>
      </c>
      <c r="O1272" s="35" t="str">
        <f aca="false">IF(OR($A1272="",$C1272="U",$S1272&lt;&gt;Calc!$F$2),"",SUMIFS($I$3:$I$3002,$E$3:$E$3002,$E1272,$C$3:$C$3002,"&lt;&gt;U",$S$3:$S$3002,Calc!$F$2))</f>
        <v/>
      </c>
      <c r="P1272" s="35" t="str">
        <f aca="false">IF(OR($A1272="",$C1272="U",$S1272&lt;&gt;Calc!$F$2),"",SUMIFS($N$3:$N$3002,$E$3:$E$3002,$E1272,$C$3:$C$3002,"&lt;&gt;U",$S$3:$S$3002,Calc!$F$2))</f>
        <v/>
      </c>
      <c r="Q1272" s="35" t="str">
        <f aca="false">IF(OR($A1272="",$C1272="U",$S1272&lt;&gt;Calc!$F$2),"",IF(COUNTIFS($E$3:$E1272,$E1272,$C$3:$C1272,"&lt;&gt;U",$S$3:$S1272,Calc!$F$2)=1,1,0))</f>
        <v/>
      </c>
      <c r="R1272" s="35" t="str">
        <f aca="false">IF($Q1272=1,$O1272-ROW()/100000,"")</f>
        <v/>
      </c>
      <c r="S1272" s="37" t="str">
        <f aca="false">IF($A1272="","",INT($A1272))</f>
        <v/>
      </c>
      <c r="T1272" s="35" t="str">
        <f aca="false">IF($A1272="","",IF(COUNTIFS($S$3:$S1272,$S1272)=1,1,0))</f>
        <v/>
      </c>
      <c r="U1272" s="37" t="str">
        <f aca="false">IF($T1272=1,$S1272,"")</f>
        <v/>
      </c>
    </row>
    <row r="1273" customFormat="false" ht="15" hidden="false" customHeight="false" outlineLevel="0" collapsed="false">
      <c r="M1273" s="35" t="str">
        <f aca="false">IF($A1273="","",HOUR($A1273))</f>
        <v/>
      </c>
      <c r="N1273" s="36" t="str">
        <f aca="false">IF($A1273="","",$I1273*$K1273)</f>
        <v/>
      </c>
      <c r="O1273" s="35" t="str">
        <f aca="false">IF(OR($A1273="",$C1273="U",$S1273&lt;&gt;Calc!$F$2),"",SUMIFS($I$3:$I$3002,$E$3:$E$3002,$E1273,$C$3:$C$3002,"&lt;&gt;U",$S$3:$S$3002,Calc!$F$2))</f>
        <v/>
      </c>
      <c r="P1273" s="35" t="str">
        <f aca="false">IF(OR($A1273="",$C1273="U",$S1273&lt;&gt;Calc!$F$2),"",SUMIFS($N$3:$N$3002,$E$3:$E$3002,$E1273,$C$3:$C$3002,"&lt;&gt;U",$S$3:$S$3002,Calc!$F$2))</f>
        <v/>
      </c>
      <c r="Q1273" s="35" t="str">
        <f aca="false">IF(OR($A1273="",$C1273="U",$S1273&lt;&gt;Calc!$F$2),"",IF(COUNTIFS($E$3:$E1273,$E1273,$C$3:$C1273,"&lt;&gt;U",$S$3:$S1273,Calc!$F$2)=1,1,0))</f>
        <v/>
      </c>
      <c r="R1273" s="35" t="str">
        <f aca="false">IF($Q1273=1,$O1273-ROW()/100000,"")</f>
        <v/>
      </c>
      <c r="S1273" s="37" t="str">
        <f aca="false">IF($A1273="","",INT($A1273))</f>
        <v/>
      </c>
      <c r="T1273" s="35" t="str">
        <f aca="false">IF($A1273="","",IF(COUNTIFS($S$3:$S1273,$S1273)=1,1,0))</f>
        <v/>
      </c>
      <c r="U1273" s="37" t="str">
        <f aca="false">IF($T1273=1,$S1273,"")</f>
        <v/>
      </c>
    </row>
    <row r="1274" customFormat="false" ht="15" hidden="false" customHeight="false" outlineLevel="0" collapsed="false">
      <c r="M1274" s="35" t="str">
        <f aca="false">IF($A1274="","",HOUR($A1274))</f>
        <v/>
      </c>
      <c r="N1274" s="36" t="str">
        <f aca="false">IF($A1274="","",$I1274*$K1274)</f>
        <v/>
      </c>
      <c r="O1274" s="35" t="str">
        <f aca="false">IF(OR($A1274="",$C1274="U",$S1274&lt;&gt;Calc!$F$2),"",SUMIFS($I$3:$I$3002,$E$3:$E$3002,$E1274,$C$3:$C$3002,"&lt;&gt;U",$S$3:$S$3002,Calc!$F$2))</f>
        <v/>
      </c>
      <c r="P1274" s="35" t="str">
        <f aca="false">IF(OR($A1274="",$C1274="U",$S1274&lt;&gt;Calc!$F$2),"",SUMIFS($N$3:$N$3002,$E$3:$E$3002,$E1274,$C$3:$C$3002,"&lt;&gt;U",$S$3:$S$3002,Calc!$F$2))</f>
        <v/>
      </c>
      <c r="Q1274" s="35" t="str">
        <f aca="false">IF(OR($A1274="",$C1274="U",$S1274&lt;&gt;Calc!$F$2),"",IF(COUNTIFS($E$3:$E1274,$E1274,$C$3:$C1274,"&lt;&gt;U",$S$3:$S1274,Calc!$F$2)=1,1,0))</f>
        <v/>
      </c>
      <c r="R1274" s="35" t="str">
        <f aca="false">IF($Q1274=1,$O1274-ROW()/100000,"")</f>
        <v/>
      </c>
      <c r="S1274" s="37" t="str">
        <f aca="false">IF($A1274="","",INT($A1274))</f>
        <v/>
      </c>
      <c r="T1274" s="35" t="str">
        <f aca="false">IF($A1274="","",IF(COUNTIFS($S$3:$S1274,$S1274)=1,1,0))</f>
        <v/>
      </c>
      <c r="U1274" s="37" t="str">
        <f aca="false">IF($T1274=1,$S1274,"")</f>
        <v/>
      </c>
    </row>
    <row r="1275" customFormat="false" ht="15" hidden="false" customHeight="false" outlineLevel="0" collapsed="false">
      <c r="M1275" s="35" t="str">
        <f aca="false">IF($A1275="","",HOUR($A1275))</f>
        <v/>
      </c>
      <c r="N1275" s="36" t="str">
        <f aca="false">IF($A1275="","",$I1275*$K1275)</f>
        <v/>
      </c>
      <c r="O1275" s="35" t="str">
        <f aca="false">IF(OR($A1275="",$C1275="U",$S1275&lt;&gt;Calc!$F$2),"",SUMIFS($I$3:$I$3002,$E$3:$E$3002,$E1275,$C$3:$C$3002,"&lt;&gt;U",$S$3:$S$3002,Calc!$F$2))</f>
        <v/>
      </c>
      <c r="P1275" s="35" t="str">
        <f aca="false">IF(OR($A1275="",$C1275="U",$S1275&lt;&gt;Calc!$F$2),"",SUMIFS($N$3:$N$3002,$E$3:$E$3002,$E1275,$C$3:$C$3002,"&lt;&gt;U",$S$3:$S$3002,Calc!$F$2))</f>
        <v/>
      </c>
      <c r="Q1275" s="35" t="str">
        <f aca="false">IF(OR($A1275="",$C1275="U",$S1275&lt;&gt;Calc!$F$2),"",IF(COUNTIFS($E$3:$E1275,$E1275,$C$3:$C1275,"&lt;&gt;U",$S$3:$S1275,Calc!$F$2)=1,1,0))</f>
        <v/>
      </c>
      <c r="R1275" s="35" t="str">
        <f aca="false">IF($Q1275=1,$O1275-ROW()/100000,"")</f>
        <v/>
      </c>
      <c r="S1275" s="37" t="str">
        <f aca="false">IF($A1275="","",INT($A1275))</f>
        <v/>
      </c>
      <c r="T1275" s="35" t="str">
        <f aca="false">IF($A1275="","",IF(COUNTIFS($S$3:$S1275,$S1275)=1,1,0))</f>
        <v/>
      </c>
      <c r="U1275" s="37" t="str">
        <f aca="false">IF($T1275=1,$S1275,"")</f>
        <v/>
      </c>
    </row>
    <row r="1276" customFormat="false" ht="15" hidden="false" customHeight="false" outlineLevel="0" collapsed="false">
      <c r="M1276" s="35" t="str">
        <f aca="false">IF($A1276="","",HOUR($A1276))</f>
        <v/>
      </c>
      <c r="N1276" s="36" t="str">
        <f aca="false">IF($A1276="","",$I1276*$K1276)</f>
        <v/>
      </c>
      <c r="O1276" s="35" t="str">
        <f aca="false">IF(OR($A1276="",$C1276="U",$S1276&lt;&gt;Calc!$F$2),"",SUMIFS($I$3:$I$3002,$E$3:$E$3002,$E1276,$C$3:$C$3002,"&lt;&gt;U",$S$3:$S$3002,Calc!$F$2))</f>
        <v/>
      </c>
      <c r="P1276" s="35" t="str">
        <f aca="false">IF(OR($A1276="",$C1276="U",$S1276&lt;&gt;Calc!$F$2),"",SUMIFS($N$3:$N$3002,$E$3:$E$3002,$E1276,$C$3:$C$3002,"&lt;&gt;U",$S$3:$S$3002,Calc!$F$2))</f>
        <v/>
      </c>
      <c r="Q1276" s="35" t="str">
        <f aca="false">IF(OR($A1276="",$C1276="U",$S1276&lt;&gt;Calc!$F$2),"",IF(COUNTIFS($E$3:$E1276,$E1276,$C$3:$C1276,"&lt;&gt;U",$S$3:$S1276,Calc!$F$2)=1,1,0))</f>
        <v/>
      </c>
      <c r="R1276" s="35" t="str">
        <f aca="false">IF($Q1276=1,$O1276-ROW()/100000,"")</f>
        <v/>
      </c>
      <c r="S1276" s="37" t="str">
        <f aca="false">IF($A1276="","",INT($A1276))</f>
        <v/>
      </c>
      <c r="T1276" s="35" t="str">
        <f aca="false">IF($A1276="","",IF(COUNTIFS($S$3:$S1276,$S1276)=1,1,0))</f>
        <v/>
      </c>
      <c r="U1276" s="37" t="str">
        <f aca="false">IF($T1276=1,$S1276,"")</f>
        <v/>
      </c>
    </row>
    <row r="1277" customFormat="false" ht="15" hidden="false" customHeight="false" outlineLevel="0" collapsed="false">
      <c r="M1277" s="35" t="str">
        <f aca="false">IF($A1277="","",HOUR($A1277))</f>
        <v/>
      </c>
      <c r="N1277" s="36" t="str">
        <f aca="false">IF($A1277="","",$I1277*$K1277)</f>
        <v/>
      </c>
      <c r="O1277" s="35" t="str">
        <f aca="false">IF(OR($A1277="",$C1277="U",$S1277&lt;&gt;Calc!$F$2),"",SUMIFS($I$3:$I$3002,$E$3:$E$3002,$E1277,$C$3:$C$3002,"&lt;&gt;U",$S$3:$S$3002,Calc!$F$2))</f>
        <v/>
      </c>
      <c r="P1277" s="35" t="str">
        <f aca="false">IF(OR($A1277="",$C1277="U",$S1277&lt;&gt;Calc!$F$2),"",SUMIFS($N$3:$N$3002,$E$3:$E$3002,$E1277,$C$3:$C$3002,"&lt;&gt;U",$S$3:$S$3002,Calc!$F$2))</f>
        <v/>
      </c>
      <c r="Q1277" s="35" t="str">
        <f aca="false">IF(OR($A1277="",$C1277="U",$S1277&lt;&gt;Calc!$F$2),"",IF(COUNTIFS($E$3:$E1277,$E1277,$C$3:$C1277,"&lt;&gt;U",$S$3:$S1277,Calc!$F$2)=1,1,0))</f>
        <v/>
      </c>
      <c r="R1277" s="35" t="str">
        <f aca="false">IF($Q1277=1,$O1277-ROW()/100000,"")</f>
        <v/>
      </c>
      <c r="S1277" s="37" t="str">
        <f aca="false">IF($A1277="","",INT($A1277))</f>
        <v/>
      </c>
      <c r="T1277" s="35" t="str">
        <f aca="false">IF($A1277="","",IF(COUNTIFS($S$3:$S1277,$S1277)=1,1,0))</f>
        <v/>
      </c>
      <c r="U1277" s="37" t="str">
        <f aca="false">IF($T1277=1,$S1277,"")</f>
        <v/>
      </c>
    </row>
    <row r="1278" customFormat="false" ht="15" hidden="false" customHeight="false" outlineLevel="0" collapsed="false">
      <c r="M1278" s="35" t="str">
        <f aca="false">IF($A1278="","",HOUR($A1278))</f>
        <v/>
      </c>
      <c r="N1278" s="36" t="str">
        <f aca="false">IF($A1278="","",$I1278*$K1278)</f>
        <v/>
      </c>
      <c r="O1278" s="35" t="str">
        <f aca="false">IF(OR($A1278="",$C1278="U",$S1278&lt;&gt;Calc!$F$2),"",SUMIFS($I$3:$I$3002,$E$3:$E$3002,$E1278,$C$3:$C$3002,"&lt;&gt;U",$S$3:$S$3002,Calc!$F$2))</f>
        <v/>
      </c>
      <c r="P1278" s="35" t="str">
        <f aca="false">IF(OR($A1278="",$C1278="U",$S1278&lt;&gt;Calc!$F$2),"",SUMIFS($N$3:$N$3002,$E$3:$E$3002,$E1278,$C$3:$C$3002,"&lt;&gt;U",$S$3:$S$3002,Calc!$F$2))</f>
        <v/>
      </c>
      <c r="Q1278" s="35" t="str">
        <f aca="false">IF(OR($A1278="",$C1278="U",$S1278&lt;&gt;Calc!$F$2),"",IF(COUNTIFS($E$3:$E1278,$E1278,$C$3:$C1278,"&lt;&gt;U",$S$3:$S1278,Calc!$F$2)=1,1,0))</f>
        <v/>
      </c>
      <c r="R1278" s="35" t="str">
        <f aca="false">IF($Q1278=1,$O1278-ROW()/100000,"")</f>
        <v/>
      </c>
      <c r="S1278" s="37" t="str">
        <f aca="false">IF($A1278="","",INT($A1278))</f>
        <v/>
      </c>
      <c r="T1278" s="35" t="str">
        <f aca="false">IF($A1278="","",IF(COUNTIFS($S$3:$S1278,$S1278)=1,1,0))</f>
        <v/>
      </c>
      <c r="U1278" s="37" t="str">
        <f aca="false">IF($T1278=1,$S1278,"")</f>
        <v/>
      </c>
    </row>
    <row r="1279" customFormat="false" ht="15" hidden="false" customHeight="false" outlineLevel="0" collapsed="false">
      <c r="M1279" s="35" t="str">
        <f aca="false">IF($A1279="","",HOUR($A1279))</f>
        <v/>
      </c>
      <c r="N1279" s="36" t="str">
        <f aca="false">IF($A1279="","",$I1279*$K1279)</f>
        <v/>
      </c>
      <c r="O1279" s="35" t="str">
        <f aca="false">IF(OR($A1279="",$C1279="U",$S1279&lt;&gt;Calc!$F$2),"",SUMIFS($I$3:$I$3002,$E$3:$E$3002,$E1279,$C$3:$C$3002,"&lt;&gt;U",$S$3:$S$3002,Calc!$F$2))</f>
        <v/>
      </c>
      <c r="P1279" s="35" t="str">
        <f aca="false">IF(OR($A1279="",$C1279="U",$S1279&lt;&gt;Calc!$F$2),"",SUMIFS($N$3:$N$3002,$E$3:$E$3002,$E1279,$C$3:$C$3002,"&lt;&gt;U",$S$3:$S$3002,Calc!$F$2))</f>
        <v/>
      </c>
      <c r="Q1279" s="35" t="str">
        <f aca="false">IF(OR($A1279="",$C1279="U",$S1279&lt;&gt;Calc!$F$2),"",IF(COUNTIFS($E$3:$E1279,$E1279,$C$3:$C1279,"&lt;&gt;U",$S$3:$S1279,Calc!$F$2)=1,1,0))</f>
        <v/>
      </c>
      <c r="R1279" s="35" t="str">
        <f aca="false">IF($Q1279=1,$O1279-ROW()/100000,"")</f>
        <v/>
      </c>
      <c r="S1279" s="37" t="str">
        <f aca="false">IF($A1279="","",INT($A1279))</f>
        <v/>
      </c>
      <c r="T1279" s="35" t="str">
        <f aca="false">IF($A1279="","",IF(COUNTIFS($S$3:$S1279,$S1279)=1,1,0))</f>
        <v/>
      </c>
      <c r="U1279" s="37" t="str">
        <f aca="false">IF($T1279=1,$S1279,"")</f>
        <v/>
      </c>
    </row>
    <row r="1280" customFormat="false" ht="15" hidden="false" customHeight="false" outlineLevel="0" collapsed="false">
      <c r="M1280" s="35" t="str">
        <f aca="false">IF($A1280="","",HOUR($A1280))</f>
        <v/>
      </c>
      <c r="N1280" s="36" t="str">
        <f aca="false">IF($A1280="","",$I1280*$K1280)</f>
        <v/>
      </c>
      <c r="O1280" s="35" t="str">
        <f aca="false">IF(OR($A1280="",$C1280="U",$S1280&lt;&gt;Calc!$F$2),"",SUMIFS($I$3:$I$3002,$E$3:$E$3002,$E1280,$C$3:$C$3002,"&lt;&gt;U",$S$3:$S$3002,Calc!$F$2))</f>
        <v/>
      </c>
      <c r="P1280" s="35" t="str">
        <f aca="false">IF(OR($A1280="",$C1280="U",$S1280&lt;&gt;Calc!$F$2),"",SUMIFS($N$3:$N$3002,$E$3:$E$3002,$E1280,$C$3:$C$3002,"&lt;&gt;U",$S$3:$S$3002,Calc!$F$2))</f>
        <v/>
      </c>
      <c r="Q1280" s="35" t="str">
        <f aca="false">IF(OR($A1280="",$C1280="U",$S1280&lt;&gt;Calc!$F$2),"",IF(COUNTIFS($E$3:$E1280,$E1280,$C$3:$C1280,"&lt;&gt;U",$S$3:$S1280,Calc!$F$2)=1,1,0))</f>
        <v/>
      </c>
      <c r="R1280" s="35" t="str">
        <f aca="false">IF($Q1280=1,$O1280-ROW()/100000,"")</f>
        <v/>
      </c>
      <c r="S1280" s="37" t="str">
        <f aca="false">IF($A1280="","",INT($A1280))</f>
        <v/>
      </c>
      <c r="T1280" s="35" t="str">
        <f aca="false">IF($A1280="","",IF(COUNTIFS($S$3:$S1280,$S1280)=1,1,0))</f>
        <v/>
      </c>
      <c r="U1280" s="37" t="str">
        <f aca="false">IF($T1280=1,$S1280,"")</f>
        <v/>
      </c>
    </row>
    <row r="1281" customFormat="false" ht="15" hidden="false" customHeight="false" outlineLevel="0" collapsed="false">
      <c r="M1281" s="35" t="str">
        <f aca="false">IF($A1281="","",HOUR($A1281))</f>
        <v/>
      </c>
      <c r="N1281" s="36" t="str">
        <f aca="false">IF($A1281="","",$I1281*$K1281)</f>
        <v/>
      </c>
      <c r="O1281" s="35" t="str">
        <f aca="false">IF(OR($A1281="",$C1281="U",$S1281&lt;&gt;Calc!$F$2),"",SUMIFS($I$3:$I$3002,$E$3:$E$3002,$E1281,$C$3:$C$3002,"&lt;&gt;U",$S$3:$S$3002,Calc!$F$2))</f>
        <v/>
      </c>
      <c r="P1281" s="35" t="str">
        <f aca="false">IF(OR($A1281="",$C1281="U",$S1281&lt;&gt;Calc!$F$2),"",SUMIFS($N$3:$N$3002,$E$3:$E$3002,$E1281,$C$3:$C$3002,"&lt;&gt;U",$S$3:$S$3002,Calc!$F$2))</f>
        <v/>
      </c>
      <c r="Q1281" s="35" t="str">
        <f aca="false">IF(OR($A1281="",$C1281="U",$S1281&lt;&gt;Calc!$F$2),"",IF(COUNTIFS($E$3:$E1281,$E1281,$C$3:$C1281,"&lt;&gt;U",$S$3:$S1281,Calc!$F$2)=1,1,0))</f>
        <v/>
      </c>
      <c r="R1281" s="35" t="str">
        <f aca="false">IF($Q1281=1,$O1281-ROW()/100000,"")</f>
        <v/>
      </c>
      <c r="S1281" s="37" t="str">
        <f aca="false">IF($A1281="","",INT($A1281))</f>
        <v/>
      </c>
      <c r="T1281" s="35" t="str">
        <f aca="false">IF($A1281="","",IF(COUNTIFS($S$3:$S1281,$S1281)=1,1,0))</f>
        <v/>
      </c>
      <c r="U1281" s="37" t="str">
        <f aca="false">IF($T1281=1,$S1281,"")</f>
        <v/>
      </c>
    </row>
    <row r="1282" customFormat="false" ht="15" hidden="false" customHeight="false" outlineLevel="0" collapsed="false">
      <c r="M1282" s="35" t="str">
        <f aca="false">IF($A1282="","",HOUR($A1282))</f>
        <v/>
      </c>
      <c r="N1282" s="36" t="str">
        <f aca="false">IF($A1282="","",$I1282*$K1282)</f>
        <v/>
      </c>
      <c r="O1282" s="35" t="str">
        <f aca="false">IF(OR($A1282="",$C1282="U",$S1282&lt;&gt;Calc!$F$2),"",SUMIFS($I$3:$I$3002,$E$3:$E$3002,$E1282,$C$3:$C$3002,"&lt;&gt;U",$S$3:$S$3002,Calc!$F$2))</f>
        <v/>
      </c>
      <c r="P1282" s="35" t="str">
        <f aca="false">IF(OR($A1282="",$C1282="U",$S1282&lt;&gt;Calc!$F$2),"",SUMIFS($N$3:$N$3002,$E$3:$E$3002,$E1282,$C$3:$C$3002,"&lt;&gt;U",$S$3:$S$3002,Calc!$F$2))</f>
        <v/>
      </c>
      <c r="Q1282" s="35" t="str">
        <f aca="false">IF(OR($A1282="",$C1282="U",$S1282&lt;&gt;Calc!$F$2),"",IF(COUNTIFS($E$3:$E1282,$E1282,$C$3:$C1282,"&lt;&gt;U",$S$3:$S1282,Calc!$F$2)=1,1,0))</f>
        <v/>
      </c>
      <c r="R1282" s="35" t="str">
        <f aca="false">IF($Q1282=1,$O1282-ROW()/100000,"")</f>
        <v/>
      </c>
      <c r="S1282" s="37" t="str">
        <f aca="false">IF($A1282="","",INT($A1282))</f>
        <v/>
      </c>
      <c r="T1282" s="35" t="str">
        <f aca="false">IF($A1282="","",IF(COUNTIFS($S$3:$S1282,$S1282)=1,1,0))</f>
        <v/>
      </c>
      <c r="U1282" s="37" t="str">
        <f aca="false">IF($T1282=1,$S1282,"")</f>
        <v/>
      </c>
    </row>
    <row r="1283" customFormat="false" ht="15" hidden="false" customHeight="false" outlineLevel="0" collapsed="false">
      <c r="M1283" s="35" t="str">
        <f aca="false">IF($A1283="","",HOUR($A1283))</f>
        <v/>
      </c>
      <c r="N1283" s="36" t="str">
        <f aca="false">IF($A1283="","",$I1283*$K1283)</f>
        <v/>
      </c>
      <c r="O1283" s="35" t="str">
        <f aca="false">IF(OR($A1283="",$C1283="U",$S1283&lt;&gt;Calc!$F$2),"",SUMIFS($I$3:$I$3002,$E$3:$E$3002,$E1283,$C$3:$C$3002,"&lt;&gt;U",$S$3:$S$3002,Calc!$F$2))</f>
        <v/>
      </c>
      <c r="P1283" s="35" t="str">
        <f aca="false">IF(OR($A1283="",$C1283="U",$S1283&lt;&gt;Calc!$F$2),"",SUMIFS($N$3:$N$3002,$E$3:$E$3002,$E1283,$C$3:$C$3002,"&lt;&gt;U",$S$3:$S$3002,Calc!$F$2))</f>
        <v/>
      </c>
      <c r="Q1283" s="35" t="str">
        <f aca="false">IF(OR($A1283="",$C1283="U",$S1283&lt;&gt;Calc!$F$2),"",IF(COUNTIFS($E$3:$E1283,$E1283,$C$3:$C1283,"&lt;&gt;U",$S$3:$S1283,Calc!$F$2)=1,1,0))</f>
        <v/>
      </c>
      <c r="R1283" s="35" t="str">
        <f aca="false">IF($Q1283=1,$O1283-ROW()/100000,"")</f>
        <v/>
      </c>
      <c r="S1283" s="37" t="str">
        <f aca="false">IF($A1283="","",INT($A1283))</f>
        <v/>
      </c>
      <c r="T1283" s="35" t="str">
        <f aca="false">IF($A1283="","",IF(COUNTIFS($S$3:$S1283,$S1283)=1,1,0))</f>
        <v/>
      </c>
      <c r="U1283" s="37" t="str">
        <f aca="false">IF($T1283=1,$S1283,"")</f>
        <v/>
      </c>
    </row>
    <row r="1284" customFormat="false" ht="15" hidden="false" customHeight="false" outlineLevel="0" collapsed="false">
      <c r="M1284" s="35" t="str">
        <f aca="false">IF($A1284="","",HOUR($A1284))</f>
        <v/>
      </c>
      <c r="N1284" s="36" t="str">
        <f aca="false">IF($A1284="","",$I1284*$K1284)</f>
        <v/>
      </c>
      <c r="O1284" s="35" t="str">
        <f aca="false">IF(OR($A1284="",$C1284="U",$S1284&lt;&gt;Calc!$F$2),"",SUMIFS($I$3:$I$3002,$E$3:$E$3002,$E1284,$C$3:$C$3002,"&lt;&gt;U",$S$3:$S$3002,Calc!$F$2))</f>
        <v/>
      </c>
      <c r="P1284" s="35" t="str">
        <f aca="false">IF(OR($A1284="",$C1284="U",$S1284&lt;&gt;Calc!$F$2),"",SUMIFS($N$3:$N$3002,$E$3:$E$3002,$E1284,$C$3:$C$3002,"&lt;&gt;U",$S$3:$S$3002,Calc!$F$2))</f>
        <v/>
      </c>
      <c r="Q1284" s="35" t="str">
        <f aca="false">IF(OR($A1284="",$C1284="U",$S1284&lt;&gt;Calc!$F$2),"",IF(COUNTIFS($E$3:$E1284,$E1284,$C$3:$C1284,"&lt;&gt;U",$S$3:$S1284,Calc!$F$2)=1,1,0))</f>
        <v/>
      </c>
      <c r="R1284" s="35" t="str">
        <f aca="false">IF($Q1284=1,$O1284-ROW()/100000,"")</f>
        <v/>
      </c>
      <c r="S1284" s="37" t="str">
        <f aca="false">IF($A1284="","",INT($A1284))</f>
        <v/>
      </c>
      <c r="T1284" s="35" t="str">
        <f aca="false">IF($A1284="","",IF(COUNTIFS($S$3:$S1284,$S1284)=1,1,0))</f>
        <v/>
      </c>
      <c r="U1284" s="37" t="str">
        <f aca="false">IF($T1284=1,$S1284,"")</f>
        <v/>
      </c>
    </row>
    <row r="1285" customFormat="false" ht="15" hidden="false" customHeight="false" outlineLevel="0" collapsed="false">
      <c r="M1285" s="35" t="str">
        <f aca="false">IF($A1285="","",HOUR($A1285))</f>
        <v/>
      </c>
      <c r="N1285" s="36" t="str">
        <f aca="false">IF($A1285="","",$I1285*$K1285)</f>
        <v/>
      </c>
      <c r="O1285" s="35" t="str">
        <f aca="false">IF(OR($A1285="",$C1285="U",$S1285&lt;&gt;Calc!$F$2),"",SUMIFS($I$3:$I$3002,$E$3:$E$3002,$E1285,$C$3:$C$3002,"&lt;&gt;U",$S$3:$S$3002,Calc!$F$2))</f>
        <v/>
      </c>
      <c r="P1285" s="35" t="str">
        <f aca="false">IF(OR($A1285="",$C1285="U",$S1285&lt;&gt;Calc!$F$2),"",SUMIFS($N$3:$N$3002,$E$3:$E$3002,$E1285,$C$3:$C$3002,"&lt;&gt;U",$S$3:$S$3002,Calc!$F$2))</f>
        <v/>
      </c>
      <c r="Q1285" s="35" t="str">
        <f aca="false">IF(OR($A1285="",$C1285="U",$S1285&lt;&gt;Calc!$F$2),"",IF(COUNTIFS($E$3:$E1285,$E1285,$C$3:$C1285,"&lt;&gt;U",$S$3:$S1285,Calc!$F$2)=1,1,0))</f>
        <v/>
      </c>
      <c r="R1285" s="35" t="str">
        <f aca="false">IF($Q1285=1,$O1285-ROW()/100000,"")</f>
        <v/>
      </c>
      <c r="S1285" s="37" t="str">
        <f aca="false">IF($A1285="","",INT($A1285))</f>
        <v/>
      </c>
      <c r="T1285" s="35" t="str">
        <f aca="false">IF($A1285="","",IF(COUNTIFS($S$3:$S1285,$S1285)=1,1,0))</f>
        <v/>
      </c>
      <c r="U1285" s="37" t="str">
        <f aca="false">IF($T1285=1,$S1285,"")</f>
        <v/>
      </c>
    </row>
    <row r="1286" customFormat="false" ht="15" hidden="false" customHeight="false" outlineLevel="0" collapsed="false">
      <c r="M1286" s="35" t="str">
        <f aca="false">IF($A1286="","",HOUR($A1286))</f>
        <v/>
      </c>
      <c r="N1286" s="36" t="str">
        <f aca="false">IF($A1286="","",$I1286*$K1286)</f>
        <v/>
      </c>
      <c r="O1286" s="35" t="str">
        <f aca="false">IF(OR($A1286="",$C1286="U",$S1286&lt;&gt;Calc!$F$2),"",SUMIFS($I$3:$I$3002,$E$3:$E$3002,$E1286,$C$3:$C$3002,"&lt;&gt;U",$S$3:$S$3002,Calc!$F$2))</f>
        <v/>
      </c>
      <c r="P1286" s="35" t="str">
        <f aca="false">IF(OR($A1286="",$C1286="U",$S1286&lt;&gt;Calc!$F$2),"",SUMIFS($N$3:$N$3002,$E$3:$E$3002,$E1286,$C$3:$C$3002,"&lt;&gt;U",$S$3:$S$3002,Calc!$F$2))</f>
        <v/>
      </c>
      <c r="Q1286" s="35" t="str">
        <f aca="false">IF(OR($A1286="",$C1286="U",$S1286&lt;&gt;Calc!$F$2),"",IF(COUNTIFS($E$3:$E1286,$E1286,$C$3:$C1286,"&lt;&gt;U",$S$3:$S1286,Calc!$F$2)=1,1,0))</f>
        <v/>
      </c>
      <c r="R1286" s="35" t="str">
        <f aca="false">IF($Q1286=1,$O1286-ROW()/100000,"")</f>
        <v/>
      </c>
      <c r="S1286" s="37" t="str">
        <f aca="false">IF($A1286="","",INT($A1286))</f>
        <v/>
      </c>
      <c r="T1286" s="35" t="str">
        <f aca="false">IF($A1286="","",IF(COUNTIFS($S$3:$S1286,$S1286)=1,1,0))</f>
        <v/>
      </c>
      <c r="U1286" s="37" t="str">
        <f aca="false">IF($T1286=1,$S1286,"")</f>
        <v/>
      </c>
    </row>
    <row r="1287" customFormat="false" ht="15" hidden="false" customHeight="false" outlineLevel="0" collapsed="false">
      <c r="M1287" s="35" t="str">
        <f aca="false">IF($A1287="","",HOUR($A1287))</f>
        <v/>
      </c>
      <c r="N1287" s="36" t="str">
        <f aca="false">IF($A1287="","",$I1287*$K1287)</f>
        <v/>
      </c>
      <c r="O1287" s="35" t="str">
        <f aca="false">IF(OR($A1287="",$C1287="U",$S1287&lt;&gt;Calc!$F$2),"",SUMIFS($I$3:$I$3002,$E$3:$E$3002,$E1287,$C$3:$C$3002,"&lt;&gt;U",$S$3:$S$3002,Calc!$F$2))</f>
        <v/>
      </c>
      <c r="P1287" s="35" t="str">
        <f aca="false">IF(OR($A1287="",$C1287="U",$S1287&lt;&gt;Calc!$F$2),"",SUMIFS($N$3:$N$3002,$E$3:$E$3002,$E1287,$C$3:$C$3002,"&lt;&gt;U",$S$3:$S$3002,Calc!$F$2))</f>
        <v/>
      </c>
      <c r="Q1287" s="35" t="str">
        <f aca="false">IF(OR($A1287="",$C1287="U",$S1287&lt;&gt;Calc!$F$2),"",IF(COUNTIFS($E$3:$E1287,$E1287,$C$3:$C1287,"&lt;&gt;U",$S$3:$S1287,Calc!$F$2)=1,1,0))</f>
        <v/>
      </c>
      <c r="R1287" s="35" t="str">
        <f aca="false">IF($Q1287=1,$O1287-ROW()/100000,"")</f>
        <v/>
      </c>
      <c r="S1287" s="37" t="str">
        <f aca="false">IF($A1287="","",INT($A1287))</f>
        <v/>
      </c>
      <c r="T1287" s="35" t="str">
        <f aca="false">IF($A1287="","",IF(COUNTIFS($S$3:$S1287,$S1287)=1,1,0))</f>
        <v/>
      </c>
      <c r="U1287" s="37" t="str">
        <f aca="false">IF($T1287=1,$S1287,"")</f>
        <v/>
      </c>
    </row>
    <row r="1288" customFormat="false" ht="15" hidden="false" customHeight="false" outlineLevel="0" collapsed="false">
      <c r="M1288" s="35" t="str">
        <f aca="false">IF($A1288="","",HOUR($A1288))</f>
        <v/>
      </c>
      <c r="N1288" s="36" t="str">
        <f aca="false">IF($A1288="","",$I1288*$K1288)</f>
        <v/>
      </c>
      <c r="O1288" s="35" t="str">
        <f aca="false">IF(OR($A1288="",$C1288="U",$S1288&lt;&gt;Calc!$F$2),"",SUMIFS($I$3:$I$3002,$E$3:$E$3002,$E1288,$C$3:$C$3002,"&lt;&gt;U",$S$3:$S$3002,Calc!$F$2))</f>
        <v/>
      </c>
      <c r="P1288" s="35" t="str">
        <f aca="false">IF(OR($A1288="",$C1288="U",$S1288&lt;&gt;Calc!$F$2),"",SUMIFS($N$3:$N$3002,$E$3:$E$3002,$E1288,$C$3:$C$3002,"&lt;&gt;U",$S$3:$S$3002,Calc!$F$2))</f>
        <v/>
      </c>
      <c r="Q1288" s="35" t="str">
        <f aca="false">IF(OR($A1288="",$C1288="U",$S1288&lt;&gt;Calc!$F$2),"",IF(COUNTIFS($E$3:$E1288,$E1288,$C$3:$C1288,"&lt;&gt;U",$S$3:$S1288,Calc!$F$2)=1,1,0))</f>
        <v/>
      </c>
      <c r="R1288" s="35" t="str">
        <f aca="false">IF($Q1288=1,$O1288-ROW()/100000,"")</f>
        <v/>
      </c>
      <c r="S1288" s="37" t="str">
        <f aca="false">IF($A1288="","",INT($A1288))</f>
        <v/>
      </c>
      <c r="T1288" s="35" t="str">
        <f aca="false">IF($A1288="","",IF(COUNTIFS($S$3:$S1288,$S1288)=1,1,0))</f>
        <v/>
      </c>
      <c r="U1288" s="37" t="str">
        <f aca="false">IF($T1288=1,$S1288,"")</f>
        <v/>
      </c>
    </row>
    <row r="1289" customFormat="false" ht="15" hidden="false" customHeight="false" outlineLevel="0" collapsed="false">
      <c r="M1289" s="35" t="str">
        <f aca="false">IF($A1289="","",HOUR($A1289))</f>
        <v/>
      </c>
      <c r="N1289" s="36" t="str">
        <f aca="false">IF($A1289="","",$I1289*$K1289)</f>
        <v/>
      </c>
      <c r="O1289" s="35" t="str">
        <f aca="false">IF(OR($A1289="",$C1289="U",$S1289&lt;&gt;Calc!$F$2),"",SUMIFS($I$3:$I$3002,$E$3:$E$3002,$E1289,$C$3:$C$3002,"&lt;&gt;U",$S$3:$S$3002,Calc!$F$2))</f>
        <v/>
      </c>
      <c r="P1289" s="35" t="str">
        <f aca="false">IF(OR($A1289="",$C1289="U",$S1289&lt;&gt;Calc!$F$2),"",SUMIFS($N$3:$N$3002,$E$3:$E$3002,$E1289,$C$3:$C$3002,"&lt;&gt;U",$S$3:$S$3002,Calc!$F$2))</f>
        <v/>
      </c>
      <c r="Q1289" s="35" t="str">
        <f aca="false">IF(OR($A1289="",$C1289="U",$S1289&lt;&gt;Calc!$F$2),"",IF(COUNTIFS($E$3:$E1289,$E1289,$C$3:$C1289,"&lt;&gt;U",$S$3:$S1289,Calc!$F$2)=1,1,0))</f>
        <v/>
      </c>
      <c r="R1289" s="35" t="str">
        <f aca="false">IF($Q1289=1,$O1289-ROW()/100000,"")</f>
        <v/>
      </c>
      <c r="S1289" s="37" t="str">
        <f aca="false">IF($A1289="","",INT($A1289))</f>
        <v/>
      </c>
      <c r="T1289" s="35" t="str">
        <f aca="false">IF($A1289="","",IF(COUNTIFS($S$3:$S1289,$S1289)=1,1,0))</f>
        <v/>
      </c>
      <c r="U1289" s="37" t="str">
        <f aca="false">IF($T1289=1,$S1289,"")</f>
        <v/>
      </c>
    </row>
    <row r="1290" customFormat="false" ht="15" hidden="false" customHeight="false" outlineLevel="0" collapsed="false">
      <c r="M1290" s="35" t="str">
        <f aca="false">IF($A1290="","",HOUR($A1290))</f>
        <v/>
      </c>
      <c r="N1290" s="36" t="str">
        <f aca="false">IF($A1290="","",$I1290*$K1290)</f>
        <v/>
      </c>
      <c r="O1290" s="35" t="str">
        <f aca="false">IF(OR($A1290="",$C1290="U",$S1290&lt;&gt;Calc!$F$2),"",SUMIFS($I$3:$I$3002,$E$3:$E$3002,$E1290,$C$3:$C$3002,"&lt;&gt;U",$S$3:$S$3002,Calc!$F$2))</f>
        <v/>
      </c>
      <c r="P1290" s="35" t="str">
        <f aca="false">IF(OR($A1290="",$C1290="U",$S1290&lt;&gt;Calc!$F$2),"",SUMIFS($N$3:$N$3002,$E$3:$E$3002,$E1290,$C$3:$C$3002,"&lt;&gt;U",$S$3:$S$3002,Calc!$F$2))</f>
        <v/>
      </c>
      <c r="Q1290" s="35" t="str">
        <f aca="false">IF(OR($A1290="",$C1290="U",$S1290&lt;&gt;Calc!$F$2),"",IF(COUNTIFS($E$3:$E1290,$E1290,$C$3:$C1290,"&lt;&gt;U",$S$3:$S1290,Calc!$F$2)=1,1,0))</f>
        <v/>
      </c>
      <c r="R1290" s="35" t="str">
        <f aca="false">IF($Q1290=1,$O1290-ROW()/100000,"")</f>
        <v/>
      </c>
      <c r="S1290" s="37" t="str">
        <f aca="false">IF($A1290="","",INT($A1290))</f>
        <v/>
      </c>
      <c r="T1290" s="35" t="str">
        <f aca="false">IF($A1290="","",IF(COUNTIFS($S$3:$S1290,$S1290)=1,1,0))</f>
        <v/>
      </c>
      <c r="U1290" s="37" t="str">
        <f aca="false">IF($T1290=1,$S1290,"")</f>
        <v/>
      </c>
    </row>
    <row r="1291" customFormat="false" ht="15" hidden="false" customHeight="false" outlineLevel="0" collapsed="false">
      <c r="M1291" s="35" t="str">
        <f aca="false">IF($A1291="","",HOUR($A1291))</f>
        <v/>
      </c>
      <c r="N1291" s="36" t="str">
        <f aca="false">IF($A1291="","",$I1291*$K1291)</f>
        <v/>
      </c>
      <c r="O1291" s="35" t="str">
        <f aca="false">IF(OR($A1291="",$C1291="U",$S1291&lt;&gt;Calc!$F$2),"",SUMIFS($I$3:$I$3002,$E$3:$E$3002,$E1291,$C$3:$C$3002,"&lt;&gt;U",$S$3:$S$3002,Calc!$F$2))</f>
        <v/>
      </c>
      <c r="P1291" s="35" t="str">
        <f aca="false">IF(OR($A1291="",$C1291="U",$S1291&lt;&gt;Calc!$F$2),"",SUMIFS($N$3:$N$3002,$E$3:$E$3002,$E1291,$C$3:$C$3002,"&lt;&gt;U",$S$3:$S$3002,Calc!$F$2))</f>
        <v/>
      </c>
      <c r="Q1291" s="35" t="str">
        <f aca="false">IF(OR($A1291="",$C1291="U",$S1291&lt;&gt;Calc!$F$2),"",IF(COUNTIFS($E$3:$E1291,$E1291,$C$3:$C1291,"&lt;&gt;U",$S$3:$S1291,Calc!$F$2)=1,1,0))</f>
        <v/>
      </c>
      <c r="R1291" s="35" t="str">
        <f aca="false">IF($Q1291=1,$O1291-ROW()/100000,"")</f>
        <v/>
      </c>
      <c r="S1291" s="37" t="str">
        <f aca="false">IF($A1291="","",INT($A1291))</f>
        <v/>
      </c>
      <c r="T1291" s="35" t="str">
        <f aca="false">IF($A1291="","",IF(COUNTIFS($S$3:$S1291,$S1291)=1,1,0))</f>
        <v/>
      </c>
      <c r="U1291" s="37" t="str">
        <f aca="false">IF($T1291=1,$S1291,"")</f>
        <v/>
      </c>
    </row>
    <row r="1292" customFormat="false" ht="15" hidden="false" customHeight="false" outlineLevel="0" collapsed="false">
      <c r="M1292" s="35" t="str">
        <f aca="false">IF($A1292="","",HOUR($A1292))</f>
        <v/>
      </c>
      <c r="N1292" s="36" t="str">
        <f aca="false">IF($A1292="","",$I1292*$K1292)</f>
        <v/>
      </c>
      <c r="O1292" s="35" t="str">
        <f aca="false">IF(OR($A1292="",$C1292="U",$S1292&lt;&gt;Calc!$F$2),"",SUMIFS($I$3:$I$3002,$E$3:$E$3002,$E1292,$C$3:$C$3002,"&lt;&gt;U",$S$3:$S$3002,Calc!$F$2))</f>
        <v/>
      </c>
      <c r="P1292" s="35" t="str">
        <f aca="false">IF(OR($A1292="",$C1292="U",$S1292&lt;&gt;Calc!$F$2),"",SUMIFS($N$3:$N$3002,$E$3:$E$3002,$E1292,$C$3:$C$3002,"&lt;&gt;U",$S$3:$S$3002,Calc!$F$2))</f>
        <v/>
      </c>
      <c r="Q1292" s="35" t="str">
        <f aca="false">IF(OR($A1292="",$C1292="U",$S1292&lt;&gt;Calc!$F$2),"",IF(COUNTIFS($E$3:$E1292,$E1292,$C$3:$C1292,"&lt;&gt;U",$S$3:$S1292,Calc!$F$2)=1,1,0))</f>
        <v/>
      </c>
      <c r="R1292" s="35" t="str">
        <f aca="false">IF($Q1292=1,$O1292-ROW()/100000,"")</f>
        <v/>
      </c>
      <c r="S1292" s="37" t="str">
        <f aca="false">IF($A1292="","",INT($A1292))</f>
        <v/>
      </c>
      <c r="T1292" s="35" t="str">
        <f aca="false">IF($A1292="","",IF(COUNTIFS($S$3:$S1292,$S1292)=1,1,0))</f>
        <v/>
      </c>
      <c r="U1292" s="37" t="str">
        <f aca="false">IF($T1292=1,$S1292,"")</f>
        <v/>
      </c>
    </row>
    <row r="1293" customFormat="false" ht="15" hidden="false" customHeight="false" outlineLevel="0" collapsed="false">
      <c r="M1293" s="35" t="str">
        <f aca="false">IF($A1293="","",HOUR($A1293))</f>
        <v/>
      </c>
      <c r="N1293" s="36" t="str">
        <f aca="false">IF($A1293="","",$I1293*$K1293)</f>
        <v/>
      </c>
      <c r="O1293" s="35" t="str">
        <f aca="false">IF(OR($A1293="",$C1293="U",$S1293&lt;&gt;Calc!$F$2),"",SUMIFS($I$3:$I$3002,$E$3:$E$3002,$E1293,$C$3:$C$3002,"&lt;&gt;U",$S$3:$S$3002,Calc!$F$2))</f>
        <v/>
      </c>
      <c r="P1293" s="35" t="str">
        <f aca="false">IF(OR($A1293="",$C1293="U",$S1293&lt;&gt;Calc!$F$2),"",SUMIFS($N$3:$N$3002,$E$3:$E$3002,$E1293,$C$3:$C$3002,"&lt;&gt;U",$S$3:$S$3002,Calc!$F$2))</f>
        <v/>
      </c>
      <c r="Q1293" s="35" t="str">
        <f aca="false">IF(OR($A1293="",$C1293="U",$S1293&lt;&gt;Calc!$F$2),"",IF(COUNTIFS($E$3:$E1293,$E1293,$C$3:$C1293,"&lt;&gt;U",$S$3:$S1293,Calc!$F$2)=1,1,0))</f>
        <v/>
      </c>
      <c r="R1293" s="35" t="str">
        <f aca="false">IF($Q1293=1,$O1293-ROW()/100000,"")</f>
        <v/>
      </c>
      <c r="S1293" s="37" t="str">
        <f aca="false">IF($A1293="","",INT($A1293))</f>
        <v/>
      </c>
      <c r="T1293" s="35" t="str">
        <f aca="false">IF($A1293="","",IF(COUNTIFS($S$3:$S1293,$S1293)=1,1,0))</f>
        <v/>
      </c>
      <c r="U1293" s="37" t="str">
        <f aca="false">IF($T1293=1,$S1293,"")</f>
        <v/>
      </c>
    </row>
    <row r="1294" customFormat="false" ht="15" hidden="false" customHeight="false" outlineLevel="0" collapsed="false">
      <c r="M1294" s="35" t="str">
        <f aca="false">IF($A1294="","",HOUR($A1294))</f>
        <v/>
      </c>
      <c r="N1294" s="36" t="str">
        <f aca="false">IF($A1294="","",$I1294*$K1294)</f>
        <v/>
      </c>
      <c r="O1294" s="35" t="str">
        <f aca="false">IF(OR($A1294="",$C1294="U",$S1294&lt;&gt;Calc!$F$2),"",SUMIFS($I$3:$I$3002,$E$3:$E$3002,$E1294,$C$3:$C$3002,"&lt;&gt;U",$S$3:$S$3002,Calc!$F$2))</f>
        <v/>
      </c>
      <c r="P1294" s="35" t="str">
        <f aca="false">IF(OR($A1294="",$C1294="U",$S1294&lt;&gt;Calc!$F$2),"",SUMIFS($N$3:$N$3002,$E$3:$E$3002,$E1294,$C$3:$C$3002,"&lt;&gt;U",$S$3:$S$3002,Calc!$F$2))</f>
        <v/>
      </c>
      <c r="Q1294" s="35" t="str">
        <f aca="false">IF(OR($A1294="",$C1294="U",$S1294&lt;&gt;Calc!$F$2),"",IF(COUNTIFS($E$3:$E1294,$E1294,$C$3:$C1294,"&lt;&gt;U",$S$3:$S1294,Calc!$F$2)=1,1,0))</f>
        <v/>
      </c>
      <c r="R1294" s="35" t="str">
        <f aca="false">IF($Q1294=1,$O1294-ROW()/100000,"")</f>
        <v/>
      </c>
      <c r="S1294" s="37" t="str">
        <f aca="false">IF($A1294="","",INT($A1294))</f>
        <v/>
      </c>
      <c r="T1294" s="35" t="str">
        <f aca="false">IF($A1294="","",IF(COUNTIFS($S$3:$S1294,$S1294)=1,1,0))</f>
        <v/>
      </c>
      <c r="U1294" s="37" t="str">
        <f aca="false">IF($T1294=1,$S1294,"")</f>
        <v/>
      </c>
    </row>
    <row r="1295" customFormat="false" ht="15" hidden="false" customHeight="false" outlineLevel="0" collapsed="false">
      <c r="M1295" s="35" t="str">
        <f aca="false">IF($A1295="","",HOUR($A1295))</f>
        <v/>
      </c>
      <c r="N1295" s="36" t="str">
        <f aca="false">IF($A1295="","",$I1295*$K1295)</f>
        <v/>
      </c>
      <c r="O1295" s="35" t="str">
        <f aca="false">IF(OR($A1295="",$C1295="U",$S1295&lt;&gt;Calc!$F$2),"",SUMIFS($I$3:$I$3002,$E$3:$E$3002,$E1295,$C$3:$C$3002,"&lt;&gt;U",$S$3:$S$3002,Calc!$F$2))</f>
        <v/>
      </c>
      <c r="P1295" s="35" t="str">
        <f aca="false">IF(OR($A1295="",$C1295="U",$S1295&lt;&gt;Calc!$F$2),"",SUMIFS($N$3:$N$3002,$E$3:$E$3002,$E1295,$C$3:$C$3002,"&lt;&gt;U",$S$3:$S$3002,Calc!$F$2))</f>
        <v/>
      </c>
      <c r="Q1295" s="35" t="str">
        <f aca="false">IF(OR($A1295="",$C1295="U",$S1295&lt;&gt;Calc!$F$2),"",IF(COUNTIFS($E$3:$E1295,$E1295,$C$3:$C1295,"&lt;&gt;U",$S$3:$S1295,Calc!$F$2)=1,1,0))</f>
        <v/>
      </c>
      <c r="R1295" s="35" t="str">
        <f aca="false">IF($Q1295=1,$O1295-ROW()/100000,"")</f>
        <v/>
      </c>
      <c r="S1295" s="37" t="str">
        <f aca="false">IF($A1295="","",INT($A1295))</f>
        <v/>
      </c>
      <c r="T1295" s="35" t="str">
        <f aca="false">IF($A1295="","",IF(COUNTIFS($S$3:$S1295,$S1295)=1,1,0))</f>
        <v/>
      </c>
      <c r="U1295" s="37" t="str">
        <f aca="false">IF($T1295=1,$S1295,"")</f>
        <v/>
      </c>
    </row>
    <row r="1296" customFormat="false" ht="15" hidden="false" customHeight="false" outlineLevel="0" collapsed="false">
      <c r="M1296" s="35" t="str">
        <f aca="false">IF($A1296="","",HOUR($A1296))</f>
        <v/>
      </c>
      <c r="N1296" s="36" t="str">
        <f aca="false">IF($A1296="","",$I1296*$K1296)</f>
        <v/>
      </c>
      <c r="O1296" s="35" t="str">
        <f aca="false">IF(OR($A1296="",$C1296="U",$S1296&lt;&gt;Calc!$F$2),"",SUMIFS($I$3:$I$3002,$E$3:$E$3002,$E1296,$C$3:$C$3002,"&lt;&gt;U",$S$3:$S$3002,Calc!$F$2))</f>
        <v/>
      </c>
      <c r="P1296" s="35" t="str">
        <f aca="false">IF(OR($A1296="",$C1296="U",$S1296&lt;&gt;Calc!$F$2),"",SUMIFS($N$3:$N$3002,$E$3:$E$3002,$E1296,$C$3:$C$3002,"&lt;&gt;U",$S$3:$S$3002,Calc!$F$2))</f>
        <v/>
      </c>
      <c r="Q1296" s="35" t="str">
        <f aca="false">IF(OR($A1296="",$C1296="U",$S1296&lt;&gt;Calc!$F$2),"",IF(COUNTIFS($E$3:$E1296,$E1296,$C$3:$C1296,"&lt;&gt;U",$S$3:$S1296,Calc!$F$2)=1,1,0))</f>
        <v/>
      </c>
      <c r="R1296" s="35" t="str">
        <f aca="false">IF($Q1296=1,$O1296-ROW()/100000,"")</f>
        <v/>
      </c>
      <c r="S1296" s="37" t="str">
        <f aca="false">IF($A1296="","",INT($A1296))</f>
        <v/>
      </c>
      <c r="T1296" s="35" t="str">
        <f aca="false">IF($A1296="","",IF(COUNTIFS($S$3:$S1296,$S1296)=1,1,0))</f>
        <v/>
      </c>
      <c r="U1296" s="37" t="str">
        <f aca="false">IF($T1296=1,$S1296,"")</f>
        <v/>
      </c>
    </row>
    <row r="1297" customFormat="false" ht="15" hidden="false" customHeight="false" outlineLevel="0" collapsed="false">
      <c r="M1297" s="35" t="str">
        <f aca="false">IF($A1297="","",HOUR($A1297))</f>
        <v/>
      </c>
      <c r="N1297" s="36" t="str">
        <f aca="false">IF($A1297="","",$I1297*$K1297)</f>
        <v/>
      </c>
      <c r="O1297" s="35" t="str">
        <f aca="false">IF(OR($A1297="",$C1297="U",$S1297&lt;&gt;Calc!$F$2),"",SUMIFS($I$3:$I$3002,$E$3:$E$3002,$E1297,$C$3:$C$3002,"&lt;&gt;U",$S$3:$S$3002,Calc!$F$2))</f>
        <v/>
      </c>
      <c r="P1297" s="35" t="str">
        <f aca="false">IF(OR($A1297="",$C1297="U",$S1297&lt;&gt;Calc!$F$2),"",SUMIFS($N$3:$N$3002,$E$3:$E$3002,$E1297,$C$3:$C$3002,"&lt;&gt;U",$S$3:$S$3002,Calc!$F$2))</f>
        <v/>
      </c>
      <c r="Q1297" s="35" t="str">
        <f aca="false">IF(OR($A1297="",$C1297="U",$S1297&lt;&gt;Calc!$F$2),"",IF(COUNTIFS($E$3:$E1297,$E1297,$C$3:$C1297,"&lt;&gt;U",$S$3:$S1297,Calc!$F$2)=1,1,0))</f>
        <v/>
      </c>
      <c r="R1297" s="35" t="str">
        <f aca="false">IF($Q1297=1,$O1297-ROW()/100000,"")</f>
        <v/>
      </c>
      <c r="S1297" s="37" t="str">
        <f aca="false">IF($A1297="","",INT($A1297))</f>
        <v/>
      </c>
      <c r="T1297" s="35" t="str">
        <f aca="false">IF($A1297="","",IF(COUNTIFS($S$3:$S1297,$S1297)=1,1,0))</f>
        <v/>
      </c>
      <c r="U1297" s="37" t="str">
        <f aca="false">IF($T1297=1,$S1297,"")</f>
        <v/>
      </c>
    </row>
    <row r="1298" customFormat="false" ht="15" hidden="false" customHeight="false" outlineLevel="0" collapsed="false">
      <c r="M1298" s="35" t="str">
        <f aca="false">IF($A1298="","",HOUR($A1298))</f>
        <v/>
      </c>
      <c r="N1298" s="36" t="str">
        <f aca="false">IF($A1298="","",$I1298*$K1298)</f>
        <v/>
      </c>
      <c r="O1298" s="35" t="str">
        <f aca="false">IF(OR($A1298="",$C1298="U",$S1298&lt;&gt;Calc!$F$2),"",SUMIFS($I$3:$I$3002,$E$3:$E$3002,$E1298,$C$3:$C$3002,"&lt;&gt;U",$S$3:$S$3002,Calc!$F$2))</f>
        <v/>
      </c>
      <c r="P1298" s="35" t="str">
        <f aca="false">IF(OR($A1298="",$C1298="U",$S1298&lt;&gt;Calc!$F$2),"",SUMIFS($N$3:$N$3002,$E$3:$E$3002,$E1298,$C$3:$C$3002,"&lt;&gt;U",$S$3:$S$3002,Calc!$F$2))</f>
        <v/>
      </c>
      <c r="Q1298" s="35" t="str">
        <f aca="false">IF(OR($A1298="",$C1298="U",$S1298&lt;&gt;Calc!$F$2),"",IF(COUNTIFS($E$3:$E1298,$E1298,$C$3:$C1298,"&lt;&gt;U",$S$3:$S1298,Calc!$F$2)=1,1,0))</f>
        <v/>
      </c>
      <c r="R1298" s="35" t="str">
        <f aca="false">IF($Q1298=1,$O1298-ROW()/100000,"")</f>
        <v/>
      </c>
      <c r="S1298" s="37" t="str">
        <f aca="false">IF($A1298="","",INT($A1298))</f>
        <v/>
      </c>
      <c r="T1298" s="35" t="str">
        <f aca="false">IF($A1298="","",IF(COUNTIFS($S$3:$S1298,$S1298)=1,1,0))</f>
        <v/>
      </c>
      <c r="U1298" s="37" t="str">
        <f aca="false">IF($T1298=1,$S1298,"")</f>
        <v/>
      </c>
    </row>
    <row r="1299" customFormat="false" ht="15" hidden="false" customHeight="false" outlineLevel="0" collapsed="false">
      <c r="M1299" s="35" t="str">
        <f aca="false">IF($A1299="","",HOUR($A1299))</f>
        <v/>
      </c>
      <c r="N1299" s="36" t="str">
        <f aca="false">IF($A1299="","",$I1299*$K1299)</f>
        <v/>
      </c>
      <c r="O1299" s="35" t="str">
        <f aca="false">IF(OR($A1299="",$C1299="U",$S1299&lt;&gt;Calc!$F$2),"",SUMIFS($I$3:$I$3002,$E$3:$E$3002,$E1299,$C$3:$C$3002,"&lt;&gt;U",$S$3:$S$3002,Calc!$F$2))</f>
        <v/>
      </c>
      <c r="P1299" s="35" t="str">
        <f aca="false">IF(OR($A1299="",$C1299="U",$S1299&lt;&gt;Calc!$F$2),"",SUMIFS($N$3:$N$3002,$E$3:$E$3002,$E1299,$C$3:$C$3002,"&lt;&gt;U",$S$3:$S$3002,Calc!$F$2))</f>
        <v/>
      </c>
      <c r="Q1299" s="35" t="str">
        <f aca="false">IF(OR($A1299="",$C1299="U",$S1299&lt;&gt;Calc!$F$2),"",IF(COUNTIFS($E$3:$E1299,$E1299,$C$3:$C1299,"&lt;&gt;U",$S$3:$S1299,Calc!$F$2)=1,1,0))</f>
        <v/>
      </c>
      <c r="R1299" s="35" t="str">
        <f aca="false">IF($Q1299=1,$O1299-ROW()/100000,"")</f>
        <v/>
      </c>
      <c r="S1299" s="37" t="str">
        <f aca="false">IF($A1299="","",INT($A1299))</f>
        <v/>
      </c>
      <c r="T1299" s="35" t="str">
        <f aca="false">IF($A1299="","",IF(COUNTIFS($S$3:$S1299,$S1299)=1,1,0))</f>
        <v/>
      </c>
      <c r="U1299" s="37" t="str">
        <f aca="false">IF($T1299=1,$S1299,"")</f>
        <v/>
      </c>
    </row>
    <row r="1300" customFormat="false" ht="15" hidden="false" customHeight="false" outlineLevel="0" collapsed="false">
      <c r="M1300" s="35" t="str">
        <f aca="false">IF($A1300="","",HOUR($A1300))</f>
        <v/>
      </c>
      <c r="N1300" s="36" t="str">
        <f aca="false">IF($A1300="","",$I1300*$K1300)</f>
        <v/>
      </c>
      <c r="O1300" s="35" t="str">
        <f aca="false">IF(OR($A1300="",$C1300="U",$S1300&lt;&gt;Calc!$F$2),"",SUMIFS($I$3:$I$3002,$E$3:$E$3002,$E1300,$C$3:$C$3002,"&lt;&gt;U",$S$3:$S$3002,Calc!$F$2))</f>
        <v/>
      </c>
      <c r="P1300" s="35" t="str">
        <f aca="false">IF(OR($A1300="",$C1300="U",$S1300&lt;&gt;Calc!$F$2),"",SUMIFS($N$3:$N$3002,$E$3:$E$3002,$E1300,$C$3:$C$3002,"&lt;&gt;U",$S$3:$S$3002,Calc!$F$2))</f>
        <v/>
      </c>
      <c r="Q1300" s="35" t="str">
        <f aca="false">IF(OR($A1300="",$C1300="U",$S1300&lt;&gt;Calc!$F$2),"",IF(COUNTIFS($E$3:$E1300,$E1300,$C$3:$C1300,"&lt;&gt;U",$S$3:$S1300,Calc!$F$2)=1,1,0))</f>
        <v/>
      </c>
      <c r="R1300" s="35" t="str">
        <f aca="false">IF($Q1300=1,$O1300-ROW()/100000,"")</f>
        <v/>
      </c>
      <c r="S1300" s="37" t="str">
        <f aca="false">IF($A1300="","",INT($A1300))</f>
        <v/>
      </c>
      <c r="T1300" s="35" t="str">
        <f aca="false">IF($A1300="","",IF(COUNTIFS($S$3:$S1300,$S1300)=1,1,0))</f>
        <v/>
      </c>
      <c r="U1300" s="37" t="str">
        <f aca="false">IF($T1300=1,$S1300,"")</f>
        <v/>
      </c>
    </row>
    <row r="1301" customFormat="false" ht="15" hidden="false" customHeight="false" outlineLevel="0" collapsed="false">
      <c r="M1301" s="35" t="str">
        <f aca="false">IF($A1301="","",HOUR($A1301))</f>
        <v/>
      </c>
      <c r="N1301" s="36" t="str">
        <f aca="false">IF($A1301="","",$I1301*$K1301)</f>
        <v/>
      </c>
      <c r="O1301" s="35" t="str">
        <f aca="false">IF(OR($A1301="",$C1301="U",$S1301&lt;&gt;Calc!$F$2),"",SUMIFS($I$3:$I$3002,$E$3:$E$3002,$E1301,$C$3:$C$3002,"&lt;&gt;U",$S$3:$S$3002,Calc!$F$2))</f>
        <v/>
      </c>
      <c r="P1301" s="35" t="str">
        <f aca="false">IF(OR($A1301="",$C1301="U",$S1301&lt;&gt;Calc!$F$2),"",SUMIFS($N$3:$N$3002,$E$3:$E$3002,$E1301,$C$3:$C$3002,"&lt;&gt;U",$S$3:$S$3002,Calc!$F$2))</f>
        <v/>
      </c>
      <c r="Q1301" s="35" t="str">
        <f aca="false">IF(OR($A1301="",$C1301="U",$S1301&lt;&gt;Calc!$F$2),"",IF(COUNTIFS($E$3:$E1301,$E1301,$C$3:$C1301,"&lt;&gt;U",$S$3:$S1301,Calc!$F$2)=1,1,0))</f>
        <v/>
      </c>
      <c r="R1301" s="35" t="str">
        <f aca="false">IF($Q1301=1,$O1301-ROW()/100000,"")</f>
        <v/>
      </c>
      <c r="S1301" s="37" t="str">
        <f aca="false">IF($A1301="","",INT($A1301))</f>
        <v/>
      </c>
      <c r="T1301" s="35" t="str">
        <f aca="false">IF($A1301="","",IF(COUNTIFS($S$3:$S1301,$S1301)=1,1,0))</f>
        <v/>
      </c>
      <c r="U1301" s="37" t="str">
        <f aca="false">IF($T1301=1,$S1301,"")</f>
        <v/>
      </c>
    </row>
    <row r="1302" customFormat="false" ht="15" hidden="false" customHeight="false" outlineLevel="0" collapsed="false">
      <c r="M1302" s="35" t="str">
        <f aca="false">IF($A1302="","",HOUR($A1302))</f>
        <v/>
      </c>
      <c r="N1302" s="36" t="str">
        <f aca="false">IF($A1302="","",$I1302*$K1302)</f>
        <v/>
      </c>
      <c r="O1302" s="35" t="str">
        <f aca="false">IF(OR($A1302="",$C1302="U",$S1302&lt;&gt;Calc!$F$2),"",SUMIFS($I$3:$I$3002,$E$3:$E$3002,$E1302,$C$3:$C$3002,"&lt;&gt;U",$S$3:$S$3002,Calc!$F$2))</f>
        <v/>
      </c>
      <c r="P1302" s="35" t="str">
        <f aca="false">IF(OR($A1302="",$C1302="U",$S1302&lt;&gt;Calc!$F$2),"",SUMIFS($N$3:$N$3002,$E$3:$E$3002,$E1302,$C$3:$C$3002,"&lt;&gt;U",$S$3:$S$3002,Calc!$F$2))</f>
        <v/>
      </c>
      <c r="Q1302" s="35" t="str">
        <f aca="false">IF(OR($A1302="",$C1302="U",$S1302&lt;&gt;Calc!$F$2),"",IF(COUNTIFS($E$3:$E1302,$E1302,$C$3:$C1302,"&lt;&gt;U",$S$3:$S1302,Calc!$F$2)=1,1,0))</f>
        <v/>
      </c>
      <c r="R1302" s="35" t="str">
        <f aca="false">IF($Q1302=1,$O1302-ROW()/100000,"")</f>
        <v/>
      </c>
      <c r="S1302" s="37" t="str">
        <f aca="false">IF($A1302="","",INT($A1302))</f>
        <v/>
      </c>
      <c r="T1302" s="35" t="str">
        <f aca="false">IF($A1302="","",IF(COUNTIFS($S$3:$S1302,$S1302)=1,1,0))</f>
        <v/>
      </c>
      <c r="U1302" s="37" t="str">
        <f aca="false">IF($T1302=1,$S1302,"")</f>
        <v/>
      </c>
    </row>
    <row r="1303" customFormat="false" ht="15" hidden="false" customHeight="false" outlineLevel="0" collapsed="false">
      <c r="M1303" s="35" t="str">
        <f aca="false">IF($A1303="","",HOUR($A1303))</f>
        <v/>
      </c>
      <c r="N1303" s="36" t="str">
        <f aca="false">IF($A1303="","",$I1303*$K1303)</f>
        <v/>
      </c>
      <c r="O1303" s="35" t="str">
        <f aca="false">IF(OR($A1303="",$C1303="U",$S1303&lt;&gt;Calc!$F$2),"",SUMIFS($I$3:$I$3002,$E$3:$E$3002,$E1303,$C$3:$C$3002,"&lt;&gt;U",$S$3:$S$3002,Calc!$F$2))</f>
        <v/>
      </c>
      <c r="P1303" s="35" t="str">
        <f aca="false">IF(OR($A1303="",$C1303="U",$S1303&lt;&gt;Calc!$F$2),"",SUMIFS($N$3:$N$3002,$E$3:$E$3002,$E1303,$C$3:$C$3002,"&lt;&gt;U",$S$3:$S$3002,Calc!$F$2))</f>
        <v/>
      </c>
      <c r="Q1303" s="35" t="str">
        <f aca="false">IF(OR($A1303="",$C1303="U",$S1303&lt;&gt;Calc!$F$2),"",IF(COUNTIFS($E$3:$E1303,$E1303,$C$3:$C1303,"&lt;&gt;U",$S$3:$S1303,Calc!$F$2)=1,1,0))</f>
        <v/>
      </c>
      <c r="R1303" s="35" t="str">
        <f aca="false">IF($Q1303=1,$O1303-ROW()/100000,"")</f>
        <v/>
      </c>
      <c r="S1303" s="37" t="str">
        <f aca="false">IF($A1303="","",INT($A1303))</f>
        <v/>
      </c>
      <c r="T1303" s="35" t="str">
        <f aca="false">IF($A1303="","",IF(COUNTIFS($S$3:$S1303,$S1303)=1,1,0))</f>
        <v/>
      </c>
      <c r="U1303" s="37" t="str">
        <f aca="false">IF($T1303=1,$S1303,"")</f>
        <v/>
      </c>
    </row>
    <row r="1304" customFormat="false" ht="15" hidden="false" customHeight="false" outlineLevel="0" collapsed="false">
      <c r="M1304" s="35" t="str">
        <f aca="false">IF($A1304="","",HOUR($A1304))</f>
        <v/>
      </c>
      <c r="N1304" s="36" t="str">
        <f aca="false">IF($A1304="","",$I1304*$K1304)</f>
        <v/>
      </c>
      <c r="O1304" s="35" t="str">
        <f aca="false">IF(OR($A1304="",$C1304="U",$S1304&lt;&gt;Calc!$F$2),"",SUMIFS($I$3:$I$3002,$E$3:$E$3002,$E1304,$C$3:$C$3002,"&lt;&gt;U",$S$3:$S$3002,Calc!$F$2))</f>
        <v/>
      </c>
      <c r="P1304" s="35" t="str">
        <f aca="false">IF(OR($A1304="",$C1304="U",$S1304&lt;&gt;Calc!$F$2),"",SUMIFS($N$3:$N$3002,$E$3:$E$3002,$E1304,$C$3:$C$3002,"&lt;&gt;U",$S$3:$S$3002,Calc!$F$2))</f>
        <v/>
      </c>
      <c r="Q1304" s="35" t="str">
        <f aca="false">IF(OR($A1304="",$C1304="U",$S1304&lt;&gt;Calc!$F$2),"",IF(COUNTIFS($E$3:$E1304,$E1304,$C$3:$C1304,"&lt;&gt;U",$S$3:$S1304,Calc!$F$2)=1,1,0))</f>
        <v/>
      </c>
      <c r="R1304" s="35" t="str">
        <f aca="false">IF($Q1304=1,$O1304-ROW()/100000,"")</f>
        <v/>
      </c>
      <c r="S1304" s="37" t="str">
        <f aca="false">IF($A1304="","",INT($A1304))</f>
        <v/>
      </c>
      <c r="T1304" s="35" t="str">
        <f aca="false">IF($A1304="","",IF(COUNTIFS($S$3:$S1304,$S1304)=1,1,0))</f>
        <v/>
      </c>
      <c r="U1304" s="37" t="str">
        <f aca="false">IF($T1304=1,$S1304,"")</f>
        <v/>
      </c>
    </row>
    <row r="1305" customFormat="false" ht="15" hidden="false" customHeight="false" outlineLevel="0" collapsed="false">
      <c r="M1305" s="35" t="str">
        <f aca="false">IF($A1305="","",HOUR($A1305))</f>
        <v/>
      </c>
      <c r="N1305" s="36" t="str">
        <f aca="false">IF($A1305="","",$I1305*$K1305)</f>
        <v/>
      </c>
      <c r="O1305" s="35" t="str">
        <f aca="false">IF(OR($A1305="",$C1305="U",$S1305&lt;&gt;Calc!$F$2),"",SUMIFS($I$3:$I$3002,$E$3:$E$3002,$E1305,$C$3:$C$3002,"&lt;&gt;U",$S$3:$S$3002,Calc!$F$2))</f>
        <v/>
      </c>
      <c r="P1305" s="35" t="str">
        <f aca="false">IF(OR($A1305="",$C1305="U",$S1305&lt;&gt;Calc!$F$2),"",SUMIFS($N$3:$N$3002,$E$3:$E$3002,$E1305,$C$3:$C$3002,"&lt;&gt;U",$S$3:$S$3002,Calc!$F$2))</f>
        <v/>
      </c>
      <c r="Q1305" s="35" t="str">
        <f aca="false">IF(OR($A1305="",$C1305="U",$S1305&lt;&gt;Calc!$F$2),"",IF(COUNTIFS($E$3:$E1305,$E1305,$C$3:$C1305,"&lt;&gt;U",$S$3:$S1305,Calc!$F$2)=1,1,0))</f>
        <v/>
      </c>
      <c r="R1305" s="35" t="str">
        <f aca="false">IF($Q1305=1,$O1305-ROW()/100000,"")</f>
        <v/>
      </c>
      <c r="S1305" s="37" t="str">
        <f aca="false">IF($A1305="","",INT($A1305))</f>
        <v/>
      </c>
      <c r="T1305" s="35" t="str">
        <f aca="false">IF($A1305="","",IF(COUNTIFS($S$3:$S1305,$S1305)=1,1,0))</f>
        <v/>
      </c>
      <c r="U1305" s="37" t="str">
        <f aca="false">IF($T1305=1,$S1305,"")</f>
        <v/>
      </c>
    </row>
    <row r="1306" customFormat="false" ht="15" hidden="false" customHeight="false" outlineLevel="0" collapsed="false">
      <c r="M1306" s="35" t="str">
        <f aca="false">IF($A1306="","",HOUR($A1306))</f>
        <v/>
      </c>
      <c r="N1306" s="36" t="str">
        <f aca="false">IF($A1306="","",$I1306*$K1306)</f>
        <v/>
      </c>
      <c r="O1306" s="35" t="str">
        <f aca="false">IF(OR($A1306="",$C1306="U",$S1306&lt;&gt;Calc!$F$2),"",SUMIFS($I$3:$I$3002,$E$3:$E$3002,$E1306,$C$3:$C$3002,"&lt;&gt;U",$S$3:$S$3002,Calc!$F$2))</f>
        <v/>
      </c>
      <c r="P1306" s="35" t="str">
        <f aca="false">IF(OR($A1306="",$C1306="U",$S1306&lt;&gt;Calc!$F$2),"",SUMIFS($N$3:$N$3002,$E$3:$E$3002,$E1306,$C$3:$C$3002,"&lt;&gt;U",$S$3:$S$3002,Calc!$F$2))</f>
        <v/>
      </c>
      <c r="Q1306" s="35" t="str">
        <f aca="false">IF(OR($A1306="",$C1306="U",$S1306&lt;&gt;Calc!$F$2),"",IF(COUNTIFS($E$3:$E1306,$E1306,$C$3:$C1306,"&lt;&gt;U",$S$3:$S1306,Calc!$F$2)=1,1,0))</f>
        <v/>
      </c>
      <c r="R1306" s="35" t="str">
        <f aca="false">IF($Q1306=1,$O1306-ROW()/100000,"")</f>
        <v/>
      </c>
      <c r="S1306" s="37" t="str">
        <f aca="false">IF($A1306="","",INT($A1306))</f>
        <v/>
      </c>
      <c r="T1306" s="35" t="str">
        <f aca="false">IF($A1306="","",IF(COUNTIFS($S$3:$S1306,$S1306)=1,1,0))</f>
        <v/>
      </c>
      <c r="U1306" s="37" t="str">
        <f aca="false">IF($T1306=1,$S1306,"")</f>
        <v/>
      </c>
    </row>
    <row r="1307" customFormat="false" ht="15" hidden="false" customHeight="false" outlineLevel="0" collapsed="false">
      <c r="M1307" s="35" t="str">
        <f aca="false">IF($A1307="","",HOUR($A1307))</f>
        <v/>
      </c>
      <c r="N1307" s="36" t="str">
        <f aca="false">IF($A1307="","",$I1307*$K1307)</f>
        <v/>
      </c>
      <c r="O1307" s="35" t="str">
        <f aca="false">IF(OR($A1307="",$C1307="U",$S1307&lt;&gt;Calc!$F$2),"",SUMIFS($I$3:$I$3002,$E$3:$E$3002,$E1307,$C$3:$C$3002,"&lt;&gt;U",$S$3:$S$3002,Calc!$F$2))</f>
        <v/>
      </c>
      <c r="P1307" s="35" t="str">
        <f aca="false">IF(OR($A1307="",$C1307="U",$S1307&lt;&gt;Calc!$F$2),"",SUMIFS($N$3:$N$3002,$E$3:$E$3002,$E1307,$C$3:$C$3002,"&lt;&gt;U",$S$3:$S$3002,Calc!$F$2))</f>
        <v/>
      </c>
      <c r="Q1307" s="35" t="str">
        <f aca="false">IF(OR($A1307="",$C1307="U",$S1307&lt;&gt;Calc!$F$2),"",IF(COUNTIFS($E$3:$E1307,$E1307,$C$3:$C1307,"&lt;&gt;U",$S$3:$S1307,Calc!$F$2)=1,1,0))</f>
        <v/>
      </c>
      <c r="R1307" s="35" t="str">
        <f aca="false">IF($Q1307=1,$O1307-ROW()/100000,"")</f>
        <v/>
      </c>
      <c r="S1307" s="37" t="str">
        <f aca="false">IF($A1307="","",INT($A1307))</f>
        <v/>
      </c>
      <c r="T1307" s="35" t="str">
        <f aca="false">IF($A1307="","",IF(COUNTIFS($S$3:$S1307,$S1307)=1,1,0))</f>
        <v/>
      </c>
      <c r="U1307" s="37" t="str">
        <f aca="false">IF($T1307=1,$S1307,"")</f>
        <v/>
      </c>
    </row>
    <row r="1308" customFormat="false" ht="15" hidden="false" customHeight="false" outlineLevel="0" collapsed="false">
      <c r="M1308" s="35" t="str">
        <f aca="false">IF($A1308="","",HOUR($A1308))</f>
        <v/>
      </c>
      <c r="N1308" s="36" t="str">
        <f aca="false">IF($A1308="","",$I1308*$K1308)</f>
        <v/>
      </c>
      <c r="O1308" s="35" t="str">
        <f aca="false">IF(OR($A1308="",$C1308="U",$S1308&lt;&gt;Calc!$F$2),"",SUMIFS($I$3:$I$3002,$E$3:$E$3002,$E1308,$C$3:$C$3002,"&lt;&gt;U",$S$3:$S$3002,Calc!$F$2))</f>
        <v/>
      </c>
      <c r="P1308" s="35" t="str">
        <f aca="false">IF(OR($A1308="",$C1308="U",$S1308&lt;&gt;Calc!$F$2),"",SUMIFS($N$3:$N$3002,$E$3:$E$3002,$E1308,$C$3:$C$3002,"&lt;&gt;U",$S$3:$S$3002,Calc!$F$2))</f>
        <v/>
      </c>
      <c r="Q1308" s="35" t="str">
        <f aca="false">IF(OR($A1308="",$C1308="U",$S1308&lt;&gt;Calc!$F$2),"",IF(COUNTIFS($E$3:$E1308,$E1308,$C$3:$C1308,"&lt;&gt;U",$S$3:$S1308,Calc!$F$2)=1,1,0))</f>
        <v/>
      </c>
      <c r="R1308" s="35" t="str">
        <f aca="false">IF($Q1308=1,$O1308-ROW()/100000,"")</f>
        <v/>
      </c>
      <c r="S1308" s="37" t="str">
        <f aca="false">IF($A1308="","",INT($A1308))</f>
        <v/>
      </c>
      <c r="T1308" s="35" t="str">
        <f aca="false">IF($A1308="","",IF(COUNTIFS($S$3:$S1308,$S1308)=1,1,0))</f>
        <v/>
      </c>
      <c r="U1308" s="37" t="str">
        <f aca="false">IF($T1308=1,$S1308,"")</f>
        <v/>
      </c>
    </row>
    <row r="1309" customFormat="false" ht="15" hidden="false" customHeight="false" outlineLevel="0" collapsed="false">
      <c r="M1309" s="35" t="str">
        <f aca="false">IF($A1309="","",HOUR($A1309))</f>
        <v/>
      </c>
      <c r="N1309" s="36" t="str">
        <f aca="false">IF($A1309="","",$I1309*$K1309)</f>
        <v/>
      </c>
      <c r="O1309" s="35" t="str">
        <f aca="false">IF(OR($A1309="",$C1309="U",$S1309&lt;&gt;Calc!$F$2),"",SUMIFS($I$3:$I$3002,$E$3:$E$3002,$E1309,$C$3:$C$3002,"&lt;&gt;U",$S$3:$S$3002,Calc!$F$2))</f>
        <v/>
      </c>
      <c r="P1309" s="35" t="str">
        <f aca="false">IF(OR($A1309="",$C1309="U",$S1309&lt;&gt;Calc!$F$2),"",SUMIFS($N$3:$N$3002,$E$3:$E$3002,$E1309,$C$3:$C$3002,"&lt;&gt;U",$S$3:$S$3002,Calc!$F$2))</f>
        <v/>
      </c>
      <c r="Q1309" s="35" t="str">
        <f aca="false">IF(OR($A1309="",$C1309="U",$S1309&lt;&gt;Calc!$F$2),"",IF(COUNTIFS($E$3:$E1309,$E1309,$C$3:$C1309,"&lt;&gt;U",$S$3:$S1309,Calc!$F$2)=1,1,0))</f>
        <v/>
      </c>
      <c r="R1309" s="35" t="str">
        <f aca="false">IF($Q1309=1,$O1309-ROW()/100000,"")</f>
        <v/>
      </c>
      <c r="S1309" s="37" t="str">
        <f aca="false">IF($A1309="","",INT($A1309))</f>
        <v/>
      </c>
      <c r="T1309" s="35" t="str">
        <f aca="false">IF($A1309="","",IF(COUNTIFS($S$3:$S1309,$S1309)=1,1,0))</f>
        <v/>
      </c>
      <c r="U1309" s="37" t="str">
        <f aca="false">IF($T1309=1,$S1309,"")</f>
        <v/>
      </c>
    </row>
    <row r="1310" customFormat="false" ht="15" hidden="false" customHeight="false" outlineLevel="0" collapsed="false">
      <c r="M1310" s="35" t="str">
        <f aca="false">IF($A1310="","",HOUR($A1310))</f>
        <v/>
      </c>
      <c r="N1310" s="36" t="str">
        <f aca="false">IF($A1310="","",$I1310*$K1310)</f>
        <v/>
      </c>
      <c r="O1310" s="35" t="str">
        <f aca="false">IF(OR($A1310="",$C1310="U",$S1310&lt;&gt;Calc!$F$2),"",SUMIFS($I$3:$I$3002,$E$3:$E$3002,$E1310,$C$3:$C$3002,"&lt;&gt;U",$S$3:$S$3002,Calc!$F$2))</f>
        <v/>
      </c>
      <c r="P1310" s="35" t="str">
        <f aca="false">IF(OR($A1310="",$C1310="U",$S1310&lt;&gt;Calc!$F$2),"",SUMIFS($N$3:$N$3002,$E$3:$E$3002,$E1310,$C$3:$C$3002,"&lt;&gt;U",$S$3:$S$3002,Calc!$F$2))</f>
        <v/>
      </c>
      <c r="Q1310" s="35" t="str">
        <f aca="false">IF(OR($A1310="",$C1310="U",$S1310&lt;&gt;Calc!$F$2),"",IF(COUNTIFS($E$3:$E1310,$E1310,$C$3:$C1310,"&lt;&gt;U",$S$3:$S1310,Calc!$F$2)=1,1,0))</f>
        <v/>
      </c>
      <c r="R1310" s="35" t="str">
        <f aca="false">IF($Q1310=1,$O1310-ROW()/100000,"")</f>
        <v/>
      </c>
      <c r="S1310" s="37" t="str">
        <f aca="false">IF($A1310="","",INT($A1310))</f>
        <v/>
      </c>
      <c r="T1310" s="35" t="str">
        <f aca="false">IF($A1310="","",IF(COUNTIFS($S$3:$S1310,$S1310)=1,1,0))</f>
        <v/>
      </c>
      <c r="U1310" s="37" t="str">
        <f aca="false">IF($T1310=1,$S1310,"")</f>
        <v/>
      </c>
    </row>
    <row r="1311" customFormat="false" ht="15" hidden="false" customHeight="false" outlineLevel="0" collapsed="false">
      <c r="M1311" s="35" t="str">
        <f aca="false">IF($A1311="","",HOUR($A1311))</f>
        <v/>
      </c>
      <c r="N1311" s="36" t="str">
        <f aca="false">IF($A1311="","",$I1311*$K1311)</f>
        <v/>
      </c>
      <c r="O1311" s="35" t="str">
        <f aca="false">IF(OR($A1311="",$C1311="U",$S1311&lt;&gt;Calc!$F$2),"",SUMIFS($I$3:$I$3002,$E$3:$E$3002,$E1311,$C$3:$C$3002,"&lt;&gt;U",$S$3:$S$3002,Calc!$F$2))</f>
        <v/>
      </c>
      <c r="P1311" s="35" t="str">
        <f aca="false">IF(OR($A1311="",$C1311="U",$S1311&lt;&gt;Calc!$F$2),"",SUMIFS($N$3:$N$3002,$E$3:$E$3002,$E1311,$C$3:$C$3002,"&lt;&gt;U",$S$3:$S$3002,Calc!$F$2))</f>
        <v/>
      </c>
      <c r="Q1311" s="35" t="str">
        <f aca="false">IF(OR($A1311="",$C1311="U",$S1311&lt;&gt;Calc!$F$2),"",IF(COUNTIFS($E$3:$E1311,$E1311,$C$3:$C1311,"&lt;&gt;U",$S$3:$S1311,Calc!$F$2)=1,1,0))</f>
        <v/>
      </c>
      <c r="R1311" s="35" t="str">
        <f aca="false">IF($Q1311=1,$O1311-ROW()/100000,"")</f>
        <v/>
      </c>
      <c r="S1311" s="37" t="str">
        <f aca="false">IF($A1311="","",INT($A1311))</f>
        <v/>
      </c>
      <c r="T1311" s="35" t="str">
        <f aca="false">IF($A1311="","",IF(COUNTIFS($S$3:$S1311,$S1311)=1,1,0))</f>
        <v/>
      </c>
      <c r="U1311" s="37" t="str">
        <f aca="false">IF($T1311=1,$S1311,"")</f>
        <v/>
      </c>
    </row>
    <row r="1312" customFormat="false" ht="15" hidden="false" customHeight="false" outlineLevel="0" collapsed="false">
      <c r="M1312" s="35" t="str">
        <f aca="false">IF($A1312="","",HOUR($A1312))</f>
        <v/>
      </c>
      <c r="N1312" s="36" t="str">
        <f aca="false">IF($A1312="","",$I1312*$K1312)</f>
        <v/>
      </c>
      <c r="O1312" s="35" t="str">
        <f aca="false">IF(OR($A1312="",$C1312="U",$S1312&lt;&gt;Calc!$F$2),"",SUMIFS($I$3:$I$3002,$E$3:$E$3002,$E1312,$C$3:$C$3002,"&lt;&gt;U",$S$3:$S$3002,Calc!$F$2))</f>
        <v/>
      </c>
      <c r="P1312" s="35" t="str">
        <f aca="false">IF(OR($A1312="",$C1312="U",$S1312&lt;&gt;Calc!$F$2),"",SUMIFS($N$3:$N$3002,$E$3:$E$3002,$E1312,$C$3:$C$3002,"&lt;&gt;U",$S$3:$S$3002,Calc!$F$2))</f>
        <v/>
      </c>
      <c r="Q1312" s="35" t="str">
        <f aca="false">IF(OR($A1312="",$C1312="U",$S1312&lt;&gt;Calc!$F$2),"",IF(COUNTIFS($E$3:$E1312,$E1312,$C$3:$C1312,"&lt;&gt;U",$S$3:$S1312,Calc!$F$2)=1,1,0))</f>
        <v/>
      </c>
      <c r="R1312" s="35" t="str">
        <f aca="false">IF($Q1312=1,$O1312-ROW()/100000,"")</f>
        <v/>
      </c>
      <c r="S1312" s="37" t="str">
        <f aca="false">IF($A1312="","",INT($A1312))</f>
        <v/>
      </c>
      <c r="T1312" s="35" t="str">
        <f aca="false">IF($A1312="","",IF(COUNTIFS($S$3:$S1312,$S1312)=1,1,0))</f>
        <v/>
      </c>
      <c r="U1312" s="37" t="str">
        <f aca="false">IF($T1312=1,$S1312,"")</f>
        <v/>
      </c>
    </row>
    <row r="1313" customFormat="false" ht="15" hidden="false" customHeight="false" outlineLevel="0" collapsed="false">
      <c r="M1313" s="35" t="str">
        <f aca="false">IF($A1313="","",HOUR($A1313))</f>
        <v/>
      </c>
      <c r="N1313" s="36" t="str">
        <f aca="false">IF($A1313="","",$I1313*$K1313)</f>
        <v/>
      </c>
      <c r="O1313" s="35" t="str">
        <f aca="false">IF(OR($A1313="",$C1313="U",$S1313&lt;&gt;Calc!$F$2),"",SUMIFS($I$3:$I$3002,$E$3:$E$3002,$E1313,$C$3:$C$3002,"&lt;&gt;U",$S$3:$S$3002,Calc!$F$2))</f>
        <v/>
      </c>
      <c r="P1313" s="35" t="str">
        <f aca="false">IF(OR($A1313="",$C1313="U",$S1313&lt;&gt;Calc!$F$2),"",SUMIFS($N$3:$N$3002,$E$3:$E$3002,$E1313,$C$3:$C$3002,"&lt;&gt;U",$S$3:$S$3002,Calc!$F$2))</f>
        <v/>
      </c>
      <c r="Q1313" s="35" t="str">
        <f aca="false">IF(OR($A1313="",$C1313="U",$S1313&lt;&gt;Calc!$F$2),"",IF(COUNTIFS($E$3:$E1313,$E1313,$C$3:$C1313,"&lt;&gt;U",$S$3:$S1313,Calc!$F$2)=1,1,0))</f>
        <v/>
      </c>
      <c r="R1313" s="35" t="str">
        <f aca="false">IF($Q1313=1,$O1313-ROW()/100000,"")</f>
        <v/>
      </c>
      <c r="S1313" s="37" t="str">
        <f aca="false">IF($A1313="","",INT($A1313))</f>
        <v/>
      </c>
      <c r="T1313" s="35" t="str">
        <f aca="false">IF($A1313="","",IF(COUNTIFS($S$3:$S1313,$S1313)=1,1,0))</f>
        <v/>
      </c>
      <c r="U1313" s="37" t="str">
        <f aca="false">IF($T1313=1,$S1313,"")</f>
        <v/>
      </c>
    </row>
    <row r="1314" customFormat="false" ht="15" hidden="false" customHeight="false" outlineLevel="0" collapsed="false">
      <c r="M1314" s="35" t="str">
        <f aca="false">IF($A1314="","",HOUR($A1314))</f>
        <v/>
      </c>
      <c r="N1314" s="36" t="str">
        <f aca="false">IF($A1314="","",$I1314*$K1314)</f>
        <v/>
      </c>
      <c r="O1314" s="35" t="str">
        <f aca="false">IF(OR($A1314="",$C1314="U",$S1314&lt;&gt;Calc!$F$2),"",SUMIFS($I$3:$I$3002,$E$3:$E$3002,$E1314,$C$3:$C$3002,"&lt;&gt;U",$S$3:$S$3002,Calc!$F$2))</f>
        <v/>
      </c>
      <c r="P1314" s="35" t="str">
        <f aca="false">IF(OR($A1314="",$C1314="U",$S1314&lt;&gt;Calc!$F$2),"",SUMIFS($N$3:$N$3002,$E$3:$E$3002,$E1314,$C$3:$C$3002,"&lt;&gt;U",$S$3:$S$3002,Calc!$F$2))</f>
        <v/>
      </c>
      <c r="Q1314" s="35" t="str">
        <f aca="false">IF(OR($A1314="",$C1314="U",$S1314&lt;&gt;Calc!$F$2),"",IF(COUNTIFS($E$3:$E1314,$E1314,$C$3:$C1314,"&lt;&gt;U",$S$3:$S1314,Calc!$F$2)=1,1,0))</f>
        <v/>
      </c>
      <c r="R1314" s="35" t="str">
        <f aca="false">IF($Q1314=1,$O1314-ROW()/100000,"")</f>
        <v/>
      </c>
      <c r="S1314" s="37" t="str">
        <f aca="false">IF($A1314="","",INT($A1314))</f>
        <v/>
      </c>
      <c r="T1314" s="35" t="str">
        <f aca="false">IF($A1314="","",IF(COUNTIFS($S$3:$S1314,$S1314)=1,1,0))</f>
        <v/>
      </c>
      <c r="U1314" s="37" t="str">
        <f aca="false">IF($T1314=1,$S1314,"")</f>
        <v/>
      </c>
    </row>
    <row r="1315" customFormat="false" ht="15" hidden="false" customHeight="false" outlineLevel="0" collapsed="false">
      <c r="M1315" s="35" t="str">
        <f aca="false">IF($A1315="","",HOUR($A1315))</f>
        <v/>
      </c>
      <c r="N1315" s="36" t="str">
        <f aca="false">IF($A1315="","",$I1315*$K1315)</f>
        <v/>
      </c>
      <c r="O1315" s="35" t="str">
        <f aca="false">IF(OR($A1315="",$C1315="U",$S1315&lt;&gt;Calc!$F$2),"",SUMIFS($I$3:$I$3002,$E$3:$E$3002,$E1315,$C$3:$C$3002,"&lt;&gt;U",$S$3:$S$3002,Calc!$F$2))</f>
        <v/>
      </c>
      <c r="P1315" s="35" t="str">
        <f aca="false">IF(OR($A1315="",$C1315="U",$S1315&lt;&gt;Calc!$F$2),"",SUMIFS($N$3:$N$3002,$E$3:$E$3002,$E1315,$C$3:$C$3002,"&lt;&gt;U",$S$3:$S$3002,Calc!$F$2))</f>
        <v/>
      </c>
      <c r="Q1315" s="35" t="str">
        <f aca="false">IF(OR($A1315="",$C1315="U",$S1315&lt;&gt;Calc!$F$2),"",IF(COUNTIFS($E$3:$E1315,$E1315,$C$3:$C1315,"&lt;&gt;U",$S$3:$S1315,Calc!$F$2)=1,1,0))</f>
        <v/>
      </c>
      <c r="R1315" s="35" t="str">
        <f aca="false">IF($Q1315=1,$O1315-ROW()/100000,"")</f>
        <v/>
      </c>
      <c r="S1315" s="37" t="str">
        <f aca="false">IF($A1315="","",INT($A1315))</f>
        <v/>
      </c>
      <c r="T1315" s="35" t="str">
        <f aca="false">IF($A1315="","",IF(COUNTIFS($S$3:$S1315,$S1315)=1,1,0))</f>
        <v/>
      </c>
      <c r="U1315" s="37" t="str">
        <f aca="false">IF($T1315=1,$S1315,"")</f>
        <v/>
      </c>
    </row>
    <row r="1316" customFormat="false" ht="15" hidden="false" customHeight="false" outlineLevel="0" collapsed="false">
      <c r="M1316" s="35" t="str">
        <f aca="false">IF($A1316="","",HOUR($A1316))</f>
        <v/>
      </c>
      <c r="N1316" s="36" t="str">
        <f aca="false">IF($A1316="","",$I1316*$K1316)</f>
        <v/>
      </c>
      <c r="O1316" s="35" t="str">
        <f aca="false">IF(OR($A1316="",$C1316="U",$S1316&lt;&gt;Calc!$F$2),"",SUMIFS($I$3:$I$3002,$E$3:$E$3002,$E1316,$C$3:$C$3002,"&lt;&gt;U",$S$3:$S$3002,Calc!$F$2))</f>
        <v/>
      </c>
      <c r="P1316" s="35" t="str">
        <f aca="false">IF(OR($A1316="",$C1316="U",$S1316&lt;&gt;Calc!$F$2),"",SUMIFS($N$3:$N$3002,$E$3:$E$3002,$E1316,$C$3:$C$3002,"&lt;&gt;U",$S$3:$S$3002,Calc!$F$2))</f>
        <v/>
      </c>
      <c r="Q1316" s="35" t="str">
        <f aca="false">IF(OR($A1316="",$C1316="U",$S1316&lt;&gt;Calc!$F$2),"",IF(COUNTIFS($E$3:$E1316,$E1316,$C$3:$C1316,"&lt;&gt;U",$S$3:$S1316,Calc!$F$2)=1,1,0))</f>
        <v/>
      </c>
      <c r="R1316" s="35" t="str">
        <f aca="false">IF($Q1316=1,$O1316-ROW()/100000,"")</f>
        <v/>
      </c>
      <c r="S1316" s="37" t="str">
        <f aca="false">IF($A1316="","",INT($A1316))</f>
        <v/>
      </c>
      <c r="T1316" s="35" t="str">
        <f aca="false">IF($A1316="","",IF(COUNTIFS($S$3:$S1316,$S1316)=1,1,0))</f>
        <v/>
      </c>
      <c r="U1316" s="37" t="str">
        <f aca="false">IF($T1316=1,$S1316,"")</f>
        <v/>
      </c>
    </row>
    <row r="1317" customFormat="false" ht="15" hidden="false" customHeight="false" outlineLevel="0" collapsed="false">
      <c r="M1317" s="35" t="str">
        <f aca="false">IF($A1317="","",HOUR($A1317))</f>
        <v/>
      </c>
      <c r="N1317" s="36" t="str">
        <f aca="false">IF($A1317="","",$I1317*$K1317)</f>
        <v/>
      </c>
      <c r="O1317" s="35" t="str">
        <f aca="false">IF(OR($A1317="",$C1317="U",$S1317&lt;&gt;Calc!$F$2),"",SUMIFS($I$3:$I$3002,$E$3:$E$3002,$E1317,$C$3:$C$3002,"&lt;&gt;U",$S$3:$S$3002,Calc!$F$2))</f>
        <v/>
      </c>
      <c r="P1317" s="35" t="str">
        <f aca="false">IF(OR($A1317="",$C1317="U",$S1317&lt;&gt;Calc!$F$2),"",SUMIFS($N$3:$N$3002,$E$3:$E$3002,$E1317,$C$3:$C$3002,"&lt;&gt;U",$S$3:$S$3002,Calc!$F$2))</f>
        <v/>
      </c>
      <c r="Q1317" s="35" t="str">
        <f aca="false">IF(OR($A1317="",$C1317="U",$S1317&lt;&gt;Calc!$F$2),"",IF(COUNTIFS($E$3:$E1317,$E1317,$C$3:$C1317,"&lt;&gt;U",$S$3:$S1317,Calc!$F$2)=1,1,0))</f>
        <v/>
      </c>
      <c r="R1317" s="35" t="str">
        <f aca="false">IF($Q1317=1,$O1317-ROW()/100000,"")</f>
        <v/>
      </c>
      <c r="S1317" s="37" t="str">
        <f aca="false">IF($A1317="","",INT($A1317))</f>
        <v/>
      </c>
      <c r="T1317" s="35" t="str">
        <f aca="false">IF($A1317="","",IF(COUNTIFS($S$3:$S1317,$S1317)=1,1,0))</f>
        <v/>
      </c>
      <c r="U1317" s="37" t="str">
        <f aca="false">IF($T1317=1,$S1317,"")</f>
        <v/>
      </c>
    </row>
    <row r="1318" customFormat="false" ht="15" hidden="false" customHeight="false" outlineLevel="0" collapsed="false">
      <c r="M1318" s="35" t="str">
        <f aca="false">IF($A1318="","",HOUR($A1318))</f>
        <v/>
      </c>
      <c r="N1318" s="36" t="str">
        <f aca="false">IF($A1318="","",$I1318*$K1318)</f>
        <v/>
      </c>
      <c r="O1318" s="35" t="str">
        <f aca="false">IF(OR($A1318="",$C1318="U",$S1318&lt;&gt;Calc!$F$2),"",SUMIFS($I$3:$I$3002,$E$3:$E$3002,$E1318,$C$3:$C$3002,"&lt;&gt;U",$S$3:$S$3002,Calc!$F$2))</f>
        <v/>
      </c>
      <c r="P1318" s="35" t="str">
        <f aca="false">IF(OR($A1318="",$C1318="U",$S1318&lt;&gt;Calc!$F$2),"",SUMIFS($N$3:$N$3002,$E$3:$E$3002,$E1318,$C$3:$C$3002,"&lt;&gt;U",$S$3:$S$3002,Calc!$F$2))</f>
        <v/>
      </c>
      <c r="Q1318" s="35" t="str">
        <f aca="false">IF(OR($A1318="",$C1318="U",$S1318&lt;&gt;Calc!$F$2),"",IF(COUNTIFS($E$3:$E1318,$E1318,$C$3:$C1318,"&lt;&gt;U",$S$3:$S1318,Calc!$F$2)=1,1,0))</f>
        <v/>
      </c>
      <c r="R1318" s="35" t="str">
        <f aca="false">IF($Q1318=1,$O1318-ROW()/100000,"")</f>
        <v/>
      </c>
      <c r="S1318" s="37" t="str">
        <f aca="false">IF($A1318="","",INT($A1318))</f>
        <v/>
      </c>
      <c r="T1318" s="35" t="str">
        <f aca="false">IF($A1318="","",IF(COUNTIFS($S$3:$S1318,$S1318)=1,1,0))</f>
        <v/>
      </c>
      <c r="U1318" s="37" t="str">
        <f aca="false">IF($T1318=1,$S1318,"")</f>
        <v/>
      </c>
    </row>
    <row r="1319" customFormat="false" ht="15" hidden="false" customHeight="false" outlineLevel="0" collapsed="false">
      <c r="M1319" s="35" t="str">
        <f aca="false">IF($A1319="","",HOUR($A1319))</f>
        <v/>
      </c>
      <c r="N1319" s="36" t="str">
        <f aca="false">IF($A1319="","",$I1319*$K1319)</f>
        <v/>
      </c>
      <c r="O1319" s="35" t="str">
        <f aca="false">IF(OR($A1319="",$C1319="U",$S1319&lt;&gt;Calc!$F$2),"",SUMIFS($I$3:$I$3002,$E$3:$E$3002,$E1319,$C$3:$C$3002,"&lt;&gt;U",$S$3:$S$3002,Calc!$F$2))</f>
        <v/>
      </c>
      <c r="P1319" s="35" t="str">
        <f aca="false">IF(OR($A1319="",$C1319="U",$S1319&lt;&gt;Calc!$F$2),"",SUMIFS($N$3:$N$3002,$E$3:$E$3002,$E1319,$C$3:$C$3002,"&lt;&gt;U",$S$3:$S$3002,Calc!$F$2))</f>
        <v/>
      </c>
      <c r="Q1319" s="35" t="str">
        <f aca="false">IF(OR($A1319="",$C1319="U",$S1319&lt;&gt;Calc!$F$2),"",IF(COUNTIFS($E$3:$E1319,$E1319,$C$3:$C1319,"&lt;&gt;U",$S$3:$S1319,Calc!$F$2)=1,1,0))</f>
        <v/>
      </c>
      <c r="R1319" s="35" t="str">
        <f aca="false">IF($Q1319=1,$O1319-ROW()/100000,"")</f>
        <v/>
      </c>
      <c r="S1319" s="37" t="str">
        <f aca="false">IF($A1319="","",INT($A1319))</f>
        <v/>
      </c>
      <c r="T1319" s="35" t="str">
        <f aca="false">IF($A1319="","",IF(COUNTIFS($S$3:$S1319,$S1319)=1,1,0))</f>
        <v/>
      </c>
      <c r="U1319" s="37" t="str">
        <f aca="false">IF($T1319=1,$S1319,"")</f>
        <v/>
      </c>
    </row>
    <row r="1320" customFormat="false" ht="15" hidden="false" customHeight="false" outlineLevel="0" collapsed="false">
      <c r="M1320" s="35" t="str">
        <f aca="false">IF($A1320="","",HOUR($A1320))</f>
        <v/>
      </c>
      <c r="N1320" s="36" t="str">
        <f aca="false">IF($A1320="","",$I1320*$K1320)</f>
        <v/>
      </c>
      <c r="O1320" s="35" t="str">
        <f aca="false">IF(OR($A1320="",$C1320="U",$S1320&lt;&gt;Calc!$F$2),"",SUMIFS($I$3:$I$3002,$E$3:$E$3002,$E1320,$C$3:$C$3002,"&lt;&gt;U",$S$3:$S$3002,Calc!$F$2))</f>
        <v/>
      </c>
      <c r="P1320" s="35" t="str">
        <f aca="false">IF(OR($A1320="",$C1320="U",$S1320&lt;&gt;Calc!$F$2),"",SUMIFS($N$3:$N$3002,$E$3:$E$3002,$E1320,$C$3:$C$3002,"&lt;&gt;U",$S$3:$S$3002,Calc!$F$2))</f>
        <v/>
      </c>
      <c r="Q1320" s="35" t="str">
        <f aca="false">IF(OR($A1320="",$C1320="U",$S1320&lt;&gt;Calc!$F$2),"",IF(COUNTIFS($E$3:$E1320,$E1320,$C$3:$C1320,"&lt;&gt;U",$S$3:$S1320,Calc!$F$2)=1,1,0))</f>
        <v/>
      </c>
      <c r="R1320" s="35" t="str">
        <f aca="false">IF($Q1320=1,$O1320-ROW()/100000,"")</f>
        <v/>
      </c>
      <c r="S1320" s="37" t="str">
        <f aca="false">IF($A1320="","",INT($A1320))</f>
        <v/>
      </c>
      <c r="T1320" s="35" t="str">
        <f aca="false">IF($A1320="","",IF(COUNTIFS($S$3:$S1320,$S1320)=1,1,0))</f>
        <v/>
      </c>
      <c r="U1320" s="37" t="str">
        <f aca="false">IF($T1320=1,$S1320,"")</f>
        <v/>
      </c>
    </row>
    <row r="1321" customFormat="false" ht="15" hidden="false" customHeight="false" outlineLevel="0" collapsed="false">
      <c r="M1321" s="35" t="str">
        <f aca="false">IF($A1321="","",HOUR($A1321))</f>
        <v/>
      </c>
      <c r="N1321" s="36" t="str">
        <f aca="false">IF($A1321="","",$I1321*$K1321)</f>
        <v/>
      </c>
      <c r="O1321" s="35" t="str">
        <f aca="false">IF(OR($A1321="",$C1321="U",$S1321&lt;&gt;Calc!$F$2),"",SUMIFS($I$3:$I$3002,$E$3:$E$3002,$E1321,$C$3:$C$3002,"&lt;&gt;U",$S$3:$S$3002,Calc!$F$2))</f>
        <v/>
      </c>
      <c r="P1321" s="35" t="str">
        <f aca="false">IF(OR($A1321="",$C1321="U",$S1321&lt;&gt;Calc!$F$2),"",SUMIFS($N$3:$N$3002,$E$3:$E$3002,$E1321,$C$3:$C$3002,"&lt;&gt;U",$S$3:$S$3002,Calc!$F$2))</f>
        <v/>
      </c>
      <c r="Q1321" s="35" t="str">
        <f aca="false">IF(OR($A1321="",$C1321="U",$S1321&lt;&gt;Calc!$F$2),"",IF(COUNTIFS($E$3:$E1321,$E1321,$C$3:$C1321,"&lt;&gt;U",$S$3:$S1321,Calc!$F$2)=1,1,0))</f>
        <v/>
      </c>
      <c r="R1321" s="35" t="str">
        <f aca="false">IF($Q1321=1,$O1321-ROW()/100000,"")</f>
        <v/>
      </c>
      <c r="S1321" s="37" t="str">
        <f aca="false">IF($A1321="","",INT($A1321))</f>
        <v/>
      </c>
      <c r="T1321" s="35" t="str">
        <f aca="false">IF($A1321="","",IF(COUNTIFS($S$3:$S1321,$S1321)=1,1,0))</f>
        <v/>
      </c>
      <c r="U1321" s="37" t="str">
        <f aca="false">IF($T1321=1,$S1321,"")</f>
        <v/>
      </c>
    </row>
    <row r="1322" customFormat="false" ht="15" hidden="false" customHeight="false" outlineLevel="0" collapsed="false">
      <c r="M1322" s="35" t="str">
        <f aca="false">IF($A1322="","",HOUR($A1322))</f>
        <v/>
      </c>
      <c r="N1322" s="36" t="str">
        <f aca="false">IF($A1322="","",$I1322*$K1322)</f>
        <v/>
      </c>
      <c r="O1322" s="35" t="str">
        <f aca="false">IF(OR($A1322="",$C1322="U",$S1322&lt;&gt;Calc!$F$2),"",SUMIFS($I$3:$I$3002,$E$3:$E$3002,$E1322,$C$3:$C$3002,"&lt;&gt;U",$S$3:$S$3002,Calc!$F$2))</f>
        <v/>
      </c>
      <c r="P1322" s="35" t="str">
        <f aca="false">IF(OR($A1322="",$C1322="U",$S1322&lt;&gt;Calc!$F$2),"",SUMIFS($N$3:$N$3002,$E$3:$E$3002,$E1322,$C$3:$C$3002,"&lt;&gt;U",$S$3:$S$3002,Calc!$F$2))</f>
        <v/>
      </c>
      <c r="Q1322" s="35" t="str">
        <f aca="false">IF(OR($A1322="",$C1322="U",$S1322&lt;&gt;Calc!$F$2),"",IF(COUNTIFS($E$3:$E1322,$E1322,$C$3:$C1322,"&lt;&gt;U",$S$3:$S1322,Calc!$F$2)=1,1,0))</f>
        <v/>
      </c>
      <c r="R1322" s="35" t="str">
        <f aca="false">IF($Q1322=1,$O1322-ROW()/100000,"")</f>
        <v/>
      </c>
      <c r="S1322" s="37" t="str">
        <f aca="false">IF($A1322="","",INT($A1322))</f>
        <v/>
      </c>
      <c r="T1322" s="35" t="str">
        <f aca="false">IF($A1322="","",IF(COUNTIFS($S$3:$S1322,$S1322)=1,1,0))</f>
        <v/>
      </c>
      <c r="U1322" s="37" t="str">
        <f aca="false">IF($T1322=1,$S1322,"")</f>
        <v/>
      </c>
    </row>
    <row r="1323" customFormat="false" ht="15" hidden="false" customHeight="false" outlineLevel="0" collapsed="false">
      <c r="M1323" s="35" t="str">
        <f aca="false">IF($A1323="","",HOUR($A1323))</f>
        <v/>
      </c>
      <c r="N1323" s="36" t="str">
        <f aca="false">IF($A1323="","",$I1323*$K1323)</f>
        <v/>
      </c>
      <c r="O1323" s="35" t="str">
        <f aca="false">IF(OR($A1323="",$C1323="U",$S1323&lt;&gt;Calc!$F$2),"",SUMIFS($I$3:$I$3002,$E$3:$E$3002,$E1323,$C$3:$C$3002,"&lt;&gt;U",$S$3:$S$3002,Calc!$F$2))</f>
        <v/>
      </c>
      <c r="P1323" s="35" t="str">
        <f aca="false">IF(OR($A1323="",$C1323="U",$S1323&lt;&gt;Calc!$F$2),"",SUMIFS($N$3:$N$3002,$E$3:$E$3002,$E1323,$C$3:$C$3002,"&lt;&gt;U",$S$3:$S$3002,Calc!$F$2))</f>
        <v/>
      </c>
      <c r="Q1323" s="35" t="str">
        <f aca="false">IF(OR($A1323="",$C1323="U",$S1323&lt;&gt;Calc!$F$2),"",IF(COUNTIFS($E$3:$E1323,$E1323,$C$3:$C1323,"&lt;&gt;U",$S$3:$S1323,Calc!$F$2)=1,1,0))</f>
        <v/>
      </c>
      <c r="R1323" s="35" t="str">
        <f aca="false">IF($Q1323=1,$O1323-ROW()/100000,"")</f>
        <v/>
      </c>
      <c r="S1323" s="37" t="str">
        <f aca="false">IF($A1323="","",INT($A1323))</f>
        <v/>
      </c>
      <c r="T1323" s="35" t="str">
        <f aca="false">IF($A1323="","",IF(COUNTIFS($S$3:$S1323,$S1323)=1,1,0))</f>
        <v/>
      </c>
      <c r="U1323" s="37" t="str">
        <f aca="false">IF($T1323=1,$S1323,"")</f>
        <v/>
      </c>
    </row>
    <row r="1324" customFormat="false" ht="15" hidden="false" customHeight="false" outlineLevel="0" collapsed="false">
      <c r="M1324" s="35" t="str">
        <f aca="false">IF($A1324="","",HOUR($A1324))</f>
        <v/>
      </c>
      <c r="N1324" s="36" t="str">
        <f aca="false">IF($A1324="","",$I1324*$K1324)</f>
        <v/>
      </c>
      <c r="O1324" s="35" t="str">
        <f aca="false">IF(OR($A1324="",$C1324="U",$S1324&lt;&gt;Calc!$F$2),"",SUMIFS($I$3:$I$3002,$E$3:$E$3002,$E1324,$C$3:$C$3002,"&lt;&gt;U",$S$3:$S$3002,Calc!$F$2))</f>
        <v/>
      </c>
      <c r="P1324" s="35" t="str">
        <f aca="false">IF(OR($A1324="",$C1324="U",$S1324&lt;&gt;Calc!$F$2),"",SUMIFS($N$3:$N$3002,$E$3:$E$3002,$E1324,$C$3:$C$3002,"&lt;&gt;U",$S$3:$S$3002,Calc!$F$2))</f>
        <v/>
      </c>
      <c r="Q1324" s="35" t="str">
        <f aca="false">IF(OR($A1324="",$C1324="U",$S1324&lt;&gt;Calc!$F$2),"",IF(COUNTIFS($E$3:$E1324,$E1324,$C$3:$C1324,"&lt;&gt;U",$S$3:$S1324,Calc!$F$2)=1,1,0))</f>
        <v/>
      </c>
      <c r="R1324" s="35" t="str">
        <f aca="false">IF($Q1324=1,$O1324-ROW()/100000,"")</f>
        <v/>
      </c>
      <c r="S1324" s="37" t="str">
        <f aca="false">IF($A1324="","",INT($A1324))</f>
        <v/>
      </c>
      <c r="T1324" s="35" t="str">
        <f aca="false">IF($A1324="","",IF(COUNTIFS($S$3:$S1324,$S1324)=1,1,0))</f>
        <v/>
      </c>
      <c r="U1324" s="37" t="str">
        <f aca="false">IF($T1324=1,$S1324,"")</f>
        <v/>
      </c>
    </row>
    <row r="1325" customFormat="false" ht="15" hidden="false" customHeight="false" outlineLevel="0" collapsed="false">
      <c r="M1325" s="35" t="str">
        <f aca="false">IF($A1325="","",HOUR($A1325))</f>
        <v/>
      </c>
      <c r="N1325" s="36" t="str">
        <f aca="false">IF($A1325="","",$I1325*$K1325)</f>
        <v/>
      </c>
      <c r="O1325" s="35" t="str">
        <f aca="false">IF(OR($A1325="",$C1325="U",$S1325&lt;&gt;Calc!$F$2),"",SUMIFS($I$3:$I$3002,$E$3:$E$3002,$E1325,$C$3:$C$3002,"&lt;&gt;U",$S$3:$S$3002,Calc!$F$2))</f>
        <v/>
      </c>
      <c r="P1325" s="35" t="str">
        <f aca="false">IF(OR($A1325="",$C1325="U",$S1325&lt;&gt;Calc!$F$2),"",SUMIFS($N$3:$N$3002,$E$3:$E$3002,$E1325,$C$3:$C$3002,"&lt;&gt;U",$S$3:$S$3002,Calc!$F$2))</f>
        <v/>
      </c>
      <c r="Q1325" s="35" t="str">
        <f aca="false">IF(OR($A1325="",$C1325="U",$S1325&lt;&gt;Calc!$F$2),"",IF(COUNTIFS($E$3:$E1325,$E1325,$C$3:$C1325,"&lt;&gt;U",$S$3:$S1325,Calc!$F$2)=1,1,0))</f>
        <v/>
      </c>
      <c r="R1325" s="35" t="str">
        <f aca="false">IF($Q1325=1,$O1325-ROW()/100000,"")</f>
        <v/>
      </c>
      <c r="S1325" s="37" t="str">
        <f aca="false">IF($A1325="","",INT($A1325))</f>
        <v/>
      </c>
      <c r="T1325" s="35" t="str">
        <f aca="false">IF($A1325="","",IF(COUNTIFS($S$3:$S1325,$S1325)=1,1,0))</f>
        <v/>
      </c>
      <c r="U1325" s="37" t="str">
        <f aca="false">IF($T1325=1,$S1325,"")</f>
        <v/>
      </c>
    </row>
    <row r="1326" customFormat="false" ht="15" hidden="false" customHeight="false" outlineLevel="0" collapsed="false">
      <c r="M1326" s="35" t="str">
        <f aca="false">IF($A1326="","",HOUR($A1326))</f>
        <v/>
      </c>
      <c r="N1326" s="36" t="str">
        <f aca="false">IF($A1326="","",$I1326*$K1326)</f>
        <v/>
      </c>
      <c r="O1326" s="35" t="str">
        <f aca="false">IF(OR($A1326="",$C1326="U",$S1326&lt;&gt;Calc!$F$2),"",SUMIFS($I$3:$I$3002,$E$3:$E$3002,$E1326,$C$3:$C$3002,"&lt;&gt;U",$S$3:$S$3002,Calc!$F$2))</f>
        <v/>
      </c>
      <c r="P1326" s="35" t="str">
        <f aca="false">IF(OR($A1326="",$C1326="U",$S1326&lt;&gt;Calc!$F$2),"",SUMIFS($N$3:$N$3002,$E$3:$E$3002,$E1326,$C$3:$C$3002,"&lt;&gt;U",$S$3:$S$3002,Calc!$F$2))</f>
        <v/>
      </c>
      <c r="Q1326" s="35" t="str">
        <f aca="false">IF(OR($A1326="",$C1326="U",$S1326&lt;&gt;Calc!$F$2),"",IF(COUNTIFS($E$3:$E1326,$E1326,$C$3:$C1326,"&lt;&gt;U",$S$3:$S1326,Calc!$F$2)=1,1,0))</f>
        <v/>
      </c>
      <c r="R1326" s="35" t="str">
        <f aca="false">IF($Q1326=1,$O1326-ROW()/100000,"")</f>
        <v/>
      </c>
      <c r="S1326" s="37" t="str">
        <f aca="false">IF($A1326="","",INT($A1326))</f>
        <v/>
      </c>
      <c r="T1326" s="35" t="str">
        <f aca="false">IF($A1326="","",IF(COUNTIFS($S$3:$S1326,$S1326)=1,1,0))</f>
        <v/>
      </c>
      <c r="U1326" s="37" t="str">
        <f aca="false">IF($T1326=1,$S1326,"")</f>
        <v/>
      </c>
    </row>
    <row r="1327" customFormat="false" ht="15" hidden="false" customHeight="false" outlineLevel="0" collapsed="false">
      <c r="M1327" s="35" t="str">
        <f aca="false">IF($A1327="","",HOUR($A1327))</f>
        <v/>
      </c>
      <c r="N1327" s="36" t="str">
        <f aca="false">IF($A1327="","",$I1327*$K1327)</f>
        <v/>
      </c>
      <c r="O1327" s="35" t="str">
        <f aca="false">IF(OR($A1327="",$C1327="U",$S1327&lt;&gt;Calc!$F$2),"",SUMIFS($I$3:$I$3002,$E$3:$E$3002,$E1327,$C$3:$C$3002,"&lt;&gt;U",$S$3:$S$3002,Calc!$F$2))</f>
        <v/>
      </c>
      <c r="P1327" s="35" t="str">
        <f aca="false">IF(OR($A1327="",$C1327="U",$S1327&lt;&gt;Calc!$F$2),"",SUMIFS($N$3:$N$3002,$E$3:$E$3002,$E1327,$C$3:$C$3002,"&lt;&gt;U",$S$3:$S$3002,Calc!$F$2))</f>
        <v/>
      </c>
      <c r="Q1327" s="35" t="str">
        <f aca="false">IF(OR($A1327="",$C1327="U",$S1327&lt;&gt;Calc!$F$2),"",IF(COUNTIFS($E$3:$E1327,$E1327,$C$3:$C1327,"&lt;&gt;U",$S$3:$S1327,Calc!$F$2)=1,1,0))</f>
        <v/>
      </c>
      <c r="R1327" s="35" t="str">
        <f aca="false">IF($Q1327=1,$O1327-ROW()/100000,"")</f>
        <v/>
      </c>
      <c r="S1327" s="37" t="str">
        <f aca="false">IF($A1327="","",INT($A1327))</f>
        <v/>
      </c>
      <c r="T1327" s="35" t="str">
        <f aca="false">IF($A1327="","",IF(COUNTIFS($S$3:$S1327,$S1327)=1,1,0))</f>
        <v/>
      </c>
      <c r="U1327" s="37" t="str">
        <f aca="false">IF($T1327=1,$S1327,"")</f>
        <v/>
      </c>
    </row>
    <row r="1328" customFormat="false" ht="15" hidden="false" customHeight="false" outlineLevel="0" collapsed="false">
      <c r="M1328" s="35" t="str">
        <f aca="false">IF($A1328="","",HOUR($A1328))</f>
        <v/>
      </c>
      <c r="N1328" s="36" t="str">
        <f aca="false">IF($A1328="","",$I1328*$K1328)</f>
        <v/>
      </c>
      <c r="O1328" s="35" t="str">
        <f aca="false">IF(OR($A1328="",$C1328="U",$S1328&lt;&gt;Calc!$F$2),"",SUMIFS($I$3:$I$3002,$E$3:$E$3002,$E1328,$C$3:$C$3002,"&lt;&gt;U",$S$3:$S$3002,Calc!$F$2))</f>
        <v/>
      </c>
      <c r="P1328" s="35" t="str">
        <f aca="false">IF(OR($A1328="",$C1328="U",$S1328&lt;&gt;Calc!$F$2),"",SUMIFS($N$3:$N$3002,$E$3:$E$3002,$E1328,$C$3:$C$3002,"&lt;&gt;U",$S$3:$S$3002,Calc!$F$2))</f>
        <v/>
      </c>
      <c r="Q1328" s="35" t="str">
        <f aca="false">IF(OR($A1328="",$C1328="U",$S1328&lt;&gt;Calc!$F$2),"",IF(COUNTIFS($E$3:$E1328,$E1328,$C$3:$C1328,"&lt;&gt;U",$S$3:$S1328,Calc!$F$2)=1,1,0))</f>
        <v/>
      </c>
      <c r="R1328" s="35" t="str">
        <f aca="false">IF($Q1328=1,$O1328-ROW()/100000,"")</f>
        <v/>
      </c>
      <c r="S1328" s="37" t="str">
        <f aca="false">IF($A1328="","",INT($A1328))</f>
        <v/>
      </c>
      <c r="T1328" s="35" t="str">
        <f aca="false">IF($A1328="","",IF(COUNTIFS($S$3:$S1328,$S1328)=1,1,0))</f>
        <v/>
      </c>
      <c r="U1328" s="37" t="str">
        <f aca="false">IF($T1328=1,$S1328,"")</f>
        <v/>
      </c>
    </row>
    <row r="1329" customFormat="false" ht="15" hidden="false" customHeight="false" outlineLevel="0" collapsed="false">
      <c r="M1329" s="35" t="str">
        <f aca="false">IF($A1329="","",HOUR($A1329))</f>
        <v/>
      </c>
      <c r="N1329" s="36" t="str">
        <f aca="false">IF($A1329="","",$I1329*$K1329)</f>
        <v/>
      </c>
      <c r="O1329" s="35" t="str">
        <f aca="false">IF(OR($A1329="",$C1329="U",$S1329&lt;&gt;Calc!$F$2),"",SUMIFS($I$3:$I$3002,$E$3:$E$3002,$E1329,$C$3:$C$3002,"&lt;&gt;U",$S$3:$S$3002,Calc!$F$2))</f>
        <v/>
      </c>
      <c r="P1329" s="35" t="str">
        <f aca="false">IF(OR($A1329="",$C1329="U",$S1329&lt;&gt;Calc!$F$2),"",SUMIFS($N$3:$N$3002,$E$3:$E$3002,$E1329,$C$3:$C$3002,"&lt;&gt;U",$S$3:$S$3002,Calc!$F$2))</f>
        <v/>
      </c>
      <c r="Q1329" s="35" t="str">
        <f aca="false">IF(OR($A1329="",$C1329="U",$S1329&lt;&gt;Calc!$F$2),"",IF(COUNTIFS($E$3:$E1329,$E1329,$C$3:$C1329,"&lt;&gt;U",$S$3:$S1329,Calc!$F$2)=1,1,0))</f>
        <v/>
      </c>
      <c r="R1329" s="35" t="str">
        <f aca="false">IF($Q1329=1,$O1329-ROW()/100000,"")</f>
        <v/>
      </c>
      <c r="S1329" s="37" t="str">
        <f aca="false">IF($A1329="","",INT($A1329))</f>
        <v/>
      </c>
      <c r="T1329" s="35" t="str">
        <f aca="false">IF($A1329="","",IF(COUNTIFS($S$3:$S1329,$S1329)=1,1,0))</f>
        <v/>
      </c>
      <c r="U1329" s="37" t="str">
        <f aca="false">IF($T1329=1,$S1329,"")</f>
        <v/>
      </c>
    </row>
    <row r="1330" customFormat="false" ht="15" hidden="false" customHeight="false" outlineLevel="0" collapsed="false">
      <c r="M1330" s="35" t="str">
        <f aca="false">IF($A1330="","",HOUR($A1330))</f>
        <v/>
      </c>
      <c r="N1330" s="36" t="str">
        <f aca="false">IF($A1330="","",$I1330*$K1330)</f>
        <v/>
      </c>
      <c r="O1330" s="35" t="str">
        <f aca="false">IF(OR($A1330="",$C1330="U",$S1330&lt;&gt;Calc!$F$2),"",SUMIFS($I$3:$I$3002,$E$3:$E$3002,$E1330,$C$3:$C$3002,"&lt;&gt;U",$S$3:$S$3002,Calc!$F$2))</f>
        <v/>
      </c>
      <c r="P1330" s="35" t="str">
        <f aca="false">IF(OR($A1330="",$C1330="U",$S1330&lt;&gt;Calc!$F$2),"",SUMIFS($N$3:$N$3002,$E$3:$E$3002,$E1330,$C$3:$C$3002,"&lt;&gt;U",$S$3:$S$3002,Calc!$F$2))</f>
        <v/>
      </c>
      <c r="Q1330" s="35" t="str">
        <f aca="false">IF(OR($A1330="",$C1330="U",$S1330&lt;&gt;Calc!$F$2),"",IF(COUNTIFS($E$3:$E1330,$E1330,$C$3:$C1330,"&lt;&gt;U",$S$3:$S1330,Calc!$F$2)=1,1,0))</f>
        <v/>
      </c>
      <c r="R1330" s="35" t="str">
        <f aca="false">IF($Q1330=1,$O1330-ROW()/100000,"")</f>
        <v/>
      </c>
      <c r="S1330" s="37" t="str">
        <f aca="false">IF($A1330="","",INT($A1330))</f>
        <v/>
      </c>
      <c r="T1330" s="35" t="str">
        <f aca="false">IF($A1330="","",IF(COUNTIFS($S$3:$S1330,$S1330)=1,1,0))</f>
        <v/>
      </c>
      <c r="U1330" s="37" t="str">
        <f aca="false">IF($T1330=1,$S1330,"")</f>
        <v/>
      </c>
    </row>
    <row r="1331" customFormat="false" ht="15" hidden="false" customHeight="false" outlineLevel="0" collapsed="false">
      <c r="M1331" s="35" t="str">
        <f aca="false">IF($A1331="","",HOUR($A1331))</f>
        <v/>
      </c>
      <c r="N1331" s="36" t="str">
        <f aca="false">IF($A1331="","",$I1331*$K1331)</f>
        <v/>
      </c>
      <c r="O1331" s="35" t="str">
        <f aca="false">IF(OR($A1331="",$C1331="U",$S1331&lt;&gt;Calc!$F$2),"",SUMIFS($I$3:$I$3002,$E$3:$E$3002,$E1331,$C$3:$C$3002,"&lt;&gt;U",$S$3:$S$3002,Calc!$F$2))</f>
        <v/>
      </c>
      <c r="P1331" s="35" t="str">
        <f aca="false">IF(OR($A1331="",$C1331="U",$S1331&lt;&gt;Calc!$F$2),"",SUMIFS($N$3:$N$3002,$E$3:$E$3002,$E1331,$C$3:$C$3002,"&lt;&gt;U",$S$3:$S$3002,Calc!$F$2))</f>
        <v/>
      </c>
      <c r="Q1331" s="35" t="str">
        <f aca="false">IF(OR($A1331="",$C1331="U",$S1331&lt;&gt;Calc!$F$2),"",IF(COUNTIFS($E$3:$E1331,$E1331,$C$3:$C1331,"&lt;&gt;U",$S$3:$S1331,Calc!$F$2)=1,1,0))</f>
        <v/>
      </c>
      <c r="R1331" s="35" t="str">
        <f aca="false">IF($Q1331=1,$O1331-ROW()/100000,"")</f>
        <v/>
      </c>
      <c r="S1331" s="37" t="str">
        <f aca="false">IF($A1331="","",INT($A1331))</f>
        <v/>
      </c>
      <c r="T1331" s="35" t="str">
        <f aca="false">IF($A1331="","",IF(COUNTIFS($S$3:$S1331,$S1331)=1,1,0))</f>
        <v/>
      </c>
      <c r="U1331" s="37" t="str">
        <f aca="false">IF($T1331=1,$S1331,"")</f>
        <v/>
      </c>
    </row>
    <row r="1332" customFormat="false" ht="15" hidden="false" customHeight="false" outlineLevel="0" collapsed="false">
      <c r="M1332" s="35" t="str">
        <f aca="false">IF($A1332="","",HOUR($A1332))</f>
        <v/>
      </c>
      <c r="N1332" s="36" t="str">
        <f aca="false">IF($A1332="","",$I1332*$K1332)</f>
        <v/>
      </c>
      <c r="O1332" s="35" t="str">
        <f aca="false">IF(OR($A1332="",$C1332="U",$S1332&lt;&gt;Calc!$F$2),"",SUMIFS($I$3:$I$3002,$E$3:$E$3002,$E1332,$C$3:$C$3002,"&lt;&gt;U",$S$3:$S$3002,Calc!$F$2))</f>
        <v/>
      </c>
      <c r="P1332" s="35" t="str">
        <f aca="false">IF(OR($A1332="",$C1332="U",$S1332&lt;&gt;Calc!$F$2),"",SUMIFS($N$3:$N$3002,$E$3:$E$3002,$E1332,$C$3:$C$3002,"&lt;&gt;U",$S$3:$S$3002,Calc!$F$2))</f>
        <v/>
      </c>
      <c r="Q1332" s="35" t="str">
        <f aca="false">IF(OR($A1332="",$C1332="U",$S1332&lt;&gt;Calc!$F$2),"",IF(COUNTIFS($E$3:$E1332,$E1332,$C$3:$C1332,"&lt;&gt;U",$S$3:$S1332,Calc!$F$2)=1,1,0))</f>
        <v/>
      </c>
      <c r="R1332" s="35" t="str">
        <f aca="false">IF($Q1332=1,$O1332-ROW()/100000,"")</f>
        <v/>
      </c>
      <c r="S1332" s="37" t="str">
        <f aca="false">IF($A1332="","",INT($A1332))</f>
        <v/>
      </c>
      <c r="T1332" s="35" t="str">
        <f aca="false">IF($A1332="","",IF(COUNTIFS($S$3:$S1332,$S1332)=1,1,0))</f>
        <v/>
      </c>
      <c r="U1332" s="37" t="str">
        <f aca="false">IF($T1332=1,$S1332,"")</f>
        <v/>
      </c>
    </row>
    <row r="1333" customFormat="false" ht="15" hidden="false" customHeight="false" outlineLevel="0" collapsed="false">
      <c r="M1333" s="35" t="str">
        <f aca="false">IF($A1333="","",HOUR($A1333))</f>
        <v/>
      </c>
      <c r="N1333" s="36" t="str">
        <f aca="false">IF($A1333="","",$I1333*$K1333)</f>
        <v/>
      </c>
      <c r="O1333" s="35" t="str">
        <f aca="false">IF(OR($A1333="",$C1333="U",$S1333&lt;&gt;Calc!$F$2),"",SUMIFS($I$3:$I$3002,$E$3:$E$3002,$E1333,$C$3:$C$3002,"&lt;&gt;U",$S$3:$S$3002,Calc!$F$2))</f>
        <v/>
      </c>
      <c r="P1333" s="35" t="str">
        <f aca="false">IF(OR($A1333="",$C1333="U",$S1333&lt;&gt;Calc!$F$2),"",SUMIFS($N$3:$N$3002,$E$3:$E$3002,$E1333,$C$3:$C$3002,"&lt;&gt;U",$S$3:$S$3002,Calc!$F$2))</f>
        <v/>
      </c>
      <c r="Q1333" s="35" t="str">
        <f aca="false">IF(OR($A1333="",$C1333="U",$S1333&lt;&gt;Calc!$F$2),"",IF(COUNTIFS($E$3:$E1333,$E1333,$C$3:$C1333,"&lt;&gt;U",$S$3:$S1333,Calc!$F$2)=1,1,0))</f>
        <v/>
      </c>
      <c r="R1333" s="35" t="str">
        <f aca="false">IF($Q1333=1,$O1333-ROW()/100000,"")</f>
        <v/>
      </c>
      <c r="S1333" s="37" t="str">
        <f aca="false">IF($A1333="","",INT($A1333))</f>
        <v/>
      </c>
      <c r="T1333" s="35" t="str">
        <f aca="false">IF($A1333="","",IF(COUNTIFS($S$3:$S1333,$S1333)=1,1,0))</f>
        <v/>
      </c>
      <c r="U1333" s="37" t="str">
        <f aca="false">IF($T1333=1,$S1333,"")</f>
        <v/>
      </c>
    </row>
    <row r="1334" customFormat="false" ht="15" hidden="false" customHeight="false" outlineLevel="0" collapsed="false">
      <c r="M1334" s="35" t="str">
        <f aca="false">IF($A1334="","",HOUR($A1334))</f>
        <v/>
      </c>
      <c r="N1334" s="36" t="str">
        <f aca="false">IF($A1334="","",$I1334*$K1334)</f>
        <v/>
      </c>
      <c r="O1334" s="35" t="str">
        <f aca="false">IF(OR($A1334="",$C1334="U",$S1334&lt;&gt;Calc!$F$2),"",SUMIFS($I$3:$I$3002,$E$3:$E$3002,$E1334,$C$3:$C$3002,"&lt;&gt;U",$S$3:$S$3002,Calc!$F$2))</f>
        <v/>
      </c>
      <c r="P1334" s="35" t="str">
        <f aca="false">IF(OR($A1334="",$C1334="U",$S1334&lt;&gt;Calc!$F$2),"",SUMIFS($N$3:$N$3002,$E$3:$E$3002,$E1334,$C$3:$C$3002,"&lt;&gt;U",$S$3:$S$3002,Calc!$F$2))</f>
        <v/>
      </c>
      <c r="Q1334" s="35" t="str">
        <f aca="false">IF(OR($A1334="",$C1334="U",$S1334&lt;&gt;Calc!$F$2),"",IF(COUNTIFS($E$3:$E1334,$E1334,$C$3:$C1334,"&lt;&gt;U",$S$3:$S1334,Calc!$F$2)=1,1,0))</f>
        <v/>
      </c>
      <c r="R1334" s="35" t="str">
        <f aca="false">IF($Q1334=1,$O1334-ROW()/100000,"")</f>
        <v/>
      </c>
      <c r="S1334" s="37" t="str">
        <f aca="false">IF($A1334="","",INT($A1334))</f>
        <v/>
      </c>
      <c r="T1334" s="35" t="str">
        <f aca="false">IF($A1334="","",IF(COUNTIFS($S$3:$S1334,$S1334)=1,1,0))</f>
        <v/>
      </c>
      <c r="U1334" s="37" t="str">
        <f aca="false">IF($T1334=1,$S1334,"")</f>
        <v/>
      </c>
    </row>
    <row r="1335" customFormat="false" ht="15" hidden="false" customHeight="false" outlineLevel="0" collapsed="false">
      <c r="M1335" s="35" t="str">
        <f aca="false">IF($A1335="","",HOUR($A1335))</f>
        <v/>
      </c>
      <c r="N1335" s="36" t="str">
        <f aca="false">IF($A1335="","",$I1335*$K1335)</f>
        <v/>
      </c>
      <c r="O1335" s="35" t="str">
        <f aca="false">IF(OR($A1335="",$C1335="U",$S1335&lt;&gt;Calc!$F$2),"",SUMIFS($I$3:$I$3002,$E$3:$E$3002,$E1335,$C$3:$C$3002,"&lt;&gt;U",$S$3:$S$3002,Calc!$F$2))</f>
        <v/>
      </c>
      <c r="P1335" s="35" t="str">
        <f aca="false">IF(OR($A1335="",$C1335="U",$S1335&lt;&gt;Calc!$F$2),"",SUMIFS($N$3:$N$3002,$E$3:$E$3002,$E1335,$C$3:$C$3002,"&lt;&gt;U",$S$3:$S$3002,Calc!$F$2))</f>
        <v/>
      </c>
      <c r="Q1335" s="35" t="str">
        <f aca="false">IF(OR($A1335="",$C1335="U",$S1335&lt;&gt;Calc!$F$2),"",IF(COUNTIFS($E$3:$E1335,$E1335,$C$3:$C1335,"&lt;&gt;U",$S$3:$S1335,Calc!$F$2)=1,1,0))</f>
        <v/>
      </c>
      <c r="R1335" s="35" t="str">
        <f aca="false">IF($Q1335=1,$O1335-ROW()/100000,"")</f>
        <v/>
      </c>
      <c r="S1335" s="37" t="str">
        <f aca="false">IF($A1335="","",INT($A1335))</f>
        <v/>
      </c>
      <c r="T1335" s="35" t="str">
        <f aca="false">IF($A1335="","",IF(COUNTIFS($S$3:$S1335,$S1335)=1,1,0))</f>
        <v/>
      </c>
      <c r="U1335" s="37" t="str">
        <f aca="false">IF($T1335=1,$S1335,"")</f>
        <v/>
      </c>
    </row>
    <row r="1336" customFormat="false" ht="15" hidden="false" customHeight="false" outlineLevel="0" collapsed="false">
      <c r="M1336" s="35" t="str">
        <f aca="false">IF($A1336="","",HOUR($A1336))</f>
        <v/>
      </c>
      <c r="N1336" s="36" t="str">
        <f aca="false">IF($A1336="","",$I1336*$K1336)</f>
        <v/>
      </c>
      <c r="O1336" s="35" t="str">
        <f aca="false">IF(OR($A1336="",$C1336="U",$S1336&lt;&gt;Calc!$F$2),"",SUMIFS($I$3:$I$3002,$E$3:$E$3002,$E1336,$C$3:$C$3002,"&lt;&gt;U",$S$3:$S$3002,Calc!$F$2))</f>
        <v/>
      </c>
      <c r="P1336" s="35" t="str">
        <f aca="false">IF(OR($A1336="",$C1336="U",$S1336&lt;&gt;Calc!$F$2),"",SUMIFS($N$3:$N$3002,$E$3:$E$3002,$E1336,$C$3:$C$3002,"&lt;&gt;U",$S$3:$S$3002,Calc!$F$2))</f>
        <v/>
      </c>
      <c r="Q1336" s="35" t="str">
        <f aca="false">IF(OR($A1336="",$C1336="U",$S1336&lt;&gt;Calc!$F$2),"",IF(COUNTIFS($E$3:$E1336,$E1336,$C$3:$C1336,"&lt;&gt;U",$S$3:$S1336,Calc!$F$2)=1,1,0))</f>
        <v/>
      </c>
      <c r="R1336" s="35" t="str">
        <f aca="false">IF($Q1336=1,$O1336-ROW()/100000,"")</f>
        <v/>
      </c>
      <c r="S1336" s="37" t="str">
        <f aca="false">IF($A1336="","",INT($A1336))</f>
        <v/>
      </c>
      <c r="T1336" s="35" t="str">
        <f aca="false">IF($A1336="","",IF(COUNTIFS($S$3:$S1336,$S1336)=1,1,0))</f>
        <v/>
      </c>
      <c r="U1336" s="37" t="str">
        <f aca="false">IF($T1336=1,$S1336,"")</f>
        <v/>
      </c>
    </row>
    <row r="1337" customFormat="false" ht="15" hidden="false" customHeight="false" outlineLevel="0" collapsed="false">
      <c r="M1337" s="35" t="str">
        <f aca="false">IF($A1337="","",HOUR($A1337))</f>
        <v/>
      </c>
      <c r="N1337" s="36" t="str">
        <f aca="false">IF($A1337="","",$I1337*$K1337)</f>
        <v/>
      </c>
      <c r="O1337" s="35" t="str">
        <f aca="false">IF(OR($A1337="",$C1337="U",$S1337&lt;&gt;Calc!$F$2),"",SUMIFS($I$3:$I$3002,$E$3:$E$3002,$E1337,$C$3:$C$3002,"&lt;&gt;U",$S$3:$S$3002,Calc!$F$2))</f>
        <v/>
      </c>
      <c r="P1337" s="35" t="str">
        <f aca="false">IF(OR($A1337="",$C1337="U",$S1337&lt;&gt;Calc!$F$2),"",SUMIFS($N$3:$N$3002,$E$3:$E$3002,$E1337,$C$3:$C$3002,"&lt;&gt;U",$S$3:$S$3002,Calc!$F$2))</f>
        <v/>
      </c>
      <c r="Q1337" s="35" t="str">
        <f aca="false">IF(OR($A1337="",$C1337="U",$S1337&lt;&gt;Calc!$F$2),"",IF(COUNTIFS($E$3:$E1337,$E1337,$C$3:$C1337,"&lt;&gt;U",$S$3:$S1337,Calc!$F$2)=1,1,0))</f>
        <v/>
      </c>
      <c r="R1337" s="35" t="str">
        <f aca="false">IF($Q1337=1,$O1337-ROW()/100000,"")</f>
        <v/>
      </c>
      <c r="S1337" s="37" t="str">
        <f aca="false">IF($A1337="","",INT($A1337))</f>
        <v/>
      </c>
      <c r="T1337" s="35" t="str">
        <f aca="false">IF($A1337="","",IF(COUNTIFS($S$3:$S1337,$S1337)=1,1,0))</f>
        <v/>
      </c>
      <c r="U1337" s="37" t="str">
        <f aca="false">IF($T1337=1,$S1337,"")</f>
        <v/>
      </c>
    </row>
    <row r="1338" customFormat="false" ht="15" hidden="false" customHeight="false" outlineLevel="0" collapsed="false">
      <c r="M1338" s="35" t="str">
        <f aca="false">IF($A1338="","",HOUR($A1338))</f>
        <v/>
      </c>
      <c r="N1338" s="36" t="str">
        <f aca="false">IF($A1338="","",$I1338*$K1338)</f>
        <v/>
      </c>
      <c r="O1338" s="35" t="str">
        <f aca="false">IF(OR($A1338="",$C1338="U",$S1338&lt;&gt;Calc!$F$2),"",SUMIFS($I$3:$I$3002,$E$3:$E$3002,$E1338,$C$3:$C$3002,"&lt;&gt;U",$S$3:$S$3002,Calc!$F$2))</f>
        <v/>
      </c>
      <c r="P1338" s="35" t="str">
        <f aca="false">IF(OR($A1338="",$C1338="U",$S1338&lt;&gt;Calc!$F$2),"",SUMIFS($N$3:$N$3002,$E$3:$E$3002,$E1338,$C$3:$C$3002,"&lt;&gt;U",$S$3:$S$3002,Calc!$F$2))</f>
        <v/>
      </c>
      <c r="Q1338" s="35" t="str">
        <f aca="false">IF(OR($A1338="",$C1338="U",$S1338&lt;&gt;Calc!$F$2),"",IF(COUNTIFS($E$3:$E1338,$E1338,$C$3:$C1338,"&lt;&gt;U",$S$3:$S1338,Calc!$F$2)=1,1,0))</f>
        <v/>
      </c>
      <c r="R1338" s="35" t="str">
        <f aca="false">IF($Q1338=1,$O1338-ROW()/100000,"")</f>
        <v/>
      </c>
      <c r="S1338" s="37" t="str">
        <f aca="false">IF($A1338="","",INT($A1338))</f>
        <v/>
      </c>
      <c r="T1338" s="35" t="str">
        <f aca="false">IF($A1338="","",IF(COUNTIFS($S$3:$S1338,$S1338)=1,1,0))</f>
        <v/>
      </c>
      <c r="U1338" s="37" t="str">
        <f aca="false">IF($T1338=1,$S1338,"")</f>
        <v/>
      </c>
    </row>
    <row r="1339" customFormat="false" ht="15" hidden="false" customHeight="false" outlineLevel="0" collapsed="false">
      <c r="M1339" s="35" t="str">
        <f aca="false">IF($A1339="","",HOUR($A1339))</f>
        <v/>
      </c>
      <c r="N1339" s="36" t="str">
        <f aca="false">IF($A1339="","",$I1339*$K1339)</f>
        <v/>
      </c>
      <c r="O1339" s="35" t="str">
        <f aca="false">IF(OR($A1339="",$C1339="U",$S1339&lt;&gt;Calc!$F$2),"",SUMIFS($I$3:$I$3002,$E$3:$E$3002,$E1339,$C$3:$C$3002,"&lt;&gt;U",$S$3:$S$3002,Calc!$F$2))</f>
        <v/>
      </c>
      <c r="P1339" s="35" t="str">
        <f aca="false">IF(OR($A1339="",$C1339="U",$S1339&lt;&gt;Calc!$F$2),"",SUMIFS($N$3:$N$3002,$E$3:$E$3002,$E1339,$C$3:$C$3002,"&lt;&gt;U",$S$3:$S$3002,Calc!$F$2))</f>
        <v/>
      </c>
      <c r="Q1339" s="35" t="str">
        <f aca="false">IF(OR($A1339="",$C1339="U",$S1339&lt;&gt;Calc!$F$2),"",IF(COUNTIFS($E$3:$E1339,$E1339,$C$3:$C1339,"&lt;&gt;U",$S$3:$S1339,Calc!$F$2)=1,1,0))</f>
        <v/>
      </c>
      <c r="R1339" s="35" t="str">
        <f aca="false">IF($Q1339=1,$O1339-ROW()/100000,"")</f>
        <v/>
      </c>
      <c r="S1339" s="37" t="str">
        <f aca="false">IF($A1339="","",INT($A1339))</f>
        <v/>
      </c>
      <c r="T1339" s="35" t="str">
        <f aca="false">IF($A1339="","",IF(COUNTIFS($S$3:$S1339,$S1339)=1,1,0))</f>
        <v/>
      </c>
      <c r="U1339" s="37" t="str">
        <f aca="false">IF($T1339=1,$S1339,"")</f>
        <v/>
      </c>
    </row>
    <row r="1340" customFormat="false" ht="15" hidden="false" customHeight="false" outlineLevel="0" collapsed="false">
      <c r="M1340" s="35" t="str">
        <f aca="false">IF($A1340="","",HOUR($A1340))</f>
        <v/>
      </c>
      <c r="N1340" s="36" t="str">
        <f aca="false">IF($A1340="","",$I1340*$K1340)</f>
        <v/>
      </c>
      <c r="O1340" s="35" t="str">
        <f aca="false">IF(OR($A1340="",$C1340="U",$S1340&lt;&gt;Calc!$F$2),"",SUMIFS($I$3:$I$3002,$E$3:$E$3002,$E1340,$C$3:$C$3002,"&lt;&gt;U",$S$3:$S$3002,Calc!$F$2))</f>
        <v/>
      </c>
      <c r="P1340" s="35" t="str">
        <f aca="false">IF(OR($A1340="",$C1340="U",$S1340&lt;&gt;Calc!$F$2),"",SUMIFS($N$3:$N$3002,$E$3:$E$3002,$E1340,$C$3:$C$3002,"&lt;&gt;U",$S$3:$S$3002,Calc!$F$2))</f>
        <v/>
      </c>
      <c r="Q1340" s="35" t="str">
        <f aca="false">IF(OR($A1340="",$C1340="U",$S1340&lt;&gt;Calc!$F$2),"",IF(COUNTIFS($E$3:$E1340,$E1340,$C$3:$C1340,"&lt;&gt;U",$S$3:$S1340,Calc!$F$2)=1,1,0))</f>
        <v/>
      </c>
      <c r="R1340" s="35" t="str">
        <f aca="false">IF($Q1340=1,$O1340-ROW()/100000,"")</f>
        <v/>
      </c>
      <c r="S1340" s="37" t="str">
        <f aca="false">IF($A1340="","",INT($A1340))</f>
        <v/>
      </c>
      <c r="T1340" s="35" t="str">
        <f aca="false">IF($A1340="","",IF(COUNTIFS($S$3:$S1340,$S1340)=1,1,0))</f>
        <v/>
      </c>
      <c r="U1340" s="37" t="str">
        <f aca="false">IF($T1340=1,$S1340,"")</f>
        <v/>
      </c>
    </row>
    <row r="1341" customFormat="false" ht="15" hidden="false" customHeight="false" outlineLevel="0" collapsed="false">
      <c r="M1341" s="35" t="str">
        <f aca="false">IF($A1341="","",HOUR($A1341))</f>
        <v/>
      </c>
      <c r="N1341" s="36" t="str">
        <f aca="false">IF($A1341="","",$I1341*$K1341)</f>
        <v/>
      </c>
      <c r="O1341" s="35" t="str">
        <f aca="false">IF(OR($A1341="",$C1341="U",$S1341&lt;&gt;Calc!$F$2),"",SUMIFS($I$3:$I$3002,$E$3:$E$3002,$E1341,$C$3:$C$3002,"&lt;&gt;U",$S$3:$S$3002,Calc!$F$2))</f>
        <v/>
      </c>
      <c r="P1341" s="35" t="str">
        <f aca="false">IF(OR($A1341="",$C1341="U",$S1341&lt;&gt;Calc!$F$2),"",SUMIFS($N$3:$N$3002,$E$3:$E$3002,$E1341,$C$3:$C$3002,"&lt;&gt;U",$S$3:$S$3002,Calc!$F$2))</f>
        <v/>
      </c>
      <c r="Q1341" s="35" t="str">
        <f aca="false">IF(OR($A1341="",$C1341="U",$S1341&lt;&gt;Calc!$F$2),"",IF(COUNTIFS($E$3:$E1341,$E1341,$C$3:$C1341,"&lt;&gt;U",$S$3:$S1341,Calc!$F$2)=1,1,0))</f>
        <v/>
      </c>
      <c r="R1341" s="35" t="str">
        <f aca="false">IF($Q1341=1,$O1341-ROW()/100000,"")</f>
        <v/>
      </c>
      <c r="S1341" s="37" t="str">
        <f aca="false">IF($A1341="","",INT($A1341))</f>
        <v/>
      </c>
      <c r="T1341" s="35" t="str">
        <f aca="false">IF($A1341="","",IF(COUNTIFS($S$3:$S1341,$S1341)=1,1,0))</f>
        <v/>
      </c>
      <c r="U1341" s="37" t="str">
        <f aca="false">IF($T1341=1,$S1341,"")</f>
        <v/>
      </c>
    </row>
    <row r="1342" customFormat="false" ht="15" hidden="false" customHeight="false" outlineLevel="0" collapsed="false">
      <c r="M1342" s="35" t="str">
        <f aca="false">IF($A1342="","",HOUR($A1342))</f>
        <v/>
      </c>
      <c r="N1342" s="36" t="str">
        <f aca="false">IF($A1342="","",$I1342*$K1342)</f>
        <v/>
      </c>
      <c r="O1342" s="35" t="str">
        <f aca="false">IF(OR($A1342="",$C1342="U",$S1342&lt;&gt;Calc!$F$2),"",SUMIFS($I$3:$I$3002,$E$3:$E$3002,$E1342,$C$3:$C$3002,"&lt;&gt;U",$S$3:$S$3002,Calc!$F$2))</f>
        <v/>
      </c>
      <c r="P1342" s="35" t="str">
        <f aca="false">IF(OR($A1342="",$C1342="U",$S1342&lt;&gt;Calc!$F$2),"",SUMIFS($N$3:$N$3002,$E$3:$E$3002,$E1342,$C$3:$C$3002,"&lt;&gt;U",$S$3:$S$3002,Calc!$F$2))</f>
        <v/>
      </c>
      <c r="Q1342" s="35" t="str">
        <f aca="false">IF(OR($A1342="",$C1342="U",$S1342&lt;&gt;Calc!$F$2),"",IF(COUNTIFS($E$3:$E1342,$E1342,$C$3:$C1342,"&lt;&gt;U",$S$3:$S1342,Calc!$F$2)=1,1,0))</f>
        <v/>
      </c>
      <c r="R1342" s="35" t="str">
        <f aca="false">IF($Q1342=1,$O1342-ROW()/100000,"")</f>
        <v/>
      </c>
      <c r="S1342" s="37" t="str">
        <f aca="false">IF($A1342="","",INT($A1342))</f>
        <v/>
      </c>
      <c r="T1342" s="35" t="str">
        <f aca="false">IF($A1342="","",IF(COUNTIFS($S$3:$S1342,$S1342)=1,1,0))</f>
        <v/>
      </c>
      <c r="U1342" s="37" t="str">
        <f aca="false">IF($T1342=1,$S1342,"")</f>
        <v/>
      </c>
    </row>
    <row r="1343" customFormat="false" ht="15" hidden="false" customHeight="false" outlineLevel="0" collapsed="false">
      <c r="M1343" s="35" t="str">
        <f aca="false">IF($A1343="","",HOUR($A1343))</f>
        <v/>
      </c>
      <c r="N1343" s="36" t="str">
        <f aca="false">IF($A1343="","",$I1343*$K1343)</f>
        <v/>
      </c>
      <c r="O1343" s="35" t="str">
        <f aca="false">IF(OR($A1343="",$C1343="U",$S1343&lt;&gt;Calc!$F$2),"",SUMIFS($I$3:$I$3002,$E$3:$E$3002,$E1343,$C$3:$C$3002,"&lt;&gt;U",$S$3:$S$3002,Calc!$F$2))</f>
        <v/>
      </c>
      <c r="P1343" s="35" t="str">
        <f aca="false">IF(OR($A1343="",$C1343="U",$S1343&lt;&gt;Calc!$F$2),"",SUMIFS($N$3:$N$3002,$E$3:$E$3002,$E1343,$C$3:$C$3002,"&lt;&gt;U",$S$3:$S$3002,Calc!$F$2))</f>
        <v/>
      </c>
      <c r="Q1343" s="35" t="str">
        <f aca="false">IF(OR($A1343="",$C1343="U",$S1343&lt;&gt;Calc!$F$2),"",IF(COUNTIFS($E$3:$E1343,$E1343,$C$3:$C1343,"&lt;&gt;U",$S$3:$S1343,Calc!$F$2)=1,1,0))</f>
        <v/>
      </c>
      <c r="R1343" s="35" t="str">
        <f aca="false">IF($Q1343=1,$O1343-ROW()/100000,"")</f>
        <v/>
      </c>
      <c r="S1343" s="37" t="str">
        <f aca="false">IF($A1343="","",INT($A1343))</f>
        <v/>
      </c>
      <c r="T1343" s="35" t="str">
        <f aca="false">IF($A1343="","",IF(COUNTIFS($S$3:$S1343,$S1343)=1,1,0))</f>
        <v/>
      </c>
      <c r="U1343" s="37" t="str">
        <f aca="false">IF($T1343=1,$S1343,"")</f>
        <v/>
      </c>
    </row>
    <row r="1344" customFormat="false" ht="15" hidden="false" customHeight="false" outlineLevel="0" collapsed="false">
      <c r="M1344" s="35" t="str">
        <f aca="false">IF($A1344="","",HOUR($A1344))</f>
        <v/>
      </c>
      <c r="N1344" s="36" t="str">
        <f aca="false">IF($A1344="","",$I1344*$K1344)</f>
        <v/>
      </c>
      <c r="O1344" s="35" t="str">
        <f aca="false">IF(OR($A1344="",$C1344="U",$S1344&lt;&gt;Calc!$F$2),"",SUMIFS($I$3:$I$3002,$E$3:$E$3002,$E1344,$C$3:$C$3002,"&lt;&gt;U",$S$3:$S$3002,Calc!$F$2))</f>
        <v/>
      </c>
      <c r="P1344" s="35" t="str">
        <f aca="false">IF(OR($A1344="",$C1344="U",$S1344&lt;&gt;Calc!$F$2),"",SUMIFS($N$3:$N$3002,$E$3:$E$3002,$E1344,$C$3:$C$3002,"&lt;&gt;U",$S$3:$S$3002,Calc!$F$2))</f>
        <v/>
      </c>
      <c r="Q1344" s="35" t="str">
        <f aca="false">IF(OR($A1344="",$C1344="U",$S1344&lt;&gt;Calc!$F$2),"",IF(COUNTIFS($E$3:$E1344,$E1344,$C$3:$C1344,"&lt;&gt;U",$S$3:$S1344,Calc!$F$2)=1,1,0))</f>
        <v/>
      </c>
      <c r="R1344" s="35" t="str">
        <f aca="false">IF($Q1344=1,$O1344-ROW()/100000,"")</f>
        <v/>
      </c>
      <c r="S1344" s="37" t="str">
        <f aca="false">IF($A1344="","",INT($A1344))</f>
        <v/>
      </c>
      <c r="T1344" s="35" t="str">
        <f aca="false">IF($A1344="","",IF(COUNTIFS($S$3:$S1344,$S1344)=1,1,0))</f>
        <v/>
      </c>
      <c r="U1344" s="37" t="str">
        <f aca="false">IF($T1344=1,$S1344,"")</f>
        <v/>
      </c>
    </row>
    <row r="1345" customFormat="false" ht="15" hidden="false" customHeight="false" outlineLevel="0" collapsed="false">
      <c r="M1345" s="35" t="str">
        <f aca="false">IF($A1345="","",HOUR($A1345))</f>
        <v/>
      </c>
      <c r="N1345" s="36" t="str">
        <f aca="false">IF($A1345="","",$I1345*$K1345)</f>
        <v/>
      </c>
      <c r="O1345" s="35" t="str">
        <f aca="false">IF(OR($A1345="",$C1345="U",$S1345&lt;&gt;Calc!$F$2),"",SUMIFS($I$3:$I$3002,$E$3:$E$3002,$E1345,$C$3:$C$3002,"&lt;&gt;U",$S$3:$S$3002,Calc!$F$2))</f>
        <v/>
      </c>
      <c r="P1345" s="35" t="str">
        <f aca="false">IF(OR($A1345="",$C1345="U",$S1345&lt;&gt;Calc!$F$2),"",SUMIFS($N$3:$N$3002,$E$3:$E$3002,$E1345,$C$3:$C$3002,"&lt;&gt;U",$S$3:$S$3002,Calc!$F$2))</f>
        <v/>
      </c>
      <c r="Q1345" s="35" t="str">
        <f aca="false">IF(OR($A1345="",$C1345="U",$S1345&lt;&gt;Calc!$F$2),"",IF(COUNTIFS($E$3:$E1345,$E1345,$C$3:$C1345,"&lt;&gt;U",$S$3:$S1345,Calc!$F$2)=1,1,0))</f>
        <v/>
      </c>
      <c r="R1345" s="35" t="str">
        <f aca="false">IF($Q1345=1,$O1345-ROW()/100000,"")</f>
        <v/>
      </c>
      <c r="S1345" s="37" t="str">
        <f aca="false">IF($A1345="","",INT($A1345))</f>
        <v/>
      </c>
      <c r="T1345" s="35" t="str">
        <f aca="false">IF($A1345="","",IF(COUNTIFS($S$3:$S1345,$S1345)=1,1,0))</f>
        <v/>
      </c>
      <c r="U1345" s="37" t="str">
        <f aca="false">IF($T1345=1,$S1345,"")</f>
        <v/>
      </c>
    </row>
    <row r="1346" customFormat="false" ht="15" hidden="false" customHeight="false" outlineLevel="0" collapsed="false">
      <c r="M1346" s="35" t="str">
        <f aca="false">IF($A1346="","",HOUR($A1346))</f>
        <v/>
      </c>
      <c r="N1346" s="36" t="str">
        <f aca="false">IF($A1346="","",$I1346*$K1346)</f>
        <v/>
      </c>
      <c r="O1346" s="35" t="str">
        <f aca="false">IF(OR($A1346="",$C1346="U",$S1346&lt;&gt;Calc!$F$2),"",SUMIFS($I$3:$I$3002,$E$3:$E$3002,$E1346,$C$3:$C$3002,"&lt;&gt;U",$S$3:$S$3002,Calc!$F$2))</f>
        <v/>
      </c>
      <c r="P1346" s="35" t="str">
        <f aca="false">IF(OR($A1346="",$C1346="U",$S1346&lt;&gt;Calc!$F$2),"",SUMIFS($N$3:$N$3002,$E$3:$E$3002,$E1346,$C$3:$C$3002,"&lt;&gt;U",$S$3:$S$3002,Calc!$F$2))</f>
        <v/>
      </c>
      <c r="Q1346" s="35" t="str">
        <f aca="false">IF(OR($A1346="",$C1346="U",$S1346&lt;&gt;Calc!$F$2),"",IF(COUNTIFS($E$3:$E1346,$E1346,$C$3:$C1346,"&lt;&gt;U",$S$3:$S1346,Calc!$F$2)=1,1,0))</f>
        <v/>
      </c>
      <c r="R1346" s="35" t="str">
        <f aca="false">IF($Q1346=1,$O1346-ROW()/100000,"")</f>
        <v/>
      </c>
      <c r="S1346" s="37" t="str">
        <f aca="false">IF($A1346="","",INT($A1346))</f>
        <v/>
      </c>
      <c r="T1346" s="35" t="str">
        <f aca="false">IF($A1346="","",IF(COUNTIFS($S$3:$S1346,$S1346)=1,1,0))</f>
        <v/>
      </c>
      <c r="U1346" s="37" t="str">
        <f aca="false">IF($T1346=1,$S1346,"")</f>
        <v/>
      </c>
    </row>
    <row r="1347" customFormat="false" ht="15" hidden="false" customHeight="false" outlineLevel="0" collapsed="false">
      <c r="M1347" s="35" t="str">
        <f aca="false">IF($A1347="","",HOUR($A1347))</f>
        <v/>
      </c>
      <c r="N1347" s="36" t="str">
        <f aca="false">IF($A1347="","",$I1347*$K1347)</f>
        <v/>
      </c>
      <c r="O1347" s="35" t="str">
        <f aca="false">IF(OR($A1347="",$C1347="U",$S1347&lt;&gt;Calc!$F$2),"",SUMIFS($I$3:$I$3002,$E$3:$E$3002,$E1347,$C$3:$C$3002,"&lt;&gt;U",$S$3:$S$3002,Calc!$F$2))</f>
        <v/>
      </c>
      <c r="P1347" s="35" t="str">
        <f aca="false">IF(OR($A1347="",$C1347="U",$S1347&lt;&gt;Calc!$F$2),"",SUMIFS($N$3:$N$3002,$E$3:$E$3002,$E1347,$C$3:$C$3002,"&lt;&gt;U",$S$3:$S$3002,Calc!$F$2))</f>
        <v/>
      </c>
      <c r="Q1347" s="35" t="str">
        <f aca="false">IF(OR($A1347="",$C1347="U",$S1347&lt;&gt;Calc!$F$2),"",IF(COUNTIFS($E$3:$E1347,$E1347,$C$3:$C1347,"&lt;&gt;U",$S$3:$S1347,Calc!$F$2)=1,1,0))</f>
        <v/>
      </c>
      <c r="R1347" s="35" t="str">
        <f aca="false">IF($Q1347=1,$O1347-ROW()/100000,"")</f>
        <v/>
      </c>
      <c r="S1347" s="37" t="str">
        <f aca="false">IF($A1347="","",INT($A1347))</f>
        <v/>
      </c>
      <c r="T1347" s="35" t="str">
        <f aca="false">IF($A1347="","",IF(COUNTIFS($S$3:$S1347,$S1347)=1,1,0))</f>
        <v/>
      </c>
      <c r="U1347" s="37" t="str">
        <f aca="false">IF($T1347=1,$S1347,"")</f>
        <v/>
      </c>
    </row>
    <row r="1348" customFormat="false" ht="15" hidden="false" customHeight="false" outlineLevel="0" collapsed="false">
      <c r="M1348" s="35" t="str">
        <f aca="false">IF($A1348="","",HOUR($A1348))</f>
        <v/>
      </c>
      <c r="N1348" s="36" t="str">
        <f aca="false">IF($A1348="","",$I1348*$K1348)</f>
        <v/>
      </c>
      <c r="O1348" s="35" t="str">
        <f aca="false">IF(OR($A1348="",$C1348="U",$S1348&lt;&gt;Calc!$F$2),"",SUMIFS($I$3:$I$3002,$E$3:$E$3002,$E1348,$C$3:$C$3002,"&lt;&gt;U",$S$3:$S$3002,Calc!$F$2))</f>
        <v/>
      </c>
      <c r="P1348" s="35" t="str">
        <f aca="false">IF(OR($A1348="",$C1348="U",$S1348&lt;&gt;Calc!$F$2),"",SUMIFS($N$3:$N$3002,$E$3:$E$3002,$E1348,$C$3:$C$3002,"&lt;&gt;U",$S$3:$S$3002,Calc!$F$2))</f>
        <v/>
      </c>
      <c r="Q1348" s="35" t="str">
        <f aca="false">IF(OR($A1348="",$C1348="U",$S1348&lt;&gt;Calc!$F$2),"",IF(COUNTIFS($E$3:$E1348,$E1348,$C$3:$C1348,"&lt;&gt;U",$S$3:$S1348,Calc!$F$2)=1,1,0))</f>
        <v/>
      </c>
      <c r="R1348" s="35" t="str">
        <f aca="false">IF($Q1348=1,$O1348-ROW()/100000,"")</f>
        <v/>
      </c>
      <c r="S1348" s="37" t="str">
        <f aca="false">IF($A1348="","",INT($A1348))</f>
        <v/>
      </c>
      <c r="T1348" s="35" t="str">
        <f aca="false">IF($A1348="","",IF(COUNTIFS($S$3:$S1348,$S1348)=1,1,0))</f>
        <v/>
      </c>
      <c r="U1348" s="37" t="str">
        <f aca="false">IF($T1348=1,$S1348,"")</f>
        <v/>
      </c>
    </row>
    <row r="1349" customFormat="false" ht="15" hidden="false" customHeight="false" outlineLevel="0" collapsed="false">
      <c r="M1349" s="35" t="str">
        <f aca="false">IF($A1349="","",HOUR($A1349))</f>
        <v/>
      </c>
      <c r="N1349" s="36" t="str">
        <f aca="false">IF($A1349="","",$I1349*$K1349)</f>
        <v/>
      </c>
      <c r="O1349" s="35" t="str">
        <f aca="false">IF(OR($A1349="",$C1349="U",$S1349&lt;&gt;Calc!$F$2),"",SUMIFS($I$3:$I$3002,$E$3:$E$3002,$E1349,$C$3:$C$3002,"&lt;&gt;U",$S$3:$S$3002,Calc!$F$2))</f>
        <v/>
      </c>
      <c r="P1349" s="35" t="str">
        <f aca="false">IF(OR($A1349="",$C1349="U",$S1349&lt;&gt;Calc!$F$2),"",SUMIFS($N$3:$N$3002,$E$3:$E$3002,$E1349,$C$3:$C$3002,"&lt;&gt;U",$S$3:$S$3002,Calc!$F$2))</f>
        <v/>
      </c>
      <c r="Q1349" s="35" t="str">
        <f aca="false">IF(OR($A1349="",$C1349="U",$S1349&lt;&gt;Calc!$F$2),"",IF(COUNTIFS($E$3:$E1349,$E1349,$C$3:$C1349,"&lt;&gt;U",$S$3:$S1349,Calc!$F$2)=1,1,0))</f>
        <v/>
      </c>
      <c r="R1349" s="35" t="str">
        <f aca="false">IF($Q1349=1,$O1349-ROW()/100000,"")</f>
        <v/>
      </c>
      <c r="S1349" s="37" t="str">
        <f aca="false">IF($A1349="","",INT($A1349))</f>
        <v/>
      </c>
      <c r="T1349" s="35" t="str">
        <f aca="false">IF($A1349="","",IF(COUNTIFS($S$3:$S1349,$S1349)=1,1,0))</f>
        <v/>
      </c>
      <c r="U1349" s="37" t="str">
        <f aca="false">IF($T1349=1,$S1349,"")</f>
        <v/>
      </c>
    </row>
    <row r="1350" customFormat="false" ht="15" hidden="false" customHeight="false" outlineLevel="0" collapsed="false">
      <c r="M1350" s="35" t="str">
        <f aca="false">IF($A1350="","",HOUR($A1350))</f>
        <v/>
      </c>
      <c r="N1350" s="36" t="str">
        <f aca="false">IF($A1350="","",$I1350*$K1350)</f>
        <v/>
      </c>
      <c r="O1350" s="35" t="str">
        <f aca="false">IF(OR($A1350="",$C1350="U",$S1350&lt;&gt;Calc!$F$2),"",SUMIFS($I$3:$I$3002,$E$3:$E$3002,$E1350,$C$3:$C$3002,"&lt;&gt;U",$S$3:$S$3002,Calc!$F$2))</f>
        <v/>
      </c>
      <c r="P1350" s="35" t="str">
        <f aca="false">IF(OR($A1350="",$C1350="U",$S1350&lt;&gt;Calc!$F$2),"",SUMIFS($N$3:$N$3002,$E$3:$E$3002,$E1350,$C$3:$C$3002,"&lt;&gt;U",$S$3:$S$3002,Calc!$F$2))</f>
        <v/>
      </c>
      <c r="Q1350" s="35" t="str">
        <f aca="false">IF(OR($A1350="",$C1350="U",$S1350&lt;&gt;Calc!$F$2),"",IF(COUNTIFS($E$3:$E1350,$E1350,$C$3:$C1350,"&lt;&gt;U",$S$3:$S1350,Calc!$F$2)=1,1,0))</f>
        <v/>
      </c>
      <c r="R1350" s="35" t="str">
        <f aca="false">IF($Q1350=1,$O1350-ROW()/100000,"")</f>
        <v/>
      </c>
      <c r="S1350" s="37" t="str">
        <f aca="false">IF($A1350="","",INT($A1350))</f>
        <v/>
      </c>
      <c r="T1350" s="35" t="str">
        <f aca="false">IF($A1350="","",IF(COUNTIFS($S$3:$S1350,$S1350)=1,1,0))</f>
        <v/>
      </c>
      <c r="U1350" s="37" t="str">
        <f aca="false">IF($T1350=1,$S1350,"")</f>
        <v/>
      </c>
    </row>
    <row r="1351" customFormat="false" ht="15" hidden="false" customHeight="false" outlineLevel="0" collapsed="false">
      <c r="M1351" s="35" t="str">
        <f aca="false">IF($A1351="","",HOUR($A1351))</f>
        <v/>
      </c>
      <c r="N1351" s="36" t="str">
        <f aca="false">IF($A1351="","",$I1351*$K1351)</f>
        <v/>
      </c>
      <c r="O1351" s="35" t="str">
        <f aca="false">IF(OR($A1351="",$C1351="U",$S1351&lt;&gt;Calc!$F$2),"",SUMIFS($I$3:$I$3002,$E$3:$E$3002,$E1351,$C$3:$C$3002,"&lt;&gt;U",$S$3:$S$3002,Calc!$F$2))</f>
        <v/>
      </c>
      <c r="P1351" s="35" t="str">
        <f aca="false">IF(OR($A1351="",$C1351="U",$S1351&lt;&gt;Calc!$F$2),"",SUMIFS($N$3:$N$3002,$E$3:$E$3002,$E1351,$C$3:$C$3002,"&lt;&gt;U",$S$3:$S$3002,Calc!$F$2))</f>
        <v/>
      </c>
      <c r="Q1351" s="35" t="str">
        <f aca="false">IF(OR($A1351="",$C1351="U",$S1351&lt;&gt;Calc!$F$2),"",IF(COUNTIFS($E$3:$E1351,$E1351,$C$3:$C1351,"&lt;&gt;U",$S$3:$S1351,Calc!$F$2)=1,1,0))</f>
        <v/>
      </c>
      <c r="R1351" s="35" t="str">
        <f aca="false">IF($Q1351=1,$O1351-ROW()/100000,"")</f>
        <v/>
      </c>
      <c r="S1351" s="37" t="str">
        <f aca="false">IF($A1351="","",INT($A1351))</f>
        <v/>
      </c>
      <c r="T1351" s="35" t="str">
        <f aca="false">IF($A1351="","",IF(COUNTIFS($S$3:$S1351,$S1351)=1,1,0))</f>
        <v/>
      </c>
      <c r="U1351" s="37" t="str">
        <f aca="false">IF($T1351=1,$S1351,"")</f>
        <v/>
      </c>
    </row>
    <row r="1352" customFormat="false" ht="15" hidden="false" customHeight="false" outlineLevel="0" collapsed="false">
      <c r="M1352" s="35" t="str">
        <f aca="false">IF($A1352="","",HOUR($A1352))</f>
        <v/>
      </c>
      <c r="N1352" s="36" t="str">
        <f aca="false">IF($A1352="","",$I1352*$K1352)</f>
        <v/>
      </c>
      <c r="O1352" s="35" t="str">
        <f aca="false">IF(OR($A1352="",$C1352="U",$S1352&lt;&gt;Calc!$F$2),"",SUMIFS($I$3:$I$3002,$E$3:$E$3002,$E1352,$C$3:$C$3002,"&lt;&gt;U",$S$3:$S$3002,Calc!$F$2))</f>
        <v/>
      </c>
      <c r="P1352" s="35" t="str">
        <f aca="false">IF(OR($A1352="",$C1352="U",$S1352&lt;&gt;Calc!$F$2),"",SUMIFS($N$3:$N$3002,$E$3:$E$3002,$E1352,$C$3:$C$3002,"&lt;&gt;U",$S$3:$S$3002,Calc!$F$2))</f>
        <v/>
      </c>
      <c r="Q1352" s="35" t="str">
        <f aca="false">IF(OR($A1352="",$C1352="U",$S1352&lt;&gt;Calc!$F$2),"",IF(COUNTIFS($E$3:$E1352,$E1352,$C$3:$C1352,"&lt;&gt;U",$S$3:$S1352,Calc!$F$2)=1,1,0))</f>
        <v/>
      </c>
      <c r="R1352" s="35" t="str">
        <f aca="false">IF($Q1352=1,$O1352-ROW()/100000,"")</f>
        <v/>
      </c>
      <c r="S1352" s="37" t="str">
        <f aca="false">IF($A1352="","",INT($A1352))</f>
        <v/>
      </c>
      <c r="T1352" s="35" t="str">
        <f aca="false">IF($A1352="","",IF(COUNTIFS($S$3:$S1352,$S1352)=1,1,0))</f>
        <v/>
      </c>
      <c r="U1352" s="37" t="str">
        <f aca="false">IF($T1352=1,$S1352,"")</f>
        <v/>
      </c>
    </row>
    <row r="1353" customFormat="false" ht="15" hidden="false" customHeight="false" outlineLevel="0" collapsed="false">
      <c r="M1353" s="35" t="str">
        <f aca="false">IF($A1353="","",HOUR($A1353))</f>
        <v/>
      </c>
      <c r="N1353" s="36" t="str">
        <f aca="false">IF($A1353="","",$I1353*$K1353)</f>
        <v/>
      </c>
      <c r="O1353" s="35" t="str">
        <f aca="false">IF(OR($A1353="",$C1353="U",$S1353&lt;&gt;Calc!$F$2),"",SUMIFS($I$3:$I$3002,$E$3:$E$3002,$E1353,$C$3:$C$3002,"&lt;&gt;U",$S$3:$S$3002,Calc!$F$2))</f>
        <v/>
      </c>
      <c r="P1353" s="35" t="str">
        <f aca="false">IF(OR($A1353="",$C1353="U",$S1353&lt;&gt;Calc!$F$2),"",SUMIFS($N$3:$N$3002,$E$3:$E$3002,$E1353,$C$3:$C$3002,"&lt;&gt;U",$S$3:$S$3002,Calc!$F$2))</f>
        <v/>
      </c>
      <c r="Q1353" s="35" t="str">
        <f aca="false">IF(OR($A1353="",$C1353="U",$S1353&lt;&gt;Calc!$F$2),"",IF(COUNTIFS($E$3:$E1353,$E1353,$C$3:$C1353,"&lt;&gt;U",$S$3:$S1353,Calc!$F$2)=1,1,0))</f>
        <v/>
      </c>
      <c r="R1353" s="35" t="str">
        <f aca="false">IF($Q1353=1,$O1353-ROW()/100000,"")</f>
        <v/>
      </c>
      <c r="S1353" s="37" t="str">
        <f aca="false">IF($A1353="","",INT($A1353))</f>
        <v/>
      </c>
      <c r="T1353" s="35" t="str">
        <f aca="false">IF($A1353="","",IF(COUNTIFS($S$3:$S1353,$S1353)=1,1,0))</f>
        <v/>
      </c>
      <c r="U1353" s="37" t="str">
        <f aca="false">IF($T1353=1,$S1353,"")</f>
        <v/>
      </c>
    </row>
    <row r="1354" customFormat="false" ht="15" hidden="false" customHeight="false" outlineLevel="0" collapsed="false">
      <c r="M1354" s="35" t="str">
        <f aca="false">IF($A1354="","",HOUR($A1354))</f>
        <v/>
      </c>
      <c r="N1354" s="36" t="str">
        <f aca="false">IF($A1354="","",$I1354*$K1354)</f>
        <v/>
      </c>
      <c r="O1354" s="35" t="str">
        <f aca="false">IF(OR($A1354="",$C1354="U",$S1354&lt;&gt;Calc!$F$2),"",SUMIFS($I$3:$I$3002,$E$3:$E$3002,$E1354,$C$3:$C$3002,"&lt;&gt;U",$S$3:$S$3002,Calc!$F$2))</f>
        <v/>
      </c>
      <c r="P1354" s="35" t="str">
        <f aca="false">IF(OR($A1354="",$C1354="U",$S1354&lt;&gt;Calc!$F$2),"",SUMIFS($N$3:$N$3002,$E$3:$E$3002,$E1354,$C$3:$C$3002,"&lt;&gt;U",$S$3:$S$3002,Calc!$F$2))</f>
        <v/>
      </c>
      <c r="Q1354" s="35" t="str">
        <f aca="false">IF(OR($A1354="",$C1354="U",$S1354&lt;&gt;Calc!$F$2),"",IF(COUNTIFS($E$3:$E1354,$E1354,$C$3:$C1354,"&lt;&gt;U",$S$3:$S1354,Calc!$F$2)=1,1,0))</f>
        <v/>
      </c>
      <c r="R1354" s="35" t="str">
        <f aca="false">IF($Q1354=1,$O1354-ROW()/100000,"")</f>
        <v/>
      </c>
      <c r="S1354" s="37" t="str">
        <f aca="false">IF($A1354="","",INT($A1354))</f>
        <v/>
      </c>
      <c r="T1354" s="35" t="str">
        <f aca="false">IF($A1354="","",IF(COUNTIFS($S$3:$S1354,$S1354)=1,1,0))</f>
        <v/>
      </c>
      <c r="U1354" s="37" t="str">
        <f aca="false">IF($T1354=1,$S1354,"")</f>
        <v/>
      </c>
    </row>
    <row r="1355" customFormat="false" ht="15" hidden="false" customHeight="false" outlineLevel="0" collapsed="false">
      <c r="M1355" s="35" t="str">
        <f aca="false">IF($A1355="","",HOUR($A1355))</f>
        <v/>
      </c>
      <c r="N1355" s="36" t="str">
        <f aca="false">IF($A1355="","",$I1355*$K1355)</f>
        <v/>
      </c>
      <c r="O1355" s="35" t="str">
        <f aca="false">IF(OR($A1355="",$C1355="U",$S1355&lt;&gt;Calc!$F$2),"",SUMIFS($I$3:$I$3002,$E$3:$E$3002,$E1355,$C$3:$C$3002,"&lt;&gt;U",$S$3:$S$3002,Calc!$F$2))</f>
        <v/>
      </c>
      <c r="P1355" s="35" t="str">
        <f aca="false">IF(OR($A1355="",$C1355="U",$S1355&lt;&gt;Calc!$F$2),"",SUMIFS($N$3:$N$3002,$E$3:$E$3002,$E1355,$C$3:$C$3002,"&lt;&gt;U",$S$3:$S$3002,Calc!$F$2))</f>
        <v/>
      </c>
      <c r="Q1355" s="35" t="str">
        <f aca="false">IF(OR($A1355="",$C1355="U",$S1355&lt;&gt;Calc!$F$2),"",IF(COUNTIFS($E$3:$E1355,$E1355,$C$3:$C1355,"&lt;&gt;U",$S$3:$S1355,Calc!$F$2)=1,1,0))</f>
        <v/>
      </c>
      <c r="R1355" s="35" t="str">
        <f aca="false">IF($Q1355=1,$O1355-ROW()/100000,"")</f>
        <v/>
      </c>
      <c r="S1355" s="37" t="str">
        <f aca="false">IF($A1355="","",INT($A1355))</f>
        <v/>
      </c>
      <c r="T1355" s="35" t="str">
        <f aca="false">IF($A1355="","",IF(COUNTIFS($S$3:$S1355,$S1355)=1,1,0))</f>
        <v/>
      </c>
      <c r="U1355" s="37" t="str">
        <f aca="false">IF($T1355=1,$S1355,"")</f>
        <v/>
      </c>
    </row>
    <row r="1356" customFormat="false" ht="15" hidden="false" customHeight="false" outlineLevel="0" collapsed="false">
      <c r="M1356" s="35" t="str">
        <f aca="false">IF($A1356="","",HOUR($A1356))</f>
        <v/>
      </c>
      <c r="N1356" s="36" t="str">
        <f aca="false">IF($A1356="","",$I1356*$K1356)</f>
        <v/>
      </c>
      <c r="O1356" s="35" t="str">
        <f aca="false">IF(OR($A1356="",$C1356="U",$S1356&lt;&gt;Calc!$F$2),"",SUMIFS($I$3:$I$3002,$E$3:$E$3002,$E1356,$C$3:$C$3002,"&lt;&gt;U",$S$3:$S$3002,Calc!$F$2))</f>
        <v/>
      </c>
      <c r="P1356" s="35" t="str">
        <f aca="false">IF(OR($A1356="",$C1356="U",$S1356&lt;&gt;Calc!$F$2),"",SUMIFS($N$3:$N$3002,$E$3:$E$3002,$E1356,$C$3:$C$3002,"&lt;&gt;U",$S$3:$S$3002,Calc!$F$2))</f>
        <v/>
      </c>
      <c r="Q1356" s="35" t="str">
        <f aca="false">IF(OR($A1356="",$C1356="U",$S1356&lt;&gt;Calc!$F$2),"",IF(COUNTIFS($E$3:$E1356,$E1356,$C$3:$C1356,"&lt;&gt;U",$S$3:$S1356,Calc!$F$2)=1,1,0))</f>
        <v/>
      </c>
      <c r="R1356" s="35" t="str">
        <f aca="false">IF($Q1356=1,$O1356-ROW()/100000,"")</f>
        <v/>
      </c>
      <c r="S1356" s="37" t="str">
        <f aca="false">IF($A1356="","",INT($A1356))</f>
        <v/>
      </c>
      <c r="T1356" s="35" t="str">
        <f aca="false">IF($A1356="","",IF(COUNTIFS($S$3:$S1356,$S1356)=1,1,0))</f>
        <v/>
      </c>
      <c r="U1356" s="37" t="str">
        <f aca="false">IF($T1356=1,$S1356,"")</f>
        <v/>
      </c>
    </row>
    <row r="1357" customFormat="false" ht="15" hidden="false" customHeight="false" outlineLevel="0" collapsed="false">
      <c r="M1357" s="35" t="str">
        <f aca="false">IF($A1357="","",HOUR($A1357))</f>
        <v/>
      </c>
      <c r="N1357" s="36" t="str">
        <f aca="false">IF($A1357="","",$I1357*$K1357)</f>
        <v/>
      </c>
      <c r="O1357" s="35" t="str">
        <f aca="false">IF(OR($A1357="",$C1357="U",$S1357&lt;&gt;Calc!$F$2),"",SUMIFS($I$3:$I$3002,$E$3:$E$3002,$E1357,$C$3:$C$3002,"&lt;&gt;U",$S$3:$S$3002,Calc!$F$2))</f>
        <v/>
      </c>
      <c r="P1357" s="35" t="str">
        <f aca="false">IF(OR($A1357="",$C1357="U",$S1357&lt;&gt;Calc!$F$2),"",SUMIFS($N$3:$N$3002,$E$3:$E$3002,$E1357,$C$3:$C$3002,"&lt;&gt;U",$S$3:$S$3002,Calc!$F$2))</f>
        <v/>
      </c>
      <c r="Q1357" s="35" t="str">
        <f aca="false">IF(OR($A1357="",$C1357="U",$S1357&lt;&gt;Calc!$F$2),"",IF(COUNTIFS($E$3:$E1357,$E1357,$C$3:$C1357,"&lt;&gt;U",$S$3:$S1357,Calc!$F$2)=1,1,0))</f>
        <v/>
      </c>
      <c r="R1357" s="35" t="str">
        <f aca="false">IF($Q1357=1,$O1357-ROW()/100000,"")</f>
        <v/>
      </c>
      <c r="S1357" s="37" t="str">
        <f aca="false">IF($A1357="","",INT($A1357))</f>
        <v/>
      </c>
      <c r="T1357" s="35" t="str">
        <f aca="false">IF($A1357="","",IF(COUNTIFS($S$3:$S1357,$S1357)=1,1,0))</f>
        <v/>
      </c>
      <c r="U1357" s="37" t="str">
        <f aca="false">IF($T1357=1,$S1357,"")</f>
        <v/>
      </c>
    </row>
    <row r="1358" customFormat="false" ht="15" hidden="false" customHeight="false" outlineLevel="0" collapsed="false">
      <c r="M1358" s="35" t="str">
        <f aca="false">IF($A1358="","",HOUR($A1358))</f>
        <v/>
      </c>
      <c r="N1358" s="36" t="str">
        <f aca="false">IF($A1358="","",$I1358*$K1358)</f>
        <v/>
      </c>
      <c r="O1358" s="35" t="str">
        <f aca="false">IF(OR($A1358="",$C1358="U",$S1358&lt;&gt;Calc!$F$2),"",SUMIFS($I$3:$I$3002,$E$3:$E$3002,$E1358,$C$3:$C$3002,"&lt;&gt;U",$S$3:$S$3002,Calc!$F$2))</f>
        <v/>
      </c>
      <c r="P1358" s="35" t="str">
        <f aca="false">IF(OR($A1358="",$C1358="U",$S1358&lt;&gt;Calc!$F$2),"",SUMIFS($N$3:$N$3002,$E$3:$E$3002,$E1358,$C$3:$C$3002,"&lt;&gt;U",$S$3:$S$3002,Calc!$F$2))</f>
        <v/>
      </c>
      <c r="Q1358" s="35" t="str">
        <f aca="false">IF(OR($A1358="",$C1358="U",$S1358&lt;&gt;Calc!$F$2),"",IF(COUNTIFS($E$3:$E1358,$E1358,$C$3:$C1358,"&lt;&gt;U",$S$3:$S1358,Calc!$F$2)=1,1,0))</f>
        <v/>
      </c>
      <c r="R1358" s="35" t="str">
        <f aca="false">IF($Q1358=1,$O1358-ROW()/100000,"")</f>
        <v/>
      </c>
      <c r="S1358" s="37" t="str">
        <f aca="false">IF($A1358="","",INT($A1358))</f>
        <v/>
      </c>
      <c r="T1358" s="35" t="str">
        <f aca="false">IF($A1358="","",IF(COUNTIFS($S$3:$S1358,$S1358)=1,1,0))</f>
        <v/>
      </c>
      <c r="U1358" s="37" t="str">
        <f aca="false">IF($T1358=1,$S1358,"")</f>
        <v/>
      </c>
    </row>
    <row r="1359" customFormat="false" ht="15" hidden="false" customHeight="false" outlineLevel="0" collapsed="false">
      <c r="M1359" s="35" t="str">
        <f aca="false">IF($A1359="","",HOUR($A1359))</f>
        <v/>
      </c>
      <c r="N1359" s="36" t="str">
        <f aca="false">IF($A1359="","",$I1359*$K1359)</f>
        <v/>
      </c>
      <c r="O1359" s="35" t="str">
        <f aca="false">IF(OR($A1359="",$C1359="U",$S1359&lt;&gt;Calc!$F$2),"",SUMIFS($I$3:$I$3002,$E$3:$E$3002,$E1359,$C$3:$C$3002,"&lt;&gt;U",$S$3:$S$3002,Calc!$F$2))</f>
        <v/>
      </c>
      <c r="P1359" s="35" t="str">
        <f aca="false">IF(OR($A1359="",$C1359="U",$S1359&lt;&gt;Calc!$F$2),"",SUMIFS($N$3:$N$3002,$E$3:$E$3002,$E1359,$C$3:$C$3002,"&lt;&gt;U",$S$3:$S$3002,Calc!$F$2))</f>
        <v/>
      </c>
      <c r="Q1359" s="35" t="str">
        <f aca="false">IF(OR($A1359="",$C1359="U",$S1359&lt;&gt;Calc!$F$2),"",IF(COUNTIFS($E$3:$E1359,$E1359,$C$3:$C1359,"&lt;&gt;U",$S$3:$S1359,Calc!$F$2)=1,1,0))</f>
        <v/>
      </c>
      <c r="R1359" s="35" t="str">
        <f aca="false">IF($Q1359=1,$O1359-ROW()/100000,"")</f>
        <v/>
      </c>
      <c r="S1359" s="37" t="str">
        <f aca="false">IF($A1359="","",INT($A1359))</f>
        <v/>
      </c>
      <c r="T1359" s="35" t="str">
        <f aca="false">IF($A1359="","",IF(COUNTIFS($S$3:$S1359,$S1359)=1,1,0))</f>
        <v/>
      </c>
      <c r="U1359" s="37" t="str">
        <f aca="false">IF($T1359=1,$S1359,"")</f>
        <v/>
      </c>
    </row>
    <row r="1360" customFormat="false" ht="15" hidden="false" customHeight="false" outlineLevel="0" collapsed="false">
      <c r="M1360" s="35" t="str">
        <f aca="false">IF($A1360="","",HOUR($A1360))</f>
        <v/>
      </c>
      <c r="N1360" s="36" t="str">
        <f aca="false">IF($A1360="","",$I1360*$K1360)</f>
        <v/>
      </c>
      <c r="O1360" s="35" t="str">
        <f aca="false">IF(OR($A1360="",$C1360="U",$S1360&lt;&gt;Calc!$F$2),"",SUMIFS($I$3:$I$3002,$E$3:$E$3002,$E1360,$C$3:$C$3002,"&lt;&gt;U",$S$3:$S$3002,Calc!$F$2))</f>
        <v/>
      </c>
      <c r="P1360" s="35" t="str">
        <f aca="false">IF(OR($A1360="",$C1360="U",$S1360&lt;&gt;Calc!$F$2),"",SUMIFS($N$3:$N$3002,$E$3:$E$3002,$E1360,$C$3:$C$3002,"&lt;&gt;U",$S$3:$S$3002,Calc!$F$2))</f>
        <v/>
      </c>
      <c r="Q1360" s="35" t="str">
        <f aca="false">IF(OR($A1360="",$C1360="U",$S1360&lt;&gt;Calc!$F$2),"",IF(COUNTIFS($E$3:$E1360,$E1360,$C$3:$C1360,"&lt;&gt;U",$S$3:$S1360,Calc!$F$2)=1,1,0))</f>
        <v/>
      </c>
      <c r="R1360" s="35" t="str">
        <f aca="false">IF($Q1360=1,$O1360-ROW()/100000,"")</f>
        <v/>
      </c>
      <c r="S1360" s="37" t="str">
        <f aca="false">IF($A1360="","",INT($A1360))</f>
        <v/>
      </c>
      <c r="T1360" s="35" t="str">
        <f aca="false">IF($A1360="","",IF(COUNTIFS($S$3:$S1360,$S1360)=1,1,0))</f>
        <v/>
      </c>
      <c r="U1360" s="37" t="str">
        <f aca="false">IF($T1360=1,$S1360,"")</f>
        <v/>
      </c>
    </row>
    <row r="1361" customFormat="false" ht="15" hidden="false" customHeight="false" outlineLevel="0" collapsed="false">
      <c r="M1361" s="35" t="str">
        <f aca="false">IF($A1361="","",HOUR($A1361))</f>
        <v/>
      </c>
      <c r="N1361" s="36" t="str">
        <f aca="false">IF($A1361="","",$I1361*$K1361)</f>
        <v/>
      </c>
      <c r="O1361" s="35" t="str">
        <f aca="false">IF(OR($A1361="",$C1361="U",$S1361&lt;&gt;Calc!$F$2),"",SUMIFS($I$3:$I$3002,$E$3:$E$3002,$E1361,$C$3:$C$3002,"&lt;&gt;U",$S$3:$S$3002,Calc!$F$2))</f>
        <v/>
      </c>
      <c r="P1361" s="35" t="str">
        <f aca="false">IF(OR($A1361="",$C1361="U",$S1361&lt;&gt;Calc!$F$2),"",SUMIFS($N$3:$N$3002,$E$3:$E$3002,$E1361,$C$3:$C$3002,"&lt;&gt;U",$S$3:$S$3002,Calc!$F$2))</f>
        <v/>
      </c>
      <c r="Q1361" s="35" t="str">
        <f aca="false">IF(OR($A1361="",$C1361="U",$S1361&lt;&gt;Calc!$F$2),"",IF(COUNTIFS($E$3:$E1361,$E1361,$C$3:$C1361,"&lt;&gt;U",$S$3:$S1361,Calc!$F$2)=1,1,0))</f>
        <v/>
      </c>
      <c r="R1361" s="35" t="str">
        <f aca="false">IF($Q1361=1,$O1361-ROW()/100000,"")</f>
        <v/>
      </c>
      <c r="S1361" s="37" t="str">
        <f aca="false">IF($A1361="","",INT($A1361))</f>
        <v/>
      </c>
      <c r="T1361" s="35" t="str">
        <f aca="false">IF($A1361="","",IF(COUNTIFS($S$3:$S1361,$S1361)=1,1,0))</f>
        <v/>
      </c>
      <c r="U1361" s="37" t="str">
        <f aca="false">IF($T1361=1,$S1361,"")</f>
        <v/>
      </c>
    </row>
    <row r="1362" customFormat="false" ht="15" hidden="false" customHeight="false" outlineLevel="0" collapsed="false">
      <c r="M1362" s="35" t="str">
        <f aca="false">IF($A1362="","",HOUR($A1362))</f>
        <v/>
      </c>
      <c r="N1362" s="36" t="str">
        <f aca="false">IF($A1362="","",$I1362*$K1362)</f>
        <v/>
      </c>
      <c r="O1362" s="35" t="str">
        <f aca="false">IF(OR($A1362="",$C1362="U",$S1362&lt;&gt;Calc!$F$2),"",SUMIFS($I$3:$I$3002,$E$3:$E$3002,$E1362,$C$3:$C$3002,"&lt;&gt;U",$S$3:$S$3002,Calc!$F$2))</f>
        <v/>
      </c>
      <c r="P1362" s="35" t="str">
        <f aca="false">IF(OR($A1362="",$C1362="U",$S1362&lt;&gt;Calc!$F$2),"",SUMIFS($N$3:$N$3002,$E$3:$E$3002,$E1362,$C$3:$C$3002,"&lt;&gt;U",$S$3:$S$3002,Calc!$F$2))</f>
        <v/>
      </c>
      <c r="Q1362" s="35" t="str">
        <f aca="false">IF(OR($A1362="",$C1362="U",$S1362&lt;&gt;Calc!$F$2),"",IF(COUNTIFS($E$3:$E1362,$E1362,$C$3:$C1362,"&lt;&gt;U",$S$3:$S1362,Calc!$F$2)=1,1,0))</f>
        <v/>
      </c>
      <c r="R1362" s="35" t="str">
        <f aca="false">IF($Q1362=1,$O1362-ROW()/100000,"")</f>
        <v/>
      </c>
      <c r="S1362" s="37" t="str">
        <f aca="false">IF($A1362="","",INT($A1362))</f>
        <v/>
      </c>
      <c r="T1362" s="35" t="str">
        <f aca="false">IF($A1362="","",IF(COUNTIFS($S$3:$S1362,$S1362)=1,1,0))</f>
        <v/>
      </c>
      <c r="U1362" s="37" t="str">
        <f aca="false">IF($T1362=1,$S1362,"")</f>
        <v/>
      </c>
    </row>
    <row r="1363" customFormat="false" ht="15" hidden="false" customHeight="false" outlineLevel="0" collapsed="false">
      <c r="M1363" s="35" t="str">
        <f aca="false">IF($A1363="","",HOUR($A1363))</f>
        <v/>
      </c>
      <c r="N1363" s="36" t="str">
        <f aca="false">IF($A1363="","",$I1363*$K1363)</f>
        <v/>
      </c>
      <c r="O1363" s="35" t="str">
        <f aca="false">IF(OR($A1363="",$C1363="U",$S1363&lt;&gt;Calc!$F$2),"",SUMIFS($I$3:$I$3002,$E$3:$E$3002,$E1363,$C$3:$C$3002,"&lt;&gt;U",$S$3:$S$3002,Calc!$F$2))</f>
        <v/>
      </c>
      <c r="P1363" s="35" t="str">
        <f aca="false">IF(OR($A1363="",$C1363="U",$S1363&lt;&gt;Calc!$F$2),"",SUMIFS($N$3:$N$3002,$E$3:$E$3002,$E1363,$C$3:$C$3002,"&lt;&gt;U",$S$3:$S$3002,Calc!$F$2))</f>
        <v/>
      </c>
      <c r="Q1363" s="35" t="str">
        <f aca="false">IF(OR($A1363="",$C1363="U",$S1363&lt;&gt;Calc!$F$2),"",IF(COUNTIFS($E$3:$E1363,$E1363,$C$3:$C1363,"&lt;&gt;U",$S$3:$S1363,Calc!$F$2)=1,1,0))</f>
        <v/>
      </c>
      <c r="R1363" s="35" t="str">
        <f aca="false">IF($Q1363=1,$O1363-ROW()/100000,"")</f>
        <v/>
      </c>
      <c r="S1363" s="37" t="str">
        <f aca="false">IF($A1363="","",INT($A1363))</f>
        <v/>
      </c>
      <c r="T1363" s="35" t="str">
        <f aca="false">IF($A1363="","",IF(COUNTIFS($S$3:$S1363,$S1363)=1,1,0))</f>
        <v/>
      </c>
      <c r="U1363" s="37" t="str">
        <f aca="false">IF($T1363=1,$S1363,"")</f>
        <v/>
      </c>
    </row>
    <row r="1364" customFormat="false" ht="15" hidden="false" customHeight="false" outlineLevel="0" collapsed="false">
      <c r="M1364" s="35" t="str">
        <f aca="false">IF($A1364="","",HOUR($A1364))</f>
        <v/>
      </c>
      <c r="N1364" s="36" t="str">
        <f aca="false">IF($A1364="","",$I1364*$K1364)</f>
        <v/>
      </c>
      <c r="O1364" s="35" t="str">
        <f aca="false">IF(OR($A1364="",$C1364="U",$S1364&lt;&gt;Calc!$F$2),"",SUMIFS($I$3:$I$3002,$E$3:$E$3002,$E1364,$C$3:$C$3002,"&lt;&gt;U",$S$3:$S$3002,Calc!$F$2))</f>
        <v/>
      </c>
      <c r="P1364" s="35" t="str">
        <f aca="false">IF(OR($A1364="",$C1364="U",$S1364&lt;&gt;Calc!$F$2),"",SUMIFS($N$3:$N$3002,$E$3:$E$3002,$E1364,$C$3:$C$3002,"&lt;&gt;U",$S$3:$S$3002,Calc!$F$2))</f>
        <v/>
      </c>
      <c r="Q1364" s="35" t="str">
        <f aca="false">IF(OR($A1364="",$C1364="U",$S1364&lt;&gt;Calc!$F$2),"",IF(COUNTIFS($E$3:$E1364,$E1364,$C$3:$C1364,"&lt;&gt;U",$S$3:$S1364,Calc!$F$2)=1,1,0))</f>
        <v/>
      </c>
      <c r="R1364" s="35" t="str">
        <f aca="false">IF($Q1364=1,$O1364-ROW()/100000,"")</f>
        <v/>
      </c>
      <c r="S1364" s="37" t="str">
        <f aca="false">IF($A1364="","",INT($A1364))</f>
        <v/>
      </c>
      <c r="T1364" s="35" t="str">
        <f aca="false">IF($A1364="","",IF(COUNTIFS($S$3:$S1364,$S1364)=1,1,0))</f>
        <v/>
      </c>
      <c r="U1364" s="37" t="str">
        <f aca="false">IF($T1364=1,$S1364,"")</f>
        <v/>
      </c>
    </row>
    <row r="1365" customFormat="false" ht="15" hidden="false" customHeight="false" outlineLevel="0" collapsed="false">
      <c r="M1365" s="35" t="str">
        <f aca="false">IF($A1365="","",HOUR($A1365))</f>
        <v/>
      </c>
      <c r="N1365" s="36" t="str">
        <f aca="false">IF($A1365="","",$I1365*$K1365)</f>
        <v/>
      </c>
      <c r="O1365" s="35" t="str">
        <f aca="false">IF(OR($A1365="",$C1365="U",$S1365&lt;&gt;Calc!$F$2),"",SUMIFS($I$3:$I$3002,$E$3:$E$3002,$E1365,$C$3:$C$3002,"&lt;&gt;U",$S$3:$S$3002,Calc!$F$2))</f>
        <v/>
      </c>
      <c r="P1365" s="35" t="str">
        <f aca="false">IF(OR($A1365="",$C1365="U",$S1365&lt;&gt;Calc!$F$2),"",SUMIFS($N$3:$N$3002,$E$3:$E$3002,$E1365,$C$3:$C$3002,"&lt;&gt;U",$S$3:$S$3002,Calc!$F$2))</f>
        <v/>
      </c>
      <c r="Q1365" s="35" t="str">
        <f aca="false">IF(OR($A1365="",$C1365="U",$S1365&lt;&gt;Calc!$F$2),"",IF(COUNTIFS($E$3:$E1365,$E1365,$C$3:$C1365,"&lt;&gt;U",$S$3:$S1365,Calc!$F$2)=1,1,0))</f>
        <v/>
      </c>
      <c r="R1365" s="35" t="str">
        <f aca="false">IF($Q1365=1,$O1365-ROW()/100000,"")</f>
        <v/>
      </c>
      <c r="S1365" s="37" t="str">
        <f aca="false">IF($A1365="","",INT($A1365))</f>
        <v/>
      </c>
      <c r="T1365" s="35" t="str">
        <f aca="false">IF($A1365="","",IF(COUNTIFS($S$3:$S1365,$S1365)=1,1,0))</f>
        <v/>
      </c>
      <c r="U1365" s="37" t="str">
        <f aca="false">IF($T1365=1,$S1365,"")</f>
        <v/>
      </c>
    </row>
    <row r="1366" customFormat="false" ht="15" hidden="false" customHeight="false" outlineLevel="0" collapsed="false">
      <c r="M1366" s="35" t="str">
        <f aca="false">IF($A1366="","",HOUR($A1366))</f>
        <v/>
      </c>
      <c r="N1366" s="36" t="str">
        <f aca="false">IF($A1366="","",$I1366*$K1366)</f>
        <v/>
      </c>
      <c r="O1366" s="35" t="str">
        <f aca="false">IF(OR($A1366="",$C1366="U",$S1366&lt;&gt;Calc!$F$2),"",SUMIFS($I$3:$I$3002,$E$3:$E$3002,$E1366,$C$3:$C$3002,"&lt;&gt;U",$S$3:$S$3002,Calc!$F$2))</f>
        <v/>
      </c>
      <c r="P1366" s="35" t="str">
        <f aca="false">IF(OR($A1366="",$C1366="U",$S1366&lt;&gt;Calc!$F$2),"",SUMIFS($N$3:$N$3002,$E$3:$E$3002,$E1366,$C$3:$C$3002,"&lt;&gt;U",$S$3:$S$3002,Calc!$F$2))</f>
        <v/>
      </c>
      <c r="Q1366" s="35" t="str">
        <f aca="false">IF(OR($A1366="",$C1366="U",$S1366&lt;&gt;Calc!$F$2),"",IF(COUNTIFS($E$3:$E1366,$E1366,$C$3:$C1366,"&lt;&gt;U",$S$3:$S1366,Calc!$F$2)=1,1,0))</f>
        <v/>
      </c>
      <c r="R1366" s="35" t="str">
        <f aca="false">IF($Q1366=1,$O1366-ROW()/100000,"")</f>
        <v/>
      </c>
      <c r="S1366" s="37" t="str">
        <f aca="false">IF($A1366="","",INT($A1366))</f>
        <v/>
      </c>
      <c r="T1366" s="35" t="str">
        <f aca="false">IF($A1366="","",IF(COUNTIFS($S$3:$S1366,$S1366)=1,1,0))</f>
        <v/>
      </c>
      <c r="U1366" s="37" t="str">
        <f aca="false">IF($T1366=1,$S1366,"")</f>
        <v/>
      </c>
    </row>
    <row r="1367" customFormat="false" ht="15" hidden="false" customHeight="false" outlineLevel="0" collapsed="false">
      <c r="M1367" s="35" t="str">
        <f aca="false">IF($A1367="","",HOUR($A1367))</f>
        <v/>
      </c>
      <c r="N1367" s="36" t="str">
        <f aca="false">IF($A1367="","",$I1367*$K1367)</f>
        <v/>
      </c>
      <c r="O1367" s="35" t="str">
        <f aca="false">IF(OR($A1367="",$C1367="U",$S1367&lt;&gt;Calc!$F$2),"",SUMIFS($I$3:$I$3002,$E$3:$E$3002,$E1367,$C$3:$C$3002,"&lt;&gt;U",$S$3:$S$3002,Calc!$F$2))</f>
        <v/>
      </c>
      <c r="P1367" s="35" t="str">
        <f aca="false">IF(OR($A1367="",$C1367="U",$S1367&lt;&gt;Calc!$F$2),"",SUMIFS($N$3:$N$3002,$E$3:$E$3002,$E1367,$C$3:$C$3002,"&lt;&gt;U",$S$3:$S$3002,Calc!$F$2))</f>
        <v/>
      </c>
      <c r="Q1367" s="35" t="str">
        <f aca="false">IF(OR($A1367="",$C1367="U",$S1367&lt;&gt;Calc!$F$2),"",IF(COUNTIFS($E$3:$E1367,$E1367,$C$3:$C1367,"&lt;&gt;U",$S$3:$S1367,Calc!$F$2)=1,1,0))</f>
        <v/>
      </c>
      <c r="R1367" s="35" t="str">
        <f aca="false">IF($Q1367=1,$O1367-ROW()/100000,"")</f>
        <v/>
      </c>
      <c r="S1367" s="37" t="str">
        <f aca="false">IF($A1367="","",INT($A1367))</f>
        <v/>
      </c>
      <c r="T1367" s="35" t="str">
        <f aca="false">IF($A1367="","",IF(COUNTIFS($S$3:$S1367,$S1367)=1,1,0))</f>
        <v/>
      </c>
      <c r="U1367" s="37" t="str">
        <f aca="false">IF($T1367=1,$S1367,"")</f>
        <v/>
      </c>
    </row>
    <row r="1368" customFormat="false" ht="15" hidden="false" customHeight="false" outlineLevel="0" collapsed="false">
      <c r="M1368" s="35" t="str">
        <f aca="false">IF($A1368="","",HOUR($A1368))</f>
        <v/>
      </c>
      <c r="N1368" s="36" t="str">
        <f aca="false">IF($A1368="","",$I1368*$K1368)</f>
        <v/>
      </c>
      <c r="O1368" s="35" t="str">
        <f aca="false">IF(OR($A1368="",$C1368="U",$S1368&lt;&gt;Calc!$F$2),"",SUMIFS($I$3:$I$3002,$E$3:$E$3002,$E1368,$C$3:$C$3002,"&lt;&gt;U",$S$3:$S$3002,Calc!$F$2))</f>
        <v/>
      </c>
      <c r="P1368" s="35" t="str">
        <f aca="false">IF(OR($A1368="",$C1368="U",$S1368&lt;&gt;Calc!$F$2),"",SUMIFS($N$3:$N$3002,$E$3:$E$3002,$E1368,$C$3:$C$3002,"&lt;&gt;U",$S$3:$S$3002,Calc!$F$2))</f>
        <v/>
      </c>
      <c r="Q1368" s="35" t="str">
        <f aca="false">IF(OR($A1368="",$C1368="U",$S1368&lt;&gt;Calc!$F$2),"",IF(COUNTIFS($E$3:$E1368,$E1368,$C$3:$C1368,"&lt;&gt;U",$S$3:$S1368,Calc!$F$2)=1,1,0))</f>
        <v/>
      </c>
      <c r="R1368" s="35" t="str">
        <f aca="false">IF($Q1368=1,$O1368-ROW()/100000,"")</f>
        <v/>
      </c>
      <c r="S1368" s="37" t="str">
        <f aca="false">IF($A1368="","",INT($A1368))</f>
        <v/>
      </c>
      <c r="T1368" s="35" t="str">
        <f aca="false">IF($A1368="","",IF(COUNTIFS($S$3:$S1368,$S1368)=1,1,0))</f>
        <v/>
      </c>
      <c r="U1368" s="37" t="str">
        <f aca="false">IF($T1368=1,$S1368,"")</f>
        <v/>
      </c>
    </row>
    <row r="1369" customFormat="false" ht="15" hidden="false" customHeight="false" outlineLevel="0" collapsed="false">
      <c r="M1369" s="35" t="str">
        <f aca="false">IF($A1369="","",HOUR($A1369))</f>
        <v/>
      </c>
      <c r="N1369" s="36" t="str">
        <f aca="false">IF($A1369="","",$I1369*$K1369)</f>
        <v/>
      </c>
      <c r="O1369" s="35" t="str">
        <f aca="false">IF(OR($A1369="",$C1369="U",$S1369&lt;&gt;Calc!$F$2),"",SUMIFS($I$3:$I$3002,$E$3:$E$3002,$E1369,$C$3:$C$3002,"&lt;&gt;U",$S$3:$S$3002,Calc!$F$2))</f>
        <v/>
      </c>
      <c r="P1369" s="35" t="str">
        <f aca="false">IF(OR($A1369="",$C1369="U",$S1369&lt;&gt;Calc!$F$2),"",SUMIFS($N$3:$N$3002,$E$3:$E$3002,$E1369,$C$3:$C$3002,"&lt;&gt;U",$S$3:$S$3002,Calc!$F$2))</f>
        <v/>
      </c>
      <c r="Q1369" s="35" t="str">
        <f aca="false">IF(OR($A1369="",$C1369="U",$S1369&lt;&gt;Calc!$F$2),"",IF(COUNTIFS($E$3:$E1369,$E1369,$C$3:$C1369,"&lt;&gt;U",$S$3:$S1369,Calc!$F$2)=1,1,0))</f>
        <v/>
      </c>
      <c r="R1369" s="35" t="str">
        <f aca="false">IF($Q1369=1,$O1369-ROW()/100000,"")</f>
        <v/>
      </c>
      <c r="S1369" s="37" t="str">
        <f aca="false">IF($A1369="","",INT($A1369))</f>
        <v/>
      </c>
      <c r="T1369" s="35" t="str">
        <f aca="false">IF($A1369="","",IF(COUNTIFS($S$3:$S1369,$S1369)=1,1,0))</f>
        <v/>
      </c>
      <c r="U1369" s="37" t="str">
        <f aca="false">IF($T1369=1,$S1369,"")</f>
        <v/>
      </c>
    </row>
    <row r="1370" customFormat="false" ht="15" hidden="false" customHeight="false" outlineLevel="0" collapsed="false">
      <c r="M1370" s="35" t="str">
        <f aca="false">IF($A1370="","",HOUR($A1370))</f>
        <v/>
      </c>
      <c r="N1370" s="36" t="str">
        <f aca="false">IF($A1370="","",$I1370*$K1370)</f>
        <v/>
      </c>
      <c r="O1370" s="35" t="str">
        <f aca="false">IF(OR($A1370="",$C1370="U",$S1370&lt;&gt;Calc!$F$2),"",SUMIFS($I$3:$I$3002,$E$3:$E$3002,$E1370,$C$3:$C$3002,"&lt;&gt;U",$S$3:$S$3002,Calc!$F$2))</f>
        <v/>
      </c>
      <c r="P1370" s="35" t="str">
        <f aca="false">IF(OR($A1370="",$C1370="U",$S1370&lt;&gt;Calc!$F$2),"",SUMIFS($N$3:$N$3002,$E$3:$E$3002,$E1370,$C$3:$C$3002,"&lt;&gt;U",$S$3:$S$3002,Calc!$F$2))</f>
        <v/>
      </c>
      <c r="Q1370" s="35" t="str">
        <f aca="false">IF(OR($A1370="",$C1370="U",$S1370&lt;&gt;Calc!$F$2),"",IF(COUNTIFS($E$3:$E1370,$E1370,$C$3:$C1370,"&lt;&gt;U",$S$3:$S1370,Calc!$F$2)=1,1,0))</f>
        <v/>
      </c>
      <c r="R1370" s="35" t="str">
        <f aca="false">IF($Q1370=1,$O1370-ROW()/100000,"")</f>
        <v/>
      </c>
      <c r="S1370" s="37" t="str">
        <f aca="false">IF($A1370="","",INT($A1370))</f>
        <v/>
      </c>
      <c r="T1370" s="35" t="str">
        <f aca="false">IF($A1370="","",IF(COUNTIFS($S$3:$S1370,$S1370)=1,1,0))</f>
        <v/>
      </c>
      <c r="U1370" s="37" t="str">
        <f aca="false">IF($T1370=1,$S1370,"")</f>
        <v/>
      </c>
    </row>
    <row r="1371" customFormat="false" ht="15" hidden="false" customHeight="false" outlineLevel="0" collapsed="false">
      <c r="M1371" s="35" t="str">
        <f aca="false">IF($A1371="","",HOUR($A1371))</f>
        <v/>
      </c>
      <c r="N1371" s="36" t="str">
        <f aca="false">IF($A1371="","",$I1371*$K1371)</f>
        <v/>
      </c>
      <c r="O1371" s="35" t="str">
        <f aca="false">IF(OR($A1371="",$C1371="U",$S1371&lt;&gt;Calc!$F$2),"",SUMIFS($I$3:$I$3002,$E$3:$E$3002,$E1371,$C$3:$C$3002,"&lt;&gt;U",$S$3:$S$3002,Calc!$F$2))</f>
        <v/>
      </c>
      <c r="P1371" s="35" t="str">
        <f aca="false">IF(OR($A1371="",$C1371="U",$S1371&lt;&gt;Calc!$F$2),"",SUMIFS($N$3:$N$3002,$E$3:$E$3002,$E1371,$C$3:$C$3002,"&lt;&gt;U",$S$3:$S$3002,Calc!$F$2))</f>
        <v/>
      </c>
      <c r="Q1371" s="35" t="str">
        <f aca="false">IF(OR($A1371="",$C1371="U",$S1371&lt;&gt;Calc!$F$2),"",IF(COUNTIFS($E$3:$E1371,$E1371,$C$3:$C1371,"&lt;&gt;U",$S$3:$S1371,Calc!$F$2)=1,1,0))</f>
        <v/>
      </c>
      <c r="R1371" s="35" t="str">
        <f aca="false">IF($Q1371=1,$O1371-ROW()/100000,"")</f>
        <v/>
      </c>
      <c r="S1371" s="37" t="str">
        <f aca="false">IF($A1371="","",INT($A1371))</f>
        <v/>
      </c>
      <c r="T1371" s="35" t="str">
        <f aca="false">IF($A1371="","",IF(COUNTIFS($S$3:$S1371,$S1371)=1,1,0))</f>
        <v/>
      </c>
      <c r="U1371" s="37" t="str">
        <f aca="false">IF($T1371=1,$S1371,"")</f>
        <v/>
      </c>
    </row>
    <row r="1372" customFormat="false" ht="15" hidden="false" customHeight="false" outlineLevel="0" collapsed="false">
      <c r="M1372" s="35" t="str">
        <f aca="false">IF($A1372="","",HOUR($A1372))</f>
        <v/>
      </c>
      <c r="N1372" s="36" t="str">
        <f aca="false">IF($A1372="","",$I1372*$K1372)</f>
        <v/>
      </c>
      <c r="O1372" s="35" t="str">
        <f aca="false">IF(OR($A1372="",$C1372="U",$S1372&lt;&gt;Calc!$F$2),"",SUMIFS($I$3:$I$3002,$E$3:$E$3002,$E1372,$C$3:$C$3002,"&lt;&gt;U",$S$3:$S$3002,Calc!$F$2))</f>
        <v/>
      </c>
      <c r="P1372" s="35" t="str">
        <f aca="false">IF(OR($A1372="",$C1372="U",$S1372&lt;&gt;Calc!$F$2),"",SUMIFS($N$3:$N$3002,$E$3:$E$3002,$E1372,$C$3:$C$3002,"&lt;&gt;U",$S$3:$S$3002,Calc!$F$2))</f>
        <v/>
      </c>
      <c r="Q1372" s="35" t="str">
        <f aca="false">IF(OR($A1372="",$C1372="U",$S1372&lt;&gt;Calc!$F$2),"",IF(COUNTIFS($E$3:$E1372,$E1372,$C$3:$C1372,"&lt;&gt;U",$S$3:$S1372,Calc!$F$2)=1,1,0))</f>
        <v/>
      </c>
      <c r="R1372" s="35" t="str">
        <f aca="false">IF($Q1372=1,$O1372-ROW()/100000,"")</f>
        <v/>
      </c>
      <c r="S1372" s="37" t="str">
        <f aca="false">IF($A1372="","",INT($A1372))</f>
        <v/>
      </c>
      <c r="T1372" s="35" t="str">
        <f aca="false">IF($A1372="","",IF(COUNTIFS($S$3:$S1372,$S1372)=1,1,0))</f>
        <v/>
      </c>
      <c r="U1372" s="37" t="str">
        <f aca="false">IF($T1372=1,$S1372,"")</f>
        <v/>
      </c>
    </row>
    <row r="1373" customFormat="false" ht="15" hidden="false" customHeight="false" outlineLevel="0" collapsed="false">
      <c r="M1373" s="35" t="str">
        <f aca="false">IF($A1373="","",HOUR($A1373))</f>
        <v/>
      </c>
      <c r="N1373" s="36" t="str">
        <f aca="false">IF($A1373="","",$I1373*$K1373)</f>
        <v/>
      </c>
      <c r="O1373" s="35" t="str">
        <f aca="false">IF(OR($A1373="",$C1373="U",$S1373&lt;&gt;Calc!$F$2),"",SUMIFS($I$3:$I$3002,$E$3:$E$3002,$E1373,$C$3:$C$3002,"&lt;&gt;U",$S$3:$S$3002,Calc!$F$2))</f>
        <v/>
      </c>
      <c r="P1373" s="35" t="str">
        <f aca="false">IF(OR($A1373="",$C1373="U",$S1373&lt;&gt;Calc!$F$2),"",SUMIFS($N$3:$N$3002,$E$3:$E$3002,$E1373,$C$3:$C$3002,"&lt;&gt;U",$S$3:$S$3002,Calc!$F$2))</f>
        <v/>
      </c>
      <c r="Q1373" s="35" t="str">
        <f aca="false">IF(OR($A1373="",$C1373="U",$S1373&lt;&gt;Calc!$F$2),"",IF(COUNTIFS($E$3:$E1373,$E1373,$C$3:$C1373,"&lt;&gt;U",$S$3:$S1373,Calc!$F$2)=1,1,0))</f>
        <v/>
      </c>
      <c r="R1373" s="35" t="str">
        <f aca="false">IF($Q1373=1,$O1373-ROW()/100000,"")</f>
        <v/>
      </c>
      <c r="S1373" s="37" t="str">
        <f aca="false">IF($A1373="","",INT($A1373))</f>
        <v/>
      </c>
      <c r="T1373" s="35" t="str">
        <f aca="false">IF($A1373="","",IF(COUNTIFS($S$3:$S1373,$S1373)=1,1,0))</f>
        <v/>
      </c>
      <c r="U1373" s="37" t="str">
        <f aca="false">IF($T1373=1,$S1373,"")</f>
        <v/>
      </c>
    </row>
    <row r="1374" customFormat="false" ht="15" hidden="false" customHeight="false" outlineLevel="0" collapsed="false">
      <c r="M1374" s="35" t="str">
        <f aca="false">IF($A1374="","",HOUR($A1374))</f>
        <v/>
      </c>
      <c r="N1374" s="36" t="str">
        <f aca="false">IF($A1374="","",$I1374*$K1374)</f>
        <v/>
      </c>
      <c r="O1374" s="35" t="str">
        <f aca="false">IF(OR($A1374="",$C1374="U",$S1374&lt;&gt;Calc!$F$2),"",SUMIFS($I$3:$I$3002,$E$3:$E$3002,$E1374,$C$3:$C$3002,"&lt;&gt;U",$S$3:$S$3002,Calc!$F$2))</f>
        <v/>
      </c>
      <c r="P1374" s="35" t="str">
        <f aca="false">IF(OR($A1374="",$C1374="U",$S1374&lt;&gt;Calc!$F$2),"",SUMIFS($N$3:$N$3002,$E$3:$E$3002,$E1374,$C$3:$C$3002,"&lt;&gt;U",$S$3:$S$3002,Calc!$F$2))</f>
        <v/>
      </c>
      <c r="Q1374" s="35" t="str">
        <f aca="false">IF(OR($A1374="",$C1374="U",$S1374&lt;&gt;Calc!$F$2),"",IF(COUNTIFS($E$3:$E1374,$E1374,$C$3:$C1374,"&lt;&gt;U",$S$3:$S1374,Calc!$F$2)=1,1,0))</f>
        <v/>
      </c>
      <c r="R1374" s="35" t="str">
        <f aca="false">IF($Q1374=1,$O1374-ROW()/100000,"")</f>
        <v/>
      </c>
      <c r="S1374" s="37" t="str">
        <f aca="false">IF($A1374="","",INT($A1374))</f>
        <v/>
      </c>
      <c r="T1374" s="35" t="str">
        <f aca="false">IF($A1374="","",IF(COUNTIFS($S$3:$S1374,$S1374)=1,1,0))</f>
        <v/>
      </c>
      <c r="U1374" s="37" t="str">
        <f aca="false">IF($T1374=1,$S1374,"")</f>
        <v/>
      </c>
    </row>
    <row r="1375" customFormat="false" ht="15" hidden="false" customHeight="false" outlineLevel="0" collapsed="false">
      <c r="M1375" s="35" t="str">
        <f aca="false">IF($A1375="","",HOUR($A1375))</f>
        <v/>
      </c>
      <c r="N1375" s="36" t="str">
        <f aca="false">IF($A1375="","",$I1375*$K1375)</f>
        <v/>
      </c>
      <c r="O1375" s="35" t="str">
        <f aca="false">IF(OR($A1375="",$C1375="U",$S1375&lt;&gt;Calc!$F$2),"",SUMIFS($I$3:$I$3002,$E$3:$E$3002,$E1375,$C$3:$C$3002,"&lt;&gt;U",$S$3:$S$3002,Calc!$F$2))</f>
        <v/>
      </c>
      <c r="P1375" s="35" t="str">
        <f aca="false">IF(OR($A1375="",$C1375="U",$S1375&lt;&gt;Calc!$F$2),"",SUMIFS($N$3:$N$3002,$E$3:$E$3002,$E1375,$C$3:$C$3002,"&lt;&gt;U",$S$3:$S$3002,Calc!$F$2))</f>
        <v/>
      </c>
      <c r="Q1375" s="35" t="str">
        <f aca="false">IF(OR($A1375="",$C1375="U",$S1375&lt;&gt;Calc!$F$2),"",IF(COUNTIFS($E$3:$E1375,$E1375,$C$3:$C1375,"&lt;&gt;U",$S$3:$S1375,Calc!$F$2)=1,1,0))</f>
        <v/>
      </c>
      <c r="R1375" s="35" t="str">
        <f aca="false">IF($Q1375=1,$O1375-ROW()/100000,"")</f>
        <v/>
      </c>
      <c r="S1375" s="37" t="str">
        <f aca="false">IF($A1375="","",INT($A1375))</f>
        <v/>
      </c>
      <c r="T1375" s="35" t="str">
        <f aca="false">IF($A1375="","",IF(COUNTIFS($S$3:$S1375,$S1375)=1,1,0))</f>
        <v/>
      </c>
      <c r="U1375" s="37" t="str">
        <f aca="false">IF($T1375=1,$S1375,"")</f>
        <v/>
      </c>
    </row>
    <row r="1376" customFormat="false" ht="15" hidden="false" customHeight="false" outlineLevel="0" collapsed="false">
      <c r="M1376" s="35" t="str">
        <f aca="false">IF($A1376="","",HOUR($A1376))</f>
        <v/>
      </c>
      <c r="N1376" s="36" t="str">
        <f aca="false">IF($A1376="","",$I1376*$K1376)</f>
        <v/>
      </c>
      <c r="O1376" s="35" t="str">
        <f aca="false">IF(OR($A1376="",$C1376="U",$S1376&lt;&gt;Calc!$F$2),"",SUMIFS($I$3:$I$3002,$E$3:$E$3002,$E1376,$C$3:$C$3002,"&lt;&gt;U",$S$3:$S$3002,Calc!$F$2))</f>
        <v/>
      </c>
      <c r="P1376" s="35" t="str">
        <f aca="false">IF(OR($A1376="",$C1376="U",$S1376&lt;&gt;Calc!$F$2),"",SUMIFS($N$3:$N$3002,$E$3:$E$3002,$E1376,$C$3:$C$3002,"&lt;&gt;U",$S$3:$S$3002,Calc!$F$2))</f>
        <v/>
      </c>
      <c r="Q1376" s="35" t="str">
        <f aca="false">IF(OR($A1376="",$C1376="U",$S1376&lt;&gt;Calc!$F$2),"",IF(COUNTIFS($E$3:$E1376,$E1376,$C$3:$C1376,"&lt;&gt;U",$S$3:$S1376,Calc!$F$2)=1,1,0))</f>
        <v/>
      </c>
      <c r="R1376" s="35" t="str">
        <f aca="false">IF($Q1376=1,$O1376-ROW()/100000,"")</f>
        <v/>
      </c>
      <c r="S1376" s="37" t="str">
        <f aca="false">IF($A1376="","",INT($A1376))</f>
        <v/>
      </c>
      <c r="T1376" s="35" t="str">
        <f aca="false">IF($A1376="","",IF(COUNTIFS($S$3:$S1376,$S1376)=1,1,0))</f>
        <v/>
      </c>
      <c r="U1376" s="37" t="str">
        <f aca="false">IF($T1376=1,$S1376,"")</f>
        <v/>
      </c>
    </row>
    <row r="1377" customFormat="false" ht="15" hidden="false" customHeight="false" outlineLevel="0" collapsed="false">
      <c r="M1377" s="35" t="str">
        <f aca="false">IF($A1377="","",HOUR($A1377))</f>
        <v/>
      </c>
      <c r="N1377" s="36" t="str">
        <f aca="false">IF($A1377="","",$I1377*$K1377)</f>
        <v/>
      </c>
      <c r="O1377" s="35" t="str">
        <f aca="false">IF(OR($A1377="",$C1377="U",$S1377&lt;&gt;Calc!$F$2),"",SUMIFS($I$3:$I$3002,$E$3:$E$3002,$E1377,$C$3:$C$3002,"&lt;&gt;U",$S$3:$S$3002,Calc!$F$2))</f>
        <v/>
      </c>
      <c r="P1377" s="35" t="str">
        <f aca="false">IF(OR($A1377="",$C1377="U",$S1377&lt;&gt;Calc!$F$2),"",SUMIFS($N$3:$N$3002,$E$3:$E$3002,$E1377,$C$3:$C$3002,"&lt;&gt;U",$S$3:$S$3002,Calc!$F$2))</f>
        <v/>
      </c>
      <c r="Q1377" s="35" t="str">
        <f aca="false">IF(OR($A1377="",$C1377="U",$S1377&lt;&gt;Calc!$F$2),"",IF(COUNTIFS($E$3:$E1377,$E1377,$C$3:$C1377,"&lt;&gt;U",$S$3:$S1377,Calc!$F$2)=1,1,0))</f>
        <v/>
      </c>
      <c r="R1377" s="35" t="str">
        <f aca="false">IF($Q1377=1,$O1377-ROW()/100000,"")</f>
        <v/>
      </c>
      <c r="S1377" s="37" t="str">
        <f aca="false">IF($A1377="","",INT($A1377))</f>
        <v/>
      </c>
      <c r="T1377" s="35" t="str">
        <f aca="false">IF($A1377="","",IF(COUNTIFS($S$3:$S1377,$S1377)=1,1,0))</f>
        <v/>
      </c>
      <c r="U1377" s="37" t="str">
        <f aca="false">IF($T1377=1,$S1377,"")</f>
        <v/>
      </c>
    </row>
    <row r="1378" customFormat="false" ht="15" hidden="false" customHeight="false" outlineLevel="0" collapsed="false">
      <c r="M1378" s="35" t="str">
        <f aca="false">IF($A1378="","",HOUR($A1378))</f>
        <v/>
      </c>
      <c r="N1378" s="36" t="str">
        <f aca="false">IF($A1378="","",$I1378*$K1378)</f>
        <v/>
      </c>
      <c r="O1378" s="35" t="str">
        <f aca="false">IF(OR($A1378="",$C1378="U",$S1378&lt;&gt;Calc!$F$2),"",SUMIFS($I$3:$I$3002,$E$3:$E$3002,$E1378,$C$3:$C$3002,"&lt;&gt;U",$S$3:$S$3002,Calc!$F$2))</f>
        <v/>
      </c>
      <c r="P1378" s="35" t="str">
        <f aca="false">IF(OR($A1378="",$C1378="U",$S1378&lt;&gt;Calc!$F$2),"",SUMIFS($N$3:$N$3002,$E$3:$E$3002,$E1378,$C$3:$C$3002,"&lt;&gt;U",$S$3:$S$3002,Calc!$F$2))</f>
        <v/>
      </c>
      <c r="Q1378" s="35" t="str">
        <f aca="false">IF(OR($A1378="",$C1378="U",$S1378&lt;&gt;Calc!$F$2),"",IF(COUNTIFS($E$3:$E1378,$E1378,$C$3:$C1378,"&lt;&gt;U",$S$3:$S1378,Calc!$F$2)=1,1,0))</f>
        <v/>
      </c>
      <c r="R1378" s="35" t="str">
        <f aca="false">IF($Q1378=1,$O1378-ROW()/100000,"")</f>
        <v/>
      </c>
      <c r="S1378" s="37" t="str">
        <f aca="false">IF($A1378="","",INT($A1378))</f>
        <v/>
      </c>
      <c r="T1378" s="35" t="str">
        <f aca="false">IF($A1378="","",IF(COUNTIFS($S$3:$S1378,$S1378)=1,1,0))</f>
        <v/>
      </c>
      <c r="U1378" s="37" t="str">
        <f aca="false">IF($T1378=1,$S1378,"")</f>
        <v/>
      </c>
    </row>
    <row r="1379" customFormat="false" ht="15" hidden="false" customHeight="false" outlineLevel="0" collapsed="false">
      <c r="M1379" s="35" t="str">
        <f aca="false">IF($A1379="","",HOUR($A1379))</f>
        <v/>
      </c>
      <c r="N1379" s="36" t="str">
        <f aca="false">IF($A1379="","",$I1379*$K1379)</f>
        <v/>
      </c>
      <c r="O1379" s="35" t="str">
        <f aca="false">IF(OR($A1379="",$C1379="U",$S1379&lt;&gt;Calc!$F$2),"",SUMIFS($I$3:$I$3002,$E$3:$E$3002,$E1379,$C$3:$C$3002,"&lt;&gt;U",$S$3:$S$3002,Calc!$F$2))</f>
        <v/>
      </c>
      <c r="P1379" s="35" t="str">
        <f aca="false">IF(OR($A1379="",$C1379="U",$S1379&lt;&gt;Calc!$F$2),"",SUMIFS($N$3:$N$3002,$E$3:$E$3002,$E1379,$C$3:$C$3002,"&lt;&gt;U",$S$3:$S$3002,Calc!$F$2))</f>
        <v/>
      </c>
      <c r="Q1379" s="35" t="str">
        <f aca="false">IF(OR($A1379="",$C1379="U",$S1379&lt;&gt;Calc!$F$2),"",IF(COUNTIFS($E$3:$E1379,$E1379,$C$3:$C1379,"&lt;&gt;U",$S$3:$S1379,Calc!$F$2)=1,1,0))</f>
        <v/>
      </c>
      <c r="R1379" s="35" t="str">
        <f aca="false">IF($Q1379=1,$O1379-ROW()/100000,"")</f>
        <v/>
      </c>
      <c r="S1379" s="37" t="str">
        <f aca="false">IF($A1379="","",INT($A1379))</f>
        <v/>
      </c>
      <c r="T1379" s="35" t="str">
        <f aca="false">IF($A1379="","",IF(COUNTIFS($S$3:$S1379,$S1379)=1,1,0))</f>
        <v/>
      </c>
      <c r="U1379" s="37" t="str">
        <f aca="false">IF($T1379=1,$S1379,"")</f>
        <v/>
      </c>
    </row>
    <row r="1380" customFormat="false" ht="15" hidden="false" customHeight="false" outlineLevel="0" collapsed="false">
      <c r="M1380" s="35" t="str">
        <f aca="false">IF($A1380="","",HOUR($A1380))</f>
        <v/>
      </c>
      <c r="N1380" s="36" t="str">
        <f aca="false">IF($A1380="","",$I1380*$K1380)</f>
        <v/>
      </c>
      <c r="O1380" s="35" t="str">
        <f aca="false">IF(OR($A1380="",$C1380="U",$S1380&lt;&gt;Calc!$F$2),"",SUMIFS($I$3:$I$3002,$E$3:$E$3002,$E1380,$C$3:$C$3002,"&lt;&gt;U",$S$3:$S$3002,Calc!$F$2))</f>
        <v/>
      </c>
      <c r="P1380" s="35" t="str">
        <f aca="false">IF(OR($A1380="",$C1380="U",$S1380&lt;&gt;Calc!$F$2),"",SUMIFS($N$3:$N$3002,$E$3:$E$3002,$E1380,$C$3:$C$3002,"&lt;&gt;U",$S$3:$S$3002,Calc!$F$2))</f>
        <v/>
      </c>
      <c r="Q1380" s="35" t="str">
        <f aca="false">IF(OR($A1380="",$C1380="U",$S1380&lt;&gt;Calc!$F$2),"",IF(COUNTIFS($E$3:$E1380,$E1380,$C$3:$C1380,"&lt;&gt;U",$S$3:$S1380,Calc!$F$2)=1,1,0))</f>
        <v/>
      </c>
      <c r="R1380" s="35" t="str">
        <f aca="false">IF($Q1380=1,$O1380-ROW()/100000,"")</f>
        <v/>
      </c>
      <c r="S1380" s="37" t="str">
        <f aca="false">IF($A1380="","",INT($A1380))</f>
        <v/>
      </c>
      <c r="T1380" s="35" t="str">
        <f aca="false">IF($A1380="","",IF(COUNTIFS($S$3:$S1380,$S1380)=1,1,0))</f>
        <v/>
      </c>
      <c r="U1380" s="37" t="str">
        <f aca="false">IF($T1380=1,$S1380,"")</f>
        <v/>
      </c>
    </row>
    <row r="1381" customFormat="false" ht="15" hidden="false" customHeight="false" outlineLevel="0" collapsed="false">
      <c r="M1381" s="35" t="str">
        <f aca="false">IF($A1381="","",HOUR($A1381))</f>
        <v/>
      </c>
      <c r="N1381" s="36" t="str">
        <f aca="false">IF($A1381="","",$I1381*$K1381)</f>
        <v/>
      </c>
      <c r="O1381" s="35" t="str">
        <f aca="false">IF(OR($A1381="",$C1381="U",$S1381&lt;&gt;Calc!$F$2),"",SUMIFS($I$3:$I$3002,$E$3:$E$3002,$E1381,$C$3:$C$3002,"&lt;&gt;U",$S$3:$S$3002,Calc!$F$2))</f>
        <v/>
      </c>
      <c r="P1381" s="35" t="str">
        <f aca="false">IF(OR($A1381="",$C1381="U",$S1381&lt;&gt;Calc!$F$2),"",SUMIFS($N$3:$N$3002,$E$3:$E$3002,$E1381,$C$3:$C$3002,"&lt;&gt;U",$S$3:$S$3002,Calc!$F$2))</f>
        <v/>
      </c>
      <c r="Q1381" s="35" t="str">
        <f aca="false">IF(OR($A1381="",$C1381="U",$S1381&lt;&gt;Calc!$F$2),"",IF(COUNTIFS($E$3:$E1381,$E1381,$C$3:$C1381,"&lt;&gt;U",$S$3:$S1381,Calc!$F$2)=1,1,0))</f>
        <v/>
      </c>
      <c r="R1381" s="35" t="str">
        <f aca="false">IF($Q1381=1,$O1381-ROW()/100000,"")</f>
        <v/>
      </c>
      <c r="S1381" s="37" t="str">
        <f aca="false">IF($A1381="","",INT($A1381))</f>
        <v/>
      </c>
      <c r="T1381" s="35" t="str">
        <f aca="false">IF($A1381="","",IF(COUNTIFS($S$3:$S1381,$S1381)=1,1,0))</f>
        <v/>
      </c>
      <c r="U1381" s="37" t="str">
        <f aca="false">IF($T1381=1,$S1381,"")</f>
        <v/>
      </c>
    </row>
    <row r="1382" customFormat="false" ht="15" hidden="false" customHeight="false" outlineLevel="0" collapsed="false">
      <c r="M1382" s="35" t="str">
        <f aca="false">IF($A1382="","",HOUR($A1382))</f>
        <v/>
      </c>
      <c r="N1382" s="36" t="str">
        <f aca="false">IF($A1382="","",$I1382*$K1382)</f>
        <v/>
      </c>
      <c r="O1382" s="35" t="str">
        <f aca="false">IF(OR($A1382="",$C1382="U",$S1382&lt;&gt;Calc!$F$2),"",SUMIFS($I$3:$I$3002,$E$3:$E$3002,$E1382,$C$3:$C$3002,"&lt;&gt;U",$S$3:$S$3002,Calc!$F$2))</f>
        <v/>
      </c>
      <c r="P1382" s="35" t="str">
        <f aca="false">IF(OR($A1382="",$C1382="U",$S1382&lt;&gt;Calc!$F$2),"",SUMIFS($N$3:$N$3002,$E$3:$E$3002,$E1382,$C$3:$C$3002,"&lt;&gt;U",$S$3:$S$3002,Calc!$F$2))</f>
        <v/>
      </c>
      <c r="Q1382" s="35" t="str">
        <f aca="false">IF(OR($A1382="",$C1382="U",$S1382&lt;&gt;Calc!$F$2),"",IF(COUNTIFS($E$3:$E1382,$E1382,$C$3:$C1382,"&lt;&gt;U",$S$3:$S1382,Calc!$F$2)=1,1,0))</f>
        <v/>
      </c>
      <c r="R1382" s="35" t="str">
        <f aca="false">IF($Q1382=1,$O1382-ROW()/100000,"")</f>
        <v/>
      </c>
      <c r="S1382" s="37" t="str">
        <f aca="false">IF($A1382="","",INT($A1382))</f>
        <v/>
      </c>
      <c r="T1382" s="35" t="str">
        <f aca="false">IF($A1382="","",IF(COUNTIFS($S$3:$S1382,$S1382)=1,1,0))</f>
        <v/>
      </c>
      <c r="U1382" s="37" t="str">
        <f aca="false">IF($T1382=1,$S1382,"")</f>
        <v/>
      </c>
    </row>
    <row r="1383" customFormat="false" ht="15" hidden="false" customHeight="false" outlineLevel="0" collapsed="false">
      <c r="M1383" s="35" t="str">
        <f aca="false">IF($A1383="","",HOUR($A1383))</f>
        <v/>
      </c>
      <c r="N1383" s="36" t="str">
        <f aca="false">IF($A1383="","",$I1383*$K1383)</f>
        <v/>
      </c>
      <c r="O1383" s="35" t="str">
        <f aca="false">IF(OR($A1383="",$C1383="U",$S1383&lt;&gt;Calc!$F$2),"",SUMIFS($I$3:$I$3002,$E$3:$E$3002,$E1383,$C$3:$C$3002,"&lt;&gt;U",$S$3:$S$3002,Calc!$F$2))</f>
        <v/>
      </c>
      <c r="P1383" s="35" t="str">
        <f aca="false">IF(OR($A1383="",$C1383="U",$S1383&lt;&gt;Calc!$F$2),"",SUMIFS($N$3:$N$3002,$E$3:$E$3002,$E1383,$C$3:$C$3002,"&lt;&gt;U",$S$3:$S$3002,Calc!$F$2))</f>
        <v/>
      </c>
      <c r="Q1383" s="35" t="str">
        <f aca="false">IF(OR($A1383="",$C1383="U",$S1383&lt;&gt;Calc!$F$2),"",IF(COUNTIFS($E$3:$E1383,$E1383,$C$3:$C1383,"&lt;&gt;U",$S$3:$S1383,Calc!$F$2)=1,1,0))</f>
        <v/>
      </c>
      <c r="R1383" s="35" t="str">
        <f aca="false">IF($Q1383=1,$O1383-ROW()/100000,"")</f>
        <v/>
      </c>
      <c r="S1383" s="37" t="str">
        <f aca="false">IF($A1383="","",INT($A1383))</f>
        <v/>
      </c>
      <c r="T1383" s="35" t="str">
        <f aca="false">IF($A1383="","",IF(COUNTIFS($S$3:$S1383,$S1383)=1,1,0))</f>
        <v/>
      </c>
      <c r="U1383" s="37" t="str">
        <f aca="false">IF($T1383=1,$S1383,"")</f>
        <v/>
      </c>
    </row>
    <row r="1384" customFormat="false" ht="15" hidden="false" customHeight="false" outlineLevel="0" collapsed="false">
      <c r="M1384" s="35" t="str">
        <f aca="false">IF($A1384="","",HOUR($A1384))</f>
        <v/>
      </c>
      <c r="N1384" s="36" t="str">
        <f aca="false">IF($A1384="","",$I1384*$K1384)</f>
        <v/>
      </c>
      <c r="O1384" s="35" t="str">
        <f aca="false">IF(OR($A1384="",$C1384="U",$S1384&lt;&gt;Calc!$F$2),"",SUMIFS($I$3:$I$3002,$E$3:$E$3002,$E1384,$C$3:$C$3002,"&lt;&gt;U",$S$3:$S$3002,Calc!$F$2))</f>
        <v/>
      </c>
      <c r="P1384" s="35" t="str">
        <f aca="false">IF(OR($A1384="",$C1384="U",$S1384&lt;&gt;Calc!$F$2),"",SUMIFS($N$3:$N$3002,$E$3:$E$3002,$E1384,$C$3:$C$3002,"&lt;&gt;U",$S$3:$S$3002,Calc!$F$2))</f>
        <v/>
      </c>
      <c r="Q1384" s="35" t="str">
        <f aca="false">IF(OR($A1384="",$C1384="U",$S1384&lt;&gt;Calc!$F$2),"",IF(COUNTIFS($E$3:$E1384,$E1384,$C$3:$C1384,"&lt;&gt;U",$S$3:$S1384,Calc!$F$2)=1,1,0))</f>
        <v/>
      </c>
      <c r="R1384" s="35" t="str">
        <f aca="false">IF($Q1384=1,$O1384-ROW()/100000,"")</f>
        <v/>
      </c>
      <c r="S1384" s="37" t="str">
        <f aca="false">IF($A1384="","",INT($A1384))</f>
        <v/>
      </c>
      <c r="T1384" s="35" t="str">
        <f aca="false">IF($A1384="","",IF(COUNTIFS($S$3:$S1384,$S1384)=1,1,0))</f>
        <v/>
      </c>
      <c r="U1384" s="37" t="str">
        <f aca="false">IF($T1384=1,$S1384,"")</f>
        <v/>
      </c>
    </row>
    <row r="1385" customFormat="false" ht="15" hidden="false" customHeight="false" outlineLevel="0" collapsed="false">
      <c r="M1385" s="35" t="str">
        <f aca="false">IF($A1385="","",HOUR($A1385))</f>
        <v/>
      </c>
      <c r="N1385" s="36" t="str">
        <f aca="false">IF($A1385="","",$I1385*$K1385)</f>
        <v/>
      </c>
      <c r="O1385" s="35" t="str">
        <f aca="false">IF(OR($A1385="",$C1385="U",$S1385&lt;&gt;Calc!$F$2),"",SUMIFS($I$3:$I$3002,$E$3:$E$3002,$E1385,$C$3:$C$3002,"&lt;&gt;U",$S$3:$S$3002,Calc!$F$2))</f>
        <v/>
      </c>
      <c r="P1385" s="35" t="str">
        <f aca="false">IF(OR($A1385="",$C1385="U",$S1385&lt;&gt;Calc!$F$2),"",SUMIFS($N$3:$N$3002,$E$3:$E$3002,$E1385,$C$3:$C$3002,"&lt;&gt;U",$S$3:$S$3002,Calc!$F$2))</f>
        <v/>
      </c>
      <c r="Q1385" s="35" t="str">
        <f aca="false">IF(OR($A1385="",$C1385="U",$S1385&lt;&gt;Calc!$F$2),"",IF(COUNTIFS($E$3:$E1385,$E1385,$C$3:$C1385,"&lt;&gt;U",$S$3:$S1385,Calc!$F$2)=1,1,0))</f>
        <v/>
      </c>
      <c r="R1385" s="35" t="str">
        <f aca="false">IF($Q1385=1,$O1385-ROW()/100000,"")</f>
        <v/>
      </c>
      <c r="S1385" s="37" t="str">
        <f aca="false">IF($A1385="","",INT($A1385))</f>
        <v/>
      </c>
      <c r="T1385" s="35" t="str">
        <f aca="false">IF($A1385="","",IF(COUNTIFS($S$3:$S1385,$S1385)=1,1,0))</f>
        <v/>
      </c>
      <c r="U1385" s="37" t="str">
        <f aca="false">IF($T1385=1,$S1385,"")</f>
        <v/>
      </c>
    </row>
    <row r="1386" customFormat="false" ht="15" hidden="false" customHeight="false" outlineLevel="0" collapsed="false">
      <c r="M1386" s="35" t="str">
        <f aca="false">IF($A1386="","",HOUR($A1386))</f>
        <v/>
      </c>
      <c r="N1386" s="36" t="str">
        <f aca="false">IF($A1386="","",$I1386*$K1386)</f>
        <v/>
      </c>
      <c r="O1386" s="35" t="str">
        <f aca="false">IF(OR($A1386="",$C1386="U",$S1386&lt;&gt;Calc!$F$2),"",SUMIFS($I$3:$I$3002,$E$3:$E$3002,$E1386,$C$3:$C$3002,"&lt;&gt;U",$S$3:$S$3002,Calc!$F$2))</f>
        <v/>
      </c>
      <c r="P1386" s="35" t="str">
        <f aca="false">IF(OR($A1386="",$C1386="U",$S1386&lt;&gt;Calc!$F$2),"",SUMIFS($N$3:$N$3002,$E$3:$E$3002,$E1386,$C$3:$C$3002,"&lt;&gt;U",$S$3:$S$3002,Calc!$F$2))</f>
        <v/>
      </c>
      <c r="Q1386" s="35" t="str">
        <f aca="false">IF(OR($A1386="",$C1386="U",$S1386&lt;&gt;Calc!$F$2),"",IF(COUNTIFS($E$3:$E1386,$E1386,$C$3:$C1386,"&lt;&gt;U",$S$3:$S1386,Calc!$F$2)=1,1,0))</f>
        <v/>
      </c>
      <c r="R1386" s="35" t="str">
        <f aca="false">IF($Q1386=1,$O1386-ROW()/100000,"")</f>
        <v/>
      </c>
      <c r="S1386" s="37" t="str">
        <f aca="false">IF($A1386="","",INT($A1386))</f>
        <v/>
      </c>
      <c r="T1386" s="35" t="str">
        <f aca="false">IF($A1386="","",IF(COUNTIFS($S$3:$S1386,$S1386)=1,1,0))</f>
        <v/>
      </c>
      <c r="U1386" s="37" t="str">
        <f aca="false">IF($T1386=1,$S1386,"")</f>
        <v/>
      </c>
    </row>
    <row r="1387" customFormat="false" ht="15" hidden="false" customHeight="false" outlineLevel="0" collapsed="false">
      <c r="M1387" s="35" t="str">
        <f aca="false">IF($A1387="","",HOUR($A1387))</f>
        <v/>
      </c>
      <c r="N1387" s="36" t="str">
        <f aca="false">IF($A1387="","",$I1387*$K1387)</f>
        <v/>
      </c>
      <c r="O1387" s="35" t="str">
        <f aca="false">IF(OR($A1387="",$C1387="U",$S1387&lt;&gt;Calc!$F$2),"",SUMIFS($I$3:$I$3002,$E$3:$E$3002,$E1387,$C$3:$C$3002,"&lt;&gt;U",$S$3:$S$3002,Calc!$F$2))</f>
        <v/>
      </c>
      <c r="P1387" s="35" t="str">
        <f aca="false">IF(OR($A1387="",$C1387="U",$S1387&lt;&gt;Calc!$F$2),"",SUMIFS($N$3:$N$3002,$E$3:$E$3002,$E1387,$C$3:$C$3002,"&lt;&gt;U",$S$3:$S$3002,Calc!$F$2))</f>
        <v/>
      </c>
      <c r="Q1387" s="35" t="str">
        <f aca="false">IF(OR($A1387="",$C1387="U",$S1387&lt;&gt;Calc!$F$2),"",IF(COUNTIFS($E$3:$E1387,$E1387,$C$3:$C1387,"&lt;&gt;U",$S$3:$S1387,Calc!$F$2)=1,1,0))</f>
        <v/>
      </c>
      <c r="R1387" s="35" t="str">
        <f aca="false">IF($Q1387=1,$O1387-ROW()/100000,"")</f>
        <v/>
      </c>
      <c r="S1387" s="37" t="str">
        <f aca="false">IF($A1387="","",INT($A1387))</f>
        <v/>
      </c>
      <c r="T1387" s="35" t="str">
        <f aca="false">IF($A1387="","",IF(COUNTIFS($S$3:$S1387,$S1387)=1,1,0))</f>
        <v/>
      </c>
      <c r="U1387" s="37" t="str">
        <f aca="false">IF($T1387=1,$S1387,"")</f>
        <v/>
      </c>
    </row>
    <row r="1388" customFormat="false" ht="15" hidden="false" customHeight="false" outlineLevel="0" collapsed="false">
      <c r="M1388" s="35" t="str">
        <f aca="false">IF($A1388="","",HOUR($A1388))</f>
        <v/>
      </c>
      <c r="N1388" s="36" t="str">
        <f aca="false">IF($A1388="","",$I1388*$K1388)</f>
        <v/>
      </c>
      <c r="O1388" s="35" t="str">
        <f aca="false">IF(OR($A1388="",$C1388="U",$S1388&lt;&gt;Calc!$F$2),"",SUMIFS($I$3:$I$3002,$E$3:$E$3002,$E1388,$C$3:$C$3002,"&lt;&gt;U",$S$3:$S$3002,Calc!$F$2))</f>
        <v/>
      </c>
      <c r="P1388" s="35" t="str">
        <f aca="false">IF(OR($A1388="",$C1388="U",$S1388&lt;&gt;Calc!$F$2),"",SUMIFS($N$3:$N$3002,$E$3:$E$3002,$E1388,$C$3:$C$3002,"&lt;&gt;U",$S$3:$S$3002,Calc!$F$2))</f>
        <v/>
      </c>
      <c r="Q1388" s="35" t="str">
        <f aca="false">IF(OR($A1388="",$C1388="U",$S1388&lt;&gt;Calc!$F$2),"",IF(COUNTIFS($E$3:$E1388,$E1388,$C$3:$C1388,"&lt;&gt;U",$S$3:$S1388,Calc!$F$2)=1,1,0))</f>
        <v/>
      </c>
      <c r="R1388" s="35" t="str">
        <f aca="false">IF($Q1388=1,$O1388-ROW()/100000,"")</f>
        <v/>
      </c>
      <c r="S1388" s="37" t="str">
        <f aca="false">IF($A1388="","",INT($A1388))</f>
        <v/>
      </c>
      <c r="T1388" s="35" t="str">
        <f aca="false">IF($A1388="","",IF(COUNTIFS($S$3:$S1388,$S1388)=1,1,0))</f>
        <v/>
      </c>
      <c r="U1388" s="37" t="str">
        <f aca="false">IF($T1388=1,$S1388,"")</f>
        <v/>
      </c>
    </row>
    <row r="1389" customFormat="false" ht="15" hidden="false" customHeight="false" outlineLevel="0" collapsed="false">
      <c r="M1389" s="35" t="str">
        <f aca="false">IF($A1389="","",HOUR($A1389))</f>
        <v/>
      </c>
      <c r="N1389" s="36" t="str">
        <f aca="false">IF($A1389="","",$I1389*$K1389)</f>
        <v/>
      </c>
      <c r="O1389" s="35" t="str">
        <f aca="false">IF(OR($A1389="",$C1389="U",$S1389&lt;&gt;Calc!$F$2),"",SUMIFS($I$3:$I$3002,$E$3:$E$3002,$E1389,$C$3:$C$3002,"&lt;&gt;U",$S$3:$S$3002,Calc!$F$2))</f>
        <v/>
      </c>
      <c r="P1389" s="35" t="str">
        <f aca="false">IF(OR($A1389="",$C1389="U",$S1389&lt;&gt;Calc!$F$2),"",SUMIFS($N$3:$N$3002,$E$3:$E$3002,$E1389,$C$3:$C$3002,"&lt;&gt;U",$S$3:$S$3002,Calc!$F$2))</f>
        <v/>
      </c>
      <c r="Q1389" s="35" t="str">
        <f aca="false">IF(OR($A1389="",$C1389="U",$S1389&lt;&gt;Calc!$F$2),"",IF(COUNTIFS($E$3:$E1389,$E1389,$C$3:$C1389,"&lt;&gt;U",$S$3:$S1389,Calc!$F$2)=1,1,0))</f>
        <v/>
      </c>
      <c r="R1389" s="35" t="str">
        <f aca="false">IF($Q1389=1,$O1389-ROW()/100000,"")</f>
        <v/>
      </c>
      <c r="S1389" s="37" t="str">
        <f aca="false">IF($A1389="","",INT($A1389))</f>
        <v/>
      </c>
      <c r="T1389" s="35" t="str">
        <f aca="false">IF($A1389="","",IF(COUNTIFS($S$3:$S1389,$S1389)=1,1,0))</f>
        <v/>
      </c>
      <c r="U1389" s="37" t="str">
        <f aca="false">IF($T1389=1,$S1389,"")</f>
        <v/>
      </c>
    </row>
    <row r="1390" customFormat="false" ht="15" hidden="false" customHeight="false" outlineLevel="0" collapsed="false">
      <c r="M1390" s="35" t="str">
        <f aca="false">IF($A1390="","",HOUR($A1390))</f>
        <v/>
      </c>
      <c r="N1390" s="36" t="str">
        <f aca="false">IF($A1390="","",$I1390*$K1390)</f>
        <v/>
      </c>
      <c r="O1390" s="35" t="str">
        <f aca="false">IF(OR($A1390="",$C1390="U",$S1390&lt;&gt;Calc!$F$2),"",SUMIFS($I$3:$I$3002,$E$3:$E$3002,$E1390,$C$3:$C$3002,"&lt;&gt;U",$S$3:$S$3002,Calc!$F$2))</f>
        <v/>
      </c>
      <c r="P1390" s="35" t="str">
        <f aca="false">IF(OR($A1390="",$C1390="U",$S1390&lt;&gt;Calc!$F$2),"",SUMIFS($N$3:$N$3002,$E$3:$E$3002,$E1390,$C$3:$C$3002,"&lt;&gt;U",$S$3:$S$3002,Calc!$F$2))</f>
        <v/>
      </c>
      <c r="Q1390" s="35" t="str">
        <f aca="false">IF(OR($A1390="",$C1390="U",$S1390&lt;&gt;Calc!$F$2),"",IF(COUNTIFS($E$3:$E1390,$E1390,$C$3:$C1390,"&lt;&gt;U",$S$3:$S1390,Calc!$F$2)=1,1,0))</f>
        <v/>
      </c>
      <c r="R1390" s="35" t="str">
        <f aca="false">IF($Q1390=1,$O1390-ROW()/100000,"")</f>
        <v/>
      </c>
      <c r="S1390" s="37" t="str">
        <f aca="false">IF($A1390="","",INT($A1390))</f>
        <v/>
      </c>
      <c r="T1390" s="35" t="str">
        <f aca="false">IF($A1390="","",IF(COUNTIFS($S$3:$S1390,$S1390)=1,1,0))</f>
        <v/>
      </c>
      <c r="U1390" s="37" t="str">
        <f aca="false">IF($T1390=1,$S1390,"")</f>
        <v/>
      </c>
    </row>
    <row r="1391" customFormat="false" ht="15" hidden="false" customHeight="false" outlineLevel="0" collapsed="false">
      <c r="M1391" s="35" t="str">
        <f aca="false">IF($A1391="","",HOUR($A1391))</f>
        <v/>
      </c>
      <c r="N1391" s="36" t="str">
        <f aca="false">IF($A1391="","",$I1391*$K1391)</f>
        <v/>
      </c>
      <c r="O1391" s="35" t="str">
        <f aca="false">IF(OR($A1391="",$C1391="U",$S1391&lt;&gt;Calc!$F$2),"",SUMIFS($I$3:$I$3002,$E$3:$E$3002,$E1391,$C$3:$C$3002,"&lt;&gt;U",$S$3:$S$3002,Calc!$F$2))</f>
        <v/>
      </c>
      <c r="P1391" s="35" t="str">
        <f aca="false">IF(OR($A1391="",$C1391="U",$S1391&lt;&gt;Calc!$F$2),"",SUMIFS($N$3:$N$3002,$E$3:$E$3002,$E1391,$C$3:$C$3002,"&lt;&gt;U",$S$3:$S$3002,Calc!$F$2))</f>
        <v/>
      </c>
      <c r="Q1391" s="35" t="str">
        <f aca="false">IF(OR($A1391="",$C1391="U",$S1391&lt;&gt;Calc!$F$2),"",IF(COUNTIFS($E$3:$E1391,$E1391,$C$3:$C1391,"&lt;&gt;U",$S$3:$S1391,Calc!$F$2)=1,1,0))</f>
        <v/>
      </c>
      <c r="R1391" s="35" t="str">
        <f aca="false">IF($Q1391=1,$O1391-ROW()/100000,"")</f>
        <v/>
      </c>
      <c r="S1391" s="37" t="str">
        <f aca="false">IF($A1391="","",INT($A1391))</f>
        <v/>
      </c>
      <c r="T1391" s="35" t="str">
        <f aca="false">IF($A1391="","",IF(COUNTIFS($S$3:$S1391,$S1391)=1,1,0))</f>
        <v/>
      </c>
      <c r="U1391" s="37" t="str">
        <f aca="false">IF($T1391=1,$S1391,"")</f>
        <v/>
      </c>
    </row>
    <row r="1392" customFormat="false" ht="15" hidden="false" customHeight="false" outlineLevel="0" collapsed="false">
      <c r="M1392" s="35" t="str">
        <f aca="false">IF($A1392="","",HOUR($A1392))</f>
        <v/>
      </c>
      <c r="N1392" s="36" t="str">
        <f aca="false">IF($A1392="","",$I1392*$K1392)</f>
        <v/>
      </c>
      <c r="O1392" s="35" t="str">
        <f aca="false">IF(OR($A1392="",$C1392="U",$S1392&lt;&gt;Calc!$F$2),"",SUMIFS($I$3:$I$3002,$E$3:$E$3002,$E1392,$C$3:$C$3002,"&lt;&gt;U",$S$3:$S$3002,Calc!$F$2))</f>
        <v/>
      </c>
      <c r="P1392" s="35" t="str">
        <f aca="false">IF(OR($A1392="",$C1392="U",$S1392&lt;&gt;Calc!$F$2),"",SUMIFS($N$3:$N$3002,$E$3:$E$3002,$E1392,$C$3:$C$3002,"&lt;&gt;U",$S$3:$S$3002,Calc!$F$2))</f>
        <v/>
      </c>
      <c r="Q1392" s="35" t="str">
        <f aca="false">IF(OR($A1392="",$C1392="U",$S1392&lt;&gt;Calc!$F$2),"",IF(COUNTIFS($E$3:$E1392,$E1392,$C$3:$C1392,"&lt;&gt;U",$S$3:$S1392,Calc!$F$2)=1,1,0))</f>
        <v/>
      </c>
      <c r="R1392" s="35" t="str">
        <f aca="false">IF($Q1392=1,$O1392-ROW()/100000,"")</f>
        <v/>
      </c>
      <c r="S1392" s="37" t="str">
        <f aca="false">IF($A1392="","",INT($A1392))</f>
        <v/>
      </c>
      <c r="T1392" s="35" t="str">
        <f aca="false">IF($A1392="","",IF(COUNTIFS($S$3:$S1392,$S1392)=1,1,0))</f>
        <v/>
      </c>
      <c r="U1392" s="37" t="str">
        <f aca="false">IF($T1392=1,$S1392,"")</f>
        <v/>
      </c>
    </row>
    <row r="1393" customFormat="false" ht="15" hidden="false" customHeight="false" outlineLevel="0" collapsed="false">
      <c r="M1393" s="35" t="str">
        <f aca="false">IF($A1393="","",HOUR($A1393))</f>
        <v/>
      </c>
      <c r="N1393" s="36" t="str">
        <f aca="false">IF($A1393="","",$I1393*$K1393)</f>
        <v/>
      </c>
      <c r="O1393" s="35" t="str">
        <f aca="false">IF(OR($A1393="",$C1393="U",$S1393&lt;&gt;Calc!$F$2),"",SUMIFS($I$3:$I$3002,$E$3:$E$3002,$E1393,$C$3:$C$3002,"&lt;&gt;U",$S$3:$S$3002,Calc!$F$2))</f>
        <v/>
      </c>
      <c r="P1393" s="35" t="str">
        <f aca="false">IF(OR($A1393="",$C1393="U",$S1393&lt;&gt;Calc!$F$2),"",SUMIFS($N$3:$N$3002,$E$3:$E$3002,$E1393,$C$3:$C$3002,"&lt;&gt;U",$S$3:$S$3002,Calc!$F$2))</f>
        <v/>
      </c>
      <c r="Q1393" s="35" t="str">
        <f aca="false">IF(OR($A1393="",$C1393="U",$S1393&lt;&gt;Calc!$F$2),"",IF(COUNTIFS($E$3:$E1393,$E1393,$C$3:$C1393,"&lt;&gt;U",$S$3:$S1393,Calc!$F$2)=1,1,0))</f>
        <v/>
      </c>
      <c r="R1393" s="35" t="str">
        <f aca="false">IF($Q1393=1,$O1393-ROW()/100000,"")</f>
        <v/>
      </c>
      <c r="S1393" s="37" t="str">
        <f aca="false">IF($A1393="","",INT($A1393))</f>
        <v/>
      </c>
      <c r="T1393" s="35" t="str">
        <f aca="false">IF($A1393="","",IF(COUNTIFS($S$3:$S1393,$S1393)=1,1,0))</f>
        <v/>
      </c>
      <c r="U1393" s="37" t="str">
        <f aca="false">IF($T1393=1,$S1393,"")</f>
        <v/>
      </c>
    </row>
    <row r="1394" customFormat="false" ht="15" hidden="false" customHeight="false" outlineLevel="0" collapsed="false">
      <c r="M1394" s="35" t="str">
        <f aca="false">IF($A1394="","",HOUR($A1394))</f>
        <v/>
      </c>
      <c r="N1394" s="36" t="str">
        <f aca="false">IF($A1394="","",$I1394*$K1394)</f>
        <v/>
      </c>
      <c r="O1394" s="35" t="str">
        <f aca="false">IF(OR($A1394="",$C1394="U",$S1394&lt;&gt;Calc!$F$2),"",SUMIFS($I$3:$I$3002,$E$3:$E$3002,$E1394,$C$3:$C$3002,"&lt;&gt;U",$S$3:$S$3002,Calc!$F$2))</f>
        <v/>
      </c>
      <c r="P1394" s="35" t="str">
        <f aca="false">IF(OR($A1394="",$C1394="U",$S1394&lt;&gt;Calc!$F$2),"",SUMIFS($N$3:$N$3002,$E$3:$E$3002,$E1394,$C$3:$C$3002,"&lt;&gt;U",$S$3:$S$3002,Calc!$F$2))</f>
        <v/>
      </c>
      <c r="Q1394" s="35" t="str">
        <f aca="false">IF(OR($A1394="",$C1394="U",$S1394&lt;&gt;Calc!$F$2),"",IF(COUNTIFS($E$3:$E1394,$E1394,$C$3:$C1394,"&lt;&gt;U",$S$3:$S1394,Calc!$F$2)=1,1,0))</f>
        <v/>
      </c>
      <c r="R1394" s="35" t="str">
        <f aca="false">IF($Q1394=1,$O1394-ROW()/100000,"")</f>
        <v/>
      </c>
      <c r="S1394" s="37" t="str">
        <f aca="false">IF($A1394="","",INT($A1394))</f>
        <v/>
      </c>
      <c r="T1394" s="35" t="str">
        <f aca="false">IF($A1394="","",IF(COUNTIFS($S$3:$S1394,$S1394)=1,1,0))</f>
        <v/>
      </c>
      <c r="U1394" s="37" t="str">
        <f aca="false">IF($T1394=1,$S1394,"")</f>
        <v/>
      </c>
    </row>
    <row r="1395" customFormat="false" ht="15" hidden="false" customHeight="false" outlineLevel="0" collapsed="false">
      <c r="M1395" s="35" t="str">
        <f aca="false">IF($A1395="","",HOUR($A1395))</f>
        <v/>
      </c>
      <c r="N1395" s="36" t="str">
        <f aca="false">IF($A1395="","",$I1395*$K1395)</f>
        <v/>
      </c>
      <c r="O1395" s="35" t="str">
        <f aca="false">IF(OR($A1395="",$C1395="U",$S1395&lt;&gt;Calc!$F$2),"",SUMIFS($I$3:$I$3002,$E$3:$E$3002,$E1395,$C$3:$C$3002,"&lt;&gt;U",$S$3:$S$3002,Calc!$F$2))</f>
        <v/>
      </c>
      <c r="P1395" s="35" t="str">
        <f aca="false">IF(OR($A1395="",$C1395="U",$S1395&lt;&gt;Calc!$F$2),"",SUMIFS($N$3:$N$3002,$E$3:$E$3002,$E1395,$C$3:$C$3002,"&lt;&gt;U",$S$3:$S$3002,Calc!$F$2))</f>
        <v/>
      </c>
      <c r="Q1395" s="35" t="str">
        <f aca="false">IF(OR($A1395="",$C1395="U",$S1395&lt;&gt;Calc!$F$2),"",IF(COUNTIFS($E$3:$E1395,$E1395,$C$3:$C1395,"&lt;&gt;U",$S$3:$S1395,Calc!$F$2)=1,1,0))</f>
        <v/>
      </c>
      <c r="R1395" s="35" t="str">
        <f aca="false">IF($Q1395=1,$O1395-ROW()/100000,"")</f>
        <v/>
      </c>
      <c r="S1395" s="37" t="str">
        <f aca="false">IF($A1395="","",INT($A1395))</f>
        <v/>
      </c>
      <c r="T1395" s="35" t="str">
        <f aca="false">IF($A1395="","",IF(COUNTIFS($S$3:$S1395,$S1395)=1,1,0))</f>
        <v/>
      </c>
      <c r="U1395" s="37" t="str">
        <f aca="false">IF($T1395=1,$S1395,"")</f>
        <v/>
      </c>
    </row>
    <row r="1396" customFormat="false" ht="15" hidden="false" customHeight="false" outlineLevel="0" collapsed="false">
      <c r="M1396" s="35" t="str">
        <f aca="false">IF($A1396="","",HOUR($A1396))</f>
        <v/>
      </c>
      <c r="N1396" s="36" t="str">
        <f aca="false">IF($A1396="","",$I1396*$K1396)</f>
        <v/>
      </c>
      <c r="O1396" s="35" t="str">
        <f aca="false">IF(OR($A1396="",$C1396="U",$S1396&lt;&gt;Calc!$F$2),"",SUMIFS($I$3:$I$3002,$E$3:$E$3002,$E1396,$C$3:$C$3002,"&lt;&gt;U",$S$3:$S$3002,Calc!$F$2))</f>
        <v/>
      </c>
      <c r="P1396" s="35" t="str">
        <f aca="false">IF(OR($A1396="",$C1396="U",$S1396&lt;&gt;Calc!$F$2),"",SUMIFS($N$3:$N$3002,$E$3:$E$3002,$E1396,$C$3:$C$3002,"&lt;&gt;U",$S$3:$S$3002,Calc!$F$2))</f>
        <v/>
      </c>
      <c r="Q1396" s="35" t="str">
        <f aca="false">IF(OR($A1396="",$C1396="U",$S1396&lt;&gt;Calc!$F$2),"",IF(COUNTIFS($E$3:$E1396,$E1396,$C$3:$C1396,"&lt;&gt;U",$S$3:$S1396,Calc!$F$2)=1,1,0))</f>
        <v/>
      </c>
      <c r="R1396" s="35" t="str">
        <f aca="false">IF($Q1396=1,$O1396-ROW()/100000,"")</f>
        <v/>
      </c>
      <c r="S1396" s="37" t="str">
        <f aca="false">IF($A1396="","",INT($A1396))</f>
        <v/>
      </c>
      <c r="T1396" s="35" t="str">
        <f aca="false">IF($A1396="","",IF(COUNTIFS($S$3:$S1396,$S1396)=1,1,0))</f>
        <v/>
      </c>
      <c r="U1396" s="37" t="str">
        <f aca="false">IF($T1396=1,$S1396,"")</f>
        <v/>
      </c>
    </row>
    <row r="1397" customFormat="false" ht="15" hidden="false" customHeight="false" outlineLevel="0" collapsed="false">
      <c r="M1397" s="35" t="str">
        <f aca="false">IF($A1397="","",HOUR($A1397))</f>
        <v/>
      </c>
      <c r="N1397" s="36" t="str">
        <f aca="false">IF($A1397="","",$I1397*$K1397)</f>
        <v/>
      </c>
      <c r="O1397" s="35" t="str">
        <f aca="false">IF(OR($A1397="",$C1397="U",$S1397&lt;&gt;Calc!$F$2),"",SUMIFS($I$3:$I$3002,$E$3:$E$3002,$E1397,$C$3:$C$3002,"&lt;&gt;U",$S$3:$S$3002,Calc!$F$2))</f>
        <v/>
      </c>
      <c r="P1397" s="35" t="str">
        <f aca="false">IF(OR($A1397="",$C1397="U",$S1397&lt;&gt;Calc!$F$2),"",SUMIFS($N$3:$N$3002,$E$3:$E$3002,$E1397,$C$3:$C$3002,"&lt;&gt;U",$S$3:$S$3002,Calc!$F$2))</f>
        <v/>
      </c>
      <c r="Q1397" s="35" t="str">
        <f aca="false">IF(OR($A1397="",$C1397="U",$S1397&lt;&gt;Calc!$F$2),"",IF(COUNTIFS($E$3:$E1397,$E1397,$C$3:$C1397,"&lt;&gt;U",$S$3:$S1397,Calc!$F$2)=1,1,0))</f>
        <v/>
      </c>
      <c r="R1397" s="35" t="str">
        <f aca="false">IF($Q1397=1,$O1397-ROW()/100000,"")</f>
        <v/>
      </c>
      <c r="S1397" s="37" t="str">
        <f aca="false">IF($A1397="","",INT($A1397))</f>
        <v/>
      </c>
      <c r="T1397" s="35" t="str">
        <f aca="false">IF($A1397="","",IF(COUNTIFS($S$3:$S1397,$S1397)=1,1,0))</f>
        <v/>
      </c>
      <c r="U1397" s="37" t="str">
        <f aca="false">IF($T1397=1,$S1397,"")</f>
        <v/>
      </c>
    </row>
    <row r="1398" customFormat="false" ht="15" hidden="false" customHeight="false" outlineLevel="0" collapsed="false">
      <c r="M1398" s="35" t="str">
        <f aca="false">IF($A1398="","",HOUR($A1398))</f>
        <v/>
      </c>
      <c r="N1398" s="36" t="str">
        <f aca="false">IF($A1398="","",$I1398*$K1398)</f>
        <v/>
      </c>
      <c r="O1398" s="35" t="str">
        <f aca="false">IF(OR($A1398="",$C1398="U",$S1398&lt;&gt;Calc!$F$2),"",SUMIFS($I$3:$I$3002,$E$3:$E$3002,$E1398,$C$3:$C$3002,"&lt;&gt;U",$S$3:$S$3002,Calc!$F$2))</f>
        <v/>
      </c>
      <c r="P1398" s="35" t="str">
        <f aca="false">IF(OR($A1398="",$C1398="U",$S1398&lt;&gt;Calc!$F$2),"",SUMIFS($N$3:$N$3002,$E$3:$E$3002,$E1398,$C$3:$C$3002,"&lt;&gt;U",$S$3:$S$3002,Calc!$F$2))</f>
        <v/>
      </c>
      <c r="Q1398" s="35" t="str">
        <f aca="false">IF(OR($A1398="",$C1398="U",$S1398&lt;&gt;Calc!$F$2),"",IF(COUNTIFS($E$3:$E1398,$E1398,$C$3:$C1398,"&lt;&gt;U",$S$3:$S1398,Calc!$F$2)=1,1,0))</f>
        <v/>
      </c>
      <c r="R1398" s="35" t="str">
        <f aca="false">IF($Q1398=1,$O1398-ROW()/100000,"")</f>
        <v/>
      </c>
      <c r="S1398" s="37" t="str">
        <f aca="false">IF($A1398="","",INT($A1398))</f>
        <v/>
      </c>
      <c r="T1398" s="35" t="str">
        <f aca="false">IF($A1398="","",IF(COUNTIFS($S$3:$S1398,$S1398)=1,1,0))</f>
        <v/>
      </c>
      <c r="U1398" s="37" t="str">
        <f aca="false">IF($T1398=1,$S1398,"")</f>
        <v/>
      </c>
    </row>
    <row r="1399" customFormat="false" ht="15" hidden="false" customHeight="false" outlineLevel="0" collapsed="false">
      <c r="M1399" s="35" t="str">
        <f aca="false">IF($A1399="","",HOUR($A1399))</f>
        <v/>
      </c>
      <c r="N1399" s="36" t="str">
        <f aca="false">IF($A1399="","",$I1399*$K1399)</f>
        <v/>
      </c>
      <c r="O1399" s="35" t="str">
        <f aca="false">IF(OR($A1399="",$C1399="U",$S1399&lt;&gt;Calc!$F$2),"",SUMIFS($I$3:$I$3002,$E$3:$E$3002,$E1399,$C$3:$C$3002,"&lt;&gt;U",$S$3:$S$3002,Calc!$F$2))</f>
        <v/>
      </c>
      <c r="P1399" s="35" t="str">
        <f aca="false">IF(OR($A1399="",$C1399="U",$S1399&lt;&gt;Calc!$F$2),"",SUMIFS($N$3:$N$3002,$E$3:$E$3002,$E1399,$C$3:$C$3002,"&lt;&gt;U",$S$3:$S$3002,Calc!$F$2))</f>
        <v/>
      </c>
      <c r="Q1399" s="35" t="str">
        <f aca="false">IF(OR($A1399="",$C1399="U",$S1399&lt;&gt;Calc!$F$2),"",IF(COUNTIFS($E$3:$E1399,$E1399,$C$3:$C1399,"&lt;&gt;U",$S$3:$S1399,Calc!$F$2)=1,1,0))</f>
        <v/>
      </c>
      <c r="R1399" s="35" t="str">
        <f aca="false">IF($Q1399=1,$O1399-ROW()/100000,"")</f>
        <v/>
      </c>
      <c r="S1399" s="37" t="str">
        <f aca="false">IF($A1399="","",INT($A1399))</f>
        <v/>
      </c>
      <c r="T1399" s="35" t="str">
        <f aca="false">IF($A1399="","",IF(COUNTIFS($S$3:$S1399,$S1399)=1,1,0))</f>
        <v/>
      </c>
      <c r="U1399" s="37" t="str">
        <f aca="false">IF($T1399=1,$S1399,"")</f>
        <v/>
      </c>
    </row>
    <row r="1400" customFormat="false" ht="15" hidden="false" customHeight="false" outlineLevel="0" collapsed="false">
      <c r="M1400" s="35" t="str">
        <f aca="false">IF($A1400="","",HOUR($A1400))</f>
        <v/>
      </c>
      <c r="N1400" s="36" t="str">
        <f aca="false">IF($A1400="","",$I1400*$K1400)</f>
        <v/>
      </c>
      <c r="O1400" s="35" t="str">
        <f aca="false">IF(OR($A1400="",$C1400="U",$S1400&lt;&gt;Calc!$F$2),"",SUMIFS($I$3:$I$3002,$E$3:$E$3002,$E1400,$C$3:$C$3002,"&lt;&gt;U",$S$3:$S$3002,Calc!$F$2))</f>
        <v/>
      </c>
      <c r="P1400" s="35" t="str">
        <f aca="false">IF(OR($A1400="",$C1400="U",$S1400&lt;&gt;Calc!$F$2),"",SUMIFS($N$3:$N$3002,$E$3:$E$3002,$E1400,$C$3:$C$3002,"&lt;&gt;U",$S$3:$S$3002,Calc!$F$2))</f>
        <v/>
      </c>
      <c r="Q1400" s="35" t="str">
        <f aca="false">IF(OR($A1400="",$C1400="U",$S1400&lt;&gt;Calc!$F$2),"",IF(COUNTIFS($E$3:$E1400,$E1400,$C$3:$C1400,"&lt;&gt;U",$S$3:$S1400,Calc!$F$2)=1,1,0))</f>
        <v/>
      </c>
      <c r="R1400" s="35" t="str">
        <f aca="false">IF($Q1400=1,$O1400-ROW()/100000,"")</f>
        <v/>
      </c>
      <c r="S1400" s="37" t="str">
        <f aca="false">IF($A1400="","",INT($A1400))</f>
        <v/>
      </c>
      <c r="T1400" s="35" t="str">
        <f aca="false">IF($A1400="","",IF(COUNTIFS($S$3:$S1400,$S1400)=1,1,0))</f>
        <v/>
      </c>
      <c r="U1400" s="37" t="str">
        <f aca="false">IF($T1400=1,$S1400,"")</f>
        <v/>
      </c>
    </row>
    <row r="1401" customFormat="false" ht="15" hidden="false" customHeight="false" outlineLevel="0" collapsed="false">
      <c r="M1401" s="35" t="str">
        <f aca="false">IF($A1401="","",HOUR($A1401))</f>
        <v/>
      </c>
      <c r="N1401" s="36" t="str">
        <f aca="false">IF($A1401="","",$I1401*$K1401)</f>
        <v/>
      </c>
      <c r="O1401" s="35" t="str">
        <f aca="false">IF(OR($A1401="",$C1401="U",$S1401&lt;&gt;Calc!$F$2),"",SUMIFS($I$3:$I$3002,$E$3:$E$3002,$E1401,$C$3:$C$3002,"&lt;&gt;U",$S$3:$S$3002,Calc!$F$2))</f>
        <v/>
      </c>
      <c r="P1401" s="35" t="str">
        <f aca="false">IF(OR($A1401="",$C1401="U",$S1401&lt;&gt;Calc!$F$2),"",SUMIFS($N$3:$N$3002,$E$3:$E$3002,$E1401,$C$3:$C$3002,"&lt;&gt;U",$S$3:$S$3002,Calc!$F$2))</f>
        <v/>
      </c>
      <c r="Q1401" s="35" t="str">
        <f aca="false">IF(OR($A1401="",$C1401="U",$S1401&lt;&gt;Calc!$F$2),"",IF(COUNTIFS($E$3:$E1401,$E1401,$C$3:$C1401,"&lt;&gt;U",$S$3:$S1401,Calc!$F$2)=1,1,0))</f>
        <v/>
      </c>
      <c r="R1401" s="35" t="str">
        <f aca="false">IF($Q1401=1,$O1401-ROW()/100000,"")</f>
        <v/>
      </c>
      <c r="S1401" s="37" t="str">
        <f aca="false">IF($A1401="","",INT($A1401))</f>
        <v/>
      </c>
      <c r="T1401" s="35" t="str">
        <f aca="false">IF($A1401="","",IF(COUNTIFS($S$3:$S1401,$S1401)=1,1,0))</f>
        <v/>
      </c>
      <c r="U1401" s="37" t="str">
        <f aca="false">IF($T1401=1,$S1401,"")</f>
        <v/>
      </c>
    </row>
    <row r="1402" customFormat="false" ht="15" hidden="false" customHeight="false" outlineLevel="0" collapsed="false">
      <c r="M1402" s="35" t="str">
        <f aca="false">IF($A1402="","",HOUR($A1402))</f>
        <v/>
      </c>
      <c r="N1402" s="36" t="str">
        <f aca="false">IF($A1402="","",$I1402*$K1402)</f>
        <v/>
      </c>
      <c r="O1402" s="35" t="str">
        <f aca="false">IF(OR($A1402="",$C1402="U",$S1402&lt;&gt;Calc!$F$2),"",SUMIFS($I$3:$I$3002,$E$3:$E$3002,$E1402,$C$3:$C$3002,"&lt;&gt;U",$S$3:$S$3002,Calc!$F$2))</f>
        <v/>
      </c>
      <c r="P1402" s="35" t="str">
        <f aca="false">IF(OR($A1402="",$C1402="U",$S1402&lt;&gt;Calc!$F$2),"",SUMIFS($N$3:$N$3002,$E$3:$E$3002,$E1402,$C$3:$C$3002,"&lt;&gt;U",$S$3:$S$3002,Calc!$F$2))</f>
        <v/>
      </c>
      <c r="Q1402" s="35" t="str">
        <f aca="false">IF(OR($A1402="",$C1402="U",$S1402&lt;&gt;Calc!$F$2),"",IF(COUNTIFS($E$3:$E1402,$E1402,$C$3:$C1402,"&lt;&gt;U",$S$3:$S1402,Calc!$F$2)=1,1,0))</f>
        <v/>
      </c>
      <c r="R1402" s="35" t="str">
        <f aca="false">IF($Q1402=1,$O1402-ROW()/100000,"")</f>
        <v/>
      </c>
      <c r="S1402" s="37" t="str">
        <f aca="false">IF($A1402="","",INT($A1402))</f>
        <v/>
      </c>
      <c r="T1402" s="35" t="str">
        <f aca="false">IF($A1402="","",IF(COUNTIFS($S$3:$S1402,$S1402)=1,1,0))</f>
        <v/>
      </c>
      <c r="U1402" s="37" t="str">
        <f aca="false">IF($T1402=1,$S1402,"")</f>
        <v/>
      </c>
    </row>
    <row r="1403" customFormat="false" ht="15" hidden="false" customHeight="false" outlineLevel="0" collapsed="false">
      <c r="M1403" s="35" t="str">
        <f aca="false">IF($A1403="","",HOUR($A1403))</f>
        <v/>
      </c>
      <c r="N1403" s="36" t="str">
        <f aca="false">IF($A1403="","",$I1403*$K1403)</f>
        <v/>
      </c>
      <c r="O1403" s="35" t="str">
        <f aca="false">IF(OR($A1403="",$C1403="U",$S1403&lt;&gt;Calc!$F$2),"",SUMIFS($I$3:$I$3002,$E$3:$E$3002,$E1403,$C$3:$C$3002,"&lt;&gt;U",$S$3:$S$3002,Calc!$F$2))</f>
        <v/>
      </c>
      <c r="P1403" s="35" t="str">
        <f aca="false">IF(OR($A1403="",$C1403="U",$S1403&lt;&gt;Calc!$F$2),"",SUMIFS($N$3:$N$3002,$E$3:$E$3002,$E1403,$C$3:$C$3002,"&lt;&gt;U",$S$3:$S$3002,Calc!$F$2))</f>
        <v/>
      </c>
      <c r="Q1403" s="35" t="str">
        <f aca="false">IF(OR($A1403="",$C1403="U",$S1403&lt;&gt;Calc!$F$2),"",IF(COUNTIFS($E$3:$E1403,$E1403,$C$3:$C1403,"&lt;&gt;U",$S$3:$S1403,Calc!$F$2)=1,1,0))</f>
        <v/>
      </c>
      <c r="R1403" s="35" t="str">
        <f aca="false">IF($Q1403=1,$O1403-ROW()/100000,"")</f>
        <v/>
      </c>
      <c r="S1403" s="37" t="str">
        <f aca="false">IF($A1403="","",INT($A1403))</f>
        <v/>
      </c>
      <c r="T1403" s="35" t="str">
        <f aca="false">IF($A1403="","",IF(COUNTIFS($S$3:$S1403,$S1403)=1,1,0))</f>
        <v/>
      </c>
      <c r="U1403" s="37" t="str">
        <f aca="false">IF($T1403=1,$S1403,"")</f>
        <v/>
      </c>
    </row>
    <row r="1404" customFormat="false" ht="15" hidden="false" customHeight="false" outlineLevel="0" collapsed="false">
      <c r="M1404" s="35" t="str">
        <f aca="false">IF($A1404="","",HOUR($A1404))</f>
        <v/>
      </c>
      <c r="N1404" s="36" t="str">
        <f aca="false">IF($A1404="","",$I1404*$K1404)</f>
        <v/>
      </c>
      <c r="O1404" s="35" t="str">
        <f aca="false">IF(OR($A1404="",$C1404="U",$S1404&lt;&gt;Calc!$F$2),"",SUMIFS($I$3:$I$3002,$E$3:$E$3002,$E1404,$C$3:$C$3002,"&lt;&gt;U",$S$3:$S$3002,Calc!$F$2))</f>
        <v/>
      </c>
      <c r="P1404" s="35" t="str">
        <f aca="false">IF(OR($A1404="",$C1404="U",$S1404&lt;&gt;Calc!$F$2),"",SUMIFS($N$3:$N$3002,$E$3:$E$3002,$E1404,$C$3:$C$3002,"&lt;&gt;U",$S$3:$S$3002,Calc!$F$2))</f>
        <v/>
      </c>
      <c r="Q1404" s="35" t="str">
        <f aca="false">IF(OR($A1404="",$C1404="U",$S1404&lt;&gt;Calc!$F$2),"",IF(COUNTIFS($E$3:$E1404,$E1404,$C$3:$C1404,"&lt;&gt;U",$S$3:$S1404,Calc!$F$2)=1,1,0))</f>
        <v/>
      </c>
      <c r="R1404" s="35" t="str">
        <f aca="false">IF($Q1404=1,$O1404-ROW()/100000,"")</f>
        <v/>
      </c>
      <c r="S1404" s="37" t="str">
        <f aca="false">IF($A1404="","",INT($A1404))</f>
        <v/>
      </c>
      <c r="T1404" s="35" t="str">
        <f aca="false">IF($A1404="","",IF(COUNTIFS($S$3:$S1404,$S1404)=1,1,0))</f>
        <v/>
      </c>
      <c r="U1404" s="37" t="str">
        <f aca="false">IF($T1404=1,$S1404,"")</f>
        <v/>
      </c>
    </row>
    <row r="1405" customFormat="false" ht="15" hidden="false" customHeight="false" outlineLevel="0" collapsed="false">
      <c r="M1405" s="35" t="str">
        <f aca="false">IF($A1405="","",HOUR($A1405))</f>
        <v/>
      </c>
      <c r="N1405" s="36" t="str">
        <f aca="false">IF($A1405="","",$I1405*$K1405)</f>
        <v/>
      </c>
      <c r="O1405" s="35" t="str">
        <f aca="false">IF(OR($A1405="",$C1405="U",$S1405&lt;&gt;Calc!$F$2),"",SUMIFS($I$3:$I$3002,$E$3:$E$3002,$E1405,$C$3:$C$3002,"&lt;&gt;U",$S$3:$S$3002,Calc!$F$2))</f>
        <v/>
      </c>
      <c r="P1405" s="35" t="str">
        <f aca="false">IF(OR($A1405="",$C1405="U",$S1405&lt;&gt;Calc!$F$2),"",SUMIFS($N$3:$N$3002,$E$3:$E$3002,$E1405,$C$3:$C$3002,"&lt;&gt;U",$S$3:$S$3002,Calc!$F$2))</f>
        <v/>
      </c>
      <c r="Q1405" s="35" t="str">
        <f aca="false">IF(OR($A1405="",$C1405="U",$S1405&lt;&gt;Calc!$F$2),"",IF(COUNTIFS($E$3:$E1405,$E1405,$C$3:$C1405,"&lt;&gt;U",$S$3:$S1405,Calc!$F$2)=1,1,0))</f>
        <v/>
      </c>
      <c r="R1405" s="35" t="str">
        <f aca="false">IF($Q1405=1,$O1405-ROW()/100000,"")</f>
        <v/>
      </c>
      <c r="S1405" s="37" t="str">
        <f aca="false">IF($A1405="","",INT($A1405))</f>
        <v/>
      </c>
      <c r="T1405" s="35" t="str">
        <f aca="false">IF($A1405="","",IF(COUNTIFS($S$3:$S1405,$S1405)=1,1,0))</f>
        <v/>
      </c>
      <c r="U1405" s="37" t="str">
        <f aca="false">IF($T1405=1,$S1405,"")</f>
        <v/>
      </c>
    </row>
    <row r="1406" customFormat="false" ht="15" hidden="false" customHeight="false" outlineLevel="0" collapsed="false">
      <c r="M1406" s="35" t="str">
        <f aca="false">IF($A1406="","",HOUR($A1406))</f>
        <v/>
      </c>
      <c r="N1406" s="36" t="str">
        <f aca="false">IF($A1406="","",$I1406*$K1406)</f>
        <v/>
      </c>
      <c r="O1406" s="35" t="str">
        <f aca="false">IF(OR($A1406="",$C1406="U",$S1406&lt;&gt;Calc!$F$2),"",SUMIFS($I$3:$I$3002,$E$3:$E$3002,$E1406,$C$3:$C$3002,"&lt;&gt;U",$S$3:$S$3002,Calc!$F$2))</f>
        <v/>
      </c>
      <c r="P1406" s="35" t="str">
        <f aca="false">IF(OR($A1406="",$C1406="U",$S1406&lt;&gt;Calc!$F$2),"",SUMIFS($N$3:$N$3002,$E$3:$E$3002,$E1406,$C$3:$C$3002,"&lt;&gt;U",$S$3:$S$3002,Calc!$F$2))</f>
        <v/>
      </c>
      <c r="Q1406" s="35" t="str">
        <f aca="false">IF(OR($A1406="",$C1406="U",$S1406&lt;&gt;Calc!$F$2),"",IF(COUNTIFS($E$3:$E1406,$E1406,$C$3:$C1406,"&lt;&gt;U",$S$3:$S1406,Calc!$F$2)=1,1,0))</f>
        <v/>
      </c>
      <c r="R1406" s="35" t="str">
        <f aca="false">IF($Q1406=1,$O1406-ROW()/100000,"")</f>
        <v/>
      </c>
      <c r="S1406" s="37" t="str">
        <f aca="false">IF($A1406="","",INT($A1406))</f>
        <v/>
      </c>
      <c r="T1406" s="35" t="str">
        <f aca="false">IF($A1406="","",IF(COUNTIFS($S$3:$S1406,$S1406)=1,1,0))</f>
        <v/>
      </c>
      <c r="U1406" s="37" t="str">
        <f aca="false">IF($T1406=1,$S1406,"")</f>
        <v/>
      </c>
    </row>
    <row r="1407" customFormat="false" ht="15" hidden="false" customHeight="false" outlineLevel="0" collapsed="false">
      <c r="M1407" s="35" t="str">
        <f aca="false">IF($A1407="","",HOUR($A1407))</f>
        <v/>
      </c>
      <c r="N1407" s="36" t="str">
        <f aca="false">IF($A1407="","",$I1407*$K1407)</f>
        <v/>
      </c>
      <c r="O1407" s="35" t="str">
        <f aca="false">IF(OR($A1407="",$C1407="U",$S1407&lt;&gt;Calc!$F$2),"",SUMIFS($I$3:$I$3002,$E$3:$E$3002,$E1407,$C$3:$C$3002,"&lt;&gt;U",$S$3:$S$3002,Calc!$F$2))</f>
        <v/>
      </c>
      <c r="P1407" s="35" t="str">
        <f aca="false">IF(OR($A1407="",$C1407="U",$S1407&lt;&gt;Calc!$F$2),"",SUMIFS($N$3:$N$3002,$E$3:$E$3002,$E1407,$C$3:$C$3002,"&lt;&gt;U",$S$3:$S$3002,Calc!$F$2))</f>
        <v/>
      </c>
      <c r="Q1407" s="35" t="str">
        <f aca="false">IF(OR($A1407="",$C1407="U",$S1407&lt;&gt;Calc!$F$2),"",IF(COUNTIFS($E$3:$E1407,$E1407,$C$3:$C1407,"&lt;&gt;U",$S$3:$S1407,Calc!$F$2)=1,1,0))</f>
        <v/>
      </c>
      <c r="R1407" s="35" t="str">
        <f aca="false">IF($Q1407=1,$O1407-ROW()/100000,"")</f>
        <v/>
      </c>
      <c r="S1407" s="37" t="str">
        <f aca="false">IF($A1407="","",INT($A1407))</f>
        <v/>
      </c>
      <c r="T1407" s="35" t="str">
        <f aca="false">IF($A1407="","",IF(COUNTIFS($S$3:$S1407,$S1407)=1,1,0))</f>
        <v/>
      </c>
      <c r="U1407" s="37" t="str">
        <f aca="false">IF($T1407=1,$S1407,"")</f>
        <v/>
      </c>
    </row>
    <row r="1408" customFormat="false" ht="15" hidden="false" customHeight="false" outlineLevel="0" collapsed="false">
      <c r="M1408" s="35" t="str">
        <f aca="false">IF($A1408="","",HOUR($A1408))</f>
        <v/>
      </c>
      <c r="N1408" s="36" t="str">
        <f aca="false">IF($A1408="","",$I1408*$K1408)</f>
        <v/>
      </c>
      <c r="O1408" s="35" t="str">
        <f aca="false">IF(OR($A1408="",$C1408="U",$S1408&lt;&gt;Calc!$F$2),"",SUMIFS($I$3:$I$3002,$E$3:$E$3002,$E1408,$C$3:$C$3002,"&lt;&gt;U",$S$3:$S$3002,Calc!$F$2))</f>
        <v/>
      </c>
      <c r="P1408" s="35" t="str">
        <f aca="false">IF(OR($A1408="",$C1408="U",$S1408&lt;&gt;Calc!$F$2),"",SUMIFS($N$3:$N$3002,$E$3:$E$3002,$E1408,$C$3:$C$3002,"&lt;&gt;U",$S$3:$S$3002,Calc!$F$2))</f>
        <v/>
      </c>
      <c r="Q1408" s="35" t="str">
        <f aca="false">IF(OR($A1408="",$C1408="U",$S1408&lt;&gt;Calc!$F$2),"",IF(COUNTIFS($E$3:$E1408,$E1408,$C$3:$C1408,"&lt;&gt;U",$S$3:$S1408,Calc!$F$2)=1,1,0))</f>
        <v/>
      </c>
      <c r="R1408" s="35" t="str">
        <f aca="false">IF($Q1408=1,$O1408-ROW()/100000,"")</f>
        <v/>
      </c>
      <c r="S1408" s="37" t="str">
        <f aca="false">IF($A1408="","",INT($A1408))</f>
        <v/>
      </c>
      <c r="T1408" s="35" t="str">
        <f aca="false">IF($A1408="","",IF(COUNTIFS($S$3:$S1408,$S1408)=1,1,0))</f>
        <v/>
      </c>
      <c r="U1408" s="37" t="str">
        <f aca="false">IF($T1408=1,$S1408,"")</f>
        <v/>
      </c>
    </row>
    <row r="1409" customFormat="false" ht="15" hidden="false" customHeight="false" outlineLevel="0" collapsed="false">
      <c r="M1409" s="35" t="str">
        <f aca="false">IF($A1409="","",HOUR($A1409))</f>
        <v/>
      </c>
      <c r="N1409" s="36" t="str">
        <f aca="false">IF($A1409="","",$I1409*$K1409)</f>
        <v/>
      </c>
      <c r="O1409" s="35" t="str">
        <f aca="false">IF(OR($A1409="",$C1409="U",$S1409&lt;&gt;Calc!$F$2),"",SUMIFS($I$3:$I$3002,$E$3:$E$3002,$E1409,$C$3:$C$3002,"&lt;&gt;U",$S$3:$S$3002,Calc!$F$2))</f>
        <v/>
      </c>
      <c r="P1409" s="35" t="str">
        <f aca="false">IF(OR($A1409="",$C1409="U",$S1409&lt;&gt;Calc!$F$2),"",SUMIFS($N$3:$N$3002,$E$3:$E$3002,$E1409,$C$3:$C$3002,"&lt;&gt;U",$S$3:$S$3002,Calc!$F$2))</f>
        <v/>
      </c>
      <c r="Q1409" s="35" t="str">
        <f aca="false">IF(OR($A1409="",$C1409="U",$S1409&lt;&gt;Calc!$F$2),"",IF(COUNTIFS($E$3:$E1409,$E1409,$C$3:$C1409,"&lt;&gt;U",$S$3:$S1409,Calc!$F$2)=1,1,0))</f>
        <v/>
      </c>
      <c r="R1409" s="35" t="str">
        <f aca="false">IF($Q1409=1,$O1409-ROW()/100000,"")</f>
        <v/>
      </c>
      <c r="S1409" s="37" t="str">
        <f aca="false">IF($A1409="","",INT($A1409))</f>
        <v/>
      </c>
      <c r="T1409" s="35" t="str">
        <f aca="false">IF($A1409="","",IF(COUNTIFS($S$3:$S1409,$S1409)=1,1,0))</f>
        <v/>
      </c>
      <c r="U1409" s="37" t="str">
        <f aca="false">IF($T1409=1,$S1409,"")</f>
        <v/>
      </c>
    </row>
    <row r="1410" customFormat="false" ht="15" hidden="false" customHeight="false" outlineLevel="0" collapsed="false">
      <c r="M1410" s="35" t="str">
        <f aca="false">IF($A1410="","",HOUR($A1410))</f>
        <v/>
      </c>
      <c r="N1410" s="36" t="str">
        <f aca="false">IF($A1410="","",$I1410*$K1410)</f>
        <v/>
      </c>
      <c r="O1410" s="35" t="str">
        <f aca="false">IF(OR($A1410="",$C1410="U",$S1410&lt;&gt;Calc!$F$2),"",SUMIFS($I$3:$I$3002,$E$3:$E$3002,$E1410,$C$3:$C$3002,"&lt;&gt;U",$S$3:$S$3002,Calc!$F$2))</f>
        <v/>
      </c>
      <c r="P1410" s="35" t="str">
        <f aca="false">IF(OR($A1410="",$C1410="U",$S1410&lt;&gt;Calc!$F$2),"",SUMIFS($N$3:$N$3002,$E$3:$E$3002,$E1410,$C$3:$C$3002,"&lt;&gt;U",$S$3:$S$3002,Calc!$F$2))</f>
        <v/>
      </c>
      <c r="Q1410" s="35" t="str">
        <f aca="false">IF(OR($A1410="",$C1410="U",$S1410&lt;&gt;Calc!$F$2),"",IF(COUNTIFS($E$3:$E1410,$E1410,$C$3:$C1410,"&lt;&gt;U",$S$3:$S1410,Calc!$F$2)=1,1,0))</f>
        <v/>
      </c>
      <c r="R1410" s="35" t="str">
        <f aca="false">IF($Q1410=1,$O1410-ROW()/100000,"")</f>
        <v/>
      </c>
      <c r="S1410" s="37" t="str">
        <f aca="false">IF($A1410="","",INT($A1410))</f>
        <v/>
      </c>
      <c r="T1410" s="35" t="str">
        <f aca="false">IF($A1410="","",IF(COUNTIFS($S$3:$S1410,$S1410)=1,1,0))</f>
        <v/>
      </c>
      <c r="U1410" s="37" t="str">
        <f aca="false">IF($T1410=1,$S1410,"")</f>
        <v/>
      </c>
    </row>
    <row r="1411" customFormat="false" ht="15" hidden="false" customHeight="false" outlineLevel="0" collapsed="false">
      <c r="M1411" s="35" t="str">
        <f aca="false">IF($A1411="","",HOUR($A1411))</f>
        <v/>
      </c>
      <c r="N1411" s="36" t="str">
        <f aca="false">IF($A1411="","",$I1411*$K1411)</f>
        <v/>
      </c>
      <c r="O1411" s="35" t="str">
        <f aca="false">IF(OR($A1411="",$C1411="U",$S1411&lt;&gt;Calc!$F$2),"",SUMIFS($I$3:$I$3002,$E$3:$E$3002,$E1411,$C$3:$C$3002,"&lt;&gt;U",$S$3:$S$3002,Calc!$F$2))</f>
        <v/>
      </c>
      <c r="P1411" s="35" t="str">
        <f aca="false">IF(OR($A1411="",$C1411="U",$S1411&lt;&gt;Calc!$F$2),"",SUMIFS($N$3:$N$3002,$E$3:$E$3002,$E1411,$C$3:$C$3002,"&lt;&gt;U",$S$3:$S$3002,Calc!$F$2))</f>
        <v/>
      </c>
      <c r="Q1411" s="35" t="str">
        <f aca="false">IF(OR($A1411="",$C1411="U",$S1411&lt;&gt;Calc!$F$2),"",IF(COUNTIFS($E$3:$E1411,$E1411,$C$3:$C1411,"&lt;&gt;U",$S$3:$S1411,Calc!$F$2)=1,1,0))</f>
        <v/>
      </c>
      <c r="R1411" s="35" t="str">
        <f aca="false">IF($Q1411=1,$O1411-ROW()/100000,"")</f>
        <v/>
      </c>
      <c r="S1411" s="37" t="str">
        <f aca="false">IF($A1411="","",INT($A1411))</f>
        <v/>
      </c>
      <c r="T1411" s="35" t="str">
        <f aca="false">IF($A1411="","",IF(COUNTIFS($S$3:$S1411,$S1411)=1,1,0))</f>
        <v/>
      </c>
      <c r="U1411" s="37" t="str">
        <f aca="false">IF($T1411=1,$S1411,"")</f>
        <v/>
      </c>
    </row>
    <row r="1412" customFormat="false" ht="15" hidden="false" customHeight="false" outlineLevel="0" collapsed="false">
      <c r="M1412" s="35" t="str">
        <f aca="false">IF($A1412="","",HOUR($A1412))</f>
        <v/>
      </c>
      <c r="N1412" s="36" t="str">
        <f aca="false">IF($A1412="","",$I1412*$K1412)</f>
        <v/>
      </c>
      <c r="O1412" s="35" t="str">
        <f aca="false">IF(OR($A1412="",$C1412="U",$S1412&lt;&gt;Calc!$F$2),"",SUMIFS($I$3:$I$3002,$E$3:$E$3002,$E1412,$C$3:$C$3002,"&lt;&gt;U",$S$3:$S$3002,Calc!$F$2))</f>
        <v/>
      </c>
      <c r="P1412" s="35" t="str">
        <f aca="false">IF(OR($A1412="",$C1412="U",$S1412&lt;&gt;Calc!$F$2),"",SUMIFS($N$3:$N$3002,$E$3:$E$3002,$E1412,$C$3:$C$3002,"&lt;&gt;U",$S$3:$S$3002,Calc!$F$2))</f>
        <v/>
      </c>
      <c r="Q1412" s="35" t="str">
        <f aca="false">IF(OR($A1412="",$C1412="U",$S1412&lt;&gt;Calc!$F$2),"",IF(COUNTIFS($E$3:$E1412,$E1412,$C$3:$C1412,"&lt;&gt;U",$S$3:$S1412,Calc!$F$2)=1,1,0))</f>
        <v/>
      </c>
      <c r="R1412" s="35" t="str">
        <f aca="false">IF($Q1412=1,$O1412-ROW()/100000,"")</f>
        <v/>
      </c>
      <c r="S1412" s="37" t="str">
        <f aca="false">IF($A1412="","",INT($A1412))</f>
        <v/>
      </c>
      <c r="T1412" s="35" t="str">
        <f aca="false">IF($A1412="","",IF(COUNTIFS($S$3:$S1412,$S1412)=1,1,0))</f>
        <v/>
      </c>
      <c r="U1412" s="37" t="str">
        <f aca="false">IF($T1412=1,$S1412,"")</f>
        <v/>
      </c>
    </row>
    <row r="1413" customFormat="false" ht="15" hidden="false" customHeight="false" outlineLevel="0" collapsed="false">
      <c r="M1413" s="35" t="str">
        <f aca="false">IF($A1413="","",HOUR($A1413))</f>
        <v/>
      </c>
      <c r="N1413" s="36" t="str">
        <f aca="false">IF($A1413="","",$I1413*$K1413)</f>
        <v/>
      </c>
      <c r="O1413" s="35" t="str">
        <f aca="false">IF(OR($A1413="",$C1413="U",$S1413&lt;&gt;Calc!$F$2),"",SUMIFS($I$3:$I$3002,$E$3:$E$3002,$E1413,$C$3:$C$3002,"&lt;&gt;U",$S$3:$S$3002,Calc!$F$2))</f>
        <v/>
      </c>
      <c r="P1413" s="35" t="str">
        <f aca="false">IF(OR($A1413="",$C1413="U",$S1413&lt;&gt;Calc!$F$2),"",SUMIFS($N$3:$N$3002,$E$3:$E$3002,$E1413,$C$3:$C$3002,"&lt;&gt;U",$S$3:$S$3002,Calc!$F$2))</f>
        <v/>
      </c>
      <c r="Q1413" s="35" t="str">
        <f aca="false">IF(OR($A1413="",$C1413="U",$S1413&lt;&gt;Calc!$F$2),"",IF(COUNTIFS($E$3:$E1413,$E1413,$C$3:$C1413,"&lt;&gt;U",$S$3:$S1413,Calc!$F$2)=1,1,0))</f>
        <v/>
      </c>
      <c r="R1413" s="35" t="str">
        <f aca="false">IF($Q1413=1,$O1413-ROW()/100000,"")</f>
        <v/>
      </c>
      <c r="S1413" s="37" t="str">
        <f aca="false">IF($A1413="","",INT($A1413))</f>
        <v/>
      </c>
      <c r="T1413" s="35" t="str">
        <f aca="false">IF($A1413="","",IF(COUNTIFS($S$3:$S1413,$S1413)=1,1,0))</f>
        <v/>
      </c>
      <c r="U1413" s="37" t="str">
        <f aca="false">IF($T1413=1,$S1413,"")</f>
        <v/>
      </c>
    </row>
    <row r="1414" customFormat="false" ht="15" hidden="false" customHeight="false" outlineLevel="0" collapsed="false">
      <c r="M1414" s="35" t="str">
        <f aca="false">IF($A1414="","",HOUR($A1414))</f>
        <v/>
      </c>
      <c r="N1414" s="36" t="str">
        <f aca="false">IF($A1414="","",$I1414*$K1414)</f>
        <v/>
      </c>
      <c r="O1414" s="35" t="str">
        <f aca="false">IF(OR($A1414="",$C1414="U",$S1414&lt;&gt;Calc!$F$2),"",SUMIFS($I$3:$I$3002,$E$3:$E$3002,$E1414,$C$3:$C$3002,"&lt;&gt;U",$S$3:$S$3002,Calc!$F$2))</f>
        <v/>
      </c>
      <c r="P1414" s="35" t="str">
        <f aca="false">IF(OR($A1414="",$C1414="U",$S1414&lt;&gt;Calc!$F$2),"",SUMIFS($N$3:$N$3002,$E$3:$E$3002,$E1414,$C$3:$C$3002,"&lt;&gt;U",$S$3:$S$3002,Calc!$F$2))</f>
        <v/>
      </c>
      <c r="Q1414" s="35" t="str">
        <f aca="false">IF(OR($A1414="",$C1414="U",$S1414&lt;&gt;Calc!$F$2),"",IF(COUNTIFS($E$3:$E1414,$E1414,$C$3:$C1414,"&lt;&gt;U",$S$3:$S1414,Calc!$F$2)=1,1,0))</f>
        <v/>
      </c>
      <c r="R1414" s="35" t="str">
        <f aca="false">IF($Q1414=1,$O1414-ROW()/100000,"")</f>
        <v/>
      </c>
      <c r="S1414" s="37" t="str">
        <f aca="false">IF($A1414="","",INT($A1414))</f>
        <v/>
      </c>
      <c r="T1414" s="35" t="str">
        <f aca="false">IF($A1414="","",IF(COUNTIFS($S$3:$S1414,$S1414)=1,1,0))</f>
        <v/>
      </c>
      <c r="U1414" s="37" t="str">
        <f aca="false">IF($T1414=1,$S1414,"")</f>
        <v/>
      </c>
    </row>
    <row r="1415" customFormat="false" ht="15" hidden="false" customHeight="false" outlineLevel="0" collapsed="false">
      <c r="M1415" s="35" t="str">
        <f aca="false">IF($A1415="","",HOUR($A1415))</f>
        <v/>
      </c>
      <c r="N1415" s="36" t="str">
        <f aca="false">IF($A1415="","",$I1415*$K1415)</f>
        <v/>
      </c>
      <c r="O1415" s="35" t="str">
        <f aca="false">IF(OR($A1415="",$C1415="U",$S1415&lt;&gt;Calc!$F$2),"",SUMIFS($I$3:$I$3002,$E$3:$E$3002,$E1415,$C$3:$C$3002,"&lt;&gt;U",$S$3:$S$3002,Calc!$F$2))</f>
        <v/>
      </c>
      <c r="P1415" s="35" t="str">
        <f aca="false">IF(OR($A1415="",$C1415="U",$S1415&lt;&gt;Calc!$F$2),"",SUMIFS($N$3:$N$3002,$E$3:$E$3002,$E1415,$C$3:$C$3002,"&lt;&gt;U",$S$3:$S$3002,Calc!$F$2))</f>
        <v/>
      </c>
      <c r="Q1415" s="35" t="str">
        <f aca="false">IF(OR($A1415="",$C1415="U",$S1415&lt;&gt;Calc!$F$2),"",IF(COUNTIFS($E$3:$E1415,$E1415,$C$3:$C1415,"&lt;&gt;U",$S$3:$S1415,Calc!$F$2)=1,1,0))</f>
        <v/>
      </c>
      <c r="R1415" s="35" t="str">
        <f aca="false">IF($Q1415=1,$O1415-ROW()/100000,"")</f>
        <v/>
      </c>
      <c r="S1415" s="37" t="str">
        <f aca="false">IF($A1415="","",INT($A1415))</f>
        <v/>
      </c>
      <c r="T1415" s="35" t="str">
        <f aca="false">IF($A1415="","",IF(COUNTIFS($S$3:$S1415,$S1415)=1,1,0))</f>
        <v/>
      </c>
      <c r="U1415" s="37" t="str">
        <f aca="false">IF($T1415=1,$S1415,"")</f>
        <v/>
      </c>
    </row>
    <row r="1416" customFormat="false" ht="15" hidden="false" customHeight="false" outlineLevel="0" collapsed="false">
      <c r="M1416" s="35" t="str">
        <f aca="false">IF($A1416="","",HOUR($A1416))</f>
        <v/>
      </c>
      <c r="N1416" s="36" t="str">
        <f aca="false">IF($A1416="","",$I1416*$K1416)</f>
        <v/>
      </c>
      <c r="O1416" s="35" t="str">
        <f aca="false">IF(OR($A1416="",$C1416="U",$S1416&lt;&gt;Calc!$F$2),"",SUMIFS($I$3:$I$3002,$E$3:$E$3002,$E1416,$C$3:$C$3002,"&lt;&gt;U",$S$3:$S$3002,Calc!$F$2))</f>
        <v/>
      </c>
      <c r="P1416" s="35" t="str">
        <f aca="false">IF(OR($A1416="",$C1416="U",$S1416&lt;&gt;Calc!$F$2),"",SUMIFS($N$3:$N$3002,$E$3:$E$3002,$E1416,$C$3:$C$3002,"&lt;&gt;U",$S$3:$S$3002,Calc!$F$2))</f>
        <v/>
      </c>
      <c r="Q1416" s="35" t="str">
        <f aca="false">IF(OR($A1416="",$C1416="U",$S1416&lt;&gt;Calc!$F$2),"",IF(COUNTIFS($E$3:$E1416,$E1416,$C$3:$C1416,"&lt;&gt;U",$S$3:$S1416,Calc!$F$2)=1,1,0))</f>
        <v/>
      </c>
      <c r="R1416" s="35" t="str">
        <f aca="false">IF($Q1416=1,$O1416-ROW()/100000,"")</f>
        <v/>
      </c>
      <c r="S1416" s="37" t="str">
        <f aca="false">IF($A1416="","",INT($A1416))</f>
        <v/>
      </c>
      <c r="T1416" s="35" t="str">
        <f aca="false">IF($A1416="","",IF(COUNTIFS($S$3:$S1416,$S1416)=1,1,0))</f>
        <v/>
      </c>
      <c r="U1416" s="37" t="str">
        <f aca="false">IF($T1416=1,$S1416,"")</f>
        <v/>
      </c>
    </row>
    <row r="1417" customFormat="false" ht="15" hidden="false" customHeight="false" outlineLevel="0" collapsed="false">
      <c r="M1417" s="35" t="str">
        <f aca="false">IF($A1417="","",HOUR($A1417))</f>
        <v/>
      </c>
      <c r="N1417" s="36" t="str">
        <f aca="false">IF($A1417="","",$I1417*$K1417)</f>
        <v/>
      </c>
      <c r="O1417" s="35" t="str">
        <f aca="false">IF(OR($A1417="",$C1417="U",$S1417&lt;&gt;Calc!$F$2),"",SUMIFS($I$3:$I$3002,$E$3:$E$3002,$E1417,$C$3:$C$3002,"&lt;&gt;U",$S$3:$S$3002,Calc!$F$2))</f>
        <v/>
      </c>
      <c r="P1417" s="35" t="str">
        <f aca="false">IF(OR($A1417="",$C1417="U",$S1417&lt;&gt;Calc!$F$2),"",SUMIFS($N$3:$N$3002,$E$3:$E$3002,$E1417,$C$3:$C$3002,"&lt;&gt;U",$S$3:$S$3002,Calc!$F$2))</f>
        <v/>
      </c>
      <c r="Q1417" s="35" t="str">
        <f aca="false">IF(OR($A1417="",$C1417="U",$S1417&lt;&gt;Calc!$F$2),"",IF(COUNTIFS($E$3:$E1417,$E1417,$C$3:$C1417,"&lt;&gt;U",$S$3:$S1417,Calc!$F$2)=1,1,0))</f>
        <v/>
      </c>
      <c r="R1417" s="35" t="str">
        <f aca="false">IF($Q1417=1,$O1417-ROW()/100000,"")</f>
        <v/>
      </c>
      <c r="S1417" s="37" t="str">
        <f aca="false">IF($A1417="","",INT($A1417))</f>
        <v/>
      </c>
      <c r="T1417" s="35" t="str">
        <f aca="false">IF($A1417="","",IF(COUNTIFS($S$3:$S1417,$S1417)=1,1,0))</f>
        <v/>
      </c>
      <c r="U1417" s="37" t="str">
        <f aca="false">IF($T1417=1,$S1417,"")</f>
        <v/>
      </c>
    </row>
    <row r="1418" customFormat="false" ht="15" hidden="false" customHeight="false" outlineLevel="0" collapsed="false">
      <c r="M1418" s="35" t="str">
        <f aca="false">IF($A1418="","",HOUR($A1418))</f>
        <v/>
      </c>
      <c r="N1418" s="36" t="str">
        <f aca="false">IF($A1418="","",$I1418*$K1418)</f>
        <v/>
      </c>
      <c r="O1418" s="35" t="str">
        <f aca="false">IF(OR($A1418="",$C1418="U",$S1418&lt;&gt;Calc!$F$2),"",SUMIFS($I$3:$I$3002,$E$3:$E$3002,$E1418,$C$3:$C$3002,"&lt;&gt;U",$S$3:$S$3002,Calc!$F$2))</f>
        <v/>
      </c>
      <c r="P1418" s="35" t="str">
        <f aca="false">IF(OR($A1418="",$C1418="U",$S1418&lt;&gt;Calc!$F$2),"",SUMIFS($N$3:$N$3002,$E$3:$E$3002,$E1418,$C$3:$C$3002,"&lt;&gt;U",$S$3:$S$3002,Calc!$F$2))</f>
        <v/>
      </c>
      <c r="Q1418" s="35" t="str">
        <f aca="false">IF(OR($A1418="",$C1418="U",$S1418&lt;&gt;Calc!$F$2),"",IF(COUNTIFS($E$3:$E1418,$E1418,$C$3:$C1418,"&lt;&gt;U",$S$3:$S1418,Calc!$F$2)=1,1,0))</f>
        <v/>
      </c>
      <c r="R1418" s="35" t="str">
        <f aca="false">IF($Q1418=1,$O1418-ROW()/100000,"")</f>
        <v/>
      </c>
      <c r="S1418" s="37" t="str">
        <f aca="false">IF($A1418="","",INT($A1418))</f>
        <v/>
      </c>
      <c r="T1418" s="35" t="str">
        <f aca="false">IF($A1418="","",IF(COUNTIFS($S$3:$S1418,$S1418)=1,1,0))</f>
        <v/>
      </c>
      <c r="U1418" s="37" t="str">
        <f aca="false">IF($T1418=1,$S1418,"")</f>
        <v/>
      </c>
    </row>
    <row r="1419" customFormat="false" ht="15" hidden="false" customHeight="false" outlineLevel="0" collapsed="false">
      <c r="M1419" s="35" t="str">
        <f aca="false">IF($A1419="","",HOUR($A1419))</f>
        <v/>
      </c>
      <c r="N1419" s="36" t="str">
        <f aca="false">IF($A1419="","",$I1419*$K1419)</f>
        <v/>
      </c>
      <c r="O1419" s="35" t="str">
        <f aca="false">IF(OR($A1419="",$C1419="U",$S1419&lt;&gt;Calc!$F$2),"",SUMIFS($I$3:$I$3002,$E$3:$E$3002,$E1419,$C$3:$C$3002,"&lt;&gt;U",$S$3:$S$3002,Calc!$F$2))</f>
        <v/>
      </c>
      <c r="P1419" s="35" t="str">
        <f aca="false">IF(OR($A1419="",$C1419="U",$S1419&lt;&gt;Calc!$F$2),"",SUMIFS($N$3:$N$3002,$E$3:$E$3002,$E1419,$C$3:$C$3002,"&lt;&gt;U",$S$3:$S$3002,Calc!$F$2))</f>
        <v/>
      </c>
      <c r="Q1419" s="35" t="str">
        <f aca="false">IF(OR($A1419="",$C1419="U",$S1419&lt;&gt;Calc!$F$2),"",IF(COUNTIFS($E$3:$E1419,$E1419,$C$3:$C1419,"&lt;&gt;U",$S$3:$S1419,Calc!$F$2)=1,1,0))</f>
        <v/>
      </c>
      <c r="R1419" s="35" t="str">
        <f aca="false">IF($Q1419=1,$O1419-ROW()/100000,"")</f>
        <v/>
      </c>
      <c r="S1419" s="37" t="str">
        <f aca="false">IF($A1419="","",INT($A1419))</f>
        <v/>
      </c>
      <c r="T1419" s="35" t="str">
        <f aca="false">IF($A1419="","",IF(COUNTIFS($S$3:$S1419,$S1419)=1,1,0))</f>
        <v/>
      </c>
      <c r="U1419" s="37" t="str">
        <f aca="false">IF($T1419=1,$S1419,"")</f>
        <v/>
      </c>
    </row>
    <row r="1420" customFormat="false" ht="15" hidden="false" customHeight="false" outlineLevel="0" collapsed="false">
      <c r="M1420" s="35" t="str">
        <f aca="false">IF($A1420="","",HOUR($A1420))</f>
        <v/>
      </c>
      <c r="N1420" s="36" t="str">
        <f aca="false">IF($A1420="","",$I1420*$K1420)</f>
        <v/>
      </c>
      <c r="O1420" s="35" t="str">
        <f aca="false">IF(OR($A1420="",$C1420="U",$S1420&lt;&gt;Calc!$F$2),"",SUMIFS($I$3:$I$3002,$E$3:$E$3002,$E1420,$C$3:$C$3002,"&lt;&gt;U",$S$3:$S$3002,Calc!$F$2))</f>
        <v/>
      </c>
      <c r="P1420" s="35" t="str">
        <f aca="false">IF(OR($A1420="",$C1420="U",$S1420&lt;&gt;Calc!$F$2),"",SUMIFS($N$3:$N$3002,$E$3:$E$3002,$E1420,$C$3:$C$3002,"&lt;&gt;U",$S$3:$S$3002,Calc!$F$2))</f>
        <v/>
      </c>
      <c r="Q1420" s="35" t="str">
        <f aca="false">IF(OR($A1420="",$C1420="U",$S1420&lt;&gt;Calc!$F$2),"",IF(COUNTIFS($E$3:$E1420,$E1420,$C$3:$C1420,"&lt;&gt;U",$S$3:$S1420,Calc!$F$2)=1,1,0))</f>
        <v/>
      </c>
      <c r="R1420" s="35" t="str">
        <f aca="false">IF($Q1420=1,$O1420-ROW()/100000,"")</f>
        <v/>
      </c>
      <c r="S1420" s="37" t="str">
        <f aca="false">IF($A1420="","",INT($A1420))</f>
        <v/>
      </c>
      <c r="T1420" s="35" t="str">
        <f aca="false">IF($A1420="","",IF(COUNTIFS($S$3:$S1420,$S1420)=1,1,0))</f>
        <v/>
      </c>
      <c r="U1420" s="37" t="str">
        <f aca="false">IF($T1420=1,$S1420,"")</f>
        <v/>
      </c>
    </row>
    <row r="1421" customFormat="false" ht="15" hidden="false" customHeight="false" outlineLevel="0" collapsed="false">
      <c r="M1421" s="35" t="str">
        <f aca="false">IF($A1421="","",HOUR($A1421))</f>
        <v/>
      </c>
      <c r="N1421" s="36" t="str">
        <f aca="false">IF($A1421="","",$I1421*$K1421)</f>
        <v/>
      </c>
      <c r="O1421" s="35" t="str">
        <f aca="false">IF(OR($A1421="",$C1421="U",$S1421&lt;&gt;Calc!$F$2),"",SUMIFS($I$3:$I$3002,$E$3:$E$3002,$E1421,$C$3:$C$3002,"&lt;&gt;U",$S$3:$S$3002,Calc!$F$2))</f>
        <v/>
      </c>
      <c r="P1421" s="35" t="str">
        <f aca="false">IF(OR($A1421="",$C1421="U",$S1421&lt;&gt;Calc!$F$2),"",SUMIFS($N$3:$N$3002,$E$3:$E$3002,$E1421,$C$3:$C$3002,"&lt;&gt;U",$S$3:$S$3002,Calc!$F$2))</f>
        <v/>
      </c>
      <c r="Q1421" s="35" t="str">
        <f aca="false">IF(OR($A1421="",$C1421="U",$S1421&lt;&gt;Calc!$F$2),"",IF(COUNTIFS($E$3:$E1421,$E1421,$C$3:$C1421,"&lt;&gt;U",$S$3:$S1421,Calc!$F$2)=1,1,0))</f>
        <v/>
      </c>
      <c r="R1421" s="35" t="str">
        <f aca="false">IF($Q1421=1,$O1421-ROW()/100000,"")</f>
        <v/>
      </c>
      <c r="S1421" s="37" t="str">
        <f aca="false">IF($A1421="","",INT($A1421))</f>
        <v/>
      </c>
      <c r="T1421" s="35" t="str">
        <f aca="false">IF($A1421="","",IF(COUNTIFS($S$3:$S1421,$S1421)=1,1,0))</f>
        <v/>
      </c>
      <c r="U1421" s="37" t="str">
        <f aca="false">IF($T1421=1,$S1421,"")</f>
        <v/>
      </c>
    </row>
    <row r="1422" customFormat="false" ht="15" hidden="false" customHeight="false" outlineLevel="0" collapsed="false">
      <c r="M1422" s="35" t="str">
        <f aca="false">IF($A1422="","",HOUR($A1422))</f>
        <v/>
      </c>
      <c r="N1422" s="36" t="str">
        <f aca="false">IF($A1422="","",$I1422*$K1422)</f>
        <v/>
      </c>
      <c r="O1422" s="35" t="str">
        <f aca="false">IF(OR($A1422="",$C1422="U",$S1422&lt;&gt;Calc!$F$2),"",SUMIFS($I$3:$I$3002,$E$3:$E$3002,$E1422,$C$3:$C$3002,"&lt;&gt;U",$S$3:$S$3002,Calc!$F$2))</f>
        <v/>
      </c>
      <c r="P1422" s="35" t="str">
        <f aca="false">IF(OR($A1422="",$C1422="U",$S1422&lt;&gt;Calc!$F$2),"",SUMIFS($N$3:$N$3002,$E$3:$E$3002,$E1422,$C$3:$C$3002,"&lt;&gt;U",$S$3:$S$3002,Calc!$F$2))</f>
        <v/>
      </c>
      <c r="Q1422" s="35" t="str">
        <f aca="false">IF(OR($A1422="",$C1422="U",$S1422&lt;&gt;Calc!$F$2),"",IF(COUNTIFS($E$3:$E1422,$E1422,$C$3:$C1422,"&lt;&gt;U",$S$3:$S1422,Calc!$F$2)=1,1,0))</f>
        <v/>
      </c>
      <c r="R1422" s="35" t="str">
        <f aca="false">IF($Q1422=1,$O1422-ROW()/100000,"")</f>
        <v/>
      </c>
      <c r="S1422" s="37" t="str">
        <f aca="false">IF($A1422="","",INT($A1422))</f>
        <v/>
      </c>
      <c r="T1422" s="35" t="str">
        <f aca="false">IF($A1422="","",IF(COUNTIFS($S$3:$S1422,$S1422)=1,1,0))</f>
        <v/>
      </c>
      <c r="U1422" s="37" t="str">
        <f aca="false">IF($T1422=1,$S1422,"")</f>
        <v/>
      </c>
    </row>
    <row r="1423" customFormat="false" ht="15" hidden="false" customHeight="false" outlineLevel="0" collapsed="false">
      <c r="M1423" s="35" t="str">
        <f aca="false">IF($A1423="","",HOUR($A1423))</f>
        <v/>
      </c>
      <c r="N1423" s="36" t="str">
        <f aca="false">IF($A1423="","",$I1423*$K1423)</f>
        <v/>
      </c>
      <c r="O1423" s="35" t="str">
        <f aca="false">IF(OR($A1423="",$C1423="U",$S1423&lt;&gt;Calc!$F$2),"",SUMIFS($I$3:$I$3002,$E$3:$E$3002,$E1423,$C$3:$C$3002,"&lt;&gt;U",$S$3:$S$3002,Calc!$F$2))</f>
        <v/>
      </c>
      <c r="P1423" s="35" t="str">
        <f aca="false">IF(OR($A1423="",$C1423="U",$S1423&lt;&gt;Calc!$F$2),"",SUMIFS($N$3:$N$3002,$E$3:$E$3002,$E1423,$C$3:$C$3002,"&lt;&gt;U",$S$3:$S$3002,Calc!$F$2))</f>
        <v/>
      </c>
      <c r="Q1423" s="35" t="str">
        <f aca="false">IF(OR($A1423="",$C1423="U",$S1423&lt;&gt;Calc!$F$2),"",IF(COUNTIFS($E$3:$E1423,$E1423,$C$3:$C1423,"&lt;&gt;U",$S$3:$S1423,Calc!$F$2)=1,1,0))</f>
        <v/>
      </c>
      <c r="R1423" s="35" t="str">
        <f aca="false">IF($Q1423=1,$O1423-ROW()/100000,"")</f>
        <v/>
      </c>
      <c r="S1423" s="37" t="str">
        <f aca="false">IF($A1423="","",INT($A1423))</f>
        <v/>
      </c>
      <c r="T1423" s="35" t="str">
        <f aca="false">IF($A1423="","",IF(COUNTIFS($S$3:$S1423,$S1423)=1,1,0))</f>
        <v/>
      </c>
      <c r="U1423" s="37" t="str">
        <f aca="false">IF($T1423=1,$S1423,"")</f>
        <v/>
      </c>
    </row>
    <row r="1424" customFormat="false" ht="15" hidden="false" customHeight="false" outlineLevel="0" collapsed="false">
      <c r="M1424" s="35" t="str">
        <f aca="false">IF($A1424="","",HOUR($A1424))</f>
        <v/>
      </c>
      <c r="N1424" s="36" t="str">
        <f aca="false">IF($A1424="","",$I1424*$K1424)</f>
        <v/>
      </c>
      <c r="O1424" s="35" t="str">
        <f aca="false">IF(OR($A1424="",$C1424="U",$S1424&lt;&gt;Calc!$F$2),"",SUMIFS($I$3:$I$3002,$E$3:$E$3002,$E1424,$C$3:$C$3002,"&lt;&gt;U",$S$3:$S$3002,Calc!$F$2))</f>
        <v/>
      </c>
      <c r="P1424" s="35" t="str">
        <f aca="false">IF(OR($A1424="",$C1424="U",$S1424&lt;&gt;Calc!$F$2),"",SUMIFS($N$3:$N$3002,$E$3:$E$3002,$E1424,$C$3:$C$3002,"&lt;&gt;U",$S$3:$S$3002,Calc!$F$2))</f>
        <v/>
      </c>
      <c r="Q1424" s="35" t="str">
        <f aca="false">IF(OR($A1424="",$C1424="U",$S1424&lt;&gt;Calc!$F$2),"",IF(COUNTIFS($E$3:$E1424,$E1424,$C$3:$C1424,"&lt;&gt;U",$S$3:$S1424,Calc!$F$2)=1,1,0))</f>
        <v/>
      </c>
      <c r="R1424" s="35" t="str">
        <f aca="false">IF($Q1424=1,$O1424-ROW()/100000,"")</f>
        <v/>
      </c>
      <c r="S1424" s="37" t="str">
        <f aca="false">IF($A1424="","",INT($A1424))</f>
        <v/>
      </c>
      <c r="T1424" s="35" t="str">
        <f aca="false">IF($A1424="","",IF(COUNTIFS($S$3:$S1424,$S1424)=1,1,0))</f>
        <v/>
      </c>
      <c r="U1424" s="37" t="str">
        <f aca="false">IF($T1424=1,$S1424,"")</f>
        <v/>
      </c>
    </row>
    <row r="1425" customFormat="false" ht="15" hidden="false" customHeight="false" outlineLevel="0" collapsed="false">
      <c r="M1425" s="35" t="str">
        <f aca="false">IF($A1425="","",HOUR($A1425))</f>
        <v/>
      </c>
      <c r="N1425" s="36" t="str">
        <f aca="false">IF($A1425="","",$I1425*$K1425)</f>
        <v/>
      </c>
      <c r="O1425" s="35" t="str">
        <f aca="false">IF(OR($A1425="",$C1425="U",$S1425&lt;&gt;Calc!$F$2),"",SUMIFS($I$3:$I$3002,$E$3:$E$3002,$E1425,$C$3:$C$3002,"&lt;&gt;U",$S$3:$S$3002,Calc!$F$2))</f>
        <v/>
      </c>
      <c r="P1425" s="35" t="str">
        <f aca="false">IF(OR($A1425="",$C1425="U",$S1425&lt;&gt;Calc!$F$2),"",SUMIFS($N$3:$N$3002,$E$3:$E$3002,$E1425,$C$3:$C$3002,"&lt;&gt;U",$S$3:$S$3002,Calc!$F$2))</f>
        <v/>
      </c>
      <c r="Q1425" s="35" t="str">
        <f aca="false">IF(OR($A1425="",$C1425="U",$S1425&lt;&gt;Calc!$F$2),"",IF(COUNTIFS($E$3:$E1425,$E1425,$C$3:$C1425,"&lt;&gt;U",$S$3:$S1425,Calc!$F$2)=1,1,0))</f>
        <v/>
      </c>
      <c r="R1425" s="35" t="str">
        <f aca="false">IF($Q1425=1,$O1425-ROW()/100000,"")</f>
        <v/>
      </c>
      <c r="S1425" s="37" t="str">
        <f aca="false">IF($A1425="","",INT($A1425))</f>
        <v/>
      </c>
      <c r="T1425" s="35" t="str">
        <f aca="false">IF($A1425="","",IF(COUNTIFS($S$3:$S1425,$S1425)=1,1,0))</f>
        <v/>
      </c>
      <c r="U1425" s="37" t="str">
        <f aca="false">IF($T1425=1,$S1425,"")</f>
        <v/>
      </c>
    </row>
    <row r="1426" customFormat="false" ht="15" hidden="false" customHeight="false" outlineLevel="0" collapsed="false">
      <c r="M1426" s="35" t="str">
        <f aca="false">IF($A1426="","",HOUR($A1426))</f>
        <v/>
      </c>
      <c r="N1426" s="36" t="str">
        <f aca="false">IF($A1426="","",$I1426*$K1426)</f>
        <v/>
      </c>
      <c r="O1426" s="35" t="str">
        <f aca="false">IF(OR($A1426="",$C1426="U",$S1426&lt;&gt;Calc!$F$2),"",SUMIFS($I$3:$I$3002,$E$3:$E$3002,$E1426,$C$3:$C$3002,"&lt;&gt;U",$S$3:$S$3002,Calc!$F$2))</f>
        <v/>
      </c>
      <c r="P1426" s="35" t="str">
        <f aca="false">IF(OR($A1426="",$C1426="U",$S1426&lt;&gt;Calc!$F$2),"",SUMIFS($N$3:$N$3002,$E$3:$E$3002,$E1426,$C$3:$C$3002,"&lt;&gt;U",$S$3:$S$3002,Calc!$F$2))</f>
        <v/>
      </c>
      <c r="Q1426" s="35" t="str">
        <f aca="false">IF(OR($A1426="",$C1426="U",$S1426&lt;&gt;Calc!$F$2),"",IF(COUNTIFS($E$3:$E1426,$E1426,$C$3:$C1426,"&lt;&gt;U",$S$3:$S1426,Calc!$F$2)=1,1,0))</f>
        <v/>
      </c>
      <c r="R1426" s="35" t="str">
        <f aca="false">IF($Q1426=1,$O1426-ROW()/100000,"")</f>
        <v/>
      </c>
      <c r="S1426" s="37" t="str">
        <f aca="false">IF($A1426="","",INT($A1426))</f>
        <v/>
      </c>
      <c r="T1426" s="35" t="str">
        <f aca="false">IF($A1426="","",IF(COUNTIFS($S$3:$S1426,$S1426)=1,1,0))</f>
        <v/>
      </c>
      <c r="U1426" s="37" t="str">
        <f aca="false">IF($T1426=1,$S1426,"")</f>
        <v/>
      </c>
    </row>
    <row r="1427" customFormat="false" ht="15" hidden="false" customHeight="false" outlineLevel="0" collapsed="false">
      <c r="M1427" s="35" t="str">
        <f aca="false">IF($A1427="","",HOUR($A1427))</f>
        <v/>
      </c>
      <c r="N1427" s="36" t="str">
        <f aca="false">IF($A1427="","",$I1427*$K1427)</f>
        <v/>
      </c>
      <c r="O1427" s="35" t="str">
        <f aca="false">IF(OR($A1427="",$C1427="U",$S1427&lt;&gt;Calc!$F$2),"",SUMIFS($I$3:$I$3002,$E$3:$E$3002,$E1427,$C$3:$C$3002,"&lt;&gt;U",$S$3:$S$3002,Calc!$F$2))</f>
        <v/>
      </c>
      <c r="P1427" s="35" t="str">
        <f aca="false">IF(OR($A1427="",$C1427="U",$S1427&lt;&gt;Calc!$F$2),"",SUMIFS($N$3:$N$3002,$E$3:$E$3002,$E1427,$C$3:$C$3002,"&lt;&gt;U",$S$3:$S$3002,Calc!$F$2))</f>
        <v/>
      </c>
      <c r="Q1427" s="35" t="str">
        <f aca="false">IF(OR($A1427="",$C1427="U",$S1427&lt;&gt;Calc!$F$2),"",IF(COUNTIFS($E$3:$E1427,$E1427,$C$3:$C1427,"&lt;&gt;U",$S$3:$S1427,Calc!$F$2)=1,1,0))</f>
        <v/>
      </c>
      <c r="R1427" s="35" t="str">
        <f aca="false">IF($Q1427=1,$O1427-ROW()/100000,"")</f>
        <v/>
      </c>
      <c r="S1427" s="37" t="str">
        <f aca="false">IF($A1427="","",INT($A1427))</f>
        <v/>
      </c>
      <c r="T1427" s="35" t="str">
        <f aca="false">IF($A1427="","",IF(COUNTIFS($S$3:$S1427,$S1427)=1,1,0))</f>
        <v/>
      </c>
      <c r="U1427" s="37" t="str">
        <f aca="false">IF($T1427=1,$S1427,"")</f>
        <v/>
      </c>
    </row>
    <row r="1428" customFormat="false" ht="15" hidden="false" customHeight="false" outlineLevel="0" collapsed="false">
      <c r="M1428" s="35" t="str">
        <f aca="false">IF($A1428="","",HOUR($A1428))</f>
        <v/>
      </c>
      <c r="N1428" s="36" t="str">
        <f aca="false">IF($A1428="","",$I1428*$K1428)</f>
        <v/>
      </c>
      <c r="O1428" s="35" t="str">
        <f aca="false">IF(OR($A1428="",$C1428="U",$S1428&lt;&gt;Calc!$F$2),"",SUMIFS($I$3:$I$3002,$E$3:$E$3002,$E1428,$C$3:$C$3002,"&lt;&gt;U",$S$3:$S$3002,Calc!$F$2))</f>
        <v/>
      </c>
      <c r="P1428" s="35" t="str">
        <f aca="false">IF(OR($A1428="",$C1428="U",$S1428&lt;&gt;Calc!$F$2),"",SUMIFS($N$3:$N$3002,$E$3:$E$3002,$E1428,$C$3:$C$3002,"&lt;&gt;U",$S$3:$S$3002,Calc!$F$2))</f>
        <v/>
      </c>
      <c r="Q1428" s="35" t="str">
        <f aca="false">IF(OR($A1428="",$C1428="U",$S1428&lt;&gt;Calc!$F$2),"",IF(COUNTIFS($E$3:$E1428,$E1428,$C$3:$C1428,"&lt;&gt;U",$S$3:$S1428,Calc!$F$2)=1,1,0))</f>
        <v/>
      </c>
      <c r="R1428" s="35" t="str">
        <f aca="false">IF($Q1428=1,$O1428-ROW()/100000,"")</f>
        <v/>
      </c>
      <c r="S1428" s="37" t="str">
        <f aca="false">IF($A1428="","",INT($A1428))</f>
        <v/>
      </c>
      <c r="T1428" s="35" t="str">
        <f aca="false">IF($A1428="","",IF(COUNTIFS($S$3:$S1428,$S1428)=1,1,0))</f>
        <v/>
      </c>
      <c r="U1428" s="37" t="str">
        <f aca="false">IF($T1428=1,$S1428,"")</f>
        <v/>
      </c>
    </row>
    <row r="1429" customFormat="false" ht="15" hidden="false" customHeight="false" outlineLevel="0" collapsed="false">
      <c r="M1429" s="35" t="str">
        <f aca="false">IF($A1429="","",HOUR($A1429))</f>
        <v/>
      </c>
      <c r="N1429" s="36" t="str">
        <f aca="false">IF($A1429="","",$I1429*$K1429)</f>
        <v/>
      </c>
      <c r="O1429" s="35" t="str">
        <f aca="false">IF(OR($A1429="",$C1429="U",$S1429&lt;&gt;Calc!$F$2),"",SUMIFS($I$3:$I$3002,$E$3:$E$3002,$E1429,$C$3:$C$3002,"&lt;&gt;U",$S$3:$S$3002,Calc!$F$2))</f>
        <v/>
      </c>
      <c r="P1429" s="35" t="str">
        <f aca="false">IF(OR($A1429="",$C1429="U",$S1429&lt;&gt;Calc!$F$2),"",SUMIFS($N$3:$N$3002,$E$3:$E$3002,$E1429,$C$3:$C$3002,"&lt;&gt;U",$S$3:$S$3002,Calc!$F$2))</f>
        <v/>
      </c>
      <c r="Q1429" s="35" t="str">
        <f aca="false">IF(OR($A1429="",$C1429="U",$S1429&lt;&gt;Calc!$F$2),"",IF(COUNTIFS($E$3:$E1429,$E1429,$C$3:$C1429,"&lt;&gt;U",$S$3:$S1429,Calc!$F$2)=1,1,0))</f>
        <v/>
      </c>
      <c r="R1429" s="35" t="str">
        <f aca="false">IF($Q1429=1,$O1429-ROW()/100000,"")</f>
        <v/>
      </c>
      <c r="S1429" s="37" t="str">
        <f aca="false">IF($A1429="","",INT($A1429))</f>
        <v/>
      </c>
      <c r="T1429" s="35" t="str">
        <f aca="false">IF($A1429="","",IF(COUNTIFS($S$3:$S1429,$S1429)=1,1,0))</f>
        <v/>
      </c>
      <c r="U1429" s="37" t="str">
        <f aca="false">IF($T1429=1,$S1429,"")</f>
        <v/>
      </c>
    </row>
    <row r="1430" customFormat="false" ht="15" hidden="false" customHeight="false" outlineLevel="0" collapsed="false">
      <c r="M1430" s="35" t="str">
        <f aca="false">IF($A1430="","",HOUR($A1430))</f>
        <v/>
      </c>
      <c r="N1430" s="36" t="str">
        <f aca="false">IF($A1430="","",$I1430*$K1430)</f>
        <v/>
      </c>
      <c r="O1430" s="35" t="str">
        <f aca="false">IF(OR($A1430="",$C1430="U",$S1430&lt;&gt;Calc!$F$2),"",SUMIFS($I$3:$I$3002,$E$3:$E$3002,$E1430,$C$3:$C$3002,"&lt;&gt;U",$S$3:$S$3002,Calc!$F$2))</f>
        <v/>
      </c>
      <c r="P1430" s="35" t="str">
        <f aca="false">IF(OR($A1430="",$C1430="U",$S1430&lt;&gt;Calc!$F$2),"",SUMIFS($N$3:$N$3002,$E$3:$E$3002,$E1430,$C$3:$C$3002,"&lt;&gt;U",$S$3:$S$3002,Calc!$F$2))</f>
        <v/>
      </c>
      <c r="Q1430" s="35" t="str">
        <f aca="false">IF(OR($A1430="",$C1430="U",$S1430&lt;&gt;Calc!$F$2),"",IF(COUNTIFS($E$3:$E1430,$E1430,$C$3:$C1430,"&lt;&gt;U",$S$3:$S1430,Calc!$F$2)=1,1,0))</f>
        <v/>
      </c>
      <c r="R1430" s="35" t="str">
        <f aca="false">IF($Q1430=1,$O1430-ROW()/100000,"")</f>
        <v/>
      </c>
      <c r="S1430" s="37" t="str">
        <f aca="false">IF($A1430="","",INT($A1430))</f>
        <v/>
      </c>
      <c r="T1430" s="35" t="str">
        <f aca="false">IF($A1430="","",IF(COUNTIFS($S$3:$S1430,$S1430)=1,1,0))</f>
        <v/>
      </c>
      <c r="U1430" s="37" t="str">
        <f aca="false">IF($T1430=1,$S1430,"")</f>
        <v/>
      </c>
    </row>
    <row r="1431" customFormat="false" ht="15" hidden="false" customHeight="false" outlineLevel="0" collapsed="false">
      <c r="M1431" s="35" t="str">
        <f aca="false">IF($A1431="","",HOUR($A1431))</f>
        <v/>
      </c>
      <c r="N1431" s="36" t="str">
        <f aca="false">IF($A1431="","",$I1431*$K1431)</f>
        <v/>
      </c>
      <c r="O1431" s="35" t="str">
        <f aca="false">IF(OR($A1431="",$C1431="U",$S1431&lt;&gt;Calc!$F$2),"",SUMIFS($I$3:$I$3002,$E$3:$E$3002,$E1431,$C$3:$C$3002,"&lt;&gt;U",$S$3:$S$3002,Calc!$F$2))</f>
        <v/>
      </c>
      <c r="P1431" s="35" t="str">
        <f aca="false">IF(OR($A1431="",$C1431="U",$S1431&lt;&gt;Calc!$F$2),"",SUMIFS($N$3:$N$3002,$E$3:$E$3002,$E1431,$C$3:$C$3002,"&lt;&gt;U",$S$3:$S$3002,Calc!$F$2))</f>
        <v/>
      </c>
      <c r="Q1431" s="35" t="str">
        <f aca="false">IF(OR($A1431="",$C1431="U",$S1431&lt;&gt;Calc!$F$2),"",IF(COUNTIFS($E$3:$E1431,$E1431,$C$3:$C1431,"&lt;&gt;U",$S$3:$S1431,Calc!$F$2)=1,1,0))</f>
        <v/>
      </c>
      <c r="R1431" s="35" t="str">
        <f aca="false">IF($Q1431=1,$O1431-ROW()/100000,"")</f>
        <v/>
      </c>
      <c r="S1431" s="37" t="str">
        <f aca="false">IF($A1431="","",INT($A1431))</f>
        <v/>
      </c>
      <c r="T1431" s="35" t="str">
        <f aca="false">IF($A1431="","",IF(COUNTIFS($S$3:$S1431,$S1431)=1,1,0))</f>
        <v/>
      </c>
      <c r="U1431" s="37" t="str">
        <f aca="false">IF($T1431=1,$S1431,"")</f>
        <v/>
      </c>
    </row>
    <row r="1432" customFormat="false" ht="15" hidden="false" customHeight="false" outlineLevel="0" collapsed="false">
      <c r="M1432" s="35" t="str">
        <f aca="false">IF($A1432="","",HOUR($A1432))</f>
        <v/>
      </c>
      <c r="N1432" s="36" t="str">
        <f aca="false">IF($A1432="","",$I1432*$K1432)</f>
        <v/>
      </c>
      <c r="O1432" s="35" t="str">
        <f aca="false">IF(OR($A1432="",$C1432="U",$S1432&lt;&gt;Calc!$F$2),"",SUMIFS($I$3:$I$3002,$E$3:$E$3002,$E1432,$C$3:$C$3002,"&lt;&gt;U",$S$3:$S$3002,Calc!$F$2))</f>
        <v/>
      </c>
      <c r="P1432" s="35" t="str">
        <f aca="false">IF(OR($A1432="",$C1432="U",$S1432&lt;&gt;Calc!$F$2),"",SUMIFS($N$3:$N$3002,$E$3:$E$3002,$E1432,$C$3:$C$3002,"&lt;&gt;U",$S$3:$S$3002,Calc!$F$2))</f>
        <v/>
      </c>
      <c r="Q1432" s="35" t="str">
        <f aca="false">IF(OR($A1432="",$C1432="U",$S1432&lt;&gt;Calc!$F$2),"",IF(COUNTIFS($E$3:$E1432,$E1432,$C$3:$C1432,"&lt;&gt;U",$S$3:$S1432,Calc!$F$2)=1,1,0))</f>
        <v/>
      </c>
      <c r="R1432" s="35" t="str">
        <f aca="false">IF($Q1432=1,$O1432-ROW()/100000,"")</f>
        <v/>
      </c>
      <c r="S1432" s="37" t="str">
        <f aca="false">IF($A1432="","",INT($A1432))</f>
        <v/>
      </c>
      <c r="T1432" s="35" t="str">
        <f aca="false">IF($A1432="","",IF(COUNTIFS($S$3:$S1432,$S1432)=1,1,0))</f>
        <v/>
      </c>
      <c r="U1432" s="37" t="str">
        <f aca="false">IF($T1432=1,$S1432,"")</f>
        <v/>
      </c>
    </row>
    <row r="1433" customFormat="false" ht="15" hidden="false" customHeight="false" outlineLevel="0" collapsed="false">
      <c r="M1433" s="35" t="str">
        <f aca="false">IF($A1433="","",HOUR($A1433))</f>
        <v/>
      </c>
      <c r="N1433" s="36" t="str">
        <f aca="false">IF($A1433="","",$I1433*$K1433)</f>
        <v/>
      </c>
      <c r="O1433" s="35" t="str">
        <f aca="false">IF(OR($A1433="",$C1433="U",$S1433&lt;&gt;Calc!$F$2),"",SUMIFS($I$3:$I$3002,$E$3:$E$3002,$E1433,$C$3:$C$3002,"&lt;&gt;U",$S$3:$S$3002,Calc!$F$2))</f>
        <v/>
      </c>
      <c r="P1433" s="35" t="str">
        <f aca="false">IF(OR($A1433="",$C1433="U",$S1433&lt;&gt;Calc!$F$2),"",SUMIFS($N$3:$N$3002,$E$3:$E$3002,$E1433,$C$3:$C$3002,"&lt;&gt;U",$S$3:$S$3002,Calc!$F$2))</f>
        <v/>
      </c>
      <c r="Q1433" s="35" t="str">
        <f aca="false">IF(OR($A1433="",$C1433="U",$S1433&lt;&gt;Calc!$F$2),"",IF(COUNTIFS($E$3:$E1433,$E1433,$C$3:$C1433,"&lt;&gt;U",$S$3:$S1433,Calc!$F$2)=1,1,0))</f>
        <v/>
      </c>
      <c r="R1433" s="35" t="str">
        <f aca="false">IF($Q1433=1,$O1433-ROW()/100000,"")</f>
        <v/>
      </c>
      <c r="S1433" s="37" t="str">
        <f aca="false">IF($A1433="","",INT($A1433))</f>
        <v/>
      </c>
      <c r="T1433" s="35" t="str">
        <f aca="false">IF($A1433="","",IF(COUNTIFS($S$3:$S1433,$S1433)=1,1,0))</f>
        <v/>
      </c>
      <c r="U1433" s="37" t="str">
        <f aca="false">IF($T1433=1,$S1433,"")</f>
        <v/>
      </c>
    </row>
    <row r="1434" customFormat="false" ht="15" hidden="false" customHeight="false" outlineLevel="0" collapsed="false">
      <c r="M1434" s="35" t="str">
        <f aca="false">IF($A1434="","",HOUR($A1434))</f>
        <v/>
      </c>
      <c r="N1434" s="36" t="str">
        <f aca="false">IF($A1434="","",$I1434*$K1434)</f>
        <v/>
      </c>
      <c r="O1434" s="35" t="str">
        <f aca="false">IF(OR($A1434="",$C1434="U",$S1434&lt;&gt;Calc!$F$2),"",SUMIFS($I$3:$I$3002,$E$3:$E$3002,$E1434,$C$3:$C$3002,"&lt;&gt;U",$S$3:$S$3002,Calc!$F$2))</f>
        <v/>
      </c>
      <c r="P1434" s="35" t="str">
        <f aca="false">IF(OR($A1434="",$C1434="U",$S1434&lt;&gt;Calc!$F$2),"",SUMIFS($N$3:$N$3002,$E$3:$E$3002,$E1434,$C$3:$C$3002,"&lt;&gt;U",$S$3:$S$3002,Calc!$F$2))</f>
        <v/>
      </c>
      <c r="Q1434" s="35" t="str">
        <f aca="false">IF(OR($A1434="",$C1434="U",$S1434&lt;&gt;Calc!$F$2),"",IF(COUNTIFS($E$3:$E1434,$E1434,$C$3:$C1434,"&lt;&gt;U",$S$3:$S1434,Calc!$F$2)=1,1,0))</f>
        <v/>
      </c>
      <c r="R1434" s="35" t="str">
        <f aca="false">IF($Q1434=1,$O1434-ROW()/100000,"")</f>
        <v/>
      </c>
      <c r="S1434" s="37" t="str">
        <f aca="false">IF($A1434="","",INT($A1434))</f>
        <v/>
      </c>
      <c r="T1434" s="35" t="str">
        <f aca="false">IF($A1434="","",IF(COUNTIFS($S$3:$S1434,$S1434)=1,1,0))</f>
        <v/>
      </c>
      <c r="U1434" s="37" t="str">
        <f aca="false">IF($T1434=1,$S1434,"")</f>
        <v/>
      </c>
    </row>
    <row r="1435" customFormat="false" ht="15" hidden="false" customHeight="false" outlineLevel="0" collapsed="false">
      <c r="M1435" s="35" t="str">
        <f aca="false">IF($A1435="","",HOUR($A1435))</f>
        <v/>
      </c>
      <c r="N1435" s="36" t="str">
        <f aca="false">IF($A1435="","",$I1435*$K1435)</f>
        <v/>
      </c>
      <c r="O1435" s="35" t="str">
        <f aca="false">IF(OR($A1435="",$C1435="U",$S1435&lt;&gt;Calc!$F$2),"",SUMIFS($I$3:$I$3002,$E$3:$E$3002,$E1435,$C$3:$C$3002,"&lt;&gt;U",$S$3:$S$3002,Calc!$F$2))</f>
        <v/>
      </c>
      <c r="P1435" s="35" t="str">
        <f aca="false">IF(OR($A1435="",$C1435="U",$S1435&lt;&gt;Calc!$F$2),"",SUMIFS($N$3:$N$3002,$E$3:$E$3002,$E1435,$C$3:$C$3002,"&lt;&gt;U",$S$3:$S$3002,Calc!$F$2))</f>
        <v/>
      </c>
      <c r="Q1435" s="35" t="str">
        <f aca="false">IF(OR($A1435="",$C1435="U",$S1435&lt;&gt;Calc!$F$2),"",IF(COUNTIFS($E$3:$E1435,$E1435,$C$3:$C1435,"&lt;&gt;U",$S$3:$S1435,Calc!$F$2)=1,1,0))</f>
        <v/>
      </c>
      <c r="R1435" s="35" t="str">
        <f aca="false">IF($Q1435=1,$O1435-ROW()/100000,"")</f>
        <v/>
      </c>
      <c r="S1435" s="37" t="str">
        <f aca="false">IF($A1435="","",INT($A1435))</f>
        <v/>
      </c>
      <c r="T1435" s="35" t="str">
        <f aca="false">IF($A1435="","",IF(COUNTIFS($S$3:$S1435,$S1435)=1,1,0))</f>
        <v/>
      </c>
      <c r="U1435" s="37" t="str">
        <f aca="false">IF($T1435=1,$S1435,"")</f>
        <v/>
      </c>
    </row>
    <row r="1436" customFormat="false" ht="15" hidden="false" customHeight="false" outlineLevel="0" collapsed="false">
      <c r="M1436" s="35" t="str">
        <f aca="false">IF($A1436="","",HOUR($A1436))</f>
        <v/>
      </c>
      <c r="N1436" s="36" t="str">
        <f aca="false">IF($A1436="","",$I1436*$K1436)</f>
        <v/>
      </c>
      <c r="O1436" s="35" t="str">
        <f aca="false">IF(OR($A1436="",$C1436="U",$S1436&lt;&gt;Calc!$F$2),"",SUMIFS($I$3:$I$3002,$E$3:$E$3002,$E1436,$C$3:$C$3002,"&lt;&gt;U",$S$3:$S$3002,Calc!$F$2))</f>
        <v/>
      </c>
      <c r="P1436" s="35" t="str">
        <f aca="false">IF(OR($A1436="",$C1436="U",$S1436&lt;&gt;Calc!$F$2),"",SUMIFS($N$3:$N$3002,$E$3:$E$3002,$E1436,$C$3:$C$3002,"&lt;&gt;U",$S$3:$S$3002,Calc!$F$2))</f>
        <v/>
      </c>
      <c r="Q1436" s="35" t="str">
        <f aca="false">IF(OR($A1436="",$C1436="U",$S1436&lt;&gt;Calc!$F$2),"",IF(COUNTIFS($E$3:$E1436,$E1436,$C$3:$C1436,"&lt;&gt;U",$S$3:$S1436,Calc!$F$2)=1,1,0))</f>
        <v/>
      </c>
      <c r="R1436" s="35" t="str">
        <f aca="false">IF($Q1436=1,$O1436-ROW()/100000,"")</f>
        <v/>
      </c>
      <c r="S1436" s="37" t="str">
        <f aca="false">IF($A1436="","",INT($A1436))</f>
        <v/>
      </c>
      <c r="T1436" s="35" t="str">
        <f aca="false">IF($A1436="","",IF(COUNTIFS($S$3:$S1436,$S1436)=1,1,0))</f>
        <v/>
      </c>
      <c r="U1436" s="37" t="str">
        <f aca="false">IF($T1436=1,$S1436,"")</f>
        <v/>
      </c>
    </row>
    <row r="1437" customFormat="false" ht="15" hidden="false" customHeight="false" outlineLevel="0" collapsed="false">
      <c r="M1437" s="35" t="str">
        <f aca="false">IF($A1437="","",HOUR($A1437))</f>
        <v/>
      </c>
      <c r="N1437" s="36" t="str">
        <f aca="false">IF($A1437="","",$I1437*$K1437)</f>
        <v/>
      </c>
      <c r="O1437" s="35" t="str">
        <f aca="false">IF(OR($A1437="",$C1437="U",$S1437&lt;&gt;Calc!$F$2),"",SUMIFS($I$3:$I$3002,$E$3:$E$3002,$E1437,$C$3:$C$3002,"&lt;&gt;U",$S$3:$S$3002,Calc!$F$2))</f>
        <v/>
      </c>
      <c r="P1437" s="35" t="str">
        <f aca="false">IF(OR($A1437="",$C1437="U",$S1437&lt;&gt;Calc!$F$2),"",SUMIFS($N$3:$N$3002,$E$3:$E$3002,$E1437,$C$3:$C$3002,"&lt;&gt;U",$S$3:$S$3002,Calc!$F$2))</f>
        <v/>
      </c>
      <c r="Q1437" s="35" t="str">
        <f aca="false">IF(OR($A1437="",$C1437="U",$S1437&lt;&gt;Calc!$F$2),"",IF(COUNTIFS($E$3:$E1437,$E1437,$C$3:$C1437,"&lt;&gt;U",$S$3:$S1437,Calc!$F$2)=1,1,0))</f>
        <v/>
      </c>
      <c r="R1437" s="35" t="str">
        <f aca="false">IF($Q1437=1,$O1437-ROW()/100000,"")</f>
        <v/>
      </c>
      <c r="S1437" s="37" t="str">
        <f aca="false">IF($A1437="","",INT($A1437))</f>
        <v/>
      </c>
      <c r="T1437" s="35" t="str">
        <f aca="false">IF($A1437="","",IF(COUNTIFS($S$3:$S1437,$S1437)=1,1,0))</f>
        <v/>
      </c>
      <c r="U1437" s="37" t="str">
        <f aca="false">IF($T1437=1,$S1437,"")</f>
        <v/>
      </c>
    </row>
    <row r="1438" customFormat="false" ht="15" hidden="false" customHeight="false" outlineLevel="0" collapsed="false">
      <c r="M1438" s="35" t="str">
        <f aca="false">IF($A1438="","",HOUR($A1438))</f>
        <v/>
      </c>
      <c r="N1438" s="36" t="str">
        <f aca="false">IF($A1438="","",$I1438*$K1438)</f>
        <v/>
      </c>
      <c r="O1438" s="35" t="str">
        <f aca="false">IF(OR($A1438="",$C1438="U",$S1438&lt;&gt;Calc!$F$2),"",SUMIFS($I$3:$I$3002,$E$3:$E$3002,$E1438,$C$3:$C$3002,"&lt;&gt;U",$S$3:$S$3002,Calc!$F$2))</f>
        <v/>
      </c>
      <c r="P1438" s="35" t="str">
        <f aca="false">IF(OR($A1438="",$C1438="U",$S1438&lt;&gt;Calc!$F$2),"",SUMIFS($N$3:$N$3002,$E$3:$E$3002,$E1438,$C$3:$C$3002,"&lt;&gt;U",$S$3:$S$3002,Calc!$F$2))</f>
        <v/>
      </c>
      <c r="Q1438" s="35" t="str">
        <f aca="false">IF(OR($A1438="",$C1438="U",$S1438&lt;&gt;Calc!$F$2),"",IF(COUNTIFS($E$3:$E1438,$E1438,$C$3:$C1438,"&lt;&gt;U",$S$3:$S1438,Calc!$F$2)=1,1,0))</f>
        <v/>
      </c>
      <c r="R1438" s="35" t="str">
        <f aca="false">IF($Q1438=1,$O1438-ROW()/100000,"")</f>
        <v/>
      </c>
      <c r="S1438" s="37" t="str">
        <f aca="false">IF($A1438="","",INT($A1438))</f>
        <v/>
      </c>
      <c r="T1438" s="35" t="str">
        <f aca="false">IF($A1438="","",IF(COUNTIFS($S$3:$S1438,$S1438)=1,1,0))</f>
        <v/>
      </c>
      <c r="U1438" s="37" t="str">
        <f aca="false">IF($T1438=1,$S1438,"")</f>
        <v/>
      </c>
    </row>
    <row r="1439" customFormat="false" ht="15" hidden="false" customHeight="false" outlineLevel="0" collapsed="false">
      <c r="M1439" s="35" t="str">
        <f aca="false">IF($A1439="","",HOUR($A1439))</f>
        <v/>
      </c>
      <c r="N1439" s="36" t="str">
        <f aca="false">IF($A1439="","",$I1439*$K1439)</f>
        <v/>
      </c>
      <c r="O1439" s="35" t="str">
        <f aca="false">IF(OR($A1439="",$C1439="U",$S1439&lt;&gt;Calc!$F$2),"",SUMIFS($I$3:$I$3002,$E$3:$E$3002,$E1439,$C$3:$C$3002,"&lt;&gt;U",$S$3:$S$3002,Calc!$F$2))</f>
        <v/>
      </c>
      <c r="P1439" s="35" t="str">
        <f aca="false">IF(OR($A1439="",$C1439="U",$S1439&lt;&gt;Calc!$F$2),"",SUMIFS($N$3:$N$3002,$E$3:$E$3002,$E1439,$C$3:$C$3002,"&lt;&gt;U",$S$3:$S$3002,Calc!$F$2))</f>
        <v/>
      </c>
      <c r="Q1439" s="35" t="str">
        <f aca="false">IF(OR($A1439="",$C1439="U",$S1439&lt;&gt;Calc!$F$2),"",IF(COUNTIFS($E$3:$E1439,$E1439,$C$3:$C1439,"&lt;&gt;U",$S$3:$S1439,Calc!$F$2)=1,1,0))</f>
        <v/>
      </c>
      <c r="R1439" s="35" t="str">
        <f aca="false">IF($Q1439=1,$O1439-ROW()/100000,"")</f>
        <v/>
      </c>
      <c r="S1439" s="37" t="str">
        <f aca="false">IF($A1439="","",INT($A1439))</f>
        <v/>
      </c>
      <c r="T1439" s="35" t="str">
        <f aca="false">IF($A1439="","",IF(COUNTIFS($S$3:$S1439,$S1439)=1,1,0))</f>
        <v/>
      </c>
      <c r="U1439" s="37" t="str">
        <f aca="false">IF($T1439=1,$S1439,"")</f>
        <v/>
      </c>
    </row>
    <row r="1440" customFormat="false" ht="15" hidden="false" customHeight="false" outlineLevel="0" collapsed="false">
      <c r="M1440" s="35" t="str">
        <f aca="false">IF($A1440="","",HOUR($A1440))</f>
        <v/>
      </c>
      <c r="N1440" s="36" t="str">
        <f aca="false">IF($A1440="","",$I1440*$K1440)</f>
        <v/>
      </c>
      <c r="O1440" s="35" t="str">
        <f aca="false">IF(OR($A1440="",$C1440="U",$S1440&lt;&gt;Calc!$F$2),"",SUMIFS($I$3:$I$3002,$E$3:$E$3002,$E1440,$C$3:$C$3002,"&lt;&gt;U",$S$3:$S$3002,Calc!$F$2))</f>
        <v/>
      </c>
      <c r="P1440" s="35" t="str">
        <f aca="false">IF(OR($A1440="",$C1440="U",$S1440&lt;&gt;Calc!$F$2),"",SUMIFS($N$3:$N$3002,$E$3:$E$3002,$E1440,$C$3:$C$3002,"&lt;&gt;U",$S$3:$S$3002,Calc!$F$2))</f>
        <v/>
      </c>
      <c r="Q1440" s="35" t="str">
        <f aca="false">IF(OR($A1440="",$C1440="U",$S1440&lt;&gt;Calc!$F$2),"",IF(COUNTIFS($E$3:$E1440,$E1440,$C$3:$C1440,"&lt;&gt;U",$S$3:$S1440,Calc!$F$2)=1,1,0))</f>
        <v/>
      </c>
      <c r="R1440" s="35" t="str">
        <f aca="false">IF($Q1440=1,$O1440-ROW()/100000,"")</f>
        <v/>
      </c>
      <c r="S1440" s="37" t="str">
        <f aca="false">IF($A1440="","",INT($A1440))</f>
        <v/>
      </c>
      <c r="T1440" s="35" t="str">
        <f aca="false">IF($A1440="","",IF(COUNTIFS($S$3:$S1440,$S1440)=1,1,0))</f>
        <v/>
      </c>
      <c r="U1440" s="37" t="str">
        <f aca="false">IF($T1440=1,$S1440,"")</f>
        <v/>
      </c>
    </row>
    <row r="1441" customFormat="false" ht="15" hidden="false" customHeight="false" outlineLevel="0" collapsed="false">
      <c r="M1441" s="35" t="str">
        <f aca="false">IF($A1441="","",HOUR($A1441))</f>
        <v/>
      </c>
      <c r="N1441" s="36" t="str">
        <f aca="false">IF($A1441="","",$I1441*$K1441)</f>
        <v/>
      </c>
      <c r="O1441" s="35" t="str">
        <f aca="false">IF(OR($A1441="",$C1441="U",$S1441&lt;&gt;Calc!$F$2),"",SUMIFS($I$3:$I$3002,$E$3:$E$3002,$E1441,$C$3:$C$3002,"&lt;&gt;U",$S$3:$S$3002,Calc!$F$2))</f>
        <v/>
      </c>
      <c r="P1441" s="35" t="str">
        <f aca="false">IF(OR($A1441="",$C1441="U",$S1441&lt;&gt;Calc!$F$2),"",SUMIFS($N$3:$N$3002,$E$3:$E$3002,$E1441,$C$3:$C$3002,"&lt;&gt;U",$S$3:$S$3002,Calc!$F$2))</f>
        <v/>
      </c>
      <c r="Q1441" s="35" t="str">
        <f aca="false">IF(OR($A1441="",$C1441="U",$S1441&lt;&gt;Calc!$F$2),"",IF(COUNTIFS($E$3:$E1441,$E1441,$C$3:$C1441,"&lt;&gt;U",$S$3:$S1441,Calc!$F$2)=1,1,0))</f>
        <v/>
      </c>
      <c r="R1441" s="35" t="str">
        <f aca="false">IF($Q1441=1,$O1441-ROW()/100000,"")</f>
        <v/>
      </c>
      <c r="S1441" s="37" t="str">
        <f aca="false">IF($A1441="","",INT($A1441))</f>
        <v/>
      </c>
      <c r="T1441" s="35" t="str">
        <f aca="false">IF($A1441="","",IF(COUNTIFS($S$3:$S1441,$S1441)=1,1,0))</f>
        <v/>
      </c>
      <c r="U1441" s="37" t="str">
        <f aca="false">IF($T1441=1,$S1441,"")</f>
        <v/>
      </c>
    </row>
    <row r="1442" customFormat="false" ht="15" hidden="false" customHeight="false" outlineLevel="0" collapsed="false">
      <c r="M1442" s="35" t="str">
        <f aca="false">IF($A1442="","",HOUR($A1442))</f>
        <v/>
      </c>
      <c r="N1442" s="36" t="str">
        <f aca="false">IF($A1442="","",$I1442*$K1442)</f>
        <v/>
      </c>
      <c r="O1442" s="35" t="str">
        <f aca="false">IF(OR($A1442="",$C1442="U",$S1442&lt;&gt;Calc!$F$2),"",SUMIFS($I$3:$I$3002,$E$3:$E$3002,$E1442,$C$3:$C$3002,"&lt;&gt;U",$S$3:$S$3002,Calc!$F$2))</f>
        <v/>
      </c>
      <c r="P1442" s="35" t="str">
        <f aca="false">IF(OR($A1442="",$C1442="U",$S1442&lt;&gt;Calc!$F$2),"",SUMIFS($N$3:$N$3002,$E$3:$E$3002,$E1442,$C$3:$C$3002,"&lt;&gt;U",$S$3:$S$3002,Calc!$F$2))</f>
        <v/>
      </c>
      <c r="Q1442" s="35" t="str">
        <f aca="false">IF(OR($A1442="",$C1442="U",$S1442&lt;&gt;Calc!$F$2),"",IF(COUNTIFS($E$3:$E1442,$E1442,$C$3:$C1442,"&lt;&gt;U",$S$3:$S1442,Calc!$F$2)=1,1,0))</f>
        <v/>
      </c>
      <c r="R1442" s="35" t="str">
        <f aca="false">IF($Q1442=1,$O1442-ROW()/100000,"")</f>
        <v/>
      </c>
      <c r="S1442" s="37" t="str">
        <f aca="false">IF($A1442="","",INT($A1442))</f>
        <v/>
      </c>
      <c r="T1442" s="35" t="str">
        <f aca="false">IF($A1442="","",IF(COUNTIFS($S$3:$S1442,$S1442)=1,1,0))</f>
        <v/>
      </c>
      <c r="U1442" s="37" t="str">
        <f aca="false">IF($T1442=1,$S1442,"")</f>
        <v/>
      </c>
    </row>
    <row r="1443" customFormat="false" ht="15" hidden="false" customHeight="false" outlineLevel="0" collapsed="false">
      <c r="M1443" s="35" t="str">
        <f aca="false">IF($A1443="","",HOUR($A1443))</f>
        <v/>
      </c>
      <c r="N1443" s="36" t="str">
        <f aca="false">IF($A1443="","",$I1443*$K1443)</f>
        <v/>
      </c>
      <c r="O1443" s="35" t="str">
        <f aca="false">IF(OR($A1443="",$C1443="U",$S1443&lt;&gt;Calc!$F$2),"",SUMIFS($I$3:$I$3002,$E$3:$E$3002,$E1443,$C$3:$C$3002,"&lt;&gt;U",$S$3:$S$3002,Calc!$F$2))</f>
        <v/>
      </c>
      <c r="P1443" s="35" t="str">
        <f aca="false">IF(OR($A1443="",$C1443="U",$S1443&lt;&gt;Calc!$F$2),"",SUMIFS($N$3:$N$3002,$E$3:$E$3002,$E1443,$C$3:$C$3002,"&lt;&gt;U",$S$3:$S$3002,Calc!$F$2))</f>
        <v/>
      </c>
      <c r="Q1443" s="35" t="str">
        <f aca="false">IF(OR($A1443="",$C1443="U",$S1443&lt;&gt;Calc!$F$2),"",IF(COUNTIFS($E$3:$E1443,$E1443,$C$3:$C1443,"&lt;&gt;U",$S$3:$S1443,Calc!$F$2)=1,1,0))</f>
        <v/>
      </c>
      <c r="R1443" s="35" t="str">
        <f aca="false">IF($Q1443=1,$O1443-ROW()/100000,"")</f>
        <v/>
      </c>
      <c r="S1443" s="37" t="str">
        <f aca="false">IF($A1443="","",INT($A1443))</f>
        <v/>
      </c>
      <c r="T1443" s="35" t="str">
        <f aca="false">IF($A1443="","",IF(COUNTIFS($S$3:$S1443,$S1443)=1,1,0))</f>
        <v/>
      </c>
      <c r="U1443" s="37" t="str">
        <f aca="false">IF($T1443=1,$S1443,"")</f>
        <v/>
      </c>
    </row>
    <row r="1444" customFormat="false" ht="15" hidden="false" customHeight="false" outlineLevel="0" collapsed="false">
      <c r="M1444" s="35" t="str">
        <f aca="false">IF($A1444="","",HOUR($A1444))</f>
        <v/>
      </c>
      <c r="N1444" s="36" t="str">
        <f aca="false">IF($A1444="","",$I1444*$K1444)</f>
        <v/>
      </c>
      <c r="O1444" s="35" t="str">
        <f aca="false">IF(OR($A1444="",$C1444="U",$S1444&lt;&gt;Calc!$F$2),"",SUMIFS($I$3:$I$3002,$E$3:$E$3002,$E1444,$C$3:$C$3002,"&lt;&gt;U",$S$3:$S$3002,Calc!$F$2))</f>
        <v/>
      </c>
      <c r="P1444" s="35" t="str">
        <f aca="false">IF(OR($A1444="",$C1444="U",$S1444&lt;&gt;Calc!$F$2),"",SUMIFS($N$3:$N$3002,$E$3:$E$3002,$E1444,$C$3:$C$3002,"&lt;&gt;U",$S$3:$S$3002,Calc!$F$2))</f>
        <v/>
      </c>
      <c r="Q1444" s="35" t="str">
        <f aca="false">IF(OR($A1444="",$C1444="U",$S1444&lt;&gt;Calc!$F$2),"",IF(COUNTIFS($E$3:$E1444,$E1444,$C$3:$C1444,"&lt;&gt;U",$S$3:$S1444,Calc!$F$2)=1,1,0))</f>
        <v/>
      </c>
      <c r="R1444" s="35" t="str">
        <f aca="false">IF($Q1444=1,$O1444-ROW()/100000,"")</f>
        <v/>
      </c>
      <c r="S1444" s="37" t="str">
        <f aca="false">IF($A1444="","",INT($A1444))</f>
        <v/>
      </c>
      <c r="T1444" s="35" t="str">
        <f aca="false">IF($A1444="","",IF(COUNTIFS($S$3:$S1444,$S1444)=1,1,0))</f>
        <v/>
      </c>
      <c r="U1444" s="37" t="str">
        <f aca="false">IF($T1444=1,$S1444,"")</f>
        <v/>
      </c>
    </row>
    <row r="1445" customFormat="false" ht="15" hidden="false" customHeight="false" outlineLevel="0" collapsed="false">
      <c r="M1445" s="35" t="str">
        <f aca="false">IF($A1445="","",HOUR($A1445))</f>
        <v/>
      </c>
      <c r="N1445" s="36" t="str">
        <f aca="false">IF($A1445="","",$I1445*$K1445)</f>
        <v/>
      </c>
      <c r="O1445" s="35" t="str">
        <f aca="false">IF(OR($A1445="",$C1445="U",$S1445&lt;&gt;Calc!$F$2),"",SUMIFS($I$3:$I$3002,$E$3:$E$3002,$E1445,$C$3:$C$3002,"&lt;&gt;U",$S$3:$S$3002,Calc!$F$2))</f>
        <v/>
      </c>
      <c r="P1445" s="35" t="str">
        <f aca="false">IF(OR($A1445="",$C1445="U",$S1445&lt;&gt;Calc!$F$2),"",SUMIFS($N$3:$N$3002,$E$3:$E$3002,$E1445,$C$3:$C$3002,"&lt;&gt;U",$S$3:$S$3002,Calc!$F$2))</f>
        <v/>
      </c>
      <c r="Q1445" s="35" t="str">
        <f aca="false">IF(OR($A1445="",$C1445="U",$S1445&lt;&gt;Calc!$F$2),"",IF(COUNTIFS($E$3:$E1445,$E1445,$C$3:$C1445,"&lt;&gt;U",$S$3:$S1445,Calc!$F$2)=1,1,0))</f>
        <v/>
      </c>
      <c r="R1445" s="35" t="str">
        <f aca="false">IF($Q1445=1,$O1445-ROW()/100000,"")</f>
        <v/>
      </c>
      <c r="S1445" s="37" t="str">
        <f aca="false">IF($A1445="","",INT($A1445))</f>
        <v/>
      </c>
      <c r="T1445" s="35" t="str">
        <f aca="false">IF($A1445="","",IF(COUNTIFS($S$3:$S1445,$S1445)=1,1,0))</f>
        <v/>
      </c>
      <c r="U1445" s="37" t="str">
        <f aca="false">IF($T1445=1,$S1445,"")</f>
        <v/>
      </c>
    </row>
    <row r="1446" customFormat="false" ht="15" hidden="false" customHeight="false" outlineLevel="0" collapsed="false">
      <c r="M1446" s="35" t="str">
        <f aca="false">IF($A1446="","",HOUR($A1446))</f>
        <v/>
      </c>
      <c r="N1446" s="36" t="str">
        <f aca="false">IF($A1446="","",$I1446*$K1446)</f>
        <v/>
      </c>
      <c r="O1446" s="35" t="str">
        <f aca="false">IF(OR($A1446="",$C1446="U",$S1446&lt;&gt;Calc!$F$2),"",SUMIFS($I$3:$I$3002,$E$3:$E$3002,$E1446,$C$3:$C$3002,"&lt;&gt;U",$S$3:$S$3002,Calc!$F$2))</f>
        <v/>
      </c>
      <c r="P1446" s="35" t="str">
        <f aca="false">IF(OR($A1446="",$C1446="U",$S1446&lt;&gt;Calc!$F$2),"",SUMIFS($N$3:$N$3002,$E$3:$E$3002,$E1446,$C$3:$C$3002,"&lt;&gt;U",$S$3:$S$3002,Calc!$F$2))</f>
        <v/>
      </c>
      <c r="Q1446" s="35" t="str">
        <f aca="false">IF(OR($A1446="",$C1446="U",$S1446&lt;&gt;Calc!$F$2),"",IF(COUNTIFS($E$3:$E1446,$E1446,$C$3:$C1446,"&lt;&gt;U",$S$3:$S1446,Calc!$F$2)=1,1,0))</f>
        <v/>
      </c>
      <c r="R1446" s="35" t="str">
        <f aca="false">IF($Q1446=1,$O1446-ROW()/100000,"")</f>
        <v/>
      </c>
      <c r="S1446" s="37" t="str">
        <f aca="false">IF($A1446="","",INT($A1446))</f>
        <v/>
      </c>
      <c r="T1446" s="35" t="str">
        <f aca="false">IF($A1446="","",IF(COUNTIFS($S$3:$S1446,$S1446)=1,1,0))</f>
        <v/>
      </c>
      <c r="U1446" s="37" t="str">
        <f aca="false">IF($T1446=1,$S1446,"")</f>
        <v/>
      </c>
    </row>
    <row r="1447" customFormat="false" ht="15" hidden="false" customHeight="false" outlineLevel="0" collapsed="false">
      <c r="M1447" s="35" t="str">
        <f aca="false">IF($A1447="","",HOUR($A1447))</f>
        <v/>
      </c>
      <c r="N1447" s="36" t="str">
        <f aca="false">IF($A1447="","",$I1447*$K1447)</f>
        <v/>
      </c>
      <c r="O1447" s="35" t="str">
        <f aca="false">IF(OR($A1447="",$C1447="U",$S1447&lt;&gt;Calc!$F$2),"",SUMIFS($I$3:$I$3002,$E$3:$E$3002,$E1447,$C$3:$C$3002,"&lt;&gt;U",$S$3:$S$3002,Calc!$F$2))</f>
        <v/>
      </c>
      <c r="P1447" s="35" t="str">
        <f aca="false">IF(OR($A1447="",$C1447="U",$S1447&lt;&gt;Calc!$F$2),"",SUMIFS($N$3:$N$3002,$E$3:$E$3002,$E1447,$C$3:$C$3002,"&lt;&gt;U",$S$3:$S$3002,Calc!$F$2))</f>
        <v/>
      </c>
      <c r="Q1447" s="35" t="str">
        <f aca="false">IF(OR($A1447="",$C1447="U",$S1447&lt;&gt;Calc!$F$2),"",IF(COUNTIFS($E$3:$E1447,$E1447,$C$3:$C1447,"&lt;&gt;U",$S$3:$S1447,Calc!$F$2)=1,1,0))</f>
        <v/>
      </c>
      <c r="R1447" s="35" t="str">
        <f aca="false">IF($Q1447=1,$O1447-ROW()/100000,"")</f>
        <v/>
      </c>
      <c r="S1447" s="37" t="str">
        <f aca="false">IF($A1447="","",INT($A1447))</f>
        <v/>
      </c>
      <c r="T1447" s="35" t="str">
        <f aca="false">IF($A1447="","",IF(COUNTIFS($S$3:$S1447,$S1447)=1,1,0))</f>
        <v/>
      </c>
      <c r="U1447" s="37" t="str">
        <f aca="false">IF($T1447=1,$S1447,"")</f>
        <v/>
      </c>
    </row>
    <row r="1448" customFormat="false" ht="15" hidden="false" customHeight="false" outlineLevel="0" collapsed="false">
      <c r="M1448" s="35" t="str">
        <f aca="false">IF($A1448="","",HOUR($A1448))</f>
        <v/>
      </c>
      <c r="N1448" s="36" t="str">
        <f aca="false">IF($A1448="","",$I1448*$K1448)</f>
        <v/>
      </c>
      <c r="O1448" s="35" t="str">
        <f aca="false">IF(OR($A1448="",$C1448="U",$S1448&lt;&gt;Calc!$F$2),"",SUMIFS($I$3:$I$3002,$E$3:$E$3002,$E1448,$C$3:$C$3002,"&lt;&gt;U",$S$3:$S$3002,Calc!$F$2))</f>
        <v/>
      </c>
      <c r="P1448" s="35" t="str">
        <f aca="false">IF(OR($A1448="",$C1448="U",$S1448&lt;&gt;Calc!$F$2),"",SUMIFS($N$3:$N$3002,$E$3:$E$3002,$E1448,$C$3:$C$3002,"&lt;&gt;U",$S$3:$S$3002,Calc!$F$2))</f>
        <v/>
      </c>
      <c r="Q1448" s="35" t="str">
        <f aca="false">IF(OR($A1448="",$C1448="U",$S1448&lt;&gt;Calc!$F$2),"",IF(COUNTIFS($E$3:$E1448,$E1448,$C$3:$C1448,"&lt;&gt;U",$S$3:$S1448,Calc!$F$2)=1,1,0))</f>
        <v/>
      </c>
      <c r="R1448" s="35" t="str">
        <f aca="false">IF($Q1448=1,$O1448-ROW()/100000,"")</f>
        <v/>
      </c>
      <c r="S1448" s="37" t="str">
        <f aca="false">IF($A1448="","",INT($A1448))</f>
        <v/>
      </c>
      <c r="T1448" s="35" t="str">
        <f aca="false">IF($A1448="","",IF(COUNTIFS($S$3:$S1448,$S1448)=1,1,0))</f>
        <v/>
      </c>
      <c r="U1448" s="37" t="str">
        <f aca="false">IF($T1448=1,$S1448,"")</f>
        <v/>
      </c>
    </row>
    <row r="1449" customFormat="false" ht="15" hidden="false" customHeight="false" outlineLevel="0" collapsed="false">
      <c r="M1449" s="35" t="str">
        <f aca="false">IF($A1449="","",HOUR($A1449))</f>
        <v/>
      </c>
      <c r="N1449" s="36" t="str">
        <f aca="false">IF($A1449="","",$I1449*$K1449)</f>
        <v/>
      </c>
      <c r="O1449" s="35" t="str">
        <f aca="false">IF(OR($A1449="",$C1449="U",$S1449&lt;&gt;Calc!$F$2),"",SUMIFS($I$3:$I$3002,$E$3:$E$3002,$E1449,$C$3:$C$3002,"&lt;&gt;U",$S$3:$S$3002,Calc!$F$2))</f>
        <v/>
      </c>
      <c r="P1449" s="35" t="str">
        <f aca="false">IF(OR($A1449="",$C1449="U",$S1449&lt;&gt;Calc!$F$2),"",SUMIFS($N$3:$N$3002,$E$3:$E$3002,$E1449,$C$3:$C$3002,"&lt;&gt;U",$S$3:$S$3002,Calc!$F$2))</f>
        <v/>
      </c>
      <c r="Q1449" s="35" t="str">
        <f aca="false">IF(OR($A1449="",$C1449="U",$S1449&lt;&gt;Calc!$F$2),"",IF(COUNTIFS($E$3:$E1449,$E1449,$C$3:$C1449,"&lt;&gt;U",$S$3:$S1449,Calc!$F$2)=1,1,0))</f>
        <v/>
      </c>
      <c r="R1449" s="35" t="str">
        <f aca="false">IF($Q1449=1,$O1449-ROW()/100000,"")</f>
        <v/>
      </c>
      <c r="S1449" s="37" t="str">
        <f aca="false">IF($A1449="","",INT($A1449))</f>
        <v/>
      </c>
      <c r="T1449" s="35" t="str">
        <f aca="false">IF($A1449="","",IF(COUNTIFS($S$3:$S1449,$S1449)=1,1,0))</f>
        <v/>
      </c>
      <c r="U1449" s="37" t="str">
        <f aca="false">IF($T1449=1,$S1449,"")</f>
        <v/>
      </c>
    </row>
    <row r="1450" customFormat="false" ht="15" hidden="false" customHeight="false" outlineLevel="0" collapsed="false">
      <c r="M1450" s="35" t="str">
        <f aca="false">IF($A1450="","",HOUR($A1450))</f>
        <v/>
      </c>
      <c r="N1450" s="36" t="str">
        <f aca="false">IF($A1450="","",$I1450*$K1450)</f>
        <v/>
      </c>
      <c r="O1450" s="35" t="str">
        <f aca="false">IF(OR($A1450="",$C1450="U",$S1450&lt;&gt;Calc!$F$2),"",SUMIFS($I$3:$I$3002,$E$3:$E$3002,$E1450,$C$3:$C$3002,"&lt;&gt;U",$S$3:$S$3002,Calc!$F$2))</f>
        <v/>
      </c>
      <c r="P1450" s="35" t="str">
        <f aca="false">IF(OR($A1450="",$C1450="U",$S1450&lt;&gt;Calc!$F$2),"",SUMIFS($N$3:$N$3002,$E$3:$E$3002,$E1450,$C$3:$C$3002,"&lt;&gt;U",$S$3:$S$3002,Calc!$F$2))</f>
        <v/>
      </c>
      <c r="Q1450" s="35" t="str">
        <f aca="false">IF(OR($A1450="",$C1450="U",$S1450&lt;&gt;Calc!$F$2),"",IF(COUNTIFS($E$3:$E1450,$E1450,$C$3:$C1450,"&lt;&gt;U",$S$3:$S1450,Calc!$F$2)=1,1,0))</f>
        <v/>
      </c>
      <c r="R1450" s="35" t="str">
        <f aca="false">IF($Q1450=1,$O1450-ROW()/100000,"")</f>
        <v/>
      </c>
      <c r="S1450" s="37" t="str">
        <f aca="false">IF($A1450="","",INT($A1450))</f>
        <v/>
      </c>
      <c r="T1450" s="35" t="str">
        <f aca="false">IF($A1450="","",IF(COUNTIFS($S$3:$S1450,$S1450)=1,1,0))</f>
        <v/>
      </c>
      <c r="U1450" s="37" t="str">
        <f aca="false">IF($T1450=1,$S1450,"")</f>
        <v/>
      </c>
    </row>
    <row r="1451" customFormat="false" ht="15" hidden="false" customHeight="false" outlineLevel="0" collapsed="false">
      <c r="M1451" s="35" t="str">
        <f aca="false">IF($A1451="","",HOUR($A1451))</f>
        <v/>
      </c>
      <c r="N1451" s="36" t="str">
        <f aca="false">IF($A1451="","",$I1451*$K1451)</f>
        <v/>
      </c>
      <c r="O1451" s="35" t="str">
        <f aca="false">IF(OR($A1451="",$C1451="U",$S1451&lt;&gt;Calc!$F$2),"",SUMIFS($I$3:$I$3002,$E$3:$E$3002,$E1451,$C$3:$C$3002,"&lt;&gt;U",$S$3:$S$3002,Calc!$F$2))</f>
        <v/>
      </c>
      <c r="P1451" s="35" t="str">
        <f aca="false">IF(OR($A1451="",$C1451="U",$S1451&lt;&gt;Calc!$F$2),"",SUMIFS($N$3:$N$3002,$E$3:$E$3002,$E1451,$C$3:$C$3002,"&lt;&gt;U",$S$3:$S$3002,Calc!$F$2))</f>
        <v/>
      </c>
      <c r="Q1451" s="35" t="str">
        <f aca="false">IF(OR($A1451="",$C1451="U",$S1451&lt;&gt;Calc!$F$2),"",IF(COUNTIFS($E$3:$E1451,$E1451,$C$3:$C1451,"&lt;&gt;U",$S$3:$S1451,Calc!$F$2)=1,1,0))</f>
        <v/>
      </c>
      <c r="R1451" s="35" t="str">
        <f aca="false">IF($Q1451=1,$O1451-ROW()/100000,"")</f>
        <v/>
      </c>
      <c r="S1451" s="37" t="str">
        <f aca="false">IF($A1451="","",INT($A1451))</f>
        <v/>
      </c>
      <c r="T1451" s="35" t="str">
        <f aca="false">IF($A1451="","",IF(COUNTIFS($S$3:$S1451,$S1451)=1,1,0))</f>
        <v/>
      </c>
      <c r="U1451" s="37" t="str">
        <f aca="false">IF($T1451=1,$S1451,"")</f>
        <v/>
      </c>
    </row>
    <row r="1452" customFormat="false" ht="15" hidden="false" customHeight="false" outlineLevel="0" collapsed="false">
      <c r="M1452" s="35" t="str">
        <f aca="false">IF($A1452="","",HOUR($A1452))</f>
        <v/>
      </c>
      <c r="N1452" s="36" t="str">
        <f aca="false">IF($A1452="","",$I1452*$K1452)</f>
        <v/>
      </c>
      <c r="O1452" s="35" t="str">
        <f aca="false">IF(OR($A1452="",$C1452="U",$S1452&lt;&gt;Calc!$F$2),"",SUMIFS($I$3:$I$3002,$E$3:$E$3002,$E1452,$C$3:$C$3002,"&lt;&gt;U",$S$3:$S$3002,Calc!$F$2))</f>
        <v/>
      </c>
      <c r="P1452" s="35" t="str">
        <f aca="false">IF(OR($A1452="",$C1452="U",$S1452&lt;&gt;Calc!$F$2),"",SUMIFS($N$3:$N$3002,$E$3:$E$3002,$E1452,$C$3:$C$3002,"&lt;&gt;U",$S$3:$S$3002,Calc!$F$2))</f>
        <v/>
      </c>
      <c r="Q1452" s="35" t="str">
        <f aca="false">IF(OR($A1452="",$C1452="U",$S1452&lt;&gt;Calc!$F$2),"",IF(COUNTIFS($E$3:$E1452,$E1452,$C$3:$C1452,"&lt;&gt;U",$S$3:$S1452,Calc!$F$2)=1,1,0))</f>
        <v/>
      </c>
      <c r="R1452" s="35" t="str">
        <f aca="false">IF($Q1452=1,$O1452-ROW()/100000,"")</f>
        <v/>
      </c>
      <c r="S1452" s="37" t="str">
        <f aca="false">IF($A1452="","",INT($A1452))</f>
        <v/>
      </c>
      <c r="T1452" s="35" t="str">
        <f aca="false">IF($A1452="","",IF(COUNTIFS($S$3:$S1452,$S1452)=1,1,0))</f>
        <v/>
      </c>
      <c r="U1452" s="37" t="str">
        <f aca="false">IF($T1452=1,$S1452,"")</f>
        <v/>
      </c>
    </row>
    <row r="1453" customFormat="false" ht="15" hidden="false" customHeight="false" outlineLevel="0" collapsed="false">
      <c r="M1453" s="35" t="str">
        <f aca="false">IF($A1453="","",HOUR($A1453))</f>
        <v/>
      </c>
      <c r="N1453" s="36" t="str">
        <f aca="false">IF($A1453="","",$I1453*$K1453)</f>
        <v/>
      </c>
      <c r="O1453" s="35" t="str">
        <f aca="false">IF(OR($A1453="",$C1453="U",$S1453&lt;&gt;Calc!$F$2),"",SUMIFS($I$3:$I$3002,$E$3:$E$3002,$E1453,$C$3:$C$3002,"&lt;&gt;U",$S$3:$S$3002,Calc!$F$2))</f>
        <v/>
      </c>
      <c r="P1453" s="35" t="str">
        <f aca="false">IF(OR($A1453="",$C1453="U",$S1453&lt;&gt;Calc!$F$2),"",SUMIFS($N$3:$N$3002,$E$3:$E$3002,$E1453,$C$3:$C$3002,"&lt;&gt;U",$S$3:$S$3002,Calc!$F$2))</f>
        <v/>
      </c>
      <c r="Q1453" s="35" t="str">
        <f aca="false">IF(OR($A1453="",$C1453="U",$S1453&lt;&gt;Calc!$F$2),"",IF(COUNTIFS($E$3:$E1453,$E1453,$C$3:$C1453,"&lt;&gt;U",$S$3:$S1453,Calc!$F$2)=1,1,0))</f>
        <v/>
      </c>
      <c r="R1453" s="35" t="str">
        <f aca="false">IF($Q1453=1,$O1453-ROW()/100000,"")</f>
        <v/>
      </c>
      <c r="S1453" s="37" t="str">
        <f aca="false">IF($A1453="","",INT($A1453))</f>
        <v/>
      </c>
      <c r="T1453" s="35" t="str">
        <f aca="false">IF($A1453="","",IF(COUNTIFS($S$3:$S1453,$S1453)=1,1,0))</f>
        <v/>
      </c>
      <c r="U1453" s="37" t="str">
        <f aca="false">IF($T1453=1,$S1453,"")</f>
        <v/>
      </c>
    </row>
    <row r="1454" customFormat="false" ht="15" hidden="false" customHeight="false" outlineLevel="0" collapsed="false">
      <c r="M1454" s="35" t="str">
        <f aca="false">IF($A1454="","",HOUR($A1454))</f>
        <v/>
      </c>
      <c r="N1454" s="36" t="str">
        <f aca="false">IF($A1454="","",$I1454*$K1454)</f>
        <v/>
      </c>
      <c r="O1454" s="35" t="str">
        <f aca="false">IF(OR($A1454="",$C1454="U",$S1454&lt;&gt;Calc!$F$2),"",SUMIFS($I$3:$I$3002,$E$3:$E$3002,$E1454,$C$3:$C$3002,"&lt;&gt;U",$S$3:$S$3002,Calc!$F$2))</f>
        <v/>
      </c>
      <c r="P1454" s="35" t="str">
        <f aca="false">IF(OR($A1454="",$C1454="U",$S1454&lt;&gt;Calc!$F$2),"",SUMIFS($N$3:$N$3002,$E$3:$E$3002,$E1454,$C$3:$C$3002,"&lt;&gt;U",$S$3:$S$3002,Calc!$F$2))</f>
        <v/>
      </c>
      <c r="Q1454" s="35" t="str">
        <f aca="false">IF(OR($A1454="",$C1454="U",$S1454&lt;&gt;Calc!$F$2),"",IF(COUNTIFS($E$3:$E1454,$E1454,$C$3:$C1454,"&lt;&gt;U",$S$3:$S1454,Calc!$F$2)=1,1,0))</f>
        <v/>
      </c>
      <c r="R1454" s="35" t="str">
        <f aca="false">IF($Q1454=1,$O1454-ROW()/100000,"")</f>
        <v/>
      </c>
      <c r="S1454" s="37" t="str">
        <f aca="false">IF($A1454="","",INT($A1454))</f>
        <v/>
      </c>
      <c r="T1454" s="35" t="str">
        <f aca="false">IF($A1454="","",IF(COUNTIFS($S$3:$S1454,$S1454)=1,1,0))</f>
        <v/>
      </c>
      <c r="U1454" s="37" t="str">
        <f aca="false">IF($T1454=1,$S1454,"")</f>
        <v/>
      </c>
    </row>
    <row r="1455" customFormat="false" ht="15" hidden="false" customHeight="false" outlineLevel="0" collapsed="false">
      <c r="M1455" s="35" t="str">
        <f aca="false">IF($A1455="","",HOUR($A1455))</f>
        <v/>
      </c>
      <c r="N1455" s="36" t="str">
        <f aca="false">IF($A1455="","",$I1455*$K1455)</f>
        <v/>
      </c>
      <c r="O1455" s="35" t="str">
        <f aca="false">IF(OR($A1455="",$C1455="U",$S1455&lt;&gt;Calc!$F$2),"",SUMIFS($I$3:$I$3002,$E$3:$E$3002,$E1455,$C$3:$C$3002,"&lt;&gt;U",$S$3:$S$3002,Calc!$F$2))</f>
        <v/>
      </c>
      <c r="P1455" s="35" t="str">
        <f aca="false">IF(OR($A1455="",$C1455="U",$S1455&lt;&gt;Calc!$F$2),"",SUMIFS($N$3:$N$3002,$E$3:$E$3002,$E1455,$C$3:$C$3002,"&lt;&gt;U",$S$3:$S$3002,Calc!$F$2))</f>
        <v/>
      </c>
      <c r="Q1455" s="35" t="str">
        <f aca="false">IF(OR($A1455="",$C1455="U",$S1455&lt;&gt;Calc!$F$2),"",IF(COUNTIFS($E$3:$E1455,$E1455,$C$3:$C1455,"&lt;&gt;U",$S$3:$S1455,Calc!$F$2)=1,1,0))</f>
        <v/>
      </c>
      <c r="R1455" s="35" t="str">
        <f aca="false">IF($Q1455=1,$O1455-ROW()/100000,"")</f>
        <v/>
      </c>
      <c r="S1455" s="37" t="str">
        <f aca="false">IF($A1455="","",INT($A1455))</f>
        <v/>
      </c>
      <c r="T1455" s="35" t="str">
        <f aca="false">IF($A1455="","",IF(COUNTIFS($S$3:$S1455,$S1455)=1,1,0))</f>
        <v/>
      </c>
      <c r="U1455" s="37" t="str">
        <f aca="false">IF($T1455=1,$S1455,"")</f>
        <v/>
      </c>
    </row>
    <row r="1456" customFormat="false" ht="15" hidden="false" customHeight="false" outlineLevel="0" collapsed="false">
      <c r="M1456" s="35" t="str">
        <f aca="false">IF($A1456="","",HOUR($A1456))</f>
        <v/>
      </c>
      <c r="N1456" s="36" t="str">
        <f aca="false">IF($A1456="","",$I1456*$K1456)</f>
        <v/>
      </c>
      <c r="O1456" s="35" t="str">
        <f aca="false">IF(OR($A1456="",$C1456="U",$S1456&lt;&gt;Calc!$F$2),"",SUMIFS($I$3:$I$3002,$E$3:$E$3002,$E1456,$C$3:$C$3002,"&lt;&gt;U",$S$3:$S$3002,Calc!$F$2))</f>
        <v/>
      </c>
      <c r="P1456" s="35" t="str">
        <f aca="false">IF(OR($A1456="",$C1456="U",$S1456&lt;&gt;Calc!$F$2),"",SUMIFS($N$3:$N$3002,$E$3:$E$3002,$E1456,$C$3:$C$3002,"&lt;&gt;U",$S$3:$S$3002,Calc!$F$2))</f>
        <v/>
      </c>
      <c r="Q1456" s="35" t="str">
        <f aca="false">IF(OR($A1456="",$C1456="U",$S1456&lt;&gt;Calc!$F$2),"",IF(COUNTIFS($E$3:$E1456,$E1456,$C$3:$C1456,"&lt;&gt;U",$S$3:$S1456,Calc!$F$2)=1,1,0))</f>
        <v/>
      </c>
      <c r="R1456" s="35" t="str">
        <f aca="false">IF($Q1456=1,$O1456-ROW()/100000,"")</f>
        <v/>
      </c>
      <c r="S1456" s="37" t="str">
        <f aca="false">IF($A1456="","",INT($A1456))</f>
        <v/>
      </c>
      <c r="T1456" s="35" t="str">
        <f aca="false">IF($A1456="","",IF(COUNTIFS($S$3:$S1456,$S1456)=1,1,0))</f>
        <v/>
      </c>
      <c r="U1456" s="37" t="str">
        <f aca="false">IF($T1456=1,$S1456,"")</f>
        <v/>
      </c>
    </row>
    <row r="1457" customFormat="false" ht="15" hidden="false" customHeight="false" outlineLevel="0" collapsed="false">
      <c r="M1457" s="35" t="str">
        <f aca="false">IF($A1457="","",HOUR($A1457))</f>
        <v/>
      </c>
      <c r="N1457" s="36" t="str">
        <f aca="false">IF($A1457="","",$I1457*$K1457)</f>
        <v/>
      </c>
      <c r="O1457" s="35" t="str">
        <f aca="false">IF(OR($A1457="",$C1457="U",$S1457&lt;&gt;Calc!$F$2),"",SUMIFS($I$3:$I$3002,$E$3:$E$3002,$E1457,$C$3:$C$3002,"&lt;&gt;U",$S$3:$S$3002,Calc!$F$2))</f>
        <v/>
      </c>
      <c r="P1457" s="35" t="str">
        <f aca="false">IF(OR($A1457="",$C1457="U",$S1457&lt;&gt;Calc!$F$2),"",SUMIFS($N$3:$N$3002,$E$3:$E$3002,$E1457,$C$3:$C$3002,"&lt;&gt;U",$S$3:$S$3002,Calc!$F$2))</f>
        <v/>
      </c>
      <c r="Q1457" s="35" t="str">
        <f aca="false">IF(OR($A1457="",$C1457="U",$S1457&lt;&gt;Calc!$F$2),"",IF(COUNTIFS($E$3:$E1457,$E1457,$C$3:$C1457,"&lt;&gt;U",$S$3:$S1457,Calc!$F$2)=1,1,0))</f>
        <v/>
      </c>
      <c r="R1457" s="35" t="str">
        <f aca="false">IF($Q1457=1,$O1457-ROW()/100000,"")</f>
        <v/>
      </c>
      <c r="S1457" s="37" t="str">
        <f aca="false">IF($A1457="","",INT($A1457))</f>
        <v/>
      </c>
      <c r="T1457" s="35" t="str">
        <f aca="false">IF($A1457="","",IF(COUNTIFS($S$3:$S1457,$S1457)=1,1,0))</f>
        <v/>
      </c>
      <c r="U1457" s="37" t="str">
        <f aca="false">IF($T1457=1,$S1457,"")</f>
        <v/>
      </c>
    </row>
    <row r="1458" customFormat="false" ht="15" hidden="false" customHeight="false" outlineLevel="0" collapsed="false">
      <c r="M1458" s="35" t="str">
        <f aca="false">IF($A1458="","",HOUR($A1458))</f>
        <v/>
      </c>
      <c r="N1458" s="36" t="str">
        <f aca="false">IF($A1458="","",$I1458*$K1458)</f>
        <v/>
      </c>
      <c r="O1458" s="35" t="str">
        <f aca="false">IF(OR($A1458="",$C1458="U",$S1458&lt;&gt;Calc!$F$2),"",SUMIFS($I$3:$I$3002,$E$3:$E$3002,$E1458,$C$3:$C$3002,"&lt;&gt;U",$S$3:$S$3002,Calc!$F$2))</f>
        <v/>
      </c>
      <c r="P1458" s="35" t="str">
        <f aca="false">IF(OR($A1458="",$C1458="U",$S1458&lt;&gt;Calc!$F$2),"",SUMIFS($N$3:$N$3002,$E$3:$E$3002,$E1458,$C$3:$C$3002,"&lt;&gt;U",$S$3:$S$3002,Calc!$F$2))</f>
        <v/>
      </c>
      <c r="Q1458" s="35" t="str">
        <f aca="false">IF(OR($A1458="",$C1458="U",$S1458&lt;&gt;Calc!$F$2),"",IF(COUNTIFS($E$3:$E1458,$E1458,$C$3:$C1458,"&lt;&gt;U",$S$3:$S1458,Calc!$F$2)=1,1,0))</f>
        <v/>
      </c>
      <c r="R1458" s="35" t="str">
        <f aca="false">IF($Q1458=1,$O1458-ROW()/100000,"")</f>
        <v/>
      </c>
      <c r="S1458" s="37" t="str">
        <f aca="false">IF($A1458="","",INT($A1458))</f>
        <v/>
      </c>
      <c r="T1458" s="35" t="str">
        <f aca="false">IF($A1458="","",IF(COUNTIFS($S$3:$S1458,$S1458)=1,1,0))</f>
        <v/>
      </c>
      <c r="U1458" s="37" t="str">
        <f aca="false">IF($T1458=1,$S1458,"")</f>
        <v/>
      </c>
    </row>
    <row r="1459" customFormat="false" ht="15" hidden="false" customHeight="false" outlineLevel="0" collapsed="false">
      <c r="M1459" s="35" t="str">
        <f aca="false">IF($A1459="","",HOUR($A1459))</f>
        <v/>
      </c>
      <c r="N1459" s="36" t="str">
        <f aca="false">IF($A1459="","",$I1459*$K1459)</f>
        <v/>
      </c>
      <c r="O1459" s="35" t="str">
        <f aca="false">IF(OR($A1459="",$C1459="U",$S1459&lt;&gt;Calc!$F$2),"",SUMIFS($I$3:$I$3002,$E$3:$E$3002,$E1459,$C$3:$C$3002,"&lt;&gt;U",$S$3:$S$3002,Calc!$F$2))</f>
        <v/>
      </c>
      <c r="P1459" s="35" t="str">
        <f aca="false">IF(OR($A1459="",$C1459="U",$S1459&lt;&gt;Calc!$F$2),"",SUMIFS($N$3:$N$3002,$E$3:$E$3002,$E1459,$C$3:$C$3002,"&lt;&gt;U",$S$3:$S$3002,Calc!$F$2))</f>
        <v/>
      </c>
      <c r="Q1459" s="35" t="str">
        <f aca="false">IF(OR($A1459="",$C1459="U",$S1459&lt;&gt;Calc!$F$2),"",IF(COUNTIFS($E$3:$E1459,$E1459,$C$3:$C1459,"&lt;&gt;U",$S$3:$S1459,Calc!$F$2)=1,1,0))</f>
        <v/>
      </c>
      <c r="R1459" s="35" t="str">
        <f aca="false">IF($Q1459=1,$O1459-ROW()/100000,"")</f>
        <v/>
      </c>
      <c r="S1459" s="37" t="str">
        <f aca="false">IF($A1459="","",INT($A1459))</f>
        <v/>
      </c>
      <c r="T1459" s="35" t="str">
        <f aca="false">IF($A1459="","",IF(COUNTIFS($S$3:$S1459,$S1459)=1,1,0))</f>
        <v/>
      </c>
      <c r="U1459" s="37" t="str">
        <f aca="false">IF($T1459=1,$S1459,"")</f>
        <v/>
      </c>
    </row>
    <row r="1460" customFormat="false" ht="15" hidden="false" customHeight="false" outlineLevel="0" collapsed="false">
      <c r="M1460" s="35" t="str">
        <f aca="false">IF($A1460="","",HOUR($A1460))</f>
        <v/>
      </c>
      <c r="N1460" s="36" t="str">
        <f aca="false">IF($A1460="","",$I1460*$K1460)</f>
        <v/>
      </c>
      <c r="O1460" s="35" t="str">
        <f aca="false">IF(OR($A1460="",$C1460="U",$S1460&lt;&gt;Calc!$F$2),"",SUMIFS($I$3:$I$3002,$E$3:$E$3002,$E1460,$C$3:$C$3002,"&lt;&gt;U",$S$3:$S$3002,Calc!$F$2))</f>
        <v/>
      </c>
      <c r="P1460" s="35" t="str">
        <f aca="false">IF(OR($A1460="",$C1460="U",$S1460&lt;&gt;Calc!$F$2),"",SUMIFS($N$3:$N$3002,$E$3:$E$3002,$E1460,$C$3:$C$3002,"&lt;&gt;U",$S$3:$S$3002,Calc!$F$2))</f>
        <v/>
      </c>
      <c r="Q1460" s="35" t="str">
        <f aca="false">IF(OR($A1460="",$C1460="U",$S1460&lt;&gt;Calc!$F$2),"",IF(COUNTIFS($E$3:$E1460,$E1460,$C$3:$C1460,"&lt;&gt;U",$S$3:$S1460,Calc!$F$2)=1,1,0))</f>
        <v/>
      </c>
      <c r="R1460" s="35" t="str">
        <f aca="false">IF($Q1460=1,$O1460-ROW()/100000,"")</f>
        <v/>
      </c>
      <c r="S1460" s="37" t="str">
        <f aca="false">IF($A1460="","",INT($A1460))</f>
        <v/>
      </c>
      <c r="T1460" s="35" t="str">
        <f aca="false">IF($A1460="","",IF(COUNTIFS($S$3:$S1460,$S1460)=1,1,0))</f>
        <v/>
      </c>
      <c r="U1460" s="37" t="str">
        <f aca="false">IF($T1460=1,$S1460,"")</f>
        <v/>
      </c>
    </row>
    <row r="1461" customFormat="false" ht="15" hidden="false" customHeight="false" outlineLevel="0" collapsed="false">
      <c r="M1461" s="35" t="str">
        <f aca="false">IF($A1461="","",HOUR($A1461))</f>
        <v/>
      </c>
      <c r="N1461" s="36" t="str">
        <f aca="false">IF($A1461="","",$I1461*$K1461)</f>
        <v/>
      </c>
      <c r="O1461" s="35" t="str">
        <f aca="false">IF(OR($A1461="",$C1461="U",$S1461&lt;&gt;Calc!$F$2),"",SUMIFS($I$3:$I$3002,$E$3:$E$3002,$E1461,$C$3:$C$3002,"&lt;&gt;U",$S$3:$S$3002,Calc!$F$2))</f>
        <v/>
      </c>
      <c r="P1461" s="35" t="str">
        <f aca="false">IF(OR($A1461="",$C1461="U",$S1461&lt;&gt;Calc!$F$2),"",SUMIFS($N$3:$N$3002,$E$3:$E$3002,$E1461,$C$3:$C$3002,"&lt;&gt;U",$S$3:$S$3002,Calc!$F$2))</f>
        <v/>
      </c>
      <c r="Q1461" s="35" t="str">
        <f aca="false">IF(OR($A1461="",$C1461="U",$S1461&lt;&gt;Calc!$F$2),"",IF(COUNTIFS($E$3:$E1461,$E1461,$C$3:$C1461,"&lt;&gt;U",$S$3:$S1461,Calc!$F$2)=1,1,0))</f>
        <v/>
      </c>
      <c r="R1461" s="35" t="str">
        <f aca="false">IF($Q1461=1,$O1461-ROW()/100000,"")</f>
        <v/>
      </c>
      <c r="S1461" s="37" t="str">
        <f aca="false">IF($A1461="","",INT($A1461))</f>
        <v/>
      </c>
      <c r="T1461" s="35" t="str">
        <f aca="false">IF($A1461="","",IF(COUNTIFS($S$3:$S1461,$S1461)=1,1,0))</f>
        <v/>
      </c>
      <c r="U1461" s="37" t="str">
        <f aca="false">IF($T1461=1,$S1461,"")</f>
        <v/>
      </c>
    </row>
    <row r="1462" customFormat="false" ht="15" hidden="false" customHeight="false" outlineLevel="0" collapsed="false">
      <c r="M1462" s="35" t="str">
        <f aca="false">IF($A1462="","",HOUR($A1462))</f>
        <v/>
      </c>
      <c r="N1462" s="36" t="str">
        <f aca="false">IF($A1462="","",$I1462*$K1462)</f>
        <v/>
      </c>
      <c r="O1462" s="35" t="str">
        <f aca="false">IF(OR($A1462="",$C1462="U",$S1462&lt;&gt;Calc!$F$2),"",SUMIFS($I$3:$I$3002,$E$3:$E$3002,$E1462,$C$3:$C$3002,"&lt;&gt;U",$S$3:$S$3002,Calc!$F$2))</f>
        <v/>
      </c>
      <c r="P1462" s="35" t="str">
        <f aca="false">IF(OR($A1462="",$C1462="U",$S1462&lt;&gt;Calc!$F$2),"",SUMIFS($N$3:$N$3002,$E$3:$E$3002,$E1462,$C$3:$C$3002,"&lt;&gt;U",$S$3:$S$3002,Calc!$F$2))</f>
        <v/>
      </c>
      <c r="Q1462" s="35" t="str">
        <f aca="false">IF(OR($A1462="",$C1462="U",$S1462&lt;&gt;Calc!$F$2),"",IF(COUNTIFS($E$3:$E1462,$E1462,$C$3:$C1462,"&lt;&gt;U",$S$3:$S1462,Calc!$F$2)=1,1,0))</f>
        <v/>
      </c>
      <c r="R1462" s="35" t="str">
        <f aca="false">IF($Q1462=1,$O1462-ROW()/100000,"")</f>
        <v/>
      </c>
      <c r="S1462" s="37" t="str">
        <f aca="false">IF($A1462="","",INT($A1462))</f>
        <v/>
      </c>
      <c r="T1462" s="35" t="str">
        <f aca="false">IF($A1462="","",IF(COUNTIFS($S$3:$S1462,$S1462)=1,1,0))</f>
        <v/>
      </c>
      <c r="U1462" s="37" t="str">
        <f aca="false">IF($T1462=1,$S1462,"")</f>
        <v/>
      </c>
    </row>
    <row r="1463" customFormat="false" ht="15" hidden="false" customHeight="false" outlineLevel="0" collapsed="false">
      <c r="M1463" s="35" t="str">
        <f aca="false">IF($A1463="","",HOUR($A1463))</f>
        <v/>
      </c>
      <c r="N1463" s="36" t="str">
        <f aca="false">IF($A1463="","",$I1463*$K1463)</f>
        <v/>
      </c>
      <c r="O1463" s="35" t="str">
        <f aca="false">IF(OR($A1463="",$C1463="U",$S1463&lt;&gt;Calc!$F$2),"",SUMIFS($I$3:$I$3002,$E$3:$E$3002,$E1463,$C$3:$C$3002,"&lt;&gt;U",$S$3:$S$3002,Calc!$F$2))</f>
        <v/>
      </c>
      <c r="P1463" s="35" t="str">
        <f aca="false">IF(OR($A1463="",$C1463="U",$S1463&lt;&gt;Calc!$F$2),"",SUMIFS($N$3:$N$3002,$E$3:$E$3002,$E1463,$C$3:$C$3002,"&lt;&gt;U",$S$3:$S$3002,Calc!$F$2))</f>
        <v/>
      </c>
      <c r="Q1463" s="35" t="str">
        <f aca="false">IF(OR($A1463="",$C1463="U",$S1463&lt;&gt;Calc!$F$2),"",IF(COUNTIFS($E$3:$E1463,$E1463,$C$3:$C1463,"&lt;&gt;U",$S$3:$S1463,Calc!$F$2)=1,1,0))</f>
        <v/>
      </c>
      <c r="R1463" s="35" t="str">
        <f aca="false">IF($Q1463=1,$O1463-ROW()/100000,"")</f>
        <v/>
      </c>
      <c r="S1463" s="37" t="str">
        <f aca="false">IF($A1463="","",INT($A1463))</f>
        <v/>
      </c>
      <c r="T1463" s="35" t="str">
        <f aca="false">IF($A1463="","",IF(COUNTIFS($S$3:$S1463,$S1463)=1,1,0))</f>
        <v/>
      </c>
      <c r="U1463" s="37" t="str">
        <f aca="false">IF($T1463=1,$S1463,"")</f>
        <v/>
      </c>
    </row>
    <row r="1464" customFormat="false" ht="15" hidden="false" customHeight="false" outlineLevel="0" collapsed="false">
      <c r="M1464" s="35" t="str">
        <f aca="false">IF($A1464="","",HOUR($A1464))</f>
        <v/>
      </c>
      <c r="N1464" s="36" t="str">
        <f aca="false">IF($A1464="","",$I1464*$K1464)</f>
        <v/>
      </c>
      <c r="O1464" s="35" t="str">
        <f aca="false">IF(OR($A1464="",$C1464="U",$S1464&lt;&gt;Calc!$F$2),"",SUMIFS($I$3:$I$3002,$E$3:$E$3002,$E1464,$C$3:$C$3002,"&lt;&gt;U",$S$3:$S$3002,Calc!$F$2))</f>
        <v/>
      </c>
      <c r="P1464" s="35" t="str">
        <f aca="false">IF(OR($A1464="",$C1464="U",$S1464&lt;&gt;Calc!$F$2),"",SUMIFS($N$3:$N$3002,$E$3:$E$3002,$E1464,$C$3:$C$3002,"&lt;&gt;U",$S$3:$S$3002,Calc!$F$2))</f>
        <v/>
      </c>
      <c r="Q1464" s="35" t="str">
        <f aca="false">IF(OR($A1464="",$C1464="U",$S1464&lt;&gt;Calc!$F$2),"",IF(COUNTIFS($E$3:$E1464,$E1464,$C$3:$C1464,"&lt;&gt;U",$S$3:$S1464,Calc!$F$2)=1,1,0))</f>
        <v/>
      </c>
      <c r="R1464" s="35" t="str">
        <f aca="false">IF($Q1464=1,$O1464-ROW()/100000,"")</f>
        <v/>
      </c>
      <c r="S1464" s="37" t="str">
        <f aca="false">IF($A1464="","",INT($A1464))</f>
        <v/>
      </c>
      <c r="T1464" s="35" t="str">
        <f aca="false">IF($A1464="","",IF(COUNTIFS($S$3:$S1464,$S1464)=1,1,0))</f>
        <v/>
      </c>
      <c r="U1464" s="37" t="str">
        <f aca="false">IF($T1464=1,$S1464,"")</f>
        <v/>
      </c>
    </row>
    <row r="1465" customFormat="false" ht="15" hidden="false" customHeight="false" outlineLevel="0" collapsed="false">
      <c r="M1465" s="35" t="str">
        <f aca="false">IF($A1465="","",HOUR($A1465))</f>
        <v/>
      </c>
      <c r="N1465" s="36" t="str">
        <f aca="false">IF($A1465="","",$I1465*$K1465)</f>
        <v/>
      </c>
      <c r="O1465" s="35" t="str">
        <f aca="false">IF(OR($A1465="",$C1465="U",$S1465&lt;&gt;Calc!$F$2),"",SUMIFS($I$3:$I$3002,$E$3:$E$3002,$E1465,$C$3:$C$3002,"&lt;&gt;U",$S$3:$S$3002,Calc!$F$2))</f>
        <v/>
      </c>
      <c r="P1465" s="35" t="str">
        <f aca="false">IF(OR($A1465="",$C1465="U",$S1465&lt;&gt;Calc!$F$2),"",SUMIFS($N$3:$N$3002,$E$3:$E$3002,$E1465,$C$3:$C$3002,"&lt;&gt;U",$S$3:$S$3002,Calc!$F$2))</f>
        <v/>
      </c>
      <c r="Q1465" s="35" t="str">
        <f aca="false">IF(OR($A1465="",$C1465="U",$S1465&lt;&gt;Calc!$F$2),"",IF(COUNTIFS($E$3:$E1465,$E1465,$C$3:$C1465,"&lt;&gt;U",$S$3:$S1465,Calc!$F$2)=1,1,0))</f>
        <v/>
      </c>
      <c r="R1465" s="35" t="str">
        <f aca="false">IF($Q1465=1,$O1465-ROW()/100000,"")</f>
        <v/>
      </c>
      <c r="S1465" s="37" t="str">
        <f aca="false">IF($A1465="","",INT($A1465))</f>
        <v/>
      </c>
      <c r="T1465" s="35" t="str">
        <f aca="false">IF($A1465="","",IF(COUNTIFS($S$3:$S1465,$S1465)=1,1,0))</f>
        <v/>
      </c>
      <c r="U1465" s="37" t="str">
        <f aca="false">IF($T1465=1,$S1465,"")</f>
        <v/>
      </c>
    </row>
    <row r="1466" customFormat="false" ht="15" hidden="false" customHeight="false" outlineLevel="0" collapsed="false">
      <c r="M1466" s="35" t="str">
        <f aca="false">IF($A1466="","",HOUR($A1466))</f>
        <v/>
      </c>
      <c r="N1466" s="36" t="str">
        <f aca="false">IF($A1466="","",$I1466*$K1466)</f>
        <v/>
      </c>
      <c r="O1466" s="35" t="str">
        <f aca="false">IF(OR($A1466="",$C1466="U",$S1466&lt;&gt;Calc!$F$2),"",SUMIFS($I$3:$I$3002,$E$3:$E$3002,$E1466,$C$3:$C$3002,"&lt;&gt;U",$S$3:$S$3002,Calc!$F$2))</f>
        <v/>
      </c>
      <c r="P1466" s="35" t="str">
        <f aca="false">IF(OR($A1466="",$C1466="U",$S1466&lt;&gt;Calc!$F$2),"",SUMIFS($N$3:$N$3002,$E$3:$E$3002,$E1466,$C$3:$C$3002,"&lt;&gt;U",$S$3:$S$3002,Calc!$F$2))</f>
        <v/>
      </c>
      <c r="Q1466" s="35" t="str">
        <f aca="false">IF(OR($A1466="",$C1466="U",$S1466&lt;&gt;Calc!$F$2),"",IF(COUNTIFS($E$3:$E1466,$E1466,$C$3:$C1466,"&lt;&gt;U",$S$3:$S1466,Calc!$F$2)=1,1,0))</f>
        <v/>
      </c>
      <c r="R1466" s="35" t="str">
        <f aca="false">IF($Q1466=1,$O1466-ROW()/100000,"")</f>
        <v/>
      </c>
      <c r="S1466" s="37" t="str">
        <f aca="false">IF($A1466="","",INT($A1466))</f>
        <v/>
      </c>
      <c r="T1466" s="35" t="str">
        <f aca="false">IF($A1466="","",IF(COUNTIFS($S$3:$S1466,$S1466)=1,1,0))</f>
        <v/>
      </c>
      <c r="U1466" s="37" t="str">
        <f aca="false">IF($T1466=1,$S1466,"")</f>
        <v/>
      </c>
    </row>
    <row r="1467" customFormat="false" ht="15" hidden="false" customHeight="false" outlineLevel="0" collapsed="false">
      <c r="M1467" s="35" t="str">
        <f aca="false">IF($A1467="","",HOUR($A1467))</f>
        <v/>
      </c>
      <c r="N1467" s="36" t="str">
        <f aca="false">IF($A1467="","",$I1467*$K1467)</f>
        <v/>
      </c>
      <c r="O1467" s="35" t="str">
        <f aca="false">IF(OR($A1467="",$C1467="U",$S1467&lt;&gt;Calc!$F$2),"",SUMIFS($I$3:$I$3002,$E$3:$E$3002,$E1467,$C$3:$C$3002,"&lt;&gt;U",$S$3:$S$3002,Calc!$F$2))</f>
        <v/>
      </c>
      <c r="P1467" s="35" t="str">
        <f aca="false">IF(OR($A1467="",$C1467="U",$S1467&lt;&gt;Calc!$F$2),"",SUMIFS($N$3:$N$3002,$E$3:$E$3002,$E1467,$C$3:$C$3002,"&lt;&gt;U",$S$3:$S$3002,Calc!$F$2))</f>
        <v/>
      </c>
      <c r="Q1467" s="35" t="str">
        <f aca="false">IF(OR($A1467="",$C1467="U",$S1467&lt;&gt;Calc!$F$2),"",IF(COUNTIFS($E$3:$E1467,$E1467,$C$3:$C1467,"&lt;&gt;U",$S$3:$S1467,Calc!$F$2)=1,1,0))</f>
        <v/>
      </c>
      <c r="R1467" s="35" t="str">
        <f aca="false">IF($Q1467=1,$O1467-ROW()/100000,"")</f>
        <v/>
      </c>
      <c r="S1467" s="37" t="str">
        <f aca="false">IF($A1467="","",INT($A1467))</f>
        <v/>
      </c>
      <c r="T1467" s="35" t="str">
        <f aca="false">IF($A1467="","",IF(COUNTIFS($S$3:$S1467,$S1467)=1,1,0))</f>
        <v/>
      </c>
      <c r="U1467" s="37" t="str">
        <f aca="false">IF($T1467=1,$S1467,"")</f>
        <v/>
      </c>
    </row>
    <row r="1468" customFormat="false" ht="15" hidden="false" customHeight="false" outlineLevel="0" collapsed="false">
      <c r="M1468" s="35" t="str">
        <f aca="false">IF($A1468="","",HOUR($A1468))</f>
        <v/>
      </c>
      <c r="N1468" s="36" t="str">
        <f aca="false">IF($A1468="","",$I1468*$K1468)</f>
        <v/>
      </c>
      <c r="O1468" s="35" t="str">
        <f aca="false">IF(OR($A1468="",$C1468="U",$S1468&lt;&gt;Calc!$F$2),"",SUMIFS($I$3:$I$3002,$E$3:$E$3002,$E1468,$C$3:$C$3002,"&lt;&gt;U",$S$3:$S$3002,Calc!$F$2))</f>
        <v/>
      </c>
      <c r="P1468" s="35" t="str">
        <f aca="false">IF(OR($A1468="",$C1468="U",$S1468&lt;&gt;Calc!$F$2),"",SUMIFS($N$3:$N$3002,$E$3:$E$3002,$E1468,$C$3:$C$3002,"&lt;&gt;U",$S$3:$S$3002,Calc!$F$2))</f>
        <v/>
      </c>
      <c r="Q1468" s="35" t="str">
        <f aca="false">IF(OR($A1468="",$C1468="U",$S1468&lt;&gt;Calc!$F$2),"",IF(COUNTIFS($E$3:$E1468,$E1468,$C$3:$C1468,"&lt;&gt;U",$S$3:$S1468,Calc!$F$2)=1,1,0))</f>
        <v/>
      </c>
      <c r="R1468" s="35" t="str">
        <f aca="false">IF($Q1468=1,$O1468-ROW()/100000,"")</f>
        <v/>
      </c>
      <c r="S1468" s="37" t="str">
        <f aca="false">IF($A1468="","",INT($A1468))</f>
        <v/>
      </c>
      <c r="T1468" s="35" t="str">
        <f aca="false">IF($A1468="","",IF(COUNTIFS($S$3:$S1468,$S1468)=1,1,0))</f>
        <v/>
      </c>
      <c r="U1468" s="37" t="str">
        <f aca="false">IF($T1468=1,$S1468,"")</f>
        <v/>
      </c>
    </row>
    <row r="1469" customFormat="false" ht="15" hidden="false" customHeight="false" outlineLevel="0" collapsed="false">
      <c r="M1469" s="35" t="str">
        <f aca="false">IF($A1469="","",HOUR($A1469))</f>
        <v/>
      </c>
      <c r="N1469" s="36" t="str">
        <f aca="false">IF($A1469="","",$I1469*$K1469)</f>
        <v/>
      </c>
      <c r="O1469" s="35" t="str">
        <f aca="false">IF(OR($A1469="",$C1469="U",$S1469&lt;&gt;Calc!$F$2),"",SUMIFS($I$3:$I$3002,$E$3:$E$3002,$E1469,$C$3:$C$3002,"&lt;&gt;U",$S$3:$S$3002,Calc!$F$2))</f>
        <v/>
      </c>
      <c r="P1469" s="35" t="str">
        <f aca="false">IF(OR($A1469="",$C1469="U",$S1469&lt;&gt;Calc!$F$2),"",SUMIFS($N$3:$N$3002,$E$3:$E$3002,$E1469,$C$3:$C$3002,"&lt;&gt;U",$S$3:$S$3002,Calc!$F$2))</f>
        <v/>
      </c>
      <c r="Q1469" s="35" t="str">
        <f aca="false">IF(OR($A1469="",$C1469="U",$S1469&lt;&gt;Calc!$F$2),"",IF(COUNTIFS($E$3:$E1469,$E1469,$C$3:$C1469,"&lt;&gt;U",$S$3:$S1469,Calc!$F$2)=1,1,0))</f>
        <v/>
      </c>
      <c r="R1469" s="35" t="str">
        <f aca="false">IF($Q1469=1,$O1469-ROW()/100000,"")</f>
        <v/>
      </c>
      <c r="S1469" s="37" t="str">
        <f aca="false">IF($A1469="","",INT($A1469))</f>
        <v/>
      </c>
      <c r="T1469" s="35" t="str">
        <f aca="false">IF($A1469="","",IF(COUNTIFS($S$3:$S1469,$S1469)=1,1,0))</f>
        <v/>
      </c>
      <c r="U1469" s="37" t="str">
        <f aca="false">IF($T1469=1,$S1469,"")</f>
        <v/>
      </c>
    </row>
    <row r="1470" customFormat="false" ht="15" hidden="false" customHeight="false" outlineLevel="0" collapsed="false">
      <c r="M1470" s="35" t="str">
        <f aca="false">IF($A1470="","",HOUR($A1470))</f>
        <v/>
      </c>
      <c r="N1470" s="36" t="str">
        <f aca="false">IF($A1470="","",$I1470*$K1470)</f>
        <v/>
      </c>
      <c r="O1470" s="35" t="str">
        <f aca="false">IF(OR($A1470="",$C1470="U",$S1470&lt;&gt;Calc!$F$2),"",SUMIFS($I$3:$I$3002,$E$3:$E$3002,$E1470,$C$3:$C$3002,"&lt;&gt;U",$S$3:$S$3002,Calc!$F$2))</f>
        <v/>
      </c>
      <c r="P1470" s="35" t="str">
        <f aca="false">IF(OR($A1470="",$C1470="U",$S1470&lt;&gt;Calc!$F$2),"",SUMIFS($N$3:$N$3002,$E$3:$E$3002,$E1470,$C$3:$C$3002,"&lt;&gt;U",$S$3:$S$3002,Calc!$F$2))</f>
        <v/>
      </c>
      <c r="Q1470" s="35" t="str">
        <f aca="false">IF(OR($A1470="",$C1470="U",$S1470&lt;&gt;Calc!$F$2),"",IF(COUNTIFS($E$3:$E1470,$E1470,$C$3:$C1470,"&lt;&gt;U",$S$3:$S1470,Calc!$F$2)=1,1,0))</f>
        <v/>
      </c>
      <c r="R1470" s="35" t="str">
        <f aca="false">IF($Q1470=1,$O1470-ROW()/100000,"")</f>
        <v/>
      </c>
      <c r="S1470" s="37" t="str">
        <f aca="false">IF($A1470="","",INT($A1470))</f>
        <v/>
      </c>
      <c r="T1470" s="35" t="str">
        <f aca="false">IF($A1470="","",IF(COUNTIFS($S$3:$S1470,$S1470)=1,1,0))</f>
        <v/>
      </c>
      <c r="U1470" s="37" t="str">
        <f aca="false">IF($T1470=1,$S1470,"")</f>
        <v/>
      </c>
    </row>
    <row r="1471" customFormat="false" ht="15" hidden="false" customHeight="false" outlineLevel="0" collapsed="false">
      <c r="M1471" s="35" t="str">
        <f aca="false">IF($A1471="","",HOUR($A1471))</f>
        <v/>
      </c>
      <c r="N1471" s="36" t="str">
        <f aca="false">IF($A1471="","",$I1471*$K1471)</f>
        <v/>
      </c>
      <c r="O1471" s="35" t="str">
        <f aca="false">IF(OR($A1471="",$C1471="U",$S1471&lt;&gt;Calc!$F$2),"",SUMIFS($I$3:$I$3002,$E$3:$E$3002,$E1471,$C$3:$C$3002,"&lt;&gt;U",$S$3:$S$3002,Calc!$F$2))</f>
        <v/>
      </c>
      <c r="P1471" s="35" t="str">
        <f aca="false">IF(OR($A1471="",$C1471="U",$S1471&lt;&gt;Calc!$F$2),"",SUMIFS($N$3:$N$3002,$E$3:$E$3002,$E1471,$C$3:$C$3002,"&lt;&gt;U",$S$3:$S$3002,Calc!$F$2))</f>
        <v/>
      </c>
      <c r="Q1471" s="35" t="str">
        <f aca="false">IF(OR($A1471="",$C1471="U",$S1471&lt;&gt;Calc!$F$2),"",IF(COUNTIFS($E$3:$E1471,$E1471,$C$3:$C1471,"&lt;&gt;U",$S$3:$S1471,Calc!$F$2)=1,1,0))</f>
        <v/>
      </c>
      <c r="R1471" s="35" t="str">
        <f aca="false">IF($Q1471=1,$O1471-ROW()/100000,"")</f>
        <v/>
      </c>
      <c r="S1471" s="37" t="str">
        <f aca="false">IF($A1471="","",INT($A1471))</f>
        <v/>
      </c>
      <c r="T1471" s="35" t="str">
        <f aca="false">IF($A1471="","",IF(COUNTIFS($S$3:$S1471,$S1471)=1,1,0))</f>
        <v/>
      </c>
      <c r="U1471" s="37" t="str">
        <f aca="false">IF($T1471=1,$S1471,"")</f>
        <v/>
      </c>
    </row>
    <row r="1472" customFormat="false" ht="15" hidden="false" customHeight="false" outlineLevel="0" collapsed="false">
      <c r="M1472" s="35" t="str">
        <f aca="false">IF($A1472="","",HOUR($A1472))</f>
        <v/>
      </c>
      <c r="N1472" s="36" t="str">
        <f aca="false">IF($A1472="","",$I1472*$K1472)</f>
        <v/>
      </c>
      <c r="O1472" s="35" t="str">
        <f aca="false">IF(OR($A1472="",$C1472="U",$S1472&lt;&gt;Calc!$F$2),"",SUMIFS($I$3:$I$3002,$E$3:$E$3002,$E1472,$C$3:$C$3002,"&lt;&gt;U",$S$3:$S$3002,Calc!$F$2))</f>
        <v/>
      </c>
      <c r="P1472" s="35" t="str">
        <f aca="false">IF(OR($A1472="",$C1472="U",$S1472&lt;&gt;Calc!$F$2),"",SUMIFS($N$3:$N$3002,$E$3:$E$3002,$E1472,$C$3:$C$3002,"&lt;&gt;U",$S$3:$S$3002,Calc!$F$2))</f>
        <v/>
      </c>
      <c r="Q1472" s="35" t="str">
        <f aca="false">IF(OR($A1472="",$C1472="U",$S1472&lt;&gt;Calc!$F$2),"",IF(COUNTIFS($E$3:$E1472,$E1472,$C$3:$C1472,"&lt;&gt;U",$S$3:$S1472,Calc!$F$2)=1,1,0))</f>
        <v/>
      </c>
      <c r="R1472" s="35" t="str">
        <f aca="false">IF($Q1472=1,$O1472-ROW()/100000,"")</f>
        <v/>
      </c>
      <c r="S1472" s="37" t="str">
        <f aca="false">IF($A1472="","",INT($A1472))</f>
        <v/>
      </c>
      <c r="T1472" s="35" t="str">
        <f aca="false">IF($A1472="","",IF(COUNTIFS($S$3:$S1472,$S1472)=1,1,0))</f>
        <v/>
      </c>
      <c r="U1472" s="37" t="str">
        <f aca="false">IF($T1472=1,$S1472,"")</f>
        <v/>
      </c>
    </row>
    <row r="1473" customFormat="false" ht="15" hidden="false" customHeight="false" outlineLevel="0" collapsed="false">
      <c r="M1473" s="35" t="str">
        <f aca="false">IF($A1473="","",HOUR($A1473))</f>
        <v/>
      </c>
      <c r="N1473" s="36" t="str">
        <f aca="false">IF($A1473="","",$I1473*$K1473)</f>
        <v/>
      </c>
      <c r="O1473" s="35" t="str">
        <f aca="false">IF(OR($A1473="",$C1473="U",$S1473&lt;&gt;Calc!$F$2),"",SUMIFS($I$3:$I$3002,$E$3:$E$3002,$E1473,$C$3:$C$3002,"&lt;&gt;U",$S$3:$S$3002,Calc!$F$2))</f>
        <v/>
      </c>
      <c r="P1473" s="35" t="str">
        <f aca="false">IF(OR($A1473="",$C1473="U",$S1473&lt;&gt;Calc!$F$2),"",SUMIFS($N$3:$N$3002,$E$3:$E$3002,$E1473,$C$3:$C$3002,"&lt;&gt;U",$S$3:$S$3002,Calc!$F$2))</f>
        <v/>
      </c>
      <c r="Q1473" s="35" t="str">
        <f aca="false">IF(OR($A1473="",$C1473="U",$S1473&lt;&gt;Calc!$F$2),"",IF(COUNTIFS($E$3:$E1473,$E1473,$C$3:$C1473,"&lt;&gt;U",$S$3:$S1473,Calc!$F$2)=1,1,0))</f>
        <v/>
      </c>
      <c r="R1473" s="35" t="str">
        <f aca="false">IF($Q1473=1,$O1473-ROW()/100000,"")</f>
        <v/>
      </c>
      <c r="S1473" s="37" t="str">
        <f aca="false">IF($A1473="","",INT($A1473))</f>
        <v/>
      </c>
      <c r="T1473" s="35" t="str">
        <f aca="false">IF($A1473="","",IF(COUNTIFS($S$3:$S1473,$S1473)=1,1,0))</f>
        <v/>
      </c>
      <c r="U1473" s="37" t="str">
        <f aca="false">IF($T1473=1,$S1473,"")</f>
        <v/>
      </c>
    </row>
    <row r="1474" customFormat="false" ht="15" hidden="false" customHeight="false" outlineLevel="0" collapsed="false">
      <c r="M1474" s="35" t="str">
        <f aca="false">IF($A1474="","",HOUR($A1474))</f>
        <v/>
      </c>
      <c r="N1474" s="36" t="str">
        <f aca="false">IF($A1474="","",$I1474*$K1474)</f>
        <v/>
      </c>
      <c r="O1474" s="35" t="str">
        <f aca="false">IF(OR($A1474="",$C1474="U",$S1474&lt;&gt;Calc!$F$2),"",SUMIFS($I$3:$I$3002,$E$3:$E$3002,$E1474,$C$3:$C$3002,"&lt;&gt;U",$S$3:$S$3002,Calc!$F$2))</f>
        <v/>
      </c>
      <c r="P1474" s="35" t="str">
        <f aca="false">IF(OR($A1474="",$C1474="U",$S1474&lt;&gt;Calc!$F$2),"",SUMIFS($N$3:$N$3002,$E$3:$E$3002,$E1474,$C$3:$C$3002,"&lt;&gt;U",$S$3:$S$3002,Calc!$F$2))</f>
        <v/>
      </c>
      <c r="Q1474" s="35" t="str">
        <f aca="false">IF(OR($A1474="",$C1474="U",$S1474&lt;&gt;Calc!$F$2),"",IF(COUNTIFS($E$3:$E1474,$E1474,$C$3:$C1474,"&lt;&gt;U",$S$3:$S1474,Calc!$F$2)=1,1,0))</f>
        <v/>
      </c>
      <c r="R1474" s="35" t="str">
        <f aca="false">IF($Q1474=1,$O1474-ROW()/100000,"")</f>
        <v/>
      </c>
      <c r="S1474" s="37" t="str">
        <f aca="false">IF($A1474="","",INT($A1474))</f>
        <v/>
      </c>
      <c r="T1474" s="35" t="str">
        <f aca="false">IF($A1474="","",IF(COUNTIFS($S$3:$S1474,$S1474)=1,1,0))</f>
        <v/>
      </c>
      <c r="U1474" s="37" t="str">
        <f aca="false">IF($T1474=1,$S1474,"")</f>
        <v/>
      </c>
    </row>
    <row r="1475" customFormat="false" ht="15" hidden="false" customHeight="false" outlineLevel="0" collapsed="false">
      <c r="M1475" s="35" t="str">
        <f aca="false">IF($A1475="","",HOUR($A1475))</f>
        <v/>
      </c>
      <c r="N1475" s="36" t="str">
        <f aca="false">IF($A1475="","",$I1475*$K1475)</f>
        <v/>
      </c>
      <c r="O1475" s="35" t="str">
        <f aca="false">IF(OR($A1475="",$C1475="U",$S1475&lt;&gt;Calc!$F$2),"",SUMIFS($I$3:$I$3002,$E$3:$E$3002,$E1475,$C$3:$C$3002,"&lt;&gt;U",$S$3:$S$3002,Calc!$F$2))</f>
        <v/>
      </c>
      <c r="P1475" s="35" t="str">
        <f aca="false">IF(OR($A1475="",$C1475="U",$S1475&lt;&gt;Calc!$F$2),"",SUMIFS($N$3:$N$3002,$E$3:$E$3002,$E1475,$C$3:$C$3002,"&lt;&gt;U",$S$3:$S$3002,Calc!$F$2))</f>
        <v/>
      </c>
      <c r="Q1475" s="35" t="str">
        <f aca="false">IF(OR($A1475="",$C1475="U",$S1475&lt;&gt;Calc!$F$2),"",IF(COUNTIFS($E$3:$E1475,$E1475,$C$3:$C1475,"&lt;&gt;U",$S$3:$S1475,Calc!$F$2)=1,1,0))</f>
        <v/>
      </c>
      <c r="R1475" s="35" t="str">
        <f aca="false">IF($Q1475=1,$O1475-ROW()/100000,"")</f>
        <v/>
      </c>
      <c r="S1475" s="37" t="str">
        <f aca="false">IF($A1475="","",INT($A1475))</f>
        <v/>
      </c>
      <c r="T1475" s="35" t="str">
        <f aca="false">IF($A1475="","",IF(COUNTIFS($S$3:$S1475,$S1475)=1,1,0))</f>
        <v/>
      </c>
      <c r="U1475" s="37" t="str">
        <f aca="false">IF($T1475=1,$S1475,"")</f>
        <v/>
      </c>
    </row>
    <row r="1476" customFormat="false" ht="15" hidden="false" customHeight="false" outlineLevel="0" collapsed="false">
      <c r="M1476" s="35" t="str">
        <f aca="false">IF($A1476="","",HOUR($A1476))</f>
        <v/>
      </c>
      <c r="N1476" s="36" t="str">
        <f aca="false">IF($A1476="","",$I1476*$K1476)</f>
        <v/>
      </c>
      <c r="O1476" s="35" t="str">
        <f aca="false">IF(OR($A1476="",$C1476="U",$S1476&lt;&gt;Calc!$F$2),"",SUMIFS($I$3:$I$3002,$E$3:$E$3002,$E1476,$C$3:$C$3002,"&lt;&gt;U",$S$3:$S$3002,Calc!$F$2))</f>
        <v/>
      </c>
      <c r="P1476" s="35" t="str">
        <f aca="false">IF(OR($A1476="",$C1476="U",$S1476&lt;&gt;Calc!$F$2),"",SUMIFS($N$3:$N$3002,$E$3:$E$3002,$E1476,$C$3:$C$3002,"&lt;&gt;U",$S$3:$S$3002,Calc!$F$2))</f>
        <v/>
      </c>
      <c r="Q1476" s="35" t="str">
        <f aca="false">IF(OR($A1476="",$C1476="U",$S1476&lt;&gt;Calc!$F$2),"",IF(COUNTIFS($E$3:$E1476,$E1476,$C$3:$C1476,"&lt;&gt;U",$S$3:$S1476,Calc!$F$2)=1,1,0))</f>
        <v/>
      </c>
      <c r="R1476" s="35" t="str">
        <f aca="false">IF($Q1476=1,$O1476-ROW()/100000,"")</f>
        <v/>
      </c>
      <c r="S1476" s="37" t="str">
        <f aca="false">IF($A1476="","",INT($A1476))</f>
        <v/>
      </c>
      <c r="T1476" s="35" t="str">
        <f aca="false">IF($A1476="","",IF(COUNTIFS($S$3:$S1476,$S1476)=1,1,0))</f>
        <v/>
      </c>
      <c r="U1476" s="37" t="str">
        <f aca="false">IF($T1476=1,$S1476,"")</f>
        <v/>
      </c>
    </row>
    <row r="1477" customFormat="false" ht="15" hidden="false" customHeight="false" outlineLevel="0" collapsed="false">
      <c r="M1477" s="35" t="str">
        <f aca="false">IF($A1477="","",HOUR($A1477))</f>
        <v/>
      </c>
      <c r="N1477" s="36" t="str">
        <f aca="false">IF($A1477="","",$I1477*$K1477)</f>
        <v/>
      </c>
      <c r="O1477" s="35" t="str">
        <f aca="false">IF(OR($A1477="",$C1477="U",$S1477&lt;&gt;Calc!$F$2),"",SUMIFS($I$3:$I$3002,$E$3:$E$3002,$E1477,$C$3:$C$3002,"&lt;&gt;U",$S$3:$S$3002,Calc!$F$2))</f>
        <v/>
      </c>
      <c r="P1477" s="35" t="str">
        <f aca="false">IF(OR($A1477="",$C1477="U",$S1477&lt;&gt;Calc!$F$2),"",SUMIFS($N$3:$N$3002,$E$3:$E$3002,$E1477,$C$3:$C$3002,"&lt;&gt;U",$S$3:$S$3002,Calc!$F$2))</f>
        <v/>
      </c>
      <c r="Q1477" s="35" t="str">
        <f aca="false">IF(OR($A1477="",$C1477="U",$S1477&lt;&gt;Calc!$F$2),"",IF(COUNTIFS($E$3:$E1477,$E1477,$C$3:$C1477,"&lt;&gt;U",$S$3:$S1477,Calc!$F$2)=1,1,0))</f>
        <v/>
      </c>
      <c r="R1477" s="35" t="str">
        <f aca="false">IF($Q1477=1,$O1477-ROW()/100000,"")</f>
        <v/>
      </c>
      <c r="S1477" s="37" t="str">
        <f aca="false">IF($A1477="","",INT($A1477))</f>
        <v/>
      </c>
      <c r="T1477" s="35" t="str">
        <f aca="false">IF($A1477="","",IF(COUNTIFS($S$3:$S1477,$S1477)=1,1,0))</f>
        <v/>
      </c>
      <c r="U1477" s="37" t="str">
        <f aca="false">IF($T1477=1,$S1477,"")</f>
        <v/>
      </c>
    </row>
    <row r="1478" customFormat="false" ht="15" hidden="false" customHeight="false" outlineLevel="0" collapsed="false">
      <c r="M1478" s="35" t="str">
        <f aca="false">IF($A1478="","",HOUR($A1478))</f>
        <v/>
      </c>
      <c r="N1478" s="36" t="str">
        <f aca="false">IF($A1478="","",$I1478*$K1478)</f>
        <v/>
      </c>
      <c r="O1478" s="35" t="str">
        <f aca="false">IF(OR($A1478="",$C1478="U",$S1478&lt;&gt;Calc!$F$2),"",SUMIFS($I$3:$I$3002,$E$3:$E$3002,$E1478,$C$3:$C$3002,"&lt;&gt;U",$S$3:$S$3002,Calc!$F$2))</f>
        <v/>
      </c>
      <c r="P1478" s="35" t="str">
        <f aca="false">IF(OR($A1478="",$C1478="U",$S1478&lt;&gt;Calc!$F$2),"",SUMIFS($N$3:$N$3002,$E$3:$E$3002,$E1478,$C$3:$C$3002,"&lt;&gt;U",$S$3:$S$3002,Calc!$F$2))</f>
        <v/>
      </c>
      <c r="Q1478" s="35" t="str">
        <f aca="false">IF(OR($A1478="",$C1478="U",$S1478&lt;&gt;Calc!$F$2),"",IF(COUNTIFS($E$3:$E1478,$E1478,$C$3:$C1478,"&lt;&gt;U",$S$3:$S1478,Calc!$F$2)=1,1,0))</f>
        <v/>
      </c>
      <c r="R1478" s="35" t="str">
        <f aca="false">IF($Q1478=1,$O1478-ROW()/100000,"")</f>
        <v/>
      </c>
      <c r="S1478" s="37" t="str">
        <f aca="false">IF($A1478="","",INT($A1478))</f>
        <v/>
      </c>
      <c r="T1478" s="35" t="str">
        <f aca="false">IF($A1478="","",IF(COUNTIFS($S$3:$S1478,$S1478)=1,1,0))</f>
        <v/>
      </c>
      <c r="U1478" s="37" t="str">
        <f aca="false">IF($T1478=1,$S1478,"")</f>
        <v/>
      </c>
    </row>
    <row r="1479" customFormat="false" ht="15" hidden="false" customHeight="false" outlineLevel="0" collapsed="false">
      <c r="M1479" s="35" t="str">
        <f aca="false">IF($A1479="","",HOUR($A1479))</f>
        <v/>
      </c>
      <c r="N1479" s="36" t="str">
        <f aca="false">IF($A1479="","",$I1479*$K1479)</f>
        <v/>
      </c>
      <c r="O1479" s="35" t="str">
        <f aca="false">IF(OR($A1479="",$C1479="U",$S1479&lt;&gt;Calc!$F$2),"",SUMIFS($I$3:$I$3002,$E$3:$E$3002,$E1479,$C$3:$C$3002,"&lt;&gt;U",$S$3:$S$3002,Calc!$F$2))</f>
        <v/>
      </c>
      <c r="P1479" s="35" t="str">
        <f aca="false">IF(OR($A1479="",$C1479="U",$S1479&lt;&gt;Calc!$F$2),"",SUMIFS($N$3:$N$3002,$E$3:$E$3002,$E1479,$C$3:$C$3002,"&lt;&gt;U",$S$3:$S$3002,Calc!$F$2))</f>
        <v/>
      </c>
      <c r="Q1479" s="35" t="str">
        <f aca="false">IF(OR($A1479="",$C1479="U",$S1479&lt;&gt;Calc!$F$2),"",IF(COUNTIFS($E$3:$E1479,$E1479,$C$3:$C1479,"&lt;&gt;U",$S$3:$S1479,Calc!$F$2)=1,1,0))</f>
        <v/>
      </c>
      <c r="R1479" s="35" t="str">
        <f aca="false">IF($Q1479=1,$O1479-ROW()/100000,"")</f>
        <v/>
      </c>
      <c r="S1479" s="37" t="str">
        <f aca="false">IF($A1479="","",INT($A1479))</f>
        <v/>
      </c>
      <c r="T1479" s="35" t="str">
        <f aca="false">IF($A1479="","",IF(COUNTIFS($S$3:$S1479,$S1479)=1,1,0))</f>
        <v/>
      </c>
      <c r="U1479" s="37" t="str">
        <f aca="false">IF($T1479=1,$S1479,"")</f>
        <v/>
      </c>
    </row>
    <row r="1480" customFormat="false" ht="15" hidden="false" customHeight="false" outlineLevel="0" collapsed="false">
      <c r="M1480" s="35" t="str">
        <f aca="false">IF($A1480="","",HOUR($A1480))</f>
        <v/>
      </c>
      <c r="N1480" s="36" t="str">
        <f aca="false">IF($A1480="","",$I1480*$K1480)</f>
        <v/>
      </c>
      <c r="O1480" s="35" t="str">
        <f aca="false">IF(OR($A1480="",$C1480="U",$S1480&lt;&gt;Calc!$F$2),"",SUMIFS($I$3:$I$3002,$E$3:$E$3002,$E1480,$C$3:$C$3002,"&lt;&gt;U",$S$3:$S$3002,Calc!$F$2))</f>
        <v/>
      </c>
      <c r="P1480" s="35" t="str">
        <f aca="false">IF(OR($A1480="",$C1480="U",$S1480&lt;&gt;Calc!$F$2),"",SUMIFS($N$3:$N$3002,$E$3:$E$3002,$E1480,$C$3:$C$3002,"&lt;&gt;U",$S$3:$S$3002,Calc!$F$2))</f>
        <v/>
      </c>
      <c r="Q1480" s="35" t="str">
        <f aca="false">IF(OR($A1480="",$C1480="U",$S1480&lt;&gt;Calc!$F$2),"",IF(COUNTIFS($E$3:$E1480,$E1480,$C$3:$C1480,"&lt;&gt;U",$S$3:$S1480,Calc!$F$2)=1,1,0))</f>
        <v/>
      </c>
      <c r="R1480" s="35" t="str">
        <f aca="false">IF($Q1480=1,$O1480-ROW()/100000,"")</f>
        <v/>
      </c>
      <c r="S1480" s="37" t="str">
        <f aca="false">IF($A1480="","",INT($A1480))</f>
        <v/>
      </c>
      <c r="T1480" s="35" t="str">
        <f aca="false">IF($A1480="","",IF(COUNTIFS($S$3:$S1480,$S1480)=1,1,0))</f>
        <v/>
      </c>
      <c r="U1480" s="37" t="str">
        <f aca="false">IF($T1480=1,$S1480,"")</f>
        <v/>
      </c>
    </row>
    <row r="1481" customFormat="false" ht="15" hidden="false" customHeight="false" outlineLevel="0" collapsed="false">
      <c r="M1481" s="35" t="str">
        <f aca="false">IF($A1481="","",HOUR($A1481))</f>
        <v/>
      </c>
      <c r="N1481" s="36" t="str">
        <f aca="false">IF($A1481="","",$I1481*$K1481)</f>
        <v/>
      </c>
      <c r="O1481" s="35" t="str">
        <f aca="false">IF(OR($A1481="",$C1481="U",$S1481&lt;&gt;Calc!$F$2),"",SUMIFS($I$3:$I$3002,$E$3:$E$3002,$E1481,$C$3:$C$3002,"&lt;&gt;U",$S$3:$S$3002,Calc!$F$2))</f>
        <v/>
      </c>
      <c r="P1481" s="35" t="str">
        <f aca="false">IF(OR($A1481="",$C1481="U",$S1481&lt;&gt;Calc!$F$2),"",SUMIFS($N$3:$N$3002,$E$3:$E$3002,$E1481,$C$3:$C$3002,"&lt;&gt;U",$S$3:$S$3002,Calc!$F$2))</f>
        <v/>
      </c>
      <c r="Q1481" s="35" t="str">
        <f aca="false">IF(OR($A1481="",$C1481="U",$S1481&lt;&gt;Calc!$F$2),"",IF(COUNTIFS($E$3:$E1481,$E1481,$C$3:$C1481,"&lt;&gt;U",$S$3:$S1481,Calc!$F$2)=1,1,0))</f>
        <v/>
      </c>
      <c r="R1481" s="35" t="str">
        <f aca="false">IF($Q1481=1,$O1481-ROW()/100000,"")</f>
        <v/>
      </c>
      <c r="S1481" s="37" t="str">
        <f aca="false">IF($A1481="","",INT($A1481))</f>
        <v/>
      </c>
      <c r="T1481" s="35" t="str">
        <f aca="false">IF($A1481="","",IF(COUNTIFS($S$3:$S1481,$S1481)=1,1,0))</f>
        <v/>
      </c>
      <c r="U1481" s="37" t="str">
        <f aca="false">IF($T1481=1,$S1481,"")</f>
        <v/>
      </c>
    </row>
    <row r="1482" customFormat="false" ht="15" hidden="false" customHeight="false" outlineLevel="0" collapsed="false">
      <c r="M1482" s="35" t="str">
        <f aca="false">IF($A1482="","",HOUR($A1482))</f>
        <v/>
      </c>
      <c r="N1482" s="36" t="str">
        <f aca="false">IF($A1482="","",$I1482*$K1482)</f>
        <v/>
      </c>
      <c r="O1482" s="35" t="str">
        <f aca="false">IF(OR($A1482="",$C1482="U",$S1482&lt;&gt;Calc!$F$2),"",SUMIFS($I$3:$I$3002,$E$3:$E$3002,$E1482,$C$3:$C$3002,"&lt;&gt;U",$S$3:$S$3002,Calc!$F$2))</f>
        <v/>
      </c>
      <c r="P1482" s="35" t="str">
        <f aca="false">IF(OR($A1482="",$C1482="U",$S1482&lt;&gt;Calc!$F$2),"",SUMIFS($N$3:$N$3002,$E$3:$E$3002,$E1482,$C$3:$C$3002,"&lt;&gt;U",$S$3:$S$3002,Calc!$F$2))</f>
        <v/>
      </c>
      <c r="Q1482" s="35" t="str">
        <f aca="false">IF(OR($A1482="",$C1482="U",$S1482&lt;&gt;Calc!$F$2),"",IF(COUNTIFS($E$3:$E1482,$E1482,$C$3:$C1482,"&lt;&gt;U",$S$3:$S1482,Calc!$F$2)=1,1,0))</f>
        <v/>
      </c>
      <c r="R1482" s="35" t="str">
        <f aca="false">IF($Q1482=1,$O1482-ROW()/100000,"")</f>
        <v/>
      </c>
      <c r="S1482" s="37" t="str">
        <f aca="false">IF($A1482="","",INT($A1482))</f>
        <v/>
      </c>
      <c r="T1482" s="35" t="str">
        <f aca="false">IF($A1482="","",IF(COUNTIFS($S$3:$S1482,$S1482)=1,1,0))</f>
        <v/>
      </c>
      <c r="U1482" s="37" t="str">
        <f aca="false">IF($T1482=1,$S1482,"")</f>
        <v/>
      </c>
    </row>
    <row r="1483" customFormat="false" ht="15" hidden="false" customHeight="false" outlineLevel="0" collapsed="false">
      <c r="M1483" s="35" t="str">
        <f aca="false">IF($A1483="","",HOUR($A1483))</f>
        <v/>
      </c>
      <c r="N1483" s="36" t="str">
        <f aca="false">IF($A1483="","",$I1483*$K1483)</f>
        <v/>
      </c>
      <c r="O1483" s="35" t="str">
        <f aca="false">IF(OR($A1483="",$C1483="U",$S1483&lt;&gt;Calc!$F$2),"",SUMIFS($I$3:$I$3002,$E$3:$E$3002,$E1483,$C$3:$C$3002,"&lt;&gt;U",$S$3:$S$3002,Calc!$F$2))</f>
        <v/>
      </c>
      <c r="P1483" s="35" t="str">
        <f aca="false">IF(OR($A1483="",$C1483="U",$S1483&lt;&gt;Calc!$F$2),"",SUMIFS($N$3:$N$3002,$E$3:$E$3002,$E1483,$C$3:$C$3002,"&lt;&gt;U",$S$3:$S$3002,Calc!$F$2))</f>
        <v/>
      </c>
      <c r="Q1483" s="35" t="str">
        <f aca="false">IF(OR($A1483="",$C1483="U",$S1483&lt;&gt;Calc!$F$2),"",IF(COUNTIFS($E$3:$E1483,$E1483,$C$3:$C1483,"&lt;&gt;U",$S$3:$S1483,Calc!$F$2)=1,1,0))</f>
        <v/>
      </c>
      <c r="R1483" s="35" t="str">
        <f aca="false">IF($Q1483=1,$O1483-ROW()/100000,"")</f>
        <v/>
      </c>
      <c r="S1483" s="37" t="str">
        <f aca="false">IF($A1483="","",INT($A1483))</f>
        <v/>
      </c>
      <c r="T1483" s="35" t="str">
        <f aca="false">IF($A1483="","",IF(COUNTIFS($S$3:$S1483,$S1483)=1,1,0))</f>
        <v/>
      </c>
      <c r="U1483" s="37" t="str">
        <f aca="false">IF($T1483=1,$S1483,"")</f>
        <v/>
      </c>
    </row>
    <row r="1484" customFormat="false" ht="15" hidden="false" customHeight="false" outlineLevel="0" collapsed="false">
      <c r="M1484" s="35" t="str">
        <f aca="false">IF($A1484="","",HOUR($A1484))</f>
        <v/>
      </c>
      <c r="N1484" s="36" t="str">
        <f aca="false">IF($A1484="","",$I1484*$K1484)</f>
        <v/>
      </c>
      <c r="O1484" s="35" t="str">
        <f aca="false">IF(OR($A1484="",$C1484="U",$S1484&lt;&gt;Calc!$F$2),"",SUMIFS($I$3:$I$3002,$E$3:$E$3002,$E1484,$C$3:$C$3002,"&lt;&gt;U",$S$3:$S$3002,Calc!$F$2))</f>
        <v/>
      </c>
      <c r="P1484" s="35" t="str">
        <f aca="false">IF(OR($A1484="",$C1484="U",$S1484&lt;&gt;Calc!$F$2),"",SUMIFS($N$3:$N$3002,$E$3:$E$3002,$E1484,$C$3:$C$3002,"&lt;&gt;U",$S$3:$S$3002,Calc!$F$2))</f>
        <v/>
      </c>
      <c r="Q1484" s="35" t="str">
        <f aca="false">IF(OR($A1484="",$C1484="U",$S1484&lt;&gt;Calc!$F$2),"",IF(COUNTIFS($E$3:$E1484,$E1484,$C$3:$C1484,"&lt;&gt;U",$S$3:$S1484,Calc!$F$2)=1,1,0))</f>
        <v/>
      </c>
      <c r="R1484" s="35" t="str">
        <f aca="false">IF($Q1484=1,$O1484-ROW()/100000,"")</f>
        <v/>
      </c>
      <c r="S1484" s="37" t="str">
        <f aca="false">IF($A1484="","",INT($A1484))</f>
        <v/>
      </c>
      <c r="T1484" s="35" t="str">
        <f aca="false">IF($A1484="","",IF(COUNTIFS($S$3:$S1484,$S1484)=1,1,0))</f>
        <v/>
      </c>
      <c r="U1484" s="37" t="str">
        <f aca="false">IF($T1484=1,$S1484,"")</f>
        <v/>
      </c>
    </row>
    <row r="1485" customFormat="false" ht="15" hidden="false" customHeight="false" outlineLevel="0" collapsed="false">
      <c r="M1485" s="35" t="str">
        <f aca="false">IF($A1485="","",HOUR($A1485))</f>
        <v/>
      </c>
      <c r="N1485" s="36" t="str">
        <f aca="false">IF($A1485="","",$I1485*$K1485)</f>
        <v/>
      </c>
      <c r="O1485" s="35" t="str">
        <f aca="false">IF(OR($A1485="",$C1485="U",$S1485&lt;&gt;Calc!$F$2),"",SUMIFS($I$3:$I$3002,$E$3:$E$3002,$E1485,$C$3:$C$3002,"&lt;&gt;U",$S$3:$S$3002,Calc!$F$2))</f>
        <v/>
      </c>
      <c r="P1485" s="35" t="str">
        <f aca="false">IF(OR($A1485="",$C1485="U",$S1485&lt;&gt;Calc!$F$2),"",SUMIFS($N$3:$N$3002,$E$3:$E$3002,$E1485,$C$3:$C$3002,"&lt;&gt;U",$S$3:$S$3002,Calc!$F$2))</f>
        <v/>
      </c>
      <c r="Q1485" s="35" t="str">
        <f aca="false">IF(OR($A1485="",$C1485="U",$S1485&lt;&gt;Calc!$F$2),"",IF(COUNTIFS($E$3:$E1485,$E1485,$C$3:$C1485,"&lt;&gt;U",$S$3:$S1485,Calc!$F$2)=1,1,0))</f>
        <v/>
      </c>
      <c r="R1485" s="35" t="str">
        <f aca="false">IF($Q1485=1,$O1485-ROW()/100000,"")</f>
        <v/>
      </c>
      <c r="S1485" s="37" t="str">
        <f aca="false">IF($A1485="","",INT($A1485))</f>
        <v/>
      </c>
      <c r="T1485" s="35" t="str">
        <f aca="false">IF($A1485="","",IF(COUNTIFS($S$3:$S1485,$S1485)=1,1,0))</f>
        <v/>
      </c>
      <c r="U1485" s="37" t="str">
        <f aca="false">IF($T1485=1,$S1485,"")</f>
        <v/>
      </c>
    </row>
    <row r="1486" customFormat="false" ht="15" hidden="false" customHeight="false" outlineLevel="0" collapsed="false">
      <c r="M1486" s="35" t="str">
        <f aca="false">IF($A1486="","",HOUR($A1486))</f>
        <v/>
      </c>
      <c r="N1486" s="36" t="str">
        <f aca="false">IF($A1486="","",$I1486*$K1486)</f>
        <v/>
      </c>
      <c r="O1486" s="35" t="str">
        <f aca="false">IF(OR($A1486="",$C1486="U",$S1486&lt;&gt;Calc!$F$2),"",SUMIFS($I$3:$I$3002,$E$3:$E$3002,$E1486,$C$3:$C$3002,"&lt;&gt;U",$S$3:$S$3002,Calc!$F$2))</f>
        <v/>
      </c>
      <c r="P1486" s="35" t="str">
        <f aca="false">IF(OR($A1486="",$C1486="U",$S1486&lt;&gt;Calc!$F$2),"",SUMIFS($N$3:$N$3002,$E$3:$E$3002,$E1486,$C$3:$C$3002,"&lt;&gt;U",$S$3:$S$3002,Calc!$F$2))</f>
        <v/>
      </c>
      <c r="Q1486" s="35" t="str">
        <f aca="false">IF(OR($A1486="",$C1486="U",$S1486&lt;&gt;Calc!$F$2),"",IF(COUNTIFS($E$3:$E1486,$E1486,$C$3:$C1486,"&lt;&gt;U",$S$3:$S1486,Calc!$F$2)=1,1,0))</f>
        <v/>
      </c>
      <c r="R1486" s="35" t="str">
        <f aca="false">IF($Q1486=1,$O1486-ROW()/100000,"")</f>
        <v/>
      </c>
      <c r="S1486" s="37" t="str">
        <f aca="false">IF($A1486="","",INT($A1486))</f>
        <v/>
      </c>
      <c r="T1486" s="35" t="str">
        <f aca="false">IF($A1486="","",IF(COUNTIFS($S$3:$S1486,$S1486)=1,1,0))</f>
        <v/>
      </c>
      <c r="U1486" s="37" t="str">
        <f aca="false">IF($T1486=1,$S1486,"")</f>
        <v/>
      </c>
    </row>
    <row r="1487" customFormat="false" ht="15" hidden="false" customHeight="false" outlineLevel="0" collapsed="false">
      <c r="M1487" s="35" t="str">
        <f aca="false">IF($A1487="","",HOUR($A1487))</f>
        <v/>
      </c>
      <c r="N1487" s="36" t="str">
        <f aca="false">IF($A1487="","",$I1487*$K1487)</f>
        <v/>
      </c>
      <c r="O1487" s="35" t="str">
        <f aca="false">IF(OR($A1487="",$C1487="U",$S1487&lt;&gt;Calc!$F$2),"",SUMIFS($I$3:$I$3002,$E$3:$E$3002,$E1487,$C$3:$C$3002,"&lt;&gt;U",$S$3:$S$3002,Calc!$F$2))</f>
        <v/>
      </c>
      <c r="P1487" s="35" t="str">
        <f aca="false">IF(OR($A1487="",$C1487="U",$S1487&lt;&gt;Calc!$F$2),"",SUMIFS($N$3:$N$3002,$E$3:$E$3002,$E1487,$C$3:$C$3002,"&lt;&gt;U",$S$3:$S$3002,Calc!$F$2))</f>
        <v/>
      </c>
      <c r="Q1487" s="35" t="str">
        <f aca="false">IF(OR($A1487="",$C1487="U",$S1487&lt;&gt;Calc!$F$2),"",IF(COUNTIFS($E$3:$E1487,$E1487,$C$3:$C1487,"&lt;&gt;U",$S$3:$S1487,Calc!$F$2)=1,1,0))</f>
        <v/>
      </c>
      <c r="R1487" s="35" t="str">
        <f aca="false">IF($Q1487=1,$O1487-ROW()/100000,"")</f>
        <v/>
      </c>
      <c r="S1487" s="37" t="str">
        <f aca="false">IF($A1487="","",INT($A1487))</f>
        <v/>
      </c>
      <c r="T1487" s="35" t="str">
        <f aca="false">IF($A1487="","",IF(COUNTIFS($S$3:$S1487,$S1487)=1,1,0))</f>
        <v/>
      </c>
      <c r="U1487" s="37" t="str">
        <f aca="false">IF($T1487=1,$S1487,"")</f>
        <v/>
      </c>
    </row>
    <row r="1488" customFormat="false" ht="15" hidden="false" customHeight="false" outlineLevel="0" collapsed="false">
      <c r="M1488" s="35" t="str">
        <f aca="false">IF($A1488="","",HOUR($A1488))</f>
        <v/>
      </c>
      <c r="N1488" s="36" t="str">
        <f aca="false">IF($A1488="","",$I1488*$K1488)</f>
        <v/>
      </c>
      <c r="O1488" s="35" t="str">
        <f aca="false">IF(OR($A1488="",$C1488="U",$S1488&lt;&gt;Calc!$F$2),"",SUMIFS($I$3:$I$3002,$E$3:$E$3002,$E1488,$C$3:$C$3002,"&lt;&gt;U",$S$3:$S$3002,Calc!$F$2))</f>
        <v/>
      </c>
      <c r="P1488" s="35" t="str">
        <f aca="false">IF(OR($A1488="",$C1488="U",$S1488&lt;&gt;Calc!$F$2),"",SUMIFS($N$3:$N$3002,$E$3:$E$3002,$E1488,$C$3:$C$3002,"&lt;&gt;U",$S$3:$S$3002,Calc!$F$2))</f>
        <v/>
      </c>
      <c r="Q1488" s="35" t="str">
        <f aca="false">IF(OR($A1488="",$C1488="U",$S1488&lt;&gt;Calc!$F$2),"",IF(COUNTIFS($E$3:$E1488,$E1488,$C$3:$C1488,"&lt;&gt;U",$S$3:$S1488,Calc!$F$2)=1,1,0))</f>
        <v/>
      </c>
      <c r="R1488" s="35" t="str">
        <f aca="false">IF($Q1488=1,$O1488-ROW()/100000,"")</f>
        <v/>
      </c>
      <c r="S1488" s="37" t="str">
        <f aca="false">IF($A1488="","",INT($A1488))</f>
        <v/>
      </c>
      <c r="T1488" s="35" t="str">
        <f aca="false">IF($A1488="","",IF(COUNTIFS($S$3:$S1488,$S1488)=1,1,0))</f>
        <v/>
      </c>
      <c r="U1488" s="37" t="str">
        <f aca="false">IF($T1488=1,$S1488,"")</f>
        <v/>
      </c>
    </row>
    <row r="1489" customFormat="false" ht="15" hidden="false" customHeight="false" outlineLevel="0" collapsed="false">
      <c r="M1489" s="35" t="str">
        <f aca="false">IF($A1489="","",HOUR($A1489))</f>
        <v/>
      </c>
      <c r="N1489" s="36" t="str">
        <f aca="false">IF($A1489="","",$I1489*$K1489)</f>
        <v/>
      </c>
      <c r="O1489" s="35" t="str">
        <f aca="false">IF(OR($A1489="",$C1489="U",$S1489&lt;&gt;Calc!$F$2),"",SUMIFS($I$3:$I$3002,$E$3:$E$3002,$E1489,$C$3:$C$3002,"&lt;&gt;U",$S$3:$S$3002,Calc!$F$2))</f>
        <v/>
      </c>
      <c r="P1489" s="35" t="str">
        <f aca="false">IF(OR($A1489="",$C1489="U",$S1489&lt;&gt;Calc!$F$2),"",SUMIFS($N$3:$N$3002,$E$3:$E$3002,$E1489,$C$3:$C$3002,"&lt;&gt;U",$S$3:$S$3002,Calc!$F$2))</f>
        <v/>
      </c>
      <c r="Q1489" s="35" t="str">
        <f aca="false">IF(OR($A1489="",$C1489="U",$S1489&lt;&gt;Calc!$F$2),"",IF(COUNTIFS($E$3:$E1489,$E1489,$C$3:$C1489,"&lt;&gt;U",$S$3:$S1489,Calc!$F$2)=1,1,0))</f>
        <v/>
      </c>
      <c r="R1489" s="35" t="str">
        <f aca="false">IF($Q1489=1,$O1489-ROW()/100000,"")</f>
        <v/>
      </c>
      <c r="S1489" s="37" t="str">
        <f aca="false">IF($A1489="","",INT($A1489))</f>
        <v/>
      </c>
      <c r="T1489" s="35" t="str">
        <f aca="false">IF($A1489="","",IF(COUNTIFS($S$3:$S1489,$S1489)=1,1,0))</f>
        <v/>
      </c>
      <c r="U1489" s="37" t="str">
        <f aca="false">IF($T1489=1,$S1489,"")</f>
        <v/>
      </c>
    </row>
    <row r="1490" customFormat="false" ht="15" hidden="false" customHeight="false" outlineLevel="0" collapsed="false">
      <c r="M1490" s="35" t="str">
        <f aca="false">IF($A1490="","",HOUR($A1490))</f>
        <v/>
      </c>
      <c r="N1490" s="36" t="str">
        <f aca="false">IF($A1490="","",$I1490*$K1490)</f>
        <v/>
      </c>
      <c r="O1490" s="35" t="str">
        <f aca="false">IF(OR($A1490="",$C1490="U",$S1490&lt;&gt;Calc!$F$2),"",SUMIFS($I$3:$I$3002,$E$3:$E$3002,$E1490,$C$3:$C$3002,"&lt;&gt;U",$S$3:$S$3002,Calc!$F$2))</f>
        <v/>
      </c>
      <c r="P1490" s="35" t="str">
        <f aca="false">IF(OR($A1490="",$C1490="U",$S1490&lt;&gt;Calc!$F$2),"",SUMIFS($N$3:$N$3002,$E$3:$E$3002,$E1490,$C$3:$C$3002,"&lt;&gt;U",$S$3:$S$3002,Calc!$F$2))</f>
        <v/>
      </c>
      <c r="Q1490" s="35" t="str">
        <f aca="false">IF(OR($A1490="",$C1490="U",$S1490&lt;&gt;Calc!$F$2),"",IF(COUNTIFS($E$3:$E1490,$E1490,$C$3:$C1490,"&lt;&gt;U",$S$3:$S1490,Calc!$F$2)=1,1,0))</f>
        <v/>
      </c>
      <c r="R1490" s="35" t="str">
        <f aca="false">IF($Q1490=1,$O1490-ROW()/100000,"")</f>
        <v/>
      </c>
      <c r="S1490" s="37" t="str">
        <f aca="false">IF($A1490="","",INT($A1490))</f>
        <v/>
      </c>
      <c r="T1490" s="35" t="str">
        <f aca="false">IF($A1490="","",IF(COUNTIFS($S$3:$S1490,$S1490)=1,1,0))</f>
        <v/>
      </c>
      <c r="U1490" s="37" t="str">
        <f aca="false">IF($T1490=1,$S1490,"")</f>
        <v/>
      </c>
    </row>
    <row r="1491" customFormat="false" ht="15" hidden="false" customHeight="false" outlineLevel="0" collapsed="false">
      <c r="M1491" s="35" t="str">
        <f aca="false">IF($A1491="","",HOUR($A1491))</f>
        <v/>
      </c>
      <c r="N1491" s="36" t="str">
        <f aca="false">IF($A1491="","",$I1491*$K1491)</f>
        <v/>
      </c>
      <c r="O1491" s="35" t="str">
        <f aca="false">IF(OR($A1491="",$C1491="U",$S1491&lt;&gt;Calc!$F$2),"",SUMIFS($I$3:$I$3002,$E$3:$E$3002,$E1491,$C$3:$C$3002,"&lt;&gt;U",$S$3:$S$3002,Calc!$F$2))</f>
        <v/>
      </c>
      <c r="P1491" s="35" t="str">
        <f aca="false">IF(OR($A1491="",$C1491="U",$S1491&lt;&gt;Calc!$F$2),"",SUMIFS($N$3:$N$3002,$E$3:$E$3002,$E1491,$C$3:$C$3002,"&lt;&gt;U",$S$3:$S$3002,Calc!$F$2))</f>
        <v/>
      </c>
      <c r="Q1491" s="35" t="str">
        <f aca="false">IF(OR($A1491="",$C1491="U",$S1491&lt;&gt;Calc!$F$2),"",IF(COUNTIFS($E$3:$E1491,$E1491,$C$3:$C1491,"&lt;&gt;U",$S$3:$S1491,Calc!$F$2)=1,1,0))</f>
        <v/>
      </c>
      <c r="R1491" s="35" t="str">
        <f aca="false">IF($Q1491=1,$O1491-ROW()/100000,"")</f>
        <v/>
      </c>
      <c r="S1491" s="37" t="str">
        <f aca="false">IF($A1491="","",INT($A1491))</f>
        <v/>
      </c>
      <c r="T1491" s="35" t="str">
        <f aca="false">IF($A1491="","",IF(COUNTIFS($S$3:$S1491,$S1491)=1,1,0))</f>
        <v/>
      </c>
      <c r="U1491" s="37" t="str">
        <f aca="false">IF($T1491=1,$S1491,"")</f>
        <v/>
      </c>
    </row>
    <row r="1492" customFormat="false" ht="15" hidden="false" customHeight="false" outlineLevel="0" collapsed="false">
      <c r="M1492" s="35" t="str">
        <f aca="false">IF($A1492="","",HOUR($A1492))</f>
        <v/>
      </c>
      <c r="N1492" s="36" t="str">
        <f aca="false">IF($A1492="","",$I1492*$K1492)</f>
        <v/>
      </c>
      <c r="O1492" s="35" t="str">
        <f aca="false">IF(OR($A1492="",$C1492="U",$S1492&lt;&gt;Calc!$F$2),"",SUMIFS($I$3:$I$3002,$E$3:$E$3002,$E1492,$C$3:$C$3002,"&lt;&gt;U",$S$3:$S$3002,Calc!$F$2))</f>
        <v/>
      </c>
      <c r="P1492" s="35" t="str">
        <f aca="false">IF(OR($A1492="",$C1492="U",$S1492&lt;&gt;Calc!$F$2),"",SUMIFS($N$3:$N$3002,$E$3:$E$3002,$E1492,$C$3:$C$3002,"&lt;&gt;U",$S$3:$S$3002,Calc!$F$2))</f>
        <v/>
      </c>
      <c r="Q1492" s="35" t="str">
        <f aca="false">IF(OR($A1492="",$C1492="U",$S1492&lt;&gt;Calc!$F$2),"",IF(COUNTIFS($E$3:$E1492,$E1492,$C$3:$C1492,"&lt;&gt;U",$S$3:$S1492,Calc!$F$2)=1,1,0))</f>
        <v/>
      </c>
      <c r="R1492" s="35" t="str">
        <f aca="false">IF($Q1492=1,$O1492-ROW()/100000,"")</f>
        <v/>
      </c>
      <c r="S1492" s="37" t="str">
        <f aca="false">IF($A1492="","",INT($A1492))</f>
        <v/>
      </c>
      <c r="T1492" s="35" t="str">
        <f aca="false">IF($A1492="","",IF(COUNTIFS($S$3:$S1492,$S1492)=1,1,0))</f>
        <v/>
      </c>
      <c r="U1492" s="37" t="str">
        <f aca="false">IF($T1492=1,$S1492,"")</f>
        <v/>
      </c>
    </row>
    <row r="1493" customFormat="false" ht="15" hidden="false" customHeight="false" outlineLevel="0" collapsed="false">
      <c r="M1493" s="35" t="str">
        <f aca="false">IF($A1493="","",HOUR($A1493))</f>
        <v/>
      </c>
      <c r="N1493" s="36" t="str">
        <f aca="false">IF($A1493="","",$I1493*$K1493)</f>
        <v/>
      </c>
      <c r="O1493" s="35" t="str">
        <f aca="false">IF(OR($A1493="",$C1493="U",$S1493&lt;&gt;Calc!$F$2),"",SUMIFS($I$3:$I$3002,$E$3:$E$3002,$E1493,$C$3:$C$3002,"&lt;&gt;U",$S$3:$S$3002,Calc!$F$2))</f>
        <v/>
      </c>
      <c r="P1493" s="35" t="str">
        <f aca="false">IF(OR($A1493="",$C1493="U",$S1493&lt;&gt;Calc!$F$2),"",SUMIFS($N$3:$N$3002,$E$3:$E$3002,$E1493,$C$3:$C$3002,"&lt;&gt;U",$S$3:$S$3002,Calc!$F$2))</f>
        <v/>
      </c>
      <c r="Q1493" s="35" t="str">
        <f aca="false">IF(OR($A1493="",$C1493="U",$S1493&lt;&gt;Calc!$F$2),"",IF(COUNTIFS($E$3:$E1493,$E1493,$C$3:$C1493,"&lt;&gt;U",$S$3:$S1493,Calc!$F$2)=1,1,0))</f>
        <v/>
      </c>
      <c r="R1493" s="35" t="str">
        <f aca="false">IF($Q1493=1,$O1493-ROW()/100000,"")</f>
        <v/>
      </c>
      <c r="S1493" s="37" t="str">
        <f aca="false">IF($A1493="","",INT($A1493))</f>
        <v/>
      </c>
      <c r="T1493" s="35" t="str">
        <f aca="false">IF($A1493="","",IF(COUNTIFS($S$3:$S1493,$S1493)=1,1,0))</f>
        <v/>
      </c>
      <c r="U1493" s="37" t="str">
        <f aca="false">IF($T1493=1,$S1493,"")</f>
        <v/>
      </c>
    </row>
    <row r="1494" customFormat="false" ht="15" hidden="false" customHeight="false" outlineLevel="0" collapsed="false">
      <c r="M1494" s="35" t="str">
        <f aca="false">IF($A1494="","",HOUR($A1494))</f>
        <v/>
      </c>
      <c r="N1494" s="36" t="str">
        <f aca="false">IF($A1494="","",$I1494*$K1494)</f>
        <v/>
      </c>
      <c r="O1494" s="35" t="str">
        <f aca="false">IF(OR($A1494="",$C1494="U",$S1494&lt;&gt;Calc!$F$2),"",SUMIFS($I$3:$I$3002,$E$3:$E$3002,$E1494,$C$3:$C$3002,"&lt;&gt;U",$S$3:$S$3002,Calc!$F$2))</f>
        <v/>
      </c>
      <c r="P1494" s="35" t="str">
        <f aca="false">IF(OR($A1494="",$C1494="U",$S1494&lt;&gt;Calc!$F$2),"",SUMIFS($N$3:$N$3002,$E$3:$E$3002,$E1494,$C$3:$C$3002,"&lt;&gt;U",$S$3:$S$3002,Calc!$F$2))</f>
        <v/>
      </c>
      <c r="Q1494" s="35" t="str">
        <f aca="false">IF(OR($A1494="",$C1494="U",$S1494&lt;&gt;Calc!$F$2),"",IF(COUNTIFS($E$3:$E1494,$E1494,$C$3:$C1494,"&lt;&gt;U",$S$3:$S1494,Calc!$F$2)=1,1,0))</f>
        <v/>
      </c>
      <c r="R1494" s="35" t="str">
        <f aca="false">IF($Q1494=1,$O1494-ROW()/100000,"")</f>
        <v/>
      </c>
      <c r="S1494" s="37" t="str">
        <f aca="false">IF($A1494="","",INT($A1494))</f>
        <v/>
      </c>
      <c r="T1494" s="35" t="str">
        <f aca="false">IF($A1494="","",IF(COUNTIFS($S$3:$S1494,$S1494)=1,1,0))</f>
        <v/>
      </c>
      <c r="U1494" s="37" t="str">
        <f aca="false">IF($T1494=1,$S1494,"")</f>
        <v/>
      </c>
    </row>
    <row r="1495" customFormat="false" ht="15" hidden="false" customHeight="false" outlineLevel="0" collapsed="false">
      <c r="M1495" s="35" t="str">
        <f aca="false">IF($A1495="","",HOUR($A1495))</f>
        <v/>
      </c>
      <c r="N1495" s="36" t="str">
        <f aca="false">IF($A1495="","",$I1495*$K1495)</f>
        <v/>
      </c>
      <c r="O1495" s="35" t="str">
        <f aca="false">IF(OR($A1495="",$C1495="U",$S1495&lt;&gt;Calc!$F$2),"",SUMIFS($I$3:$I$3002,$E$3:$E$3002,$E1495,$C$3:$C$3002,"&lt;&gt;U",$S$3:$S$3002,Calc!$F$2))</f>
        <v/>
      </c>
      <c r="P1495" s="35" t="str">
        <f aca="false">IF(OR($A1495="",$C1495="U",$S1495&lt;&gt;Calc!$F$2),"",SUMIFS($N$3:$N$3002,$E$3:$E$3002,$E1495,$C$3:$C$3002,"&lt;&gt;U",$S$3:$S$3002,Calc!$F$2))</f>
        <v/>
      </c>
      <c r="Q1495" s="35" t="str">
        <f aca="false">IF(OR($A1495="",$C1495="U",$S1495&lt;&gt;Calc!$F$2),"",IF(COUNTIFS($E$3:$E1495,$E1495,$C$3:$C1495,"&lt;&gt;U",$S$3:$S1495,Calc!$F$2)=1,1,0))</f>
        <v/>
      </c>
      <c r="R1495" s="35" t="str">
        <f aca="false">IF($Q1495=1,$O1495-ROW()/100000,"")</f>
        <v/>
      </c>
      <c r="S1495" s="37" t="str">
        <f aca="false">IF($A1495="","",INT($A1495))</f>
        <v/>
      </c>
      <c r="T1495" s="35" t="str">
        <f aca="false">IF($A1495="","",IF(COUNTIFS($S$3:$S1495,$S1495)=1,1,0))</f>
        <v/>
      </c>
      <c r="U1495" s="37" t="str">
        <f aca="false">IF($T1495=1,$S1495,"")</f>
        <v/>
      </c>
    </row>
    <row r="1496" customFormat="false" ht="15" hidden="false" customHeight="false" outlineLevel="0" collapsed="false">
      <c r="M1496" s="35" t="str">
        <f aca="false">IF($A1496="","",HOUR($A1496))</f>
        <v/>
      </c>
      <c r="N1496" s="36" t="str">
        <f aca="false">IF($A1496="","",$I1496*$K1496)</f>
        <v/>
      </c>
      <c r="O1496" s="35" t="str">
        <f aca="false">IF(OR($A1496="",$C1496="U",$S1496&lt;&gt;Calc!$F$2),"",SUMIFS($I$3:$I$3002,$E$3:$E$3002,$E1496,$C$3:$C$3002,"&lt;&gt;U",$S$3:$S$3002,Calc!$F$2))</f>
        <v/>
      </c>
      <c r="P1496" s="35" t="str">
        <f aca="false">IF(OR($A1496="",$C1496="U",$S1496&lt;&gt;Calc!$F$2),"",SUMIFS($N$3:$N$3002,$E$3:$E$3002,$E1496,$C$3:$C$3002,"&lt;&gt;U",$S$3:$S$3002,Calc!$F$2))</f>
        <v/>
      </c>
      <c r="Q1496" s="35" t="str">
        <f aca="false">IF(OR($A1496="",$C1496="U",$S1496&lt;&gt;Calc!$F$2),"",IF(COUNTIFS($E$3:$E1496,$E1496,$C$3:$C1496,"&lt;&gt;U",$S$3:$S1496,Calc!$F$2)=1,1,0))</f>
        <v/>
      </c>
      <c r="R1496" s="35" t="str">
        <f aca="false">IF($Q1496=1,$O1496-ROW()/100000,"")</f>
        <v/>
      </c>
      <c r="S1496" s="37" t="str">
        <f aca="false">IF($A1496="","",INT($A1496))</f>
        <v/>
      </c>
      <c r="T1496" s="35" t="str">
        <f aca="false">IF($A1496="","",IF(COUNTIFS($S$3:$S1496,$S1496)=1,1,0))</f>
        <v/>
      </c>
      <c r="U1496" s="37" t="str">
        <f aca="false">IF($T1496=1,$S1496,"")</f>
        <v/>
      </c>
    </row>
    <row r="1497" customFormat="false" ht="15" hidden="false" customHeight="false" outlineLevel="0" collapsed="false">
      <c r="M1497" s="35" t="str">
        <f aca="false">IF($A1497="","",HOUR($A1497))</f>
        <v/>
      </c>
      <c r="N1497" s="36" t="str">
        <f aca="false">IF($A1497="","",$I1497*$K1497)</f>
        <v/>
      </c>
      <c r="O1497" s="35" t="str">
        <f aca="false">IF(OR($A1497="",$C1497="U",$S1497&lt;&gt;Calc!$F$2),"",SUMIFS($I$3:$I$3002,$E$3:$E$3002,$E1497,$C$3:$C$3002,"&lt;&gt;U",$S$3:$S$3002,Calc!$F$2))</f>
        <v/>
      </c>
      <c r="P1497" s="35" t="str">
        <f aca="false">IF(OR($A1497="",$C1497="U",$S1497&lt;&gt;Calc!$F$2),"",SUMIFS($N$3:$N$3002,$E$3:$E$3002,$E1497,$C$3:$C$3002,"&lt;&gt;U",$S$3:$S$3002,Calc!$F$2))</f>
        <v/>
      </c>
      <c r="Q1497" s="35" t="str">
        <f aca="false">IF(OR($A1497="",$C1497="U",$S1497&lt;&gt;Calc!$F$2),"",IF(COUNTIFS($E$3:$E1497,$E1497,$C$3:$C1497,"&lt;&gt;U",$S$3:$S1497,Calc!$F$2)=1,1,0))</f>
        <v/>
      </c>
      <c r="R1497" s="35" t="str">
        <f aca="false">IF($Q1497=1,$O1497-ROW()/100000,"")</f>
        <v/>
      </c>
      <c r="S1497" s="37" t="str">
        <f aca="false">IF($A1497="","",INT($A1497))</f>
        <v/>
      </c>
      <c r="T1497" s="35" t="str">
        <f aca="false">IF($A1497="","",IF(COUNTIFS($S$3:$S1497,$S1497)=1,1,0))</f>
        <v/>
      </c>
      <c r="U1497" s="37" t="str">
        <f aca="false">IF($T1497=1,$S1497,"")</f>
        <v/>
      </c>
    </row>
    <row r="1498" customFormat="false" ht="15" hidden="false" customHeight="false" outlineLevel="0" collapsed="false">
      <c r="M1498" s="35" t="str">
        <f aca="false">IF($A1498="","",HOUR($A1498))</f>
        <v/>
      </c>
      <c r="N1498" s="36" t="str">
        <f aca="false">IF($A1498="","",$I1498*$K1498)</f>
        <v/>
      </c>
      <c r="O1498" s="35" t="str">
        <f aca="false">IF(OR($A1498="",$C1498="U",$S1498&lt;&gt;Calc!$F$2),"",SUMIFS($I$3:$I$3002,$E$3:$E$3002,$E1498,$C$3:$C$3002,"&lt;&gt;U",$S$3:$S$3002,Calc!$F$2))</f>
        <v/>
      </c>
      <c r="P1498" s="35" t="str">
        <f aca="false">IF(OR($A1498="",$C1498="U",$S1498&lt;&gt;Calc!$F$2),"",SUMIFS($N$3:$N$3002,$E$3:$E$3002,$E1498,$C$3:$C$3002,"&lt;&gt;U",$S$3:$S$3002,Calc!$F$2))</f>
        <v/>
      </c>
      <c r="Q1498" s="35" t="str">
        <f aca="false">IF(OR($A1498="",$C1498="U",$S1498&lt;&gt;Calc!$F$2),"",IF(COUNTIFS($E$3:$E1498,$E1498,$C$3:$C1498,"&lt;&gt;U",$S$3:$S1498,Calc!$F$2)=1,1,0))</f>
        <v/>
      </c>
      <c r="R1498" s="35" t="str">
        <f aca="false">IF($Q1498=1,$O1498-ROW()/100000,"")</f>
        <v/>
      </c>
      <c r="S1498" s="37" t="str">
        <f aca="false">IF($A1498="","",INT($A1498))</f>
        <v/>
      </c>
      <c r="T1498" s="35" t="str">
        <f aca="false">IF($A1498="","",IF(COUNTIFS($S$3:$S1498,$S1498)=1,1,0))</f>
        <v/>
      </c>
      <c r="U1498" s="37" t="str">
        <f aca="false">IF($T1498=1,$S1498,"")</f>
        <v/>
      </c>
    </row>
    <row r="1499" customFormat="false" ht="15" hidden="false" customHeight="false" outlineLevel="0" collapsed="false">
      <c r="M1499" s="35" t="str">
        <f aca="false">IF($A1499="","",HOUR($A1499))</f>
        <v/>
      </c>
      <c r="N1499" s="36" t="str">
        <f aca="false">IF($A1499="","",$I1499*$K1499)</f>
        <v/>
      </c>
      <c r="O1499" s="35" t="str">
        <f aca="false">IF(OR($A1499="",$C1499="U",$S1499&lt;&gt;Calc!$F$2),"",SUMIFS($I$3:$I$3002,$E$3:$E$3002,$E1499,$C$3:$C$3002,"&lt;&gt;U",$S$3:$S$3002,Calc!$F$2))</f>
        <v/>
      </c>
      <c r="P1499" s="35" t="str">
        <f aca="false">IF(OR($A1499="",$C1499="U",$S1499&lt;&gt;Calc!$F$2),"",SUMIFS($N$3:$N$3002,$E$3:$E$3002,$E1499,$C$3:$C$3002,"&lt;&gt;U",$S$3:$S$3002,Calc!$F$2))</f>
        <v/>
      </c>
      <c r="Q1499" s="35" t="str">
        <f aca="false">IF(OR($A1499="",$C1499="U",$S1499&lt;&gt;Calc!$F$2),"",IF(COUNTIFS($E$3:$E1499,$E1499,$C$3:$C1499,"&lt;&gt;U",$S$3:$S1499,Calc!$F$2)=1,1,0))</f>
        <v/>
      </c>
      <c r="R1499" s="35" t="str">
        <f aca="false">IF($Q1499=1,$O1499-ROW()/100000,"")</f>
        <v/>
      </c>
      <c r="S1499" s="37" t="str">
        <f aca="false">IF($A1499="","",INT($A1499))</f>
        <v/>
      </c>
      <c r="T1499" s="35" t="str">
        <f aca="false">IF($A1499="","",IF(COUNTIFS($S$3:$S1499,$S1499)=1,1,0))</f>
        <v/>
      </c>
      <c r="U1499" s="37" t="str">
        <f aca="false">IF($T1499=1,$S1499,"")</f>
        <v/>
      </c>
    </row>
    <row r="1500" customFormat="false" ht="15" hidden="false" customHeight="false" outlineLevel="0" collapsed="false">
      <c r="M1500" s="35" t="str">
        <f aca="false">IF($A1500="","",HOUR($A1500))</f>
        <v/>
      </c>
      <c r="N1500" s="36" t="str">
        <f aca="false">IF($A1500="","",$I1500*$K1500)</f>
        <v/>
      </c>
      <c r="O1500" s="35" t="str">
        <f aca="false">IF(OR($A1500="",$C1500="U",$S1500&lt;&gt;Calc!$F$2),"",SUMIFS($I$3:$I$3002,$E$3:$E$3002,$E1500,$C$3:$C$3002,"&lt;&gt;U",$S$3:$S$3002,Calc!$F$2))</f>
        <v/>
      </c>
      <c r="P1500" s="35" t="str">
        <f aca="false">IF(OR($A1500="",$C1500="U",$S1500&lt;&gt;Calc!$F$2),"",SUMIFS($N$3:$N$3002,$E$3:$E$3002,$E1500,$C$3:$C$3002,"&lt;&gt;U",$S$3:$S$3002,Calc!$F$2))</f>
        <v/>
      </c>
      <c r="Q1500" s="35" t="str">
        <f aca="false">IF(OR($A1500="",$C1500="U",$S1500&lt;&gt;Calc!$F$2),"",IF(COUNTIFS($E$3:$E1500,$E1500,$C$3:$C1500,"&lt;&gt;U",$S$3:$S1500,Calc!$F$2)=1,1,0))</f>
        <v/>
      </c>
      <c r="R1500" s="35" t="str">
        <f aca="false">IF($Q1500=1,$O1500-ROW()/100000,"")</f>
        <v/>
      </c>
      <c r="S1500" s="37" t="str">
        <f aca="false">IF($A1500="","",INT($A1500))</f>
        <v/>
      </c>
      <c r="T1500" s="35" t="str">
        <f aca="false">IF($A1500="","",IF(COUNTIFS($S$3:$S1500,$S1500)=1,1,0))</f>
        <v/>
      </c>
      <c r="U1500" s="37" t="str">
        <f aca="false">IF($T1500=1,$S1500,"")</f>
        <v/>
      </c>
    </row>
    <row r="1501" customFormat="false" ht="15" hidden="false" customHeight="false" outlineLevel="0" collapsed="false">
      <c r="M1501" s="35" t="str">
        <f aca="false">IF($A1501="","",HOUR($A1501))</f>
        <v/>
      </c>
      <c r="N1501" s="36" t="str">
        <f aca="false">IF($A1501="","",$I1501*$K1501)</f>
        <v/>
      </c>
      <c r="O1501" s="35" t="str">
        <f aca="false">IF(OR($A1501="",$C1501="U",$S1501&lt;&gt;Calc!$F$2),"",SUMIFS($I$3:$I$3002,$E$3:$E$3002,$E1501,$C$3:$C$3002,"&lt;&gt;U",$S$3:$S$3002,Calc!$F$2))</f>
        <v/>
      </c>
      <c r="P1501" s="35" t="str">
        <f aca="false">IF(OR($A1501="",$C1501="U",$S1501&lt;&gt;Calc!$F$2),"",SUMIFS($N$3:$N$3002,$E$3:$E$3002,$E1501,$C$3:$C$3002,"&lt;&gt;U",$S$3:$S$3002,Calc!$F$2))</f>
        <v/>
      </c>
      <c r="Q1501" s="35" t="str">
        <f aca="false">IF(OR($A1501="",$C1501="U",$S1501&lt;&gt;Calc!$F$2),"",IF(COUNTIFS($E$3:$E1501,$E1501,$C$3:$C1501,"&lt;&gt;U",$S$3:$S1501,Calc!$F$2)=1,1,0))</f>
        <v/>
      </c>
      <c r="R1501" s="35" t="str">
        <f aca="false">IF($Q1501=1,$O1501-ROW()/100000,"")</f>
        <v/>
      </c>
      <c r="S1501" s="37" t="str">
        <f aca="false">IF($A1501="","",INT($A1501))</f>
        <v/>
      </c>
      <c r="T1501" s="35" t="str">
        <f aca="false">IF($A1501="","",IF(COUNTIFS($S$3:$S1501,$S1501)=1,1,0))</f>
        <v/>
      </c>
      <c r="U1501" s="37" t="str">
        <f aca="false">IF($T1501=1,$S1501,"")</f>
        <v/>
      </c>
    </row>
    <row r="1502" customFormat="false" ht="15" hidden="false" customHeight="false" outlineLevel="0" collapsed="false">
      <c r="M1502" s="35" t="str">
        <f aca="false">IF($A1502="","",HOUR($A1502))</f>
        <v/>
      </c>
      <c r="N1502" s="36" t="str">
        <f aca="false">IF($A1502="","",$I1502*$K1502)</f>
        <v/>
      </c>
      <c r="O1502" s="35" t="str">
        <f aca="false">IF(OR($A1502="",$C1502="U",$S1502&lt;&gt;Calc!$F$2),"",SUMIFS($I$3:$I$3002,$E$3:$E$3002,$E1502,$C$3:$C$3002,"&lt;&gt;U",$S$3:$S$3002,Calc!$F$2))</f>
        <v/>
      </c>
      <c r="P1502" s="35" t="str">
        <f aca="false">IF(OR($A1502="",$C1502="U",$S1502&lt;&gt;Calc!$F$2),"",SUMIFS($N$3:$N$3002,$E$3:$E$3002,$E1502,$C$3:$C$3002,"&lt;&gt;U",$S$3:$S$3002,Calc!$F$2))</f>
        <v/>
      </c>
      <c r="Q1502" s="35" t="str">
        <f aca="false">IF(OR($A1502="",$C1502="U",$S1502&lt;&gt;Calc!$F$2),"",IF(COUNTIFS($E$3:$E1502,$E1502,$C$3:$C1502,"&lt;&gt;U",$S$3:$S1502,Calc!$F$2)=1,1,0))</f>
        <v/>
      </c>
      <c r="R1502" s="35" t="str">
        <f aca="false">IF($Q1502=1,$O1502-ROW()/100000,"")</f>
        <v/>
      </c>
      <c r="S1502" s="37" t="str">
        <f aca="false">IF($A1502="","",INT($A1502))</f>
        <v/>
      </c>
      <c r="T1502" s="35" t="str">
        <f aca="false">IF($A1502="","",IF(COUNTIFS($S$3:$S1502,$S1502)=1,1,0))</f>
        <v/>
      </c>
      <c r="U1502" s="37" t="str">
        <f aca="false">IF($T1502=1,$S1502,"")</f>
        <v/>
      </c>
    </row>
    <row r="1503" customFormat="false" ht="15" hidden="false" customHeight="false" outlineLevel="0" collapsed="false">
      <c r="M1503" s="35" t="str">
        <f aca="false">IF($A1503="","",HOUR($A1503))</f>
        <v/>
      </c>
      <c r="N1503" s="36" t="str">
        <f aca="false">IF($A1503="","",$I1503*$K1503)</f>
        <v/>
      </c>
      <c r="O1503" s="35" t="str">
        <f aca="false">IF(OR($A1503="",$C1503="U",$S1503&lt;&gt;Calc!$F$2),"",SUMIFS($I$3:$I$3002,$E$3:$E$3002,$E1503,$C$3:$C$3002,"&lt;&gt;U",$S$3:$S$3002,Calc!$F$2))</f>
        <v/>
      </c>
      <c r="P1503" s="35" t="str">
        <f aca="false">IF(OR($A1503="",$C1503="U",$S1503&lt;&gt;Calc!$F$2),"",SUMIFS($N$3:$N$3002,$E$3:$E$3002,$E1503,$C$3:$C$3002,"&lt;&gt;U",$S$3:$S$3002,Calc!$F$2))</f>
        <v/>
      </c>
      <c r="Q1503" s="35" t="str">
        <f aca="false">IF(OR($A1503="",$C1503="U",$S1503&lt;&gt;Calc!$F$2),"",IF(COUNTIFS($E$3:$E1503,$E1503,$C$3:$C1503,"&lt;&gt;U",$S$3:$S1503,Calc!$F$2)=1,1,0))</f>
        <v/>
      </c>
      <c r="R1503" s="35" t="str">
        <f aca="false">IF($Q1503=1,$O1503-ROW()/100000,"")</f>
        <v/>
      </c>
      <c r="S1503" s="37" t="str">
        <f aca="false">IF($A1503="","",INT($A1503))</f>
        <v/>
      </c>
      <c r="T1503" s="35" t="str">
        <f aca="false">IF($A1503="","",IF(COUNTIFS($S$3:$S1503,$S1503)=1,1,0))</f>
        <v/>
      </c>
      <c r="U1503" s="37" t="str">
        <f aca="false">IF($T1503=1,$S1503,"")</f>
        <v/>
      </c>
    </row>
    <row r="1504" customFormat="false" ht="15" hidden="false" customHeight="false" outlineLevel="0" collapsed="false">
      <c r="M1504" s="35" t="str">
        <f aca="false">IF($A1504="","",HOUR($A1504))</f>
        <v/>
      </c>
      <c r="N1504" s="36" t="str">
        <f aca="false">IF($A1504="","",$I1504*$K1504)</f>
        <v/>
      </c>
      <c r="O1504" s="35" t="str">
        <f aca="false">IF(OR($A1504="",$C1504="U",$S1504&lt;&gt;Calc!$F$2),"",SUMIFS($I$3:$I$3002,$E$3:$E$3002,$E1504,$C$3:$C$3002,"&lt;&gt;U",$S$3:$S$3002,Calc!$F$2))</f>
        <v/>
      </c>
      <c r="P1504" s="35" t="str">
        <f aca="false">IF(OR($A1504="",$C1504="U",$S1504&lt;&gt;Calc!$F$2),"",SUMIFS($N$3:$N$3002,$E$3:$E$3002,$E1504,$C$3:$C$3002,"&lt;&gt;U",$S$3:$S$3002,Calc!$F$2))</f>
        <v/>
      </c>
      <c r="Q1504" s="35" t="str">
        <f aca="false">IF(OR($A1504="",$C1504="U",$S1504&lt;&gt;Calc!$F$2),"",IF(COUNTIFS($E$3:$E1504,$E1504,$C$3:$C1504,"&lt;&gt;U",$S$3:$S1504,Calc!$F$2)=1,1,0))</f>
        <v/>
      </c>
      <c r="R1504" s="35" t="str">
        <f aca="false">IF($Q1504=1,$O1504-ROW()/100000,"")</f>
        <v/>
      </c>
      <c r="S1504" s="37" t="str">
        <f aca="false">IF($A1504="","",INT($A1504))</f>
        <v/>
      </c>
      <c r="T1504" s="35" t="str">
        <f aca="false">IF($A1504="","",IF(COUNTIFS($S$3:$S1504,$S1504)=1,1,0))</f>
        <v/>
      </c>
      <c r="U1504" s="37" t="str">
        <f aca="false">IF($T1504=1,$S1504,"")</f>
        <v/>
      </c>
    </row>
    <row r="1505" customFormat="false" ht="15" hidden="false" customHeight="false" outlineLevel="0" collapsed="false">
      <c r="M1505" s="35" t="str">
        <f aca="false">IF($A1505="","",HOUR($A1505))</f>
        <v/>
      </c>
      <c r="N1505" s="36" t="str">
        <f aca="false">IF($A1505="","",$I1505*$K1505)</f>
        <v/>
      </c>
      <c r="O1505" s="35" t="str">
        <f aca="false">IF(OR($A1505="",$C1505="U",$S1505&lt;&gt;Calc!$F$2),"",SUMIFS($I$3:$I$3002,$E$3:$E$3002,$E1505,$C$3:$C$3002,"&lt;&gt;U",$S$3:$S$3002,Calc!$F$2))</f>
        <v/>
      </c>
      <c r="P1505" s="35" t="str">
        <f aca="false">IF(OR($A1505="",$C1505="U",$S1505&lt;&gt;Calc!$F$2),"",SUMIFS($N$3:$N$3002,$E$3:$E$3002,$E1505,$C$3:$C$3002,"&lt;&gt;U",$S$3:$S$3002,Calc!$F$2))</f>
        <v/>
      </c>
      <c r="Q1505" s="35" t="str">
        <f aca="false">IF(OR($A1505="",$C1505="U",$S1505&lt;&gt;Calc!$F$2),"",IF(COUNTIFS($E$3:$E1505,$E1505,$C$3:$C1505,"&lt;&gt;U",$S$3:$S1505,Calc!$F$2)=1,1,0))</f>
        <v/>
      </c>
      <c r="R1505" s="35" t="str">
        <f aca="false">IF($Q1505=1,$O1505-ROW()/100000,"")</f>
        <v/>
      </c>
      <c r="S1505" s="37" t="str">
        <f aca="false">IF($A1505="","",INT($A1505))</f>
        <v/>
      </c>
      <c r="T1505" s="35" t="str">
        <f aca="false">IF($A1505="","",IF(COUNTIFS($S$3:$S1505,$S1505)=1,1,0))</f>
        <v/>
      </c>
      <c r="U1505" s="37" t="str">
        <f aca="false">IF($T1505=1,$S1505,"")</f>
        <v/>
      </c>
    </row>
    <row r="1506" customFormat="false" ht="15" hidden="false" customHeight="false" outlineLevel="0" collapsed="false">
      <c r="M1506" s="35" t="str">
        <f aca="false">IF($A1506="","",HOUR($A1506))</f>
        <v/>
      </c>
      <c r="N1506" s="36" t="str">
        <f aca="false">IF($A1506="","",$I1506*$K1506)</f>
        <v/>
      </c>
      <c r="O1506" s="35" t="str">
        <f aca="false">IF(OR($A1506="",$C1506="U",$S1506&lt;&gt;Calc!$F$2),"",SUMIFS($I$3:$I$3002,$E$3:$E$3002,$E1506,$C$3:$C$3002,"&lt;&gt;U",$S$3:$S$3002,Calc!$F$2))</f>
        <v/>
      </c>
      <c r="P1506" s="35" t="str">
        <f aca="false">IF(OR($A1506="",$C1506="U",$S1506&lt;&gt;Calc!$F$2),"",SUMIFS($N$3:$N$3002,$E$3:$E$3002,$E1506,$C$3:$C$3002,"&lt;&gt;U",$S$3:$S$3002,Calc!$F$2))</f>
        <v/>
      </c>
      <c r="Q1506" s="35" t="str">
        <f aca="false">IF(OR($A1506="",$C1506="U",$S1506&lt;&gt;Calc!$F$2),"",IF(COUNTIFS($E$3:$E1506,$E1506,$C$3:$C1506,"&lt;&gt;U",$S$3:$S1506,Calc!$F$2)=1,1,0))</f>
        <v/>
      </c>
      <c r="R1506" s="35" t="str">
        <f aca="false">IF($Q1506=1,$O1506-ROW()/100000,"")</f>
        <v/>
      </c>
      <c r="S1506" s="37" t="str">
        <f aca="false">IF($A1506="","",INT($A1506))</f>
        <v/>
      </c>
      <c r="T1506" s="35" t="str">
        <f aca="false">IF($A1506="","",IF(COUNTIFS($S$3:$S1506,$S1506)=1,1,0))</f>
        <v/>
      </c>
      <c r="U1506" s="37" t="str">
        <f aca="false">IF($T1506=1,$S1506,"")</f>
        <v/>
      </c>
    </row>
    <row r="1507" customFormat="false" ht="15" hidden="false" customHeight="false" outlineLevel="0" collapsed="false">
      <c r="M1507" s="35" t="str">
        <f aca="false">IF($A1507="","",HOUR($A1507))</f>
        <v/>
      </c>
      <c r="N1507" s="36" t="str">
        <f aca="false">IF($A1507="","",$I1507*$K1507)</f>
        <v/>
      </c>
      <c r="O1507" s="35" t="str">
        <f aca="false">IF(OR($A1507="",$C1507="U",$S1507&lt;&gt;Calc!$F$2),"",SUMIFS($I$3:$I$3002,$E$3:$E$3002,$E1507,$C$3:$C$3002,"&lt;&gt;U",$S$3:$S$3002,Calc!$F$2))</f>
        <v/>
      </c>
      <c r="P1507" s="35" t="str">
        <f aca="false">IF(OR($A1507="",$C1507="U",$S1507&lt;&gt;Calc!$F$2),"",SUMIFS($N$3:$N$3002,$E$3:$E$3002,$E1507,$C$3:$C$3002,"&lt;&gt;U",$S$3:$S$3002,Calc!$F$2))</f>
        <v/>
      </c>
      <c r="Q1507" s="35" t="str">
        <f aca="false">IF(OR($A1507="",$C1507="U",$S1507&lt;&gt;Calc!$F$2),"",IF(COUNTIFS($E$3:$E1507,$E1507,$C$3:$C1507,"&lt;&gt;U",$S$3:$S1507,Calc!$F$2)=1,1,0))</f>
        <v/>
      </c>
      <c r="R1507" s="35" t="str">
        <f aca="false">IF($Q1507=1,$O1507-ROW()/100000,"")</f>
        <v/>
      </c>
      <c r="S1507" s="37" t="str">
        <f aca="false">IF($A1507="","",INT($A1507))</f>
        <v/>
      </c>
      <c r="T1507" s="35" t="str">
        <f aca="false">IF($A1507="","",IF(COUNTIFS($S$3:$S1507,$S1507)=1,1,0))</f>
        <v/>
      </c>
      <c r="U1507" s="37" t="str">
        <f aca="false">IF($T1507=1,$S1507,"")</f>
        <v/>
      </c>
    </row>
    <row r="1508" customFormat="false" ht="15" hidden="false" customHeight="false" outlineLevel="0" collapsed="false">
      <c r="M1508" s="35" t="str">
        <f aca="false">IF($A1508="","",HOUR($A1508))</f>
        <v/>
      </c>
      <c r="N1508" s="36" t="str">
        <f aca="false">IF($A1508="","",$I1508*$K1508)</f>
        <v/>
      </c>
      <c r="O1508" s="35" t="str">
        <f aca="false">IF(OR($A1508="",$C1508="U",$S1508&lt;&gt;Calc!$F$2),"",SUMIFS($I$3:$I$3002,$E$3:$E$3002,$E1508,$C$3:$C$3002,"&lt;&gt;U",$S$3:$S$3002,Calc!$F$2))</f>
        <v/>
      </c>
      <c r="P1508" s="35" t="str">
        <f aca="false">IF(OR($A1508="",$C1508="U",$S1508&lt;&gt;Calc!$F$2),"",SUMIFS($N$3:$N$3002,$E$3:$E$3002,$E1508,$C$3:$C$3002,"&lt;&gt;U",$S$3:$S$3002,Calc!$F$2))</f>
        <v/>
      </c>
      <c r="Q1508" s="35" t="str">
        <f aca="false">IF(OR($A1508="",$C1508="U",$S1508&lt;&gt;Calc!$F$2),"",IF(COUNTIFS($E$3:$E1508,$E1508,$C$3:$C1508,"&lt;&gt;U",$S$3:$S1508,Calc!$F$2)=1,1,0))</f>
        <v/>
      </c>
      <c r="R1508" s="35" t="str">
        <f aca="false">IF($Q1508=1,$O1508-ROW()/100000,"")</f>
        <v/>
      </c>
      <c r="S1508" s="37" t="str">
        <f aca="false">IF($A1508="","",INT($A1508))</f>
        <v/>
      </c>
      <c r="T1508" s="35" t="str">
        <f aca="false">IF($A1508="","",IF(COUNTIFS($S$3:$S1508,$S1508)=1,1,0))</f>
        <v/>
      </c>
      <c r="U1508" s="37" t="str">
        <f aca="false">IF($T1508=1,$S1508,"")</f>
        <v/>
      </c>
    </row>
    <row r="1509" customFormat="false" ht="15" hidden="false" customHeight="false" outlineLevel="0" collapsed="false">
      <c r="M1509" s="35" t="str">
        <f aca="false">IF($A1509="","",HOUR($A1509))</f>
        <v/>
      </c>
      <c r="N1509" s="36" t="str">
        <f aca="false">IF($A1509="","",$I1509*$K1509)</f>
        <v/>
      </c>
      <c r="O1509" s="35" t="str">
        <f aca="false">IF(OR($A1509="",$C1509="U",$S1509&lt;&gt;Calc!$F$2),"",SUMIFS($I$3:$I$3002,$E$3:$E$3002,$E1509,$C$3:$C$3002,"&lt;&gt;U",$S$3:$S$3002,Calc!$F$2))</f>
        <v/>
      </c>
      <c r="P1509" s="35" t="str">
        <f aca="false">IF(OR($A1509="",$C1509="U",$S1509&lt;&gt;Calc!$F$2),"",SUMIFS($N$3:$N$3002,$E$3:$E$3002,$E1509,$C$3:$C$3002,"&lt;&gt;U",$S$3:$S$3002,Calc!$F$2))</f>
        <v/>
      </c>
      <c r="Q1509" s="35" t="str">
        <f aca="false">IF(OR($A1509="",$C1509="U",$S1509&lt;&gt;Calc!$F$2),"",IF(COUNTIFS($E$3:$E1509,$E1509,$C$3:$C1509,"&lt;&gt;U",$S$3:$S1509,Calc!$F$2)=1,1,0))</f>
        <v/>
      </c>
      <c r="R1509" s="35" t="str">
        <f aca="false">IF($Q1509=1,$O1509-ROW()/100000,"")</f>
        <v/>
      </c>
      <c r="S1509" s="37" t="str">
        <f aca="false">IF($A1509="","",INT($A1509))</f>
        <v/>
      </c>
      <c r="T1509" s="35" t="str">
        <f aca="false">IF($A1509="","",IF(COUNTIFS($S$3:$S1509,$S1509)=1,1,0))</f>
        <v/>
      </c>
      <c r="U1509" s="37" t="str">
        <f aca="false">IF($T1509=1,$S1509,"")</f>
        <v/>
      </c>
    </row>
    <row r="1510" customFormat="false" ht="15" hidden="false" customHeight="false" outlineLevel="0" collapsed="false">
      <c r="M1510" s="35" t="str">
        <f aca="false">IF($A1510="","",HOUR($A1510))</f>
        <v/>
      </c>
      <c r="N1510" s="36" t="str">
        <f aca="false">IF($A1510="","",$I1510*$K1510)</f>
        <v/>
      </c>
      <c r="O1510" s="35" t="str">
        <f aca="false">IF(OR($A1510="",$C1510="U",$S1510&lt;&gt;Calc!$F$2),"",SUMIFS($I$3:$I$3002,$E$3:$E$3002,$E1510,$C$3:$C$3002,"&lt;&gt;U",$S$3:$S$3002,Calc!$F$2))</f>
        <v/>
      </c>
      <c r="P1510" s="35" t="str">
        <f aca="false">IF(OR($A1510="",$C1510="U",$S1510&lt;&gt;Calc!$F$2),"",SUMIFS($N$3:$N$3002,$E$3:$E$3002,$E1510,$C$3:$C$3002,"&lt;&gt;U",$S$3:$S$3002,Calc!$F$2))</f>
        <v/>
      </c>
      <c r="Q1510" s="35" t="str">
        <f aca="false">IF(OR($A1510="",$C1510="U",$S1510&lt;&gt;Calc!$F$2),"",IF(COUNTIFS($E$3:$E1510,$E1510,$C$3:$C1510,"&lt;&gt;U",$S$3:$S1510,Calc!$F$2)=1,1,0))</f>
        <v/>
      </c>
      <c r="R1510" s="35" t="str">
        <f aca="false">IF($Q1510=1,$O1510-ROW()/100000,"")</f>
        <v/>
      </c>
      <c r="S1510" s="37" t="str">
        <f aca="false">IF($A1510="","",INT($A1510))</f>
        <v/>
      </c>
      <c r="T1510" s="35" t="str">
        <f aca="false">IF($A1510="","",IF(COUNTIFS($S$3:$S1510,$S1510)=1,1,0))</f>
        <v/>
      </c>
      <c r="U1510" s="37" t="str">
        <f aca="false">IF($T1510=1,$S1510,"")</f>
        <v/>
      </c>
    </row>
    <row r="1511" customFormat="false" ht="15" hidden="false" customHeight="false" outlineLevel="0" collapsed="false">
      <c r="M1511" s="35" t="str">
        <f aca="false">IF($A1511="","",HOUR($A1511))</f>
        <v/>
      </c>
      <c r="N1511" s="36" t="str">
        <f aca="false">IF($A1511="","",$I1511*$K1511)</f>
        <v/>
      </c>
      <c r="O1511" s="35" t="str">
        <f aca="false">IF(OR($A1511="",$C1511="U",$S1511&lt;&gt;Calc!$F$2),"",SUMIFS($I$3:$I$3002,$E$3:$E$3002,$E1511,$C$3:$C$3002,"&lt;&gt;U",$S$3:$S$3002,Calc!$F$2))</f>
        <v/>
      </c>
      <c r="P1511" s="35" t="str">
        <f aca="false">IF(OR($A1511="",$C1511="U",$S1511&lt;&gt;Calc!$F$2),"",SUMIFS($N$3:$N$3002,$E$3:$E$3002,$E1511,$C$3:$C$3002,"&lt;&gt;U",$S$3:$S$3002,Calc!$F$2))</f>
        <v/>
      </c>
      <c r="Q1511" s="35" t="str">
        <f aca="false">IF(OR($A1511="",$C1511="U",$S1511&lt;&gt;Calc!$F$2),"",IF(COUNTIFS($E$3:$E1511,$E1511,$C$3:$C1511,"&lt;&gt;U",$S$3:$S1511,Calc!$F$2)=1,1,0))</f>
        <v/>
      </c>
      <c r="R1511" s="35" t="str">
        <f aca="false">IF($Q1511=1,$O1511-ROW()/100000,"")</f>
        <v/>
      </c>
      <c r="S1511" s="37" t="str">
        <f aca="false">IF($A1511="","",INT($A1511))</f>
        <v/>
      </c>
      <c r="T1511" s="35" t="str">
        <f aca="false">IF($A1511="","",IF(COUNTIFS($S$3:$S1511,$S1511)=1,1,0))</f>
        <v/>
      </c>
      <c r="U1511" s="37" t="str">
        <f aca="false">IF($T1511=1,$S1511,"")</f>
        <v/>
      </c>
    </row>
    <row r="1512" customFormat="false" ht="15" hidden="false" customHeight="false" outlineLevel="0" collapsed="false">
      <c r="M1512" s="35" t="str">
        <f aca="false">IF($A1512="","",HOUR($A1512))</f>
        <v/>
      </c>
      <c r="N1512" s="36" t="str">
        <f aca="false">IF($A1512="","",$I1512*$K1512)</f>
        <v/>
      </c>
      <c r="O1512" s="35" t="str">
        <f aca="false">IF(OR($A1512="",$C1512="U",$S1512&lt;&gt;Calc!$F$2),"",SUMIFS($I$3:$I$3002,$E$3:$E$3002,$E1512,$C$3:$C$3002,"&lt;&gt;U",$S$3:$S$3002,Calc!$F$2))</f>
        <v/>
      </c>
      <c r="P1512" s="35" t="str">
        <f aca="false">IF(OR($A1512="",$C1512="U",$S1512&lt;&gt;Calc!$F$2),"",SUMIFS($N$3:$N$3002,$E$3:$E$3002,$E1512,$C$3:$C$3002,"&lt;&gt;U",$S$3:$S$3002,Calc!$F$2))</f>
        <v/>
      </c>
      <c r="Q1512" s="35" t="str">
        <f aca="false">IF(OR($A1512="",$C1512="U",$S1512&lt;&gt;Calc!$F$2),"",IF(COUNTIFS($E$3:$E1512,$E1512,$C$3:$C1512,"&lt;&gt;U",$S$3:$S1512,Calc!$F$2)=1,1,0))</f>
        <v/>
      </c>
      <c r="R1512" s="35" t="str">
        <f aca="false">IF($Q1512=1,$O1512-ROW()/100000,"")</f>
        <v/>
      </c>
      <c r="S1512" s="37" t="str">
        <f aca="false">IF($A1512="","",INT($A1512))</f>
        <v/>
      </c>
      <c r="T1512" s="35" t="str">
        <f aca="false">IF($A1512="","",IF(COUNTIFS($S$3:$S1512,$S1512)=1,1,0))</f>
        <v/>
      </c>
      <c r="U1512" s="37" t="str">
        <f aca="false">IF($T1512=1,$S1512,"")</f>
        <v/>
      </c>
    </row>
    <row r="1513" customFormat="false" ht="15" hidden="false" customHeight="false" outlineLevel="0" collapsed="false">
      <c r="M1513" s="35" t="str">
        <f aca="false">IF($A1513="","",HOUR($A1513))</f>
        <v/>
      </c>
      <c r="N1513" s="36" t="str">
        <f aca="false">IF($A1513="","",$I1513*$K1513)</f>
        <v/>
      </c>
      <c r="O1513" s="35" t="str">
        <f aca="false">IF(OR($A1513="",$C1513="U",$S1513&lt;&gt;Calc!$F$2),"",SUMIFS($I$3:$I$3002,$E$3:$E$3002,$E1513,$C$3:$C$3002,"&lt;&gt;U",$S$3:$S$3002,Calc!$F$2))</f>
        <v/>
      </c>
      <c r="P1513" s="35" t="str">
        <f aca="false">IF(OR($A1513="",$C1513="U",$S1513&lt;&gt;Calc!$F$2),"",SUMIFS($N$3:$N$3002,$E$3:$E$3002,$E1513,$C$3:$C$3002,"&lt;&gt;U",$S$3:$S$3002,Calc!$F$2))</f>
        <v/>
      </c>
      <c r="Q1513" s="35" t="str">
        <f aca="false">IF(OR($A1513="",$C1513="U",$S1513&lt;&gt;Calc!$F$2),"",IF(COUNTIFS($E$3:$E1513,$E1513,$C$3:$C1513,"&lt;&gt;U",$S$3:$S1513,Calc!$F$2)=1,1,0))</f>
        <v/>
      </c>
      <c r="R1513" s="35" t="str">
        <f aca="false">IF($Q1513=1,$O1513-ROW()/100000,"")</f>
        <v/>
      </c>
      <c r="S1513" s="37" t="str">
        <f aca="false">IF($A1513="","",INT($A1513))</f>
        <v/>
      </c>
      <c r="T1513" s="35" t="str">
        <f aca="false">IF($A1513="","",IF(COUNTIFS($S$3:$S1513,$S1513)=1,1,0))</f>
        <v/>
      </c>
      <c r="U1513" s="37" t="str">
        <f aca="false">IF($T1513=1,$S1513,"")</f>
        <v/>
      </c>
    </row>
    <row r="1514" customFormat="false" ht="15" hidden="false" customHeight="false" outlineLevel="0" collapsed="false">
      <c r="M1514" s="35" t="str">
        <f aca="false">IF($A1514="","",HOUR($A1514))</f>
        <v/>
      </c>
      <c r="N1514" s="36" t="str">
        <f aca="false">IF($A1514="","",$I1514*$K1514)</f>
        <v/>
      </c>
      <c r="O1514" s="35" t="str">
        <f aca="false">IF(OR($A1514="",$C1514="U",$S1514&lt;&gt;Calc!$F$2),"",SUMIFS($I$3:$I$3002,$E$3:$E$3002,$E1514,$C$3:$C$3002,"&lt;&gt;U",$S$3:$S$3002,Calc!$F$2))</f>
        <v/>
      </c>
      <c r="P1514" s="35" t="str">
        <f aca="false">IF(OR($A1514="",$C1514="U",$S1514&lt;&gt;Calc!$F$2),"",SUMIFS($N$3:$N$3002,$E$3:$E$3002,$E1514,$C$3:$C$3002,"&lt;&gt;U",$S$3:$S$3002,Calc!$F$2))</f>
        <v/>
      </c>
      <c r="Q1514" s="35" t="str">
        <f aca="false">IF(OR($A1514="",$C1514="U",$S1514&lt;&gt;Calc!$F$2),"",IF(COUNTIFS($E$3:$E1514,$E1514,$C$3:$C1514,"&lt;&gt;U",$S$3:$S1514,Calc!$F$2)=1,1,0))</f>
        <v/>
      </c>
      <c r="R1514" s="35" t="str">
        <f aca="false">IF($Q1514=1,$O1514-ROW()/100000,"")</f>
        <v/>
      </c>
      <c r="S1514" s="37" t="str">
        <f aca="false">IF($A1514="","",INT($A1514))</f>
        <v/>
      </c>
      <c r="T1514" s="35" t="str">
        <f aca="false">IF($A1514="","",IF(COUNTIFS($S$3:$S1514,$S1514)=1,1,0))</f>
        <v/>
      </c>
      <c r="U1514" s="37" t="str">
        <f aca="false">IF($T1514=1,$S1514,"")</f>
        <v/>
      </c>
    </row>
    <row r="1515" customFormat="false" ht="15" hidden="false" customHeight="false" outlineLevel="0" collapsed="false">
      <c r="M1515" s="35" t="str">
        <f aca="false">IF($A1515="","",HOUR($A1515))</f>
        <v/>
      </c>
      <c r="N1515" s="36" t="str">
        <f aca="false">IF($A1515="","",$I1515*$K1515)</f>
        <v/>
      </c>
      <c r="O1515" s="35" t="str">
        <f aca="false">IF(OR($A1515="",$C1515="U",$S1515&lt;&gt;Calc!$F$2),"",SUMIFS($I$3:$I$3002,$E$3:$E$3002,$E1515,$C$3:$C$3002,"&lt;&gt;U",$S$3:$S$3002,Calc!$F$2))</f>
        <v/>
      </c>
      <c r="P1515" s="35" t="str">
        <f aca="false">IF(OR($A1515="",$C1515="U",$S1515&lt;&gt;Calc!$F$2),"",SUMIFS($N$3:$N$3002,$E$3:$E$3002,$E1515,$C$3:$C$3002,"&lt;&gt;U",$S$3:$S$3002,Calc!$F$2))</f>
        <v/>
      </c>
      <c r="Q1515" s="35" t="str">
        <f aca="false">IF(OR($A1515="",$C1515="U",$S1515&lt;&gt;Calc!$F$2),"",IF(COUNTIFS($E$3:$E1515,$E1515,$C$3:$C1515,"&lt;&gt;U",$S$3:$S1515,Calc!$F$2)=1,1,0))</f>
        <v/>
      </c>
      <c r="R1515" s="35" t="str">
        <f aca="false">IF($Q1515=1,$O1515-ROW()/100000,"")</f>
        <v/>
      </c>
      <c r="S1515" s="37" t="str">
        <f aca="false">IF($A1515="","",INT($A1515))</f>
        <v/>
      </c>
      <c r="T1515" s="35" t="str">
        <f aca="false">IF($A1515="","",IF(COUNTIFS($S$3:$S1515,$S1515)=1,1,0))</f>
        <v/>
      </c>
      <c r="U1515" s="37" t="str">
        <f aca="false">IF($T1515=1,$S1515,"")</f>
        <v/>
      </c>
    </row>
    <row r="1516" customFormat="false" ht="15" hidden="false" customHeight="false" outlineLevel="0" collapsed="false">
      <c r="M1516" s="35" t="str">
        <f aca="false">IF($A1516="","",HOUR($A1516))</f>
        <v/>
      </c>
      <c r="N1516" s="36" t="str">
        <f aca="false">IF($A1516="","",$I1516*$K1516)</f>
        <v/>
      </c>
      <c r="O1516" s="35" t="str">
        <f aca="false">IF(OR($A1516="",$C1516="U",$S1516&lt;&gt;Calc!$F$2),"",SUMIFS($I$3:$I$3002,$E$3:$E$3002,$E1516,$C$3:$C$3002,"&lt;&gt;U",$S$3:$S$3002,Calc!$F$2))</f>
        <v/>
      </c>
      <c r="P1516" s="35" t="str">
        <f aca="false">IF(OR($A1516="",$C1516="U",$S1516&lt;&gt;Calc!$F$2),"",SUMIFS($N$3:$N$3002,$E$3:$E$3002,$E1516,$C$3:$C$3002,"&lt;&gt;U",$S$3:$S$3002,Calc!$F$2))</f>
        <v/>
      </c>
      <c r="Q1516" s="35" t="str">
        <f aca="false">IF(OR($A1516="",$C1516="U",$S1516&lt;&gt;Calc!$F$2),"",IF(COUNTIFS($E$3:$E1516,$E1516,$C$3:$C1516,"&lt;&gt;U",$S$3:$S1516,Calc!$F$2)=1,1,0))</f>
        <v/>
      </c>
      <c r="R1516" s="35" t="str">
        <f aca="false">IF($Q1516=1,$O1516-ROW()/100000,"")</f>
        <v/>
      </c>
      <c r="S1516" s="37" t="str">
        <f aca="false">IF($A1516="","",INT($A1516))</f>
        <v/>
      </c>
      <c r="T1516" s="35" t="str">
        <f aca="false">IF($A1516="","",IF(COUNTIFS($S$3:$S1516,$S1516)=1,1,0))</f>
        <v/>
      </c>
      <c r="U1516" s="37" t="str">
        <f aca="false">IF($T1516=1,$S1516,"")</f>
        <v/>
      </c>
    </row>
    <row r="1517" customFormat="false" ht="15" hidden="false" customHeight="false" outlineLevel="0" collapsed="false">
      <c r="M1517" s="35" t="str">
        <f aca="false">IF($A1517="","",HOUR($A1517))</f>
        <v/>
      </c>
      <c r="N1517" s="36" t="str">
        <f aca="false">IF($A1517="","",$I1517*$K1517)</f>
        <v/>
      </c>
      <c r="O1517" s="35" t="str">
        <f aca="false">IF(OR($A1517="",$C1517="U",$S1517&lt;&gt;Calc!$F$2),"",SUMIFS($I$3:$I$3002,$E$3:$E$3002,$E1517,$C$3:$C$3002,"&lt;&gt;U",$S$3:$S$3002,Calc!$F$2))</f>
        <v/>
      </c>
      <c r="P1517" s="35" t="str">
        <f aca="false">IF(OR($A1517="",$C1517="U",$S1517&lt;&gt;Calc!$F$2),"",SUMIFS($N$3:$N$3002,$E$3:$E$3002,$E1517,$C$3:$C$3002,"&lt;&gt;U",$S$3:$S$3002,Calc!$F$2))</f>
        <v/>
      </c>
      <c r="Q1517" s="35" t="str">
        <f aca="false">IF(OR($A1517="",$C1517="U",$S1517&lt;&gt;Calc!$F$2),"",IF(COUNTIFS($E$3:$E1517,$E1517,$C$3:$C1517,"&lt;&gt;U",$S$3:$S1517,Calc!$F$2)=1,1,0))</f>
        <v/>
      </c>
      <c r="R1517" s="35" t="str">
        <f aca="false">IF($Q1517=1,$O1517-ROW()/100000,"")</f>
        <v/>
      </c>
      <c r="S1517" s="37" t="str">
        <f aca="false">IF($A1517="","",INT($A1517))</f>
        <v/>
      </c>
      <c r="T1517" s="35" t="str">
        <f aca="false">IF($A1517="","",IF(COUNTIFS($S$3:$S1517,$S1517)=1,1,0))</f>
        <v/>
      </c>
      <c r="U1517" s="37" t="str">
        <f aca="false">IF($T1517=1,$S1517,"")</f>
        <v/>
      </c>
    </row>
    <row r="1518" customFormat="false" ht="15" hidden="false" customHeight="false" outlineLevel="0" collapsed="false">
      <c r="M1518" s="35" t="str">
        <f aca="false">IF($A1518="","",HOUR($A1518))</f>
        <v/>
      </c>
      <c r="N1518" s="36" t="str">
        <f aca="false">IF($A1518="","",$I1518*$K1518)</f>
        <v/>
      </c>
      <c r="O1518" s="35" t="str">
        <f aca="false">IF(OR($A1518="",$C1518="U",$S1518&lt;&gt;Calc!$F$2),"",SUMIFS($I$3:$I$3002,$E$3:$E$3002,$E1518,$C$3:$C$3002,"&lt;&gt;U",$S$3:$S$3002,Calc!$F$2))</f>
        <v/>
      </c>
      <c r="P1518" s="35" t="str">
        <f aca="false">IF(OR($A1518="",$C1518="U",$S1518&lt;&gt;Calc!$F$2),"",SUMIFS($N$3:$N$3002,$E$3:$E$3002,$E1518,$C$3:$C$3002,"&lt;&gt;U",$S$3:$S$3002,Calc!$F$2))</f>
        <v/>
      </c>
      <c r="Q1518" s="35" t="str">
        <f aca="false">IF(OR($A1518="",$C1518="U",$S1518&lt;&gt;Calc!$F$2),"",IF(COUNTIFS($E$3:$E1518,$E1518,$C$3:$C1518,"&lt;&gt;U",$S$3:$S1518,Calc!$F$2)=1,1,0))</f>
        <v/>
      </c>
      <c r="R1518" s="35" t="str">
        <f aca="false">IF($Q1518=1,$O1518-ROW()/100000,"")</f>
        <v/>
      </c>
      <c r="S1518" s="37" t="str">
        <f aca="false">IF($A1518="","",INT($A1518))</f>
        <v/>
      </c>
      <c r="T1518" s="35" t="str">
        <f aca="false">IF($A1518="","",IF(COUNTIFS($S$3:$S1518,$S1518)=1,1,0))</f>
        <v/>
      </c>
      <c r="U1518" s="37" t="str">
        <f aca="false">IF($T1518=1,$S1518,"")</f>
        <v/>
      </c>
    </row>
    <row r="1519" customFormat="false" ht="15" hidden="false" customHeight="false" outlineLevel="0" collapsed="false">
      <c r="M1519" s="35" t="str">
        <f aca="false">IF($A1519="","",HOUR($A1519))</f>
        <v/>
      </c>
      <c r="N1519" s="36" t="str">
        <f aca="false">IF($A1519="","",$I1519*$K1519)</f>
        <v/>
      </c>
      <c r="O1519" s="35" t="str">
        <f aca="false">IF(OR($A1519="",$C1519="U",$S1519&lt;&gt;Calc!$F$2),"",SUMIFS($I$3:$I$3002,$E$3:$E$3002,$E1519,$C$3:$C$3002,"&lt;&gt;U",$S$3:$S$3002,Calc!$F$2))</f>
        <v/>
      </c>
      <c r="P1519" s="35" t="str">
        <f aca="false">IF(OR($A1519="",$C1519="U",$S1519&lt;&gt;Calc!$F$2),"",SUMIFS($N$3:$N$3002,$E$3:$E$3002,$E1519,$C$3:$C$3002,"&lt;&gt;U",$S$3:$S$3002,Calc!$F$2))</f>
        <v/>
      </c>
      <c r="Q1519" s="35" t="str">
        <f aca="false">IF(OR($A1519="",$C1519="U",$S1519&lt;&gt;Calc!$F$2),"",IF(COUNTIFS($E$3:$E1519,$E1519,$C$3:$C1519,"&lt;&gt;U",$S$3:$S1519,Calc!$F$2)=1,1,0))</f>
        <v/>
      </c>
      <c r="R1519" s="35" t="str">
        <f aca="false">IF($Q1519=1,$O1519-ROW()/100000,"")</f>
        <v/>
      </c>
      <c r="S1519" s="37" t="str">
        <f aca="false">IF($A1519="","",INT($A1519))</f>
        <v/>
      </c>
      <c r="T1519" s="35" t="str">
        <f aca="false">IF($A1519="","",IF(COUNTIFS($S$3:$S1519,$S1519)=1,1,0))</f>
        <v/>
      </c>
      <c r="U1519" s="37" t="str">
        <f aca="false">IF($T1519=1,$S1519,"")</f>
        <v/>
      </c>
    </row>
    <row r="1520" customFormat="false" ht="15" hidden="false" customHeight="false" outlineLevel="0" collapsed="false">
      <c r="M1520" s="35" t="str">
        <f aca="false">IF($A1520="","",HOUR($A1520))</f>
        <v/>
      </c>
      <c r="N1520" s="36" t="str">
        <f aca="false">IF($A1520="","",$I1520*$K1520)</f>
        <v/>
      </c>
      <c r="O1520" s="35" t="str">
        <f aca="false">IF(OR($A1520="",$C1520="U",$S1520&lt;&gt;Calc!$F$2),"",SUMIFS($I$3:$I$3002,$E$3:$E$3002,$E1520,$C$3:$C$3002,"&lt;&gt;U",$S$3:$S$3002,Calc!$F$2))</f>
        <v/>
      </c>
      <c r="P1520" s="35" t="str">
        <f aca="false">IF(OR($A1520="",$C1520="U",$S1520&lt;&gt;Calc!$F$2),"",SUMIFS($N$3:$N$3002,$E$3:$E$3002,$E1520,$C$3:$C$3002,"&lt;&gt;U",$S$3:$S$3002,Calc!$F$2))</f>
        <v/>
      </c>
      <c r="Q1520" s="35" t="str">
        <f aca="false">IF(OR($A1520="",$C1520="U",$S1520&lt;&gt;Calc!$F$2),"",IF(COUNTIFS($E$3:$E1520,$E1520,$C$3:$C1520,"&lt;&gt;U",$S$3:$S1520,Calc!$F$2)=1,1,0))</f>
        <v/>
      </c>
      <c r="R1520" s="35" t="str">
        <f aca="false">IF($Q1520=1,$O1520-ROW()/100000,"")</f>
        <v/>
      </c>
      <c r="S1520" s="37" t="str">
        <f aca="false">IF($A1520="","",INT($A1520))</f>
        <v/>
      </c>
      <c r="T1520" s="35" t="str">
        <f aca="false">IF($A1520="","",IF(COUNTIFS($S$3:$S1520,$S1520)=1,1,0))</f>
        <v/>
      </c>
      <c r="U1520" s="37" t="str">
        <f aca="false">IF($T1520=1,$S1520,"")</f>
        <v/>
      </c>
    </row>
    <row r="1521" customFormat="false" ht="15" hidden="false" customHeight="false" outlineLevel="0" collapsed="false">
      <c r="M1521" s="35" t="str">
        <f aca="false">IF($A1521="","",HOUR($A1521))</f>
        <v/>
      </c>
      <c r="N1521" s="36" t="str">
        <f aca="false">IF($A1521="","",$I1521*$K1521)</f>
        <v/>
      </c>
      <c r="O1521" s="35" t="str">
        <f aca="false">IF(OR($A1521="",$C1521="U",$S1521&lt;&gt;Calc!$F$2),"",SUMIFS($I$3:$I$3002,$E$3:$E$3002,$E1521,$C$3:$C$3002,"&lt;&gt;U",$S$3:$S$3002,Calc!$F$2))</f>
        <v/>
      </c>
      <c r="P1521" s="35" t="str">
        <f aca="false">IF(OR($A1521="",$C1521="U",$S1521&lt;&gt;Calc!$F$2),"",SUMIFS($N$3:$N$3002,$E$3:$E$3002,$E1521,$C$3:$C$3002,"&lt;&gt;U",$S$3:$S$3002,Calc!$F$2))</f>
        <v/>
      </c>
      <c r="Q1521" s="35" t="str">
        <f aca="false">IF(OR($A1521="",$C1521="U",$S1521&lt;&gt;Calc!$F$2),"",IF(COUNTIFS($E$3:$E1521,$E1521,$C$3:$C1521,"&lt;&gt;U",$S$3:$S1521,Calc!$F$2)=1,1,0))</f>
        <v/>
      </c>
      <c r="R1521" s="35" t="str">
        <f aca="false">IF($Q1521=1,$O1521-ROW()/100000,"")</f>
        <v/>
      </c>
      <c r="S1521" s="37" t="str">
        <f aca="false">IF($A1521="","",INT($A1521))</f>
        <v/>
      </c>
      <c r="T1521" s="35" t="str">
        <f aca="false">IF($A1521="","",IF(COUNTIFS($S$3:$S1521,$S1521)=1,1,0))</f>
        <v/>
      </c>
      <c r="U1521" s="37" t="str">
        <f aca="false">IF($T1521=1,$S1521,"")</f>
        <v/>
      </c>
    </row>
    <row r="1522" customFormat="false" ht="15" hidden="false" customHeight="false" outlineLevel="0" collapsed="false">
      <c r="M1522" s="35" t="str">
        <f aca="false">IF($A1522="","",HOUR($A1522))</f>
        <v/>
      </c>
      <c r="N1522" s="36" t="str">
        <f aca="false">IF($A1522="","",$I1522*$K1522)</f>
        <v/>
      </c>
      <c r="O1522" s="35" t="str">
        <f aca="false">IF(OR($A1522="",$C1522="U",$S1522&lt;&gt;Calc!$F$2),"",SUMIFS($I$3:$I$3002,$E$3:$E$3002,$E1522,$C$3:$C$3002,"&lt;&gt;U",$S$3:$S$3002,Calc!$F$2))</f>
        <v/>
      </c>
      <c r="P1522" s="35" t="str">
        <f aca="false">IF(OR($A1522="",$C1522="U",$S1522&lt;&gt;Calc!$F$2),"",SUMIFS($N$3:$N$3002,$E$3:$E$3002,$E1522,$C$3:$C$3002,"&lt;&gt;U",$S$3:$S$3002,Calc!$F$2))</f>
        <v/>
      </c>
      <c r="Q1522" s="35" t="str">
        <f aca="false">IF(OR($A1522="",$C1522="U",$S1522&lt;&gt;Calc!$F$2),"",IF(COUNTIFS($E$3:$E1522,$E1522,$C$3:$C1522,"&lt;&gt;U",$S$3:$S1522,Calc!$F$2)=1,1,0))</f>
        <v/>
      </c>
      <c r="R1522" s="35" t="str">
        <f aca="false">IF($Q1522=1,$O1522-ROW()/100000,"")</f>
        <v/>
      </c>
      <c r="S1522" s="37" t="str">
        <f aca="false">IF($A1522="","",INT($A1522))</f>
        <v/>
      </c>
      <c r="T1522" s="35" t="str">
        <f aca="false">IF($A1522="","",IF(COUNTIFS($S$3:$S1522,$S1522)=1,1,0))</f>
        <v/>
      </c>
      <c r="U1522" s="37" t="str">
        <f aca="false">IF($T1522=1,$S1522,"")</f>
        <v/>
      </c>
    </row>
    <row r="1523" customFormat="false" ht="15" hidden="false" customHeight="false" outlineLevel="0" collapsed="false">
      <c r="M1523" s="35" t="str">
        <f aca="false">IF($A1523="","",HOUR($A1523))</f>
        <v/>
      </c>
      <c r="N1523" s="36" t="str">
        <f aca="false">IF($A1523="","",$I1523*$K1523)</f>
        <v/>
      </c>
      <c r="O1523" s="35" t="str">
        <f aca="false">IF(OR($A1523="",$C1523="U",$S1523&lt;&gt;Calc!$F$2),"",SUMIFS($I$3:$I$3002,$E$3:$E$3002,$E1523,$C$3:$C$3002,"&lt;&gt;U",$S$3:$S$3002,Calc!$F$2))</f>
        <v/>
      </c>
      <c r="P1523" s="35" t="str">
        <f aca="false">IF(OR($A1523="",$C1523="U",$S1523&lt;&gt;Calc!$F$2),"",SUMIFS($N$3:$N$3002,$E$3:$E$3002,$E1523,$C$3:$C$3002,"&lt;&gt;U",$S$3:$S$3002,Calc!$F$2))</f>
        <v/>
      </c>
      <c r="Q1523" s="35" t="str">
        <f aca="false">IF(OR($A1523="",$C1523="U",$S1523&lt;&gt;Calc!$F$2),"",IF(COUNTIFS($E$3:$E1523,$E1523,$C$3:$C1523,"&lt;&gt;U",$S$3:$S1523,Calc!$F$2)=1,1,0))</f>
        <v/>
      </c>
      <c r="R1523" s="35" t="str">
        <f aca="false">IF($Q1523=1,$O1523-ROW()/100000,"")</f>
        <v/>
      </c>
      <c r="S1523" s="37" t="str">
        <f aca="false">IF($A1523="","",INT($A1523))</f>
        <v/>
      </c>
      <c r="T1523" s="35" t="str">
        <f aca="false">IF($A1523="","",IF(COUNTIFS($S$3:$S1523,$S1523)=1,1,0))</f>
        <v/>
      </c>
      <c r="U1523" s="37" t="str">
        <f aca="false">IF($T1523=1,$S1523,"")</f>
        <v/>
      </c>
    </row>
    <row r="1524" customFormat="false" ht="15" hidden="false" customHeight="false" outlineLevel="0" collapsed="false">
      <c r="M1524" s="35" t="str">
        <f aca="false">IF($A1524="","",HOUR($A1524))</f>
        <v/>
      </c>
      <c r="N1524" s="36" t="str">
        <f aca="false">IF($A1524="","",$I1524*$K1524)</f>
        <v/>
      </c>
      <c r="O1524" s="35" t="str">
        <f aca="false">IF(OR($A1524="",$C1524="U",$S1524&lt;&gt;Calc!$F$2),"",SUMIFS($I$3:$I$3002,$E$3:$E$3002,$E1524,$C$3:$C$3002,"&lt;&gt;U",$S$3:$S$3002,Calc!$F$2))</f>
        <v/>
      </c>
      <c r="P1524" s="35" t="str">
        <f aca="false">IF(OR($A1524="",$C1524="U",$S1524&lt;&gt;Calc!$F$2),"",SUMIFS($N$3:$N$3002,$E$3:$E$3002,$E1524,$C$3:$C$3002,"&lt;&gt;U",$S$3:$S$3002,Calc!$F$2))</f>
        <v/>
      </c>
      <c r="Q1524" s="35" t="str">
        <f aca="false">IF(OR($A1524="",$C1524="U",$S1524&lt;&gt;Calc!$F$2),"",IF(COUNTIFS($E$3:$E1524,$E1524,$C$3:$C1524,"&lt;&gt;U",$S$3:$S1524,Calc!$F$2)=1,1,0))</f>
        <v/>
      </c>
      <c r="R1524" s="35" t="str">
        <f aca="false">IF($Q1524=1,$O1524-ROW()/100000,"")</f>
        <v/>
      </c>
      <c r="S1524" s="37" t="str">
        <f aca="false">IF($A1524="","",INT($A1524))</f>
        <v/>
      </c>
      <c r="T1524" s="35" t="str">
        <f aca="false">IF($A1524="","",IF(COUNTIFS($S$3:$S1524,$S1524)=1,1,0))</f>
        <v/>
      </c>
      <c r="U1524" s="37" t="str">
        <f aca="false">IF($T1524=1,$S1524,"")</f>
        <v/>
      </c>
    </row>
    <row r="1525" customFormat="false" ht="15" hidden="false" customHeight="false" outlineLevel="0" collapsed="false">
      <c r="M1525" s="35" t="str">
        <f aca="false">IF($A1525="","",HOUR($A1525))</f>
        <v/>
      </c>
      <c r="N1525" s="36" t="str">
        <f aca="false">IF($A1525="","",$I1525*$K1525)</f>
        <v/>
      </c>
      <c r="O1525" s="35" t="str">
        <f aca="false">IF(OR($A1525="",$C1525="U",$S1525&lt;&gt;Calc!$F$2),"",SUMIFS($I$3:$I$3002,$E$3:$E$3002,$E1525,$C$3:$C$3002,"&lt;&gt;U",$S$3:$S$3002,Calc!$F$2))</f>
        <v/>
      </c>
      <c r="P1525" s="35" t="str">
        <f aca="false">IF(OR($A1525="",$C1525="U",$S1525&lt;&gt;Calc!$F$2),"",SUMIFS($N$3:$N$3002,$E$3:$E$3002,$E1525,$C$3:$C$3002,"&lt;&gt;U",$S$3:$S$3002,Calc!$F$2))</f>
        <v/>
      </c>
      <c r="Q1525" s="35" t="str">
        <f aca="false">IF(OR($A1525="",$C1525="U",$S1525&lt;&gt;Calc!$F$2),"",IF(COUNTIFS($E$3:$E1525,$E1525,$C$3:$C1525,"&lt;&gt;U",$S$3:$S1525,Calc!$F$2)=1,1,0))</f>
        <v/>
      </c>
      <c r="R1525" s="35" t="str">
        <f aca="false">IF($Q1525=1,$O1525-ROW()/100000,"")</f>
        <v/>
      </c>
      <c r="S1525" s="37" t="str">
        <f aca="false">IF($A1525="","",INT($A1525))</f>
        <v/>
      </c>
      <c r="T1525" s="35" t="str">
        <f aca="false">IF($A1525="","",IF(COUNTIFS($S$3:$S1525,$S1525)=1,1,0))</f>
        <v/>
      </c>
      <c r="U1525" s="37" t="str">
        <f aca="false">IF($T1525=1,$S1525,"")</f>
        <v/>
      </c>
    </row>
    <row r="1526" customFormat="false" ht="15" hidden="false" customHeight="false" outlineLevel="0" collapsed="false">
      <c r="M1526" s="35" t="str">
        <f aca="false">IF($A1526="","",HOUR($A1526))</f>
        <v/>
      </c>
      <c r="N1526" s="36" t="str">
        <f aca="false">IF($A1526="","",$I1526*$K1526)</f>
        <v/>
      </c>
      <c r="O1526" s="35" t="str">
        <f aca="false">IF(OR($A1526="",$C1526="U",$S1526&lt;&gt;Calc!$F$2),"",SUMIFS($I$3:$I$3002,$E$3:$E$3002,$E1526,$C$3:$C$3002,"&lt;&gt;U",$S$3:$S$3002,Calc!$F$2))</f>
        <v/>
      </c>
      <c r="P1526" s="35" t="str">
        <f aca="false">IF(OR($A1526="",$C1526="U",$S1526&lt;&gt;Calc!$F$2),"",SUMIFS($N$3:$N$3002,$E$3:$E$3002,$E1526,$C$3:$C$3002,"&lt;&gt;U",$S$3:$S$3002,Calc!$F$2))</f>
        <v/>
      </c>
      <c r="Q1526" s="35" t="str">
        <f aca="false">IF(OR($A1526="",$C1526="U",$S1526&lt;&gt;Calc!$F$2),"",IF(COUNTIFS($E$3:$E1526,$E1526,$C$3:$C1526,"&lt;&gt;U",$S$3:$S1526,Calc!$F$2)=1,1,0))</f>
        <v/>
      </c>
      <c r="R1526" s="35" t="str">
        <f aca="false">IF($Q1526=1,$O1526-ROW()/100000,"")</f>
        <v/>
      </c>
      <c r="S1526" s="37" t="str">
        <f aca="false">IF($A1526="","",INT($A1526))</f>
        <v/>
      </c>
      <c r="T1526" s="35" t="str">
        <f aca="false">IF($A1526="","",IF(COUNTIFS($S$3:$S1526,$S1526)=1,1,0))</f>
        <v/>
      </c>
      <c r="U1526" s="37" t="str">
        <f aca="false">IF($T1526=1,$S1526,"")</f>
        <v/>
      </c>
    </row>
    <row r="1527" customFormat="false" ht="15" hidden="false" customHeight="false" outlineLevel="0" collapsed="false">
      <c r="M1527" s="35" t="str">
        <f aca="false">IF($A1527="","",HOUR($A1527))</f>
        <v/>
      </c>
      <c r="N1527" s="36" t="str">
        <f aca="false">IF($A1527="","",$I1527*$K1527)</f>
        <v/>
      </c>
      <c r="O1527" s="35" t="str">
        <f aca="false">IF(OR($A1527="",$C1527="U",$S1527&lt;&gt;Calc!$F$2),"",SUMIFS($I$3:$I$3002,$E$3:$E$3002,$E1527,$C$3:$C$3002,"&lt;&gt;U",$S$3:$S$3002,Calc!$F$2))</f>
        <v/>
      </c>
      <c r="P1527" s="35" t="str">
        <f aca="false">IF(OR($A1527="",$C1527="U",$S1527&lt;&gt;Calc!$F$2),"",SUMIFS($N$3:$N$3002,$E$3:$E$3002,$E1527,$C$3:$C$3002,"&lt;&gt;U",$S$3:$S$3002,Calc!$F$2))</f>
        <v/>
      </c>
      <c r="Q1527" s="35" t="str">
        <f aca="false">IF(OR($A1527="",$C1527="U",$S1527&lt;&gt;Calc!$F$2),"",IF(COUNTIFS($E$3:$E1527,$E1527,$C$3:$C1527,"&lt;&gt;U",$S$3:$S1527,Calc!$F$2)=1,1,0))</f>
        <v/>
      </c>
      <c r="R1527" s="35" t="str">
        <f aca="false">IF($Q1527=1,$O1527-ROW()/100000,"")</f>
        <v/>
      </c>
      <c r="S1527" s="37" t="str">
        <f aca="false">IF($A1527="","",INT($A1527))</f>
        <v/>
      </c>
      <c r="T1527" s="35" t="str">
        <f aca="false">IF($A1527="","",IF(COUNTIFS($S$3:$S1527,$S1527)=1,1,0))</f>
        <v/>
      </c>
      <c r="U1527" s="37" t="str">
        <f aca="false">IF($T1527=1,$S1527,"")</f>
        <v/>
      </c>
    </row>
    <row r="1528" customFormat="false" ht="15" hidden="false" customHeight="false" outlineLevel="0" collapsed="false">
      <c r="M1528" s="35" t="str">
        <f aca="false">IF($A1528="","",HOUR($A1528))</f>
        <v/>
      </c>
      <c r="N1528" s="36" t="str">
        <f aca="false">IF($A1528="","",$I1528*$K1528)</f>
        <v/>
      </c>
      <c r="O1528" s="35" t="str">
        <f aca="false">IF(OR($A1528="",$C1528="U",$S1528&lt;&gt;Calc!$F$2),"",SUMIFS($I$3:$I$3002,$E$3:$E$3002,$E1528,$C$3:$C$3002,"&lt;&gt;U",$S$3:$S$3002,Calc!$F$2))</f>
        <v/>
      </c>
      <c r="P1528" s="35" t="str">
        <f aca="false">IF(OR($A1528="",$C1528="U",$S1528&lt;&gt;Calc!$F$2),"",SUMIFS($N$3:$N$3002,$E$3:$E$3002,$E1528,$C$3:$C$3002,"&lt;&gt;U",$S$3:$S$3002,Calc!$F$2))</f>
        <v/>
      </c>
      <c r="Q1528" s="35" t="str">
        <f aca="false">IF(OR($A1528="",$C1528="U",$S1528&lt;&gt;Calc!$F$2),"",IF(COUNTIFS($E$3:$E1528,$E1528,$C$3:$C1528,"&lt;&gt;U",$S$3:$S1528,Calc!$F$2)=1,1,0))</f>
        <v/>
      </c>
      <c r="R1528" s="35" t="str">
        <f aca="false">IF($Q1528=1,$O1528-ROW()/100000,"")</f>
        <v/>
      </c>
      <c r="S1528" s="37" t="str">
        <f aca="false">IF($A1528="","",INT($A1528))</f>
        <v/>
      </c>
      <c r="T1528" s="35" t="str">
        <f aca="false">IF($A1528="","",IF(COUNTIFS($S$3:$S1528,$S1528)=1,1,0))</f>
        <v/>
      </c>
      <c r="U1528" s="37" t="str">
        <f aca="false">IF($T1528=1,$S1528,"")</f>
        <v/>
      </c>
    </row>
    <row r="1529" customFormat="false" ht="15" hidden="false" customHeight="false" outlineLevel="0" collapsed="false">
      <c r="M1529" s="35" t="str">
        <f aca="false">IF($A1529="","",HOUR($A1529))</f>
        <v/>
      </c>
      <c r="N1529" s="36" t="str">
        <f aca="false">IF($A1529="","",$I1529*$K1529)</f>
        <v/>
      </c>
      <c r="O1529" s="35" t="str">
        <f aca="false">IF(OR($A1529="",$C1529="U",$S1529&lt;&gt;Calc!$F$2),"",SUMIFS($I$3:$I$3002,$E$3:$E$3002,$E1529,$C$3:$C$3002,"&lt;&gt;U",$S$3:$S$3002,Calc!$F$2))</f>
        <v/>
      </c>
      <c r="P1529" s="35" t="str">
        <f aca="false">IF(OR($A1529="",$C1529="U",$S1529&lt;&gt;Calc!$F$2),"",SUMIFS($N$3:$N$3002,$E$3:$E$3002,$E1529,$C$3:$C$3002,"&lt;&gt;U",$S$3:$S$3002,Calc!$F$2))</f>
        <v/>
      </c>
      <c r="Q1529" s="35" t="str">
        <f aca="false">IF(OR($A1529="",$C1529="U",$S1529&lt;&gt;Calc!$F$2),"",IF(COUNTIFS($E$3:$E1529,$E1529,$C$3:$C1529,"&lt;&gt;U",$S$3:$S1529,Calc!$F$2)=1,1,0))</f>
        <v/>
      </c>
      <c r="R1529" s="35" t="str">
        <f aca="false">IF($Q1529=1,$O1529-ROW()/100000,"")</f>
        <v/>
      </c>
      <c r="S1529" s="37" t="str">
        <f aca="false">IF($A1529="","",INT($A1529))</f>
        <v/>
      </c>
      <c r="T1529" s="35" t="str">
        <f aca="false">IF($A1529="","",IF(COUNTIFS($S$3:$S1529,$S1529)=1,1,0))</f>
        <v/>
      </c>
      <c r="U1529" s="37" t="str">
        <f aca="false">IF($T1529=1,$S1529,"")</f>
        <v/>
      </c>
    </row>
    <row r="1530" customFormat="false" ht="15" hidden="false" customHeight="false" outlineLevel="0" collapsed="false">
      <c r="M1530" s="35" t="str">
        <f aca="false">IF($A1530="","",HOUR($A1530))</f>
        <v/>
      </c>
      <c r="N1530" s="36" t="str">
        <f aca="false">IF($A1530="","",$I1530*$K1530)</f>
        <v/>
      </c>
      <c r="O1530" s="35" t="str">
        <f aca="false">IF(OR($A1530="",$C1530="U",$S1530&lt;&gt;Calc!$F$2),"",SUMIFS($I$3:$I$3002,$E$3:$E$3002,$E1530,$C$3:$C$3002,"&lt;&gt;U",$S$3:$S$3002,Calc!$F$2))</f>
        <v/>
      </c>
      <c r="P1530" s="35" t="str">
        <f aca="false">IF(OR($A1530="",$C1530="U",$S1530&lt;&gt;Calc!$F$2),"",SUMIFS($N$3:$N$3002,$E$3:$E$3002,$E1530,$C$3:$C$3002,"&lt;&gt;U",$S$3:$S$3002,Calc!$F$2))</f>
        <v/>
      </c>
      <c r="Q1530" s="35" t="str">
        <f aca="false">IF(OR($A1530="",$C1530="U",$S1530&lt;&gt;Calc!$F$2),"",IF(COUNTIFS($E$3:$E1530,$E1530,$C$3:$C1530,"&lt;&gt;U",$S$3:$S1530,Calc!$F$2)=1,1,0))</f>
        <v/>
      </c>
      <c r="R1530" s="35" t="str">
        <f aca="false">IF($Q1530=1,$O1530-ROW()/100000,"")</f>
        <v/>
      </c>
      <c r="S1530" s="37" t="str">
        <f aca="false">IF($A1530="","",INT($A1530))</f>
        <v/>
      </c>
      <c r="T1530" s="35" t="str">
        <f aca="false">IF($A1530="","",IF(COUNTIFS($S$3:$S1530,$S1530)=1,1,0))</f>
        <v/>
      </c>
      <c r="U1530" s="37" t="str">
        <f aca="false">IF($T1530=1,$S1530,"")</f>
        <v/>
      </c>
    </row>
    <row r="1531" customFormat="false" ht="15" hidden="false" customHeight="false" outlineLevel="0" collapsed="false">
      <c r="M1531" s="35" t="str">
        <f aca="false">IF($A1531="","",HOUR($A1531))</f>
        <v/>
      </c>
      <c r="N1531" s="36" t="str">
        <f aca="false">IF($A1531="","",$I1531*$K1531)</f>
        <v/>
      </c>
      <c r="O1531" s="35" t="str">
        <f aca="false">IF(OR($A1531="",$C1531="U",$S1531&lt;&gt;Calc!$F$2),"",SUMIFS($I$3:$I$3002,$E$3:$E$3002,$E1531,$C$3:$C$3002,"&lt;&gt;U",$S$3:$S$3002,Calc!$F$2))</f>
        <v/>
      </c>
      <c r="P1531" s="35" t="str">
        <f aca="false">IF(OR($A1531="",$C1531="U",$S1531&lt;&gt;Calc!$F$2),"",SUMIFS($N$3:$N$3002,$E$3:$E$3002,$E1531,$C$3:$C$3002,"&lt;&gt;U",$S$3:$S$3002,Calc!$F$2))</f>
        <v/>
      </c>
      <c r="Q1531" s="35" t="str">
        <f aca="false">IF(OR($A1531="",$C1531="U",$S1531&lt;&gt;Calc!$F$2),"",IF(COUNTIFS($E$3:$E1531,$E1531,$C$3:$C1531,"&lt;&gt;U",$S$3:$S1531,Calc!$F$2)=1,1,0))</f>
        <v/>
      </c>
      <c r="R1531" s="35" t="str">
        <f aca="false">IF($Q1531=1,$O1531-ROW()/100000,"")</f>
        <v/>
      </c>
      <c r="S1531" s="37" t="str">
        <f aca="false">IF($A1531="","",INT($A1531))</f>
        <v/>
      </c>
      <c r="T1531" s="35" t="str">
        <f aca="false">IF($A1531="","",IF(COUNTIFS($S$3:$S1531,$S1531)=1,1,0))</f>
        <v/>
      </c>
      <c r="U1531" s="37" t="str">
        <f aca="false">IF($T1531=1,$S1531,"")</f>
        <v/>
      </c>
    </row>
    <row r="1532" customFormat="false" ht="15" hidden="false" customHeight="false" outlineLevel="0" collapsed="false">
      <c r="M1532" s="35" t="str">
        <f aca="false">IF($A1532="","",HOUR($A1532))</f>
        <v/>
      </c>
      <c r="N1532" s="36" t="str">
        <f aca="false">IF($A1532="","",$I1532*$K1532)</f>
        <v/>
      </c>
      <c r="O1532" s="35" t="str">
        <f aca="false">IF(OR($A1532="",$C1532="U",$S1532&lt;&gt;Calc!$F$2),"",SUMIFS($I$3:$I$3002,$E$3:$E$3002,$E1532,$C$3:$C$3002,"&lt;&gt;U",$S$3:$S$3002,Calc!$F$2))</f>
        <v/>
      </c>
      <c r="P1532" s="35" t="str">
        <f aca="false">IF(OR($A1532="",$C1532="U",$S1532&lt;&gt;Calc!$F$2),"",SUMIFS($N$3:$N$3002,$E$3:$E$3002,$E1532,$C$3:$C$3002,"&lt;&gt;U",$S$3:$S$3002,Calc!$F$2))</f>
        <v/>
      </c>
      <c r="Q1532" s="35" t="str">
        <f aca="false">IF(OR($A1532="",$C1532="U",$S1532&lt;&gt;Calc!$F$2),"",IF(COUNTIFS($E$3:$E1532,$E1532,$C$3:$C1532,"&lt;&gt;U",$S$3:$S1532,Calc!$F$2)=1,1,0))</f>
        <v/>
      </c>
      <c r="R1532" s="35" t="str">
        <f aca="false">IF($Q1532=1,$O1532-ROW()/100000,"")</f>
        <v/>
      </c>
      <c r="S1532" s="37" t="str">
        <f aca="false">IF($A1532="","",INT($A1532))</f>
        <v/>
      </c>
      <c r="T1532" s="35" t="str">
        <f aca="false">IF($A1532="","",IF(COUNTIFS($S$3:$S1532,$S1532)=1,1,0))</f>
        <v/>
      </c>
      <c r="U1532" s="37" t="str">
        <f aca="false">IF($T1532=1,$S1532,"")</f>
        <v/>
      </c>
    </row>
    <row r="1533" customFormat="false" ht="15" hidden="false" customHeight="false" outlineLevel="0" collapsed="false">
      <c r="M1533" s="35" t="str">
        <f aca="false">IF($A1533="","",HOUR($A1533))</f>
        <v/>
      </c>
      <c r="N1533" s="36" t="str">
        <f aca="false">IF($A1533="","",$I1533*$K1533)</f>
        <v/>
      </c>
      <c r="O1533" s="35" t="str">
        <f aca="false">IF(OR($A1533="",$C1533="U",$S1533&lt;&gt;Calc!$F$2),"",SUMIFS($I$3:$I$3002,$E$3:$E$3002,$E1533,$C$3:$C$3002,"&lt;&gt;U",$S$3:$S$3002,Calc!$F$2))</f>
        <v/>
      </c>
      <c r="P1533" s="35" t="str">
        <f aca="false">IF(OR($A1533="",$C1533="U",$S1533&lt;&gt;Calc!$F$2),"",SUMIFS($N$3:$N$3002,$E$3:$E$3002,$E1533,$C$3:$C$3002,"&lt;&gt;U",$S$3:$S$3002,Calc!$F$2))</f>
        <v/>
      </c>
      <c r="Q1533" s="35" t="str">
        <f aca="false">IF(OR($A1533="",$C1533="U",$S1533&lt;&gt;Calc!$F$2),"",IF(COUNTIFS($E$3:$E1533,$E1533,$C$3:$C1533,"&lt;&gt;U",$S$3:$S1533,Calc!$F$2)=1,1,0))</f>
        <v/>
      </c>
      <c r="R1533" s="35" t="str">
        <f aca="false">IF($Q1533=1,$O1533-ROW()/100000,"")</f>
        <v/>
      </c>
      <c r="S1533" s="37" t="str">
        <f aca="false">IF($A1533="","",INT($A1533))</f>
        <v/>
      </c>
      <c r="T1533" s="35" t="str">
        <f aca="false">IF($A1533="","",IF(COUNTIFS($S$3:$S1533,$S1533)=1,1,0))</f>
        <v/>
      </c>
      <c r="U1533" s="37" t="str">
        <f aca="false">IF($T1533=1,$S1533,"")</f>
        <v/>
      </c>
    </row>
    <row r="1534" customFormat="false" ht="15" hidden="false" customHeight="false" outlineLevel="0" collapsed="false">
      <c r="M1534" s="35" t="str">
        <f aca="false">IF($A1534="","",HOUR($A1534))</f>
        <v/>
      </c>
      <c r="N1534" s="36" t="str">
        <f aca="false">IF($A1534="","",$I1534*$K1534)</f>
        <v/>
      </c>
      <c r="O1534" s="35" t="str">
        <f aca="false">IF(OR($A1534="",$C1534="U",$S1534&lt;&gt;Calc!$F$2),"",SUMIFS($I$3:$I$3002,$E$3:$E$3002,$E1534,$C$3:$C$3002,"&lt;&gt;U",$S$3:$S$3002,Calc!$F$2))</f>
        <v/>
      </c>
      <c r="P1534" s="35" t="str">
        <f aca="false">IF(OR($A1534="",$C1534="U",$S1534&lt;&gt;Calc!$F$2),"",SUMIFS($N$3:$N$3002,$E$3:$E$3002,$E1534,$C$3:$C$3002,"&lt;&gt;U",$S$3:$S$3002,Calc!$F$2))</f>
        <v/>
      </c>
      <c r="Q1534" s="35" t="str">
        <f aca="false">IF(OR($A1534="",$C1534="U",$S1534&lt;&gt;Calc!$F$2),"",IF(COUNTIFS($E$3:$E1534,$E1534,$C$3:$C1534,"&lt;&gt;U",$S$3:$S1534,Calc!$F$2)=1,1,0))</f>
        <v/>
      </c>
      <c r="R1534" s="35" t="str">
        <f aca="false">IF($Q1534=1,$O1534-ROW()/100000,"")</f>
        <v/>
      </c>
      <c r="S1534" s="37" t="str">
        <f aca="false">IF($A1534="","",INT($A1534))</f>
        <v/>
      </c>
      <c r="T1534" s="35" t="str">
        <f aca="false">IF($A1534="","",IF(COUNTIFS($S$3:$S1534,$S1534)=1,1,0))</f>
        <v/>
      </c>
      <c r="U1534" s="37" t="str">
        <f aca="false">IF($T1534=1,$S1534,"")</f>
        <v/>
      </c>
    </row>
    <row r="1535" customFormat="false" ht="15" hidden="false" customHeight="false" outlineLevel="0" collapsed="false">
      <c r="M1535" s="35" t="str">
        <f aca="false">IF($A1535="","",HOUR($A1535))</f>
        <v/>
      </c>
      <c r="N1535" s="36" t="str">
        <f aca="false">IF($A1535="","",$I1535*$K1535)</f>
        <v/>
      </c>
      <c r="O1535" s="35" t="str">
        <f aca="false">IF(OR($A1535="",$C1535="U",$S1535&lt;&gt;Calc!$F$2),"",SUMIFS($I$3:$I$3002,$E$3:$E$3002,$E1535,$C$3:$C$3002,"&lt;&gt;U",$S$3:$S$3002,Calc!$F$2))</f>
        <v/>
      </c>
      <c r="P1535" s="35" t="str">
        <f aca="false">IF(OR($A1535="",$C1535="U",$S1535&lt;&gt;Calc!$F$2),"",SUMIFS($N$3:$N$3002,$E$3:$E$3002,$E1535,$C$3:$C$3002,"&lt;&gt;U",$S$3:$S$3002,Calc!$F$2))</f>
        <v/>
      </c>
      <c r="Q1535" s="35" t="str">
        <f aca="false">IF(OR($A1535="",$C1535="U",$S1535&lt;&gt;Calc!$F$2),"",IF(COUNTIFS($E$3:$E1535,$E1535,$C$3:$C1535,"&lt;&gt;U",$S$3:$S1535,Calc!$F$2)=1,1,0))</f>
        <v/>
      </c>
      <c r="R1535" s="35" t="str">
        <f aca="false">IF($Q1535=1,$O1535-ROW()/100000,"")</f>
        <v/>
      </c>
      <c r="S1535" s="37" t="str">
        <f aca="false">IF($A1535="","",INT($A1535))</f>
        <v/>
      </c>
      <c r="T1535" s="35" t="str">
        <f aca="false">IF($A1535="","",IF(COUNTIFS($S$3:$S1535,$S1535)=1,1,0))</f>
        <v/>
      </c>
      <c r="U1535" s="37" t="str">
        <f aca="false">IF($T1535=1,$S1535,"")</f>
        <v/>
      </c>
    </row>
    <row r="1536" customFormat="false" ht="15" hidden="false" customHeight="false" outlineLevel="0" collapsed="false">
      <c r="M1536" s="35" t="str">
        <f aca="false">IF($A1536="","",HOUR($A1536))</f>
        <v/>
      </c>
      <c r="N1536" s="36" t="str">
        <f aca="false">IF($A1536="","",$I1536*$K1536)</f>
        <v/>
      </c>
      <c r="O1536" s="35" t="str">
        <f aca="false">IF(OR($A1536="",$C1536="U",$S1536&lt;&gt;Calc!$F$2),"",SUMIFS($I$3:$I$3002,$E$3:$E$3002,$E1536,$C$3:$C$3002,"&lt;&gt;U",$S$3:$S$3002,Calc!$F$2))</f>
        <v/>
      </c>
      <c r="P1536" s="35" t="str">
        <f aca="false">IF(OR($A1536="",$C1536="U",$S1536&lt;&gt;Calc!$F$2),"",SUMIFS($N$3:$N$3002,$E$3:$E$3002,$E1536,$C$3:$C$3002,"&lt;&gt;U",$S$3:$S$3002,Calc!$F$2))</f>
        <v/>
      </c>
      <c r="Q1536" s="35" t="str">
        <f aca="false">IF(OR($A1536="",$C1536="U",$S1536&lt;&gt;Calc!$F$2),"",IF(COUNTIFS($E$3:$E1536,$E1536,$C$3:$C1536,"&lt;&gt;U",$S$3:$S1536,Calc!$F$2)=1,1,0))</f>
        <v/>
      </c>
      <c r="R1536" s="35" t="str">
        <f aca="false">IF($Q1536=1,$O1536-ROW()/100000,"")</f>
        <v/>
      </c>
      <c r="S1536" s="37" t="str">
        <f aca="false">IF($A1536="","",INT($A1536))</f>
        <v/>
      </c>
      <c r="T1536" s="35" t="str">
        <f aca="false">IF($A1536="","",IF(COUNTIFS($S$3:$S1536,$S1536)=1,1,0))</f>
        <v/>
      </c>
      <c r="U1536" s="37" t="str">
        <f aca="false">IF($T1536=1,$S1536,"")</f>
        <v/>
      </c>
    </row>
    <row r="1537" customFormat="false" ht="15" hidden="false" customHeight="false" outlineLevel="0" collapsed="false">
      <c r="M1537" s="35" t="str">
        <f aca="false">IF($A1537="","",HOUR($A1537))</f>
        <v/>
      </c>
      <c r="N1537" s="36" t="str">
        <f aca="false">IF($A1537="","",$I1537*$K1537)</f>
        <v/>
      </c>
      <c r="O1537" s="35" t="str">
        <f aca="false">IF(OR($A1537="",$C1537="U",$S1537&lt;&gt;Calc!$F$2),"",SUMIFS($I$3:$I$3002,$E$3:$E$3002,$E1537,$C$3:$C$3002,"&lt;&gt;U",$S$3:$S$3002,Calc!$F$2))</f>
        <v/>
      </c>
      <c r="P1537" s="35" t="str">
        <f aca="false">IF(OR($A1537="",$C1537="U",$S1537&lt;&gt;Calc!$F$2),"",SUMIFS($N$3:$N$3002,$E$3:$E$3002,$E1537,$C$3:$C$3002,"&lt;&gt;U",$S$3:$S$3002,Calc!$F$2))</f>
        <v/>
      </c>
      <c r="Q1537" s="35" t="str">
        <f aca="false">IF(OR($A1537="",$C1537="U",$S1537&lt;&gt;Calc!$F$2),"",IF(COUNTIFS($E$3:$E1537,$E1537,$C$3:$C1537,"&lt;&gt;U",$S$3:$S1537,Calc!$F$2)=1,1,0))</f>
        <v/>
      </c>
      <c r="R1537" s="35" t="str">
        <f aca="false">IF($Q1537=1,$O1537-ROW()/100000,"")</f>
        <v/>
      </c>
      <c r="S1537" s="37" t="str">
        <f aca="false">IF($A1537="","",INT($A1537))</f>
        <v/>
      </c>
      <c r="T1537" s="35" t="str">
        <f aca="false">IF($A1537="","",IF(COUNTIFS($S$3:$S1537,$S1537)=1,1,0))</f>
        <v/>
      </c>
      <c r="U1537" s="37" t="str">
        <f aca="false">IF($T1537=1,$S1537,"")</f>
        <v/>
      </c>
    </row>
    <row r="1538" customFormat="false" ht="15" hidden="false" customHeight="false" outlineLevel="0" collapsed="false">
      <c r="M1538" s="35" t="str">
        <f aca="false">IF($A1538="","",HOUR($A1538))</f>
        <v/>
      </c>
      <c r="N1538" s="36" t="str">
        <f aca="false">IF($A1538="","",$I1538*$K1538)</f>
        <v/>
      </c>
      <c r="O1538" s="35" t="str">
        <f aca="false">IF(OR($A1538="",$C1538="U",$S1538&lt;&gt;Calc!$F$2),"",SUMIFS($I$3:$I$3002,$E$3:$E$3002,$E1538,$C$3:$C$3002,"&lt;&gt;U",$S$3:$S$3002,Calc!$F$2))</f>
        <v/>
      </c>
      <c r="P1538" s="35" t="str">
        <f aca="false">IF(OR($A1538="",$C1538="U",$S1538&lt;&gt;Calc!$F$2),"",SUMIFS($N$3:$N$3002,$E$3:$E$3002,$E1538,$C$3:$C$3002,"&lt;&gt;U",$S$3:$S$3002,Calc!$F$2))</f>
        <v/>
      </c>
      <c r="Q1538" s="35" t="str">
        <f aca="false">IF(OR($A1538="",$C1538="U",$S1538&lt;&gt;Calc!$F$2),"",IF(COUNTIFS($E$3:$E1538,$E1538,$C$3:$C1538,"&lt;&gt;U",$S$3:$S1538,Calc!$F$2)=1,1,0))</f>
        <v/>
      </c>
      <c r="R1538" s="35" t="str">
        <f aca="false">IF($Q1538=1,$O1538-ROW()/100000,"")</f>
        <v/>
      </c>
      <c r="S1538" s="37" t="str">
        <f aca="false">IF($A1538="","",INT($A1538))</f>
        <v/>
      </c>
      <c r="T1538" s="35" t="str">
        <f aca="false">IF($A1538="","",IF(COUNTIFS($S$3:$S1538,$S1538)=1,1,0))</f>
        <v/>
      </c>
      <c r="U1538" s="37" t="str">
        <f aca="false">IF($T1538=1,$S1538,"")</f>
        <v/>
      </c>
    </row>
    <row r="1539" customFormat="false" ht="15" hidden="false" customHeight="false" outlineLevel="0" collapsed="false">
      <c r="M1539" s="35" t="str">
        <f aca="false">IF($A1539="","",HOUR($A1539))</f>
        <v/>
      </c>
      <c r="N1539" s="36" t="str">
        <f aca="false">IF($A1539="","",$I1539*$K1539)</f>
        <v/>
      </c>
      <c r="O1539" s="35" t="str">
        <f aca="false">IF(OR($A1539="",$C1539="U",$S1539&lt;&gt;Calc!$F$2),"",SUMIFS($I$3:$I$3002,$E$3:$E$3002,$E1539,$C$3:$C$3002,"&lt;&gt;U",$S$3:$S$3002,Calc!$F$2))</f>
        <v/>
      </c>
      <c r="P1539" s="35" t="str">
        <f aca="false">IF(OR($A1539="",$C1539="U",$S1539&lt;&gt;Calc!$F$2),"",SUMIFS($N$3:$N$3002,$E$3:$E$3002,$E1539,$C$3:$C$3002,"&lt;&gt;U",$S$3:$S$3002,Calc!$F$2))</f>
        <v/>
      </c>
      <c r="Q1539" s="35" t="str">
        <f aca="false">IF(OR($A1539="",$C1539="U",$S1539&lt;&gt;Calc!$F$2),"",IF(COUNTIFS($E$3:$E1539,$E1539,$C$3:$C1539,"&lt;&gt;U",$S$3:$S1539,Calc!$F$2)=1,1,0))</f>
        <v/>
      </c>
      <c r="R1539" s="35" t="str">
        <f aca="false">IF($Q1539=1,$O1539-ROW()/100000,"")</f>
        <v/>
      </c>
      <c r="S1539" s="37" t="str">
        <f aca="false">IF($A1539="","",INT($A1539))</f>
        <v/>
      </c>
      <c r="T1539" s="35" t="str">
        <f aca="false">IF($A1539="","",IF(COUNTIFS($S$3:$S1539,$S1539)=1,1,0))</f>
        <v/>
      </c>
      <c r="U1539" s="37" t="str">
        <f aca="false">IF($T1539=1,$S1539,"")</f>
        <v/>
      </c>
    </row>
    <row r="1540" customFormat="false" ht="15" hidden="false" customHeight="false" outlineLevel="0" collapsed="false">
      <c r="M1540" s="35" t="str">
        <f aca="false">IF($A1540="","",HOUR($A1540))</f>
        <v/>
      </c>
      <c r="N1540" s="36" t="str">
        <f aca="false">IF($A1540="","",$I1540*$K1540)</f>
        <v/>
      </c>
      <c r="O1540" s="35" t="str">
        <f aca="false">IF(OR($A1540="",$C1540="U",$S1540&lt;&gt;Calc!$F$2),"",SUMIFS($I$3:$I$3002,$E$3:$E$3002,$E1540,$C$3:$C$3002,"&lt;&gt;U",$S$3:$S$3002,Calc!$F$2))</f>
        <v/>
      </c>
      <c r="P1540" s="35" t="str">
        <f aca="false">IF(OR($A1540="",$C1540="U",$S1540&lt;&gt;Calc!$F$2),"",SUMIFS($N$3:$N$3002,$E$3:$E$3002,$E1540,$C$3:$C$3002,"&lt;&gt;U",$S$3:$S$3002,Calc!$F$2))</f>
        <v/>
      </c>
      <c r="Q1540" s="35" t="str">
        <f aca="false">IF(OR($A1540="",$C1540="U",$S1540&lt;&gt;Calc!$F$2),"",IF(COUNTIFS($E$3:$E1540,$E1540,$C$3:$C1540,"&lt;&gt;U",$S$3:$S1540,Calc!$F$2)=1,1,0))</f>
        <v/>
      </c>
      <c r="R1540" s="35" t="str">
        <f aca="false">IF($Q1540=1,$O1540-ROW()/100000,"")</f>
        <v/>
      </c>
      <c r="S1540" s="37" t="str">
        <f aca="false">IF($A1540="","",INT($A1540))</f>
        <v/>
      </c>
      <c r="T1540" s="35" t="str">
        <f aca="false">IF($A1540="","",IF(COUNTIFS($S$3:$S1540,$S1540)=1,1,0))</f>
        <v/>
      </c>
      <c r="U1540" s="37" t="str">
        <f aca="false">IF($T1540=1,$S1540,"")</f>
        <v/>
      </c>
    </row>
    <row r="1541" customFormat="false" ht="15" hidden="false" customHeight="false" outlineLevel="0" collapsed="false">
      <c r="M1541" s="35" t="str">
        <f aca="false">IF($A1541="","",HOUR($A1541))</f>
        <v/>
      </c>
      <c r="N1541" s="36" t="str">
        <f aca="false">IF($A1541="","",$I1541*$K1541)</f>
        <v/>
      </c>
      <c r="O1541" s="35" t="str">
        <f aca="false">IF(OR($A1541="",$C1541="U",$S1541&lt;&gt;Calc!$F$2),"",SUMIFS($I$3:$I$3002,$E$3:$E$3002,$E1541,$C$3:$C$3002,"&lt;&gt;U",$S$3:$S$3002,Calc!$F$2))</f>
        <v/>
      </c>
      <c r="P1541" s="35" t="str">
        <f aca="false">IF(OR($A1541="",$C1541="U",$S1541&lt;&gt;Calc!$F$2),"",SUMIFS($N$3:$N$3002,$E$3:$E$3002,$E1541,$C$3:$C$3002,"&lt;&gt;U",$S$3:$S$3002,Calc!$F$2))</f>
        <v/>
      </c>
      <c r="Q1541" s="35" t="str">
        <f aca="false">IF(OR($A1541="",$C1541="U",$S1541&lt;&gt;Calc!$F$2),"",IF(COUNTIFS($E$3:$E1541,$E1541,$C$3:$C1541,"&lt;&gt;U",$S$3:$S1541,Calc!$F$2)=1,1,0))</f>
        <v/>
      </c>
      <c r="R1541" s="35" t="str">
        <f aca="false">IF($Q1541=1,$O1541-ROW()/100000,"")</f>
        <v/>
      </c>
      <c r="S1541" s="37" t="str">
        <f aca="false">IF($A1541="","",INT($A1541))</f>
        <v/>
      </c>
      <c r="T1541" s="35" t="str">
        <f aca="false">IF($A1541="","",IF(COUNTIFS($S$3:$S1541,$S1541)=1,1,0))</f>
        <v/>
      </c>
      <c r="U1541" s="37" t="str">
        <f aca="false">IF($T1541=1,$S1541,"")</f>
        <v/>
      </c>
    </row>
    <row r="1542" customFormat="false" ht="15" hidden="false" customHeight="false" outlineLevel="0" collapsed="false">
      <c r="M1542" s="35" t="str">
        <f aca="false">IF($A1542="","",HOUR($A1542))</f>
        <v/>
      </c>
      <c r="N1542" s="36" t="str">
        <f aca="false">IF($A1542="","",$I1542*$K1542)</f>
        <v/>
      </c>
      <c r="O1542" s="35" t="str">
        <f aca="false">IF(OR($A1542="",$C1542="U",$S1542&lt;&gt;Calc!$F$2),"",SUMIFS($I$3:$I$3002,$E$3:$E$3002,$E1542,$C$3:$C$3002,"&lt;&gt;U",$S$3:$S$3002,Calc!$F$2))</f>
        <v/>
      </c>
      <c r="P1542" s="35" t="str">
        <f aca="false">IF(OR($A1542="",$C1542="U",$S1542&lt;&gt;Calc!$F$2),"",SUMIFS($N$3:$N$3002,$E$3:$E$3002,$E1542,$C$3:$C$3002,"&lt;&gt;U",$S$3:$S$3002,Calc!$F$2))</f>
        <v/>
      </c>
      <c r="Q1542" s="35" t="str">
        <f aca="false">IF(OR($A1542="",$C1542="U",$S1542&lt;&gt;Calc!$F$2),"",IF(COUNTIFS($E$3:$E1542,$E1542,$C$3:$C1542,"&lt;&gt;U",$S$3:$S1542,Calc!$F$2)=1,1,0))</f>
        <v/>
      </c>
      <c r="R1542" s="35" t="str">
        <f aca="false">IF($Q1542=1,$O1542-ROW()/100000,"")</f>
        <v/>
      </c>
      <c r="S1542" s="37" t="str">
        <f aca="false">IF($A1542="","",INT($A1542))</f>
        <v/>
      </c>
      <c r="T1542" s="35" t="str">
        <f aca="false">IF($A1542="","",IF(COUNTIFS($S$3:$S1542,$S1542)=1,1,0))</f>
        <v/>
      </c>
      <c r="U1542" s="37" t="str">
        <f aca="false">IF($T1542=1,$S1542,"")</f>
        <v/>
      </c>
    </row>
    <row r="1543" customFormat="false" ht="15" hidden="false" customHeight="false" outlineLevel="0" collapsed="false">
      <c r="M1543" s="35" t="str">
        <f aca="false">IF($A1543="","",HOUR($A1543))</f>
        <v/>
      </c>
      <c r="N1543" s="36" t="str">
        <f aca="false">IF($A1543="","",$I1543*$K1543)</f>
        <v/>
      </c>
      <c r="O1543" s="35" t="str">
        <f aca="false">IF(OR($A1543="",$C1543="U",$S1543&lt;&gt;Calc!$F$2),"",SUMIFS($I$3:$I$3002,$E$3:$E$3002,$E1543,$C$3:$C$3002,"&lt;&gt;U",$S$3:$S$3002,Calc!$F$2))</f>
        <v/>
      </c>
      <c r="P1543" s="35" t="str">
        <f aca="false">IF(OR($A1543="",$C1543="U",$S1543&lt;&gt;Calc!$F$2),"",SUMIFS($N$3:$N$3002,$E$3:$E$3002,$E1543,$C$3:$C$3002,"&lt;&gt;U",$S$3:$S$3002,Calc!$F$2))</f>
        <v/>
      </c>
      <c r="Q1543" s="35" t="str">
        <f aca="false">IF(OR($A1543="",$C1543="U",$S1543&lt;&gt;Calc!$F$2),"",IF(COUNTIFS($E$3:$E1543,$E1543,$C$3:$C1543,"&lt;&gt;U",$S$3:$S1543,Calc!$F$2)=1,1,0))</f>
        <v/>
      </c>
      <c r="R1543" s="35" t="str">
        <f aca="false">IF($Q1543=1,$O1543-ROW()/100000,"")</f>
        <v/>
      </c>
      <c r="S1543" s="37" t="str">
        <f aca="false">IF($A1543="","",INT($A1543))</f>
        <v/>
      </c>
      <c r="T1543" s="35" t="str">
        <f aca="false">IF($A1543="","",IF(COUNTIFS($S$3:$S1543,$S1543)=1,1,0))</f>
        <v/>
      </c>
      <c r="U1543" s="37" t="str">
        <f aca="false">IF($T1543=1,$S1543,"")</f>
        <v/>
      </c>
    </row>
    <row r="1544" customFormat="false" ht="15" hidden="false" customHeight="false" outlineLevel="0" collapsed="false">
      <c r="M1544" s="35" t="str">
        <f aca="false">IF($A1544="","",HOUR($A1544))</f>
        <v/>
      </c>
      <c r="N1544" s="36" t="str">
        <f aca="false">IF($A1544="","",$I1544*$K1544)</f>
        <v/>
      </c>
      <c r="O1544" s="35" t="str">
        <f aca="false">IF(OR($A1544="",$C1544="U",$S1544&lt;&gt;Calc!$F$2),"",SUMIFS($I$3:$I$3002,$E$3:$E$3002,$E1544,$C$3:$C$3002,"&lt;&gt;U",$S$3:$S$3002,Calc!$F$2))</f>
        <v/>
      </c>
      <c r="P1544" s="35" t="str">
        <f aca="false">IF(OR($A1544="",$C1544="U",$S1544&lt;&gt;Calc!$F$2),"",SUMIFS($N$3:$N$3002,$E$3:$E$3002,$E1544,$C$3:$C$3002,"&lt;&gt;U",$S$3:$S$3002,Calc!$F$2))</f>
        <v/>
      </c>
      <c r="Q1544" s="35" t="str">
        <f aca="false">IF(OR($A1544="",$C1544="U",$S1544&lt;&gt;Calc!$F$2),"",IF(COUNTIFS($E$3:$E1544,$E1544,$C$3:$C1544,"&lt;&gt;U",$S$3:$S1544,Calc!$F$2)=1,1,0))</f>
        <v/>
      </c>
      <c r="R1544" s="35" t="str">
        <f aca="false">IF($Q1544=1,$O1544-ROW()/100000,"")</f>
        <v/>
      </c>
      <c r="S1544" s="37" t="str">
        <f aca="false">IF($A1544="","",INT($A1544))</f>
        <v/>
      </c>
      <c r="T1544" s="35" t="str">
        <f aca="false">IF($A1544="","",IF(COUNTIFS($S$3:$S1544,$S1544)=1,1,0))</f>
        <v/>
      </c>
      <c r="U1544" s="37" t="str">
        <f aca="false">IF($T1544=1,$S1544,"")</f>
        <v/>
      </c>
    </row>
    <row r="1545" customFormat="false" ht="15" hidden="false" customHeight="false" outlineLevel="0" collapsed="false">
      <c r="M1545" s="35" t="str">
        <f aca="false">IF($A1545="","",HOUR($A1545))</f>
        <v/>
      </c>
      <c r="N1545" s="36" t="str">
        <f aca="false">IF($A1545="","",$I1545*$K1545)</f>
        <v/>
      </c>
      <c r="O1545" s="35" t="str">
        <f aca="false">IF(OR($A1545="",$C1545="U",$S1545&lt;&gt;Calc!$F$2),"",SUMIFS($I$3:$I$3002,$E$3:$E$3002,$E1545,$C$3:$C$3002,"&lt;&gt;U",$S$3:$S$3002,Calc!$F$2))</f>
        <v/>
      </c>
      <c r="P1545" s="35" t="str">
        <f aca="false">IF(OR($A1545="",$C1545="U",$S1545&lt;&gt;Calc!$F$2),"",SUMIFS($N$3:$N$3002,$E$3:$E$3002,$E1545,$C$3:$C$3002,"&lt;&gt;U",$S$3:$S$3002,Calc!$F$2))</f>
        <v/>
      </c>
      <c r="Q1545" s="35" t="str">
        <f aca="false">IF(OR($A1545="",$C1545="U",$S1545&lt;&gt;Calc!$F$2),"",IF(COUNTIFS($E$3:$E1545,$E1545,$C$3:$C1545,"&lt;&gt;U",$S$3:$S1545,Calc!$F$2)=1,1,0))</f>
        <v/>
      </c>
      <c r="R1545" s="35" t="str">
        <f aca="false">IF($Q1545=1,$O1545-ROW()/100000,"")</f>
        <v/>
      </c>
      <c r="S1545" s="37" t="str">
        <f aca="false">IF($A1545="","",INT($A1545))</f>
        <v/>
      </c>
      <c r="T1545" s="35" t="str">
        <f aca="false">IF($A1545="","",IF(COUNTIFS($S$3:$S1545,$S1545)=1,1,0))</f>
        <v/>
      </c>
      <c r="U1545" s="37" t="str">
        <f aca="false">IF($T1545=1,$S1545,"")</f>
        <v/>
      </c>
    </row>
    <row r="1546" customFormat="false" ht="15" hidden="false" customHeight="false" outlineLevel="0" collapsed="false">
      <c r="M1546" s="35" t="str">
        <f aca="false">IF($A1546="","",HOUR($A1546))</f>
        <v/>
      </c>
      <c r="N1546" s="36" t="str">
        <f aca="false">IF($A1546="","",$I1546*$K1546)</f>
        <v/>
      </c>
      <c r="O1546" s="35" t="str">
        <f aca="false">IF(OR($A1546="",$C1546="U",$S1546&lt;&gt;Calc!$F$2),"",SUMIFS($I$3:$I$3002,$E$3:$E$3002,$E1546,$C$3:$C$3002,"&lt;&gt;U",$S$3:$S$3002,Calc!$F$2))</f>
        <v/>
      </c>
      <c r="P1546" s="35" t="str">
        <f aca="false">IF(OR($A1546="",$C1546="U",$S1546&lt;&gt;Calc!$F$2),"",SUMIFS($N$3:$N$3002,$E$3:$E$3002,$E1546,$C$3:$C$3002,"&lt;&gt;U",$S$3:$S$3002,Calc!$F$2))</f>
        <v/>
      </c>
      <c r="Q1546" s="35" t="str">
        <f aca="false">IF(OR($A1546="",$C1546="U",$S1546&lt;&gt;Calc!$F$2),"",IF(COUNTIFS($E$3:$E1546,$E1546,$C$3:$C1546,"&lt;&gt;U",$S$3:$S1546,Calc!$F$2)=1,1,0))</f>
        <v/>
      </c>
      <c r="R1546" s="35" t="str">
        <f aca="false">IF($Q1546=1,$O1546-ROW()/100000,"")</f>
        <v/>
      </c>
      <c r="S1546" s="37" t="str">
        <f aca="false">IF($A1546="","",INT($A1546))</f>
        <v/>
      </c>
      <c r="T1546" s="35" t="str">
        <f aca="false">IF($A1546="","",IF(COUNTIFS($S$3:$S1546,$S1546)=1,1,0))</f>
        <v/>
      </c>
      <c r="U1546" s="37" t="str">
        <f aca="false">IF($T1546=1,$S1546,"")</f>
        <v/>
      </c>
    </row>
    <row r="1547" customFormat="false" ht="15" hidden="false" customHeight="false" outlineLevel="0" collapsed="false">
      <c r="M1547" s="35" t="str">
        <f aca="false">IF($A1547="","",HOUR($A1547))</f>
        <v/>
      </c>
      <c r="N1547" s="36" t="str">
        <f aca="false">IF($A1547="","",$I1547*$K1547)</f>
        <v/>
      </c>
      <c r="O1547" s="35" t="str">
        <f aca="false">IF(OR($A1547="",$C1547="U",$S1547&lt;&gt;Calc!$F$2),"",SUMIFS($I$3:$I$3002,$E$3:$E$3002,$E1547,$C$3:$C$3002,"&lt;&gt;U",$S$3:$S$3002,Calc!$F$2))</f>
        <v/>
      </c>
      <c r="P1547" s="35" t="str">
        <f aca="false">IF(OR($A1547="",$C1547="U",$S1547&lt;&gt;Calc!$F$2),"",SUMIFS($N$3:$N$3002,$E$3:$E$3002,$E1547,$C$3:$C$3002,"&lt;&gt;U",$S$3:$S$3002,Calc!$F$2))</f>
        <v/>
      </c>
      <c r="Q1547" s="35" t="str">
        <f aca="false">IF(OR($A1547="",$C1547="U",$S1547&lt;&gt;Calc!$F$2),"",IF(COUNTIFS($E$3:$E1547,$E1547,$C$3:$C1547,"&lt;&gt;U",$S$3:$S1547,Calc!$F$2)=1,1,0))</f>
        <v/>
      </c>
      <c r="R1547" s="35" t="str">
        <f aca="false">IF($Q1547=1,$O1547-ROW()/100000,"")</f>
        <v/>
      </c>
      <c r="S1547" s="37" t="str">
        <f aca="false">IF($A1547="","",INT($A1547))</f>
        <v/>
      </c>
      <c r="T1547" s="35" t="str">
        <f aca="false">IF($A1547="","",IF(COUNTIFS($S$3:$S1547,$S1547)=1,1,0))</f>
        <v/>
      </c>
      <c r="U1547" s="37" t="str">
        <f aca="false">IF($T1547=1,$S1547,"")</f>
        <v/>
      </c>
    </row>
    <row r="1548" customFormat="false" ht="15" hidden="false" customHeight="false" outlineLevel="0" collapsed="false">
      <c r="M1548" s="35" t="str">
        <f aca="false">IF($A1548="","",HOUR($A1548))</f>
        <v/>
      </c>
      <c r="N1548" s="36" t="str">
        <f aca="false">IF($A1548="","",$I1548*$K1548)</f>
        <v/>
      </c>
      <c r="O1548" s="35" t="str">
        <f aca="false">IF(OR($A1548="",$C1548="U",$S1548&lt;&gt;Calc!$F$2),"",SUMIFS($I$3:$I$3002,$E$3:$E$3002,$E1548,$C$3:$C$3002,"&lt;&gt;U",$S$3:$S$3002,Calc!$F$2))</f>
        <v/>
      </c>
      <c r="P1548" s="35" t="str">
        <f aca="false">IF(OR($A1548="",$C1548="U",$S1548&lt;&gt;Calc!$F$2),"",SUMIFS($N$3:$N$3002,$E$3:$E$3002,$E1548,$C$3:$C$3002,"&lt;&gt;U",$S$3:$S$3002,Calc!$F$2))</f>
        <v/>
      </c>
      <c r="Q1548" s="35" t="str">
        <f aca="false">IF(OR($A1548="",$C1548="U",$S1548&lt;&gt;Calc!$F$2),"",IF(COUNTIFS($E$3:$E1548,$E1548,$C$3:$C1548,"&lt;&gt;U",$S$3:$S1548,Calc!$F$2)=1,1,0))</f>
        <v/>
      </c>
      <c r="R1548" s="35" t="str">
        <f aca="false">IF($Q1548=1,$O1548-ROW()/100000,"")</f>
        <v/>
      </c>
      <c r="S1548" s="37" t="str">
        <f aca="false">IF($A1548="","",INT($A1548))</f>
        <v/>
      </c>
      <c r="T1548" s="35" t="str">
        <f aca="false">IF($A1548="","",IF(COUNTIFS($S$3:$S1548,$S1548)=1,1,0))</f>
        <v/>
      </c>
      <c r="U1548" s="37" t="str">
        <f aca="false">IF($T1548=1,$S1548,"")</f>
        <v/>
      </c>
    </row>
    <row r="1549" customFormat="false" ht="15" hidden="false" customHeight="false" outlineLevel="0" collapsed="false">
      <c r="M1549" s="35" t="str">
        <f aca="false">IF($A1549="","",HOUR($A1549))</f>
        <v/>
      </c>
      <c r="N1549" s="36" t="str">
        <f aca="false">IF($A1549="","",$I1549*$K1549)</f>
        <v/>
      </c>
      <c r="O1549" s="35" t="str">
        <f aca="false">IF(OR($A1549="",$C1549="U",$S1549&lt;&gt;Calc!$F$2),"",SUMIFS($I$3:$I$3002,$E$3:$E$3002,$E1549,$C$3:$C$3002,"&lt;&gt;U",$S$3:$S$3002,Calc!$F$2))</f>
        <v/>
      </c>
      <c r="P1549" s="35" t="str">
        <f aca="false">IF(OR($A1549="",$C1549="U",$S1549&lt;&gt;Calc!$F$2),"",SUMIFS($N$3:$N$3002,$E$3:$E$3002,$E1549,$C$3:$C$3002,"&lt;&gt;U",$S$3:$S$3002,Calc!$F$2))</f>
        <v/>
      </c>
      <c r="Q1549" s="35" t="str">
        <f aca="false">IF(OR($A1549="",$C1549="U",$S1549&lt;&gt;Calc!$F$2),"",IF(COUNTIFS($E$3:$E1549,$E1549,$C$3:$C1549,"&lt;&gt;U",$S$3:$S1549,Calc!$F$2)=1,1,0))</f>
        <v/>
      </c>
      <c r="R1549" s="35" t="str">
        <f aca="false">IF($Q1549=1,$O1549-ROW()/100000,"")</f>
        <v/>
      </c>
      <c r="S1549" s="37" t="str">
        <f aca="false">IF($A1549="","",INT($A1549))</f>
        <v/>
      </c>
      <c r="T1549" s="35" t="str">
        <f aca="false">IF($A1549="","",IF(COUNTIFS($S$3:$S1549,$S1549)=1,1,0))</f>
        <v/>
      </c>
      <c r="U1549" s="37" t="str">
        <f aca="false">IF($T1549=1,$S1549,"")</f>
        <v/>
      </c>
    </row>
    <row r="1550" customFormat="false" ht="15" hidden="false" customHeight="false" outlineLevel="0" collapsed="false">
      <c r="M1550" s="35" t="str">
        <f aca="false">IF($A1550="","",HOUR($A1550))</f>
        <v/>
      </c>
      <c r="N1550" s="36" t="str">
        <f aca="false">IF($A1550="","",$I1550*$K1550)</f>
        <v/>
      </c>
      <c r="O1550" s="35" t="str">
        <f aca="false">IF(OR($A1550="",$C1550="U",$S1550&lt;&gt;Calc!$F$2),"",SUMIFS($I$3:$I$3002,$E$3:$E$3002,$E1550,$C$3:$C$3002,"&lt;&gt;U",$S$3:$S$3002,Calc!$F$2))</f>
        <v/>
      </c>
      <c r="P1550" s="35" t="str">
        <f aca="false">IF(OR($A1550="",$C1550="U",$S1550&lt;&gt;Calc!$F$2),"",SUMIFS($N$3:$N$3002,$E$3:$E$3002,$E1550,$C$3:$C$3002,"&lt;&gt;U",$S$3:$S$3002,Calc!$F$2))</f>
        <v/>
      </c>
      <c r="Q1550" s="35" t="str">
        <f aca="false">IF(OR($A1550="",$C1550="U",$S1550&lt;&gt;Calc!$F$2),"",IF(COUNTIFS($E$3:$E1550,$E1550,$C$3:$C1550,"&lt;&gt;U",$S$3:$S1550,Calc!$F$2)=1,1,0))</f>
        <v/>
      </c>
      <c r="R1550" s="35" t="str">
        <f aca="false">IF($Q1550=1,$O1550-ROW()/100000,"")</f>
        <v/>
      </c>
      <c r="S1550" s="37" t="str">
        <f aca="false">IF($A1550="","",INT($A1550))</f>
        <v/>
      </c>
      <c r="T1550" s="35" t="str">
        <f aca="false">IF($A1550="","",IF(COUNTIFS($S$3:$S1550,$S1550)=1,1,0))</f>
        <v/>
      </c>
      <c r="U1550" s="37" t="str">
        <f aca="false">IF($T1550=1,$S1550,"")</f>
        <v/>
      </c>
    </row>
    <row r="1551" customFormat="false" ht="15" hidden="false" customHeight="false" outlineLevel="0" collapsed="false">
      <c r="M1551" s="35" t="str">
        <f aca="false">IF($A1551="","",HOUR($A1551))</f>
        <v/>
      </c>
      <c r="N1551" s="36" t="str">
        <f aca="false">IF($A1551="","",$I1551*$K1551)</f>
        <v/>
      </c>
      <c r="O1551" s="35" t="str">
        <f aca="false">IF(OR($A1551="",$C1551="U",$S1551&lt;&gt;Calc!$F$2),"",SUMIFS($I$3:$I$3002,$E$3:$E$3002,$E1551,$C$3:$C$3002,"&lt;&gt;U",$S$3:$S$3002,Calc!$F$2))</f>
        <v/>
      </c>
      <c r="P1551" s="35" t="str">
        <f aca="false">IF(OR($A1551="",$C1551="U",$S1551&lt;&gt;Calc!$F$2),"",SUMIFS($N$3:$N$3002,$E$3:$E$3002,$E1551,$C$3:$C$3002,"&lt;&gt;U",$S$3:$S$3002,Calc!$F$2))</f>
        <v/>
      </c>
      <c r="Q1551" s="35" t="str">
        <f aca="false">IF(OR($A1551="",$C1551="U",$S1551&lt;&gt;Calc!$F$2),"",IF(COUNTIFS($E$3:$E1551,$E1551,$C$3:$C1551,"&lt;&gt;U",$S$3:$S1551,Calc!$F$2)=1,1,0))</f>
        <v/>
      </c>
      <c r="R1551" s="35" t="str">
        <f aca="false">IF($Q1551=1,$O1551-ROW()/100000,"")</f>
        <v/>
      </c>
      <c r="S1551" s="37" t="str">
        <f aca="false">IF($A1551="","",INT($A1551))</f>
        <v/>
      </c>
      <c r="T1551" s="35" t="str">
        <f aca="false">IF($A1551="","",IF(COUNTIFS($S$3:$S1551,$S1551)=1,1,0))</f>
        <v/>
      </c>
      <c r="U1551" s="37" t="str">
        <f aca="false">IF($T1551=1,$S1551,"")</f>
        <v/>
      </c>
    </row>
    <row r="1552" customFormat="false" ht="15" hidden="false" customHeight="false" outlineLevel="0" collapsed="false">
      <c r="M1552" s="35" t="str">
        <f aca="false">IF($A1552="","",HOUR($A1552))</f>
        <v/>
      </c>
      <c r="N1552" s="36" t="str">
        <f aca="false">IF($A1552="","",$I1552*$K1552)</f>
        <v/>
      </c>
      <c r="O1552" s="35" t="str">
        <f aca="false">IF(OR($A1552="",$C1552="U",$S1552&lt;&gt;Calc!$F$2),"",SUMIFS($I$3:$I$3002,$E$3:$E$3002,$E1552,$C$3:$C$3002,"&lt;&gt;U",$S$3:$S$3002,Calc!$F$2))</f>
        <v/>
      </c>
      <c r="P1552" s="35" t="str">
        <f aca="false">IF(OR($A1552="",$C1552="U",$S1552&lt;&gt;Calc!$F$2),"",SUMIFS($N$3:$N$3002,$E$3:$E$3002,$E1552,$C$3:$C$3002,"&lt;&gt;U",$S$3:$S$3002,Calc!$F$2))</f>
        <v/>
      </c>
      <c r="Q1552" s="35" t="str">
        <f aca="false">IF(OR($A1552="",$C1552="U",$S1552&lt;&gt;Calc!$F$2),"",IF(COUNTIFS($E$3:$E1552,$E1552,$C$3:$C1552,"&lt;&gt;U",$S$3:$S1552,Calc!$F$2)=1,1,0))</f>
        <v/>
      </c>
      <c r="R1552" s="35" t="str">
        <f aca="false">IF($Q1552=1,$O1552-ROW()/100000,"")</f>
        <v/>
      </c>
      <c r="S1552" s="37" t="str">
        <f aca="false">IF($A1552="","",INT($A1552))</f>
        <v/>
      </c>
      <c r="T1552" s="35" t="str">
        <f aca="false">IF($A1552="","",IF(COUNTIFS($S$3:$S1552,$S1552)=1,1,0))</f>
        <v/>
      </c>
      <c r="U1552" s="37" t="str">
        <f aca="false">IF($T1552=1,$S1552,"")</f>
        <v/>
      </c>
    </row>
    <row r="1553" customFormat="false" ht="15" hidden="false" customHeight="false" outlineLevel="0" collapsed="false">
      <c r="M1553" s="35" t="str">
        <f aca="false">IF($A1553="","",HOUR($A1553))</f>
        <v/>
      </c>
      <c r="N1553" s="36" t="str">
        <f aca="false">IF($A1553="","",$I1553*$K1553)</f>
        <v/>
      </c>
      <c r="O1553" s="35" t="str">
        <f aca="false">IF(OR($A1553="",$C1553="U",$S1553&lt;&gt;Calc!$F$2),"",SUMIFS($I$3:$I$3002,$E$3:$E$3002,$E1553,$C$3:$C$3002,"&lt;&gt;U",$S$3:$S$3002,Calc!$F$2))</f>
        <v/>
      </c>
      <c r="P1553" s="35" t="str">
        <f aca="false">IF(OR($A1553="",$C1553="U",$S1553&lt;&gt;Calc!$F$2),"",SUMIFS($N$3:$N$3002,$E$3:$E$3002,$E1553,$C$3:$C$3002,"&lt;&gt;U",$S$3:$S$3002,Calc!$F$2))</f>
        <v/>
      </c>
      <c r="Q1553" s="35" t="str">
        <f aca="false">IF(OR($A1553="",$C1553="U",$S1553&lt;&gt;Calc!$F$2),"",IF(COUNTIFS($E$3:$E1553,$E1553,$C$3:$C1553,"&lt;&gt;U",$S$3:$S1553,Calc!$F$2)=1,1,0))</f>
        <v/>
      </c>
      <c r="R1553" s="35" t="str">
        <f aca="false">IF($Q1553=1,$O1553-ROW()/100000,"")</f>
        <v/>
      </c>
      <c r="S1553" s="37" t="str">
        <f aca="false">IF($A1553="","",INT($A1553))</f>
        <v/>
      </c>
      <c r="T1553" s="35" t="str">
        <f aca="false">IF($A1553="","",IF(COUNTIFS($S$3:$S1553,$S1553)=1,1,0))</f>
        <v/>
      </c>
      <c r="U1553" s="37" t="str">
        <f aca="false">IF($T1553=1,$S1553,"")</f>
        <v/>
      </c>
    </row>
    <row r="1554" customFormat="false" ht="15" hidden="false" customHeight="false" outlineLevel="0" collapsed="false">
      <c r="M1554" s="35" t="str">
        <f aca="false">IF($A1554="","",HOUR($A1554))</f>
        <v/>
      </c>
      <c r="N1554" s="36" t="str">
        <f aca="false">IF($A1554="","",$I1554*$K1554)</f>
        <v/>
      </c>
      <c r="O1554" s="35" t="str">
        <f aca="false">IF(OR($A1554="",$C1554="U",$S1554&lt;&gt;Calc!$F$2),"",SUMIFS($I$3:$I$3002,$E$3:$E$3002,$E1554,$C$3:$C$3002,"&lt;&gt;U",$S$3:$S$3002,Calc!$F$2))</f>
        <v/>
      </c>
      <c r="P1554" s="35" t="str">
        <f aca="false">IF(OR($A1554="",$C1554="U",$S1554&lt;&gt;Calc!$F$2),"",SUMIFS($N$3:$N$3002,$E$3:$E$3002,$E1554,$C$3:$C$3002,"&lt;&gt;U",$S$3:$S$3002,Calc!$F$2))</f>
        <v/>
      </c>
      <c r="Q1554" s="35" t="str">
        <f aca="false">IF(OR($A1554="",$C1554="U",$S1554&lt;&gt;Calc!$F$2),"",IF(COUNTIFS($E$3:$E1554,$E1554,$C$3:$C1554,"&lt;&gt;U",$S$3:$S1554,Calc!$F$2)=1,1,0))</f>
        <v/>
      </c>
      <c r="R1554" s="35" t="str">
        <f aca="false">IF($Q1554=1,$O1554-ROW()/100000,"")</f>
        <v/>
      </c>
      <c r="S1554" s="37" t="str">
        <f aca="false">IF($A1554="","",INT($A1554))</f>
        <v/>
      </c>
      <c r="T1554" s="35" t="str">
        <f aca="false">IF($A1554="","",IF(COUNTIFS($S$3:$S1554,$S1554)=1,1,0))</f>
        <v/>
      </c>
      <c r="U1554" s="37" t="str">
        <f aca="false">IF($T1554=1,$S1554,"")</f>
        <v/>
      </c>
    </row>
    <row r="1555" customFormat="false" ht="15" hidden="false" customHeight="false" outlineLevel="0" collapsed="false">
      <c r="M1555" s="35" t="str">
        <f aca="false">IF($A1555="","",HOUR($A1555))</f>
        <v/>
      </c>
      <c r="N1555" s="36" t="str">
        <f aca="false">IF($A1555="","",$I1555*$K1555)</f>
        <v/>
      </c>
      <c r="O1555" s="35" t="str">
        <f aca="false">IF(OR($A1555="",$C1555="U",$S1555&lt;&gt;Calc!$F$2),"",SUMIFS($I$3:$I$3002,$E$3:$E$3002,$E1555,$C$3:$C$3002,"&lt;&gt;U",$S$3:$S$3002,Calc!$F$2))</f>
        <v/>
      </c>
      <c r="P1555" s="35" t="str">
        <f aca="false">IF(OR($A1555="",$C1555="U",$S1555&lt;&gt;Calc!$F$2),"",SUMIFS($N$3:$N$3002,$E$3:$E$3002,$E1555,$C$3:$C$3002,"&lt;&gt;U",$S$3:$S$3002,Calc!$F$2))</f>
        <v/>
      </c>
      <c r="Q1555" s="35" t="str">
        <f aca="false">IF(OR($A1555="",$C1555="U",$S1555&lt;&gt;Calc!$F$2),"",IF(COUNTIFS($E$3:$E1555,$E1555,$C$3:$C1555,"&lt;&gt;U",$S$3:$S1555,Calc!$F$2)=1,1,0))</f>
        <v/>
      </c>
      <c r="R1555" s="35" t="str">
        <f aca="false">IF($Q1555=1,$O1555-ROW()/100000,"")</f>
        <v/>
      </c>
      <c r="S1555" s="37" t="str">
        <f aca="false">IF($A1555="","",INT($A1555))</f>
        <v/>
      </c>
      <c r="T1555" s="35" t="str">
        <f aca="false">IF($A1555="","",IF(COUNTIFS($S$3:$S1555,$S1555)=1,1,0))</f>
        <v/>
      </c>
      <c r="U1555" s="37" t="str">
        <f aca="false">IF($T1555=1,$S1555,"")</f>
        <v/>
      </c>
    </row>
    <row r="1556" customFormat="false" ht="15" hidden="false" customHeight="false" outlineLevel="0" collapsed="false">
      <c r="M1556" s="35" t="str">
        <f aca="false">IF($A1556="","",HOUR($A1556))</f>
        <v/>
      </c>
      <c r="N1556" s="36" t="str">
        <f aca="false">IF($A1556="","",$I1556*$K1556)</f>
        <v/>
      </c>
      <c r="O1556" s="35" t="str">
        <f aca="false">IF(OR($A1556="",$C1556="U",$S1556&lt;&gt;Calc!$F$2),"",SUMIFS($I$3:$I$3002,$E$3:$E$3002,$E1556,$C$3:$C$3002,"&lt;&gt;U",$S$3:$S$3002,Calc!$F$2))</f>
        <v/>
      </c>
      <c r="P1556" s="35" t="str">
        <f aca="false">IF(OR($A1556="",$C1556="U",$S1556&lt;&gt;Calc!$F$2),"",SUMIFS($N$3:$N$3002,$E$3:$E$3002,$E1556,$C$3:$C$3002,"&lt;&gt;U",$S$3:$S$3002,Calc!$F$2))</f>
        <v/>
      </c>
      <c r="Q1556" s="35" t="str">
        <f aca="false">IF(OR($A1556="",$C1556="U",$S1556&lt;&gt;Calc!$F$2),"",IF(COUNTIFS($E$3:$E1556,$E1556,$C$3:$C1556,"&lt;&gt;U",$S$3:$S1556,Calc!$F$2)=1,1,0))</f>
        <v/>
      </c>
      <c r="R1556" s="35" t="str">
        <f aca="false">IF($Q1556=1,$O1556-ROW()/100000,"")</f>
        <v/>
      </c>
      <c r="S1556" s="37" t="str">
        <f aca="false">IF($A1556="","",INT($A1556))</f>
        <v/>
      </c>
      <c r="T1556" s="35" t="str">
        <f aca="false">IF($A1556="","",IF(COUNTIFS($S$3:$S1556,$S1556)=1,1,0))</f>
        <v/>
      </c>
      <c r="U1556" s="37" t="str">
        <f aca="false">IF($T1556=1,$S1556,"")</f>
        <v/>
      </c>
    </row>
    <row r="1557" customFormat="false" ht="15" hidden="false" customHeight="false" outlineLevel="0" collapsed="false">
      <c r="M1557" s="35" t="str">
        <f aca="false">IF($A1557="","",HOUR($A1557))</f>
        <v/>
      </c>
      <c r="N1557" s="36" t="str">
        <f aca="false">IF($A1557="","",$I1557*$K1557)</f>
        <v/>
      </c>
      <c r="O1557" s="35" t="str">
        <f aca="false">IF(OR($A1557="",$C1557="U",$S1557&lt;&gt;Calc!$F$2),"",SUMIFS($I$3:$I$3002,$E$3:$E$3002,$E1557,$C$3:$C$3002,"&lt;&gt;U",$S$3:$S$3002,Calc!$F$2))</f>
        <v/>
      </c>
      <c r="P1557" s="35" t="str">
        <f aca="false">IF(OR($A1557="",$C1557="U",$S1557&lt;&gt;Calc!$F$2),"",SUMIFS($N$3:$N$3002,$E$3:$E$3002,$E1557,$C$3:$C$3002,"&lt;&gt;U",$S$3:$S$3002,Calc!$F$2))</f>
        <v/>
      </c>
      <c r="Q1557" s="35" t="str">
        <f aca="false">IF(OR($A1557="",$C1557="U",$S1557&lt;&gt;Calc!$F$2),"",IF(COUNTIFS($E$3:$E1557,$E1557,$C$3:$C1557,"&lt;&gt;U",$S$3:$S1557,Calc!$F$2)=1,1,0))</f>
        <v/>
      </c>
      <c r="R1557" s="35" t="str">
        <f aca="false">IF($Q1557=1,$O1557-ROW()/100000,"")</f>
        <v/>
      </c>
      <c r="S1557" s="37" t="str">
        <f aca="false">IF($A1557="","",INT($A1557))</f>
        <v/>
      </c>
      <c r="T1557" s="35" t="str">
        <f aca="false">IF($A1557="","",IF(COUNTIFS($S$3:$S1557,$S1557)=1,1,0))</f>
        <v/>
      </c>
      <c r="U1557" s="37" t="str">
        <f aca="false">IF($T1557=1,$S1557,"")</f>
        <v/>
      </c>
    </row>
    <row r="1558" customFormat="false" ht="15" hidden="false" customHeight="false" outlineLevel="0" collapsed="false">
      <c r="M1558" s="35" t="str">
        <f aca="false">IF($A1558="","",HOUR($A1558))</f>
        <v/>
      </c>
      <c r="N1558" s="36" t="str">
        <f aca="false">IF($A1558="","",$I1558*$K1558)</f>
        <v/>
      </c>
      <c r="O1558" s="35" t="str">
        <f aca="false">IF(OR($A1558="",$C1558="U",$S1558&lt;&gt;Calc!$F$2),"",SUMIFS($I$3:$I$3002,$E$3:$E$3002,$E1558,$C$3:$C$3002,"&lt;&gt;U",$S$3:$S$3002,Calc!$F$2))</f>
        <v/>
      </c>
      <c r="P1558" s="35" t="str">
        <f aca="false">IF(OR($A1558="",$C1558="U",$S1558&lt;&gt;Calc!$F$2),"",SUMIFS($N$3:$N$3002,$E$3:$E$3002,$E1558,$C$3:$C$3002,"&lt;&gt;U",$S$3:$S$3002,Calc!$F$2))</f>
        <v/>
      </c>
      <c r="Q1558" s="35" t="str">
        <f aca="false">IF(OR($A1558="",$C1558="U",$S1558&lt;&gt;Calc!$F$2),"",IF(COUNTIFS($E$3:$E1558,$E1558,$C$3:$C1558,"&lt;&gt;U",$S$3:$S1558,Calc!$F$2)=1,1,0))</f>
        <v/>
      </c>
      <c r="R1558" s="35" t="str">
        <f aca="false">IF($Q1558=1,$O1558-ROW()/100000,"")</f>
        <v/>
      </c>
      <c r="S1558" s="37" t="str">
        <f aca="false">IF($A1558="","",INT($A1558))</f>
        <v/>
      </c>
      <c r="T1558" s="35" t="str">
        <f aca="false">IF($A1558="","",IF(COUNTIFS($S$3:$S1558,$S1558)=1,1,0))</f>
        <v/>
      </c>
      <c r="U1558" s="37" t="str">
        <f aca="false">IF($T1558=1,$S1558,"")</f>
        <v/>
      </c>
    </row>
    <row r="1559" customFormat="false" ht="15" hidden="false" customHeight="false" outlineLevel="0" collapsed="false">
      <c r="M1559" s="35" t="str">
        <f aca="false">IF($A1559="","",HOUR($A1559))</f>
        <v/>
      </c>
      <c r="N1559" s="36" t="str">
        <f aca="false">IF($A1559="","",$I1559*$K1559)</f>
        <v/>
      </c>
      <c r="O1559" s="35" t="str">
        <f aca="false">IF(OR($A1559="",$C1559="U",$S1559&lt;&gt;Calc!$F$2),"",SUMIFS($I$3:$I$3002,$E$3:$E$3002,$E1559,$C$3:$C$3002,"&lt;&gt;U",$S$3:$S$3002,Calc!$F$2))</f>
        <v/>
      </c>
      <c r="P1559" s="35" t="str">
        <f aca="false">IF(OR($A1559="",$C1559="U",$S1559&lt;&gt;Calc!$F$2),"",SUMIFS($N$3:$N$3002,$E$3:$E$3002,$E1559,$C$3:$C$3002,"&lt;&gt;U",$S$3:$S$3002,Calc!$F$2))</f>
        <v/>
      </c>
      <c r="Q1559" s="35" t="str">
        <f aca="false">IF(OR($A1559="",$C1559="U",$S1559&lt;&gt;Calc!$F$2),"",IF(COUNTIFS($E$3:$E1559,$E1559,$C$3:$C1559,"&lt;&gt;U",$S$3:$S1559,Calc!$F$2)=1,1,0))</f>
        <v/>
      </c>
      <c r="R1559" s="35" t="str">
        <f aca="false">IF($Q1559=1,$O1559-ROW()/100000,"")</f>
        <v/>
      </c>
      <c r="S1559" s="37" t="str">
        <f aca="false">IF($A1559="","",INT($A1559))</f>
        <v/>
      </c>
      <c r="T1559" s="35" t="str">
        <f aca="false">IF($A1559="","",IF(COUNTIFS($S$3:$S1559,$S1559)=1,1,0))</f>
        <v/>
      </c>
      <c r="U1559" s="37" t="str">
        <f aca="false">IF($T1559=1,$S1559,"")</f>
        <v/>
      </c>
    </row>
    <row r="1560" customFormat="false" ht="15" hidden="false" customHeight="false" outlineLevel="0" collapsed="false">
      <c r="M1560" s="35" t="str">
        <f aca="false">IF($A1560="","",HOUR($A1560))</f>
        <v/>
      </c>
      <c r="N1560" s="36" t="str">
        <f aca="false">IF($A1560="","",$I1560*$K1560)</f>
        <v/>
      </c>
      <c r="O1560" s="35" t="str">
        <f aca="false">IF(OR($A1560="",$C1560="U",$S1560&lt;&gt;Calc!$F$2),"",SUMIFS($I$3:$I$3002,$E$3:$E$3002,$E1560,$C$3:$C$3002,"&lt;&gt;U",$S$3:$S$3002,Calc!$F$2))</f>
        <v/>
      </c>
      <c r="P1560" s="35" t="str">
        <f aca="false">IF(OR($A1560="",$C1560="U",$S1560&lt;&gt;Calc!$F$2),"",SUMIFS($N$3:$N$3002,$E$3:$E$3002,$E1560,$C$3:$C$3002,"&lt;&gt;U",$S$3:$S$3002,Calc!$F$2))</f>
        <v/>
      </c>
      <c r="Q1560" s="35" t="str">
        <f aca="false">IF(OR($A1560="",$C1560="U",$S1560&lt;&gt;Calc!$F$2),"",IF(COUNTIFS($E$3:$E1560,$E1560,$C$3:$C1560,"&lt;&gt;U",$S$3:$S1560,Calc!$F$2)=1,1,0))</f>
        <v/>
      </c>
      <c r="R1560" s="35" t="str">
        <f aca="false">IF($Q1560=1,$O1560-ROW()/100000,"")</f>
        <v/>
      </c>
      <c r="S1560" s="37" t="str">
        <f aca="false">IF($A1560="","",INT($A1560))</f>
        <v/>
      </c>
      <c r="T1560" s="35" t="str">
        <f aca="false">IF($A1560="","",IF(COUNTIFS($S$3:$S1560,$S1560)=1,1,0))</f>
        <v/>
      </c>
      <c r="U1560" s="37" t="str">
        <f aca="false">IF($T1560=1,$S1560,"")</f>
        <v/>
      </c>
    </row>
    <row r="1561" customFormat="false" ht="15" hidden="false" customHeight="false" outlineLevel="0" collapsed="false">
      <c r="M1561" s="35" t="str">
        <f aca="false">IF($A1561="","",HOUR($A1561))</f>
        <v/>
      </c>
      <c r="N1561" s="36" t="str">
        <f aca="false">IF($A1561="","",$I1561*$K1561)</f>
        <v/>
      </c>
      <c r="O1561" s="35" t="str">
        <f aca="false">IF(OR($A1561="",$C1561="U",$S1561&lt;&gt;Calc!$F$2),"",SUMIFS($I$3:$I$3002,$E$3:$E$3002,$E1561,$C$3:$C$3002,"&lt;&gt;U",$S$3:$S$3002,Calc!$F$2))</f>
        <v/>
      </c>
      <c r="P1561" s="35" t="str">
        <f aca="false">IF(OR($A1561="",$C1561="U",$S1561&lt;&gt;Calc!$F$2),"",SUMIFS($N$3:$N$3002,$E$3:$E$3002,$E1561,$C$3:$C$3002,"&lt;&gt;U",$S$3:$S$3002,Calc!$F$2))</f>
        <v/>
      </c>
      <c r="Q1561" s="35" t="str">
        <f aca="false">IF(OR($A1561="",$C1561="U",$S1561&lt;&gt;Calc!$F$2),"",IF(COUNTIFS($E$3:$E1561,$E1561,$C$3:$C1561,"&lt;&gt;U",$S$3:$S1561,Calc!$F$2)=1,1,0))</f>
        <v/>
      </c>
      <c r="R1561" s="35" t="str">
        <f aca="false">IF($Q1561=1,$O1561-ROW()/100000,"")</f>
        <v/>
      </c>
      <c r="S1561" s="37" t="str">
        <f aca="false">IF($A1561="","",INT($A1561))</f>
        <v/>
      </c>
      <c r="T1561" s="35" t="str">
        <f aca="false">IF($A1561="","",IF(COUNTIFS($S$3:$S1561,$S1561)=1,1,0))</f>
        <v/>
      </c>
      <c r="U1561" s="37" t="str">
        <f aca="false">IF($T1561=1,$S1561,"")</f>
        <v/>
      </c>
    </row>
    <row r="1562" customFormat="false" ht="15" hidden="false" customHeight="false" outlineLevel="0" collapsed="false">
      <c r="M1562" s="35" t="str">
        <f aca="false">IF($A1562="","",HOUR($A1562))</f>
        <v/>
      </c>
      <c r="N1562" s="36" t="str">
        <f aca="false">IF($A1562="","",$I1562*$K1562)</f>
        <v/>
      </c>
      <c r="O1562" s="35" t="str">
        <f aca="false">IF(OR($A1562="",$C1562="U",$S1562&lt;&gt;Calc!$F$2),"",SUMIFS($I$3:$I$3002,$E$3:$E$3002,$E1562,$C$3:$C$3002,"&lt;&gt;U",$S$3:$S$3002,Calc!$F$2))</f>
        <v/>
      </c>
      <c r="P1562" s="35" t="str">
        <f aca="false">IF(OR($A1562="",$C1562="U",$S1562&lt;&gt;Calc!$F$2),"",SUMIFS($N$3:$N$3002,$E$3:$E$3002,$E1562,$C$3:$C$3002,"&lt;&gt;U",$S$3:$S$3002,Calc!$F$2))</f>
        <v/>
      </c>
      <c r="Q1562" s="35" t="str">
        <f aca="false">IF(OR($A1562="",$C1562="U",$S1562&lt;&gt;Calc!$F$2),"",IF(COUNTIFS($E$3:$E1562,$E1562,$C$3:$C1562,"&lt;&gt;U",$S$3:$S1562,Calc!$F$2)=1,1,0))</f>
        <v/>
      </c>
      <c r="R1562" s="35" t="str">
        <f aca="false">IF($Q1562=1,$O1562-ROW()/100000,"")</f>
        <v/>
      </c>
      <c r="S1562" s="37" t="str">
        <f aca="false">IF($A1562="","",INT($A1562))</f>
        <v/>
      </c>
      <c r="T1562" s="35" t="str">
        <f aca="false">IF($A1562="","",IF(COUNTIFS($S$3:$S1562,$S1562)=1,1,0))</f>
        <v/>
      </c>
      <c r="U1562" s="37" t="str">
        <f aca="false">IF($T1562=1,$S1562,"")</f>
        <v/>
      </c>
    </row>
    <row r="1563" customFormat="false" ht="15" hidden="false" customHeight="false" outlineLevel="0" collapsed="false">
      <c r="M1563" s="35" t="str">
        <f aca="false">IF($A1563="","",HOUR($A1563))</f>
        <v/>
      </c>
      <c r="N1563" s="36" t="str">
        <f aca="false">IF($A1563="","",$I1563*$K1563)</f>
        <v/>
      </c>
      <c r="O1563" s="35" t="str">
        <f aca="false">IF(OR($A1563="",$C1563="U",$S1563&lt;&gt;Calc!$F$2),"",SUMIFS($I$3:$I$3002,$E$3:$E$3002,$E1563,$C$3:$C$3002,"&lt;&gt;U",$S$3:$S$3002,Calc!$F$2))</f>
        <v/>
      </c>
      <c r="P1563" s="35" t="str">
        <f aca="false">IF(OR($A1563="",$C1563="U",$S1563&lt;&gt;Calc!$F$2),"",SUMIFS($N$3:$N$3002,$E$3:$E$3002,$E1563,$C$3:$C$3002,"&lt;&gt;U",$S$3:$S$3002,Calc!$F$2))</f>
        <v/>
      </c>
      <c r="Q1563" s="35" t="str">
        <f aca="false">IF(OR($A1563="",$C1563="U",$S1563&lt;&gt;Calc!$F$2),"",IF(COUNTIFS($E$3:$E1563,$E1563,$C$3:$C1563,"&lt;&gt;U",$S$3:$S1563,Calc!$F$2)=1,1,0))</f>
        <v/>
      </c>
      <c r="R1563" s="35" t="str">
        <f aca="false">IF($Q1563=1,$O1563-ROW()/100000,"")</f>
        <v/>
      </c>
      <c r="S1563" s="37" t="str">
        <f aca="false">IF($A1563="","",INT($A1563))</f>
        <v/>
      </c>
      <c r="T1563" s="35" t="str">
        <f aca="false">IF($A1563="","",IF(COUNTIFS($S$3:$S1563,$S1563)=1,1,0))</f>
        <v/>
      </c>
      <c r="U1563" s="37" t="str">
        <f aca="false">IF($T1563=1,$S1563,"")</f>
        <v/>
      </c>
    </row>
    <row r="1564" customFormat="false" ht="15" hidden="false" customHeight="false" outlineLevel="0" collapsed="false">
      <c r="M1564" s="35" t="str">
        <f aca="false">IF($A1564="","",HOUR($A1564))</f>
        <v/>
      </c>
      <c r="N1564" s="36" t="str">
        <f aca="false">IF($A1564="","",$I1564*$K1564)</f>
        <v/>
      </c>
      <c r="O1564" s="35" t="str">
        <f aca="false">IF(OR($A1564="",$C1564="U",$S1564&lt;&gt;Calc!$F$2),"",SUMIFS($I$3:$I$3002,$E$3:$E$3002,$E1564,$C$3:$C$3002,"&lt;&gt;U",$S$3:$S$3002,Calc!$F$2))</f>
        <v/>
      </c>
      <c r="P1564" s="35" t="str">
        <f aca="false">IF(OR($A1564="",$C1564="U",$S1564&lt;&gt;Calc!$F$2),"",SUMIFS($N$3:$N$3002,$E$3:$E$3002,$E1564,$C$3:$C$3002,"&lt;&gt;U",$S$3:$S$3002,Calc!$F$2))</f>
        <v/>
      </c>
      <c r="Q1564" s="35" t="str">
        <f aca="false">IF(OR($A1564="",$C1564="U",$S1564&lt;&gt;Calc!$F$2),"",IF(COUNTIFS($E$3:$E1564,$E1564,$C$3:$C1564,"&lt;&gt;U",$S$3:$S1564,Calc!$F$2)=1,1,0))</f>
        <v/>
      </c>
      <c r="R1564" s="35" t="str">
        <f aca="false">IF($Q1564=1,$O1564-ROW()/100000,"")</f>
        <v/>
      </c>
      <c r="S1564" s="37" t="str">
        <f aca="false">IF($A1564="","",INT($A1564))</f>
        <v/>
      </c>
      <c r="T1564" s="35" t="str">
        <f aca="false">IF($A1564="","",IF(COUNTIFS($S$3:$S1564,$S1564)=1,1,0))</f>
        <v/>
      </c>
      <c r="U1564" s="37" t="str">
        <f aca="false">IF($T1564=1,$S1564,"")</f>
        <v/>
      </c>
    </row>
    <row r="1565" customFormat="false" ht="15" hidden="false" customHeight="false" outlineLevel="0" collapsed="false">
      <c r="M1565" s="35" t="str">
        <f aca="false">IF($A1565="","",HOUR($A1565))</f>
        <v/>
      </c>
      <c r="N1565" s="36" t="str">
        <f aca="false">IF($A1565="","",$I1565*$K1565)</f>
        <v/>
      </c>
      <c r="O1565" s="35" t="str">
        <f aca="false">IF(OR($A1565="",$C1565="U",$S1565&lt;&gt;Calc!$F$2),"",SUMIFS($I$3:$I$3002,$E$3:$E$3002,$E1565,$C$3:$C$3002,"&lt;&gt;U",$S$3:$S$3002,Calc!$F$2))</f>
        <v/>
      </c>
      <c r="P1565" s="35" t="str">
        <f aca="false">IF(OR($A1565="",$C1565="U",$S1565&lt;&gt;Calc!$F$2),"",SUMIFS($N$3:$N$3002,$E$3:$E$3002,$E1565,$C$3:$C$3002,"&lt;&gt;U",$S$3:$S$3002,Calc!$F$2))</f>
        <v/>
      </c>
      <c r="Q1565" s="35" t="str">
        <f aca="false">IF(OR($A1565="",$C1565="U",$S1565&lt;&gt;Calc!$F$2),"",IF(COUNTIFS($E$3:$E1565,$E1565,$C$3:$C1565,"&lt;&gt;U",$S$3:$S1565,Calc!$F$2)=1,1,0))</f>
        <v/>
      </c>
      <c r="R1565" s="35" t="str">
        <f aca="false">IF($Q1565=1,$O1565-ROW()/100000,"")</f>
        <v/>
      </c>
      <c r="S1565" s="37" t="str">
        <f aca="false">IF($A1565="","",INT($A1565))</f>
        <v/>
      </c>
      <c r="T1565" s="35" t="str">
        <f aca="false">IF($A1565="","",IF(COUNTIFS($S$3:$S1565,$S1565)=1,1,0))</f>
        <v/>
      </c>
      <c r="U1565" s="37" t="str">
        <f aca="false">IF($T1565=1,$S1565,"")</f>
        <v/>
      </c>
    </row>
    <row r="1566" customFormat="false" ht="15" hidden="false" customHeight="false" outlineLevel="0" collapsed="false">
      <c r="M1566" s="35" t="str">
        <f aca="false">IF($A1566="","",HOUR($A1566))</f>
        <v/>
      </c>
      <c r="N1566" s="36" t="str">
        <f aca="false">IF($A1566="","",$I1566*$K1566)</f>
        <v/>
      </c>
      <c r="O1566" s="35" t="str">
        <f aca="false">IF(OR($A1566="",$C1566="U",$S1566&lt;&gt;Calc!$F$2),"",SUMIFS($I$3:$I$3002,$E$3:$E$3002,$E1566,$C$3:$C$3002,"&lt;&gt;U",$S$3:$S$3002,Calc!$F$2))</f>
        <v/>
      </c>
      <c r="P1566" s="35" t="str">
        <f aca="false">IF(OR($A1566="",$C1566="U",$S1566&lt;&gt;Calc!$F$2),"",SUMIFS($N$3:$N$3002,$E$3:$E$3002,$E1566,$C$3:$C$3002,"&lt;&gt;U",$S$3:$S$3002,Calc!$F$2))</f>
        <v/>
      </c>
      <c r="Q1566" s="35" t="str">
        <f aca="false">IF(OR($A1566="",$C1566="U",$S1566&lt;&gt;Calc!$F$2),"",IF(COUNTIFS($E$3:$E1566,$E1566,$C$3:$C1566,"&lt;&gt;U",$S$3:$S1566,Calc!$F$2)=1,1,0))</f>
        <v/>
      </c>
      <c r="R1566" s="35" t="str">
        <f aca="false">IF($Q1566=1,$O1566-ROW()/100000,"")</f>
        <v/>
      </c>
      <c r="S1566" s="37" t="str">
        <f aca="false">IF($A1566="","",INT($A1566))</f>
        <v/>
      </c>
      <c r="T1566" s="35" t="str">
        <f aca="false">IF($A1566="","",IF(COUNTIFS($S$3:$S1566,$S1566)=1,1,0))</f>
        <v/>
      </c>
      <c r="U1566" s="37" t="str">
        <f aca="false">IF($T1566=1,$S1566,"")</f>
        <v/>
      </c>
    </row>
    <row r="1567" customFormat="false" ht="15" hidden="false" customHeight="false" outlineLevel="0" collapsed="false">
      <c r="M1567" s="35" t="str">
        <f aca="false">IF($A1567="","",HOUR($A1567))</f>
        <v/>
      </c>
      <c r="N1567" s="36" t="str">
        <f aca="false">IF($A1567="","",$I1567*$K1567)</f>
        <v/>
      </c>
      <c r="O1567" s="35" t="str">
        <f aca="false">IF(OR($A1567="",$C1567="U",$S1567&lt;&gt;Calc!$F$2),"",SUMIFS($I$3:$I$3002,$E$3:$E$3002,$E1567,$C$3:$C$3002,"&lt;&gt;U",$S$3:$S$3002,Calc!$F$2))</f>
        <v/>
      </c>
      <c r="P1567" s="35" t="str">
        <f aca="false">IF(OR($A1567="",$C1567="U",$S1567&lt;&gt;Calc!$F$2),"",SUMIFS($N$3:$N$3002,$E$3:$E$3002,$E1567,$C$3:$C$3002,"&lt;&gt;U",$S$3:$S$3002,Calc!$F$2))</f>
        <v/>
      </c>
      <c r="Q1567" s="35" t="str">
        <f aca="false">IF(OR($A1567="",$C1567="U",$S1567&lt;&gt;Calc!$F$2),"",IF(COUNTIFS($E$3:$E1567,$E1567,$C$3:$C1567,"&lt;&gt;U",$S$3:$S1567,Calc!$F$2)=1,1,0))</f>
        <v/>
      </c>
      <c r="R1567" s="35" t="str">
        <f aca="false">IF($Q1567=1,$O1567-ROW()/100000,"")</f>
        <v/>
      </c>
      <c r="S1567" s="37" t="str">
        <f aca="false">IF($A1567="","",INT($A1567))</f>
        <v/>
      </c>
      <c r="T1567" s="35" t="str">
        <f aca="false">IF($A1567="","",IF(COUNTIFS($S$3:$S1567,$S1567)=1,1,0))</f>
        <v/>
      </c>
      <c r="U1567" s="37" t="str">
        <f aca="false">IF($T1567=1,$S1567,"")</f>
        <v/>
      </c>
    </row>
    <row r="1568" customFormat="false" ht="15" hidden="false" customHeight="false" outlineLevel="0" collapsed="false">
      <c r="M1568" s="35" t="str">
        <f aca="false">IF($A1568="","",HOUR($A1568))</f>
        <v/>
      </c>
      <c r="N1568" s="36" t="str">
        <f aca="false">IF($A1568="","",$I1568*$K1568)</f>
        <v/>
      </c>
      <c r="O1568" s="35" t="str">
        <f aca="false">IF(OR($A1568="",$C1568="U",$S1568&lt;&gt;Calc!$F$2),"",SUMIFS($I$3:$I$3002,$E$3:$E$3002,$E1568,$C$3:$C$3002,"&lt;&gt;U",$S$3:$S$3002,Calc!$F$2))</f>
        <v/>
      </c>
      <c r="P1568" s="35" t="str">
        <f aca="false">IF(OR($A1568="",$C1568="U",$S1568&lt;&gt;Calc!$F$2),"",SUMIFS($N$3:$N$3002,$E$3:$E$3002,$E1568,$C$3:$C$3002,"&lt;&gt;U",$S$3:$S$3002,Calc!$F$2))</f>
        <v/>
      </c>
      <c r="Q1568" s="35" t="str">
        <f aca="false">IF(OR($A1568="",$C1568="U",$S1568&lt;&gt;Calc!$F$2),"",IF(COUNTIFS($E$3:$E1568,$E1568,$C$3:$C1568,"&lt;&gt;U",$S$3:$S1568,Calc!$F$2)=1,1,0))</f>
        <v/>
      </c>
      <c r="R1568" s="35" t="str">
        <f aca="false">IF($Q1568=1,$O1568-ROW()/100000,"")</f>
        <v/>
      </c>
      <c r="S1568" s="37" t="str">
        <f aca="false">IF($A1568="","",INT($A1568))</f>
        <v/>
      </c>
      <c r="T1568" s="35" t="str">
        <f aca="false">IF($A1568="","",IF(COUNTIFS($S$3:$S1568,$S1568)=1,1,0))</f>
        <v/>
      </c>
      <c r="U1568" s="37" t="str">
        <f aca="false">IF($T1568=1,$S1568,"")</f>
        <v/>
      </c>
    </row>
    <row r="1569" customFormat="false" ht="15" hidden="false" customHeight="false" outlineLevel="0" collapsed="false">
      <c r="M1569" s="35" t="str">
        <f aca="false">IF($A1569="","",HOUR($A1569))</f>
        <v/>
      </c>
      <c r="N1569" s="36" t="str">
        <f aca="false">IF($A1569="","",$I1569*$K1569)</f>
        <v/>
      </c>
      <c r="O1569" s="35" t="str">
        <f aca="false">IF(OR($A1569="",$C1569="U",$S1569&lt;&gt;Calc!$F$2),"",SUMIFS($I$3:$I$3002,$E$3:$E$3002,$E1569,$C$3:$C$3002,"&lt;&gt;U",$S$3:$S$3002,Calc!$F$2))</f>
        <v/>
      </c>
      <c r="P1569" s="35" t="str">
        <f aca="false">IF(OR($A1569="",$C1569="U",$S1569&lt;&gt;Calc!$F$2),"",SUMIFS($N$3:$N$3002,$E$3:$E$3002,$E1569,$C$3:$C$3002,"&lt;&gt;U",$S$3:$S$3002,Calc!$F$2))</f>
        <v/>
      </c>
      <c r="Q1569" s="35" t="str">
        <f aca="false">IF(OR($A1569="",$C1569="U",$S1569&lt;&gt;Calc!$F$2),"",IF(COUNTIFS($E$3:$E1569,$E1569,$C$3:$C1569,"&lt;&gt;U",$S$3:$S1569,Calc!$F$2)=1,1,0))</f>
        <v/>
      </c>
      <c r="R1569" s="35" t="str">
        <f aca="false">IF($Q1569=1,$O1569-ROW()/100000,"")</f>
        <v/>
      </c>
      <c r="S1569" s="37" t="str">
        <f aca="false">IF($A1569="","",INT($A1569))</f>
        <v/>
      </c>
      <c r="T1569" s="35" t="str">
        <f aca="false">IF($A1569="","",IF(COUNTIFS($S$3:$S1569,$S1569)=1,1,0))</f>
        <v/>
      </c>
      <c r="U1569" s="37" t="str">
        <f aca="false">IF($T1569=1,$S1569,"")</f>
        <v/>
      </c>
    </row>
    <row r="1570" customFormat="false" ht="15" hidden="false" customHeight="false" outlineLevel="0" collapsed="false">
      <c r="M1570" s="35" t="str">
        <f aca="false">IF($A1570="","",HOUR($A1570))</f>
        <v/>
      </c>
      <c r="N1570" s="36" t="str">
        <f aca="false">IF($A1570="","",$I1570*$K1570)</f>
        <v/>
      </c>
      <c r="O1570" s="35" t="str">
        <f aca="false">IF(OR($A1570="",$C1570="U",$S1570&lt;&gt;Calc!$F$2),"",SUMIFS($I$3:$I$3002,$E$3:$E$3002,$E1570,$C$3:$C$3002,"&lt;&gt;U",$S$3:$S$3002,Calc!$F$2))</f>
        <v/>
      </c>
      <c r="P1570" s="35" t="str">
        <f aca="false">IF(OR($A1570="",$C1570="U",$S1570&lt;&gt;Calc!$F$2),"",SUMIFS($N$3:$N$3002,$E$3:$E$3002,$E1570,$C$3:$C$3002,"&lt;&gt;U",$S$3:$S$3002,Calc!$F$2))</f>
        <v/>
      </c>
      <c r="Q1570" s="35" t="str">
        <f aca="false">IF(OR($A1570="",$C1570="U",$S1570&lt;&gt;Calc!$F$2),"",IF(COUNTIFS($E$3:$E1570,$E1570,$C$3:$C1570,"&lt;&gt;U",$S$3:$S1570,Calc!$F$2)=1,1,0))</f>
        <v/>
      </c>
      <c r="R1570" s="35" t="str">
        <f aca="false">IF($Q1570=1,$O1570-ROW()/100000,"")</f>
        <v/>
      </c>
      <c r="S1570" s="37" t="str">
        <f aca="false">IF($A1570="","",INT($A1570))</f>
        <v/>
      </c>
      <c r="T1570" s="35" t="str">
        <f aca="false">IF($A1570="","",IF(COUNTIFS($S$3:$S1570,$S1570)=1,1,0))</f>
        <v/>
      </c>
      <c r="U1570" s="37" t="str">
        <f aca="false">IF($T1570=1,$S1570,"")</f>
        <v/>
      </c>
    </row>
    <row r="1571" customFormat="false" ht="15" hidden="false" customHeight="false" outlineLevel="0" collapsed="false">
      <c r="M1571" s="35" t="str">
        <f aca="false">IF($A1571="","",HOUR($A1571))</f>
        <v/>
      </c>
      <c r="N1571" s="36" t="str">
        <f aca="false">IF($A1571="","",$I1571*$K1571)</f>
        <v/>
      </c>
      <c r="O1571" s="35" t="str">
        <f aca="false">IF(OR($A1571="",$C1571="U",$S1571&lt;&gt;Calc!$F$2),"",SUMIFS($I$3:$I$3002,$E$3:$E$3002,$E1571,$C$3:$C$3002,"&lt;&gt;U",$S$3:$S$3002,Calc!$F$2))</f>
        <v/>
      </c>
      <c r="P1571" s="35" t="str">
        <f aca="false">IF(OR($A1571="",$C1571="U",$S1571&lt;&gt;Calc!$F$2),"",SUMIFS($N$3:$N$3002,$E$3:$E$3002,$E1571,$C$3:$C$3002,"&lt;&gt;U",$S$3:$S$3002,Calc!$F$2))</f>
        <v/>
      </c>
      <c r="Q1571" s="35" t="str">
        <f aca="false">IF(OR($A1571="",$C1571="U",$S1571&lt;&gt;Calc!$F$2),"",IF(COUNTIFS($E$3:$E1571,$E1571,$C$3:$C1571,"&lt;&gt;U",$S$3:$S1571,Calc!$F$2)=1,1,0))</f>
        <v/>
      </c>
      <c r="R1571" s="35" t="str">
        <f aca="false">IF($Q1571=1,$O1571-ROW()/100000,"")</f>
        <v/>
      </c>
      <c r="S1571" s="37" t="str">
        <f aca="false">IF($A1571="","",INT($A1571))</f>
        <v/>
      </c>
      <c r="T1571" s="35" t="str">
        <f aca="false">IF($A1571="","",IF(COUNTIFS($S$3:$S1571,$S1571)=1,1,0))</f>
        <v/>
      </c>
      <c r="U1571" s="37" t="str">
        <f aca="false">IF($T1571=1,$S1571,"")</f>
        <v/>
      </c>
    </row>
    <row r="1572" customFormat="false" ht="15" hidden="false" customHeight="false" outlineLevel="0" collapsed="false">
      <c r="M1572" s="35" t="str">
        <f aca="false">IF($A1572="","",HOUR($A1572))</f>
        <v/>
      </c>
      <c r="N1572" s="36" t="str">
        <f aca="false">IF($A1572="","",$I1572*$K1572)</f>
        <v/>
      </c>
      <c r="O1572" s="35" t="str">
        <f aca="false">IF(OR($A1572="",$C1572="U",$S1572&lt;&gt;Calc!$F$2),"",SUMIFS($I$3:$I$3002,$E$3:$E$3002,$E1572,$C$3:$C$3002,"&lt;&gt;U",$S$3:$S$3002,Calc!$F$2))</f>
        <v/>
      </c>
      <c r="P1572" s="35" t="str">
        <f aca="false">IF(OR($A1572="",$C1572="U",$S1572&lt;&gt;Calc!$F$2),"",SUMIFS($N$3:$N$3002,$E$3:$E$3002,$E1572,$C$3:$C$3002,"&lt;&gt;U",$S$3:$S$3002,Calc!$F$2))</f>
        <v/>
      </c>
      <c r="Q1572" s="35" t="str">
        <f aca="false">IF(OR($A1572="",$C1572="U",$S1572&lt;&gt;Calc!$F$2),"",IF(COUNTIFS($E$3:$E1572,$E1572,$C$3:$C1572,"&lt;&gt;U",$S$3:$S1572,Calc!$F$2)=1,1,0))</f>
        <v/>
      </c>
      <c r="R1572" s="35" t="str">
        <f aca="false">IF($Q1572=1,$O1572-ROW()/100000,"")</f>
        <v/>
      </c>
      <c r="S1572" s="37" t="str">
        <f aca="false">IF($A1572="","",INT($A1572))</f>
        <v/>
      </c>
      <c r="T1572" s="35" t="str">
        <f aca="false">IF($A1572="","",IF(COUNTIFS($S$3:$S1572,$S1572)=1,1,0))</f>
        <v/>
      </c>
      <c r="U1572" s="37" t="str">
        <f aca="false">IF($T1572=1,$S1572,"")</f>
        <v/>
      </c>
    </row>
    <row r="1573" customFormat="false" ht="15" hidden="false" customHeight="false" outlineLevel="0" collapsed="false">
      <c r="M1573" s="35" t="str">
        <f aca="false">IF($A1573="","",HOUR($A1573))</f>
        <v/>
      </c>
      <c r="N1573" s="36" t="str">
        <f aca="false">IF($A1573="","",$I1573*$K1573)</f>
        <v/>
      </c>
      <c r="O1573" s="35" t="str">
        <f aca="false">IF(OR($A1573="",$C1573="U",$S1573&lt;&gt;Calc!$F$2),"",SUMIFS($I$3:$I$3002,$E$3:$E$3002,$E1573,$C$3:$C$3002,"&lt;&gt;U",$S$3:$S$3002,Calc!$F$2))</f>
        <v/>
      </c>
      <c r="P1573" s="35" t="str">
        <f aca="false">IF(OR($A1573="",$C1573="U",$S1573&lt;&gt;Calc!$F$2),"",SUMIFS($N$3:$N$3002,$E$3:$E$3002,$E1573,$C$3:$C$3002,"&lt;&gt;U",$S$3:$S$3002,Calc!$F$2))</f>
        <v/>
      </c>
      <c r="Q1573" s="35" t="str">
        <f aca="false">IF(OR($A1573="",$C1573="U",$S1573&lt;&gt;Calc!$F$2),"",IF(COUNTIFS($E$3:$E1573,$E1573,$C$3:$C1573,"&lt;&gt;U",$S$3:$S1573,Calc!$F$2)=1,1,0))</f>
        <v/>
      </c>
      <c r="R1573" s="35" t="str">
        <f aca="false">IF($Q1573=1,$O1573-ROW()/100000,"")</f>
        <v/>
      </c>
      <c r="S1573" s="37" t="str">
        <f aca="false">IF($A1573="","",INT($A1573))</f>
        <v/>
      </c>
      <c r="T1573" s="35" t="str">
        <f aca="false">IF($A1573="","",IF(COUNTIFS($S$3:$S1573,$S1573)=1,1,0))</f>
        <v/>
      </c>
      <c r="U1573" s="37" t="str">
        <f aca="false">IF($T1573=1,$S1573,"")</f>
        <v/>
      </c>
    </row>
    <row r="1574" customFormat="false" ht="15" hidden="false" customHeight="false" outlineLevel="0" collapsed="false">
      <c r="M1574" s="35" t="str">
        <f aca="false">IF($A1574="","",HOUR($A1574))</f>
        <v/>
      </c>
      <c r="N1574" s="36" t="str">
        <f aca="false">IF($A1574="","",$I1574*$K1574)</f>
        <v/>
      </c>
      <c r="O1574" s="35" t="str">
        <f aca="false">IF(OR($A1574="",$C1574="U",$S1574&lt;&gt;Calc!$F$2),"",SUMIFS($I$3:$I$3002,$E$3:$E$3002,$E1574,$C$3:$C$3002,"&lt;&gt;U",$S$3:$S$3002,Calc!$F$2))</f>
        <v/>
      </c>
      <c r="P1574" s="35" t="str">
        <f aca="false">IF(OR($A1574="",$C1574="U",$S1574&lt;&gt;Calc!$F$2),"",SUMIFS($N$3:$N$3002,$E$3:$E$3002,$E1574,$C$3:$C$3002,"&lt;&gt;U",$S$3:$S$3002,Calc!$F$2))</f>
        <v/>
      </c>
      <c r="Q1574" s="35" t="str">
        <f aca="false">IF(OR($A1574="",$C1574="U",$S1574&lt;&gt;Calc!$F$2),"",IF(COUNTIFS($E$3:$E1574,$E1574,$C$3:$C1574,"&lt;&gt;U",$S$3:$S1574,Calc!$F$2)=1,1,0))</f>
        <v/>
      </c>
      <c r="R1574" s="35" t="str">
        <f aca="false">IF($Q1574=1,$O1574-ROW()/100000,"")</f>
        <v/>
      </c>
      <c r="S1574" s="37" t="str">
        <f aca="false">IF($A1574="","",INT($A1574))</f>
        <v/>
      </c>
      <c r="T1574" s="35" t="str">
        <f aca="false">IF($A1574="","",IF(COUNTIFS($S$3:$S1574,$S1574)=1,1,0))</f>
        <v/>
      </c>
      <c r="U1574" s="37" t="str">
        <f aca="false">IF($T1574=1,$S1574,"")</f>
        <v/>
      </c>
    </row>
    <row r="1575" customFormat="false" ht="15" hidden="false" customHeight="false" outlineLevel="0" collapsed="false">
      <c r="M1575" s="35" t="str">
        <f aca="false">IF($A1575="","",HOUR($A1575))</f>
        <v/>
      </c>
      <c r="N1575" s="36" t="str">
        <f aca="false">IF($A1575="","",$I1575*$K1575)</f>
        <v/>
      </c>
      <c r="O1575" s="35" t="str">
        <f aca="false">IF(OR($A1575="",$C1575="U",$S1575&lt;&gt;Calc!$F$2),"",SUMIFS($I$3:$I$3002,$E$3:$E$3002,$E1575,$C$3:$C$3002,"&lt;&gt;U",$S$3:$S$3002,Calc!$F$2))</f>
        <v/>
      </c>
      <c r="P1575" s="35" t="str">
        <f aca="false">IF(OR($A1575="",$C1575="U",$S1575&lt;&gt;Calc!$F$2),"",SUMIFS($N$3:$N$3002,$E$3:$E$3002,$E1575,$C$3:$C$3002,"&lt;&gt;U",$S$3:$S$3002,Calc!$F$2))</f>
        <v/>
      </c>
      <c r="Q1575" s="35" t="str">
        <f aca="false">IF(OR($A1575="",$C1575="U",$S1575&lt;&gt;Calc!$F$2),"",IF(COUNTIFS($E$3:$E1575,$E1575,$C$3:$C1575,"&lt;&gt;U",$S$3:$S1575,Calc!$F$2)=1,1,0))</f>
        <v/>
      </c>
      <c r="R1575" s="35" t="str">
        <f aca="false">IF($Q1575=1,$O1575-ROW()/100000,"")</f>
        <v/>
      </c>
      <c r="S1575" s="37" t="str">
        <f aca="false">IF($A1575="","",INT($A1575))</f>
        <v/>
      </c>
      <c r="T1575" s="35" t="str">
        <f aca="false">IF($A1575="","",IF(COUNTIFS($S$3:$S1575,$S1575)=1,1,0))</f>
        <v/>
      </c>
      <c r="U1575" s="37" t="str">
        <f aca="false">IF($T1575=1,$S1575,"")</f>
        <v/>
      </c>
    </row>
    <row r="1576" customFormat="false" ht="15" hidden="false" customHeight="false" outlineLevel="0" collapsed="false">
      <c r="M1576" s="35" t="str">
        <f aca="false">IF($A1576="","",HOUR($A1576))</f>
        <v/>
      </c>
      <c r="N1576" s="36" t="str">
        <f aca="false">IF($A1576="","",$I1576*$K1576)</f>
        <v/>
      </c>
      <c r="O1576" s="35" t="str">
        <f aca="false">IF(OR($A1576="",$C1576="U",$S1576&lt;&gt;Calc!$F$2),"",SUMIFS($I$3:$I$3002,$E$3:$E$3002,$E1576,$C$3:$C$3002,"&lt;&gt;U",$S$3:$S$3002,Calc!$F$2))</f>
        <v/>
      </c>
      <c r="P1576" s="35" t="str">
        <f aca="false">IF(OR($A1576="",$C1576="U",$S1576&lt;&gt;Calc!$F$2),"",SUMIFS($N$3:$N$3002,$E$3:$E$3002,$E1576,$C$3:$C$3002,"&lt;&gt;U",$S$3:$S$3002,Calc!$F$2))</f>
        <v/>
      </c>
      <c r="Q1576" s="35" t="str">
        <f aca="false">IF(OR($A1576="",$C1576="U",$S1576&lt;&gt;Calc!$F$2),"",IF(COUNTIFS($E$3:$E1576,$E1576,$C$3:$C1576,"&lt;&gt;U",$S$3:$S1576,Calc!$F$2)=1,1,0))</f>
        <v/>
      </c>
      <c r="R1576" s="35" t="str">
        <f aca="false">IF($Q1576=1,$O1576-ROW()/100000,"")</f>
        <v/>
      </c>
      <c r="S1576" s="37" t="str">
        <f aca="false">IF($A1576="","",INT($A1576))</f>
        <v/>
      </c>
      <c r="T1576" s="35" t="str">
        <f aca="false">IF($A1576="","",IF(COUNTIFS($S$3:$S1576,$S1576)=1,1,0))</f>
        <v/>
      </c>
      <c r="U1576" s="37" t="str">
        <f aca="false">IF($T1576=1,$S1576,"")</f>
        <v/>
      </c>
    </row>
    <row r="1577" customFormat="false" ht="15" hidden="false" customHeight="false" outlineLevel="0" collapsed="false">
      <c r="M1577" s="35" t="str">
        <f aca="false">IF($A1577="","",HOUR($A1577))</f>
        <v/>
      </c>
      <c r="N1577" s="36" t="str">
        <f aca="false">IF($A1577="","",$I1577*$K1577)</f>
        <v/>
      </c>
      <c r="O1577" s="35" t="str">
        <f aca="false">IF(OR($A1577="",$C1577="U",$S1577&lt;&gt;Calc!$F$2),"",SUMIFS($I$3:$I$3002,$E$3:$E$3002,$E1577,$C$3:$C$3002,"&lt;&gt;U",$S$3:$S$3002,Calc!$F$2))</f>
        <v/>
      </c>
      <c r="P1577" s="35" t="str">
        <f aca="false">IF(OR($A1577="",$C1577="U",$S1577&lt;&gt;Calc!$F$2),"",SUMIFS($N$3:$N$3002,$E$3:$E$3002,$E1577,$C$3:$C$3002,"&lt;&gt;U",$S$3:$S$3002,Calc!$F$2))</f>
        <v/>
      </c>
      <c r="Q1577" s="35" t="str">
        <f aca="false">IF(OR($A1577="",$C1577="U",$S1577&lt;&gt;Calc!$F$2),"",IF(COUNTIFS($E$3:$E1577,$E1577,$C$3:$C1577,"&lt;&gt;U",$S$3:$S1577,Calc!$F$2)=1,1,0))</f>
        <v/>
      </c>
      <c r="R1577" s="35" t="str">
        <f aca="false">IF($Q1577=1,$O1577-ROW()/100000,"")</f>
        <v/>
      </c>
      <c r="S1577" s="37" t="str">
        <f aca="false">IF($A1577="","",INT($A1577))</f>
        <v/>
      </c>
      <c r="T1577" s="35" t="str">
        <f aca="false">IF($A1577="","",IF(COUNTIFS($S$3:$S1577,$S1577)=1,1,0))</f>
        <v/>
      </c>
      <c r="U1577" s="37" t="str">
        <f aca="false">IF($T1577=1,$S1577,"")</f>
        <v/>
      </c>
    </row>
    <row r="1578" customFormat="false" ht="15" hidden="false" customHeight="false" outlineLevel="0" collapsed="false">
      <c r="M1578" s="35" t="str">
        <f aca="false">IF($A1578="","",HOUR($A1578))</f>
        <v/>
      </c>
      <c r="N1578" s="36" t="str">
        <f aca="false">IF($A1578="","",$I1578*$K1578)</f>
        <v/>
      </c>
      <c r="O1578" s="35" t="str">
        <f aca="false">IF(OR($A1578="",$C1578="U",$S1578&lt;&gt;Calc!$F$2),"",SUMIFS($I$3:$I$3002,$E$3:$E$3002,$E1578,$C$3:$C$3002,"&lt;&gt;U",$S$3:$S$3002,Calc!$F$2))</f>
        <v/>
      </c>
      <c r="P1578" s="35" t="str">
        <f aca="false">IF(OR($A1578="",$C1578="U",$S1578&lt;&gt;Calc!$F$2),"",SUMIFS($N$3:$N$3002,$E$3:$E$3002,$E1578,$C$3:$C$3002,"&lt;&gt;U",$S$3:$S$3002,Calc!$F$2))</f>
        <v/>
      </c>
      <c r="Q1578" s="35" t="str">
        <f aca="false">IF(OR($A1578="",$C1578="U",$S1578&lt;&gt;Calc!$F$2),"",IF(COUNTIFS($E$3:$E1578,$E1578,$C$3:$C1578,"&lt;&gt;U",$S$3:$S1578,Calc!$F$2)=1,1,0))</f>
        <v/>
      </c>
      <c r="R1578" s="35" t="str">
        <f aca="false">IF($Q1578=1,$O1578-ROW()/100000,"")</f>
        <v/>
      </c>
      <c r="S1578" s="37" t="str">
        <f aca="false">IF($A1578="","",INT($A1578))</f>
        <v/>
      </c>
      <c r="T1578" s="35" t="str">
        <f aca="false">IF($A1578="","",IF(COUNTIFS($S$3:$S1578,$S1578)=1,1,0))</f>
        <v/>
      </c>
      <c r="U1578" s="37" t="str">
        <f aca="false">IF($T1578=1,$S1578,"")</f>
        <v/>
      </c>
    </row>
    <row r="1579" customFormat="false" ht="15" hidden="false" customHeight="false" outlineLevel="0" collapsed="false">
      <c r="M1579" s="35" t="str">
        <f aca="false">IF($A1579="","",HOUR($A1579))</f>
        <v/>
      </c>
      <c r="N1579" s="36" t="str">
        <f aca="false">IF($A1579="","",$I1579*$K1579)</f>
        <v/>
      </c>
      <c r="O1579" s="35" t="str">
        <f aca="false">IF(OR($A1579="",$C1579="U",$S1579&lt;&gt;Calc!$F$2),"",SUMIFS($I$3:$I$3002,$E$3:$E$3002,$E1579,$C$3:$C$3002,"&lt;&gt;U",$S$3:$S$3002,Calc!$F$2))</f>
        <v/>
      </c>
      <c r="P1579" s="35" t="str">
        <f aca="false">IF(OR($A1579="",$C1579="U",$S1579&lt;&gt;Calc!$F$2),"",SUMIFS($N$3:$N$3002,$E$3:$E$3002,$E1579,$C$3:$C$3002,"&lt;&gt;U",$S$3:$S$3002,Calc!$F$2))</f>
        <v/>
      </c>
      <c r="Q1579" s="35" t="str">
        <f aca="false">IF(OR($A1579="",$C1579="U",$S1579&lt;&gt;Calc!$F$2),"",IF(COUNTIFS($E$3:$E1579,$E1579,$C$3:$C1579,"&lt;&gt;U",$S$3:$S1579,Calc!$F$2)=1,1,0))</f>
        <v/>
      </c>
      <c r="R1579" s="35" t="str">
        <f aca="false">IF($Q1579=1,$O1579-ROW()/100000,"")</f>
        <v/>
      </c>
      <c r="S1579" s="37" t="str">
        <f aca="false">IF($A1579="","",INT($A1579))</f>
        <v/>
      </c>
      <c r="T1579" s="35" t="str">
        <f aca="false">IF($A1579="","",IF(COUNTIFS($S$3:$S1579,$S1579)=1,1,0))</f>
        <v/>
      </c>
      <c r="U1579" s="37" t="str">
        <f aca="false">IF($T1579=1,$S1579,"")</f>
        <v/>
      </c>
    </row>
    <row r="1580" customFormat="false" ht="15" hidden="false" customHeight="false" outlineLevel="0" collapsed="false">
      <c r="M1580" s="35" t="str">
        <f aca="false">IF($A1580="","",HOUR($A1580))</f>
        <v/>
      </c>
      <c r="N1580" s="36" t="str">
        <f aca="false">IF($A1580="","",$I1580*$K1580)</f>
        <v/>
      </c>
      <c r="O1580" s="35" t="str">
        <f aca="false">IF(OR($A1580="",$C1580="U",$S1580&lt;&gt;Calc!$F$2),"",SUMIFS($I$3:$I$3002,$E$3:$E$3002,$E1580,$C$3:$C$3002,"&lt;&gt;U",$S$3:$S$3002,Calc!$F$2))</f>
        <v/>
      </c>
      <c r="P1580" s="35" t="str">
        <f aca="false">IF(OR($A1580="",$C1580="U",$S1580&lt;&gt;Calc!$F$2),"",SUMIFS($N$3:$N$3002,$E$3:$E$3002,$E1580,$C$3:$C$3002,"&lt;&gt;U",$S$3:$S$3002,Calc!$F$2))</f>
        <v/>
      </c>
      <c r="Q1580" s="35" t="str">
        <f aca="false">IF(OR($A1580="",$C1580="U",$S1580&lt;&gt;Calc!$F$2),"",IF(COUNTIFS($E$3:$E1580,$E1580,$C$3:$C1580,"&lt;&gt;U",$S$3:$S1580,Calc!$F$2)=1,1,0))</f>
        <v/>
      </c>
      <c r="R1580" s="35" t="str">
        <f aca="false">IF($Q1580=1,$O1580-ROW()/100000,"")</f>
        <v/>
      </c>
      <c r="S1580" s="37" t="str">
        <f aca="false">IF($A1580="","",INT($A1580))</f>
        <v/>
      </c>
      <c r="T1580" s="35" t="str">
        <f aca="false">IF($A1580="","",IF(COUNTIFS($S$3:$S1580,$S1580)=1,1,0))</f>
        <v/>
      </c>
      <c r="U1580" s="37" t="str">
        <f aca="false">IF($T1580=1,$S1580,"")</f>
        <v/>
      </c>
    </row>
    <row r="1581" customFormat="false" ht="15" hidden="false" customHeight="false" outlineLevel="0" collapsed="false">
      <c r="M1581" s="35" t="str">
        <f aca="false">IF($A1581="","",HOUR($A1581))</f>
        <v/>
      </c>
      <c r="N1581" s="36" t="str">
        <f aca="false">IF($A1581="","",$I1581*$K1581)</f>
        <v/>
      </c>
      <c r="O1581" s="35" t="str">
        <f aca="false">IF(OR($A1581="",$C1581="U",$S1581&lt;&gt;Calc!$F$2),"",SUMIFS($I$3:$I$3002,$E$3:$E$3002,$E1581,$C$3:$C$3002,"&lt;&gt;U",$S$3:$S$3002,Calc!$F$2))</f>
        <v/>
      </c>
      <c r="P1581" s="35" t="str">
        <f aca="false">IF(OR($A1581="",$C1581="U",$S1581&lt;&gt;Calc!$F$2),"",SUMIFS($N$3:$N$3002,$E$3:$E$3002,$E1581,$C$3:$C$3002,"&lt;&gt;U",$S$3:$S$3002,Calc!$F$2))</f>
        <v/>
      </c>
      <c r="Q1581" s="35" t="str">
        <f aca="false">IF(OR($A1581="",$C1581="U",$S1581&lt;&gt;Calc!$F$2),"",IF(COUNTIFS($E$3:$E1581,$E1581,$C$3:$C1581,"&lt;&gt;U",$S$3:$S1581,Calc!$F$2)=1,1,0))</f>
        <v/>
      </c>
      <c r="R1581" s="35" t="str">
        <f aca="false">IF($Q1581=1,$O1581-ROW()/100000,"")</f>
        <v/>
      </c>
      <c r="S1581" s="37" t="str">
        <f aca="false">IF($A1581="","",INT($A1581))</f>
        <v/>
      </c>
      <c r="T1581" s="35" t="str">
        <f aca="false">IF($A1581="","",IF(COUNTIFS($S$3:$S1581,$S1581)=1,1,0))</f>
        <v/>
      </c>
      <c r="U1581" s="37" t="str">
        <f aca="false">IF($T1581=1,$S1581,"")</f>
        <v/>
      </c>
    </row>
    <row r="1582" customFormat="false" ht="15" hidden="false" customHeight="false" outlineLevel="0" collapsed="false">
      <c r="M1582" s="35" t="str">
        <f aca="false">IF($A1582="","",HOUR($A1582))</f>
        <v/>
      </c>
      <c r="N1582" s="36" t="str">
        <f aca="false">IF($A1582="","",$I1582*$K1582)</f>
        <v/>
      </c>
      <c r="O1582" s="35" t="str">
        <f aca="false">IF(OR($A1582="",$C1582="U",$S1582&lt;&gt;Calc!$F$2),"",SUMIFS($I$3:$I$3002,$E$3:$E$3002,$E1582,$C$3:$C$3002,"&lt;&gt;U",$S$3:$S$3002,Calc!$F$2))</f>
        <v/>
      </c>
      <c r="P1582" s="35" t="str">
        <f aca="false">IF(OR($A1582="",$C1582="U",$S1582&lt;&gt;Calc!$F$2),"",SUMIFS($N$3:$N$3002,$E$3:$E$3002,$E1582,$C$3:$C$3002,"&lt;&gt;U",$S$3:$S$3002,Calc!$F$2))</f>
        <v/>
      </c>
      <c r="Q1582" s="35" t="str">
        <f aca="false">IF(OR($A1582="",$C1582="U",$S1582&lt;&gt;Calc!$F$2),"",IF(COUNTIFS($E$3:$E1582,$E1582,$C$3:$C1582,"&lt;&gt;U",$S$3:$S1582,Calc!$F$2)=1,1,0))</f>
        <v/>
      </c>
      <c r="R1582" s="35" t="str">
        <f aca="false">IF($Q1582=1,$O1582-ROW()/100000,"")</f>
        <v/>
      </c>
      <c r="S1582" s="37" t="str">
        <f aca="false">IF($A1582="","",INT($A1582))</f>
        <v/>
      </c>
      <c r="T1582" s="35" t="str">
        <f aca="false">IF($A1582="","",IF(COUNTIFS($S$3:$S1582,$S1582)=1,1,0))</f>
        <v/>
      </c>
      <c r="U1582" s="37" t="str">
        <f aca="false">IF($T1582=1,$S1582,"")</f>
        <v/>
      </c>
    </row>
    <row r="1583" customFormat="false" ht="15" hidden="false" customHeight="false" outlineLevel="0" collapsed="false">
      <c r="M1583" s="35" t="str">
        <f aca="false">IF($A1583="","",HOUR($A1583))</f>
        <v/>
      </c>
      <c r="N1583" s="36" t="str">
        <f aca="false">IF($A1583="","",$I1583*$K1583)</f>
        <v/>
      </c>
      <c r="O1583" s="35" t="str">
        <f aca="false">IF(OR($A1583="",$C1583="U",$S1583&lt;&gt;Calc!$F$2),"",SUMIFS($I$3:$I$3002,$E$3:$E$3002,$E1583,$C$3:$C$3002,"&lt;&gt;U",$S$3:$S$3002,Calc!$F$2))</f>
        <v/>
      </c>
      <c r="P1583" s="35" t="str">
        <f aca="false">IF(OR($A1583="",$C1583="U",$S1583&lt;&gt;Calc!$F$2),"",SUMIFS($N$3:$N$3002,$E$3:$E$3002,$E1583,$C$3:$C$3002,"&lt;&gt;U",$S$3:$S$3002,Calc!$F$2))</f>
        <v/>
      </c>
      <c r="Q1583" s="35" t="str">
        <f aca="false">IF(OR($A1583="",$C1583="U",$S1583&lt;&gt;Calc!$F$2),"",IF(COUNTIFS($E$3:$E1583,$E1583,$C$3:$C1583,"&lt;&gt;U",$S$3:$S1583,Calc!$F$2)=1,1,0))</f>
        <v/>
      </c>
      <c r="R1583" s="35" t="str">
        <f aca="false">IF($Q1583=1,$O1583-ROW()/100000,"")</f>
        <v/>
      </c>
      <c r="S1583" s="37" t="str">
        <f aca="false">IF($A1583="","",INT($A1583))</f>
        <v/>
      </c>
      <c r="T1583" s="35" t="str">
        <f aca="false">IF($A1583="","",IF(COUNTIFS($S$3:$S1583,$S1583)=1,1,0))</f>
        <v/>
      </c>
      <c r="U1583" s="37" t="str">
        <f aca="false">IF($T1583=1,$S1583,"")</f>
        <v/>
      </c>
    </row>
    <row r="1584" customFormat="false" ht="15" hidden="false" customHeight="false" outlineLevel="0" collapsed="false">
      <c r="M1584" s="35" t="str">
        <f aca="false">IF($A1584="","",HOUR($A1584))</f>
        <v/>
      </c>
      <c r="N1584" s="36" t="str">
        <f aca="false">IF($A1584="","",$I1584*$K1584)</f>
        <v/>
      </c>
      <c r="O1584" s="35" t="str">
        <f aca="false">IF(OR($A1584="",$C1584="U",$S1584&lt;&gt;Calc!$F$2),"",SUMIFS($I$3:$I$3002,$E$3:$E$3002,$E1584,$C$3:$C$3002,"&lt;&gt;U",$S$3:$S$3002,Calc!$F$2))</f>
        <v/>
      </c>
      <c r="P1584" s="35" t="str">
        <f aca="false">IF(OR($A1584="",$C1584="U",$S1584&lt;&gt;Calc!$F$2),"",SUMIFS($N$3:$N$3002,$E$3:$E$3002,$E1584,$C$3:$C$3002,"&lt;&gt;U",$S$3:$S$3002,Calc!$F$2))</f>
        <v/>
      </c>
      <c r="Q1584" s="35" t="str">
        <f aca="false">IF(OR($A1584="",$C1584="U",$S1584&lt;&gt;Calc!$F$2),"",IF(COUNTIFS($E$3:$E1584,$E1584,$C$3:$C1584,"&lt;&gt;U",$S$3:$S1584,Calc!$F$2)=1,1,0))</f>
        <v/>
      </c>
      <c r="R1584" s="35" t="str">
        <f aca="false">IF($Q1584=1,$O1584-ROW()/100000,"")</f>
        <v/>
      </c>
      <c r="S1584" s="37" t="str">
        <f aca="false">IF($A1584="","",INT($A1584))</f>
        <v/>
      </c>
      <c r="T1584" s="35" t="str">
        <f aca="false">IF($A1584="","",IF(COUNTIFS($S$3:$S1584,$S1584)=1,1,0))</f>
        <v/>
      </c>
      <c r="U1584" s="37" t="str">
        <f aca="false">IF($T1584=1,$S1584,"")</f>
        <v/>
      </c>
    </row>
    <row r="1585" customFormat="false" ht="15" hidden="false" customHeight="false" outlineLevel="0" collapsed="false">
      <c r="M1585" s="35" t="str">
        <f aca="false">IF($A1585="","",HOUR($A1585))</f>
        <v/>
      </c>
      <c r="N1585" s="36" t="str">
        <f aca="false">IF($A1585="","",$I1585*$K1585)</f>
        <v/>
      </c>
      <c r="O1585" s="35" t="str">
        <f aca="false">IF(OR($A1585="",$C1585="U",$S1585&lt;&gt;Calc!$F$2),"",SUMIFS($I$3:$I$3002,$E$3:$E$3002,$E1585,$C$3:$C$3002,"&lt;&gt;U",$S$3:$S$3002,Calc!$F$2))</f>
        <v/>
      </c>
      <c r="P1585" s="35" t="str">
        <f aca="false">IF(OR($A1585="",$C1585="U",$S1585&lt;&gt;Calc!$F$2),"",SUMIFS($N$3:$N$3002,$E$3:$E$3002,$E1585,$C$3:$C$3002,"&lt;&gt;U",$S$3:$S$3002,Calc!$F$2))</f>
        <v/>
      </c>
      <c r="Q1585" s="35" t="str">
        <f aca="false">IF(OR($A1585="",$C1585="U",$S1585&lt;&gt;Calc!$F$2),"",IF(COUNTIFS($E$3:$E1585,$E1585,$C$3:$C1585,"&lt;&gt;U",$S$3:$S1585,Calc!$F$2)=1,1,0))</f>
        <v/>
      </c>
      <c r="R1585" s="35" t="str">
        <f aca="false">IF($Q1585=1,$O1585-ROW()/100000,"")</f>
        <v/>
      </c>
      <c r="S1585" s="37" t="str">
        <f aca="false">IF($A1585="","",INT($A1585))</f>
        <v/>
      </c>
      <c r="T1585" s="35" t="str">
        <f aca="false">IF($A1585="","",IF(COUNTIFS($S$3:$S1585,$S1585)=1,1,0))</f>
        <v/>
      </c>
      <c r="U1585" s="37" t="str">
        <f aca="false">IF($T1585=1,$S1585,"")</f>
        <v/>
      </c>
    </row>
    <row r="1586" customFormat="false" ht="15" hidden="false" customHeight="false" outlineLevel="0" collapsed="false">
      <c r="M1586" s="35" t="str">
        <f aca="false">IF($A1586="","",HOUR($A1586))</f>
        <v/>
      </c>
      <c r="N1586" s="36" t="str">
        <f aca="false">IF($A1586="","",$I1586*$K1586)</f>
        <v/>
      </c>
      <c r="O1586" s="35" t="str">
        <f aca="false">IF(OR($A1586="",$C1586="U",$S1586&lt;&gt;Calc!$F$2),"",SUMIFS($I$3:$I$3002,$E$3:$E$3002,$E1586,$C$3:$C$3002,"&lt;&gt;U",$S$3:$S$3002,Calc!$F$2))</f>
        <v/>
      </c>
      <c r="P1586" s="35" t="str">
        <f aca="false">IF(OR($A1586="",$C1586="U",$S1586&lt;&gt;Calc!$F$2),"",SUMIFS($N$3:$N$3002,$E$3:$E$3002,$E1586,$C$3:$C$3002,"&lt;&gt;U",$S$3:$S$3002,Calc!$F$2))</f>
        <v/>
      </c>
      <c r="Q1586" s="35" t="str">
        <f aca="false">IF(OR($A1586="",$C1586="U",$S1586&lt;&gt;Calc!$F$2),"",IF(COUNTIFS($E$3:$E1586,$E1586,$C$3:$C1586,"&lt;&gt;U",$S$3:$S1586,Calc!$F$2)=1,1,0))</f>
        <v/>
      </c>
      <c r="R1586" s="35" t="str">
        <f aca="false">IF($Q1586=1,$O1586-ROW()/100000,"")</f>
        <v/>
      </c>
      <c r="S1586" s="37" t="str">
        <f aca="false">IF($A1586="","",INT($A1586))</f>
        <v/>
      </c>
      <c r="T1586" s="35" t="str">
        <f aca="false">IF($A1586="","",IF(COUNTIFS($S$3:$S1586,$S1586)=1,1,0))</f>
        <v/>
      </c>
      <c r="U1586" s="37" t="str">
        <f aca="false">IF($T1586=1,$S1586,"")</f>
        <v/>
      </c>
    </row>
    <row r="1587" customFormat="false" ht="15" hidden="false" customHeight="false" outlineLevel="0" collapsed="false">
      <c r="M1587" s="35" t="str">
        <f aca="false">IF($A1587="","",HOUR($A1587))</f>
        <v/>
      </c>
      <c r="N1587" s="36" t="str">
        <f aca="false">IF($A1587="","",$I1587*$K1587)</f>
        <v/>
      </c>
      <c r="O1587" s="35" t="str">
        <f aca="false">IF(OR($A1587="",$C1587="U",$S1587&lt;&gt;Calc!$F$2),"",SUMIFS($I$3:$I$3002,$E$3:$E$3002,$E1587,$C$3:$C$3002,"&lt;&gt;U",$S$3:$S$3002,Calc!$F$2))</f>
        <v/>
      </c>
      <c r="P1587" s="35" t="str">
        <f aca="false">IF(OR($A1587="",$C1587="U",$S1587&lt;&gt;Calc!$F$2),"",SUMIFS($N$3:$N$3002,$E$3:$E$3002,$E1587,$C$3:$C$3002,"&lt;&gt;U",$S$3:$S$3002,Calc!$F$2))</f>
        <v/>
      </c>
      <c r="Q1587" s="35" t="str">
        <f aca="false">IF(OR($A1587="",$C1587="U",$S1587&lt;&gt;Calc!$F$2),"",IF(COUNTIFS($E$3:$E1587,$E1587,$C$3:$C1587,"&lt;&gt;U",$S$3:$S1587,Calc!$F$2)=1,1,0))</f>
        <v/>
      </c>
      <c r="R1587" s="35" t="str">
        <f aca="false">IF($Q1587=1,$O1587-ROW()/100000,"")</f>
        <v/>
      </c>
      <c r="S1587" s="37" t="str">
        <f aca="false">IF($A1587="","",INT($A1587))</f>
        <v/>
      </c>
      <c r="T1587" s="35" t="str">
        <f aca="false">IF($A1587="","",IF(COUNTIFS($S$3:$S1587,$S1587)=1,1,0))</f>
        <v/>
      </c>
      <c r="U1587" s="37" t="str">
        <f aca="false">IF($T1587=1,$S1587,"")</f>
        <v/>
      </c>
    </row>
    <row r="1588" customFormat="false" ht="15" hidden="false" customHeight="false" outlineLevel="0" collapsed="false">
      <c r="M1588" s="35" t="str">
        <f aca="false">IF($A1588="","",HOUR($A1588))</f>
        <v/>
      </c>
      <c r="N1588" s="36" t="str">
        <f aca="false">IF($A1588="","",$I1588*$K1588)</f>
        <v/>
      </c>
      <c r="O1588" s="35" t="str">
        <f aca="false">IF(OR($A1588="",$C1588="U",$S1588&lt;&gt;Calc!$F$2),"",SUMIFS($I$3:$I$3002,$E$3:$E$3002,$E1588,$C$3:$C$3002,"&lt;&gt;U",$S$3:$S$3002,Calc!$F$2))</f>
        <v/>
      </c>
      <c r="P1588" s="35" t="str">
        <f aca="false">IF(OR($A1588="",$C1588="U",$S1588&lt;&gt;Calc!$F$2),"",SUMIFS($N$3:$N$3002,$E$3:$E$3002,$E1588,$C$3:$C$3002,"&lt;&gt;U",$S$3:$S$3002,Calc!$F$2))</f>
        <v/>
      </c>
      <c r="Q1588" s="35" t="str">
        <f aca="false">IF(OR($A1588="",$C1588="U",$S1588&lt;&gt;Calc!$F$2),"",IF(COUNTIFS($E$3:$E1588,$E1588,$C$3:$C1588,"&lt;&gt;U",$S$3:$S1588,Calc!$F$2)=1,1,0))</f>
        <v/>
      </c>
      <c r="R1588" s="35" t="str">
        <f aca="false">IF($Q1588=1,$O1588-ROW()/100000,"")</f>
        <v/>
      </c>
      <c r="S1588" s="37" t="str">
        <f aca="false">IF($A1588="","",INT($A1588))</f>
        <v/>
      </c>
      <c r="T1588" s="35" t="str">
        <f aca="false">IF($A1588="","",IF(COUNTIFS($S$3:$S1588,$S1588)=1,1,0))</f>
        <v/>
      </c>
      <c r="U1588" s="37" t="str">
        <f aca="false">IF($T1588=1,$S1588,"")</f>
        <v/>
      </c>
    </row>
    <row r="1589" customFormat="false" ht="15" hidden="false" customHeight="false" outlineLevel="0" collapsed="false">
      <c r="M1589" s="35" t="str">
        <f aca="false">IF($A1589="","",HOUR($A1589))</f>
        <v/>
      </c>
      <c r="N1589" s="36" t="str">
        <f aca="false">IF($A1589="","",$I1589*$K1589)</f>
        <v/>
      </c>
      <c r="O1589" s="35" t="str">
        <f aca="false">IF(OR($A1589="",$C1589="U",$S1589&lt;&gt;Calc!$F$2),"",SUMIFS($I$3:$I$3002,$E$3:$E$3002,$E1589,$C$3:$C$3002,"&lt;&gt;U",$S$3:$S$3002,Calc!$F$2))</f>
        <v/>
      </c>
      <c r="P1589" s="35" t="str">
        <f aca="false">IF(OR($A1589="",$C1589="U",$S1589&lt;&gt;Calc!$F$2),"",SUMIFS($N$3:$N$3002,$E$3:$E$3002,$E1589,$C$3:$C$3002,"&lt;&gt;U",$S$3:$S$3002,Calc!$F$2))</f>
        <v/>
      </c>
      <c r="Q1589" s="35" t="str">
        <f aca="false">IF(OR($A1589="",$C1589="U",$S1589&lt;&gt;Calc!$F$2),"",IF(COUNTIFS($E$3:$E1589,$E1589,$C$3:$C1589,"&lt;&gt;U",$S$3:$S1589,Calc!$F$2)=1,1,0))</f>
        <v/>
      </c>
      <c r="R1589" s="35" t="str">
        <f aca="false">IF($Q1589=1,$O1589-ROW()/100000,"")</f>
        <v/>
      </c>
      <c r="S1589" s="37" t="str">
        <f aca="false">IF($A1589="","",INT($A1589))</f>
        <v/>
      </c>
      <c r="T1589" s="35" t="str">
        <f aca="false">IF($A1589="","",IF(COUNTIFS($S$3:$S1589,$S1589)=1,1,0))</f>
        <v/>
      </c>
      <c r="U1589" s="37" t="str">
        <f aca="false">IF($T1589=1,$S1589,"")</f>
        <v/>
      </c>
    </row>
    <row r="1590" customFormat="false" ht="15" hidden="false" customHeight="false" outlineLevel="0" collapsed="false">
      <c r="M1590" s="35" t="str">
        <f aca="false">IF($A1590="","",HOUR($A1590))</f>
        <v/>
      </c>
      <c r="N1590" s="36" t="str">
        <f aca="false">IF($A1590="","",$I1590*$K1590)</f>
        <v/>
      </c>
      <c r="O1590" s="35" t="str">
        <f aca="false">IF(OR($A1590="",$C1590="U",$S1590&lt;&gt;Calc!$F$2),"",SUMIFS($I$3:$I$3002,$E$3:$E$3002,$E1590,$C$3:$C$3002,"&lt;&gt;U",$S$3:$S$3002,Calc!$F$2))</f>
        <v/>
      </c>
      <c r="P1590" s="35" t="str">
        <f aca="false">IF(OR($A1590="",$C1590="U",$S1590&lt;&gt;Calc!$F$2),"",SUMIFS($N$3:$N$3002,$E$3:$E$3002,$E1590,$C$3:$C$3002,"&lt;&gt;U",$S$3:$S$3002,Calc!$F$2))</f>
        <v/>
      </c>
      <c r="Q1590" s="35" t="str">
        <f aca="false">IF(OR($A1590="",$C1590="U",$S1590&lt;&gt;Calc!$F$2),"",IF(COUNTIFS($E$3:$E1590,$E1590,$C$3:$C1590,"&lt;&gt;U",$S$3:$S1590,Calc!$F$2)=1,1,0))</f>
        <v/>
      </c>
      <c r="R1590" s="35" t="str">
        <f aca="false">IF($Q1590=1,$O1590-ROW()/100000,"")</f>
        <v/>
      </c>
      <c r="S1590" s="37" t="str">
        <f aca="false">IF($A1590="","",INT($A1590))</f>
        <v/>
      </c>
      <c r="T1590" s="35" t="str">
        <f aca="false">IF($A1590="","",IF(COUNTIFS($S$3:$S1590,$S1590)=1,1,0))</f>
        <v/>
      </c>
      <c r="U1590" s="37" t="str">
        <f aca="false">IF($T1590=1,$S1590,"")</f>
        <v/>
      </c>
    </row>
    <row r="1591" customFormat="false" ht="15" hidden="false" customHeight="false" outlineLevel="0" collapsed="false">
      <c r="M1591" s="35" t="str">
        <f aca="false">IF($A1591="","",HOUR($A1591))</f>
        <v/>
      </c>
      <c r="N1591" s="36" t="str">
        <f aca="false">IF($A1591="","",$I1591*$K1591)</f>
        <v/>
      </c>
      <c r="O1591" s="35" t="str">
        <f aca="false">IF(OR($A1591="",$C1591="U",$S1591&lt;&gt;Calc!$F$2),"",SUMIFS($I$3:$I$3002,$E$3:$E$3002,$E1591,$C$3:$C$3002,"&lt;&gt;U",$S$3:$S$3002,Calc!$F$2))</f>
        <v/>
      </c>
      <c r="P1591" s="35" t="str">
        <f aca="false">IF(OR($A1591="",$C1591="U",$S1591&lt;&gt;Calc!$F$2),"",SUMIFS($N$3:$N$3002,$E$3:$E$3002,$E1591,$C$3:$C$3002,"&lt;&gt;U",$S$3:$S$3002,Calc!$F$2))</f>
        <v/>
      </c>
      <c r="Q1591" s="35" t="str">
        <f aca="false">IF(OR($A1591="",$C1591="U",$S1591&lt;&gt;Calc!$F$2),"",IF(COUNTIFS($E$3:$E1591,$E1591,$C$3:$C1591,"&lt;&gt;U",$S$3:$S1591,Calc!$F$2)=1,1,0))</f>
        <v/>
      </c>
      <c r="R1591" s="35" t="str">
        <f aca="false">IF($Q1591=1,$O1591-ROW()/100000,"")</f>
        <v/>
      </c>
      <c r="S1591" s="37" t="str">
        <f aca="false">IF($A1591="","",INT($A1591))</f>
        <v/>
      </c>
      <c r="T1591" s="35" t="str">
        <f aca="false">IF($A1591="","",IF(COUNTIFS($S$3:$S1591,$S1591)=1,1,0))</f>
        <v/>
      </c>
      <c r="U1591" s="37" t="str">
        <f aca="false">IF($T1591=1,$S1591,"")</f>
        <v/>
      </c>
    </row>
    <row r="1592" customFormat="false" ht="15" hidden="false" customHeight="false" outlineLevel="0" collapsed="false">
      <c r="M1592" s="35" t="str">
        <f aca="false">IF($A1592="","",HOUR($A1592))</f>
        <v/>
      </c>
      <c r="N1592" s="36" t="str">
        <f aca="false">IF($A1592="","",$I1592*$K1592)</f>
        <v/>
      </c>
      <c r="O1592" s="35" t="str">
        <f aca="false">IF(OR($A1592="",$C1592="U",$S1592&lt;&gt;Calc!$F$2),"",SUMIFS($I$3:$I$3002,$E$3:$E$3002,$E1592,$C$3:$C$3002,"&lt;&gt;U",$S$3:$S$3002,Calc!$F$2))</f>
        <v/>
      </c>
      <c r="P1592" s="35" t="str">
        <f aca="false">IF(OR($A1592="",$C1592="U",$S1592&lt;&gt;Calc!$F$2),"",SUMIFS($N$3:$N$3002,$E$3:$E$3002,$E1592,$C$3:$C$3002,"&lt;&gt;U",$S$3:$S$3002,Calc!$F$2))</f>
        <v/>
      </c>
      <c r="Q1592" s="35" t="str">
        <f aca="false">IF(OR($A1592="",$C1592="U",$S1592&lt;&gt;Calc!$F$2),"",IF(COUNTIFS($E$3:$E1592,$E1592,$C$3:$C1592,"&lt;&gt;U",$S$3:$S1592,Calc!$F$2)=1,1,0))</f>
        <v/>
      </c>
      <c r="R1592" s="35" t="str">
        <f aca="false">IF($Q1592=1,$O1592-ROW()/100000,"")</f>
        <v/>
      </c>
      <c r="S1592" s="37" t="str">
        <f aca="false">IF($A1592="","",INT($A1592))</f>
        <v/>
      </c>
      <c r="T1592" s="35" t="str">
        <f aca="false">IF($A1592="","",IF(COUNTIFS($S$3:$S1592,$S1592)=1,1,0))</f>
        <v/>
      </c>
      <c r="U1592" s="37" t="str">
        <f aca="false">IF($T1592=1,$S1592,"")</f>
        <v/>
      </c>
    </row>
    <row r="1593" customFormat="false" ht="15" hidden="false" customHeight="false" outlineLevel="0" collapsed="false">
      <c r="M1593" s="35" t="str">
        <f aca="false">IF($A1593="","",HOUR($A1593))</f>
        <v/>
      </c>
      <c r="N1593" s="36" t="str">
        <f aca="false">IF($A1593="","",$I1593*$K1593)</f>
        <v/>
      </c>
      <c r="O1593" s="35" t="str">
        <f aca="false">IF(OR($A1593="",$C1593="U",$S1593&lt;&gt;Calc!$F$2),"",SUMIFS($I$3:$I$3002,$E$3:$E$3002,$E1593,$C$3:$C$3002,"&lt;&gt;U",$S$3:$S$3002,Calc!$F$2))</f>
        <v/>
      </c>
      <c r="P1593" s="35" t="str">
        <f aca="false">IF(OR($A1593="",$C1593="U",$S1593&lt;&gt;Calc!$F$2),"",SUMIFS($N$3:$N$3002,$E$3:$E$3002,$E1593,$C$3:$C$3002,"&lt;&gt;U",$S$3:$S$3002,Calc!$F$2))</f>
        <v/>
      </c>
      <c r="Q1593" s="35" t="str">
        <f aca="false">IF(OR($A1593="",$C1593="U",$S1593&lt;&gt;Calc!$F$2),"",IF(COUNTIFS($E$3:$E1593,$E1593,$C$3:$C1593,"&lt;&gt;U",$S$3:$S1593,Calc!$F$2)=1,1,0))</f>
        <v/>
      </c>
      <c r="R1593" s="35" t="str">
        <f aca="false">IF($Q1593=1,$O1593-ROW()/100000,"")</f>
        <v/>
      </c>
      <c r="S1593" s="37" t="str">
        <f aca="false">IF($A1593="","",INT($A1593))</f>
        <v/>
      </c>
      <c r="T1593" s="35" t="str">
        <f aca="false">IF($A1593="","",IF(COUNTIFS($S$3:$S1593,$S1593)=1,1,0))</f>
        <v/>
      </c>
      <c r="U1593" s="37" t="str">
        <f aca="false">IF($T1593=1,$S1593,"")</f>
        <v/>
      </c>
    </row>
    <row r="1594" customFormat="false" ht="15" hidden="false" customHeight="false" outlineLevel="0" collapsed="false">
      <c r="M1594" s="35" t="str">
        <f aca="false">IF($A1594="","",HOUR($A1594))</f>
        <v/>
      </c>
      <c r="N1594" s="36" t="str">
        <f aca="false">IF($A1594="","",$I1594*$K1594)</f>
        <v/>
      </c>
      <c r="O1594" s="35" t="str">
        <f aca="false">IF(OR($A1594="",$C1594="U",$S1594&lt;&gt;Calc!$F$2),"",SUMIFS($I$3:$I$3002,$E$3:$E$3002,$E1594,$C$3:$C$3002,"&lt;&gt;U",$S$3:$S$3002,Calc!$F$2))</f>
        <v/>
      </c>
      <c r="P1594" s="35" t="str">
        <f aca="false">IF(OR($A1594="",$C1594="U",$S1594&lt;&gt;Calc!$F$2),"",SUMIFS($N$3:$N$3002,$E$3:$E$3002,$E1594,$C$3:$C$3002,"&lt;&gt;U",$S$3:$S$3002,Calc!$F$2))</f>
        <v/>
      </c>
      <c r="Q1594" s="35" t="str">
        <f aca="false">IF(OR($A1594="",$C1594="U",$S1594&lt;&gt;Calc!$F$2),"",IF(COUNTIFS($E$3:$E1594,$E1594,$C$3:$C1594,"&lt;&gt;U",$S$3:$S1594,Calc!$F$2)=1,1,0))</f>
        <v/>
      </c>
      <c r="R1594" s="35" t="str">
        <f aca="false">IF($Q1594=1,$O1594-ROW()/100000,"")</f>
        <v/>
      </c>
      <c r="S1594" s="37" t="str">
        <f aca="false">IF($A1594="","",INT($A1594))</f>
        <v/>
      </c>
      <c r="T1594" s="35" t="str">
        <f aca="false">IF($A1594="","",IF(COUNTIFS($S$3:$S1594,$S1594)=1,1,0))</f>
        <v/>
      </c>
      <c r="U1594" s="37" t="str">
        <f aca="false">IF($T1594=1,$S1594,"")</f>
        <v/>
      </c>
    </row>
    <row r="1595" customFormat="false" ht="15" hidden="false" customHeight="false" outlineLevel="0" collapsed="false">
      <c r="M1595" s="35" t="str">
        <f aca="false">IF($A1595="","",HOUR($A1595))</f>
        <v/>
      </c>
      <c r="N1595" s="36" t="str">
        <f aca="false">IF($A1595="","",$I1595*$K1595)</f>
        <v/>
      </c>
      <c r="O1595" s="35" t="str">
        <f aca="false">IF(OR($A1595="",$C1595="U",$S1595&lt;&gt;Calc!$F$2),"",SUMIFS($I$3:$I$3002,$E$3:$E$3002,$E1595,$C$3:$C$3002,"&lt;&gt;U",$S$3:$S$3002,Calc!$F$2))</f>
        <v/>
      </c>
      <c r="P1595" s="35" t="str">
        <f aca="false">IF(OR($A1595="",$C1595="U",$S1595&lt;&gt;Calc!$F$2),"",SUMIFS($N$3:$N$3002,$E$3:$E$3002,$E1595,$C$3:$C$3002,"&lt;&gt;U",$S$3:$S$3002,Calc!$F$2))</f>
        <v/>
      </c>
      <c r="Q1595" s="35" t="str">
        <f aca="false">IF(OR($A1595="",$C1595="U",$S1595&lt;&gt;Calc!$F$2),"",IF(COUNTIFS($E$3:$E1595,$E1595,$C$3:$C1595,"&lt;&gt;U",$S$3:$S1595,Calc!$F$2)=1,1,0))</f>
        <v/>
      </c>
      <c r="R1595" s="35" t="str">
        <f aca="false">IF($Q1595=1,$O1595-ROW()/100000,"")</f>
        <v/>
      </c>
      <c r="S1595" s="37" t="str">
        <f aca="false">IF($A1595="","",INT($A1595))</f>
        <v/>
      </c>
      <c r="T1595" s="35" t="str">
        <f aca="false">IF($A1595="","",IF(COUNTIFS($S$3:$S1595,$S1595)=1,1,0))</f>
        <v/>
      </c>
      <c r="U1595" s="37" t="str">
        <f aca="false">IF($T1595=1,$S1595,"")</f>
        <v/>
      </c>
    </row>
    <row r="1596" customFormat="false" ht="15" hidden="false" customHeight="false" outlineLevel="0" collapsed="false">
      <c r="M1596" s="35" t="str">
        <f aca="false">IF($A1596="","",HOUR($A1596))</f>
        <v/>
      </c>
      <c r="N1596" s="36" t="str">
        <f aca="false">IF($A1596="","",$I1596*$K1596)</f>
        <v/>
      </c>
      <c r="O1596" s="35" t="str">
        <f aca="false">IF(OR($A1596="",$C1596="U",$S1596&lt;&gt;Calc!$F$2),"",SUMIFS($I$3:$I$3002,$E$3:$E$3002,$E1596,$C$3:$C$3002,"&lt;&gt;U",$S$3:$S$3002,Calc!$F$2))</f>
        <v/>
      </c>
      <c r="P1596" s="35" t="str">
        <f aca="false">IF(OR($A1596="",$C1596="U",$S1596&lt;&gt;Calc!$F$2),"",SUMIFS($N$3:$N$3002,$E$3:$E$3002,$E1596,$C$3:$C$3002,"&lt;&gt;U",$S$3:$S$3002,Calc!$F$2))</f>
        <v/>
      </c>
      <c r="Q1596" s="35" t="str">
        <f aca="false">IF(OR($A1596="",$C1596="U",$S1596&lt;&gt;Calc!$F$2),"",IF(COUNTIFS($E$3:$E1596,$E1596,$C$3:$C1596,"&lt;&gt;U",$S$3:$S1596,Calc!$F$2)=1,1,0))</f>
        <v/>
      </c>
      <c r="R1596" s="35" t="str">
        <f aca="false">IF($Q1596=1,$O1596-ROW()/100000,"")</f>
        <v/>
      </c>
      <c r="S1596" s="37" t="str">
        <f aca="false">IF($A1596="","",INT($A1596))</f>
        <v/>
      </c>
      <c r="T1596" s="35" t="str">
        <f aca="false">IF($A1596="","",IF(COUNTIFS($S$3:$S1596,$S1596)=1,1,0))</f>
        <v/>
      </c>
      <c r="U1596" s="37" t="str">
        <f aca="false">IF($T1596=1,$S1596,"")</f>
        <v/>
      </c>
    </row>
    <row r="1597" customFormat="false" ht="15" hidden="false" customHeight="false" outlineLevel="0" collapsed="false">
      <c r="M1597" s="35" t="str">
        <f aca="false">IF($A1597="","",HOUR($A1597))</f>
        <v/>
      </c>
      <c r="N1597" s="36" t="str">
        <f aca="false">IF($A1597="","",$I1597*$K1597)</f>
        <v/>
      </c>
      <c r="O1597" s="35" t="str">
        <f aca="false">IF(OR($A1597="",$C1597="U",$S1597&lt;&gt;Calc!$F$2),"",SUMIFS($I$3:$I$3002,$E$3:$E$3002,$E1597,$C$3:$C$3002,"&lt;&gt;U",$S$3:$S$3002,Calc!$F$2))</f>
        <v/>
      </c>
      <c r="P1597" s="35" t="str">
        <f aca="false">IF(OR($A1597="",$C1597="U",$S1597&lt;&gt;Calc!$F$2),"",SUMIFS($N$3:$N$3002,$E$3:$E$3002,$E1597,$C$3:$C$3002,"&lt;&gt;U",$S$3:$S$3002,Calc!$F$2))</f>
        <v/>
      </c>
      <c r="Q1597" s="35" t="str">
        <f aca="false">IF(OR($A1597="",$C1597="U",$S1597&lt;&gt;Calc!$F$2),"",IF(COUNTIFS($E$3:$E1597,$E1597,$C$3:$C1597,"&lt;&gt;U",$S$3:$S1597,Calc!$F$2)=1,1,0))</f>
        <v/>
      </c>
      <c r="R1597" s="35" t="str">
        <f aca="false">IF($Q1597=1,$O1597-ROW()/100000,"")</f>
        <v/>
      </c>
      <c r="S1597" s="37" t="str">
        <f aca="false">IF($A1597="","",INT($A1597))</f>
        <v/>
      </c>
      <c r="T1597" s="35" t="str">
        <f aca="false">IF($A1597="","",IF(COUNTIFS($S$3:$S1597,$S1597)=1,1,0))</f>
        <v/>
      </c>
      <c r="U1597" s="37" t="str">
        <f aca="false">IF($T1597=1,$S1597,"")</f>
        <v/>
      </c>
    </row>
    <row r="1598" customFormat="false" ht="15" hidden="false" customHeight="false" outlineLevel="0" collapsed="false">
      <c r="M1598" s="35" t="str">
        <f aca="false">IF($A1598="","",HOUR($A1598))</f>
        <v/>
      </c>
      <c r="N1598" s="36" t="str">
        <f aca="false">IF($A1598="","",$I1598*$K1598)</f>
        <v/>
      </c>
      <c r="O1598" s="35" t="str">
        <f aca="false">IF(OR($A1598="",$C1598="U",$S1598&lt;&gt;Calc!$F$2),"",SUMIFS($I$3:$I$3002,$E$3:$E$3002,$E1598,$C$3:$C$3002,"&lt;&gt;U",$S$3:$S$3002,Calc!$F$2))</f>
        <v/>
      </c>
      <c r="P1598" s="35" t="str">
        <f aca="false">IF(OR($A1598="",$C1598="U",$S1598&lt;&gt;Calc!$F$2),"",SUMIFS($N$3:$N$3002,$E$3:$E$3002,$E1598,$C$3:$C$3002,"&lt;&gt;U",$S$3:$S$3002,Calc!$F$2))</f>
        <v/>
      </c>
      <c r="Q1598" s="35" t="str">
        <f aca="false">IF(OR($A1598="",$C1598="U",$S1598&lt;&gt;Calc!$F$2),"",IF(COUNTIFS($E$3:$E1598,$E1598,$C$3:$C1598,"&lt;&gt;U",$S$3:$S1598,Calc!$F$2)=1,1,0))</f>
        <v/>
      </c>
      <c r="R1598" s="35" t="str">
        <f aca="false">IF($Q1598=1,$O1598-ROW()/100000,"")</f>
        <v/>
      </c>
      <c r="S1598" s="37" t="str">
        <f aca="false">IF($A1598="","",INT($A1598))</f>
        <v/>
      </c>
      <c r="T1598" s="35" t="str">
        <f aca="false">IF($A1598="","",IF(COUNTIFS($S$3:$S1598,$S1598)=1,1,0))</f>
        <v/>
      </c>
      <c r="U1598" s="37" t="str">
        <f aca="false">IF($T1598=1,$S1598,"")</f>
        <v/>
      </c>
    </row>
    <row r="1599" customFormat="false" ht="15" hidden="false" customHeight="false" outlineLevel="0" collapsed="false">
      <c r="M1599" s="35" t="str">
        <f aca="false">IF($A1599="","",HOUR($A1599))</f>
        <v/>
      </c>
      <c r="N1599" s="36" t="str">
        <f aca="false">IF($A1599="","",$I1599*$K1599)</f>
        <v/>
      </c>
      <c r="O1599" s="35" t="str">
        <f aca="false">IF(OR($A1599="",$C1599="U",$S1599&lt;&gt;Calc!$F$2),"",SUMIFS($I$3:$I$3002,$E$3:$E$3002,$E1599,$C$3:$C$3002,"&lt;&gt;U",$S$3:$S$3002,Calc!$F$2))</f>
        <v/>
      </c>
      <c r="P1599" s="35" t="str">
        <f aca="false">IF(OR($A1599="",$C1599="U",$S1599&lt;&gt;Calc!$F$2),"",SUMIFS($N$3:$N$3002,$E$3:$E$3002,$E1599,$C$3:$C$3002,"&lt;&gt;U",$S$3:$S$3002,Calc!$F$2))</f>
        <v/>
      </c>
      <c r="Q1599" s="35" t="str">
        <f aca="false">IF(OR($A1599="",$C1599="U",$S1599&lt;&gt;Calc!$F$2),"",IF(COUNTIFS($E$3:$E1599,$E1599,$C$3:$C1599,"&lt;&gt;U",$S$3:$S1599,Calc!$F$2)=1,1,0))</f>
        <v/>
      </c>
      <c r="R1599" s="35" t="str">
        <f aca="false">IF($Q1599=1,$O1599-ROW()/100000,"")</f>
        <v/>
      </c>
      <c r="S1599" s="37" t="str">
        <f aca="false">IF($A1599="","",INT($A1599))</f>
        <v/>
      </c>
      <c r="T1599" s="35" t="str">
        <f aca="false">IF($A1599="","",IF(COUNTIFS($S$3:$S1599,$S1599)=1,1,0))</f>
        <v/>
      </c>
      <c r="U1599" s="37" t="str">
        <f aca="false">IF($T1599=1,$S1599,"")</f>
        <v/>
      </c>
    </row>
    <row r="1600" customFormat="false" ht="15" hidden="false" customHeight="false" outlineLevel="0" collapsed="false">
      <c r="M1600" s="35" t="str">
        <f aca="false">IF($A1600="","",HOUR($A1600))</f>
        <v/>
      </c>
      <c r="N1600" s="36" t="str">
        <f aca="false">IF($A1600="","",$I1600*$K1600)</f>
        <v/>
      </c>
      <c r="O1600" s="35" t="str">
        <f aca="false">IF(OR($A1600="",$C1600="U",$S1600&lt;&gt;Calc!$F$2),"",SUMIFS($I$3:$I$3002,$E$3:$E$3002,$E1600,$C$3:$C$3002,"&lt;&gt;U",$S$3:$S$3002,Calc!$F$2))</f>
        <v/>
      </c>
      <c r="P1600" s="35" t="str">
        <f aca="false">IF(OR($A1600="",$C1600="U",$S1600&lt;&gt;Calc!$F$2),"",SUMIFS($N$3:$N$3002,$E$3:$E$3002,$E1600,$C$3:$C$3002,"&lt;&gt;U",$S$3:$S$3002,Calc!$F$2))</f>
        <v/>
      </c>
      <c r="Q1600" s="35" t="str">
        <f aca="false">IF(OR($A1600="",$C1600="U",$S1600&lt;&gt;Calc!$F$2),"",IF(COUNTIFS($E$3:$E1600,$E1600,$C$3:$C1600,"&lt;&gt;U",$S$3:$S1600,Calc!$F$2)=1,1,0))</f>
        <v/>
      </c>
      <c r="R1600" s="35" t="str">
        <f aca="false">IF($Q1600=1,$O1600-ROW()/100000,"")</f>
        <v/>
      </c>
      <c r="S1600" s="37" t="str">
        <f aca="false">IF($A1600="","",INT($A1600))</f>
        <v/>
      </c>
      <c r="T1600" s="35" t="str">
        <f aca="false">IF($A1600="","",IF(COUNTIFS($S$3:$S1600,$S1600)=1,1,0))</f>
        <v/>
      </c>
      <c r="U1600" s="37" t="str">
        <f aca="false">IF($T1600=1,$S1600,"")</f>
        <v/>
      </c>
    </row>
    <row r="1601" customFormat="false" ht="15" hidden="false" customHeight="false" outlineLevel="0" collapsed="false">
      <c r="M1601" s="35" t="str">
        <f aca="false">IF($A1601="","",HOUR($A1601))</f>
        <v/>
      </c>
      <c r="N1601" s="36" t="str">
        <f aca="false">IF($A1601="","",$I1601*$K1601)</f>
        <v/>
      </c>
      <c r="O1601" s="35" t="str">
        <f aca="false">IF(OR($A1601="",$C1601="U",$S1601&lt;&gt;Calc!$F$2),"",SUMIFS($I$3:$I$3002,$E$3:$E$3002,$E1601,$C$3:$C$3002,"&lt;&gt;U",$S$3:$S$3002,Calc!$F$2))</f>
        <v/>
      </c>
      <c r="P1601" s="35" t="str">
        <f aca="false">IF(OR($A1601="",$C1601="U",$S1601&lt;&gt;Calc!$F$2),"",SUMIFS($N$3:$N$3002,$E$3:$E$3002,$E1601,$C$3:$C$3002,"&lt;&gt;U",$S$3:$S$3002,Calc!$F$2))</f>
        <v/>
      </c>
      <c r="Q1601" s="35" t="str">
        <f aca="false">IF(OR($A1601="",$C1601="U",$S1601&lt;&gt;Calc!$F$2),"",IF(COUNTIFS($E$3:$E1601,$E1601,$C$3:$C1601,"&lt;&gt;U",$S$3:$S1601,Calc!$F$2)=1,1,0))</f>
        <v/>
      </c>
      <c r="R1601" s="35" t="str">
        <f aca="false">IF($Q1601=1,$O1601-ROW()/100000,"")</f>
        <v/>
      </c>
      <c r="S1601" s="37" t="str">
        <f aca="false">IF($A1601="","",INT($A1601))</f>
        <v/>
      </c>
      <c r="T1601" s="35" t="str">
        <f aca="false">IF($A1601="","",IF(COUNTIFS($S$3:$S1601,$S1601)=1,1,0))</f>
        <v/>
      </c>
      <c r="U1601" s="37" t="str">
        <f aca="false">IF($T1601=1,$S1601,"")</f>
        <v/>
      </c>
    </row>
    <row r="1602" customFormat="false" ht="15" hidden="false" customHeight="false" outlineLevel="0" collapsed="false">
      <c r="M1602" s="35" t="str">
        <f aca="false">IF($A1602="","",HOUR($A1602))</f>
        <v/>
      </c>
      <c r="N1602" s="36" t="str">
        <f aca="false">IF($A1602="","",$I1602*$K1602)</f>
        <v/>
      </c>
      <c r="O1602" s="35" t="str">
        <f aca="false">IF(OR($A1602="",$C1602="U",$S1602&lt;&gt;Calc!$F$2),"",SUMIFS($I$3:$I$3002,$E$3:$E$3002,$E1602,$C$3:$C$3002,"&lt;&gt;U",$S$3:$S$3002,Calc!$F$2))</f>
        <v/>
      </c>
      <c r="P1602" s="35" t="str">
        <f aca="false">IF(OR($A1602="",$C1602="U",$S1602&lt;&gt;Calc!$F$2),"",SUMIFS($N$3:$N$3002,$E$3:$E$3002,$E1602,$C$3:$C$3002,"&lt;&gt;U",$S$3:$S$3002,Calc!$F$2))</f>
        <v/>
      </c>
      <c r="Q1602" s="35" t="str">
        <f aca="false">IF(OR($A1602="",$C1602="U",$S1602&lt;&gt;Calc!$F$2),"",IF(COUNTIFS($E$3:$E1602,$E1602,$C$3:$C1602,"&lt;&gt;U",$S$3:$S1602,Calc!$F$2)=1,1,0))</f>
        <v/>
      </c>
      <c r="R1602" s="35" t="str">
        <f aca="false">IF($Q1602=1,$O1602-ROW()/100000,"")</f>
        <v/>
      </c>
      <c r="S1602" s="37" t="str">
        <f aca="false">IF($A1602="","",INT($A1602))</f>
        <v/>
      </c>
      <c r="T1602" s="35" t="str">
        <f aca="false">IF($A1602="","",IF(COUNTIFS($S$3:$S1602,$S1602)=1,1,0))</f>
        <v/>
      </c>
      <c r="U1602" s="37" t="str">
        <f aca="false">IF($T1602=1,$S1602,"")</f>
        <v/>
      </c>
    </row>
    <row r="1603" customFormat="false" ht="15" hidden="false" customHeight="false" outlineLevel="0" collapsed="false">
      <c r="M1603" s="35" t="str">
        <f aca="false">IF($A1603="","",HOUR($A1603))</f>
        <v/>
      </c>
      <c r="N1603" s="36" t="str">
        <f aca="false">IF($A1603="","",$I1603*$K1603)</f>
        <v/>
      </c>
      <c r="O1603" s="35" t="str">
        <f aca="false">IF(OR($A1603="",$C1603="U",$S1603&lt;&gt;Calc!$F$2),"",SUMIFS($I$3:$I$3002,$E$3:$E$3002,$E1603,$C$3:$C$3002,"&lt;&gt;U",$S$3:$S$3002,Calc!$F$2))</f>
        <v/>
      </c>
      <c r="P1603" s="35" t="str">
        <f aca="false">IF(OR($A1603="",$C1603="U",$S1603&lt;&gt;Calc!$F$2),"",SUMIFS($N$3:$N$3002,$E$3:$E$3002,$E1603,$C$3:$C$3002,"&lt;&gt;U",$S$3:$S$3002,Calc!$F$2))</f>
        <v/>
      </c>
      <c r="Q1603" s="35" t="str">
        <f aca="false">IF(OR($A1603="",$C1603="U",$S1603&lt;&gt;Calc!$F$2),"",IF(COUNTIFS($E$3:$E1603,$E1603,$C$3:$C1603,"&lt;&gt;U",$S$3:$S1603,Calc!$F$2)=1,1,0))</f>
        <v/>
      </c>
      <c r="R1603" s="35" t="str">
        <f aca="false">IF($Q1603=1,$O1603-ROW()/100000,"")</f>
        <v/>
      </c>
      <c r="S1603" s="37" t="str">
        <f aca="false">IF($A1603="","",INT($A1603))</f>
        <v/>
      </c>
      <c r="T1603" s="35" t="str">
        <f aca="false">IF($A1603="","",IF(COUNTIFS($S$3:$S1603,$S1603)=1,1,0))</f>
        <v/>
      </c>
      <c r="U1603" s="37" t="str">
        <f aca="false">IF($T1603=1,$S1603,"")</f>
        <v/>
      </c>
    </row>
    <row r="1604" customFormat="false" ht="15" hidden="false" customHeight="false" outlineLevel="0" collapsed="false">
      <c r="M1604" s="35" t="str">
        <f aca="false">IF($A1604="","",HOUR($A1604))</f>
        <v/>
      </c>
      <c r="N1604" s="36" t="str">
        <f aca="false">IF($A1604="","",$I1604*$K1604)</f>
        <v/>
      </c>
      <c r="O1604" s="35" t="str">
        <f aca="false">IF(OR($A1604="",$C1604="U",$S1604&lt;&gt;Calc!$F$2),"",SUMIFS($I$3:$I$3002,$E$3:$E$3002,$E1604,$C$3:$C$3002,"&lt;&gt;U",$S$3:$S$3002,Calc!$F$2))</f>
        <v/>
      </c>
      <c r="P1604" s="35" t="str">
        <f aca="false">IF(OR($A1604="",$C1604="U",$S1604&lt;&gt;Calc!$F$2),"",SUMIFS($N$3:$N$3002,$E$3:$E$3002,$E1604,$C$3:$C$3002,"&lt;&gt;U",$S$3:$S$3002,Calc!$F$2))</f>
        <v/>
      </c>
      <c r="Q1604" s="35" t="str">
        <f aca="false">IF(OR($A1604="",$C1604="U",$S1604&lt;&gt;Calc!$F$2),"",IF(COUNTIFS($E$3:$E1604,$E1604,$C$3:$C1604,"&lt;&gt;U",$S$3:$S1604,Calc!$F$2)=1,1,0))</f>
        <v/>
      </c>
      <c r="R1604" s="35" t="str">
        <f aca="false">IF($Q1604=1,$O1604-ROW()/100000,"")</f>
        <v/>
      </c>
      <c r="S1604" s="37" t="str">
        <f aca="false">IF($A1604="","",INT($A1604))</f>
        <v/>
      </c>
      <c r="T1604" s="35" t="str">
        <f aca="false">IF($A1604="","",IF(COUNTIFS($S$3:$S1604,$S1604)=1,1,0))</f>
        <v/>
      </c>
      <c r="U1604" s="37" t="str">
        <f aca="false">IF($T1604=1,$S1604,"")</f>
        <v/>
      </c>
    </row>
    <row r="1605" customFormat="false" ht="15" hidden="false" customHeight="false" outlineLevel="0" collapsed="false">
      <c r="M1605" s="35" t="str">
        <f aca="false">IF($A1605="","",HOUR($A1605))</f>
        <v/>
      </c>
      <c r="N1605" s="36" t="str">
        <f aca="false">IF($A1605="","",$I1605*$K1605)</f>
        <v/>
      </c>
      <c r="O1605" s="35" t="str">
        <f aca="false">IF(OR($A1605="",$C1605="U",$S1605&lt;&gt;Calc!$F$2),"",SUMIFS($I$3:$I$3002,$E$3:$E$3002,$E1605,$C$3:$C$3002,"&lt;&gt;U",$S$3:$S$3002,Calc!$F$2))</f>
        <v/>
      </c>
      <c r="P1605" s="35" t="str">
        <f aca="false">IF(OR($A1605="",$C1605="U",$S1605&lt;&gt;Calc!$F$2),"",SUMIFS($N$3:$N$3002,$E$3:$E$3002,$E1605,$C$3:$C$3002,"&lt;&gt;U",$S$3:$S$3002,Calc!$F$2))</f>
        <v/>
      </c>
      <c r="Q1605" s="35" t="str">
        <f aca="false">IF(OR($A1605="",$C1605="U",$S1605&lt;&gt;Calc!$F$2),"",IF(COUNTIFS($E$3:$E1605,$E1605,$C$3:$C1605,"&lt;&gt;U",$S$3:$S1605,Calc!$F$2)=1,1,0))</f>
        <v/>
      </c>
      <c r="R1605" s="35" t="str">
        <f aca="false">IF($Q1605=1,$O1605-ROW()/100000,"")</f>
        <v/>
      </c>
      <c r="S1605" s="37" t="str">
        <f aca="false">IF($A1605="","",INT($A1605))</f>
        <v/>
      </c>
      <c r="T1605" s="35" t="str">
        <f aca="false">IF($A1605="","",IF(COUNTIFS($S$3:$S1605,$S1605)=1,1,0))</f>
        <v/>
      </c>
      <c r="U1605" s="37" t="str">
        <f aca="false">IF($T1605=1,$S1605,"")</f>
        <v/>
      </c>
    </row>
    <row r="1606" customFormat="false" ht="15" hidden="false" customHeight="false" outlineLevel="0" collapsed="false">
      <c r="M1606" s="35" t="str">
        <f aca="false">IF($A1606="","",HOUR($A1606))</f>
        <v/>
      </c>
      <c r="N1606" s="36" t="str">
        <f aca="false">IF($A1606="","",$I1606*$K1606)</f>
        <v/>
      </c>
      <c r="O1606" s="35" t="str">
        <f aca="false">IF(OR($A1606="",$C1606="U",$S1606&lt;&gt;Calc!$F$2),"",SUMIFS($I$3:$I$3002,$E$3:$E$3002,$E1606,$C$3:$C$3002,"&lt;&gt;U",$S$3:$S$3002,Calc!$F$2))</f>
        <v/>
      </c>
      <c r="P1606" s="35" t="str">
        <f aca="false">IF(OR($A1606="",$C1606="U",$S1606&lt;&gt;Calc!$F$2),"",SUMIFS($N$3:$N$3002,$E$3:$E$3002,$E1606,$C$3:$C$3002,"&lt;&gt;U",$S$3:$S$3002,Calc!$F$2))</f>
        <v/>
      </c>
      <c r="Q1606" s="35" t="str">
        <f aca="false">IF(OR($A1606="",$C1606="U",$S1606&lt;&gt;Calc!$F$2),"",IF(COUNTIFS($E$3:$E1606,$E1606,$C$3:$C1606,"&lt;&gt;U",$S$3:$S1606,Calc!$F$2)=1,1,0))</f>
        <v/>
      </c>
      <c r="R1606" s="35" t="str">
        <f aca="false">IF($Q1606=1,$O1606-ROW()/100000,"")</f>
        <v/>
      </c>
      <c r="S1606" s="37" t="str">
        <f aca="false">IF($A1606="","",INT($A1606))</f>
        <v/>
      </c>
      <c r="T1606" s="35" t="str">
        <f aca="false">IF($A1606="","",IF(COUNTIFS($S$3:$S1606,$S1606)=1,1,0))</f>
        <v/>
      </c>
      <c r="U1606" s="37" t="str">
        <f aca="false">IF($T1606=1,$S1606,"")</f>
        <v/>
      </c>
    </row>
    <row r="1607" customFormat="false" ht="15" hidden="false" customHeight="false" outlineLevel="0" collapsed="false">
      <c r="M1607" s="35" t="str">
        <f aca="false">IF($A1607="","",HOUR($A1607))</f>
        <v/>
      </c>
      <c r="N1607" s="36" t="str">
        <f aca="false">IF($A1607="","",$I1607*$K1607)</f>
        <v/>
      </c>
      <c r="O1607" s="35" t="str">
        <f aca="false">IF(OR($A1607="",$C1607="U",$S1607&lt;&gt;Calc!$F$2),"",SUMIFS($I$3:$I$3002,$E$3:$E$3002,$E1607,$C$3:$C$3002,"&lt;&gt;U",$S$3:$S$3002,Calc!$F$2))</f>
        <v/>
      </c>
      <c r="P1607" s="35" t="str">
        <f aca="false">IF(OR($A1607="",$C1607="U",$S1607&lt;&gt;Calc!$F$2),"",SUMIFS($N$3:$N$3002,$E$3:$E$3002,$E1607,$C$3:$C$3002,"&lt;&gt;U",$S$3:$S$3002,Calc!$F$2))</f>
        <v/>
      </c>
      <c r="Q1607" s="35" t="str">
        <f aca="false">IF(OR($A1607="",$C1607="U",$S1607&lt;&gt;Calc!$F$2),"",IF(COUNTIFS($E$3:$E1607,$E1607,$C$3:$C1607,"&lt;&gt;U",$S$3:$S1607,Calc!$F$2)=1,1,0))</f>
        <v/>
      </c>
      <c r="R1607" s="35" t="str">
        <f aca="false">IF($Q1607=1,$O1607-ROW()/100000,"")</f>
        <v/>
      </c>
      <c r="S1607" s="37" t="str">
        <f aca="false">IF($A1607="","",INT($A1607))</f>
        <v/>
      </c>
      <c r="T1607" s="35" t="str">
        <f aca="false">IF($A1607="","",IF(COUNTIFS($S$3:$S1607,$S1607)=1,1,0))</f>
        <v/>
      </c>
      <c r="U1607" s="37" t="str">
        <f aca="false">IF($T1607=1,$S1607,"")</f>
        <v/>
      </c>
    </row>
    <row r="1608" customFormat="false" ht="15" hidden="false" customHeight="false" outlineLevel="0" collapsed="false">
      <c r="M1608" s="35" t="str">
        <f aca="false">IF($A1608="","",HOUR($A1608))</f>
        <v/>
      </c>
      <c r="N1608" s="36" t="str">
        <f aca="false">IF($A1608="","",$I1608*$K1608)</f>
        <v/>
      </c>
      <c r="O1608" s="35" t="str">
        <f aca="false">IF(OR($A1608="",$C1608="U",$S1608&lt;&gt;Calc!$F$2),"",SUMIFS($I$3:$I$3002,$E$3:$E$3002,$E1608,$C$3:$C$3002,"&lt;&gt;U",$S$3:$S$3002,Calc!$F$2))</f>
        <v/>
      </c>
      <c r="P1608" s="35" t="str">
        <f aca="false">IF(OR($A1608="",$C1608="U",$S1608&lt;&gt;Calc!$F$2),"",SUMIFS($N$3:$N$3002,$E$3:$E$3002,$E1608,$C$3:$C$3002,"&lt;&gt;U",$S$3:$S$3002,Calc!$F$2))</f>
        <v/>
      </c>
      <c r="Q1608" s="35" t="str">
        <f aca="false">IF(OR($A1608="",$C1608="U",$S1608&lt;&gt;Calc!$F$2),"",IF(COUNTIFS($E$3:$E1608,$E1608,$C$3:$C1608,"&lt;&gt;U",$S$3:$S1608,Calc!$F$2)=1,1,0))</f>
        <v/>
      </c>
      <c r="R1608" s="35" t="str">
        <f aca="false">IF($Q1608=1,$O1608-ROW()/100000,"")</f>
        <v/>
      </c>
      <c r="S1608" s="37" t="str">
        <f aca="false">IF($A1608="","",INT($A1608))</f>
        <v/>
      </c>
      <c r="T1608" s="35" t="str">
        <f aca="false">IF($A1608="","",IF(COUNTIFS($S$3:$S1608,$S1608)=1,1,0))</f>
        <v/>
      </c>
      <c r="U1608" s="37" t="str">
        <f aca="false">IF($T1608=1,$S1608,"")</f>
        <v/>
      </c>
    </row>
    <row r="1609" customFormat="false" ht="15" hidden="false" customHeight="false" outlineLevel="0" collapsed="false">
      <c r="M1609" s="35" t="str">
        <f aca="false">IF($A1609="","",HOUR($A1609))</f>
        <v/>
      </c>
      <c r="N1609" s="36" t="str">
        <f aca="false">IF($A1609="","",$I1609*$K1609)</f>
        <v/>
      </c>
      <c r="O1609" s="35" t="str">
        <f aca="false">IF(OR($A1609="",$C1609="U",$S1609&lt;&gt;Calc!$F$2),"",SUMIFS($I$3:$I$3002,$E$3:$E$3002,$E1609,$C$3:$C$3002,"&lt;&gt;U",$S$3:$S$3002,Calc!$F$2))</f>
        <v/>
      </c>
      <c r="P1609" s="35" t="str">
        <f aca="false">IF(OR($A1609="",$C1609="U",$S1609&lt;&gt;Calc!$F$2),"",SUMIFS($N$3:$N$3002,$E$3:$E$3002,$E1609,$C$3:$C$3002,"&lt;&gt;U",$S$3:$S$3002,Calc!$F$2))</f>
        <v/>
      </c>
      <c r="Q1609" s="35" t="str">
        <f aca="false">IF(OR($A1609="",$C1609="U",$S1609&lt;&gt;Calc!$F$2),"",IF(COUNTIFS($E$3:$E1609,$E1609,$C$3:$C1609,"&lt;&gt;U",$S$3:$S1609,Calc!$F$2)=1,1,0))</f>
        <v/>
      </c>
      <c r="R1609" s="35" t="str">
        <f aca="false">IF($Q1609=1,$O1609-ROW()/100000,"")</f>
        <v/>
      </c>
      <c r="S1609" s="37" t="str">
        <f aca="false">IF($A1609="","",INT($A1609))</f>
        <v/>
      </c>
      <c r="T1609" s="35" t="str">
        <f aca="false">IF($A1609="","",IF(COUNTIFS($S$3:$S1609,$S1609)=1,1,0))</f>
        <v/>
      </c>
      <c r="U1609" s="37" t="str">
        <f aca="false">IF($T1609=1,$S1609,"")</f>
        <v/>
      </c>
    </row>
    <row r="1610" customFormat="false" ht="15" hidden="false" customHeight="false" outlineLevel="0" collapsed="false">
      <c r="M1610" s="35" t="str">
        <f aca="false">IF($A1610="","",HOUR($A1610))</f>
        <v/>
      </c>
      <c r="N1610" s="36" t="str">
        <f aca="false">IF($A1610="","",$I1610*$K1610)</f>
        <v/>
      </c>
      <c r="O1610" s="35" t="str">
        <f aca="false">IF(OR($A1610="",$C1610="U",$S1610&lt;&gt;Calc!$F$2),"",SUMIFS($I$3:$I$3002,$E$3:$E$3002,$E1610,$C$3:$C$3002,"&lt;&gt;U",$S$3:$S$3002,Calc!$F$2))</f>
        <v/>
      </c>
      <c r="P1610" s="35" t="str">
        <f aca="false">IF(OR($A1610="",$C1610="U",$S1610&lt;&gt;Calc!$F$2),"",SUMIFS($N$3:$N$3002,$E$3:$E$3002,$E1610,$C$3:$C$3002,"&lt;&gt;U",$S$3:$S$3002,Calc!$F$2))</f>
        <v/>
      </c>
      <c r="Q1610" s="35" t="str">
        <f aca="false">IF(OR($A1610="",$C1610="U",$S1610&lt;&gt;Calc!$F$2),"",IF(COUNTIFS($E$3:$E1610,$E1610,$C$3:$C1610,"&lt;&gt;U",$S$3:$S1610,Calc!$F$2)=1,1,0))</f>
        <v/>
      </c>
      <c r="R1610" s="35" t="str">
        <f aca="false">IF($Q1610=1,$O1610-ROW()/100000,"")</f>
        <v/>
      </c>
      <c r="S1610" s="37" t="str">
        <f aca="false">IF($A1610="","",INT($A1610))</f>
        <v/>
      </c>
      <c r="T1610" s="35" t="str">
        <f aca="false">IF($A1610="","",IF(COUNTIFS($S$3:$S1610,$S1610)=1,1,0))</f>
        <v/>
      </c>
      <c r="U1610" s="37" t="str">
        <f aca="false">IF($T1610=1,$S1610,"")</f>
        <v/>
      </c>
    </row>
    <row r="1611" customFormat="false" ht="15" hidden="false" customHeight="false" outlineLevel="0" collapsed="false">
      <c r="M1611" s="35" t="str">
        <f aca="false">IF($A1611="","",HOUR($A1611))</f>
        <v/>
      </c>
      <c r="N1611" s="36" t="str">
        <f aca="false">IF($A1611="","",$I1611*$K1611)</f>
        <v/>
      </c>
      <c r="O1611" s="35" t="str">
        <f aca="false">IF(OR($A1611="",$C1611="U",$S1611&lt;&gt;Calc!$F$2),"",SUMIFS($I$3:$I$3002,$E$3:$E$3002,$E1611,$C$3:$C$3002,"&lt;&gt;U",$S$3:$S$3002,Calc!$F$2))</f>
        <v/>
      </c>
      <c r="P1611" s="35" t="str">
        <f aca="false">IF(OR($A1611="",$C1611="U",$S1611&lt;&gt;Calc!$F$2),"",SUMIFS($N$3:$N$3002,$E$3:$E$3002,$E1611,$C$3:$C$3002,"&lt;&gt;U",$S$3:$S$3002,Calc!$F$2))</f>
        <v/>
      </c>
      <c r="Q1611" s="35" t="str">
        <f aca="false">IF(OR($A1611="",$C1611="U",$S1611&lt;&gt;Calc!$F$2),"",IF(COUNTIFS($E$3:$E1611,$E1611,$C$3:$C1611,"&lt;&gt;U",$S$3:$S1611,Calc!$F$2)=1,1,0))</f>
        <v/>
      </c>
      <c r="R1611" s="35" t="str">
        <f aca="false">IF($Q1611=1,$O1611-ROW()/100000,"")</f>
        <v/>
      </c>
      <c r="S1611" s="37" t="str">
        <f aca="false">IF($A1611="","",INT($A1611))</f>
        <v/>
      </c>
      <c r="T1611" s="35" t="str">
        <f aca="false">IF($A1611="","",IF(COUNTIFS($S$3:$S1611,$S1611)=1,1,0))</f>
        <v/>
      </c>
      <c r="U1611" s="37" t="str">
        <f aca="false">IF($T1611=1,$S1611,"")</f>
        <v/>
      </c>
    </row>
    <row r="1612" customFormat="false" ht="15" hidden="false" customHeight="false" outlineLevel="0" collapsed="false">
      <c r="M1612" s="35" t="str">
        <f aca="false">IF($A1612="","",HOUR($A1612))</f>
        <v/>
      </c>
      <c r="N1612" s="36" t="str">
        <f aca="false">IF($A1612="","",$I1612*$K1612)</f>
        <v/>
      </c>
      <c r="O1612" s="35" t="str">
        <f aca="false">IF(OR($A1612="",$C1612="U",$S1612&lt;&gt;Calc!$F$2),"",SUMIFS($I$3:$I$3002,$E$3:$E$3002,$E1612,$C$3:$C$3002,"&lt;&gt;U",$S$3:$S$3002,Calc!$F$2))</f>
        <v/>
      </c>
      <c r="P1612" s="35" t="str">
        <f aca="false">IF(OR($A1612="",$C1612="U",$S1612&lt;&gt;Calc!$F$2),"",SUMIFS($N$3:$N$3002,$E$3:$E$3002,$E1612,$C$3:$C$3002,"&lt;&gt;U",$S$3:$S$3002,Calc!$F$2))</f>
        <v/>
      </c>
      <c r="Q1612" s="35" t="str">
        <f aca="false">IF(OR($A1612="",$C1612="U",$S1612&lt;&gt;Calc!$F$2),"",IF(COUNTIFS($E$3:$E1612,$E1612,$C$3:$C1612,"&lt;&gt;U",$S$3:$S1612,Calc!$F$2)=1,1,0))</f>
        <v/>
      </c>
      <c r="R1612" s="35" t="str">
        <f aca="false">IF($Q1612=1,$O1612-ROW()/100000,"")</f>
        <v/>
      </c>
      <c r="S1612" s="37" t="str">
        <f aca="false">IF($A1612="","",INT($A1612))</f>
        <v/>
      </c>
      <c r="T1612" s="35" t="str">
        <f aca="false">IF($A1612="","",IF(COUNTIFS($S$3:$S1612,$S1612)=1,1,0))</f>
        <v/>
      </c>
      <c r="U1612" s="37" t="str">
        <f aca="false">IF($T1612=1,$S1612,"")</f>
        <v/>
      </c>
    </row>
    <row r="1613" customFormat="false" ht="15" hidden="false" customHeight="false" outlineLevel="0" collapsed="false">
      <c r="M1613" s="35" t="str">
        <f aca="false">IF($A1613="","",HOUR($A1613))</f>
        <v/>
      </c>
      <c r="N1613" s="36" t="str">
        <f aca="false">IF($A1613="","",$I1613*$K1613)</f>
        <v/>
      </c>
      <c r="O1613" s="35" t="str">
        <f aca="false">IF(OR($A1613="",$C1613="U",$S1613&lt;&gt;Calc!$F$2),"",SUMIFS($I$3:$I$3002,$E$3:$E$3002,$E1613,$C$3:$C$3002,"&lt;&gt;U",$S$3:$S$3002,Calc!$F$2))</f>
        <v/>
      </c>
      <c r="P1613" s="35" t="str">
        <f aca="false">IF(OR($A1613="",$C1613="U",$S1613&lt;&gt;Calc!$F$2),"",SUMIFS($N$3:$N$3002,$E$3:$E$3002,$E1613,$C$3:$C$3002,"&lt;&gt;U",$S$3:$S$3002,Calc!$F$2))</f>
        <v/>
      </c>
      <c r="Q1613" s="35" t="str">
        <f aca="false">IF(OR($A1613="",$C1613="U",$S1613&lt;&gt;Calc!$F$2),"",IF(COUNTIFS($E$3:$E1613,$E1613,$C$3:$C1613,"&lt;&gt;U",$S$3:$S1613,Calc!$F$2)=1,1,0))</f>
        <v/>
      </c>
      <c r="R1613" s="35" t="str">
        <f aca="false">IF($Q1613=1,$O1613-ROW()/100000,"")</f>
        <v/>
      </c>
      <c r="S1613" s="37" t="str">
        <f aca="false">IF($A1613="","",INT($A1613))</f>
        <v/>
      </c>
      <c r="T1613" s="35" t="str">
        <f aca="false">IF($A1613="","",IF(COUNTIFS($S$3:$S1613,$S1613)=1,1,0))</f>
        <v/>
      </c>
      <c r="U1613" s="37" t="str">
        <f aca="false">IF($T1613=1,$S1613,"")</f>
        <v/>
      </c>
    </row>
    <row r="1614" customFormat="false" ht="15" hidden="false" customHeight="false" outlineLevel="0" collapsed="false">
      <c r="M1614" s="35" t="str">
        <f aca="false">IF($A1614="","",HOUR($A1614))</f>
        <v/>
      </c>
      <c r="N1614" s="36" t="str">
        <f aca="false">IF($A1614="","",$I1614*$K1614)</f>
        <v/>
      </c>
      <c r="O1614" s="35" t="str">
        <f aca="false">IF(OR($A1614="",$C1614="U",$S1614&lt;&gt;Calc!$F$2),"",SUMIFS($I$3:$I$3002,$E$3:$E$3002,$E1614,$C$3:$C$3002,"&lt;&gt;U",$S$3:$S$3002,Calc!$F$2))</f>
        <v/>
      </c>
      <c r="P1614" s="35" t="str">
        <f aca="false">IF(OR($A1614="",$C1614="U",$S1614&lt;&gt;Calc!$F$2),"",SUMIFS($N$3:$N$3002,$E$3:$E$3002,$E1614,$C$3:$C$3002,"&lt;&gt;U",$S$3:$S$3002,Calc!$F$2))</f>
        <v/>
      </c>
      <c r="Q1614" s="35" t="str">
        <f aca="false">IF(OR($A1614="",$C1614="U",$S1614&lt;&gt;Calc!$F$2),"",IF(COUNTIFS($E$3:$E1614,$E1614,$C$3:$C1614,"&lt;&gt;U",$S$3:$S1614,Calc!$F$2)=1,1,0))</f>
        <v/>
      </c>
      <c r="R1614" s="35" t="str">
        <f aca="false">IF($Q1614=1,$O1614-ROW()/100000,"")</f>
        <v/>
      </c>
      <c r="S1614" s="37" t="str">
        <f aca="false">IF($A1614="","",INT($A1614))</f>
        <v/>
      </c>
      <c r="T1614" s="35" t="str">
        <f aca="false">IF($A1614="","",IF(COUNTIFS($S$3:$S1614,$S1614)=1,1,0))</f>
        <v/>
      </c>
      <c r="U1614" s="37" t="str">
        <f aca="false">IF($T1614=1,$S1614,"")</f>
        <v/>
      </c>
    </row>
    <row r="1615" customFormat="false" ht="15" hidden="false" customHeight="false" outlineLevel="0" collapsed="false">
      <c r="M1615" s="35" t="str">
        <f aca="false">IF($A1615="","",HOUR($A1615))</f>
        <v/>
      </c>
      <c r="N1615" s="36" t="str">
        <f aca="false">IF($A1615="","",$I1615*$K1615)</f>
        <v/>
      </c>
      <c r="O1615" s="35" t="str">
        <f aca="false">IF(OR($A1615="",$C1615="U",$S1615&lt;&gt;Calc!$F$2),"",SUMIFS($I$3:$I$3002,$E$3:$E$3002,$E1615,$C$3:$C$3002,"&lt;&gt;U",$S$3:$S$3002,Calc!$F$2))</f>
        <v/>
      </c>
      <c r="P1615" s="35" t="str">
        <f aca="false">IF(OR($A1615="",$C1615="U",$S1615&lt;&gt;Calc!$F$2),"",SUMIFS($N$3:$N$3002,$E$3:$E$3002,$E1615,$C$3:$C$3002,"&lt;&gt;U",$S$3:$S$3002,Calc!$F$2))</f>
        <v/>
      </c>
      <c r="Q1615" s="35" t="str">
        <f aca="false">IF(OR($A1615="",$C1615="U",$S1615&lt;&gt;Calc!$F$2),"",IF(COUNTIFS($E$3:$E1615,$E1615,$C$3:$C1615,"&lt;&gt;U",$S$3:$S1615,Calc!$F$2)=1,1,0))</f>
        <v/>
      </c>
      <c r="R1615" s="35" t="str">
        <f aca="false">IF($Q1615=1,$O1615-ROW()/100000,"")</f>
        <v/>
      </c>
      <c r="S1615" s="37" t="str">
        <f aca="false">IF($A1615="","",INT($A1615))</f>
        <v/>
      </c>
      <c r="T1615" s="35" t="str">
        <f aca="false">IF($A1615="","",IF(COUNTIFS($S$3:$S1615,$S1615)=1,1,0))</f>
        <v/>
      </c>
      <c r="U1615" s="37" t="str">
        <f aca="false">IF($T1615=1,$S1615,"")</f>
        <v/>
      </c>
    </row>
    <row r="1616" customFormat="false" ht="15" hidden="false" customHeight="false" outlineLevel="0" collapsed="false">
      <c r="M1616" s="35" t="str">
        <f aca="false">IF($A1616="","",HOUR($A1616))</f>
        <v/>
      </c>
      <c r="N1616" s="36" t="str">
        <f aca="false">IF($A1616="","",$I1616*$K1616)</f>
        <v/>
      </c>
      <c r="O1616" s="35" t="str">
        <f aca="false">IF(OR($A1616="",$C1616="U",$S1616&lt;&gt;Calc!$F$2),"",SUMIFS($I$3:$I$3002,$E$3:$E$3002,$E1616,$C$3:$C$3002,"&lt;&gt;U",$S$3:$S$3002,Calc!$F$2))</f>
        <v/>
      </c>
      <c r="P1616" s="35" t="str">
        <f aca="false">IF(OR($A1616="",$C1616="U",$S1616&lt;&gt;Calc!$F$2),"",SUMIFS($N$3:$N$3002,$E$3:$E$3002,$E1616,$C$3:$C$3002,"&lt;&gt;U",$S$3:$S$3002,Calc!$F$2))</f>
        <v/>
      </c>
      <c r="Q1616" s="35" t="str">
        <f aca="false">IF(OR($A1616="",$C1616="U",$S1616&lt;&gt;Calc!$F$2),"",IF(COUNTIFS($E$3:$E1616,$E1616,$C$3:$C1616,"&lt;&gt;U",$S$3:$S1616,Calc!$F$2)=1,1,0))</f>
        <v/>
      </c>
      <c r="R1616" s="35" t="str">
        <f aca="false">IF($Q1616=1,$O1616-ROW()/100000,"")</f>
        <v/>
      </c>
      <c r="S1616" s="37" t="str">
        <f aca="false">IF($A1616="","",INT($A1616))</f>
        <v/>
      </c>
      <c r="T1616" s="35" t="str">
        <f aca="false">IF($A1616="","",IF(COUNTIFS($S$3:$S1616,$S1616)=1,1,0))</f>
        <v/>
      </c>
      <c r="U1616" s="37" t="str">
        <f aca="false">IF($T1616=1,$S1616,"")</f>
        <v/>
      </c>
    </row>
    <row r="1617" customFormat="false" ht="15" hidden="false" customHeight="false" outlineLevel="0" collapsed="false">
      <c r="M1617" s="35" t="str">
        <f aca="false">IF($A1617="","",HOUR($A1617))</f>
        <v/>
      </c>
      <c r="N1617" s="36" t="str">
        <f aca="false">IF($A1617="","",$I1617*$K1617)</f>
        <v/>
      </c>
      <c r="O1617" s="35" t="str">
        <f aca="false">IF(OR($A1617="",$C1617="U",$S1617&lt;&gt;Calc!$F$2),"",SUMIFS($I$3:$I$3002,$E$3:$E$3002,$E1617,$C$3:$C$3002,"&lt;&gt;U",$S$3:$S$3002,Calc!$F$2))</f>
        <v/>
      </c>
      <c r="P1617" s="35" t="str">
        <f aca="false">IF(OR($A1617="",$C1617="U",$S1617&lt;&gt;Calc!$F$2),"",SUMIFS($N$3:$N$3002,$E$3:$E$3002,$E1617,$C$3:$C$3002,"&lt;&gt;U",$S$3:$S$3002,Calc!$F$2))</f>
        <v/>
      </c>
      <c r="Q1617" s="35" t="str">
        <f aca="false">IF(OR($A1617="",$C1617="U",$S1617&lt;&gt;Calc!$F$2),"",IF(COUNTIFS($E$3:$E1617,$E1617,$C$3:$C1617,"&lt;&gt;U",$S$3:$S1617,Calc!$F$2)=1,1,0))</f>
        <v/>
      </c>
      <c r="R1617" s="35" t="str">
        <f aca="false">IF($Q1617=1,$O1617-ROW()/100000,"")</f>
        <v/>
      </c>
      <c r="S1617" s="37" t="str">
        <f aca="false">IF($A1617="","",INT($A1617))</f>
        <v/>
      </c>
      <c r="T1617" s="35" t="str">
        <f aca="false">IF($A1617="","",IF(COUNTIFS($S$3:$S1617,$S1617)=1,1,0))</f>
        <v/>
      </c>
      <c r="U1617" s="37" t="str">
        <f aca="false">IF($T1617=1,$S1617,"")</f>
        <v/>
      </c>
    </row>
    <row r="1618" customFormat="false" ht="15" hidden="false" customHeight="false" outlineLevel="0" collapsed="false">
      <c r="M1618" s="35" t="str">
        <f aca="false">IF($A1618="","",HOUR($A1618))</f>
        <v/>
      </c>
      <c r="N1618" s="36" t="str">
        <f aca="false">IF($A1618="","",$I1618*$K1618)</f>
        <v/>
      </c>
      <c r="O1618" s="35" t="str">
        <f aca="false">IF(OR($A1618="",$C1618="U",$S1618&lt;&gt;Calc!$F$2),"",SUMIFS($I$3:$I$3002,$E$3:$E$3002,$E1618,$C$3:$C$3002,"&lt;&gt;U",$S$3:$S$3002,Calc!$F$2))</f>
        <v/>
      </c>
      <c r="P1618" s="35" t="str">
        <f aca="false">IF(OR($A1618="",$C1618="U",$S1618&lt;&gt;Calc!$F$2),"",SUMIFS($N$3:$N$3002,$E$3:$E$3002,$E1618,$C$3:$C$3002,"&lt;&gt;U",$S$3:$S$3002,Calc!$F$2))</f>
        <v/>
      </c>
      <c r="Q1618" s="35" t="str">
        <f aca="false">IF(OR($A1618="",$C1618="U",$S1618&lt;&gt;Calc!$F$2),"",IF(COUNTIFS($E$3:$E1618,$E1618,$C$3:$C1618,"&lt;&gt;U",$S$3:$S1618,Calc!$F$2)=1,1,0))</f>
        <v/>
      </c>
      <c r="R1618" s="35" t="str">
        <f aca="false">IF($Q1618=1,$O1618-ROW()/100000,"")</f>
        <v/>
      </c>
      <c r="S1618" s="37" t="str">
        <f aca="false">IF($A1618="","",INT($A1618))</f>
        <v/>
      </c>
      <c r="T1618" s="35" t="str">
        <f aca="false">IF($A1618="","",IF(COUNTIFS($S$3:$S1618,$S1618)=1,1,0))</f>
        <v/>
      </c>
      <c r="U1618" s="37" t="str">
        <f aca="false">IF($T1618=1,$S1618,"")</f>
        <v/>
      </c>
    </row>
    <row r="1619" customFormat="false" ht="15" hidden="false" customHeight="false" outlineLevel="0" collapsed="false">
      <c r="M1619" s="35" t="str">
        <f aca="false">IF($A1619="","",HOUR($A1619))</f>
        <v/>
      </c>
      <c r="N1619" s="36" t="str">
        <f aca="false">IF($A1619="","",$I1619*$K1619)</f>
        <v/>
      </c>
      <c r="O1619" s="35" t="str">
        <f aca="false">IF(OR($A1619="",$C1619="U",$S1619&lt;&gt;Calc!$F$2),"",SUMIFS($I$3:$I$3002,$E$3:$E$3002,$E1619,$C$3:$C$3002,"&lt;&gt;U",$S$3:$S$3002,Calc!$F$2))</f>
        <v/>
      </c>
      <c r="P1619" s="35" t="str">
        <f aca="false">IF(OR($A1619="",$C1619="U",$S1619&lt;&gt;Calc!$F$2),"",SUMIFS($N$3:$N$3002,$E$3:$E$3002,$E1619,$C$3:$C$3002,"&lt;&gt;U",$S$3:$S$3002,Calc!$F$2))</f>
        <v/>
      </c>
      <c r="Q1619" s="35" t="str">
        <f aca="false">IF(OR($A1619="",$C1619="U",$S1619&lt;&gt;Calc!$F$2),"",IF(COUNTIFS($E$3:$E1619,$E1619,$C$3:$C1619,"&lt;&gt;U",$S$3:$S1619,Calc!$F$2)=1,1,0))</f>
        <v/>
      </c>
      <c r="R1619" s="35" t="str">
        <f aca="false">IF($Q1619=1,$O1619-ROW()/100000,"")</f>
        <v/>
      </c>
      <c r="S1619" s="37" t="str">
        <f aca="false">IF($A1619="","",INT($A1619))</f>
        <v/>
      </c>
      <c r="T1619" s="35" t="str">
        <f aca="false">IF($A1619="","",IF(COUNTIFS($S$3:$S1619,$S1619)=1,1,0))</f>
        <v/>
      </c>
      <c r="U1619" s="37" t="str">
        <f aca="false">IF($T1619=1,$S1619,"")</f>
        <v/>
      </c>
    </row>
    <row r="1620" customFormat="false" ht="15" hidden="false" customHeight="false" outlineLevel="0" collapsed="false">
      <c r="M1620" s="35" t="str">
        <f aca="false">IF($A1620="","",HOUR($A1620))</f>
        <v/>
      </c>
      <c r="N1620" s="36" t="str">
        <f aca="false">IF($A1620="","",$I1620*$K1620)</f>
        <v/>
      </c>
      <c r="O1620" s="35" t="str">
        <f aca="false">IF(OR($A1620="",$C1620="U",$S1620&lt;&gt;Calc!$F$2),"",SUMIFS($I$3:$I$3002,$E$3:$E$3002,$E1620,$C$3:$C$3002,"&lt;&gt;U",$S$3:$S$3002,Calc!$F$2))</f>
        <v/>
      </c>
      <c r="P1620" s="35" t="str">
        <f aca="false">IF(OR($A1620="",$C1620="U",$S1620&lt;&gt;Calc!$F$2),"",SUMIFS($N$3:$N$3002,$E$3:$E$3002,$E1620,$C$3:$C$3002,"&lt;&gt;U",$S$3:$S$3002,Calc!$F$2))</f>
        <v/>
      </c>
      <c r="Q1620" s="35" t="str">
        <f aca="false">IF(OR($A1620="",$C1620="U",$S1620&lt;&gt;Calc!$F$2),"",IF(COUNTIFS($E$3:$E1620,$E1620,$C$3:$C1620,"&lt;&gt;U",$S$3:$S1620,Calc!$F$2)=1,1,0))</f>
        <v/>
      </c>
      <c r="R1620" s="35" t="str">
        <f aca="false">IF($Q1620=1,$O1620-ROW()/100000,"")</f>
        <v/>
      </c>
      <c r="S1620" s="37" t="str">
        <f aca="false">IF($A1620="","",INT($A1620))</f>
        <v/>
      </c>
      <c r="T1620" s="35" t="str">
        <f aca="false">IF($A1620="","",IF(COUNTIFS($S$3:$S1620,$S1620)=1,1,0))</f>
        <v/>
      </c>
      <c r="U1620" s="37" t="str">
        <f aca="false">IF($T1620=1,$S1620,"")</f>
        <v/>
      </c>
    </row>
    <row r="1621" customFormat="false" ht="15" hidden="false" customHeight="false" outlineLevel="0" collapsed="false">
      <c r="M1621" s="35" t="str">
        <f aca="false">IF($A1621="","",HOUR($A1621))</f>
        <v/>
      </c>
      <c r="N1621" s="36" t="str">
        <f aca="false">IF($A1621="","",$I1621*$K1621)</f>
        <v/>
      </c>
      <c r="O1621" s="35" t="str">
        <f aca="false">IF(OR($A1621="",$C1621="U",$S1621&lt;&gt;Calc!$F$2),"",SUMIFS($I$3:$I$3002,$E$3:$E$3002,$E1621,$C$3:$C$3002,"&lt;&gt;U",$S$3:$S$3002,Calc!$F$2))</f>
        <v/>
      </c>
      <c r="P1621" s="35" t="str">
        <f aca="false">IF(OR($A1621="",$C1621="U",$S1621&lt;&gt;Calc!$F$2),"",SUMIFS($N$3:$N$3002,$E$3:$E$3002,$E1621,$C$3:$C$3002,"&lt;&gt;U",$S$3:$S$3002,Calc!$F$2))</f>
        <v/>
      </c>
      <c r="Q1621" s="35" t="str">
        <f aca="false">IF(OR($A1621="",$C1621="U",$S1621&lt;&gt;Calc!$F$2),"",IF(COUNTIFS($E$3:$E1621,$E1621,$C$3:$C1621,"&lt;&gt;U",$S$3:$S1621,Calc!$F$2)=1,1,0))</f>
        <v/>
      </c>
      <c r="R1621" s="35" t="str">
        <f aca="false">IF($Q1621=1,$O1621-ROW()/100000,"")</f>
        <v/>
      </c>
      <c r="S1621" s="37" t="str">
        <f aca="false">IF($A1621="","",INT($A1621))</f>
        <v/>
      </c>
      <c r="T1621" s="35" t="str">
        <f aca="false">IF($A1621="","",IF(COUNTIFS($S$3:$S1621,$S1621)=1,1,0))</f>
        <v/>
      </c>
      <c r="U1621" s="37" t="str">
        <f aca="false">IF($T1621=1,$S1621,"")</f>
        <v/>
      </c>
    </row>
    <row r="1622" customFormat="false" ht="15" hidden="false" customHeight="false" outlineLevel="0" collapsed="false">
      <c r="M1622" s="35" t="str">
        <f aca="false">IF($A1622="","",HOUR($A1622))</f>
        <v/>
      </c>
      <c r="N1622" s="36" t="str">
        <f aca="false">IF($A1622="","",$I1622*$K1622)</f>
        <v/>
      </c>
      <c r="O1622" s="35" t="str">
        <f aca="false">IF(OR($A1622="",$C1622="U",$S1622&lt;&gt;Calc!$F$2),"",SUMIFS($I$3:$I$3002,$E$3:$E$3002,$E1622,$C$3:$C$3002,"&lt;&gt;U",$S$3:$S$3002,Calc!$F$2))</f>
        <v/>
      </c>
      <c r="P1622" s="35" t="str">
        <f aca="false">IF(OR($A1622="",$C1622="U",$S1622&lt;&gt;Calc!$F$2),"",SUMIFS($N$3:$N$3002,$E$3:$E$3002,$E1622,$C$3:$C$3002,"&lt;&gt;U",$S$3:$S$3002,Calc!$F$2))</f>
        <v/>
      </c>
      <c r="Q1622" s="35" t="str">
        <f aca="false">IF(OR($A1622="",$C1622="U",$S1622&lt;&gt;Calc!$F$2),"",IF(COUNTIFS($E$3:$E1622,$E1622,$C$3:$C1622,"&lt;&gt;U",$S$3:$S1622,Calc!$F$2)=1,1,0))</f>
        <v/>
      </c>
      <c r="R1622" s="35" t="str">
        <f aca="false">IF($Q1622=1,$O1622-ROW()/100000,"")</f>
        <v/>
      </c>
      <c r="S1622" s="37" t="str">
        <f aca="false">IF($A1622="","",INT($A1622))</f>
        <v/>
      </c>
      <c r="T1622" s="35" t="str">
        <f aca="false">IF($A1622="","",IF(COUNTIFS($S$3:$S1622,$S1622)=1,1,0))</f>
        <v/>
      </c>
      <c r="U1622" s="37" t="str">
        <f aca="false">IF($T1622=1,$S1622,"")</f>
        <v/>
      </c>
    </row>
    <row r="1623" customFormat="false" ht="15" hidden="false" customHeight="false" outlineLevel="0" collapsed="false">
      <c r="M1623" s="35" t="str">
        <f aca="false">IF($A1623="","",HOUR($A1623))</f>
        <v/>
      </c>
      <c r="N1623" s="36" t="str">
        <f aca="false">IF($A1623="","",$I1623*$K1623)</f>
        <v/>
      </c>
      <c r="O1623" s="35" t="str">
        <f aca="false">IF(OR($A1623="",$C1623="U",$S1623&lt;&gt;Calc!$F$2),"",SUMIFS($I$3:$I$3002,$E$3:$E$3002,$E1623,$C$3:$C$3002,"&lt;&gt;U",$S$3:$S$3002,Calc!$F$2))</f>
        <v/>
      </c>
      <c r="P1623" s="35" t="str">
        <f aca="false">IF(OR($A1623="",$C1623="U",$S1623&lt;&gt;Calc!$F$2),"",SUMIFS($N$3:$N$3002,$E$3:$E$3002,$E1623,$C$3:$C$3002,"&lt;&gt;U",$S$3:$S$3002,Calc!$F$2))</f>
        <v/>
      </c>
      <c r="Q1623" s="35" t="str">
        <f aca="false">IF(OR($A1623="",$C1623="U",$S1623&lt;&gt;Calc!$F$2),"",IF(COUNTIFS($E$3:$E1623,$E1623,$C$3:$C1623,"&lt;&gt;U",$S$3:$S1623,Calc!$F$2)=1,1,0))</f>
        <v/>
      </c>
      <c r="R1623" s="35" t="str">
        <f aca="false">IF($Q1623=1,$O1623-ROW()/100000,"")</f>
        <v/>
      </c>
      <c r="S1623" s="37" t="str">
        <f aca="false">IF($A1623="","",INT($A1623))</f>
        <v/>
      </c>
      <c r="T1623" s="35" t="str">
        <f aca="false">IF($A1623="","",IF(COUNTIFS($S$3:$S1623,$S1623)=1,1,0))</f>
        <v/>
      </c>
      <c r="U1623" s="37" t="str">
        <f aca="false">IF($T1623=1,$S1623,"")</f>
        <v/>
      </c>
    </row>
    <row r="1624" customFormat="false" ht="15" hidden="false" customHeight="false" outlineLevel="0" collapsed="false">
      <c r="M1624" s="35" t="str">
        <f aca="false">IF($A1624="","",HOUR($A1624))</f>
        <v/>
      </c>
      <c r="N1624" s="36" t="str">
        <f aca="false">IF($A1624="","",$I1624*$K1624)</f>
        <v/>
      </c>
      <c r="O1624" s="35" t="str">
        <f aca="false">IF(OR($A1624="",$C1624="U",$S1624&lt;&gt;Calc!$F$2),"",SUMIFS($I$3:$I$3002,$E$3:$E$3002,$E1624,$C$3:$C$3002,"&lt;&gt;U",$S$3:$S$3002,Calc!$F$2))</f>
        <v/>
      </c>
      <c r="P1624" s="35" t="str">
        <f aca="false">IF(OR($A1624="",$C1624="U",$S1624&lt;&gt;Calc!$F$2),"",SUMIFS($N$3:$N$3002,$E$3:$E$3002,$E1624,$C$3:$C$3002,"&lt;&gt;U",$S$3:$S$3002,Calc!$F$2))</f>
        <v/>
      </c>
      <c r="Q1624" s="35" t="str">
        <f aca="false">IF(OR($A1624="",$C1624="U",$S1624&lt;&gt;Calc!$F$2),"",IF(COUNTIFS($E$3:$E1624,$E1624,$C$3:$C1624,"&lt;&gt;U",$S$3:$S1624,Calc!$F$2)=1,1,0))</f>
        <v/>
      </c>
      <c r="R1624" s="35" t="str">
        <f aca="false">IF($Q1624=1,$O1624-ROW()/100000,"")</f>
        <v/>
      </c>
      <c r="S1624" s="37" t="str">
        <f aca="false">IF($A1624="","",INT($A1624))</f>
        <v/>
      </c>
      <c r="T1624" s="35" t="str">
        <f aca="false">IF($A1624="","",IF(COUNTIFS($S$3:$S1624,$S1624)=1,1,0))</f>
        <v/>
      </c>
      <c r="U1624" s="37" t="str">
        <f aca="false">IF($T1624=1,$S1624,"")</f>
        <v/>
      </c>
    </row>
    <row r="1625" customFormat="false" ht="15" hidden="false" customHeight="false" outlineLevel="0" collapsed="false">
      <c r="M1625" s="35" t="str">
        <f aca="false">IF($A1625="","",HOUR($A1625))</f>
        <v/>
      </c>
      <c r="N1625" s="36" t="str">
        <f aca="false">IF($A1625="","",$I1625*$K1625)</f>
        <v/>
      </c>
      <c r="O1625" s="35" t="str">
        <f aca="false">IF(OR($A1625="",$C1625="U",$S1625&lt;&gt;Calc!$F$2),"",SUMIFS($I$3:$I$3002,$E$3:$E$3002,$E1625,$C$3:$C$3002,"&lt;&gt;U",$S$3:$S$3002,Calc!$F$2))</f>
        <v/>
      </c>
      <c r="P1625" s="35" t="str">
        <f aca="false">IF(OR($A1625="",$C1625="U",$S1625&lt;&gt;Calc!$F$2),"",SUMIFS($N$3:$N$3002,$E$3:$E$3002,$E1625,$C$3:$C$3002,"&lt;&gt;U",$S$3:$S$3002,Calc!$F$2))</f>
        <v/>
      </c>
      <c r="Q1625" s="35" t="str">
        <f aca="false">IF(OR($A1625="",$C1625="U",$S1625&lt;&gt;Calc!$F$2),"",IF(COUNTIFS($E$3:$E1625,$E1625,$C$3:$C1625,"&lt;&gt;U",$S$3:$S1625,Calc!$F$2)=1,1,0))</f>
        <v/>
      </c>
      <c r="R1625" s="35" t="str">
        <f aca="false">IF($Q1625=1,$O1625-ROW()/100000,"")</f>
        <v/>
      </c>
      <c r="S1625" s="37" t="str">
        <f aca="false">IF($A1625="","",INT($A1625))</f>
        <v/>
      </c>
      <c r="T1625" s="35" t="str">
        <f aca="false">IF($A1625="","",IF(COUNTIFS($S$3:$S1625,$S1625)=1,1,0))</f>
        <v/>
      </c>
      <c r="U1625" s="37" t="str">
        <f aca="false">IF($T1625=1,$S1625,"")</f>
        <v/>
      </c>
    </row>
    <row r="1626" customFormat="false" ht="15" hidden="false" customHeight="false" outlineLevel="0" collapsed="false">
      <c r="M1626" s="35" t="str">
        <f aca="false">IF($A1626="","",HOUR($A1626))</f>
        <v/>
      </c>
      <c r="N1626" s="36" t="str">
        <f aca="false">IF($A1626="","",$I1626*$K1626)</f>
        <v/>
      </c>
      <c r="O1626" s="35" t="str">
        <f aca="false">IF(OR($A1626="",$C1626="U",$S1626&lt;&gt;Calc!$F$2),"",SUMIFS($I$3:$I$3002,$E$3:$E$3002,$E1626,$C$3:$C$3002,"&lt;&gt;U",$S$3:$S$3002,Calc!$F$2))</f>
        <v/>
      </c>
      <c r="P1626" s="35" t="str">
        <f aca="false">IF(OR($A1626="",$C1626="U",$S1626&lt;&gt;Calc!$F$2),"",SUMIFS($N$3:$N$3002,$E$3:$E$3002,$E1626,$C$3:$C$3002,"&lt;&gt;U",$S$3:$S$3002,Calc!$F$2))</f>
        <v/>
      </c>
      <c r="Q1626" s="35" t="str">
        <f aca="false">IF(OR($A1626="",$C1626="U",$S1626&lt;&gt;Calc!$F$2),"",IF(COUNTIFS($E$3:$E1626,$E1626,$C$3:$C1626,"&lt;&gt;U",$S$3:$S1626,Calc!$F$2)=1,1,0))</f>
        <v/>
      </c>
      <c r="R1626" s="35" t="str">
        <f aca="false">IF($Q1626=1,$O1626-ROW()/100000,"")</f>
        <v/>
      </c>
      <c r="S1626" s="37" t="str">
        <f aca="false">IF($A1626="","",INT($A1626))</f>
        <v/>
      </c>
      <c r="T1626" s="35" t="str">
        <f aca="false">IF($A1626="","",IF(COUNTIFS($S$3:$S1626,$S1626)=1,1,0))</f>
        <v/>
      </c>
      <c r="U1626" s="37" t="str">
        <f aca="false">IF($T1626=1,$S1626,"")</f>
        <v/>
      </c>
    </row>
    <row r="1627" customFormat="false" ht="15" hidden="false" customHeight="false" outlineLevel="0" collapsed="false">
      <c r="M1627" s="35" t="str">
        <f aca="false">IF($A1627="","",HOUR($A1627))</f>
        <v/>
      </c>
      <c r="N1627" s="36" t="str">
        <f aca="false">IF($A1627="","",$I1627*$K1627)</f>
        <v/>
      </c>
      <c r="O1627" s="35" t="str">
        <f aca="false">IF(OR($A1627="",$C1627="U",$S1627&lt;&gt;Calc!$F$2),"",SUMIFS($I$3:$I$3002,$E$3:$E$3002,$E1627,$C$3:$C$3002,"&lt;&gt;U",$S$3:$S$3002,Calc!$F$2))</f>
        <v/>
      </c>
      <c r="P1627" s="35" t="str">
        <f aca="false">IF(OR($A1627="",$C1627="U",$S1627&lt;&gt;Calc!$F$2),"",SUMIFS($N$3:$N$3002,$E$3:$E$3002,$E1627,$C$3:$C$3002,"&lt;&gt;U",$S$3:$S$3002,Calc!$F$2))</f>
        <v/>
      </c>
      <c r="Q1627" s="35" t="str">
        <f aca="false">IF(OR($A1627="",$C1627="U",$S1627&lt;&gt;Calc!$F$2),"",IF(COUNTIFS($E$3:$E1627,$E1627,$C$3:$C1627,"&lt;&gt;U",$S$3:$S1627,Calc!$F$2)=1,1,0))</f>
        <v/>
      </c>
      <c r="R1627" s="35" t="str">
        <f aca="false">IF($Q1627=1,$O1627-ROW()/100000,"")</f>
        <v/>
      </c>
      <c r="S1627" s="37" t="str">
        <f aca="false">IF($A1627="","",INT($A1627))</f>
        <v/>
      </c>
      <c r="T1627" s="35" t="str">
        <f aca="false">IF($A1627="","",IF(COUNTIFS($S$3:$S1627,$S1627)=1,1,0))</f>
        <v/>
      </c>
      <c r="U1627" s="37" t="str">
        <f aca="false">IF($T1627=1,$S1627,"")</f>
        <v/>
      </c>
    </row>
    <row r="1628" customFormat="false" ht="15" hidden="false" customHeight="false" outlineLevel="0" collapsed="false">
      <c r="M1628" s="35" t="str">
        <f aca="false">IF($A1628="","",HOUR($A1628))</f>
        <v/>
      </c>
      <c r="N1628" s="36" t="str">
        <f aca="false">IF($A1628="","",$I1628*$K1628)</f>
        <v/>
      </c>
      <c r="O1628" s="35" t="str">
        <f aca="false">IF(OR($A1628="",$C1628="U",$S1628&lt;&gt;Calc!$F$2),"",SUMIFS($I$3:$I$3002,$E$3:$E$3002,$E1628,$C$3:$C$3002,"&lt;&gt;U",$S$3:$S$3002,Calc!$F$2))</f>
        <v/>
      </c>
      <c r="P1628" s="35" t="str">
        <f aca="false">IF(OR($A1628="",$C1628="U",$S1628&lt;&gt;Calc!$F$2),"",SUMIFS($N$3:$N$3002,$E$3:$E$3002,$E1628,$C$3:$C$3002,"&lt;&gt;U",$S$3:$S$3002,Calc!$F$2))</f>
        <v/>
      </c>
      <c r="Q1628" s="35" t="str">
        <f aca="false">IF(OR($A1628="",$C1628="U",$S1628&lt;&gt;Calc!$F$2),"",IF(COUNTIFS($E$3:$E1628,$E1628,$C$3:$C1628,"&lt;&gt;U",$S$3:$S1628,Calc!$F$2)=1,1,0))</f>
        <v/>
      </c>
      <c r="R1628" s="35" t="str">
        <f aca="false">IF($Q1628=1,$O1628-ROW()/100000,"")</f>
        <v/>
      </c>
      <c r="S1628" s="37" t="str">
        <f aca="false">IF($A1628="","",INT($A1628))</f>
        <v/>
      </c>
      <c r="T1628" s="35" t="str">
        <f aca="false">IF($A1628="","",IF(COUNTIFS($S$3:$S1628,$S1628)=1,1,0))</f>
        <v/>
      </c>
      <c r="U1628" s="37" t="str">
        <f aca="false">IF($T1628=1,$S1628,"")</f>
        <v/>
      </c>
    </row>
    <row r="1629" customFormat="false" ht="15" hidden="false" customHeight="false" outlineLevel="0" collapsed="false">
      <c r="M1629" s="35" t="str">
        <f aca="false">IF($A1629="","",HOUR($A1629))</f>
        <v/>
      </c>
      <c r="N1629" s="36" t="str">
        <f aca="false">IF($A1629="","",$I1629*$K1629)</f>
        <v/>
      </c>
      <c r="O1629" s="35" t="str">
        <f aca="false">IF(OR($A1629="",$C1629="U",$S1629&lt;&gt;Calc!$F$2),"",SUMIFS($I$3:$I$3002,$E$3:$E$3002,$E1629,$C$3:$C$3002,"&lt;&gt;U",$S$3:$S$3002,Calc!$F$2))</f>
        <v/>
      </c>
      <c r="P1629" s="35" t="str">
        <f aca="false">IF(OR($A1629="",$C1629="U",$S1629&lt;&gt;Calc!$F$2),"",SUMIFS($N$3:$N$3002,$E$3:$E$3002,$E1629,$C$3:$C$3002,"&lt;&gt;U",$S$3:$S$3002,Calc!$F$2))</f>
        <v/>
      </c>
      <c r="Q1629" s="35" t="str">
        <f aca="false">IF(OR($A1629="",$C1629="U",$S1629&lt;&gt;Calc!$F$2),"",IF(COUNTIFS($E$3:$E1629,$E1629,$C$3:$C1629,"&lt;&gt;U",$S$3:$S1629,Calc!$F$2)=1,1,0))</f>
        <v/>
      </c>
      <c r="R1629" s="35" t="str">
        <f aca="false">IF($Q1629=1,$O1629-ROW()/100000,"")</f>
        <v/>
      </c>
      <c r="S1629" s="37" t="str">
        <f aca="false">IF($A1629="","",INT($A1629))</f>
        <v/>
      </c>
      <c r="T1629" s="35" t="str">
        <f aca="false">IF($A1629="","",IF(COUNTIFS($S$3:$S1629,$S1629)=1,1,0))</f>
        <v/>
      </c>
      <c r="U1629" s="37" t="str">
        <f aca="false">IF($T1629=1,$S1629,"")</f>
        <v/>
      </c>
    </row>
    <row r="1630" customFormat="false" ht="15" hidden="false" customHeight="false" outlineLevel="0" collapsed="false">
      <c r="M1630" s="35" t="str">
        <f aca="false">IF($A1630="","",HOUR($A1630))</f>
        <v/>
      </c>
      <c r="N1630" s="36" t="str">
        <f aca="false">IF($A1630="","",$I1630*$K1630)</f>
        <v/>
      </c>
      <c r="O1630" s="35" t="str">
        <f aca="false">IF(OR($A1630="",$C1630="U",$S1630&lt;&gt;Calc!$F$2),"",SUMIFS($I$3:$I$3002,$E$3:$E$3002,$E1630,$C$3:$C$3002,"&lt;&gt;U",$S$3:$S$3002,Calc!$F$2))</f>
        <v/>
      </c>
      <c r="P1630" s="35" t="str">
        <f aca="false">IF(OR($A1630="",$C1630="U",$S1630&lt;&gt;Calc!$F$2),"",SUMIFS($N$3:$N$3002,$E$3:$E$3002,$E1630,$C$3:$C$3002,"&lt;&gt;U",$S$3:$S$3002,Calc!$F$2))</f>
        <v/>
      </c>
      <c r="Q1630" s="35" t="str">
        <f aca="false">IF(OR($A1630="",$C1630="U",$S1630&lt;&gt;Calc!$F$2),"",IF(COUNTIFS($E$3:$E1630,$E1630,$C$3:$C1630,"&lt;&gt;U",$S$3:$S1630,Calc!$F$2)=1,1,0))</f>
        <v/>
      </c>
      <c r="R1630" s="35" t="str">
        <f aca="false">IF($Q1630=1,$O1630-ROW()/100000,"")</f>
        <v/>
      </c>
      <c r="S1630" s="37" t="str">
        <f aca="false">IF($A1630="","",INT($A1630))</f>
        <v/>
      </c>
      <c r="T1630" s="35" t="str">
        <f aca="false">IF($A1630="","",IF(COUNTIFS($S$3:$S1630,$S1630)=1,1,0))</f>
        <v/>
      </c>
      <c r="U1630" s="37" t="str">
        <f aca="false">IF($T1630=1,$S1630,"")</f>
        <v/>
      </c>
    </row>
    <row r="1631" customFormat="false" ht="15" hidden="false" customHeight="false" outlineLevel="0" collapsed="false">
      <c r="M1631" s="35" t="str">
        <f aca="false">IF($A1631="","",HOUR($A1631))</f>
        <v/>
      </c>
      <c r="N1631" s="36" t="str">
        <f aca="false">IF($A1631="","",$I1631*$K1631)</f>
        <v/>
      </c>
      <c r="O1631" s="35" t="str">
        <f aca="false">IF(OR($A1631="",$C1631="U",$S1631&lt;&gt;Calc!$F$2),"",SUMIFS($I$3:$I$3002,$E$3:$E$3002,$E1631,$C$3:$C$3002,"&lt;&gt;U",$S$3:$S$3002,Calc!$F$2))</f>
        <v/>
      </c>
      <c r="P1631" s="35" t="str">
        <f aca="false">IF(OR($A1631="",$C1631="U",$S1631&lt;&gt;Calc!$F$2),"",SUMIFS($N$3:$N$3002,$E$3:$E$3002,$E1631,$C$3:$C$3002,"&lt;&gt;U",$S$3:$S$3002,Calc!$F$2))</f>
        <v/>
      </c>
      <c r="Q1631" s="35" t="str">
        <f aca="false">IF(OR($A1631="",$C1631="U",$S1631&lt;&gt;Calc!$F$2),"",IF(COUNTIFS($E$3:$E1631,$E1631,$C$3:$C1631,"&lt;&gt;U",$S$3:$S1631,Calc!$F$2)=1,1,0))</f>
        <v/>
      </c>
      <c r="R1631" s="35" t="str">
        <f aca="false">IF($Q1631=1,$O1631-ROW()/100000,"")</f>
        <v/>
      </c>
      <c r="S1631" s="37" t="str">
        <f aca="false">IF($A1631="","",INT($A1631))</f>
        <v/>
      </c>
      <c r="T1631" s="35" t="str">
        <f aca="false">IF($A1631="","",IF(COUNTIFS($S$3:$S1631,$S1631)=1,1,0))</f>
        <v/>
      </c>
      <c r="U1631" s="37" t="str">
        <f aca="false">IF($T1631=1,$S1631,"")</f>
        <v/>
      </c>
    </row>
    <row r="1632" customFormat="false" ht="15" hidden="false" customHeight="false" outlineLevel="0" collapsed="false">
      <c r="M1632" s="35" t="str">
        <f aca="false">IF($A1632="","",HOUR($A1632))</f>
        <v/>
      </c>
      <c r="N1632" s="36" t="str">
        <f aca="false">IF($A1632="","",$I1632*$K1632)</f>
        <v/>
      </c>
      <c r="O1632" s="35" t="str">
        <f aca="false">IF(OR($A1632="",$C1632="U",$S1632&lt;&gt;Calc!$F$2),"",SUMIFS($I$3:$I$3002,$E$3:$E$3002,$E1632,$C$3:$C$3002,"&lt;&gt;U",$S$3:$S$3002,Calc!$F$2))</f>
        <v/>
      </c>
      <c r="P1632" s="35" t="str">
        <f aca="false">IF(OR($A1632="",$C1632="U",$S1632&lt;&gt;Calc!$F$2),"",SUMIFS($N$3:$N$3002,$E$3:$E$3002,$E1632,$C$3:$C$3002,"&lt;&gt;U",$S$3:$S$3002,Calc!$F$2))</f>
        <v/>
      </c>
      <c r="Q1632" s="35" t="str">
        <f aca="false">IF(OR($A1632="",$C1632="U",$S1632&lt;&gt;Calc!$F$2),"",IF(COUNTIFS($E$3:$E1632,$E1632,$C$3:$C1632,"&lt;&gt;U",$S$3:$S1632,Calc!$F$2)=1,1,0))</f>
        <v/>
      </c>
      <c r="R1632" s="35" t="str">
        <f aca="false">IF($Q1632=1,$O1632-ROW()/100000,"")</f>
        <v/>
      </c>
      <c r="S1632" s="37" t="str">
        <f aca="false">IF($A1632="","",INT($A1632))</f>
        <v/>
      </c>
      <c r="T1632" s="35" t="str">
        <f aca="false">IF($A1632="","",IF(COUNTIFS($S$3:$S1632,$S1632)=1,1,0))</f>
        <v/>
      </c>
      <c r="U1632" s="37" t="str">
        <f aca="false">IF($T1632=1,$S1632,"")</f>
        <v/>
      </c>
    </row>
    <row r="1633" customFormat="false" ht="15" hidden="false" customHeight="false" outlineLevel="0" collapsed="false">
      <c r="M1633" s="35" t="str">
        <f aca="false">IF($A1633="","",HOUR($A1633))</f>
        <v/>
      </c>
      <c r="N1633" s="36" t="str">
        <f aca="false">IF($A1633="","",$I1633*$K1633)</f>
        <v/>
      </c>
      <c r="O1633" s="35" t="str">
        <f aca="false">IF(OR($A1633="",$C1633="U",$S1633&lt;&gt;Calc!$F$2),"",SUMIFS($I$3:$I$3002,$E$3:$E$3002,$E1633,$C$3:$C$3002,"&lt;&gt;U",$S$3:$S$3002,Calc!$F$2))</f>
        <v/>
      </c>
      <c r="P1633" s="35" t="str">
        <f aca="false">IF(OR($A1633="",$C1633="U",$S1633&lt;&gt;Calc!$F$2),"",SUMIFS($N$3:$N$3002,$E$3:$E$3002,$E1633,$C$3:$C$3002,"&lt;&gt;U",$S$3:$S$3002,Calc!$F$2))</f>
        <v/>
      </c>
      <c r="Q1633" s="35" t="str">
        <f aca="false">IF(OR($A1633="",$C1633="U",$S1633&lt;&gt;Calc!$F$2),"",IF(COUNTIFS($E$3:$E1633,$E1633,$C$3:$C1633,"&lt;&gt;U",$S$3:$S1633,Calc!$F$2)=1,1,0))</f>
        <v/>
      </c>
      <c r="R1633" s="35" t="str">
        <f aca="false">IF($Q1633=1,$O1633-ROW()/100000,"")</f>
        <v/>
      </c>
      <c r="S1633" s="37" t="str">
        <f aca="false">IF($A1633="","",INT($A1633))</f>
        <v/>
      </c>
      <c r="T1633" s="35" t="str">
        <f aca="false">IF($A1633="","",IF(COUNTIFS($S$3:$S1633,$S1633)=1,1,0))</f>
        <v/>
      </c>
      <c r="U1633" s="37" t="str">
        <f aca="false">IF($T1633=1,$S1633,"")</f>
        <v/>
      </c>
    </row>
    <row r="1634" customFormat="false" ht="15" hidden="false" customHeight="false" outlineLevel="0" collapsed="false">
      <c r="M1634" s="35" t="str">
        <f aca="false">IF($A1634="","",HOUR($A1634))</f>
        <v/>
      </c>
      <c r="N1634" s="36" t="str">
        <f aca="false">IF($A1634="","",$I1634*$K1634)</f>
        <v/>
      </c>
      <c r="O1634" s="35" t="str">
        <f aca="false">IF(OR($A1634="",$C1634="U",$S1634&lt;&gt;Calc!$F$2),"",SUMIFS($I$3:$I$3002,$E$3:$E$3002,$E1634,$C$3:$C$3002,"&lt;&gt;U",$S$3:$S$3002,Calc!$F$2))</f>
        <v/>
      </c>
      <c r="P1634" s="35" t="str">
        <f aca="false">IF(OR($A1634="",$C1634="U",$S1634&lt;&gt;Calc!$F$2),"",SUMIFS($N$3:$N$3002,$E$3:$E$3002,$E1634,$C$3:$C$3002,"&lt;&gt;U",$S$3:$S$3002,Calc!$F$2))</f>
        <v/>
      </c>
      <c r="Q1634" s="35" t="str">
        <f aca="false">IF(OR($A1634="",$C1634="U",$S1634&lt;&gt;Calc!$F$2),"",IF(COUNTIFS($E$3:$E1634,$E1634,$C$3:$C1634,"&lt;&gt;U",$S$3:$S1634,Calc!$F$2)=1,1,0))</f>
        <v/>
      </c>
      <c r="R1634" s="35" t="str">
        <f aca="false">IF($Q1634=1,$O1634-ROW()/100000,"")</f>
        <v/>
      </c>
      <c r="S1634" s="37" t="str">
        <f aca="false">IF($A1634="","",INT($A1634))</f>
        <v/>
      </c>
      <c r="T1634" s="35" t="str">
        <f aca="false">IF($A1634="","",IF(COUNTIFS($S$3:$S1634,$S1634)=1,1,0))</f>
        <v/>
      </c>
      <c r="U1634" s="37" t="str">
        <f aca="false">IF($T1634=1,$S1634,"")</f>
        <v/>
      </c>
    </row>
    <row r="1635" customFormat="false" ht="15" hidden="false" customHeight="false" outlineLevel="0" collapsed="false">
      <c r="M1635" s="35" t="str">
        <f aca="false">IF($A1635="","",HOUR($A1635))</f>
        <v/>
      </c>
      <c r="N1635" s="36" t="str">
        <f aca="false">IF($A1635="","",$I1635*$K1635)</f>
        <v/>
      </c>
      <c r="O1635" s="35" t="str">
        <f aca="false">IF(OR($A1635="",$C1635="U",$S1635&lt;&gt;Calc!$F$2),"",SUMIFS($I$3:$I$3002,$E$3:$E$3002,$E1635,$C$3:$C$3002,"&lt;&gt;U",$S$3:$S$3002,Calc!$F$2))</f>
        <v/>
      </c>
      <c r="P1635" s="35" t="str">
        <f aca="false">IF(OR($A1635="",$C1635="U",$S1635&lt;&gt;Calc!$F$2),"",SUMIFS($N$3:$N$3002,$E$3:$E$3002,$E1635,$C$3:$C$3002,"&lt;&gt;U",$S$3:$S$3002,Calc!$F$2))</f>
        <v/>
      </c>
      <c r="Q1635" s="35" t="str">
        <f aca="false">IF(OR($A1635="",$C1635="U",$S1635&lt;&gt;Calc!$F$2),"",IF(COUNTIFS($E$3:$E1635,$E1635,$C$3:$C1635,"&lt;&gt;U",$S$3:$S1635,Calc!$F$2)=1,1,0))</f>
        <v/>
      </c>
      <c r="R1635" s="35" t="str">
        <f aca="false">IF($Q1635=1,$O1635-ROW()/100000,"")</f>
        <v/>
      </c>
      <c r="S1635" s="37" t="str">
        <f aca="false">IF($A1635="","",INT($A1635))</f>
        <v/>
      </c>
      <c r="T1635" s="35" t="str">
        <f aca="false">IF($A1635="","",IF(COUNTIFS($S$3:$S1635,$S1635)=1,1,0))</f>
        <v/>
      </c>
      <c r="U1635" s="37" t="str">
        <f aca="false">IF($T1635=1,$S1635,"")</f>
        <v/>
      </c>
    </row>
    <row r="1636" customFormat="false" ht="15" hidden="false" customHeight="false" outlineLevel="0" collapsed="false">
      <c r="M1636" s="35" t="str">
        <f aca="false">IF($A1636="","",HOUR($A1636))</f>
        <v/>
      </c>
      <c r="N1636" s="36" t="str">
        <f aca="false">IF($A1636="","",$I1636*$K1636)</f>
        <v/>
      </c>
      <c r="O1636" s="35" t="str">
        <f aca="false">IF(OR($A1636="",$C1636="U",$S1636&lt;&gt;Calc!$F$2),"",SUMIFS($I$3:$I$3002,$E$3:$E$3002,$E1636,$C$3:$C$3002,"&lt;&gt;U",$S$3:$S$3002,Calc!$F$2))</f>
        <v/>
      </c>
      <c r="P1636" s="35" t="str">
        <f aca="false">IF(OR($A1636="",$C1636="U",$S1636&lt;&gt;Calc!$F$2),"",SUMIFS($N$3:$N$3002,$E$3:$E$3002,$E1636,$C$3:$C$3002,"&lt;&gt;U",$S$3:$S$3002,Calc!$F$2))</f>
        <v/>
      </c>
      <c r="Q1636" s="35" t="str">
        <f aca="false">IF(OR($A1636="",$C1636="U",$S1636&lt;&gt;Calc!$F$2),"",IF(COUNTIFS($E$3:$E1636,$E1636,$C$3:$C1636,"&lt;&gt;U",$S$3:$S1636,Calc!$F$2)=1,1,0))</f>
        <v/>
      </c>
      <c r="R1636" s="35" t="str">
        <f aca="false">IF($Q1636=1,$O1636-ROW()/100000,"")</f>
        <v/>
      </c>
      <c r="S1636" s="37" t="str">
        <f aca="false">IF($A1636="","",INT($A1636))</f>
        <v/>
      </c>
      <c r="T1636" s="35" t="str">
        <f aca="false">IF($A1636="","",IF(COUNTIFS($S$3:$S1636,$S1636)=1,1,0))</f>
        <v/>
      </c>
      <c r="U1636" s="37" t="str">
        <f aca="false">IF($T1636=1,$S1636,"")</f>
        <v/>
      </c>
    </row>
    <row r="1637" customFormat="false" ht="15" hidden="false" customHeight="false" outlineLevel="0" collapsed="false">
      <c r="M1637" s="35" t="str">
        <f aca="false">IF($A1637="","",HOUR($A1637))</f>
        <v/>
      </c>
      <c r="N1637" s="36" t="str">
        <f aca="false">IF($A1637="","",$I1637*$K1637)</f>
        <v/>
      </c>
      <c r="O1637" s="35" t="str">
        <f aca="false">IF(OR($A1637="",$C1637="U",$S1637&lt;&gt;Calc!$F$2),"",SUMIFS($I$3:$I$3002,$E$3:$E$3002,$E1637,$C$3:$C$3002,"&lt;&gt;U",$S$3:$S$3002,Calc!$F$2))</f>
        <v/>
      </c>
      <c r="P1637" s="35" t="str">
        <f aca="false">IF(OR($A1637="",$C1637="U",$S1637&lt;&gt;Calc!$F$2),"",SUMIFS($N$3:$N$3002,$E$3:$E$3002,$E1637,$C$3:$C$3002,"&lt;&gt;U",$S$3:$S$3002,Calc!$F$2))</f>
        <v/>
      </c>
      <c r="Q1637" s="35" t="str">
        <f aca="false">IF(OR($A1637="",$C1637="U",$S1637&lt;&gt;Calc!$F$2),"",IF(COUNTIFS($E$3:$E1637,$E1637,$C$3:$C1637,"&lt;&gt;U",$S$3:$S1637,Calc!$F$2)=1,1,0))</f>
        <v/>
      </c>
      <c r="R1637" s="35" t="str">
        <f aca="false">IF($Q1637=1,$O1637-ROW()/100000,"")</f>
        <v/>
      </c>
      <c r="S1637" s="37" t="str">
        <f aca="false">IF($A1637="","",INT($A1637))</f>
        <v/>
      </c>
      <c r="T1637" s="35" t="str">
        <f aca="false">IF($A1637="","",IF(COUNTIFS($S$3:$S1637,$S1637)=1,1,0))</f>
        <v/>
      </c>
      <c r="U1637" s="37" t="str">
        <f aca="false">IF($T1637=1,$S1637,"")</f>
        <v/>
      </c>
    </row>
    <row r="1638" customFormat="false" ht="15" hidden="false" customHeight="false" outlineLevel="0" collapsed="false">
      <c r="M1638" s="35" t="str">
        <f aca="false">IF($A1638="","",HOUR($A1638))</f>
        <v/>
      </c>
      <c r="N1638" s="36" t="str">
        <f aca="false">IF($A1638="","",$I1638*$K1638)</f>
        <v/>
      </c>
      <c r="O1638" s="35" t="str">
        <f aca="false">IF(OR($A1638="",$C1638="U",$S1638&lt;&gt;Calc!$F$2),"",SUMIFS($I$3:$I$3002,$E$3:$E$3002,$E1638,$C$3:$C$3002,"&lt;&gt;U",$S$3:$S$3002,Calc!$F$2))</f>
        <v/>
      </c>
      <c r="P1638" s="35" t="str">
        <f aca="false">IF(OR($A1638="",$C1638="U",$S1638&lt;&gt;Calc!$F$2),"",SUMIFS($N$3:$N$3002,$E$3:$E$3002,$E1638,$C$3:$C$3002,"&lt;&gt;U",$S$3:$S$3002,Calc!$F$2))</f>
        <v/>
      </c>
      <c r="Q1638" s="35" t="str">
        <f aca="false">IF(OR($A1638="",$C1638="U",$S1638&lt;&gt;Calc!$F$2),"",IF(COUNTIFS($E$3:$E1638,$E1638,$C$3:$C1638,"&lt;&gt;U",$S$3:$S1638,Calc!$F$2)=1,1,0))</f>
        <v/>
      </c>
      <c r="R1638" s="35" t="str">
        <f aca="false">IF($Q1638=1,$O1638-ROW()/100000,"")</f>
        <v/>
      </c>
      <c r="S1638" s="37" t="str">
        <f aca="false">IF($A1638="","",INT($A1638))</f>
        <v/>
      </c>
      <c r="T1638" s="35" t="str">
        <f aca="false">IF($A1638="","",IF(COUNTIFS($S$3:$S1638,$S1638)=1,1,0))</f>
        <v/>
      </c>
      <c r="U1638" s="37" t="str">
        <f aca="false">IF($T1638=1,$S1638,"")</f>
        <v/>
      </c>
    </row>
    <row r="1639" customFormat="false" ht="15" hidden="false" customHeight="false" outlineLevel="0" collapsed="false">
      <c r="M1639" s="35" t="str">
        <f aca="false">IF($A1639="","",HOUR($A1639))</f>
        <v/>
      </c>
      <c r="N1639" s="36" t="str">
        <f aca="false">IF($A1639="","",$I1639*$K1639)</f>
        <v/>
      </c>
      <c r="O1639" s="35" t="str">
        <f aca="false">IF(OR($A1639="",$C1639="U",$S1639&lt;&gt;Calc!$F$2),"",SUMIFS($I$3:$I$3002,$E$3:$E$3002,$E1639,$C$3:$C$3002,"&lt;&gt;U",$S$3:$S$3002,Calc!$F$2))</f>
        <v/>
      </c>
      <c r="P1639" s="35" t="str">
        <f aca="false">IF(OR($A1639="",$C1639="U",$S1639&lt;&gt;Calc!$F$2),"",SUMIFS($N$3:$N$3002,$E$3:$E$3002,$E1639,$C$3:$C$3002,"&lt;&gt;U",$S$3:$S$3002,Calc!$F$2))</f>
        <v/>
      </c>
      <c r="Q1639" s="35" t="str">
        <f aca="false">IF(OR($A1639="",$C1639="U",$S1639&lt;&gt;Calc!$F$2),"",IF(COUNTIFS($E$3:$E1639,$E1639,$C$3:$C1639,"&lt;&gt;U",$S$3:$S1639,Calc!$F$2)=1,1,0))</f>
        <v/>
      </c>
      <c r="R1639" s="35" t="str">
        <f aca="false">IF($Q1639=1,$O1639-ROW()/100000,"")</f>
        <v/>
      </c>
      <c r="S1639" s="37" t="str">
        <f aca="false">IF($A1639="","",INT($A1639))</f>
        <v/>
      </c>
      <c r="T1639" s="35" t="str">
        <f aca="false">IF($A1639="","",IF(COUNTIFS($S$3:$S1639,$S1639)=1,1,0))</f>
        <v/>
      </c>
      <c r="U1639" s="37" t="str">
        <f aca="false">IF($T1639=1,$S1639,"")</f>
        <v/>
      </c>
    </row>
    <row r="1640" customFormat="false" ht="15" hidden="false" customHeight="false" outlineLevel="0" collapsed="false">
      <c r="M1640" s="35" t="str">
        <f aca="false">IF($A1640="","",HOUR($A1640))</f>
        <v/>
      </c>
      <c r="N1640" s="36" t="str">
        <f aca="false">IF($A1640="","",$I1640*$K1640)</f>
        <v/>
      </c>
      <c r="O1640" s="35" t="str">
        <f aca="false">IF(OR($A1640="",$C1640="U",$S1640&lt;&gt;Calc!$F$2),"",SUMIFS($I$3:$I$3002,$E$3:$E$3002,$E1640,$C$3:$C$3002,"&lt;&gt;U",$S$3:$S$3002,Calc!$F$2))</f>
        <v/>
      </c>
      <c r="P1640" s="35" t="str">
        <f aca="false">IF(OR($A1640="",$C1640="U",$S1640&lt;&gt;Calc!$F$2),"",SUMIFS($N$3:$N$3002,$E$3:$E$3002,$E1640,$C$3:$C$3002,"&lt;&gt;U",$S$3:$S$3002,Calc!$F$2))</f>
        <v/>
      </c>
      <c r="Q1640" s="35" t="str">
        <f aca="false">IF(OR($A1640="",$C1640="U",$S1640&lt;&gt;Calc!$F$2),"",IF(COUNTIFS($E$3:$E1640,$E1640,$C$3:$C1640,"&lt;&gt;U",$S$3:$S1640,Calc!$F$2)=1,1,0))</f>
        <v/>
      </c>
      <c r="R1640" s="35" t="str">
        <f aca="false">IF($Q1640=1,$O1640-ROW()/100000,"")</f>
        <v/>
      </c>
      <c r="S1640" s="37" t="str">
        <f aca="false">IF($A1640="","",INT($A1640))</f>
        <v/>
      </c>
      <c r="T1640" s="35" t="str">
        <f aca="false">IF($A1640="","",IF(COUNTIFS($S$3:$S1640,$S1640)=1,1,0))</f>
        <v/>
      </c>
      <c r="U1640" s="37" t="str">
        <f aca="false">IF($T1640=1,$S1640,"")</f>
        <v/>
      </c>
    </row>
    <row r="1641" customFormat="false" ht="15" hidden="false" customHeight="false" outlineLevel="0" collapsed="false">
      <c r="M1641" s="35" t="str">
        <f aca="false">IF($A1641="","",HOUR($A1641))</f>
        <v/>
      </c>
      <c r="N1641" s="36" t="str">
        <f aca="false">IF($A1641="","",$I1641*$K1641)</f>
        <v/>
      </c>
      <c r="O1641" s="35" t="str">
        <f aca="false">IF(OR($A1641="",$C1641="U",$S1641&lt;&gt;Calc!$F$2),"",SUMIFS($I$3:$I$3002,$E$3:$E$3002,$E1641,$C$3:$C$3002,"&lt;&gt;U",$S$3:$S$3002,Calc!$F$2))</f>
        <v/>
      </c>
      <c r="P1641" s="35" t="str">
        <f aca="false">IF(OR($A1641="",$C1641="U",$S1641&lt;&gt;Calc!$F$2),"",SUMIFS($N$3:$N$3002,$E$3:$E$3002,$E1641,$C$3:$C$3002,"&lt;&gt;U",$S$3:$S$3002,Calc!$F$2))</f>
        <v/>
      </c>
      <c r="Q1641" s="35" t="str">
        <f aca="false">IF(OR($A1641="",$C1641="U",$S1641&lt;&gt;Calc!$F$2),"",IF(COUNTIFS($E$3:$E1641,$E1641,$C$3:$C1641,"&lt;&gt;U",$S$3:$S1641,Calc!$F$2)=1,1,0))</f>
        <v/>
      </c>
      <c r="R1641" s="35" t="str">
        <f aca="false">IF($Q1641=1,$O1641-ROW()/100000,"")</f>
        <v/>
      </c>
      <c r="S1641" s="37" t="str">
        <f aca="false">IF($A1641="","",INT($A1641))</f>
        <v/>
      </c>
      <c r="T1641" s="35" t="str">
        <f aca="false">IF($A1641="","",IF(COUNTIFS($S$3:$S1641,$S1641)=1,1,0))</f>
        <v/>
      </c>
      <c r="U1641" s="37" t="str">
        <f aca="false">IF($T1641=1,$S1641,"")</f>
        <v/>
      </c>
    </row>
    <row r="1642" customFormat="false" ht="15" hidden="false" customHeight="false" outlineLevel="0" collapsed="false">
      <c r="M1642" s="35" t="str">
        <f aca="false">IF($A1642="","",HOUR($A1642))</f>
        <v/>
      </c>
      <c r="N1642" s="36" t="str">
        <f aca="false">IF($A1642="","",$I1642*$K1642)</f>
        <v/>
      </c>
      <c r="O1642" s="35" t="str">
        <f aca="false">IF(OR($A1642="",$C1642="U",$S1642&lt;&gt;Calc!$F$2),"",SUMIFS($I$3:$I$3002,$E$3:$E$3002,$E1642,$C$3:$C$3002,"&lt;&gt;U",$S$3:$S$3002,Calc!$F$2))</f>
        <v/>
      </c>
      <c r="P1642" s="35" t="str">
        <f aca="false">IF(OR($A1642="",$C1642="U",$S1642&lt;&gt;Calc!$F$2),"",SUMIFS($N$3:$N$3002,$E$3:$E$3002,$E1642,$C$3:$C$3002,"&lt;&gt;U",$S$3:$S$3002,Calc!$F$2))</f>
        <v/>
      </c>
      <c r="Q1642" s="35" t="str">
        <f aca="false">IF(OR($A1642="",$C1642="U",$S1642&lt;&gt;Calc!$F$2),"",IF(COUNTIFS($E$3:$E1642,$E1642,$C$3:$C1642,"&lt;&gt;U",$S$3:$S1642,Calc!$F$2)=1,1,0))</f>
        <v/>
      </c>
      <c r="R1642" s="35" t="str">
        <f aca="false">IF($Q1642=1,$O1642-ROW()/100000,"")</f>
        <v/>
      </c>
      <c r="S1642" s="37" t="str">
        <f aca="false">IF($A1642="","",INT($A1642))</f>
        <v/>
      </c>
      <c r="T1642" s="35" t="str">
        <f aca="false">IF($A1642="","",IF(COUNTIFS($S$3:$S1642,$S1642)=1,1,0))</f>
        <v/>
      </c>
      <c r="U1642" s="37" t="str">
        <f aca="false">IF($T1642=1,$S1642,"")</f>
        <v/>
      </c>
    </row>
    <row r="1643" customFormat="false" ht="15" hidden="false" customHeight="false" outlineLevel="0" collapsed="false">
      <c r="M1643" s="35" t="str">
        <f aca="false">IF($A1643="","",HOUR($A1643))</f>
        <v/>
      </c>
      <c r="N1643" s="36" t="str">
        <f aca="false">IF($A1643="","",$I1643*$K1643)</f>
        <v/>
      </c>
      <c r="O1643" s="35" t="str">
        <f aca="false">IF(OR($A1643="",$C1643="U",$S1643&lt;&gt;Calc!$F$2),"",SUMIFS($I$3:$I$3002,$E$3:$E$3002,$E1643,$C$3:$C$3002,"&lt;&gt;U",$S$3:$S$3002,Calc!$F$2))</f>
        <v/>
      </c>
      <c r="P1643" s="35" t="str">
        <f aca="false">IF(OR($A1643="",$C1643="U",$S1643&lt;&gt;Calc!$F$2),"",SUMIFS($N$3:$N$3002,$E$3:$E$3002,$E1643,$C$3:$C$3002,"&lt;&gt;U",$S$3:$S$3002,Calc!$F$2))</f>
        <v/>
      </c>
      <c r="Q1643" s="35" t="str">
        <f aca="false">IF(OR($A1643="",$C1643="U",$S1643&lt;&gt;Calc!$F$2),"",IF(COUNTIFS($E$3:$E1643,$E1643,$C$3:$C1643,"&lt;&gt;U",$S$3:$S1643,Calc!$F$2)=1,1,0))</f>
        <v/>
      </c>
      <c r="R1643" s="35" t="str">
        <f aca="false">IF($Q1643=1,$O1643-ROW()/100000,"")</f>
        <v/>
      </c>
      <c r="S1643" s="37" t="str">
        <f aca="false">IF($A1643="","",INT($A1643))</f>
        <v/>
      </c>
      <c r="T1643" s="35" t="str">
        <f aca="false">IF($A1643="","",IF(COUNTIFS($S$3:$S1643,$S1643)=1,1,0))</f>
        <v/>
      </c>
      <c r="U1643" s="37" t="str">
        <f aca="false">IF($T1643=1,$S1643,"")</f>
        <v/>
      </c>
    </row>
    <row r="1644" customFormat="false" ht="15" hidden="false" customHeight="false" outlineLevel="0" collapsed="false">
      <c r="M1644" s="35" t="str">
        <f aca="false">IF($A1644="","",HOUR($A1644))</f>
        <v/>
      </c>
      <c r="N1644" s="36" t="str">
        <f aca="false">IF($A1644="","",$I1644*$K1644)</f>
        <v/>
      </c>
      <c r="O1644" s="35" t="str">
        <f aca="false">IF(OR($A1644="",$C1644="U",$S1644&lt;&gt;Calc!$F$2),"",SUMIFS($I$3:$I$3002,$E$3:$E$3002,$E1644,$C$3:$C$3002,"&lt;&gt;U",$S$3:$S$3002,Calc!$F$2))</f>
        <v/>
      </c>
      <c r="P1644" s="35" t="str">
        <f aca="false">IF(OR($A1644="",$C1644="U",$S1644&lt;&gt;Calc!$F$2),"",SUMIFS($N$3:$N$3002,$E$3:$E$3002,$E1644,$C$3:$C$3002,"&lt;&gt;U",$S$3:$S$3002,Calc!$F$2))</f>
        <v/>
      </c>
      <c r="Q1644" s="35" t="str">
        <f aca="false">IF(OR($A1644="",$C1644="U",$S1644&lt;&gt;Calc!$F$2),"",IF(COUNTIFS($E$3:$E1644,$E1644,$C$3:$C1644,"&lt;&gt;U",$S$3:$S1644,Calc!$F$2)=1,1,0))</f>
        <v/>
      </c>
      <c r="R1644" s="35" t="str">
        <f aca="false">IF($Q1644=1,$O1644-ROW()/100000,"")</f>
        <v/>
      </c>
      <c r="S1644" s="37" t="str">
        <f aca="false">IF($A1644="","",INT($A1644))</f>
        <v/>
      </c>
      <c r="T1644" s="35" t="str">
        <f aca="false">IF($A1644="","",IF(COUNTIFS($S$3:$S1644,$S1644)=1,1,0))</f>
        <v/>
      </c>
      <c r="U1644" s="37" t="str">
        <f aca="false">IF($T1644=1,$S1644,"")</f>
        <v/>
      </c>
    </row>
    <row r="1645" customFormat="false" ht="15" hidden="false" customHeight="false" outlineLevel="0" collapsed="false">
      <c r="M1645" s="35" t="str">
        <f aca="false">IF($A1645="","",HOUR($A1645))</f>
        <v/>
      </c>
      <c r="N1645" s="36" t="str">
        <f aca="false">IF($A1645="","",$I1645*$K1645)</f>
        <v/>
      </c>
      <c r="O1645" s="35" t="str">
        <f aca="false">IF(OR($A1645="",$C1645="U",$S1645&lt;&gt;Calc!$F$2),"",SUMIFS($I$3:$I$3002,$E$3:$E$3002,$E1645,$C$3:$C$3002,"&lt;&gt;U",$S$3:$S$3002,Calc!$F$2))</f>
        <v/>
      </c>
      <c r="P1645" s="35" t="str">
        <f aca="false">IF(OR($A1645="",$C1645="U",$S1645&lt;&gt;Calc!$F$2),"",SUMIFS($N$3:$N$3002,$E$3:$E$3002,$E1645,$C$3:$C$3002,"&lt;&gt;U",$S$3:$S$3002,Calc!$F$2))</f>
        <v/>
      </c>
      <c r="Q1645" s="35" t="str">
        <f aca="false">IF(OR($A1645="",$C1645="U",$S1645&lt;&gt;Calc!$F$2),"",IF(COUNTIFS($E$3:$E1645,$E1645,$C$3:$C1645,"&lt;&gt;U",$S$3:$S1645,Calc!$F$2)=1,1,0))</f>
        <v/>
      </c>
      <c r="R1645" s="35" t="str">
        <f aca="false">IF($Q1645=1,$O1645-ROW()/100000,"")</f>
        <v/>
      </c>
      <c r="S1645" s="37" t="str">
        <f aca="false">IF($A1645="","",INT($A1645))</f>
        <v/>
      </c>
      <c r="T1645" s="35" t="str">
        <f aca="false">IF($A1645="","",IF(COUNTIFS($S$3:$S1645,$S1645)=1,1,0))</f>
        <v/>
      </c>
      <c r="U1645" s="37" t="str">
        <f aca="false">IF($T1645=1,$S1645,"")</f>
        <v/>
      </c>
    </row>
    <row r="1646" customFormat="false" ht="15" hidden="false" customHeight="false" outlineLevel="0" collapsed="false">
      <c r="M1646" s="35" t="str">
        <f aca="false">IF($A1646="","",HOUR($A1646))</f>
        <v/>
      </c>
      <c r="N1646" s="36" t="str">
        <f aca="false">IF($A1646="","",$I1646*$K1646)</f>
        <v/>
      </c>
      <c r="O1646" s="35" t="str">
        <f aca="false">IF(OR($A1646="",$C1646="U",$S1646&lt;&gt;Calc!$F$2),"",SUMIFS($I$3:$I$3002,$E$3:$E$3002,$E1646,$C$3:$C$3002,"&lt;&gt;U",$S$3:$S$3002,Calc!$F$2))</f>
        <v/>
      </c>
      <c r="P1646" s="35" t="str">
        <f aca="false">IF(OR($A1646="",$C1646="U",$S1646&lt;&gt;Calc!$F$2),"",SUMIFS($N$3:$N$3002,$E$3:$E$3002,$E1646,$C$3:$C$3002,"&lt;&gt;U",$S$3:$S$3002,Calc!$F$2))</f>
        <v/>
      </c>
      <c r="Q1646" s="35" t="str">
        <f aca="false">IF(OR($A1646="",$C1646="U",$S1646&lt;&gt;Calc!$F$2),"",IF(COUNTIFS($E$3:$E1646,$E1646,$C$3:$C1646,"&lt;&gt;U",$S$3:$S1646,Calc!$F$2)=1,1,0))</f>
        <v/>
      </c>
      <c r="R1646" s="35" t="str">
        <f aca="false">IF($Q1646=1,$O1646-ROW()/100000,"")</f>
        <v/>
      </c>
      <c r="S1646" s="37" t="str">
        <f aca="false">IF($A1646="","",INT($A1646))</f>
        <v/>
      </c>
      <c r="T1646" s="35" t="str">
        <f aca="false">IF($A1646="","",IF(COUNTIFS($S$3:$S1646,$S1646)=1,1,0))</f>
        <v/>
      </c>
      <c r="U1646" s="37" t="str">
        <f aca="false">IF($T1646=1,$S1646,"")</f>
        <v/>
      </c>
    </row>
    <row r="1647" customFormat="false" ht="15" hidden="false" customHeight="false" outlineLevel="0" collapsed="false">
      <c r="M1647" s="35" t="str">
        <f aca="false">IF($A1647="","",HOUR($A1647))</f>
        <v/>
      </c>
      <c r="N1647" s="36" t="str">
        <f aca="false">IF($A1647="","",$I1647*$K1647)</f>
        <v/>
      </c>
      <c r="O1647" s="35" t="str">
        <f aca="false">IF(OR($A1647="",$C1647="U",$S1647&lt;&gt;Calc!$F$2),"",SUMIFS($I$3:$I$3002,$E$3:$E$3002,$E1647,$C$3:$C$3002,"&lt;&gt;U",$S$3:$S$3002,Calc!$F$2))</f>
        <v/>
      </c>
      <c r="P1647" s="35" t="str">
        <f aca="false">IF(OR($A1647="",$C1647="U",$S1647&lt;&gt;Calc!$F$2),"",SUMIFS($N$3:$N$3002,$E$3:$E$3002,$E1647,$C$3:$C$3002,"&lt;&gt;U",$S$3:$S$3002,Calc!$F$2))</f>
        <v/>
      </c>
      <c r="Q1647" s="35" t="str">
        <f aca="false">IF(OR($A1647="",$C1647="U",$S1647&lt;&gt;Calc!$F$2),"",IF(COUNTIFS($E$3:$E1647,$E1647,$C$3:$C1647,"&lt;&gt;U",$S$3:$S1647,Calc!$F$2)=1,1,0))</f>
        <v/>
      </c>
      <c r="R1647" s="35" t="str">
        <f aca="false">IF($Q1647=1,$O1647-ROW()/100000,"")</f>
        <v/>
      </c>
      <c r="S1647" s="37" t="str">
        <f aca="false">IF($A1647="","",INT($A1647))</f>
        <v/>
      </c>
      <c r="T1647" s="35" t="str">
        <f aca="false">IF($A1647="","",IF(COUNTIFS($S$3:$S1647,$S1647)=1,1,0))</f>
        <v/>
      </c>
      <c r="U1647" s="37" t="str">
        <f aca="false">IF($T1647=1,$S1647,"")</f>
        <v/>
      </c>
    </row>
    <row r="1648" customFormat="false" ht="15" hidden="false" customHeight="false" outlineLevel="0" collapsed="false">
      <c r="M1648" s="35" t="str">
        <f aca="false">IF($A1648="","",HOUR($A1648))</f>
        <v/>
      </c>
      <c r="N1648" s="36" t="str">
        <f aca="false">IF($A1648="","",$I1648*$K1648)</f>
        <v/>
      </c>
      <c r="O1648" s="35" t="str">
        <f aca="false">IF(OR($A1648="",$C1648="U",$S1648&lt;&gt;Calc!$F$2),"",SUMIFS($I$3:$I$3002,$E$3:$E$3002,$E1648,$C$3:$C$3002,"&lt;&gt;U",$S$3:$S$3002,Calc!$F$2))</f>
        <v/>
      </c>
      <c r="P1648" s="35" t="str">
        <f aca="false">IF(OR($A1648="",$C1648="U",$S1648&lt;&gt;Calc!$F$2),"",SUMIFS($N$3:$N$3002,$E$3:$E$3002,$E1648,$C$3:$C$3002,"&lt;&gt;U",$S$3:$S$3002,Calc!$F$2))</f>
        <v/>
      </c>
      <c r="Q1648" s="35" t="str">
        <f aca="false">IF(OR($A1648="",$C1648="U",$S1648&lt;&gt;Calc!$F$2),"",IF(COUNTIFS($E$3:$E1648,$E1648,$C$3:$C1648,"&lt;&gt;U",$S$3:$S1648,Calc!$F$2)=1,1,0))</f>
        <v/>
      </c>
      <c r="R1648" s="35" t="str">
        <f aca="false">IF($Q1648=1,$O1648-ROW()/100000,"")</f>
        <v/>
      </c>
      <c r="S1648" s="37" t="str">
        <f aca="false">IF($A1648="","",INT($A1648))</f>
        <v/>
      </c>
      <c r="T1648" s="35" t="str">
        <f aca="false">IF($A1648="","",IF(COUNTIFS($S$3:$S1648,$S1648)=1,1,0))</f>
        <v/>
      </c>
      <c r="U1648" s="37" t="str">
        <f aca="false">IF($T1648=1,$S1648,"")</f>
        <v/>
      </c>
    </row>
    <row r="1649" customFormat="false" ht="15" hidden="false" customHeight="false" outlineLevel="0" collapsed="false">
      <c r="M1649" s="35" t="str">
        <f aca="false">IF($A1649="","",HOUR($A1649))</f>
        <v/>
      </c>
      <c r="N1649" s="36" t="str">
        <f aca="false">IF($A1649="","",$I1649*$K1649)</f>
        <v/>
      </c>
      <c r="O1649" s="35" t="str">
        <f aca="false">IF(OR($A1649="",$C1649="U",$S1649&lt;&gt;Calc!$F$2),"",SUMIFS($I$3:$I$3002,$E$3:$E$3002,$E1649,$C$3:$C$3002,"&lt;&gt;U",$S$3:$S$3002,Calc!$F$2))</f>
        <v/>
      </c>
      <c r="P1649" s="35" t="str">
        <f aca="false">IF(OR($A1649="",$C1649="U",$S1649&lt;&gt;Calc!$F$2),"",SUMIFS($N$3:$N$3002,$E$3:$E$3002,$E1649,$C$3:$C$3002,"&lt;&gt;U",$S$3:$S$3002,Calc!$F$2))</f>
        <v/>
      </c>
      <c r="Q1649" s="35" t="str">
        <f aca="false">IF(OR($A1649="",$C1649="U",$S1649&lt;&gt;Calc!$F$2),"",IF(COUNTIFS($E$3:$E1649,$E1649,$C$3:$C1649,"&lt;&gt;U",$S$3:$S1649,Calc!$F$2)=1,1,0))</f>
        <v/>
      </c>
      <c r="R1649" s="35" t="str">
        <f aca="false">IF($Q1649=1,$O1649-ROW()/100000,"")</f>
        <v/>
      </c>
      <c r="S1649" s="37" t="str">
        <f aca="false">IF($A1649="","",INT($A1649))</f>
        <v/>
      </c>
      <c r="T1649" s="35" t="str">
        <f aca="false">IF($A1649="","",IF(COUNTIFS($S$3:$S1649,$S1649)=1,1,0))</f>
        <v/>
      </c>
      <c r="U1649" s="37" t="str">
        <f aca="false">IF($T1649=1,$S1649,"")</f>
        <v/>
      </c>
    </row>
    <row r="1650" customFormat="false" ht="15" hidden="false" customHeight="false" outlineLevel="0" collapsed="false">
      <c r="M1650" s="35" t="str">
        <f aca="false">IF($A1650="","",HOUR($A1650))</f>
        <v/>
      </c>
      <c r="N1650" s="36" t="str">
        <f aca="false">IF($A1650="","",$I1650*$K1650)</f>
        <v/>
      </c>
      <c r="O1650" s="35" t="str">
        <f aca="false">IF(OR($A1650="",$C1650="U",$S1650&lt;&gt;Calc!$F$2),"",SUMIFS($I$3:$I$3002,$E$3:$E$3002,$E1650,$C$3:$C$3002,"&lt;&gt;U",$S$3:$S$3002,Calc!$F$2))</f>
        <v/>
      </c>
      <c r="P1650" s="35" t="str">
        <f aca="false">IF(OR($A1650="",$C1650="U",$S1650&lt;&gt;Calc!$F$2),"",SUMIFS($N$3:$N$3002,$E$3:$E$3002,$E1650,$C$3:$C$3002,"&lt;&gt;U",$S$3:$S$3002,Calc!$F$2))</f>
        <v/>
      </c>
      <c r="Q1650" s="35" t="str">
        <f aca="false">IF(OR($A1650="",$C1650="U",$S1650&lt;&gt;Calc!$F$2),"",IF(COUNTIFS($E$3:$E1650,$E1650,$C$3:$C1650,"&lt;&gt;U",$S$3:$S1650,Calc!$F$2)=1,1,0))</f>
        <v/>
      </c>
      <c r="R1650" s="35" t="str">
        <f aca="false">IF($Q1650=1,$O1650-ROW()/100000,"")</f>
        <v/>
      </c>
      <c r="S1650" s="37" t="str">
        <f aca="false">IF($A1650="","",INT($A1650))</f>
        <v/>
      </c>
      <c r="T1650" s="35" t="str">
        <f aca="false">IF($A1650="","",IF(COUNTIFS($S$3:$S1650,$S1650)=1,1,0))</f>
        <v/>
      </c>
      <c r="U1650" s="37" t="str">
        <f aca="false">IF($T1650=1,$S1650,"")</f>
        <v/>
      </c>
    </row>
    <row r="1651" customFormat="false" ht="15" hidden="false" customHeight="false" outlineLevel="0" collapsed="false">
      <c r="M1651" s="35" t="str">
        <f aca="false">IF($A1651="","",HOUR($A1651))</f>
        <v/>
      </c>
      <c r="N1651" s="36" t="str">
        <f aca="false">IF($A1651="","",$I1651*$K1651)</f>
        <v/>
      </c>
      <c r="O1651" s="35" t="str">
        <f aca="false">IF(OR($A1651="",$C1651="U",$S1651&lt;&gt;Calc!$F$2),"",SUMIFS($I$3:$I$3002,$E$3:$E$3002,$E1651,$C$3:$C$3002,"&lt;&gt;U",$S$3:$S$3002,Calc!$F$2))</f>
        <v/>
      </c>
      <c r="P1651" s="35" t="str">
        <f aca="false">IF(OR($A1651="",$C1651="U",$S1651&lt;&gt;Calc!$F$2),"",SUMIFS($N$3:$N$3002,$E$3:$E$3002,$E1651,$C$3:$C$3002,"&lt;&gt;U",$S$3:$S$3002,Calc!$F$2))</f>
        <v/>
      </c>
      <c r="Q1651" s="35" t="str">
        <f aca="false">IF(OR($A1651="",$C1651="U",$S1651&lt;&gt;Calc!$F$2),"",IF(COUNTIFS($E$3:$E1651,$E1651,$C$3:$C1651,"&lt;&gt;U",$S$3:$S1651,Calc!$F$2)=1,1,0))</f>
        <v/>
      </c>
      <c r="R1651" s="35" t="str">
        <f aca="false">IF($Q1651=1,$O1651-ROW()/100000,"")</f>
        <v/>
      </c>
      <c r="S1651" s="37" t="str">
        <f aca="false">IF($A1651="","",INT($A1651))</f>
        <v/>
      </c>
      <c r="T1651" s="35" t="str">
        <f aca="false">IF($A1651="","",IF(COUNTIFS($S$3:$S1651,$S1651)=1,1,0))</f>
        <v/>
      </c>
      <c r="U1651" s="37" t="str">
        <f aca="false">IF($T1651=1,$S1651,"")</f>
        <v/>
      </c>
    </row>
    <row r="1652" customFormat="false" ht="15" hidden="false" customHeight="false" outlineLevel="0" collapsed="false">
      <c r="M1652" s="35" t="str">
        <f aca="false">IF($A1652="","",HOUR($A1652))</f>
        <v/>
      </c>
      <c r="N1652" s="36" t="str">
        <f aca="false">IF($A1652="","",$I1652*$K1652)</f>
        <v/>
      </c>
      <c r="O1652" s="35" t="str">
        <f aca="false">IF(OR($A1652="",$C1652="U",$S1652&lt;&gt;Calc!$F$2),"",SUMIFS($I$3:$I$3002,$E$3:$E$3002,$E1652,$C$3:$C$3002,"&lt;&gt;U",$S$3:$S$3002,Calc!$F$2))</f>
        <v/>
      </c>
      <c r="P1652" s="35" t="str">
        <f aca="false">IF(OR($A1652="",$C1652="U",$S1652&lt;&gt;Calc!$F$2),"",SUMIFS($N$3:$N$3002,$E$3:$E$3002,$E1652,$C$3:$C$3002,"&lt;&gt;U",$S$3:$S$3002,Calc!$F$2))</f>
        <v/>
      </c>
      <c r="Q1652" s="35" t="str">
        <f aca="false">IF(OR($A1652="",$C1652="U",$S1652&lt;&gt;Calc!$F$2),"",IF(COUNTIFS($E$3:$E1652,$E1652,$C$3:$C1652,"&lt;&gt;U",$S$3:$S1652,Calc!$F$2)=1,1,0))</f>
        <v/>
      </c>
      <c r="R1652" s="35" t="str">
        <f aca="false">IF($Q1652=1,$O1652-ROW()/100000,"")</f>
        <v/>
      </c>
      <c r="S1652" s="37" t="str">
        <f aca="false">IF($A1652="","",INT($A1652))</f>
        <v/>
      </c>
      <c r="T1652" s="35" t="str">
        <f aca="false">IF($A1652="","",IF(COUNTIFS($S$3:$S1652,$S1652)=1,1,0))</f>
        <v/>
      </c>
      <c r="U1652" s="37" t="str">
        <f aca="false">IF($T1652=1,$S1652,"")</f>
        <v/>
      </c>
    </row>
    <row r="1653" customFormat="false" ht="15" hidden="false" customHeight="false" outlineLevel="0" collapsed="false">
      <c r="M1653" s="35" t="str">
        <f aca="false">IF($A1653="","",HOUR($A1653))</f>
        <v/>
      </c>
      <c r="N1653" s="36" t="str">
        <f aca="false">IF($A1653="","",$I1653*$K1653)</f>
        <v/>
      </c>
      <c r="O1653" s="35" t="str">
        <f aca="false">IF(OR($A1653="",$C1653="U",$S1653&lt;&gt;Calc!$F$2),"",SUMIFS($I$3:$I$3002,$E$3:$E$3002,$E1653,$C$3:$C$3002,"&lt;&gt;U",$S$3:$S$3002,Calc!$F$2))</f>
        <v/>
      </c>
      <c r="P1653" s="35" t="str">
        <f aca="false">IF(OR($A1653="",$C1653="U",$S1653&lt;&gt;Calc!$F$2),"",SUMIFS($N$3:$N$3002,$E$3:$E$3002,$E1653,$C$3:$C$3002,"&lt;&gt;U",$S$3:$S$3002,Calc!$F$2))</f>
        <v/>
      </c>
      <c r="Q1653" s="35" t="str">
        <f aca="false">IF(OR($A1653="",$C1653="U",$S1653&lt;&gt;Calc!$F$2),"",IF(COUNTIFS($E$3:$E1653,$E1653,$C$3:$C1653,"&lt;&gt;U",$S$3:$S1653,Calc!$F$2)=1,1,0))</f>
        <v/>
      </c>
      <c r="R1653" s="35" t="str">
        <f aca="false">IF($Q1653=1,$O1653-ROW()/100000,"")</f>
        <v/>
      </c>
      <c r="S1653" s="37" t="str">
        <f aca="false">IF($A1653="","",INT($A1653))</f>
        <v/>
      </c>
      <c r="T1653" s="35" t="str">
        <f aca="false">IF($A1653="","",IF(COUNTIFS($S$3:$S1653,$S1653)=1,1,0))</f>
        <v/>
      </c>
      <c r="U1653" s="37" t="str">
        <f aca="false">IF($T1653=1,$S1653,"")</f>
        <v/>
      </c>
    </row>
    <row r="1654" customFormat="false" ht="15" hidden="false" customHeight="false" outlineLevel="0" collapsed="false">
      <c r="M1654" s="35" t="str">
        <f aca="false">IF($A1654="","",HOUR($A1654))</f>
        <v/>
      </c>
      <c r="N1654" s="36" t="str">
        <f aca="false">IF($A1654="","",$I1654*$K1654)</f>
        <v/>
      </c>
      <c r="O1654" s="35" t="str">
        <f aca="false">IF(OR($A1654="",$C1654="U",$S1654&lt;&gt;Calc!$F$2),"",SUMIFS($I$3:$I$3002,$E$3:$E$3002,$E1654,$C$3:$C$3002,"&lt;&gt;U",$S$3:$S$3002,Calc!$F$2))</f>
        <v/>
      </c>
      <c r="P1654" s="35" t="str">
        <f aca="false">IF(OR($A1654="",$C1654="U",$S1654&lt;&gt;Calc!$F$2),"",SUMIFS($N$3:$N$3002,$E$3:$E$3002,$E1654,$C$3:$C$3002,"&lt;&gt;U",$S$3:$S$3002,Calc!$F$2))</f>
        <v/>
      </c>
      <c r="Q1654" s="35" t="str">
        <f aca="false">IF(OR($A1654="",$C1654="U",$S1654&lt;&gt;Calc!$F$2),"",IF(COUNTIFS($E$3:$E1654,$E1654,$C$3:$C1654,"&lt;&gt;U",$S$3:$S1654,Calc!$F$2)=1,1,0))</f>
        <v/>
      </c>
      <c r="R1654" s="35" t="str">
        <f aca="false">IF($Q1654=1,$O1654-ROW()/100000,"")</f>
        <v/>
      </c>
      <c r="S1654" s="37" t="str">
        <f aca="false">IF($A1654="","",INT($A1654))</f>
        <v/>
      </c>
      <c r="T1654" s="35" t="str">
        <f aca="false">IF($A1654="","",IF(COUNTIFS($S$3:$S1654,$S1654)=1,1,0))</f>
        <v/>
      </c>
      <c r="U1654" s="37" t="str">
        <f aca="false">IF($T1654=1,$S1654,"")</f>
        <v/>
      </c>
    </row>
    <row r="1655" customFormat="false" ht="15" hidden="false" customHeight="false" outlineLevel="0" collapsed="false">
      <c r="M1655" s="35" t="str">
        <f aca="false">IF($A1655="","",HOUR($A1655))</f>
        <v/>
      </c>
      <c r="N1655" s="36" t="str">
        <f aca="false">IF($A1655="","",$I1655*$K1655)</f>
        <v/>
      </c>
      <c r="O1655" s="35" t="str">
        <f aca="false">IF(OR($A1655="",$C1655="U",$S1655&lt;&gt;Calc!$F$2),"",SUMIFS($I$3:$I$3002,$E$3:$E$3002,$E1655,$C$3:$C$3002,"&lt;&gt;U",$S$3:$S$3002,Calc!$F$2))</f>
        <v/>
      </c>
      <c r="P1655" s="35" t="str">
        <f aca="false">IF(OR($A1655="",$C1655="U",$S1655&lt;&gt;Calc!$F$2),"",SUMIFS($N$3:$N$3002,$E$3:$E$3002,$E1655,$C$3:$C$3002,"&lt;&gt;U",$S$3:$S$3002,Calc!$F$2))</f>
        <v/>
      </c>
      <c r="Q1655" s="35" t="str">
        <f aca="false">IF(OR($A1655="",$C1655="U",$S1655&lt;&gt;Calc!$F$2),"",IF(COUNTIFS($E$3:$E1655,$E1655,$C$3:$C1655,"&lt;&gt;U",$S$3:$S1655,Calc!$F$2)=1,1,0))</f>
        <v/>
      </c>
      <c r="R1655" s="35" t="str">
        <f aca="false">IF($Q1655=1,$O1655-ROW()/100000,"")</f>
        <v/>
      </c>
      <c r="S1655" s="37" t="str">
        <f aca="false">IF($A1655="","",INT($A1655))</f>
        <v/>
      </c>
      <c r="T1655" s="35" t="str">
        <f aca="false">IF($A1655="","",IF(COUNTIFS($S$3:$S1655,$S1655)=1,1,0))</f>
        <v/>
      </c>
      <c r="U1655" s="37" t="str">
        <f aca="false">IF($T1655=1,$S1655,"")</f>
        <v/>
      </c>
    </row>
    <row r="1656" customFormat="false" ht="15" hidden="false" customHeight="false" outlineLevel="0" collapsed="false">
      <c r="M1656" s="35" t="str">
        <f aca="false">IF($A1656="","",HOUR($A1656))</f>
        <v/>
      </c>
      <c r="N1656" s="36" t="str">
        <f aca="false">IF($A1656="","",$I1656*$K1656)</f>
        <v/>
      </c>
      <c r="O1656" s="35" t="str">
        <f aca="false">IF(OR($A1656="",$C1656="U",$S1656&lt;&gt;Calc!$F$2),"",SUMIFS($I$3:$I$3002,$E$3:$E$3002,$E1656,$C$3:$C$3002,"&lt;&gt;U",$S$3:$S$3002,Calc!$F$2))</f>
        <v/>
      </c>
      <c r="P1656" s="35" t="str">
        <f aca="false">IF(OR($A1656="",$C1656="U",$S1656&lt;&gt;Calc!$F$2),"",SUMIFS($N$3:$N$3002,$E$3:$E$3002,$E1656,$C$3:$C$3002,"&lt;&gt;U",$S$3:$S$3002,Calc!$F$2))</f>
        <v/>
      </c>
      <c r="Q1656" s="35" t="str">
        <f aca="false">IF(OR($A1656="",$C1656="U",$S1656&lt;&gt;Calc!$F$2),"",IF(COUNTIFS($E$3:$E1656,$E1656,$C$3:$C1656,"&lt;&gt;U",$S$3:$S1656,Calc!$F$2)=1,1,0))</f>
        <v/>
      </c>
      <c r="R1656" s="35" t="str">
        <f aca="false">IF($Q1656=1,$O1656-ROW()/100000,"")</f>
        <v/>
      </c>
      <c r="S1656" s="37" t="str">
        <f aca="false">IF($A1656="","",INT($A1656))</f>
        <v/>
      </c>
      <c r="T1656" s="35" t="str">
        <f aca="false">IF($A1656="","",IF(COUNTIFS($S$3:$S1656,$S1656)=1,1,0))</f>
        <v/>
      </c>
      <c r="U1656" s="37" t="str">
        <f aca="false">IF($T1656=1,$S1656,"")</f>
        <v/>
      </c>
    </row>
    <row r="1657" customFormat="false" ht="15" hidden="false" customHeight="false" outlineLevel="0" collapsed="false">
      <c r="M1657" s="35" t="str">
        <f aca="false">IF($A1657="","",HOUR($A1657))</f>
        <v/>
      </c>
      <c r="N1657" s="36" t="str">
        <f aca="false">IF($A1657="","",$I1657*$K1657)</f>
        <v/>
      </c>
      <c r="O1657" s="35" t="str">
        <f aca="false">IF(OR($A1657="",$C1657="U",$S1657&lt;&gt;Calc!$F$2),"",SUMIFS($I$3:$I$3002,$E$3:$E$3002,$E1657,$C$3:$C$3002,"&lt;&gt;U",$S$3:$S$3002,Calc!$F$2))</f>
        <v/>
      </c>
      <c r="P1657" s="35" t="str">
        <f aca="false">IF(OR($A1657="",$C1657="U",$S1657&lt;&gt;Calc!$F$2),"",SUMIFS($N$3:$N$3002,$E$3:$E$3002,$E1657,$C$3:$C$3002,"&lt;&gt;U",$S$3:$S$3002,Calc!$F$2))</f>
        <v/>
      </c>
      <c r="Q1657" s="35" t="str">
        <f aca="false">IF(OR($A1657="",$C1657="U",$S1657&lt;&gt;Calc!$F$2),"",IF(COUNTIFS($E$3:$E1657,$E1657,$C$3:$C1657,"&lt;&gt;U",$S$3:$S1657,Calc!$F$2)=1,1,0))</f>
        <v/>
      </c>
      <c r="R1657" s="35" t="str">
        <f aca="false">IF($Q1657=1,$O1657-ROW()/100000,"")</f>
        <v/>
      </c>
      <c r="S1657" s="37" t="str">
        <f aca="false">IF($A1657="","",INT($A1657))</f>
        <v/>
      </c>
      <c r="T1657" s="35" t="str">
        <f aca="false">IF($A1657="","",IF(COUNTIFS($S$3:$S1657,$S1657)=1,1,0))</f>
        <v/>
      </c>
      <c r="U1657" s="37" t="str">
        <f aca="false">IF($T1657=1,$S1657,"")</f>
        <v/>
      </c>
    </row>
    <row r="1658" customFormat="false" ht="15" hidden="false" customHeight="false" outlineLevel="0" collapsed="false">
      <c r="M1658" s="35" t="str">
        <f aca="false">IF($A1658="","",HOUR($A1658))</f>
        <v/>
      </c>
      <c r="N1658" s="36" t="str">
        <f aca="false">IF($A1658="","",$I1658*$K1658)</f>
        <v/>
      </c>
      <c r="O1658" s="35" t="str">
        <f aca="false">IF(OR($A1658="",$C1658="U",$S1658&lt;&gt;Calc!$F$2),"",SUMIFS($I$3:$I$3002,$E$3:$E$3002,$E1658,$C$3:$C$3002,"&lt;&gt;U",$S$3:$S$3002,Calc!$F$2))</f>
        <v/>
      </c>
      <c r="P1658" s="35" t="str">
        <f aca="false">IF(OR($A1658="",$C1658="U",$S1658&lt;&gt;Calc!$F$2),"",SUMIFS($N$3:$N$3002,$E$3:$E$3002,$E1658,$C$3:$C$3002,"&lt;&gt;U",$S$3:$S$3002,Calc!$F$2))</f>
        <v/>
      </c>
      <c r="Q1658" s="35" t="str">
        <f aca="false">IF(OR($A1658="",$C1658="U",$S1658&lt;&gt;Calc!$F$2),"",IF(COUNTIFS($E$3:$E1658,$E1658,$C$3:$C1658,"&lt;&gt;U",$S$3:$S1658,Calc!$F$2)=1,1,0))</f>
        <v/>
      </c>
      <c r="R1658" s="35" t="str">
        <f aca="false">IF($Q1658=1,$O1658-ROW()/100000,"")</f>
        <v/>
      </c>
      <c r="S1658" s="37" t="str">
        <f aca="false">IF($A1658="","",INT($A1658))</f>
        <v/>
      </c>
      <c r="T1658" s="35" t="str">
        <f aca="false">IF($A1658="","",IF(COUNTIFS($S$3:$S1658,$S1658)=1,1,0))</f>
        <v/>
      </c>
      <c r="U1658" s="37" t="str">
        <f aca="false">IF($T1658=1,$S1658,"")</f>
        <v/>
      </c>
    </row>
    <row r="1659" customFormat="false" ht="15" hidden="false" customHeight="false" outlineLevel="0" collapsed="false">
      <c r="M1659" s="35" t="str">
        <f aca="false">IF($A1659="","",HOUR($A1659))</f>
        <v/>
      </c>
      <c r="N1659" s="36" t="str">
        <f aca="false">IF($A1659="","",$I1659*$K1659)</f>
        <v/>
      </c>
      <c r="O1659" s="35" t="str">
        <f aca="false">IF(OR($A1659="",$C1659="U",$S1659&lt;&gt;Calc!$F$2),"",SUMIFS($I$3:$I$3002,$E$3:$E$3002,$E1659,$C$3:$C$3002,"&lt;&gt;U",$S$3:$S$3002,Calc!$F$2))</f>
        <v/>
      </c>
      <c r="P1659" s="35" t="str">
        <f aca="false">IF(OR($A1659="",$C1659="U",$S1659&lt;&gt;Calc!$F$2),"",SUMIFS($N$3:$N$3002,$E$3:$E$3002,$E1659,$C$3:$C$3002,"&lt;&gt;U",$S$3:$S$3002,Calc!$F$2))</f>
        <v/>
      </c>
      <c r="Q1659" s="35" t="str">
        <f aca="false">IF(OR($A1659="",$C1659="U",$S1659&lt;&gt;Calc!$F$2),"",IF(COUNTIFS($E$3:$E1659,$E1659,$C$3:$C1659,"&lt;&gt;U",$S$3:$S1659,Calc!$F$2)=1,1,0))</f>
        <v/>
      </c>
      <c r="R1659" s="35" t="str">
        <f aca="false">IF($Q1659=1,$O1659-ROW()/100000,"")</f>
        <v/>
      </c>
      <c r="S1659" s="37" t="str">
        <f aca="false">IF($A1659="","",INT($A1659))</f>
        <v/>
      </c>
      <c r="T1659" s="35" t="str">
        <f aca="false">IF($A1659="","",IF(COUNTIFS($S$3:$S1659,$S1659)=1,1,0))</f>
        <v/>
      </c>
      <c r="U1659" s="37" t="str">
        <f aca="false">IF($T1659=1,$S1659,"")</f>
        <v/>
      </c>
    </row>
    <row r="1660" customFormat="false" ht="15" hidden="false" customHeight="false" outlineLevel="0" collapsed="false">
      <c r="M1660" s="35" t="str">
        <f aca="false">IF($A1660="","",HOUR($A1660))</f>
        <v/>
      </c>
      <c r="N1660" s="36" t="str">
        <f aca="false">IF($A1660="","",$I1660*$K1660)</f>
        <v/>
      </c>
      <c r="O1660" s="35" t="str">
        <f aca="false">IF(OR($A1660="",$C1660="U",$S1660&lt;&gt;Calc!$F$2),"",SUMIFS($I$3:$I$3002,$E$3:$E$3002,$E1660,$C$3:$C$3002,"&lt;&gt;U",$S$3:$S$3002,Calc!$F$2))</f>
        <v/>
      </c>
      <c r="P1660" s="35" t="str">
        <f aca="false">IF(OR($A1660="",$C1660="U",$S1660&lt;&gt;Calc!$F$2),"",SUMIFS($N$3:$N$3002,$E$3:$E$3002,$E1660,$C$3:$C$3002,"&lt;&gt;U",$S$3:$S$3002,Calc!$F$2))</f>
        <v/>
      </c>
      <c r="Q1660" s="35" t="str">
        <f aca="false">IF(OR($A1660="",$C1660="U",$S1660&lt;&gt;Calc!$F$2),"",IF(COUNTIFS($E$3:$E1660,$E1660,$C$3:$C1660,"&lt;&gt;U",$S$3:$S1660,Calc!$F$2)=1,1,0))</f>
        <v/>
      </c>
      <c r="R1660" s="35" t="str">
        <f aca="false">IF($Q1660=1,$O1660-ROW()/100000,"")</f>
        <v/>
      </c>
      <c r="S1660" s="37" t="str">
        <f aca="false">IF($A1660="","",INT($A1660))</f>
        <v/>
      </c>
      <c r="T1660" s="35" t="str">
        <f aca="false">IF($A1660="","",IF(COUNTIFS($S$3:$S1660,$S1660)=1,1,0))</f>
        <v/>
      </c>
      <c r="U1660" s="37" t="str">
        <f aca="false">IF($T1660=1,$S1660,"")</f>
        <v/>
      </c>
    </row>
    <row r="1661" customFormat="false" ht="15" hidden="false" customHeight="false" outlineLevel="0" collapsed="false">
      <c r="M1661" s="35" t="str">
        <f aca="false">IF($A1661="","",HOUR($A1661))</f>
        <v/>
      </c>
      <c r="N1661" s="36" t="str">
        <f aca="false">IF($A1661="","",$I1661*$K1661)</f>
        <v/>
      </c>
      <c r="O1661" s="35" t="str">
        <f aca="false">IF(OR($A1661="",$C1661="U",$S1661&lt;&gt;Calc!$F$2),"",SUMIFS($I$3:$I$3002,$E$3:$E$3002,$E1661,$C$3:$C$3002,"&lt;&gt;U",$S$3:$S$3002,Calc!$F$2))</f>
        <v/>
      </c>
      <c r="P1661" s="35" t="str">
        <f aca="false">IF(OR($A1661="",$C1661="U",$S1661&lt;&gt;Calc!$F$2),"",SUMIFS($N$3:$N$3002,$E$3:$E$3002,$E1661,$C$3:$C$3002,"&lt;&gt;U",$S$3:$S$3002,Calc!$F$2))</f>
        <v/>
      </c>
      <c r="Q1661" s="35" t="str">
        <f aca="false">IF(OR($A1661="",$C1661="U",$S1661&lt;&gt;Calc!$F$2),"",IF(COUNTIFS($E$3:$E1661,$E1661,$C$3:$C1661,"&lt;&gt;U",$S$3:$S1661,Calc!$F$2)=1,1,0))</f>
        <v/>
      </c>
      <c r="R1661" s="35" t="str">
        <f aca="false">IF($Q1661=1,$O1661-ROW()/100000,"")</f>
        <v/>
      </c>
      <c r="S1661" s="37" t="str">
        <f aca="false">IF($A1661="","",INT($A1661))</f>
        <v/>
      </c>
      <c r="T1661" s="35" t="str">
        <f aca="false">IF($A1661="","",IF(COUNTIFS($S$3:$S1661,$S1661)=1,1,0))</f>
        <v/>
      </c>
      <c r="U1661" s="37" t="str">
        <f aca="false">IF($T1661=1,$S1661,"")</f>
        <v/>
      </c>
    </row>
    <row r="1662" customFormat="false" ht="15" hidden="false" customHeight="false" outlineLevel="0" collapsed="false">
      <c r="M1662" s="35" t="str">
        <f aca="false">IF($A1662="","",HOUR($A1662))</f>
        <v/>
      </c>
      <c r="N1662" s="36" t="str">
        <f aca="false">IF($A1662="","",$I1662*$K1662)</f>
        <v/>
      </c>
      <c r="O1662" s="35" t="str">
        <f aca="false">IF(OR($A1662="",$C1662="U",$S1662&lt;&gt;Calc!$F$2),"",SUMIFS($I$3:$I$3002,$E$3:$E$3002,$E1662,$C$3:$C$3002,"&lt;&gt;U",$S$3:$S$3002,Calc!$F$2))</f>
        <v/>
      </c>
      <c r="P1662" s="35" t="str">
        <f aca="false">IF(OR($A1662="",$C1662="U",$S1662&lt;&gt;Calc!$F$2),"",SUMIFS($N$3:$N$3002,$E$3:$E$3002,$E1662,$C$3:$C$3002,"&lt;&gt;U",$S$3:$S$3002,Calc!$F$2))</f>
        <v/>
      </c>
      <c r="Q1662" s="35" t="str">
        <f aca="false">IF(OR($A1662="",$C1662="U",$S1662&lt;&gt;Calc!$F$2),"",IF(COUNTIFS($E$3:$E1662,$E1662,$C$3:$C1662,"&lt;&gt;U",$S$3:$S1662,Calc!$F$2)=1,1,0))</f>
        <v/>
      </c>
      <c r="R1662" s="35" t="str">
        <f aca="false">IF($Q1662=1,$O1662-ROW()/100000,"")</f>
        <v/>
      </c>
      <c r="S1662" s="37" t="str">
        <f aca="false">IF($A1662="","",INT($A1662))</f>
        <v/>
      </c>
      <c r="T1662" s="35" t="str">
        <f aca="false">IF($A1662="","",IF(COUNTIFS($S$3:$S1662,$S1662)=1,1,0))</f>
        <v/>
      </c>
      <c r="U1662" s="37" t="str">
        <f aca="false">IF($T1662=1,$S1662,"")</f>
        <v/>
      </c>
    </row>
    <row r="1663" customFormat="false" ht="15" hidden="false" customHeight="false" outlineLevel="0" collapsed="false">
      <c r="M1663" s="35" t="str">
        <f aca="false">IF($A1663="","",HOUR($A1663))</f>
        <v/>
      </c>
      <c r="N1663" s="36" t="str">
        <f aca="false">IF($A1663="","",$I1663*$K1663)</f>
        <v/>
      </c>
      <c r="O1663" s="35" t="str">
        <f aca="false">IF(OR($A1663="",$C1663="U",$S1663&lt;&gt;Calc!$F$2),"",SUMIFS($I$3:$I$3002,$E$3:$E$3002,$E1663,$C$3:$C$3002,"&lt;&gt;U",$S$3:$S$3002,Calc!$F$2))</f>
        <v/>
      </c>
      <c r="P1663" s="35" t="str">
        <f aca="false">IF(OR($A1663="",$C1663="U",$S1663&lt;&gt;Calc!$F$2),"",SUMIFS($N$3:$N$3002,$E$3:$E$3002,$E1663,$C$3:$C$3002,"&lt;&gt;U",$S$3:$S$3002,Calc!$F$2))</f>
        <v/>
      </c>
      <c r="Q1663" s="35" t="str">
        <f aca="false">IF(OR($A1663="",$C1663="U",$S1663&lt;&gt;Calc!$F$2),"",IF(COUNTIFS($E$3:$E1663,$E1663,$C$3:$C1663,"&lt;&gt;U",$S$3:$S1663,Calc!$F$2)=1,1,0))</f>
        <v/>
      </c>
      <c r="R1663" s="35" t="str">
        <f aca="false">IF($Q1663=1,$O1663-ROW()/100000,"")</f>
        <v/>
      </c>
      <c r="S1663" s="37" t="str">
        <f aca="false">IF($A1663="","",INT($A1663))</f>
        <v/>
      </c>
      <c r="T1663" s="35" t="str">
        <f aca="false">IF($A1663="","",IF(COUNTIFS($S$3:$S1663,$S1663)=1,1,0))</f>
        <v/>
      </c>
      <c r="U1663" s="37" t="str">
        <f aca="false">IF($T1663=1,$S1663,"")</f>
        <v/>
      </c>
    </row>
    <row r="1664" customFormat="false" ht="15" hidden="false" customHeight="false" outlineLevel="0" collapsed="false">
      <c r="M1664" s="35" t="str">
        <f aca="false">IF($A1664="","",HOUR($A1664))</f>
        <v/>
      </c>
      <c r="N1664" s="36" t="str">
        <f aca="false">IF($A1664="","",$I1664*$K1664)</f>
        <v/>
      </c>
      <c r="O1664" s="35" t="str">
        <f aca="false">IF(OR($A1664="",$C1664="U",$S1664&lt;&gt;Calc!$F$2),"",SUMIFS($I$3:$I$3002,$E$3:$E$3002,$E1664,$C$3:$C$3002,"&lt;&gt;U",$S$3:$S$3002,Calc!$F$2))</f>
        <v/>
      </c>
      <c r="P1664" s="35" t="str">
        <f aca="false">IF(OR($A1664="",$C1664="U",$S1664&lt;&gt;Calc!$F$2),"",SUMIFS($N$3:$N$3002,$E$3:$E$3002,$E1664,$C$3:$C$3002,"&lt;&gt;U",$S$3:$S$3002,Calc!$F$2))</f>
        <v/>
      </c>
      <c r="Q1664" s="35" t="str">
        <f aca="false">IF(OR($A1664="",$C1664="U",$S1664&lt;&gt;Calc!$F$2),"",IF(COUNTIFS($E$3:$E1664,$E1664,$C$3:$C1664,"&lt;&gt;U",$S$3:$S1664,Calc!$F$2)=1,1,0))</f>
        <v/>
      </c>
      <c r="R1664" s="35" t="str">
        <f aca="false">IF($Q1664=1,$O1664-ROW()/100000,"")</f>
        <v/>
      </c>
      <c r="S1664" s="37" t="str">
        <f aca="false">IF($A1664="","",INT($A1664))</f>
        <v/>
      </c>
      <c r="T1664" s="35" t="str">
        <f aca="false">IF($A1664="","",IF(COUNTIFS($S$3:$S1664,$S1664)=1,1,0))</f>
        <v/>
      </c>
      <c r="U1664" s="37" t="str">
        <f aca="false">IF($T1664=1,$S1664,"")</f>
        <v/>
      </c>
    </row>
    <row r="1665" customFormat="false" ht="15" hidden="false" customHeight="false" outlineLevel="0" collapsed="false">
      <c r="M1665" s="35" t="str">
        <f aca="false">IF($A1665="","",HOUR($A1665))</f>
        <v/>
      </c>
      <c r="N1665" s="36" t="str">
        <f aca="false">IF($A1665="","",$I1665*$K1665)</f>
        <v/>
      </c>
      <c r="O1665" s="35" t="str">
        <f aca="false">IF(OR($A1665="",$C1665="U",$S1665&lt;&gt;Calc!$F$2),"",SUMIFS($I$3:$I$3002,$E$3:$E$3002,$E1665,$C$3:$C$3002,"&lt;&gt;U",$S$3:$S$3002,Calc!$F$2))</f>
        <v/>
      </c>
      <c r="P1665" s="35" t="str">
        <f aca="false">IF(OR($A1665="",$C1665="U",$S1665&lt;&gt;Calc!$F$2),"",SUMIFS($N$3:$N$3002,$E$3:$E$3002,$E1665,$C$3:$C$3002,"&lt;&gt;U",$S$3:$S$3002,Calc!$F$2))</f>
        <v/>
      </c>
      <c r="Q1665" s="35" t="str">
        <f aca="false">IF(OR($A1665="",$C1665="U",$S1665&lt;&gt;Calc!$F$2),"",IF(COUNTIFS($E$3:$E1665,$E1665,$C$3:$C1665,"&lt;&gt;U",$S$3:$S1665,Calc!$F$2)=1,1,0))</f>
        <v/>
      </c>
      <c r="R1665" s="35" t="str">
        <f aca="false">IF($Q1665=1,$O1665-ROW()/100000,"")</f>
        <v/>
      </c>
      <c r="S1665" s="37" t="str">
        <f aca="false">IF($A1665="","",INT($A1665))</f>
        <v/>
      </c>
      <c r="T1665" s="35" t="str">
        <f aca="false">IF($A1665="","",IF(COUNTIFS($S$3:$S1665,$S1665)=1,1,0))</f>
        <v/>
      </c>
      <c r="U1665" s="37" t="str">
        <f aca="false">IF($T1665=1,$S1665,"")</f>
        <v/>
      </c>
    </row>
    <row r="1666" customFormat="false" ht="15" hidden="false" customHeight="false" outlineLevel="0" collapsed="false">
      <c r="M1666" s="35" t="str">
        <f aca="false">IF($A1666="","",HOUR($A1666))</f>
        <v/>
      </c>
      <c r="N1666" s="36" t="str">
        <f aca="false">IF($A1666="","",$I1666*$K1666)</f>
        <v/>
      </c>
      <c r="O1666" s="35" t="str">
        <f aca="false">IF(OR($A1666="",$C1666="U",$S1666&lt;&gt;Calc!$F$2),"",SUMIFS($I$3:$I$3002,$E$3:$E$3002,$E1666,$C$3:$C$3002,"&lt;&gt;U",$S$3:$S$3002,Calc!$F$2))</f>
        <v/>
      </c>
      <c r="P1666" s="35" t="str">
        <f aca="false">IF(OR($A1666="",$C1666="U",$S1666&lt;&gt;Calc!$F$2),"",SUMIFS($N$3:$N$3002,$E$3:$E$3002,$E1666,$C$3:$C$3002,"&lt;&gt;U",$S$3:$S$3002,Calc!$F$2))</f>
        <v/>
      </c>
      <c r="Q1666" s="35" t="str">
        <f aca="false">IF(OR($A1666="",$C1666="U",$S1666&lt;&gt;Calc!$F$2),"",IF(COUNTIFS($E$3:$E1666,$E1666,$C$3:$C1666,"&lt;&gt;U",$S$3:$S1666,Calc!$F$2)=1,1,0))</f>
        <v/>
      </c>
      <c r="R1666" s="35" t="str">
        <f aca="false">IF($Q1666=1,$O1666-ROW()/100000,"")</f>
        <v/>
      </c>
      <c r="S1666" s="37" t="str">
        <f aca="false">IF($A1666="","",INT($A1666))</f>
        <v/>
      </c>
      <c r="T1666" s="35" t="str">
        <f aca="false">IF($A1666="","",IF(COUNTIFS($S$3:$S1666,$S1666)=1,1,0))</f>
        <v/>
      </c>
      <c r="U1666" s="37" t="str">
        <f aca="false">IF($T1666=1,$S1666,"")</f>
        <v/>
      </c>
    </row>
    <row r="1667" customFormat="false" ht="15" hidden="false" customHeight="false" outlineLevel="0" collapsed="false">
      <c r="M1667" s="35" t="str">
        <f aca="false">IF($A1667="","",HOUR($A1667))</f>
        <v/>
      </c>
      <c r="N1667" s="36" t="str">
        <f aca="false">IF($A1667="","",$I1667*$K1667)</f>
        <v/>
      </c>
      <c r="O1667" s="35" t="str">
        <f aca="false">IF(OR($A1667="",$C1667="U",$S1667&lt;&gt;Calc!$F$2),"",SUMIFS($I$3:$I$3002,$E$3:$E$3002,$E1667,$C$3:$C$3002,"&lt;&gt;U",$S$3:$S$3002,Calc!$F$2))</f>
        <v/>
      </c>
      <c r="P1667" s="35" t="str">
        <f aca="false">IF(OR($A1667="",$C1667="U",$S1667&lt;&gt;Calc!$F$2),"",SUMIFS($N$3:$N$3002,$E$3:$E$3002,$E1667,$C$3:$C$3002,"&lt;&gt;U",$S$3:$S$3002,Calc!$F$2))</f>
        <v/>
      </c>
      <c r="Q1667" s="35" t="str">
        <f aca="false">IF(OR($A1667="",$C1667="U",$S1667&lt;&gt;Calc!$F$2),"",IF(COUNTIFS($E$3:$E1667,$E1667,$C$3:$C1667,"&lt;&gt;U",$S$3:$S1667,Calc!$F$2)=1,1,0))</f>
        <v/>
      </c>
      <c r="R1667" s="35" t="str">
        <f aca="false">IF($Q1667=1,$O1667-ROW()/100000,"")</f>
        <v/>
      </c>
      <c r="S1667" s="37" t="str">
        <f aca="false">IF($A1667="","",INT($A1667))</f>
        <v/>
      </c>
      <c r="T1667" s="35" t="str">
        <f aca="false">IF($A1667="","",IF(COUNTIFS($S$3:$S1667,$S1667)=1,1,0))</f>
        <v/>
      </c>
      <c r="U1667" s="37" t="str">
        <f aca="false">IF($T1667=1,$S1667,"")</f>
        <v/>
      </c>
    </row>
    <row r="1668" customFormat="false" ht="15" hidden="false" customHeight="false" outlineLevel="0" collapsed="false">
      <c r="M1668" s="35" t="str">
        <f aca="false">IF($A1668="","",HOUR($A1668))</f>
        <v/>
      </c>
      <c r="N1668" s="36" t="str">
        <f aca="false">IF($A1668="","",$I1668*$K1668)</f>
        <v/>
      </c>
      <c r="O1668" s="35" t="str">
        <f aca="false">IF(OR($A1668="",$C1668="U",$S1668&lt;&gt;Calc!$F$2),"",SUMIFS($I$3:$I$3002,$E$3:$E$3002,$E1668,$C$3:$C$3002,"&lt;&gt;U",$S$3:$S$3002,Calc!$F$2))</f>
        <v/>
      </c>
      <c r="P1668" s="35" t="str">
        <f aca="false">IF(OR($A1668="",$C1668="U",$S1668&lt;&gt;Calc!$F$2),"",SUMIFS($N$3:$N$3002,$E$3:$E$3002,$E1668,$C$3:$C$3002,"&lt;&gt;U",$S$3:$S$3002,Calc!$F$2))</f>
        <v/>
      </c>
      <c r="Q1668" s="35" t="str">
        <f aca="false">IF(OR($A1668="",$C1668="U",$S1668&lt;&gt;Calc!$F$2),"",IF(COUNTIFS($E$3:$E1668,$E1668,$C$3:$C1668,"&lt;&gt;U",$S$3:$S1668,Calc!$F$2)=1,1,0))</f>
        <v/>
      </c>
      <c r="R1668" s="35" t="str">
        <f aca="false">IF($Q1668=1,$O1668-ROW()/100000,"")</f>
        <v/>
      </c>
      <c r="S1668" s="37" t="str">
        <f aca="false">IF($A1668="","",INT($A1668))</f>
        <v/>
      </c>
      <c r="T1668" s="35" t="str">
        <f aca="false">IF($A1668="","",IF(COUNTIFS($S$3:$S1668,$S1668)=1,1,0))</f>
        <v/>
      </c>
      <c r="U1668" s="37" t="str">
        <f aca="false">IF($T1668=1,$S1668,"")</f>
        <v/>
      </c>
    </row>
    <row r="1669" customFormat="false" ht="15" hidden="false" customHeight="false" outlineLevel="0" collapsed="false">
      <c r="M1669" s="35" t="str">
        <f aca="false">IF($A1669="","",HOUR($A1669))</f>
        <v/>
      </c>
      <c r="N1669" s="36" t="str">
        <f aca="false">IF($A1669="","",$I1669*$K1669)</f>
        <v/>
      </c>
      <c r="O1669" s="35" t="str">
        <f aca="false">IF(OR($A1669="",$C1669="U",$S1669&lt;&gt;Calc!$F$2),"",SUMIFS($I$3:$I$3002,$E$3:$E$3002,$E1669,$C$3:$C$3002,"&lt;&gt;U",$S$3:$S$3002,Calc!$F$2))</f>
        <v/>
      </c>
      <c r="P1669" s="35" t="str">
        <f aca="false">IF(OR($A1669="",$C1669="U",$S1669&lt;&gt;Calc!$F$2),"",SUMIFS($N$3:$N$3002,$E$3:$E$3002,$E1669,$C$3:$C$3002,"&lt;&gt;U",$S$3:$S$3002,Calc!$F$2))</f>
        <v/>
      </c>
      <c r="Q1669" s="35" t="str">
        <f aca="false">IF(OR($A1669="",$C1669="U",$S1669&lt;&gt;Calc!$F$2),"",IF(COUNTIFS($E$3:$E1669,$E1669,$C$3:$C1669,"&lt;&gt;U",$S$3:$S1669,Calc!$F$2)=1,1,0))</f>
        <v/>
      </c>
      <c r="R1669" s="35" t="str">
        <f aca="false">IF($Q1669=1,$O1669-ROW()/100000,"")</f>
        <v/>
      </c>
      <c r="S1669" s="37" t="str">
        <f aca="false">IF($A1669="","",INT($A1669))</f>
        <v/>
      </c>
      <c r="T1669" s="35" t="str">
        <f aca="false">IF($A1669="","",IF(COUNTIFS($S$3:$S1669,$S1669)=1,1,0))</f>
        <v/>
      </c>
      <c r="U1669" s="37" t="str">
        <f aca="false">IF($T1669=1,$S1669,"")</f>
        <v/>
      </c>
    </row>
    <row r="1670" customFormat="false" ht="15" hidden="false" customHeight="false" outlineLevel="0" collapsed="false">
      <c r="M1670" s="35" t="str">
        <f aca="false">IF($A1670="","",HOUR($A1670))</f>
        <v/>
      </c>
      <c r="N1670" s="36" t="str">
        <f aca="false">IF($A1670="","",$I1670*$K1670)</f>
        <v/>
      </c>
      <c r="O1670" s="35" t="str">
        <f aca="false">IF(OR($A1670="",$C1670="U",$S1670&lt;&gt;Calc!$F$2),"",SUMIFS($I$3:$I$3002,$E$3:$E$3002,$E1670,$C$3:$C$3002,"&lt;&gt;U",$S$3:$S$3002,Calc!$F$2))</f>
        <v/>
      </c>
      <c r="P1670" s="35" t="str">
        <f aca="false">IF(OR($A1670="",$C1670="U",$S1670&lt;&gt;Calc!$F$2),"",SUMIFS($N$3:$N$3002,$E$3:$E$3002,$E1670,$C$3:$C$3002,"&lt;&gt;U",$S$3:$S$3002,Calc!$F$2))</f>
        <v/>
      </c>
      <c r="Q1670" s="35" t="str">
        <f aca="false">IF(OR($A1670="",$C1670="U",$S1670&lt;&gt;Calc!$F$2),"",IF(COUNTIFS($E$3:$E1670,$E1670,$C$3:$C1670,"&lt;&gt;U",$S$3:$S1670,Calc!$F$2)=1,1,0))</f>
        <v/>
      </c>
      <c r="R1670" s="35" t="str">
        <f aca="false">IF($Q1670=1,$O1670-ROW()/100000,"")</f>
        <v/>
      </c>
      <c r="S1670" s="37" t="str">
        <f aca="false">IF($A1670="","",INT($A1670))</f>
        <v/>
      </c>
      <c r="T1670" s="35" t="str">
        <f aca="false">IF($A1670="","",IF(COUNTIFS($S$3:$S1670,$S1670)=1,1,0))</f>
        <v/>
      </c>
      <c r="U1670" s="37" t="str">
        <f aca="false">IF($T1670=1,$S1670,"")</f>
        <v/>
      </c>
    </row>
    <row r="1671" customFormat="false" ht="15" hidden="false" customHeight="false" outlineLevel="0" collapsed="false">
      <c r="M1671" s="35" t="str">
        <f aca="false">IF($A1671="","",HOUR($A1671))</f>
        <v/>
      </c>
      <c r="N1671" s="36" t="str">
        <f aca="false">IF($A1671="","",$I1671*$K1671)</f>
        <v/>
      </c>
      <c r="O1671" s="35" t="str">
        <f aca="false">IF(OR($A1671="",$C1671="U",$S1671&lt;&gt;Calc!$F$2),"",SUMIFS($I$3:$I$3002,$E$3:$E$3002,$E1671,$C$3:$C$3002,"&lt;&gt;U",$S$3:$S$3002,Calc!$F$2))</f>
        <v/>
      </c>
      <c r="P1671" s="35" t="str">
        <f aca="false">IF(OR($A1671="",$C1671="U",$S1671&lt;&gt;Calc!$F$2),"",SUMIFS($N$3:$N$3002,$E$3:$E$3002,$E1671,$C$3:$C$3002,"&lt;&gt;U",$S$3:$S$3002,Calc!$F$2))</f>
        <v/>
      </c>
      <c r="Q1671" s="35" t="str">
        <f aca="false">IF(OR($A1671="",$C1671="U",$S1671&lt;&gt;Calc!$F$2),"",IF(COUNTIFS($E$3:$E1671,$E1671,$C$3:$C1671,"&lt;&gt;U",$S$3:$S1671,Calc!$F$2)=1,1,0))</f>
        <v/>
      </c>
      <c r="R1671" s="35" t="str">
        <f aca="false">IF($Q1671=1,$O1671-ROW()/100000,"")</f>
        <v/>
      </c>
      <c r="S1671" s="37" t="str">
        <f aca="false">IF($A1671="","",INT($A1671))</f>
        <v/>
      </c>
      <c r="T1671" s="35" t="str">
        <f aca="false">IF($A1671="","",IF(COUNTIFS($S$3:$S1671,$S1671)=1,1,0))</f>
        <v/>
      </c>
      <c r="U1671" s="37" t="str">
        <f aca="false">IF($T1671=1,$S1671,"")</f>
        <v/>
      </c>
    </row>
    <row r="1672" customFormat="false" ht="15" hidden="false" customHeight="false" outlineLevel="0" collapsed="false">
      <c r="M1672" s="35" t="str">
        <f aca="false">IF($A1672="","",HOUR($A1672))</f>
        <v/>
      </c>
      <c r="N1672" s="36" t="str">
        <f aca="false">IF($A1672="","",$I1672*$K1672)</f>
        <v/>
      </c>
      <c r="O1672" s="35" t="str">
        <f aca="false">IF(OR($A1672="",$C1672="U",$S1672&lt;&gt;Calc!$F$2),"",SUMIFS($I$3:$I$3002,$E$3:$E$3002,$E1672,$C$3:$C$3002,"&lt;&gt;U",$S$3:$S$3002,Calc!$F$2))</f>
        <v/>
      </c>
      <c r="P1672" s="35" t="str">
        <f aca="false">IF(OR($A1672="",$C1672="U",$S1672&lt;&gt;Calc!$F$2),"",SUMIFS($N$3:$N$3002,$E$3:$E$3002,$E1672,$C$3:$C$3002,"&lt;&gt;U",$S$3:$S$3002,Calc!$F$2))</f>
        <v/>
      </c>
      <c r="Q1672" s="35" t="str">
        <f aca="false">IF(OR($A1672="",$C1672="U",$S1672&lt;&gt;Calc!$F$2),"",IF(COUNTIFS($E$3:$E1672,$E1672,$C$3:$C1672,"&lt;&gt;U",$S$3:$S1672,Calc!$F$2)=1,1,0))</f>
        <v/>
      </c>
      <c r="R1672" s="35" t="str">
        <f aca="false">IF($Q1672=1,$O1672-ROW()/100000,"")</f>
        <v/>
      </c>
      <c r="S1672" s="37" t="str">
        <f aca="false">IF($A1672="","",INT($A1672))</f>
        <v/>
      </c>
      <c r="T1672" s="35" t="str">
        <f aca="false">IF($A1672="","",IF(COUNTIFS($S$3:$S1672,$S1672)=1,1,0))</f>
        <v/>
      </c>
      <c r="U1672" s="37" t="str">
        <f aca="false">IF($T1672=1,$S1672,"")</f>
        <v/>
      </c>
    </row>
    <row r="1673" customFormat="false" ht="15" hidden="false" customHeight="false" outlineLevel="0" collapsed="false">
      <c r="M1673" s="35" t="str">
        <f aca="false">IF($A1673="","",HOUR($A1673))</f>
        <v/>
      </c>
      <c r="N1673" s="36" t="str">
        <f aca="false">IF($A1673="","",$I1673*$K1673)</f>
        <v/>
      </c>
      <c r="O1673" s="35" t="str">
        <f aca="false">IF(OR($A1673="",$C1673="U",$S1673&lt;&gt;Calc!$F$2),"",SUMIFS($I$3:$I$3002,$E$3:$E$3002,$E1673,$C$3:$C$3002,"&lt;&gt;U",$S$3:$S$3002,Calc!$F$2))</f>
        <v/>
      </c>
      <c r="P1673" s="35" t="str">
        <f aca="false">IF(OR($A1673="",$C1673="U",$S1673&lt;&gt;Calc!$F$2),"",SUMIFS($N$3:$N$3002,$E$3:$E$3002,$E1673,$C$3:$C$3002,"&lt;&gt;U",$S$3:$S$3002,Calc!$F$2))</f>
        <v/>
      </c>
      <c r="Q1673" s="35" t="str">
        <f aca="false">IF(OR($A1673="",$C1673="U",$S1673&lt;&gt;Calc!$F$2),"",IF(COUNTIFS($E$3:$E1673,$E1673,$C$3:$C1673,"&lt;&gt;U",$S$3:$S1673,Calc!$F$2)=1,1,0))</f>
        <v/>
      </c>
      <c r="R1673" s="35" t="str">
        <f aca="false">IF($Q1673=1,$O1673-ROW()/100000,"")</f>
        <v/>
      </c>
      <c r="S1673" s="37" t="str">
        <f aca="false">IF($A1673="","",INT($A1673))</f>
        <v/>
      </c>
      <c r="T1673" s="35" t="str">
        <f aca="false">IF($A1673="","",IF(COUNTIFS($S$3:$S1673,$S1673)=1,1,0))</f>
        <v/>
      </c>
      <c r="U1673" s="37" t="str">
        <f aca="false">IF($T1673=1,$S1673,"")</f>
        <v/>
      </c>
    </row>
    <row r="1674" customFormat="false" ht="15" hidden="false" customHeight="false" outlineLevel="0" collapsed="false">
      <c r="M1674" s="35" t="str">
        <f aca="false">IF($A1674="","",HOUR($A1674))</f>
        <v/>
      </c>
      <c r="N1674" s="36" t="str">
        <f aca="false">IF($A1674="","",$I1674*$K1674)</f>
        <v/>
      </c>
      <c r="O1674" s="35" t="str">
        <f aca="false">IF(OR($A1674="",$C1674="U",$S1674&lt;&gt;Calc!$F$2),"",SUMIFS($I$3:$I$3002,$E$3:$E$3002,$E1674,$C$3:$C$3002,"&lt;&gt;U",$S$3:$S$3002,Calc!$F$2))</f>
        <v/>
      </c>
      <c r="P1674" s="35" t="str">
        <f aca="false">IF(OR($A1674="",$C1674="U",$S1674&lt;&gt;Calc!$F$2),"",SUMIFS($N$3:$N$3002,$E$3:$E$3002,$E1674,$C$3:$C$3002,"&lt;&gt;U",$S$3:$S$3002,Calc!$F$2))</f>
        <v/>
      </c>
      <c r="Q1674" s="35" t="str">
        <f aca="false">IF(OR($A1674="",$C1674="U",$S1674&lt;&gt;Calc!$F$2),"",IF(COUNTIFS($E$3:$E1674,$E1674,$C$3:$C1674,"&lt;&gt;U",$S$3:$S1674,Calc!$F$2)=1,1,0))</f>
        <v/>
      </c>
      <c r="R1674" s="35" t="str">
        <f aca="false">IF($Q1674=1,$O1674-ROW()/100000,"")</f>
        <v/>
      </c>
      <c r="S1674" s="37" t="str">
        <f aca="false">IF($A1674="","",INT($A1674))</f>
        <v/>
      </c>
      <c r="T1674" s="35" t="str">
        <f aca="false">IF($A1674="","",IF(COUNTIFS($S$3:$S1674,$S1674)=1,1,0))</f>
        <v/>
      </c>
      <c r="U1674" s="37" t="str">
        <f aca="false">IF($T1674=1,$S1674,"")</f>
        <v/>
      </c>
    </row>
    <row r="1675" customFormat="false" ht="15" hidden="false" customHeight="false" outlineLevel="0" collapsed="false">
      <c r="M1675" s="35" t="str">
        <f aca="false">IF($A1675="","",HOUR($A1675))</f>
        <v/>
      </c>
      <c r="N1675" s="36" t="str">
        <f aca="false">IF($A1675="","",$I1675*$K1675)</f>
        <v/>
      </c>
      <c r="O1675" s="35" t="str">
        <f aca="false">IF(OR($A1675="",$C1675="U",$S1675&lt;&gt;Calc!$F$2),"",SUMIFS($I$3:$I$3002,$E$3:$E$3002,$E1675,$C$3:$C$3002,"&lt;&gt;U",$S$3:$S$3002,Calc!$F$2))</f>
        <v/>
      </c>
      <c r="P1675" s="35" t="str">
        <f aca="false">IF(OR($A1675="",$C1675="U",$S1675&lt;&gt;Calc!$F$2),"",SUMIFS($N$3:$N$3002,$E$3:$E$3002,$E1675,$C$3:$C$3002,"&lt;&gt;U",$S$3:$S$3002,Calc!$F$2))</f>
        <v/>
      </c>
      <c r="Q1675" s="35" t="str">
        <f aca="false">IF(OR($A1675="",$C1675="U",$S1675&lt;&gt;Calc!$F$2),"",IF(COUNTIFS($E$3:$E1675,$E1675,$C$3:$C1675,"&lt;&gt;U",$S$3:$S1675,Calc!$F$2)=1,1,0))</f>
        <v/>
      </c>
      <c r="R1675" s="35" t="str">
        <f aca="false">IF($Q1675=1,$O1675-ROW()/100000,"")</f>
        <v/>
      </c>
      <c r="S1675" s="37" t="str">
        <f aca="false">IF($A1675="","",INT($A1675))</f>
        <v/>
      </c>
      <c r="T1675" s="35" t="str">
        <f aca="false">IF($A1675="","",IF(COUNTIFS($S$3:$S1675,$S1675)=1,1,0))</f>
        <v/>
      </c>
      <c r="U1675" s="37" t="str">
        <f aca="false">IF($T1675=1,$S1675,"")</f>
        <v/>
      </c>
    </row>
    <row r="1676" customFormat="false" ht="15" hidden="false" customHeight="false" outlineLevel="0" collapsed="false">
      <c r="M1676" s="35" t="str">
        <f aca="false">IF($A1676="","",HOUR($A1676))</f>
        <v/>
      </c>
      <c r="N1676" s="36" t="str">
        <f aca="false">IF($A1676="","",$I1676*$K1676)</f>
        <v/>
      </c>
      <c r="O1676" s="35" t="str">
        <f aca="false">IF(OR($A1676="",$C1676="U",$S1676&lt;&gt;Calc!$F$2),"",SUMIFS($I$3:$I$3002,$E$3:$E$3002,$E1676,$C$3:$C$3002,"&lt;&gt;U",$S$3:$S$3002,Calc!$F$2))</f>
        <v/>
      </c>
      <c r="P1676" s="35" t="str">
        <f aca="false">IF(OR($A1676="",$C1676="U",$S1676&lt;&gt;Calc!$F$2),"",SUMIFS($N$3:$N$3002,$E$3:$E$3002,$E1676,$C$3:$C$3002,"&lt;&gt;U",$S$3:$S$3002,Calc!$F$2))</f>
        <v/>
      </c>
      <c r="Q1676" s="35" t="str">
        <f aca="false">IF(OR($A1676="",$C1676="U",$S1676&lt;&gt;Calc!$F$2),"",IF(COUNTIFS($E$3:$E1676,$E1676,$C$3:$C1676,"&lt;&gt;U",$S$3:$S1676,Calc!$F$2)=1,1,0))</f>
        <v/>
      </c>
      <c r="R1676" s="35" t="str">
        <f aca="false">IF($Q1676=1,$O1676-ROW()/100000,"")</f>
        <v/>
      </c>
      <c r="S1676" s="37" t="str">
        <f aca="false">IF($A1676="","",INT($A1676))</f>
        <v/>
      </c>
      <c r="T1676" s="35" t="str">
        <f aca="false">IF($A1676="","",IF(COUNTIFS($S$3:$S1676,$S1676)=1,1,0))</f>
        <v/>
      </c>
      <c r="U1676" s="37" t="str">
        <f aca="false">IF($T1676=1,$S1676,"")</f>
        <v/>
      </c>
    </row>
    <row r="1677" customFormat="false" ht="15" hidden="false" customHeight="false" outlineLevel="0" collapsed="false">
      <c r="M1677" s="35" t="str">
        <f aca="false">IF($A1677="","",HOUR($A1677))</f>
        <v/>
      </c>
      <c r="N1677" s="36" t="str">
        <f aca="false">IF($A1677="","",$I1677*$K1677)</f>
        <v/>
      </c>
      <c r="O1677" s="35" t="str">
        <f aca="false">IF(OR($A1677="",$C1677="U",$S1677&lt;&gt;Calc!$F$2),"",SUMIFS($I$3:$I$3002,$E$3:$E$3002,$E1677,$C$3:$C$3002,"&lt;&gt;U",$S$3:$S$3002,Calc!$F$2))</f>
        <v/>
      </c>
      <c r="P1677" s="35" t="str">
        <f aca="false">IF(OR($A1677="",$C1677="U",$S1677&lt;&gt;Calc!$F$2),"",SUMIFS($N$3:$N$3002,$E$3:$E$3002,$E1677,$C$3:$C$3002,"&lt;&gt;U",$S$3:$S$3002,Calc!$F$2))</f>
        <v/>
      </c>
      <c r="Q1677" s="35" t="str">
        <f aca="false">IF(OR($A1677="",$C1677="U",$S1677&lt;&gt;Calc!$F$2),"",IF(COUNTIFS($E$3:$E1677,$E1677,$C$3:$C1677,"&lt;&gt;U",$S$3:$S1677,Calc!$F$2)=1,1,0))</f>
        <v/>
      </c>
      <c r="R1677" s="35" t="str">
        <f aca="false">IF($Q1677=1,$O1677-ROW()/100000,"")</f>
        <v/>
      </c>
      <c r="S1677" s="37" t="str">
        <f aca="false">IF($A1677="","",INT($A1677))</f>
        <v/>
      </c>
      <c r="T1677" s="35" t="str">
        <f aca="false">IF($A1677="","",IF(COUNTIFS($S$3:$S1677,$S1677)=1,1,0))</f>
        <v/>
      </c>
      <c r="U1677" s="37" t="str">
        <f aca="false">IF($T1677=1,$S1677,"")</f>
        <v/>
      </c>
    </row>
    <row r="1678" customFormat="false" ht="15" hidden="false" customHeight="false" outlineLevel="0" collapsed="false">
      <c r="M1678" s="35" t="str">
        <f aca="false">IF($A1678="","",HOUR($A1678))</f>
        <v/>
      </c>
      <c r="N1678" s="36" t="str">
        <f aca="false">IF($A1678="","",$I1678*$K1678)</f>
        <v/>
      </c>
      <c r="O1678" s="35" t="str">
        <f aca="false">IF(OR($A1678="",$C1678="U",$S1678&lt;&gt;Calc!$F$2),"",SUMIFS($I$3:$I$3002,$E$3:$E$3002,$E1678,$C$3:$C$3002,"&lt;&gt;U",$S$3:$S$3002,Calc!$F$2))</f>
        <v/>
      </c>
      <c r="P1678" s="35" t="str">
        <f aca="false">IF(OR($A1678="",$C1678="U",$S1678&lt;&gt;Calc!$F$2),"",SUMIFS($N$3:$N$3002,$E$3:$E$3002,$E1678,$C$3:$C$3002,"&lt;&gt;U",$S$3:$S$3002,Calc!$F$2))</f>
        <v/>
      </c>
      <c r="Q1678" s="35" t="str">
        <f aca="false">IF(OR($A1678="",$C1678="U",$S1678&lt;&gt;Calc!$F$2),"",IF(COUNTIFS($E$3:$E1678,$E1678,$C$3:$C1678,"&lt;&gt;U",$S$3:$S1678,Calc!$F$2)=1,1,0))</f>
        <v/>
      </c>
      <c r="R1678" s="35" t="str">
        <f aca="false">IF($Q1678=1,$O1678-ROW()/100000,"")</f>
        <v/>
      </c>
      <c r="S1678" s="37" t="str">
        <f aca="false">IF($A1678="","",INT($A1678))</f>
        <v/>
      </c>
      <c r="T1678" s="35" t="str">
        <f aca="false">IF($A1678="","",IF(COUNTIFS($S$3:$S1678,$S1678)=1,1,0))</f>
        <v/>
      </c>
      <c r="U1678" s="37" t="str">
        <f aca="false">IF($T1678=1,$S1678,"")</f>
        <v/>
      </c>
    </row>
    <row r="1679" customFormat="false" ht="15" hidden="false" customHeight="false" outlineLevel="0" collapsed="false">
      <c r="M1679" s="35" t="str">
        <f aca="false">IF($A1679="","",HOUR($A1679))</f>
        <v/>
      </c>
      <c r="N1679" s="36" t="str">
        <f aca="false">IF($A1679="","",$I1679*$K1679)</f>
        <v/>
      </c>
      <c r="O1679" s="35" t="str">
        <f aca="false">IF(OR($A1679="",$C1679="U",$S1679&lt;&gt;Calc!$F$2),"",SUMIFS($I$3:$I$3002,$E$3:$E$3002,$E1679,$C$3:$C$3002,"&lt;&gt;U",$S$3:$S$3002,Calc!$F$2))</f>
        <v/>
      </c>
      <c r="P1679" s="35" t="str">
        <f aca="false">IF(OR($A1679="",$C1679="U",$S1679&lt;&gt;Calc!$F$2),"",SUMIFS($N$3:$N$3002,$E$3:$E$3002,$E1679,$C$3:$C$3002,"&lt;&gt;U",$S$3:$S$3002,Calc!$F$2))</f>
        <v/>
      </c>
      <c r="Q1679" s="35" t="str">
        <f aca="false">IF(OR($A1679="",$C1679="U",$S1679&lt;&gt;Calc!$F$2),"",IF(COUNTIFS($E$3:$E1679,$E1679,$C$3:$C1679,"&lt;&gt;U",$S$3:$S1679,Calc!$F$2)=1,1,0))</f>
        <v/>
      </c>
      <c r="R1679" s="35" t="str">
        <f aca="false">IF($Q1679=1,$O1679-ROW()/100000,"")</f>
        <v/>
      </c>
      <c r="S1679" s="37" t="str">
        <f aca="false">IF($A1679="","",INT($A1679))</f>
        <v/>
      </c>
      <c r="T1679" s="35" t="str">
        <f aca="false">IF($A1679="","",IF(COUNTIFS($S$3:$S1679,$S1679)=1,1,0))</f>
        <v/>
      </c>
      <c r="U1679" s="37" t="str">
        <f aca="false">IF($T1679=1,$S1679,"")</f>
        <v/>
      </c>
    </row>
    <row r="1680" customFormat="false" ht="15" hidden="false" customHeight="false" outlineLevel="0" collapsed="false">
      <c r="M1680" s="35" t="str">
        <f aca="false">IF($A1680="","",HOUR($A1680))</f>
        <v/>
      </c>
      <c r="N1680" s="36" t="str">
        <f aca="false">IF($A1680="","",$I1680*$K1680)</f>
        <v/>
      </c>
      <c r="O1680" s="35" t="str">
        <f aca="false">IF(OR($A1680="",$C1680="U",$S1680&lt;&gt;Calc!$F$2),"",SUMIFS($I$3:$I$3002,$E$3:$E$3002,$E1680,$C$3:$C$3002,"&lt;&gt;U",$S$3:$S$3002,Calc!$F$2))</f>
        <v/>
      </c>
      <c r="P1680" s="35" t="str">
        <f aca="false">IF(OR($A1680="",$C1680="U",$S1680&lt;&gt;Calc!$F$2),"",SUMIFS($N$3:$N$3002,$E$3:$E$3002,$E1680,$C$3:$C$3002,"&lt;&gt;U",$S$3:$S$3002,Calc!$F$2))</f>
        <v/>
      </c>
      <c r="Q1680" s="35" t="str">
        <f aca="false">IF(OR($A1680="",$C1680="U",$S1680&lt;&gt;Calc!$F$2),"",IF(COUNTIFS($E$3:$E1680,$E1680,$C$3:$C1680,"&lt;&gt;U",$S$3:$S1680,Calc!$F$2)=1,1,0))</f>
        <v/>
      </c>
      <c r="R1680" s="35" t="str">
        <f aca="false">IF($Q1680=1,$O1680-ROW()/100000,"")</f>
        <v/>
      </c>
      <c r="S1680" s="37" t="str">
        <f aca="false">IF($A1680="","",INT($A1680))</f>
        <v/>
      </c>
      <c r="T1680" s="35" t="str">
        <f aca="false">IF($A1680="","",IF(COUNTIFS($S$3:$S1680,$S1680)=1,1,0))</f>
        <v/>
      </c>
      <c r="U1680" s="37" t="str">
        <f aca="false">IF($T1680=1,$S1680,"")</f>
        <v/>
      </c>
    </row>
    <row r="1681" customFormat="false" ht="15" hidden="false" customHeight="false" outlineLevel="0" collapsed="false">
      <c r="M1681" s="35" t="str">
        <f aca="false">IF($A1681="","",HOUR($A1681))</f>
        <v/>
      </c>
      <c r="N1681" s="36" t="str">
        <f aca="false">IF($A1681="","",$I1681*$K1681)</f>
        <v/>
      </c>
      <c r="O1681" s="35" t="str">
        <f aca="false">IF(OR($A1681="",$C1681="U",$S1681&lt;&gt;Calc!$F$2),"",SUMIFS($I$3:$I$3002,$E$3:$E$3002,$E1681,$C$3:$C$3002,"&lt;&gt;U",$S$3:$S$3002,Calc!$F$2))</f>
        <v/>
      </c>
      <c r="P1681" s="35" t="str">
        <f aca="false">IF(OR($A1681="",$C1681="U",$S1681&lt;&gt;Calc!$F$2),"",SUMIFS($N$3:$N$3002,$E$3:$E$3002,$E1681,$C$3:$C$3002,"&lt;&gt;U",$S$3:$S$3002,Calc!$F$2))</f>
        <v/>
      </c>
      <c r="Q1681" s="35" t="str">
        <f aca="false">IF(OR($A1681="",$C1681="U",$S1681&lt;&gt;Calc!$F$2),"",IF(COUNTIFS($E$3:$E1681,$E1681,$C$3:$C1681,"&lt;&gt;U",$S$3:$S1681,Calc!$F$2)=1,1,0))</f>
        <v/>
      </c>
      <c r="R1681" s="35" t="str">
        <f aca="false">IF($Q1681=1,$O1681-ROW()/100000,"")</f>
        <v/>
      </c>
      <c r="S1681" s="37" t="str">
        <f aca="false">IF($A1681="","",INT($A1681))</f>
        <v/>
      </c>
      <c r="T1681" s="35" t="str">
        <f aca="false">IF($A1681="","",IF(COUNTIFS($S$3:$S1681,$S1681)=1,1,0))</f>
        <v/>
      </c>
      <c r="U1681" s="37" t="str">
        <f aca="false">IF($T1681=1,$S1681,"")</f>
        <v/>
      </c>
    </row>
    <row r="1682" customFormat="false" ht="15" hidden="false" customHeight="false" outlineLevel="0" collapsed="false">
      <c r="M1682" s="35" t="str">
        <f aca="false">IF($A1682="","",HOUR($A1682))</f>
        <v/>
      </c>
      <c r="N1682" s="36" t="str">
        <f aca="false">IF($A1682="","",$I1682*$K1682)</f>
        <v/>
      </c>
      <c r="O1682" s="35" t="str">
        <f aca="false">IF(OR($A1682="",$C1682="U",$S1682&lt;&gt;Calc!$F$2),"",SUMIFS($I$3:$I$3002,$E$3:$E$3002,$E1682,$C$3:$C$3002,"&lt;&gt;U",$S$3:$S$3002,Calc!$F$2))</f>
        <v/>
      </c>
      <c r="P1682" s="35" t="str">
        <f aca="false">IF(OR($A1682="",$C1682="U",$S1682&lt;&gt;Calc!$F$2),"",SUMIFS($N$3:$N$3002,$E$3:$E$3002,$E1682,$C$3:$C$3002,"&lt;&gt;U",$S$3:$S$3002,Calc!$F$2))</f>
        <v/>
      </c>
      <c r="Q1682" s="35" t="str">
        <f aca="false">IF(OR($A1682="",$C1682="U",$S1682&lt;&gt;Calc!$F$2),"",IF(COUNTIFS($E$3:$E1682,$E1682,$C$3:$C1682,"&lt;&gt;U",$S$3:$S1682,Calc!$F$2)=1,1,0))</f>
        <v/>
      </c>
      <c r="R1682" s="35" t="str">
        <f aca="false">IF($Q1682=1,$O1682-ROW()/100000,"")</f>
        <v/>
      </c>
      <c r="S1682" s="37" t="str">
        <f aca="false">IF($A1682="","",INT($A1682))</f>
        <v/>
      </c>
      <c r="T1682" s="35" t="str">
        <f aca="false">IF($A1682="","",IF(COUNTIFS($S$3:$S1682,$S1682)=1,1,0))</f>
        <v/>
      </c>
      <c r="U1682" s="37" t="str">
        <f aca="false">IF($T1682=1,$S1682,"")</f>
        <v/>
      </c>
    </row>
    <row r="1683" customFormat="false" ht="15" hidden="false" customHeight="false" outlineLevel="0" collapsed="false">
      <c r="M1683" s="35" t="str">
        <f aca="false">IF($A1683="","",HOUR($A1683))</f>
        <v/>
      </c>
      <c r="N1683" s="36" t="str">
        <f aca="false">IF($A1683="","",$I1683*$K1683)</f>
        <v/>
      </c>
      <c r="O1683" s="35" t="str">
        <f aca="false">IF(OR($A1683="",$C1683="U",$S1683&lt;&gt;Calc!$F$2),"",SUMIFS($I$3:$I$3002,$E$3:$E$3002,$E1683,$C$3:$C$3002,"&lt;&gt;U",$S$3:$S$3002,Calc!$F$2))</f>
        <v/>
      </c>
      <c r="P1683" s="35" t="str">
        <f aca="false">IF(OR($A1683="",$C1683="U",$S1683&lt;&gt;Calc!$F$2),"",SUMIFS($N$3:$N$3002,$E$3:$E$3002,$E1683,$C$3:$C$3002,"&lt;&gt;U",$S$3:$S$3002,Calc!$F$2))</f>
        <v/>
      </c>
      <c r="Q1683" s="35" t="str">
        <f aca="false">IF(OR($A1683="",$C1683="U",$S1683&lt;&gt;Calc!$F$2),"",IF(COUNTIFS($E$3:$E1683,$E1683,$C$3:$C1683,"&lt;&gt;U",$S$3:$S1683,Calc!$F$2)=1,1,0))</f>
        <v/>
      </c>
      <c r="R1683" s="35" t="str">
        <f aca="false">IF($Q1683=1,$O1683-ROW()/100000,"")</f>
        <v/>
      </c>
      <c r="S1683" s="37" t="str">
        <f aca="false">IF($A1683="","",INT($A1683))</f>
        <v/>
      </c>
      <c r="T1683" s="35" t="str">
        <f aca="false">IF($A1683="","",IF(COUNTIFS($S$3:$S1683,$S1683)=1,1,0))</f>
        <v/>
      </c>
      <c r="U1683" s="37" t="str">
        <f aca="false">IF($T1683=1,$S1683,"")</f>
        <v/>
      </c>
    </row>
    <row r="1684" customFormat="false" ht="15" hidden="false" customHeight="false" outlineLevel="0" collapsed="false">
      <c r="M1684" s="35" t="str">
        <f aca="false">IF($A1684="","",HOUR($A1684))</f>
        <v/>
      </c>
      <c r="N1684" s="36" t="str">
        <f aca="false">IF($A1684="","",$I1684*$K1684)</f>
        <v/>
      </c>
      <c r="O1684" s="35" t="str">
        <f aca="false">IF(OR($A1684="",$C1684="U",$S1684&lt;&gt;Calc!$F$2),"",SUMIFS($I$3:$I$3002,$E$3:$E$3002,$E1684,$C$3:$C$3002,"&lt;&gt;U",$S$3:$S$3002,Calc!$F$2))</f>
        <v/>
      </c>
      <c r="P1684" s="35" t="str">
        <f aca="false">IF(OR($A1684="",$C1684="U",$S1684&lt;&gt;Calc!$F$2),"",SUMIFS($N$3:$N$3002,$E$3:$E$3002,$E1684,$C$3:$C$3002,"&lt;&gt;U",$S$3:$S$3002,Calc!$F$2))</f>
        <v/>
      </c>
      <c r="Q1684" s="35" t="str">
        <f aca="false">IF(OR($A1684="",$C1684="U",$S1684&lt;&gt;Calc!$F$2),"",IF(COUNTIFS($E$3:$E1684,$E1684,$C$3:$C1684,"&lt;&gt;U",$S$3:$S1684,Calc!$F$2)=1,1,0))</f>
        <v/>
      </c>
      <c r="R1684" s="35" t="str">
        <f aca="false">IF($Q1684=1,$O1684-ROW()/100000,"")</f>
        <v/>
      </c>
      <c r="S1684" s="37" t="str">
        <f aca="false">IF($A1684="","",INT($A1684))</f>
        <v/>
      </c>
      <c r="T1684" s="35" t="str">
        <f aca="false">IF($A1684="","",IF(COUNTIFS($S$3:$S1684,$S1684)=1,1,0))</f>
        <v/>
      </c>
      <c r="U1684" s="37" t="str">
        <f aca="false">IF($T1684=1,$S1684,"")</f>
        <v/>
      </c>
    </row>
    <row r="1685" customFormat="false" ht="15" hidden="false" customHeight="false" outlineLevel="0" collapsed="false">
      <c r="M1685" s="35" t="str">
        <f aca="false">IF($A1685="","",HOUR($A1685))</f>
        <v/>
      </c>
      <c r="N1685" s="36" t="str">
        <f aca="false">IF($A1685="","",$I1685*$K1685)</f>
        <v/>
      </c>
      <c r="O1685" s="35" t="str">
        <f aca="false">IF(OR($A1685="",$C1685="U",$S1685&lt;&gt;Calc!$F$2),"",SUMIFS($I$3:$I$3002,$E$3:$E$3002,$E1685,$C$3:$C$3002,"&lt;&gt;U",$S$3:$S$3002,Calc!$F$2))</f>
        <v/>
      </c>
      <c r="P1685" s="35" t="str">
        <f aca="false">IF(OR($A1685="",$C1685="U",$S1685&lt;&gt;Calc!$F$2),"",SUMIFS($N$3:$N$3002,$E$3:$E$3002,$E1685,$C$3:$C$3002,"&lt;&gt;U",$S$3:$S$3002,Calc!$F$2))</f>
        <v/>
      </c>
      <c r="Q1685" s="35" t="str">
        <f aca="false">IF(OR($A1685="",$C1685="U",$S1685&lt;&gt;Calc!$F$2),"",IF(COUNTIFS($E$3:$E1685,$E1685,$C$3:$C1685,"&lt;&gt;U",$S$3:$S1685,Calc!$F$2)=1,1,0))</f>
        <v/>
      </c>
      <c r="R1685" s="35" t="str">
        <f aca="false">IF($Q1685=1,$O1685-ROW()/100000,"")</f>
        <v/>
      </c>
      <c r="S1685" s="37" t="str">
        <f aca="false">IF($A1685="","",INT($A1685))</f>
        <v/>
      </c>
      <c r="T1685" s="35" t="str">
        <f aca="false">IF($A1685="","",IF(COUNTIFS($S$3:$S1685,$S1685)=1,1,0))</f>
        <v/>
      </c>
      <c r="U1685" s="37" t="str">
        <f aca="false">IF($T1685=1,$S1685,"")</f>
        <v/>
      </c>
    </row>
    <row r="1686" customFormat="false" ht="15" hidden="false" customHeight="false" outlineLevel="0" collapsed="false">
      <c r="M1686" s="35" t="str">
        <f aca="false">IF($A1686="","",HOUR($A1686))</f>
        <v/>
      </c>
      <c r="N1686" s="36" t="str">
        <f aca="false">IF($A1686="","",$I1686*$K1686)</f>
        <v/>
      </c>
      <c r="O1686" s="35" t="str">
        <f aca="false">IF(OR($A1686="",$C1686="U",$S1686&lt;&gt;Calc!$F$2),"",SUMIFS($I$3:$I$3002,$E$3:$E$3002,$E1686,$C$3:$C$3002,"&lt;&gt;U",$S$3:$S$3002,Calc!$F$2))</f>
        <v/>
      </c>
      <c r="P1686" s="35" t="str">
        <f aca="false">IF(OR($A1686="",$C1686="U",$S1686&lt;&gt;Calc!$F$2),"",SUMIFS($N$3:$N$3002,$E$3:$E$3002,$E1686,$C$3:$C$3002,"&lt;&gt;U",$S$3:$S$3002,Calc!$F$2))</f>
        <v/>
      </c>
      <c r="Q1686" s="35" t="str">
        <f aca="false">IF(OR($A1686="",$C1686="U",$S1686&lt;&gt;Calc!$F$2),"",IF(COUNTIFS($E$3:$E1686,$E1686,$C$3:$C1686,"&lt;&gt;U",$S$3:$S1686,Calc!$F$2)=1,1,0))</f>
        <v/>
      </c>
      <c r="R1686" s="35" t="str">
        <f aca="false">IF($Q1686=1,$O1686-ROW()/100000,"")</f>
        <v/>
      </c>
      <c r="S1686" s="37" t="str">
        <f aca="false">IF($A1686="","",INT($A1686))</f>
        <v/>
      </c>
      <c r="T1686" s="35" t="str">
        <f aca="false">IF($A1686="","",IF(COUNTIFS($S$3:$S1686,$S1686)=1,1,0))</f>
        <v/>
      </c>
      <c r="U1686" s="37" t="str">
        <f aca="false">IF($T1686=1,$S1686,"")</f>
        <v/>
      </c>
    </row>
    <row r="1687" customFormat="false" ht="15" hidden="false" customHeight="false" outlineLevel="0" collapsed="false">
      <c r="M1687" s="35" t="str">
        <f aca="false">IF($A1687="","",HOUR($A1687))</f>
        <v/>
      </c>
      <c r="N1687" s="36" t="str">
        <f aca="false">IF($A1687="","",$I1687*$K1687)</f>
        <v/>
      </c>
      <c r="O1687" s="35" t="str">
        <f aca="false">IF(OR($A1687="",$C1687="U",$S1687&lt;&gt;Calc!$F$2),"",SUMIFS($I$3:$I$3002,$E$3:$E$3002,$E1687,$C$3:$C$3002,"&lt;&gt;U",$S$3:$S$3002,Calc!$F$2))</f>
        <v/>
      </c>
      <c r="P1687" s="35" t="str">
        <f aca="false">IF(OR($A1687="",$C1687="U",$S1687&lt;&gt;Calc!$F$2),"",SUMIFS($N$3:$N$3002,$E$3:$E$3002,$E1687,$C$3:$C$3002,"&lt;&gt;U",$S$3:$S$3002,Calc!$F$2))</f>
        <v/>
      </c>
      <c r="Q1687" s="35" t="str">
        <f aca="false">IF(OR($A1687="",$C1687="U",$S1687&lt;&gt;Calc!$F$2),"",IF(COUNTIFS($E$3:$E1687,$E1687,$C$3:$C1687,"&lt;&gt;U",$S$3:$S1687,Calc!$F$2)=1,1,0))</f>
        <v/>
      </c>
      <c r="R1687" s="35" t="str">
        <f aca="false">IF($Q1687=1,$O1687-ROW()/100000,"")</f>
        <v/>
      </c>
      <c r="S1687" s="37" t="str">
        <f aca="false">IF($A1687="","",INT($A1687))</f>
        <v/>
      </c>
      <c r="T1687" s="35" t="str">
        <f aca="false">IF($A1687="","",IF(COUNTIFS($S$3:$S1687,$S1687)=1,1,0))</f>
        <v/>
      </c>
      <c r="U1687" s="37" t="str">
        <f aca="false">IF($T1687=1,$S1687,"")</f>
        <v/>
      </c>
    </row>
    <row r="1688" customFormat="false" ht="15" hidden="false" customHeight="false" outlineLevel="0" collapsed="false">
      <c r="M1688" s="35" t="str">
        <f aca="false">IF($A1688="","",HOUR($A1688))</f>
        <v/>
      </c>
      <c r="N1688" s="36" t="str">
        <f aca="false">IF($A1688="","",$I1688*$K1688)</f>
        <v/>
      </c>
      <c r="O1688" s="35" t="str">
        <f aca="false">IF(OR($A1688="",$C1688="U",$S1688&lt;&gt;Calc!$F$2),"",SUMIFS($I$3:$I$3002,$E$3:$E$3002,$E1688,$C$3:$C$3002,"&lt;&gt;U",$S$3:$S$3002,Calc!$F$2))</f>
        <v/>
      </c>
      <c r="P1688" s="35" t="str">
        <f aca="false">IF(OR($A1688="",$C1688="U",$S1688&lt;&gt;Calc!$F$2),"",SUMIFS($N$3:$N$3002,$E$3:$E$3002,$E1688,$C$3:$C$3002,"&lt;&gt;U",$S$3:$S$3002,Calc!$F$2))</f>
        <v/>
      </c>
      <c r="Q1688" s="35" t="str">
        <f aca="false">IF(OR($A1688="",$C1688="U",$S1688&lt;&gt;Calc!$F$2),"",IF(COUNTIFS($E$3:$E1688,$E1688,$C$3:$C1688,"&lt;&gt;U",$S$3:$S1688,Calc!$F$2)=1,1,0))</f>
        <v/>
      </c>
      <c r="R1688" s="35" t="str">
        <f aca="false">IF($Q1688=1,$O1688-ROW()/100000,"")</f>
        <v/>
      </c>
      <c r="S1688" s="37" t="str">
        <f aca="false">IF($A1688="","",INT($A1688))</f>
        <v/>
      </c>
      <c r="T1688" s="35" t="str">
        <f aca="false">IF($A1688="","",IF(COUNTIFS($S$3:$S1688,$S1688)=1,1,0))</f>
        <v/>
      </c>
      <c r="U1688" s="37" t="str">
        <f aca="false">IF($T1688=1,$S1688,"")</f>
        <v/>
      </c>
    </row>
    <row r="1689" customFormat="false" ht="15" hidden="false" customHeight="false" outlineLevel="0" collapsed="false">
      <c r="M1689" s="35" t="str">
        <f aca="false">IF($A1689="","",HOUR($A1689))</f>
        <v/>
      </c>
      <c r="N1689" s="36" t="str">
        <f aca="false">IF($A1689="","",$I1689*$K1689)</f>
        <v/>
      </c>
      <c r="O1689" s="35" t="str">
        <f aca="false">IF(OR($A1689="",$C1689="U",$S1689&lt;&gt;Calc!$F$2),"",SUMIFS($I$3:$I$3002,$E$3:$E$3002,$E1689,$C$3:$C$3002,"&lt;&gt;U",$S$3:$S$3002,Calc!$F$2))</f>
        <v/>
      </c>
      <c r="P1689" s="35" t="str">
        <f aca="false">IF(OR($A1689="",$C1689="U",$S1689&lt;&gt;Calc!$F$2),"",SUMIFS($N$3:$N$3002,$E$3:$E$3002,$E1689,$C$3:$C$3002,"&lt;&gt;U",$S$3:$S$3002,Calc!$F$2))</f>
        <v/>
      </c>
      <c r="Q1689" s="35" t="str">
        <f aca="false">IF(OR($A1689="",$C1689="U",$S1689&lt;&gt;Calc!$F$2),"",IF(COUNTIFS($E$3:$E1689,$E1689,$C$3:$C1689,"&lt;&gt;U",$S$3:$S1689,Calc!$F$2)=1,1,0))</f>
        <v/>
      </c>
      <c r="R1689" s="35" t="str">
        <f aca="false">IF($Q1689=1,$O1689-ROW()/100000,"")</f>
        <v/>
      </c>
      <c r="S1689" s="37" t="str">
        <f aca="false">IF($A1689="","",INT($A1689))</f>
        <v/>
      </c>
      <c r="T1689" s="35" t="str">
        <f aca="false">IF($A1689="","",IF(COUNTIFS($S$3:$S1689,$S1689)=1,1,0))</f>
        <v/>
      </c>
      <c r="U1689" s="37" t="str">
        <f aca="false">IF($T1689=1,$S1689,"")</f>
        <v/>
      </c>
    </row>
    <row r="1690" customFormat="false" ht="15" hidden="false" customHeight="false" outlineLevel="0" collapsed="false">
      <c r="M1690" s="35" t="str">
        <f aca="false">IF($A1690="","",HOUR($A1690))</f>
        <v/>
      </c>
      <c r="N1690" s="36" t="str">
        <f aca="false">IF($A1690="","",$I1690*$K1690)</f>
        <v/>
      </c>
      <c r="O1690" s="35" t="str">
        <f aca="false">IF(OR($A1690="",$C1690="U",$S1690&lt;&gt;Calc!$F$2),"",SUMIFS($I$3:$I$3002,$E$3:$E$3002,$E1690,$C$3:$C$3002,"&lt;&gt;U",$S$3:$S$3002,Calc!$F$2))</f>
        <v/>
      </c>
      <c r="P1690" s="35" t="str">
        <f aca="false">IF(OR($A1690="",$C1690="U",$S1690&lt;&gt;Calc!$F$2),"",SUMIFS($N$3:$N$3002,$E$3:$E$3002,$E1690,$C$3:$C$3002,"&lt;&gt;U",$S$3:$S$3002,Calc!$F$2))</f>
        <v/>
      </c>
      <c r="Q1690" s="35" t="str">
        <f aca="false">IF(OR($A1690="",$C1690="U",$S1690&lt;&gt;Calc!$F$2),"",IF(COUNTIFS($E$3:$E1690,$E1690,$C$3:$C1690,"&lt;&gt;U",$S$3:$S1690,Calc!$F$2)=1,1,0))</f>
        <v/>
      </c>
      <c r="R1690" s="35" t="str">
        <f aca="false">IF($Q1690=1,$O1690-ROW()/100000,"")</f>
        <v/>
      </c>
      <c r="S1690" s="37" t="str">
        <f aca="false">IF($A1690="","",INT($A1690))</f>
        <v/>
      </c>
      <c r="T1690" s="35" t="str">
        <f aca="false">IF($A1690="","",IF(COUNTIFS($S$3:$S1690,$S1690)=1,1,0))</f>
        <v/>
      </c>
      <c r="U1690" s="37" t="str">
        <f aca="false">IF($T1690=1,$S1690,"")</f>
        <v/>
      </c>
    </row>
    <row r="1691" customFormat="false" ht="15" hidden="false" customHeight="false" outlineLevel="0" collapsed="false">
      <c r="M1691" s="35" t="str">
        <f aca="false">IF($A1691="","",HOUR($A1691))</f>
        <v/>
      </c>
      <c r="N1691" s="36" t="str">
        <f aca="false">IF($A1691="","",$I1691*$K1691)</f>
        <v/>
      </c>
      <c r="O1691" s="35" t="str">
        <f aca="false">IF(OR($A1691="",$C1691="U",$S1691&lt;&gt;Calc!$F$2),"",SUMIFS($I$3:$I$3002,$E$3:$E$3002,$E1691,$C$3:$C$3002,"&lt;&gt;U",$S$3:$S$3002,Calc!$F$2))</f>
        <v/>
      </c>
      <c r="P1691" s="35" t="str">
        <f aca="false">IF(OR($A1691="",$C1691="U",$S1691&lt;&gt;Calc!$F$2),"",SUMIFS($N$3:$N$3002,$E$3:$E$3002,$E1691,$C$3:$C$3002,"&lt;&gt;U",$S$3:$S$3002,Calc!$F$2))</f>
        <v/>
      </c>
      <c r="Q1691" s="35" t="str">
        <f aca="false">IF(OR($A1691="",$C1691="U",$S1691&lt;&gt;Calc!$F$2),"",IF(COUNTIFS($E$3:$E1691,$E1691,$C$3:$C1691,"&lt;&gt;U",$S$3:$S1691,Calc!$F$2)=1,1,0))</f>
        <v/>
      </c>
      <c r="R1691" s="35" t="str">
        <f aca="false">IF($Q1691=1,$O1691-ROW()/100000,"")</f>
        <v/>
      </c>
      <c r="S1691" s="37" t="str">
        <f aca="false">IF($A1691="","",INT($A1691))</f>
        <v/>
      </c>
      <c r="T1691" s="35" t="str">
        <f aca="false">IF($A1691="","",IF(COUNTIFS($S$3:$S1691,$S1691)=1,1,0))</f>
        <v/>
      </c>
      <c r="U1691" s="37" t="str">
        <f aca="false">IF($T1691=1,$S1691,"")</f>
        <v/>
      </c>
    </row>
    <row r="1692" customFormat="false" ht="15" hidden="false" customHeight="false" outlineLevel="0" collapsed="false">
      <c r="M1692" s="35" t="str">
        <f aca="false">IF($A1692="","",HOUR($A1692))</f>
        <v/>
      </c>
      <c r="N1692" s="36" t="str">
        <f aca="false">IF($A1692="","",$I1692*$K1692)</f>
        <v/>
      </c>
      <c r="O1692" s="35" t="str">
        <f aca="false">IF(OR($A1692="",$C1692="U",$S1692&lt;&gt;Calc!$F$2),"",SUMIFS($I$3:$I$3002,$E$3:$E$3002,$E1692,$C$3:$C$3002,"&lt;&gt;U",$S$3:$S$3002,Calc!$F$2))</f>
        <v/>
      </c>
      <c r="P1692" s="35" t="str">
        <f aca="false">IF(OR($A1692="",$C1692="U",$S1692&lt;&gt;Calc!$F$2),"",SUMIFS($N$3:$N$3002,$E$3:$E$3002,$E1692,$C$3:$C$3002,"&lt;&gt;U",$S$3:$S$3002,Calc!$F$2))</f>
        <v/>
      </c>
      <c r="Q1692" s="35" t="str">
        <f aca="false">IF(OR($A1692="",$C1692="U",$S1692&lt;&gt;Calc!$F$2),"",IF(COUNTIFS($E$3:$E1692,$E1692,$C$3:$C1692,"&lt;&gt;U",$S$3:$S1692,Calc!$F$2)=1,1,0))</f>
        <v/>
      </c>
      <c r="R1692" s="35" t="str">
        <f aca="false">IF($Q1692=1,$O1692-ROW()/100000,"")</f>
        <v/>
      </c>
      <c r="S1692" s="37" t="str">
        <f aca="false">IF($A1692="","",INT($A1692))</f>
        <v/>
      </c>
      <c r="T1692" s="35" t="str">
        <f aca="false">IF($A1692="","",IF(COUNTIFS($S$3:$S1692,$S1692)=1,1,0))</f>
        <v/>
      </c>
      <c r="U1692" s="37" t="str">
        <f aca="false">IF($T1692=1,$S1692,"")</f>
        <v/>
      </c>
    </row>
    <row r="1693" customFormat="false" ht="15" hidden="false" customHeight="false" outlineLevel="0" collapsed="false">
      <c r="M1693" s="35" t="str">
        <f aca="false">IF($A1693="","",HOUR($A1693))</f>
        <v/>
      </c>
      <c r="N1693" s="36" t="str">
        <f aca="false">IF($A1693="","",$I1693*$K1693)</f>
        <v/>
      </c>
      <c r="O1693" s="35" t="str">
        <f aca="false">IF(OR($A1693="",$C1693="U",$S1693&lt;&gt;Calc!$F$2),"",SUMIFS($I$3:$I$3002,$E$3:$E$3002,$E1693,$C$3:$C$3002,"&lt;&gt;U",$S$3:$S$3002,Calc!$F$2))</f>
        <v/>
      </c>
      <c r="P1693" s="35" t="str">
        <f aca="false">IF(OR($A1693="",$C1693="U",$S1693&lt;&gt;Calc!$F$2),"",SUMIFS($N$3:$N$3002,$E$3:$E$3002,$E1693,$C$3:$C$3002,"&lt;&gt;U",$S$3:$S$3002,Calc!$F$2))</f>
        <v/>
      </c>
      <c r="Q1693" s="35" t="str">
        <f aca="false">IF(OR($A1693="",$C1693="U",$S1693&lt;&gt;Calc!$F$2),"",IF(COUNTIFS($E$3:$E1693,$E1693,$C$3:$C1693,"&lt;&gt;U",$S$3:$S1693,Calc!$F$2)=1,1,0))</f>
        <v/>
      </c>
      <c r="R1693" s="35" t="str">
        <f aca="false">IF($Q1693=1,$O1693-ROW()/100000,"")</f>
        <v/>
      </c>
      <c r="S1693" s="37" t="str">
        <f aca="false">IF($A1693="","",INT($A1693))</f>
        <v/>
      </c>
      <c r="T1693" s="35" t="str">
        <f aca="false">IF($A1693="","",IF(COUNTIFS($S$3:$S1693,$S1693)=1,1,0))</f>
        <v/>
      </c>
      <c r="U1693" s="37" t="str">
        <f aca="false">IF($T1693=1,$S1693,"")</f>
        <v/>
      </c>
    </row>
    <row r="1694" customFormat="false" ht="15" hidden="false" customHeight="false" outlineLevel="0" collapsed="false">
      <c r="M1694" s="35" t="str">
        <f aca="false">IF($A1694="","",HOUR($A1694))</f>
        <v/>
      </c>
      <c r="N1694" s="36" t="str">
        <f aca="false">IF($A1694="","",$I1694*$K1694)</f>
        <v/>
      </c>
      <c r="O1694" s="35" t="str">
        <f aca="false">IF(OR($A1694="",$C1694="U",$S1694&lt;&gt;Calc!$F$2),"",SUMIFS($I$3:$I$3002,$E$3:$E$3002,$E1694,$C$3:$C$3002,"&lt;&gt;U",$S$3:$S$3002,Calc!$F$2))</f>
        <v/>
      </c>
      <c r="P1694" s="35" t="str">
        <f aca="false">IF(OR($A1694="",$C1694="U",$S1694&lt;&gt;Calc!$F$2),"",SUMIFS($N$3:$N$3002,$E$3:$E$3002,$E1694,$C$3:$C$3002,"&lt;&gt;U",$S$3:$S$3002,Calc!$F$2))</f>
        <v/>
      </c>
      <c r="Q1694" s="35" t="str">
        <f aca="false">IF(OR($A1694="",$C1694="U",$S1694&lt;&gt;Calc!$F$2),"",IF(COUNTIFS($E$3:$E1694,$E1694,$C$3:$C1694,"&lt;&gt;U",$S$3:$S1694,Calc!$F$2)=1,1,0))</f>
        <v/>
      </c>
      <c r="R1694" s="35" t="str">
        <f aca="false">IF($Q1694=1,$O1694-ROW()/100000,"")</f>
        <v/>
      </c>
      <c r="S1694" s="37" t="str">
        <f aca="false">IF($A1694="","",INT($A1694))</f>
        <v/>
      </c>
      <c r="T1694" s="35" t="str">
        <f aca="false">IF($A1694="","",IF(COUNTIFS($S$3:$S1694,$S1694)=1,1,0))</f>
        <v/>
      </c>
      <c r="U1694" s="37" t="str">
        <f aca="false">IF($T1694=1,$S1694,"")</f>
        <v/>
      </c>
    </row>
    <row r="1695" customFormat="false" ht="15" hidden="false" customHeight="false" outlineLevel="0" collapsed="false">
      <c r="M1695" s="35" t="str">
        <f aca="false">IF($A1695="","",HOUR($A1695))</f>
        <v/>
      </c>
      <c r="N1695" s="36" t="str">
        <f aca="false">IF($A1695="","",$I1695*$K1695)</f>
        <v/>
      </c>
      <c r="O1695" s="35" t="str">
        <f aca="false">IF(OR($A1695="",$C1695="U",$S1695&lt;&gt;Calc!$F$2),"",SUMIFS($I$3:$I$3002,$E$3:$E$3002,$E1695,$C$3:$C$3002,"&lt;&gt;U",$S$3:$S$3002,Calc!$F$2))</f>
        <v/>
      </c>
      <c r="P1695" s="35" t="str">
        <f aca="false">IF(OR($A1695="",$C1695="U",$S1695&lt;&gt;Calc!$F$2),"",SUMIFS($N$3:$N$3002,$E$3:$E$3002,$E1695,$C$3:$C$3002,"&lt;&gt;U",$S$3:$S$3002,Calc!$F$2))</f>
        <v/>
      </c>
      <c r="Q1695" s="35" t="str">
        <f aca="false">IF(OR($A1695="",$C1695="U",$S1695&lt;&gt;Calc!$F$2),"",IF(COUNTIFS($E$3:$E1695,$E1695,$C$3:$C1695,"&lt;&gt;U",$S$3:$S1695,Calc!$F$2)=1,1,0))</f>
        <v/>
      </c>
      <c r="R1695" s="35" t="str">
        <f aca="false">IF($Q1695=1,$O1695-ROW()/100000,"")</f>
        <v/>
      </c>
      <c r="S1695" s="37" t="str">
        <f aca="false">IF($A1695="","",INT($A1695))</f>
        <v/>
      </c>
      <c r="T1695" s="35" t="str">
        <f aca="false">IF($A1695="","",IF(COUNTIFS($S$3:$S1695,$S1695)=1,1,0))</f>
        <v/>
      </c>
      <c r="U1695" s="37" t="str">
        <f aca="false">IF($T1695=1,$S1695,"")</f>
        <v/>
      </c>
    </row>
    <row r="1696" customFormat="false" ht="15" hidden="false" customHeight="false" outlineLevel="0" collapsed="false">
      <c r="M1696" s="35" t="str">
        <f aca="false">IF($A1696="","",HOUR($A1696))</f>
        <v/>
      </c>
      <c r="N1696" s="36" t="str">
        <f aca="false">IF($A1696="","",$I1696*$K1696)</f>
        <v/>
      </c>
      <c r="O1696" s="35" t="str">
        <f aca="false">IF(OR($A1696="",$C1696="U",$S1696&lt;&gt;Calc!$F$2),"",SUMIFS($I$3:$I$3002,$E$3:$E$3002,$E1696,$C$3:$C$3002,"&lt;&gt;U",$S$3:$S$3002,Calc!$F$2))</f>
        <v/>
      </c>
      <c r="P1696" s="35" t="str">
        <f aca="false">IF(OR($A1696="",$C1696="U",$S1696&lt;&gt;Calc!$F$2),"",SUMIFS($N$3:$N$3002,$E$3:$E$3002,$E1696,$C$3:$C$3002,"&lt;&gt;U",$S$3:$S$3002,Calc!$F$2))</f>
        <v/>
      </c>
      <c r="Q1696" s="35" t="str">
        <f aca="false">IF(OR($A1696="",$C1696="U",$S1696&lt;&gt;Calc!$F$2),"",IF(COUNTIFS($E$3:$E1696,$E1696,$C$3:$C1696,"&lt;&gt;U",$S$3:$S1696,Calc!$F$2)=1,1,0))</f>
        <v/>
      </c>
      <c r="R1696" s="35" t="str">
        <f aca="false">IF($Q1696=1,$O1696-ROW()/100000,"")</f>
        <v/>
      </c>
      <c r="S1696" s="37" t="str">
        <f aca="false">IF($A1696="","",INT($A1696))</f>
        <v/>
      </c>
      <c r="T1696" s="35" t="str">
        <f aca="false">IF($A1696="","",IF(COUNTIFS($S$3:$S1696,$S1696)=1,1,0))</f>
        <v/>
      </c>
      <c r="U1696" s="37" t="str">
        <f aca="false">IF($T1696=1,$S1696,"")</f>
        <v/>
      </c>
    </row>
    <row r="1697" customFormat="false" ht="15" hidden="false" customHeight="false" outlineLevel="0" collapsed="false">
      <c r="M1697" s="35" t="str">
        <f aca="false">IF($A1697="","",HOUR($A1697))</f>
        <v/>
      </c>
      <c r="N1697" s="36" t="str">
        <f aca="false">IF($A1697="","",$I1697*$K1697)</f>
        <v/>
      </c>
      <c r="O1697" s="35" t="str">
        <f aca="false">IF(OR($A1697="",$C1697="U",$S1697&lt;&gt;Calc!$F$2),"",SUMIFS($I$3:$I$3002,$E$3:$E$3002,$E1697,$C$3:$C$3002,"&lt;&gt;U",$S$3:$S$3002,Calc!$F$2))</f>
        <v/>
      </c>
      <c r="P1697" s="35" t="str">
        <f aca="false">IF(OR($A1697="",$C1697="U",$S1697&lt;&gt;Calc!$F$2),"",SUMIFS($N$3:$N$3002,$E$3:$E$3002,$E1697,$C$3:$C$3002,"&lt;&gt;U",$S$3:$S$3002,Calc!$F$2))</f>
        <v/>
      </c>
      <c r="Q1697" s="35" t="str">
        <f aca="false">IF(OR($A1697="",$C1697="U",$S1697&lt;&gt;Calc!$F$2),"",IF(COUNTIFS($E$3:$E1697,$E1697,$C$3:$C1697,"&lt;&gt;U",$S$3:$S1697,Calc!$F$2)=1,1,0))</f>
        <v/>
      </c>
      <c r="R1697" s="35" t="str">
        <f aca="false">IF($Q1697=1,$O1697-ROW()/100000,"")</f>
        <v/>
      </c>
      <c r="S1697" s="37" t="str">
        <f aca="false">IF($A1697="","",INT($A1697))</f>
        <v/>
      </c>
      <c r="T1697" s="35" t="str">
        <f aca="false">IF($A1697="","",IF(COUNTIFS($S$3:$S1697,$S1697)=1,1,0))</f>
        <v/>
      </c>
      <c r="U1697" s="37" t="str">
        <f aca="false">IF($T1697=1,$S1697,"")</f>
        <v/>
      </c>
    </row>
    <row r="1698" customFormat="false" ht="15" hidden="false" customHeight="false" outlineLevel="0" collapsed="false">
      <c r="M1698" s="35" t="str">
        <f aca="false">IF($A1698="","",HOUR($A1698))</f>
        <v/>
      </c>
      <c r="N1698" s="36" t="str">
        <f aca="false">IF($A1698="","",$I1698*$K1698)</f>
        <v/>
      </c>
      <c r="O1698" s="35" t="str">
        <f aca="false">IF(OR($A1698="",$C1698="U",$S1698&lt;&gt;Calc!$F$2),"",SUMIFS($I$3:$I$3002,$E$3:$E$3002,$E1698,$C$3:$C$3002,"&lt;&gt;U",$S$3:$S$3002,Calc!$F$2))</f>
        <v/>
      </c>
      <c r="P1698" s="35" t="str">
        <f aca="false">IF(OR($A1698="",$C1698="U",$S1698&lt;&gt;Calc!$F$2),"",SUMIFS($N$3:$N$3002,$E$3:$E$3002,$E1698,$C$3:$C$3002,"&lt;&gt;U",$S$3:$S$3002,Calc!$F$2))</f>
        <v/>
      </c>
      <c r="Q1698" s="35" t="str">
        <f aca="false">IF(OR($A1698="",$C1698="U",$S1698&lt;&gt;Calc!$F$2),"",IF(COUNTIFS($E$3:$E1698,$E1698,$C$3:$C1698,"&lt;&gt;U",$S$3:$S1698,Calc!$F$2)=1,1,0))</f>
        <v/>
      </c>
      <c r="R1698" s="35" t="str">
        <f aca="false">IF($Q1698=1,$O1698-ROW()/100000,"")</f>
        <v/>
      </c>
      <c r="S1698" s="37" t="str">
        <f aca="false">IF($A1698="","",INT($A1698))</f>
        <v/>
      </c>
      <c r="T1698" s="35" t="str">
        <f aca="false">IF($A1698="","",IF(COUNTIFS($S$3:$S1698,$S1698)=1,1,0))</f>
        <v/>
      </c>
      <c r="U1698" s="37" t="str">
        <f aca="false">IF($T1698=1,$S1698,"")</f>
        <v/>
      </c>
    </row>
    <row r="1699" customFormat="false" ht="15" hidden="false" customHeight="false" outlineLevel="0" collapsed="false">
      <c r="M1699" s="35" t="str">
        <f aca="false">IF($A1699="","",HOUR($A1699))</f>
        <v/>
      </c>
      <c r="N1699" s="36" t="str">
        <f aca="false">IF($A1699="","",$I1699*$K1699)</f>
        <v/>
      </c>
      <c r="O1699" s="35" t="str">
        <f aca="false">IF(OR($A1699="",$C1699="U",$S1699&lt;&gt;Calc!$F$2),"",SUMIFS($I$3:$I$3002,$E$3:$E$3002,$E1699,$C$3:$C$3002,"&lt;&gt;U",$S$3:$S$3002,Calc!$F$2))</f>
        <v/>
      </c>
      <c r="P1699" s="35" t="str">
        <f aca="false">IF(OR($A1699="",$C1699="U",$S1699&lt;&gt;Calc!$F$2),"",SUMIFS($N$3:$N$3002,$E$3:$E$3002,$E1699,$C$3:$C$3002,"&lt;&gt;U",$S$3:$S$3002,Calc!$F$2))</f>
        <v/>
      </c>
      <c r="Q1699" s="35" t="str">
        <f aca="false">IF(OR($A1699="",$C1699="U",$S1699&lt;&gt;Calc!$F$2),"",IF(COUNTIFS($E$3:$E1699,$E1699,$C$3:$C1699,"&lt;&gt;U",$S$3:$S1699,Calc!$F$2)=1,1,0))</f>
        <v/>
      </c>
      <c r="R1699" s="35" t="str">
        <f aca="false">IF($Q1699=1,$O1699-ROW()/100000,"")</f>
        <v/>
      </c>
      <c r="S1699" s="37" t="str">
        <f aca="false">IF($A1699="","",INT($A1699))</f>
        <v/>
      </c>
      <c r="T1699" s="35" t="str">
        <f aca="false">IF($A1699="","",IF(COUNTIFS($S$3:$S1699,$S1699)=1,1,0))</f>
        <v/>
      </c>
      <c r="U1699" s="37" t="str">
        <f aca="false">IF($T1699=1,$S1699,"")</f>
        <v/>
      </c>
    </row>
    <row r="1700" customFormat="false" ht="15" hidden="false" customHeight="false" outlineLevel="0" collapsed="false">
      <c r="M1700" s="35" t="str">
        <f aca="false">IF($A1700="","",HOUR($A1700))</f>
        <v/>
      </c>
      <c r="N1700" s="36" t="str">
        <f aca="false">IF($A1700="","",$I1700*$K1700)</f>
        <v/>
      </c>
      <c r="O1700" s="35" t="str">
        <f aca="false">IF(OR($A1700="",$C1700="U",$S1700&lt;&gt;Calc!$F$2),"",SUMIFS($I$3:$I$3002,$E$3:$E$3002,$E1700,$C$3:$C$3002,"&lt;&gt;U",$S$3:$S$3002,Calc!$F$2))</f>
        <v/>
      </c>
      <c r="P1700" s="35" t="str">
        <f aca="false">IF(OR($A1700="",$C1700="U",$S1700&lt;&gt;Calc!$F$2),"",SUMIFS($N$3:$N$3002,$E$3:$E$3002,$E1700,$C$3:$C$3002,"&lt;&gt;U",$S$3:$S$3002,Calc!$F$2))</f>
        <v/>
      </c>
      <c r="Q1700" s="35" t="str">
        <f aca="false">IF(OR($A1700="",$C1700="U",$S1700&lt;&gt;Calc!$F$2),"",IF(COUNTIFS($E$3:$E1700,$E1700,$C$3:$C1700,"&lt;&gt;U",$S$3:$S1700,Calc!$F$2)=1,1,0))</f>
        <v/>
      </c>
      <c r="R1700" s="35" t="str">
        <f aca="false">IF($Q1700=1,$O1700-ROW()/100000,"")</f>
        <v/>
      </c>
      <c r="S1700" s="37" t="str">
        <f aca="false">IF($A1700="","",INT($A1700))</f>
        <v/>
      </c>
      <c r="T1700" s="35" t="str">
        <f aca="false">IF($A1700="","",IF(COUNTIFS($S$3:$S1700,$S1700)=1,1,0))</f>
        <v/>
      </c>
      <c r="U1700" s="37" t="str">
        <f aca="false">IF($T1700=1,$S1700,"")</f>
        <v/>
      </c>
    </row>
    <row r="1701" customFormat="false" ht="15" hidden="false" customHeight="false" outlineLevel="0" collapsed="false">
      <c r="M1701" s="35" t="str">
        <f aca="false">IF($A1701="","",HOUR($A1701))</f>
        <v/>
      </c>
      <c r="N1701" s="36" t="str">
        <f aca="false">IF($A1701="","",$I1701*$K1701)</f>
        <v/>
      </c>
      <c r="O1701" s="35" t="str">
        <f aca="false">IF(OR($A1701="",$C1701="U",$S1701&lt;&gt;Calc!$F$2),"",SUMIFS($I$3:$I$3002,$E$3:$E$3002,$E1701,$C$3:$C$3002,"&lt;&gt;U",$S$3:$S$3002,Calc!$F$2))</f>
        <v/>
      </c>
      <c r="P1701" s="35" t="str">
        <f aca="false">IF(OR($A1701="",$C1701="U",$S1701&lt;&gt;Calc!$F$2),"",SUMIFS($N$3:$N$3002,$E$3:$E$3002,$E1701,$C$3:$C$3002,"&lt;&gt;U",$S$3:$S$3002,Calc!$F$2))</f>
        <v/>
      </c>
      <c r="Q1701" s="35" t="str">
        <f aca="false">IF(OR($A1701="",$C1701="U",$S1701&lt;&gt;Calc!$F$2),"",IF(COUNTIFS($E$3:$E1701,$E1701,$C$3:$C1701,"&lt;&gt;U",$S$3:$S1701,Calc!$F$2)=1,1,0))</f>
        <v/>
      </c>
      <c r="R1701" s="35" t="str">
        <f aca="false">IF($Q1701=1,$O1701-ROW()/100000,"")</f>
        <v/>
      </c>
      <c r="S1701" s="37" t="str">
        <f aca="false">IF($A1701="","",INT($A1701))</f>
        <v/>
      </c>
      <c r="T1701" s="35" t="str">
        <f aca="false">IF($A1701="","",IF(COUNTIFS($S$3:$S1701,$S1701)=1,1,0))</f>
        <v/>
      </c>
      <c r="U1701" s="37" t="str">
        <f aca="false">IF($T1701=1,$S1701,"")</f>
        <v/>
      </c>
    </row>
    <row r="1702" customFormat="false" ht="15" hidden="false" customHeight="false" outlineLevel="0" collapsed="false">
      <c r="M1702" s="35" t="str">
        <f aca="false">IF($A1702="","",HOUR($A1702))</f>
        <v/>
      </c>
      <c r="N1702" s="36" t="str">
        <f aca="false">IF($A1702="","",$I1702*$K1702)</f>
        <v/>
      </c>
      <c r="O1702" s="35" t="str">
        <f aca="false">IF(OR($A1702="",$C1702="U",$S1702&lt;&gt;Calc!$F$2),"",SUMIFS($I$3:$I$3002,$E$3:$E$3002,$E1702,$C$3:$C$3002,"&lt;&gt;U",$S$3:$S$3002,Calc!$F$2))</f>
        <v/>
      </c>
      <c r="P1702" s="35" t="str">
        <f aca="false">IF(OR($A1702="",$C1702="U",$S1702&lt;&gt;Calc!$F$2),"",SUMIFS($N$3:$N$3002,$E$3:$E$3002,$E1702,$C$3:$C$3002,"&lt;&gt;U",$S$3:$S$3002,Calc!$F$2))</f>
        <v/>
      </c>
      <c r="Q1702" s="35" t="str">
        <f aca="false">IF(OR($A1702="",$C1702="U",$S1702&lt;&gt;Calc!$F$2),"",IF(COUNTIFS($E$3:$E1702,$E1702,$C$3:$C1702,"&lt;&gt;U",$S$3:$S1702,Calc!$F$2)=1,1,0))</f>
        <v/>
      </c>
      <c r="R1702" s="35" t="str">
        <f aca="false">IF($Q1702=1,$O1702-ROW()/100000,"")</f>
        <v/>
      </c>
      <c r="S1702" s="37" t="str">
        <f aca="false">IF($A1702="","",INT($A1702))</f>
        <v/>
      </c>
      <c r="T1702" s="35" t="str">
        <f aca="false">IF($A1702="","",IF(COUNTIFS($S$3:$S1702,$S1702)=1,1,0))</f>
        <v/>
      </c>
      <c r="U1702" s="37" t="str">
        <f aca="false">IF($T1702=1,$S1702,"")</f>
        <v/>
      </c>
    </row>
    <row r="1703" customFormat="false" ht="15" hidden="false" customHeight="false" outlineLevel="0" collapsed="false">
      <c r="M1703" s="35" t="str">
        <f aca="false">IF($A1703="","",HOUR($A1703))</f>
        <v/>
      </c>
      <c r="N1703" s="36" t="str">
        <f aca="false">IF($A1703="","",$I1703*$K1703)</f>
        <v/>
      </c>
      <c r="O1703" s="35" t="str">
        <f aca="false">IF(OR($A1703="",$C1703="U",$S1703&lt;&gt;Calc!$F$2),"",SUMIFS($I$3:$I$3002,$E$3:$E$3002,$E1703,$C$3:$C$3002,"&lt;&gt;U",$S$3:$S$3002,Calc!$F$2))</f>
        <v/>
      </c>
      <c r="P1703" s="35" t="str">
        <f aca="false">IF(OR($A1703="",$C1703="U",$S1703&lt;&gt;Calc!$F$2),"",SUMIFS($N$3:$N$3002,$E$3:$E$3002,$E1703,$C$3:$C$3002,"&lt;&gt;U",$S$3:$S$3002,Calc!$F$2))</f>
        <v/>
      </c>
      <c r="Q1703" s="35" t="str">
        <f aca="false">IF(OR($A1703="",$C1703="U",$S1703&lt;&gt;Calc!$F$2),"",IF(COUNTIFS($E$3:$E1703,$E1703,$C$3:$C1703,"&lt;&gt;U",$S$3:$S1703,Calc!$F$2)=1,1,0))</f>
        <v/>
      </c>
      <c r="R1703" s="35" t="str">
        <f aca="false">IF($Q1703=1,$O1703-ROW()/100000,"")</f>
        <v/>
      </c>
      <c r="S1703" s="37" t="str">
        <f aca="false">IF($A1703="","",INT($A1703))</f>
        <v/>
      </c>
      <c r="T1703" s="35" t="str">
        <f aca="false">IF($A1703="","",IF(COUNTIFS($S$3:$S1703,$S1703)=1,1,0))</f>
        <v/>
      </c>
      <c r="U1703" s="37" t="str">
        <f aca="false">IF($T1703=1,$S1703,"")</f>
        <v/>
      </c>
    </row>
    <row r="1704" customFormat="false" ht="15" hidden="false" customHeight="false" outlineLevel="0" collapsed="false">
      <c r="M1704" s="35" t="str">
        <f aca="false">IF($A1704="","",HOUR($A1704))</f>
        <v/>
      </c>
      <c r="N1704" s="36" t="str">
        <f aca="false">IF($A1704="","",$I1704*$K1704)</f>
        <v/>
      </c>
      <c r="O1704" s="35" t="str">
        <f aca="false">IF(OR($A1704="",$C1704="U",$S1704&lt;&gt;Calc!$F$2),"",SUMIFS($I$3:$I$3002,$E$3:$E$3002,$E1704,$C$3:$C$3002,"&lt;&gt;U",$S$3:$S$3002,Calc!$F$2))</f>
        <v/>
      </c>
      <c r="P1704" s="35" t="str">
        <f aca="false">IF(OR($A1704="",$C1704="U",$S1704&lt;&gt;Calc!$F$2),"",SUMIFS($N$3:$N$3002,$E$3:$E$3002,$E1704,$C$3:$C$3002,"&lt;&gt;U",$S$3:$S$3002,Calc!$F$2))</f>
        <v/>
      </c>
      <c r="Q1704" s="35" t="str">
        <f aca="false">IF(OR($A1704="",$C1704="U",$S1704&lt;&gt;Calc!$F$2),"",IF(COUNTIFS($E$3:$E1704,$E1704,$C$3:$C1704,"&lt;&gt;U",$S$3:$S1704,Calc!$F$2)=1,1,0))</f>
        <v/>
      </c>
      <c r="R1704" s="35" t="str">
        <f aca="false">IF($Q1704=1,$O1704-ROW()/100000,"")</f>
        <v/>
      </c>
      <c r="S1704" s="37" t="str">
        <f aca="false">IF($A1704="","",INT($A1704))</f>
        <v/>
      </c>
      <c r="T1704" s="35" t="str">
        <f aca="false">IF($A1704="","",IF(COUNTIFS($S$3:$S1704,$S1704)=1,1,0))</f>
        <v/>
      </c>
      <c r="U1704" s="37" t="str">
        <f aca="false">IF($T1704=1,$S1704,"")</f>
        <v/>
      </c>
    </row>
    <row r="1705" customFormat="false" ht="15" hidden="false" customHeight="false" outlineLevel="0" collapsed="false">
      <c r="M1705" s="35" t="str">
        <f aca="false">IF($A1705="","",HOUR($A1705))</f>
        <v/>
      </c>
      <c r="N1705" s="36" t="str">
        <f aca="false">IF($A1705="","",$I1705*$K1705)</f>
        <v/>
      </c>
      <c r="O1705" s="35" t="str">
        <f aca="false">IF(OR($A1705="",$C1705="U",$S1705&lt;&gt;Calc!$F$2),"",SUMIFS($I$3:$I$3002,$E$3:$E$3002,$E1705,$C$3:$C$3002,"&lt;&gt;U",$S$3:$S$3002,Calc!$F$2))</f>
        <v/>
      </c>
      <c r="P1705" s="35" t="str">
        <f aca="false">IF(OR($A1705="",$C1705="U",$S1705&lt;&gt;Calc!$F$2),"",SUMIFS($N$3:$N$3002,$E$3:$E$3002,$E1705,$C$3:$C$3002,"&lt;&gt;U",$S$3:$S$3002,Calc!$F$2))</f>
        <v/>
      </c>
      <c r="Q1705" s="35" t="str">
        <f aca="false">IF(OR($A1705="",$C1705="U",$S1705&lt;&gt;Calc!$F$2),"",IF(COUNTIFS($E$3:$E1705,$E1705,$C$3:$C1705,"&lt;&gt;U",$S$3:$S1705,Calc!$F$2)=1,1,0))</f>
        <v/>
      </c>
      <c r="R1705" s="35" t="str">
        <f aca="false">IF($Q1705=1,$O1705-ROW()/100000,"")</f>
        <v/>
      </c>
      <c r="S1705" s="37" t="str">
        <f aca="false">IF($A1705="","",INT($A1705))</f>
        <v/>
      </c>
      <c r="T1705" s="35" t="str">
        <f aca="false">IF($A1705="","",IF(COUNTIFS($S$3:$S1705,$S1705)=1,1,0))</f>
        <v/>
      </c>
      <c r="U1705" s="37" t="str">
        <f aca="false">IF($T1705=1,$S1705,"")</f>
        <v/>
      </c>
    </row>
    <row r="1706" customFormat="false" ht="15" hidden="false" customHeight="false" outlineLevel="0" collapsed="false">
      <c r="M1706" s="35" t="str">
        <f aca="false">IF($A1706="","",HOUR($A1706))</f>
        <v/>
      </c>
      <c r="N1706" s="36" t="str">
        <f aca="false">IF($A1706="","",$I1706*$K1706)</f>
        <v/>
      </c>
      <c r="O1706" s="35" t="str">
        <f aca="false">IF(OR($A1706="",$C1706="U",$S1706&lt;&gt;Calc!$F$2),"",SUMIFS($I$3:$I$3002,$E$3:$E$3002,$E1706,$C$3:$C$3002,"&lt;&gt;U",$S$3:$S$3002,Calc!$F$2))</f>
        <v/>
      </c>
      <c r="P1706" s="35" t="str">
        <f aca="false">IF(OR($A1706="",$C1706="U",$S1706&lt;&gt;Calc!$F$2),"",SUMIFS($N$3:$N$3002,$E$3:$E$3002,$E1706,$C$3:$C$3002,"&lt;&gt;U",$S$3:$S$3002,Calc!$F$2))</f>
        <v/>
      </c>
      <c r="Q1706" s="35" t="str">
        <f aca="false">IF(OR($A1706="",$C1706="U",$S1706&lt;&gt;Calc!$F$2),"",IF(COUNTIFS($E$3:$E1706,$E1706,$C$3:$C1706,"&lt;&gt;U",$S$3:$S1706,Calc!$F$2)=1,1,0))</f>
        <v/>
      </c>
      <c r="R1706" s="35" t="str">
        <f aca="false">IF($Q1706=1,$O1706-ROW()/100000,"")</f>
        <v/>
      </c>
      <c r="S1706" s="37" t="str">
        <f aca="false">IF($A1706="","",INT($A1706))</f>
        <v/>
      </c>
      <c r="T1706" s="35" t="str">
        <f aca="false">IF($A1706="","",IF(COUNTIFS($S$3:$S1706,$S1706)=1,1,0))</f>
        <v/>
      </c>
      <c r="U1706" s="37" t="str">
        <f aca="false">IF($T1706=1,$S1706,"")</f>
        <v/>
      </c>
    </row>
    <row r="1707" customFormat="false" ht="15" hidden="false" customHeight="false" outlineLevel="0" collapsed="false">
      <c r="M1707" s="35" t="str">
        <f aca="false">IF($A1707="","",HOUR($A1707))</f>
        <v/>
      </c>
      <c r="N1707" s="36" t="str">
        <f aca="false">IF($A1707="","",$I1707*$K1707)</f>
        <v/>
      </c>
      <c r="O1707" s="35" t="str">
        <f aca="false">IF(OR($A1707="",$C1707="U",$S1707&lt;&gt;Calc!$F$2),"",SUMIFS($I$3:$I$3002,$E$3:$E$3002,$E1707,$C$3:$C$3002,"&lt;&gt;U",$S$3:$S$3002,Calc!$F$2))</f>
        <v/>
      </c>
      <c r="P1707" s="35" t="str">
        <f aca="false">IF(OR($A1707="",$C1707="U",$S1707&lt;&gt;Calc!$F$2),"",SUMIFS($N$3:$N$3002,$E$3:$E$3002,$E1707,$C$3:$C$3002,"&lt;&gt;U",$S$3:$S$3002,Calc!$F$2))</f>
        <v/>
      </c>
      <c r="Q1707" s="35" t="str">
        <f aca="false">IF(OR($A1707="",$C1707="U",$S1707&lt;&gt;Calc!$F$2),"",IF(COUNTIFS($E$3:$E1707,$E1707,$C$3:$C1707,"&lt;&gt;U",$S$3:$S1707,Calc!$F$2)=1,1,0))</f>
        <v/>
      </c>
      <c r="R1707" s="35" t="str">
        <f aca="false">IF($Q1707=1,$O1707-ROW()/100000,"")</f>
        <v/>
      </c>
      <c r="S1707" s="37" t="str">
        <f aca="false">IF($A1707="","",INT($A1707))</f>
        <v/>
      </c>
      <c r="T1707" s="35" t="str">
        <f aca="false">IF($A1707="","",IF(COUNTIFS($S$3:$S1707,$S1707)=1,1,0))</f>
        <v/>
      </c>
      <c r="U1707" s="37" t="str">
        <f aca="false">IF($T1707=1,$S1707,"")</f>
        <v/>
      </c>
    </row>
    <row r="1708" customFormat="false" ht="15" hidden="false" customHeight="false" outlineLevel="0" collapsed="false">
      <c r="M1708" s="35" t="str">
        <f aca="false">IF($A1708="","",HOUR($A1708))</f>
        <v/>
      </c>
      <c r="N1708" s="36" t="str">
        <f aca="false">IF($A1708="","",$I1708*$K1708)</f>
        <v/>
      </c>
      <c r="O1708" s="35" t="str">
        <f aca="false">IF(OR($A1708="",$C1708="U",$S1708&lt;&gt;Calc!$F$2),"",SUMIFS($I$3:$I$3002,$E$3:$E$3002,$E1708,$C$3:$C$3002,"&lt;&gt;U",$S$3:$S$3002,Calc!$F$2))</f>
        <v/>
      </c>
      <c r="P1708" s="35" t="str">
        <f aca="false">IF(OR($A1708="",$C1708="U",$S1708&lt;&gt;Calc!$F$2),"",SUMIFS($N$3:$N$3002,$E$3:$E$3002,$E1708,$C$3:$C$3002,"&lt;&gt;U",$S$3:$S$3002,Calc!$F$2))</f>
        <v/>
      </c>
      <c r="Q1708" s="35" t="str">
        <f aca="false">IF(OR($A1708="",$C1708="U",$S1708&lt;&gt;Calc!$F$2),"",IF(COUNTIFS($E$3:$E1708,$E1708,$C$3:$C1708,"&lt;&gt;U",$S$3:$S1708,Calc!$F$2)=1,1,0))</f>
        <v/>
      </c>
      <c r="R1708" s="35" t="str">
        <f aca="false">IF($Q1708=1,$O1708-ROW()/100000,"")</f>
        <v/>
      </c>
      <c r="S1708" s="37" t="str">
        <f aca="false">IF($A1708="","",INT($A1708))</f>
        <v/>
      </c>
      <c r="T1708" s="35" t="str">
        <f aca="false">IF($A1708="","",IF(COUNTIFS($S$3:$S1708,$S1708)=1,1,0))</f>
        <v/>
      </c>
      <c r="U1708" s="37" t="str">
        <f aca="false">IF($T1708=1,$S1708,"")</f>
        <v/>
      </c>
    </row>
    <row r="1709" customFormat="false" ht="15" hidden="false" customHeight="false" outlineLevel="0" collapsed="false">
      <c r="M1709" s="35" t="str">
        <f aca="false">IF($A1709="","",HOUR($A1709))</f>
        <v/>
      </c>
      <c r="N1709" s="36" t="str">
        <f aca="false">IF($A1709="","",$I1709*$K1709)</f>
        <v/>
      </c>
      <c r="O1709" s="35" t="str">
        <f aca="false">IF(OR($A1709="",$C1709="U",$S1709&lt;&gt;Calc!$F$2),"",SUMIFS($I$3:$I$3002,$E$3:$E$3002,$E1709,$C$3:$C$3002,"&lt;&gt;U",$S$3:$S$3002,Calc!$F$2))</f>
        <v/>
      </c>
      <c r="P1709" s="35" t="str">
        <f aca="false">IF(OR($A1709="",$C1709="U",$S1709&lt;&gt;Calc!$F$2),"",SUMIFS($N$3:$N$3002,$E$3:$E$3002,$E1709,$C$3:$C$3002,"&lt;&gt;U",$S$3:$S$3002,Calc!$F$2))</f>
        <v/>
      </c>
      <c r="Q1709" s="35" t="str">
        <f aca="false">IF(OR($A1709="",$C1709="U",$S1709&lt;&gt;Calc!$F$2),"",IF(COUNTIFS($E$3:$E1709,$E1709,$C$3:$C1709,"&lt;&gt;U",$S$3:$S1709,Calc!$F$2)=1,1,0))</f>
        <v/>
      </c>
      <c r="R1709" s="35" t="str">
        <f aca="false">IF($Q1709=1,$O1709-ROW()/100000,"")</f>
        <v/>
      </c>
      <c r="S1709" s="37" t="str">
        <f aca="false">IF($A1709="","",INT($A1709))</f>
        <v/>
      </c>
      <c r="T1709" s="35" t="str">
        <f aca="false">IF($A1709="","",IF(COUNTIFS($S$3:$S1709,$S1709)=1,1,0))</f>
        <v/>
      </c>
      <c r="U1709" s="37" t="str">
        <f aca="false">IF($T1709=1,$S1709,"")</f>
        <v/>
      </c>
    </row>
    <row r="1710" customFormat="false" ht="15" hidden="false" customHeight="false" outlineLevel="0" collapsed="false">
      <c r="M1710" s="35" t="str">
        <f aca="false">IF($A1710="","",HOUR($A1710))</f>
        <v/>
      </c>
      <c r="N1710" s="36" t="str">
        <f aca="false">IF($A1710="","",$I1710*$K1710)</f>
        <v/>
      </c>
      <c r="O1710" s="35" t="str">
        <f aca="false">IF(OR($A1710="",$C1710="U",$S1710&lt;&gt;Calc!$F$2),"",SUMIFS($I$3:$I$3002,$E$3:$E$3002,$E1710,$C$3:$C$3002,"&lt;&gt;U",$S$3:$S$3002,Calc!$F$2))</f>
        <v/>
      </c>
      <c r="P1710" s="35" t="str">
        <f aca="false">IF(OR($A1710="",$C1710="U",$S1710&lt;&gt;Calc!$F$2),"",SUMIFS($N$3:$N$3002,$E$3:$E$3002,$E1710,$C$3:$C$3002,"&lt;&gt;U",$S$3:$S$3002,Calc!$F$2))</f>
        <v/>
      </c>
      <c r="Q1710" s="35" t="str">
        <f aca="false">IF(OR($A1710="",$C1710="U",$S1710&lt;&gt;Calc!$F$2),"",IF(COUNTIFS($E$3:$E1710,$E1710,$C$3:$C1710,"&lt;&gt;U",$S$3:$S1710,Calc!$F$2)=1,1,0))</f>
        <v/>
      </c>
      <c r="R1710" s="35" t="str">
        <f aca="false">IF($Q1710=1,$O1710-ROW()/100000,"")</f>
        <v/>
      </c>
      <c r="S1710" s="37" t="str">
        <f aca="false">IF($A1710="","",INT($A1710))</f>
        <v/>
      </c>
      <c r="T1710" s="35" t="str">
        <f aca="false">IF($A1710="","",IF(COUNTIFS($S$3:$S1710,$S1710)=1,1,0))</f>
        <v/>
      </c>
      <c r="U1710" s="37" t="str">
        <f aca="false">IF($T1710=1,$S1710,"")</f>
        <v/>
      </c>
    </row>
    <row r="1711" customFormat="false" ht="15" hidden="false" customHeight="false" outlineLevel="0" collapsed="false">
      <c r="M1711" s="35" t="str">
        <f aca="false">IF($A1711="","",HOUR($A1711))</f>
        <v/>
      </c>
      <c r="N1711" s="36" t="str">
        <f aca="false">IF($A1711="","",$I1711*$K1711)</f>
        <v/>
      </c>
      <c r="O1711" s="35" t="str">
        <f aca="false">IF(OR($A1711="",$C1711="U",$S1711&lt;&gt;Calc!$F$2),"",SUMIFS($I$3:$I$3002,$E$3:$E$3002,$E1711,$C$3:$C$3002,"&lt;&gt;U",$S$3:$S$3002,Calc!$F$2))</f>
        <v/>
      </c>
      <c r="P1711" s="35" t="str">
        <f aca="false">IF(OR($A1711="",$C1711="U",$S1711&lt;&gt;Calc!$F$2),"",SUMIFS($N$3:$N$3002,$E$3:$E$3002,$E1711,$C$3:$C$3002,"&lt;&gt;U",$S$3:$S$3002,Calc!$F$2))</f>
        <v/>
      </c>
      <c r="Q1711" s="35" t="str">
        <f aca="false">IF(OR($A1711="",$C1711="U",$S1711&lt;&gt;Calc!$F$2),"",IF(COUNTIFS($E$3:$E1711,$E1711,$C$3:$C1711,"&lt;&gt;U",$S$3:$S1711,Calc!$F$2)=1,1,0))</f>
        <v/>
      </c>
      <c r="R1711" s="35" t="str">
        <f aca="false">IF($Q1711=1,$O1711-ROW()/100000,"")</f>
        <v/>
      </c>
      <c r="S1711" s="37" t="str">
        <f aca="false">IF($A1711="","",INT($A1711))</f>
        <v/>
      </c>
      <c r="T1711" s="35" t="str">
        <f aca="false">IF($A1711="","",IF(COUNTIFS($S$3:$S1711,$S1711)=1,1,0))</f>
        <v/>
      </c>
      <c r="U1711" s="37" t="str">
        <f aca="false">IF($T1711=1,$S1711,"")</f>
        <v/>
      </c>
    </row>
    <row r="1712" customFormat="false" ht="15" hidden="false" customHeight="false" outlineLevel="0" collapsed="false">
      <c r="M1712" s="35" t="str">
        <f aca="false">IF($A1712="","",HOUR($A1712))</f>
        <v/>
      </c>
      <c r="N1712" s="36" t="str">
        <f aca="false">IF($A1712="","",$I1712*$K1712)</f>
        <v/>
      </c>
      <c r="O1712" s="35" t="str">
        <f aca="false">IF(OR($A1712="",$C1712="U",$S1712&lt;&gt;Calc!$F$2),"",SUMIFS($I$3:$I$3002,$E$3:$E$3002,$E1712,$C$3:$C$3002,"&lt;&gt;U",$S$3:$S$3002,Calc!$F$2))</f>
        <v/>
      </c>
      <c r="P1712" s="35" t="str">
        <f aca="false">IF(OR($A1712="",$C1712="U",$S1712&lt;&gt;Calc!$F$2),"",SUMIFS($N$3:$N$3002,$E$3:$E$3002,$E1712,$C$3:$C$3002,"&lt;&gt;U",$S$3:$S$3002,Calc!$F$2))</f>
        <v/>
      </c>
      <c r="Q1712" s="35" t="str">
        <f aca="false">IF(OR($A1712="",$C1712="U",$S1712&lt;&gt;Calc!$F$2),"",IF(COUNTIFS($E$3:$E1712,$E1712,$C$3:$C1712,"&lt;&gt;U",$S$3:$S1712,Calc!$F$2)=1,1,0))</f>
        <v/>
      </c>
      <c r="R1712" s="35" t="str">
        <f aca="false">IF($Q1712=1,$O1712-ROW()/100000,"")</f>
        <v/>
      </c>
      <c r="S1712" s="37" t="str">
        <f aca="false">IF($A1712="","",INT($A1712))</f>
        <v/>
      </c>
      <c r="T1712" s="35" t="str">
        <f aca="false">IF($A1712="","",IF(COUNTIFS($S$3:$S1712,$S1712)=1,1,0))</f>
        <v/>
      </c>
      <c r="U1712" s="37" t="str">
        <f aca="false">IF($T1712=1,$S1712,"")</f>
        <v/>
      </c>
    </row>
    <row r="1713" customFormat="false" ht="15" hidden="false" customHeight="false" outlineLevel="0" collapsed="false">
      <c r="M1713" s="35" t="str">
        <f aca="false">IF($A1713="","",HOUR($A1713))</f>
        <v/>
      </c>
      <c r="N1713" s="36" t="str">
        <f aca="false">IF($A1713="","",$I1713*$K1713)</f>
        <v/>
      </c>
      <c r="O1713" s="35" t="str">
        <f aca="false">IF(OR($A1713="",$C1713="U",$S1713&lt;&gt;Calc!$F$2),"",SUMIFS($I$3:$I$3002,$E$3:$E$3002,$E1713,$C$3:$C$3002,"&lt;&gt;U",$S$3:$S$3002,Calc!$F$2))</f>
        <v/>
      </c>
      <c r="P1713" s="35" t="str">
        <f aca="false">IF(OR($A1713="",$C1713="U",$S1713&lt;&gt;Calc!$F$2),"",SUMIFS($N$3:$N$3002,$E$3:$E$3002,$E1713,$C$3:$C$3002,"&lt;&gt;U",$S$3:$S$3002,Calc!$F$2))</f>
        <v/>
      </c>
      <c r="Q1713" s="35" t="str">
        <f aca="false">IF(OR($A1713="",$C1713="U",$S1713&lt;&gt;Calc!$F$2),"",IF(COUNTIFS($E$3:$E1713,$E1713,$C$3:$C1713,"&lt;&gt;U",$S$3:$S1713,Calc!$F$2)=1,1,0))</f>
        <v/>
      </c>
      <c r="R1713" s="35" t="str">
        <f aca="false">IF($Q1713=1,$O1713-ROW()/100000,"")</f>
        <v/>
      </c>
      <c r="S1713" s="37" t="str">
        <f aca="false">IF($A1713="","",INT($A1713))</f>
        <v/>
      </c>
      <c r="T1713" s="35" t="str">
        <f aca="false">IF($A1713="","",IF(COUNTIFS($S$3:$S1713,$S1713)=1,1,0))</f>
        <v/>
      </c>
      <c r="U1713" s="37" t="str">
        <f aca="false">IF($T1713=1,$S1713,"")</f>
        <v/>
      </c>
    </row>
    <row r="1714" customFormat="false" ht="15" hidden="false" customHeight="false" outlineLevel="0" collapsed="false">
      <c r="M1714" s="35" t="str">
        <f aca="false">IF($A1714="","",HOUR($A1714))</f>
        <v/>
      </c>
      <c r="N1714" s="36" t="str">
        <f aca="false">IF($A1714="","",$I1714*$K1714)</f>
        <v/>
      </c>
      <c r="O1714" s="35" t="str">
        <f aca="false">IF(OR($A1714="",$C1714="U",$S1714&lt;&gt;Calc!$F$2),"",SUMIFS($I$3:$I$3002,$E$3:$E$3002,$E1714,$C$3:$C$3002,"&lt;&gt;U",$S$3:$S$3002,Calc!$F$2))</f>
        <v/>
      </c>
      <c r="P1714" s="35" t="str">
        <f aca="false">IF(OR($A1714="",$C1714="U",$S1714&lt;&gt;Calc!$F$2),"",SUMIFS($N$3:$N$3002,$E$3:$E$3002,$E1714,$C$3:$C$3002,"&lt;&gt;U",$S$3:$S$3002,Calc!$F$2))</f>
        <v/>
      </c>
      <c r="Q1714" s="35" t="str">
        <f aca="false">IF(OR($A1714="",$C1714="U",$S1714&lt;&gt;Calc!$F$2),"",IF(COUNTIFS($E$3:$E1714,$E1714,$C$3:$C1714,"&lt;&gt;U",$S$3:$S1714,Calc!$F$2)=1,1,0))</f>
        <v/>
      </c>
      <c r="R1714" s="35" t="str">
        <f aca="false">IF($Q1714=1,$O1714-ROW()/100000,"")</f>
        <v/>
      </c>
      <c r="S1714" s="37" t="str">
        <f aca="false">IF($A1714="","",INT($A1714))</f>
        <v/>
      </c>
      <c r="T1714" s="35" t="str">
        <f aca="false">IF($A1714="","",IF(COUNTIFS($S$3:$S1714,$S1714)=1,1,0))</f>
        <v/>
      </c>
      <c r="U1714" s="37" t="str">
        <f aca="false">IF($T1714=1,$S1714,"")</f>
        <v/>
      </c>
    </row>
    <row r="1715" customFormat="false" ht="15" hidden="false" customHeight="false" outlineLevel="0" collapsed="false">
      <c r="M1715" s="35" t="str">
        <f aca="false">IF($A1715="","",HOUR($A1715))</f>
        <v/>
      </c>
      <c r="N1715" s="36" t="str">
        <f aca="false">IF($A1715="","",$I1715*$K1715)</f>
        <v/>
      </c>
      <c r="O1715" s="35" t="str">
        <f aca="false">IF(OR($A1715="",$C1715="U",$S1715&lt;&gt;Calc!$F$2),"",SUMIFS($I$3:$I$3002,$E$3:$E$3002,$E1715,$C$3:$C$3002,"&lt;&gt;U",$S$3:$S$3002,Calc!$F$2))</f>
        <v/>
      </c>
      <c r="P1715" s="35" t="str">
        <f aca="false">IF(OR($A1715="",$C1715="U",$S1715&lt;&gt;Calc!$F$2),"",SUMIFS($N$3:$N$3002,$E$3:$E$3002,$E1715,$C$3:$C$3002,"&lt;&gt;U",$S$3:$S$3002,Calc!$F$2))</f>
        <v/>
      </c>
      <c r="Q1715" s="35" t="str">
        <f aca="false">IF(OR($A1715="",$C1715="U",$S1715&lt;&gt;Calc!$F$2),"",IF(COUNTIFS($E$3:$E1715,$E1715,$C$3:$C1715,"&lt;&gt;U",$S$3:$S1715,Calc!$F$2)=1,1,0))</f>
        <v/>
      </c>
      <c r="R1715" s="35" t="str">
        <f aca="false">IF($Q1715=1,$O1715-ROW()/100000,"")</f>
        <v/>
      </c>
      <c r="S1715" s="37" t="str">
        <f aca="false">IF($A1715="","",INT($A1715))</f>
        <v/>
      </c>
      <c r="T1715" s="35" t="str">
        <f aca="false">IF($A1715="","",IF(COUNTIFS($S$3:$S1715,$S1715)=1,1,0))</f>
        <v/>
      </c>
      <c r="U1715" s="37" t="str">
        <f aca="false">IF($T1715=1,$S1715,"")</f>
        <v/>
      </c>
    </row>
    <row r="1716" customFormat="false" ht="15" hidden="false" customHeight="false" outlineLevel="0" collapsed="false">
      <c r="M1716" s="35" t="str">
        <f aca="false">IF($A1716="","",HOUR($A1716))</f>
        <v/>
      </c>
      <c r="N1716" s="36" t="str">
        <f aca="false">IF($A1716="","",$I1716*$K1716)</f>
        <v/>
      </c>
      <c r="O1716" s="35" t="str">
        <f aca="false">IF(OR($A1716="",$C1716="U",$S1716&lt;&gt;Calc!$F$2),"",SUMIFS($I$3:$I$3002,$E$3:$E$3002,$E1716,$C$3:$C$3002,"&lt;&gt;U",$S$3:$S$3002,Calc!$F$2))</f>
        <v/>
      </c>
      <c r="P1716" s="35" t="str">
        <f aca="false">IF(OR($A1716="",$C1716="U",$S1716&lt;&gt;Calc!$F$2),"",SUMIFS($N$3:$N$3002,$E$3:$E$3002,$E1716,$C$3:$C$3002,"&lt;&gt;U",$S$3:$S$3002,Calc!$F$2))</f>
        <v/>
      </c>
      <c r="Q1716" s="35" t="str">
        <f aca="false">IF(OR($A1716="",$C1716="U",$S1716&lt;&gt;Calc!$F$2),"",IF(COUNTIFS($E$3:$E1716,$E1716,$C$3:$C1716,"&lt;&gt;U",$S$3:$S1716,Calc!$F$2)=1,1,0))</f>
        <v/>
      </c>
      <c r="R1716" s="35" t="str">
        <f aca="false">IF($Q1716=1,$O1716-ROW()/100000,"")</f>
        <v/>
      </c>
      <c r="S1716" s="37" t="str">
        <f aca="false">IF($A1716="","",INT($A1716))</f>
        <v/>
      </c>
      <c r="T1716" s="35" t="str">
        <f aca="false">IF($A1716="","",IF(COUNTIFS($S$3:$S1716,$S1716)=1,1,0))</f>
        <v/>
      </c>
      <c r="U1716" s="37" t="str">
        <f aca="false">IF($T1716=1,$S1716,"")</f>
        <v/>
      </c>
    </row>
    <row r="1717" customFormat="false" ht="15" hidden="false" customHeight="false" outlineLevel="0" collapsed="false">
      <c r="M1717" s="35" t="str">
        <f aca="false">IF($A1717="","",HOUR($A1717))</f>
        <v/>
      </c>
      <c r="N1717" s="36" t="str">
        <f aca="false">IF($A1717="","",$I1717*$K1717)</f>
        <v/>
      </c>
      <c r="O1717" s="35" t="str">
        <f aca="false">IF(OR($A1717="",$C1717="U",$S1717&lt;&gt;Calc!$F$2),"",SUMIFS($I$3:$I$3002,$E$3:$E$3002,$E1717,$C$3:$C$3002,"&lt;&gt;U",$S$3:$S$3002,Calc!$F$2))</f>
        <v/>
      </c>
      <c r="P1717" s="35" t="str">
        <f aca="false">IF(OR($A1717="",$C1717="U",$S1717&lt;&gt;Calc!$F$2),"",SUMIFS($N$3:$N$3002,$E$3:$E$3002,$E1717,$C$3:$C$3002,"&lt;&gt;U",$S$3:$S$3002,Calc!$F$2))</f>
        <v/>
      </c>
      <c r="Q1717" s="35" t="str">
        <f aca="false">IF(OR($A1717="",$C1717="U",$S1717&lt;&gt;Calc!$F$2),"",IF(COUNTIFS($E$3:$E1717,$E1717,$C$3:$C1717,"&lt;&gt;U",$S$3:$S1717,Calc!$F$2)=1,1,0))</f>
        <v/>
      </c>
      <c r="R1717" s="35" t="str">
        <f aca="false">IF($Q1717=1,$O1717-ROW()/100000,"")</f>
        <v/>
      </c>
      <c r="S1717" s="37" t="str">
        <f aca="false">IF($A1717="","",INT($A1717))</f>
        <v/>
      </c>
      <c r="T1717" s="35" t="str">
        <f aca="false">IF($A1717="","",IF(COUNTIFS($S$3:$S1717,$S1717)=1,1,0))</f>
        <v/>
      </c>
      <c r="U1717" s="37" t="str">
        <f aca="false">IF($T1717=1,$S1717,"")</f>
        <v/>
      </c>
    </row>
    <row r="1718" customFormat="false" ht="15" hidden="false" customHeight="false" outlineLevel="0" collapsed="false">
      <c r="M1718" s="35" t="str">
        <f aca="false">IF($A1718="","",HOUR($A1718))</f>
        <v/>
      </c>
      <c r="N1718" s="36" t="str">
        <f aca="false">IF($A1718="","",$I1718*$K1718)</f>
        <v/>
      </c>
      <c r="O1718" s="35" t="str">
        <f aca="false">IF(OR($A1718="",$C1718="U",$S1718&lt;&gt;Calc!$F$2),"",SUMIFS($I$3:$I$3002,$E$3:$E$3002,$E1718,$C$3:$C$3002,"&lt;&gt;U",$S$3:$S$3002,Calc!$F$2))</f>
        <v/>
      </c>
      <c r="P1718" s="35" t="str">
        <f aca="false">IF(OR($A1718="",$C1718="U",$S1718&lt;&gt;Calc!$F$2),"",SUMIFS($N$3:$N$3002,$E$3:$E$3002,$E1718,$C$3:$C$3002,"&lt;&gt;U",$S$3:$S$3002,Calc!$F$2))</f>
        <v/>
      </c>
      <c r="Q1718" s="35" t="str">
        <f aca="false">IF(OR($A1718="",$C1718="U",$S1718&lt;&gt;Calc!$F$2),"",IF(COUNTIFS($E$3:$E1718,$E1718,$C$3:$C1718,"&lt;&gt;U",$S$3:$S1718,Calc!$F$2)=1,1,0))</f>
        <v/>
      </c>
      <c r="R1718" s="35" t="str">
        <f aca="false">IF($Q1718=1,$O1718-ROW()/100000,"")</f>
        <v/>
      </c>
      <c r="S1718" s="37" t="str">
        <f aca="false">IF($A1718="","",INT($A1718))</f>
        <v/>
      </c>
      <c r="T1718" s="35" t="str">
        <f aca="false">IF($A1718="","",IF(COUNTIFS($S$3:$S1718,$S1718)=1,1,0))</f>
        <v/>
      </c>
      <c r="U1718" s="37" t="str">
        <f aca="false">IF($T1718=1,$S1718,"")</f>
        <v/>
      </c>
    </row>
    <row r="1719" customFormat="false" ht="15" hidden="false" customHeight="false" outlineLevel="0" collapsed="false">
      <c r="M1719" s="35" t="str">
        <f aca="false">IF($A1719="","",HOUR($A1719))</f>
        <v/>
      </c>
      <c r="N1719" s="36" t="str">
        <f aca="false">IF($A1719="","",$I1719*$K1719)</f>
        <v/>
      </c>
      <c r="O1719" s="35" t="str">
        <f aca="false">IF(OR($A1719="",$C1719="U",$S1719&lt;&gt;Calc!$F$2),"",SUMIFS($I$3:$I$3002,$E$3:$E$3002,$E1719,$C$3:$C$3002,"&lt;&gt;U",$S$3:$S$3002,Calc!$F$2))</f>
        <v/>
      </c>
      <c r="P1719" s="35" t="str">
        <f aca="false">IF(OR($A1719="",$C1719="U",$S1719&lt;&gt;Calc!$F$2),"",SUMIFS($N$3:$N$3002,$E$3:$E$3002,$E1719,$C$3:$C$3002,"&lt;&gt;U",$S$3:$S$3002,Calc!$F$2))</f>
        <v/>
      </c>
      <c r="Q1719" s="35" t="str">
        <f aca="false">IF(OR($A1719="",$C1719="U",$S1719&lt;&gt;Calc!$F$2),"",IF(COUNTIFS($E$3:$E1719,$E1719,$C$3:$C1719,"&lt;&gt;U",$S$3:$S1719,Calc!$F$2)=1,1,0))</f>
        <v/>
      </c>
      <c r="R1719" s="35" t="str">
        <f aca="false">IF($Q1719=1,$O1719-ROW()/100000,"")</f>
        <v/>
      </c>
      <c r="S1719" s="37" t="str">
        <f aca="false">IF($A1719="","",INT($A1719))</f>
        <v/>
      </c>
      <c r="T1719" s="35" t="str">
        <f aca="false">IF($A1719="","",IF(COUNTIFS($S$3:$S1719,$S1719)=1,1,0))</f>
        <v/>
      </c>
      <c r="U1719" s="37" t="str">
        <f aca="false">IF($T1719=1,$S1719,"")</f>
        <v/>
      </c>
    </row>
    <row r="1720" customFormat="false" ht="15" hidden="false" customHeight="false" outlineLevel="0" collapsed="false">
      <c r="M1720" s="35" t="str">
        <f aca="false">IF($A1720="","",HOUR($A1720))</f>
        <v/>
      </c>
      <c r="N1720" s="36" t="str">
        <f aca="false">IF($A1720="","",$I1720*$K1720)</f>
        <v/>
      </c>
      <c r="O1720" s="35" t="str">
        <f aca="false">IF(OR($A1720="",$C1720="U",$S1720&lt;&gt;Calc!$F$2),"",SUMIFS($I$3:$I$3002,$E$3:$E$3002,$E1720,$C$3:$C$3002,"&lt;&gt;U",$S$3:$S$3002,Calc!$F$2))</f>
        <v/>
      </c>
      <c r="P1720" s="35" t="str">
        <f aca="false">IF(OR($A1720="",$C1720="U",$S1720&lt;&gt;Calc!$F$2),"",SUMIFS($N$3:$N$3002,$E$3:$E$3002,$E1720,$C$3:$C$3002,"&lt;&gt;U",$S$3:$S$3002,Calc!$F$2))</f>
        <v/>
      </c>
      <c r="Q1720" s="35" t="str">
        <f aca="false">IF(OR($A1720="",$C1720="U",$S1720&lt;&gt;Calc!$F$2),"",IF(COUNTIFS($E$3:$E1720,$E1720,$C$3:$C1720,"&lt;&gt;U",$S$3:$S1720,Calc!$F$2)=1,1,0))</f>
        <v/>
      </c>
      <c r="R1720" s="35" t="str">
        <f aca="false">IF($Q1720=1,$O1720-ROW()/100000,"")</f>
        <v/>
      </c>
      <c r="S1720" s="37" t="str">
        <f aca="false">IF($A1720="","",INT($A1720))</f>
        <v/>
      </c>
      <c r="T1720" s="35" t="str">
        <f aca="false">IF($A1720="","",IF(COUNTIFS($S$3:$S1720,$S1720)=1,1,0))</f>
        <v/>
      </c>
      <c r="U1720" s="37" t="str">
        <f aca="false">IF($T1720=1,$S1720,"")</f>
        <v/>
      </c>
    </row>
    <row r="1721" customFormat="false" ht="15" hidden="false" customHeight="false" outlineLevel="0" collapsed="false">
      <c r="M1721" s="35" t="str">
        <f aca="false">IF($A1721="","",HOUR($A1721))</f>
        <v/>
      </c>
      <c r="N1721" s="36" t="str">
        <f aca="false">IF($A1721="","",$I1721*$K1721)</f>
        <v/>
      </c>
      <c r="O1721" s="35" t="str">
        <f aca="false">IF(OR($A1721="",$C1721="U",$S1721&lt;&gt;Calc!$F$2),"",SUMIFS($I$3:$I$3002,$E$3:$E$3002,$E1721,$C$3:$C$3002,"&lt;&gt;U",$S$3:$S$3002,Calc!$F$2))</f>
        <v/>
      </c>
      <c r="P1721" s="35" t="str">
        <f aca="false">IF(OR($A1721="",$C1721="U",$S1721&lt;&gt;Calc!$F$2),"",SUMIFS($N$3:$N$3002,$E$3:$E$3002,$E1721,$C$3:$C$3002,"&lt;&gt;U",$S$3:$S$3002,Calc!$F$2))</f>
        <v/>
      </c>
      <c r="Q1721" s="35" t="str">
        <f aca="false">IF(OR($A1721="",$C1721="U",$S1721&lt;&gt;Calc!$F$2),"",IF(COUNTIFS($E$3:$E1721,$E1721,$C$3:$C1721,"&lt;&gt;U",$S$3:$S1721,Calc!$F$2)=1,1,0))</f>
        <v/>
      </c>
      <c r="R1721" s="35" t="str">
        <f aca="false">IF($Q1721=1,$O1721-ROW()/100000,"")</f>
        <v/>
      </c>
      <c r="S1721" s="37" t="str">
        <f aca="false">IF($A1721="","",INT($A1721))</f>
        <v/>
      </c>
      <c r="T1721" s="35" t="str">
        <f aca="false">IF($A1721="","",IF(COUNTIFS($S$3:$S1721,$S1721)=1,1,0))</f>
        <v/>
      </c>
      <c r="U1721" s="37" t="str">
        <f aca="false">IF($T1721=1,$S1721,"")</f>
        <v/>
      </c>
    </row>
    <row r="1722" customFormat="false" ht="15" hidden="false" customHeight="false" outlineLevel="0" collapsed="false">
      <c r="M1722" s="35" t="str">
        <f aca="false">IF($A1722="","",HOUR($A1722))</f>
        <v/>
      </c>
      <c r="N1722" s="36" t="str">
        <f aca="false">IF($A1722="","",$I1722*$K1722)</f>
        <v/>
      </c>
      <c r="O1722" s="35" t="str">
        <f aca="false">IF(OR($A1722="",$C1722="U",$S1722&lt;&gt;Calc!$F$2),"",SUMIFS($I$3:$I$3002,$E$3:$E$3002,$E1722,$C$3:$C$3002,"&lt;&gt;U",$S$3:$S$3002,Calc!$F$2))</f>
        <v/>
      </c>
      <c r="P1722" s="35" t="str">
        <f aca="false">IF(OR($A1722="",$C1722="U",$S1722&lt;&gt;Calc!$F$2),"",SUMIFS($N$3:$N$3002,$E$3:$E$3002,$E1722,$C$3:$C$3002,"&lt;&gt;U",$S$3:$S$3002,Calc!$F$2))</f>
        <v/>
      </c>
      <c r="Q1722" s="35" t="str">
        <f aca="false">IF(OR($A1722="",$C1722="U",$S1722&lt;&gt;Calc!$F$2),"",IF(COUNTIFS($E$3:$E1722,$E1722,$C$3:$C1722,"&lt;&gt;U",$S$3:$S1722,Calc!$F$2)=1,1,0))</f>
        <v/>
      </c>
      <c r="R1722" s="35" t="str">
        <f aca="false">IF($Q1722=1,$O1722-ROW()/100000,"")</f>
        <v/>
      </c>
      <c r="S1722" s="37" t="str">
        <f aca="false">IF($A1722="","",INT($A1722))</f>
        <v/>
      </c>
      <c r="T1722" s="35" t="str">
        <f aca="false">IF($A1722="","",IF(COUNTIFS($S$3:$S1722,$S1722)=1,1,0))</f>
        <v/>
      </c>
      <c r="U1722" s="37" t="str">
        <f aca="false">IF($T1722=1,$S1722,"")</f>
        <v/>
      </c>
    </row>
    <row r="1723" customFormat="false" ht="15" hidden="false" customHeight="false" outlineLevel="0" collapsed="false">
      <c r="M1723" s="35" t="str">
        <f aca="false">IF($A1723="","",HOUR($A1723))</f>
        <v/>
      </c>
      <c r="N1723" s="36" t="str">
        <f aca="false">IF($A1723="","",$I1723*$K1723)</f>
        <v/>
      </c>
      <c r="O1723" s="35" t="str">
        <f aca="false">IF(OR($A1723="",$C1723="U",$S1723&lt;&gt;Calc!$F$2),"",SUMIFS($I$3:$I$3002,$E$3:$E$3002,$E1723,$C$3:$C$3002,"&lt;&gt;U",$S$3:$S$3002,Calc!$F$2))</f>
        <v/>
      </c>
      <c r="P1723" s="35" t="str">
        <f aca="false">IF(OR($A1723="",$C1723="U",$S1723&lt;&gt;Calc!$F$2),"",SUMIFS($N$3:$N$3002,$E$3:$E$3002,$E1723,$C$3:$C$3002,"&lt;&gt;U",$S$3:$S$3002,Calc!$F$2))</f>
        <v/>
      </c>
      <c r="Q1723" s="35" t="str">
        <f aca="false">IF(OR($A1723="",$C1723="U",$S1723&lt;&gt;Calc!$F$2),"",IF(COUNTIFS($E$3:$E1723,$E1723,$C$3:$C1723,"&lt;&gt;U",$S$3:$S1723,Calc!$F$2)=1,1,0))</f>
        <v/>
      </c>
      <c r="R1723" s="35" t="str">
        <f aca="false">IF($Q1723=1,$O1723-ROW()/100000,"")</f>
        <v/>
      </c>
      <c r="S1723" s="37" t="str">
        <f aca="false">IF($A1723="","",INT($A1723))</f>
        <v/>
      </c>
      <c r="T1723" s="35" t="str">
        <f aca="false">IF($A1723="","",IF(COUNTIFS($S$3:$S1723,$S1723)=1,1,0))</f>
        <v/>
      </c>
      <c r="U1723" s="37" t="str">
        <f aca="false">IF($T1723=1,$S1723,"")</f>
        <v/>
      </c>
    </row>
    <row r="1724" customFormat="false" ht="15" hidden="false" customHeight="false" outlineLevel="0" collapsed="false">
      <c r="M1724" s="35" t="str">
        <f aca="false">IF($A1724="","",HOUR($A1724))</f>
        <v/>
      </c>
      <c r="N1724" s="36" t="str">
        <f aca="false">IF($A1724="","",$I1724*$K1724)</f>
        <v/>
      </c>
      <c r="O1724" s="35" t="str">
        <f aca="false">IF(OR($A1724="",$C1724="U",$S1724&lt;&gt;Calc!$F$2),"",SUMIFS($I$3:$I$3002,$E$3:$E$3002,$E1724,$C$3:$C$3002,"&lt;&gt;U",$S$3:$S$3002,Calc!$F$2))</f>
        <v/>
      </c>
      <c r="P1724" s="35" t="str">
        <f aca="false">IF(OR($A1724="",$C1724="U",$S1724&lt;&gt;Calc!$F$2),"",SUMIFS($N$3:$N$3002,$E$3:$E$3002,$E1724,$C$3:$C$3002,"&lt;&gt;U",$S$3:$S$3002,Calc!$F$2))</f>
        <v/>
      </c>
      <c r="Q1724" s="35" t="str">
        <f aca="false">IF(OR($A1724="",$C1724="U",$S1724&lt;&gt;Calc!$F$2),"",IF(COUNTIFS($E$3:$E1724,$E1724,$C$3:$C1724,"&lt;&gt;U",$S$3:$S1724,Calc!$F$2)=1,1,0))</f>
        <v/>
      </c>
      <c r="R1724" s="35" t="str">
        <f aca="false">IF($Q1724=1,$O1724-ROW()/100000,"")</f>
        <v/>
      </c>
      <c r="S1724" s="37" t="str">
        <f aca="false">IF($A1724="","",INT($A1724))</f>
        <v/>
      </c>
      <c r="T1724" s="35" t="str">
        <f aca="false">IF($A1724="","",IF(COUNTIFS($S$3:$S1724,$S1724)=1,1,0))</f>
        <v/>
      </c>
      <c r="U1724" s="37" t="str">
        <f aca="false">IF($T1724=1,$S1724,"")</f>
        <v/>
      </c>
    </row>
    <row r="1725" customFormat="false" ht="15" hidden="false" customHeight="false" outlineLevel="0" collapsed="false">
      <c r="M1725" s="35" t="str">
        <f aca="false">IF($A1725="","",HOUR($A1725))</f>
        <v/>
      </c>
      <c r="N1725" s="36" t="str">
        <f aca="false">IF($A1725="","",$I1725*$K1725)</f>
        <v/>
      </c>
      <c r="O1725" s="35" t="str">
        <f aca="false">IF(OR($A1725="",$C1725="U",$S1725&lt;&gt;Calc!$F$2),"",SUMIFS($I$3:$I$3002,$E$3:$E$3002,$E1725,$C$3:$C$3002,"&lt;&gt;U",$S$3:$S$3002,Calc!$F$2))</f>
        <v/>
      </c>
      <c r="P1725" s="35" t="str">
        <f aca="false">IF(OR($A1725="",$C1725="U",$S1725&lt;&gt;Calc!$F$2),"",SUMIFS($N$3:$N$3002,$E$3:$E$3002,$E1725,$C$3:$C$3002,"&lt;&gt;U",$S$3:$S$3002,Calc!$F$2))</f>
        <v/>
      </c>
      <c r="Q1725" s="35" t="str">
        <f aca="false">IF(OR($A1725="",$C1725="U",$S1725&lt;&gt;Calc!$F$2),"",IF(COUNTIFS($E$3:$E1725,$E1725,$C$3:$C1725,"&lt;&gt;U",$S$3:$S1725,Calc!$F$2)=1,1,0))</f>
        <v/>
      </c>
      <c r="R1725" s="35" t="str">
        <f aca="false">IF($Q1725=1,$O1725-ROW()/100000,"")</f>
        <v/>
      </c>
      <c r="S1725" s="37" t="str">
        <f aca="false">IF($A1725="","",INT($A1725))</f>
        <v/>
      </c>
      <c r="T1725" s="35" t="str">
        <f aca="false">IF($A1725="","",IF(COUNTIFS($S$3:$S1725,$S1725)=1,1,0))</f>
        <v/>
      </c>
      <c r="U1725" s="37" t="str">
        <f aca="false">IF($T1725=1,$S1725,"")</f>
        <v/>
      </c>
    </row>
    <row r="1726" customFormat="false" ht="15" hidden="false" customHeight="false" outlineLevel="0" collapsed="false">
      <c r="M1726" s="35" t="str">
        <f aca="false">IF($A1726="","",HOUR($A1726))</f>
        <v/>
      </c>
      <c r="N1726" s="36" t="str">
        <f aca="false">IF($A1726="","",$I1726*$K1726)</f>
        <v/>
      </c>
      <c r="O1726" s="35" t="str">
        <f aca="false">IF(OR($A1726="",$C1726="U",$S1726&lt;&gt;Calc!$F$2),"",SUMIFS($I$3:$I$3002,$E$3:$E$3002,$E1726,$C$3:$C$3002,"&lt;&gt;U",$S$3:$S$3002,Calc!$F$2))</f>
        <v/>
      </c>
      <c r="P1726" s="35" t="str">
        <f aca="false">IF(OR($A1726="",$C1726="U",$S1726&lt;&gt;Calc!$F$2),"",SUMIFS($N$3:$N$3002,$E$3:$E$3002,$E1726,$C$3:$C$3002,"&lt;&gt;U",$S$3:$S$3002,Calc!$F$2))</f>
        <v/>
      </c>
      <c r="Q1726" s="35" t="str">
        <f aca="false">IF(OR($A1726="",$C1726="U",$S1726&lt;&gt;Calc!$F$2),"",IF(COUNTIFS($E$3:$E1726,$E1726,$C$3:$C1726,"&lt;&gt;U",$S$3:$S1726,Calc!$F$2)=1,1,0))</f>
        <v/>
      </c>
      <c r="R1726" s="35" t="str">
        <f aca="false">IF($Q1726=1,$O1726-ROW()/100000,"")</f>
        <v/>
      </c>
      <c r="S1726" s="37" t="str">
        <f aca="false">IF($A1726="","",INT($A1726))</f>
        <v/>
      </c>
      <c r="T1726" s="35" t="str">
        <f aca="false">IF($A1726="","",IF(COUNTIFS($S$3:$S1726,$S1726)=1,1,0))</f>
        <v/>
      </c>
      <c r="U1726" s="37" t="str">
        <f aca="false">IF($T1726=1,$S1726,"")</f>
        <v/>
      </c>
    </row>
    <row r="1727" customFormat="false" ht="15" hidden="false" customHeight="false" outlineLevel="0" collapsed="false">
      <c r="M1727" s="35" t="str">
        <f aca="false">IF($A1727="","",HOUR($A1727))</f>
        <v/>
      </c>
      <c r="N1727" s="36" t="str">
        <f aca="false">IF($A1727="","",$I1727*$K1727)</f>
        <v/>
      </c>
      <c r="O1727" s="35" t="str">
        <f aca="false">IF(OR($A1727="",$C1727="U",$S1727&lt;&gt;Calc!$F$2),"",SUMIFS($I$3:$I$3002,$E$3:$E$3002,$E1727,$C$3:$C$3002,"&lt;&gt;U",$S$3:$S$3002,Calc!$F$2))</f>
        <v/>
      </c>
      <c r="P1727" s="35" t="str">
        <f aca="false">IF(OR($A1727="",$C1727="U",$S1727&lt;&gt;Calc!$F$2),"",SUMIFS($N$3:$N$3002,$E$3:$E$3002,$E1727,$C$3:$C$3002,"&lt;&gt;U",$S$3:$S$3002,Calc!$F$2))</f>
        <v/>
      </c>
      <c r="Q1727" s="35" t="str">
        <f aca="false">IF(OR($A1727="",$C1727="U",$S1727&lt;&gt;Calc!$F$2),"",IF(COUNTIFS($E$3:$E1727,$E1727,$C$3:$C1727,"&lt;&gt;U",$S$3:$S1727,Calc!$F$2)=1,1,0))</f>
        <v/>
      </c>
      <c r="R1727" s="35" t="str">
        <f aca="false">IF($Q1727=1,$O1727-ROW()/100000,"")</f>
        <v/>
      </c>
      <c r="S1727" s="37" t="str">
        <f aca="false">IF($A1727="","",INT($A1727))</f>
        <v/>
      </c>
      <c r="T1727" s="35" t="str">
        <f aca="false">IF($A1727="","",IF(COUNTIFS($S$3:$S1727,$S1727)=1,1,0))</f>
        <v/>
      </c>
      <c r="U1727" s="37" t="str">
        <f aca="false">IF($T1727=1,$S1727,"")</f>
        <v/>
      </c>
    </row>
    <row r="1728" customFormat="false" ht="15" hidden="false" customHeight="false" outlineLevel="0" collapsed="false">
      <c r="M1728" s="35" t="str">
        <f aca="false">IF($A1728="","",HOUR($A1728))</f>
        <v/>
      </c>
      <c r="N1728" s="36" t="str">
        <f aca="false">IF($A1728="","",$I1728*$K1728)</f>
        <v/>
      </c>
      <c r="O1728" s="35" t="str">
        <f aca="false">IF(OR($A1728="",$C1728="U",$S1728&lt;&gt;Calc!$F$2),"",SUMIFS($I$3:$I$3002,$E$3:$E$3002,$E1728,$C$3:$C$3002,"&lt;&gt;U",$S$3:$S$3002,Calc!$F$2))</f>
        <v/>
      </c>
      <c r="P1728" s="35" t="str">
        <f aca="false">IF(OR($A1728="",$C1728="U",$S1728&lt;&gt;Calc!$F$2),"",SUMIFS($N$3:$N$3002,$E$3:$E$3002,$E1728,$C$3:$C$3002,"&lt;&gt;U",$S$3:$S$3002,Calc!$F$2))</f>
        <v/>
      </c>
      <c r="Q1728" s="35" t="str">
        <f aca="false">IF(OR($A1728="",$C1728="U",$S1728&lt;&gt;Calc!$F$2),"",IF(COUNTIFS($E$3:$E1728,$E1728,$C$3:$C1728,"&lt;&gt;U",$S$3:$S1728,Calc!$F$2)=1,1,0))</f>
        <v/>
      </c>
      <c r="R1728" s="35" t="str">
        <f aca="false">IF($Q1728=1,$O1728-ROW()/100000,"")</f>
        <v/>
      </c>
      <c r="S1728" s="37" t="str">
        <f aca="false">IF($A1728="","",INT($A1728))</f>
        <v/>
      </c>
      <c r="T1728" s="35" t="str">
        <f aca="false">IF($A1728="","",IF(COUNTIFS($S$3:$S1728,$S1728)=1,1,0))</f>
        <v/>
      </c>
      <c r="U1728" s="37" t="str">
        <f aca="false">IF($T1728=1,$S1728,"")</f>
        <v/>
      </c>
    </row>
    <row r="1729" customFormat="false" ht="15" hidden="false" customHeight="false" outlineLevel="0" collapsed="false">
      <c r="M1729" s="35" t="str">
        <f aca="false">IF($A1729="","",HOUR($A1729))</f>
        <v/>
      </c>
      <c r="N1729" s="36" t="str">
        <f aca="false">IF($A1729="","",$I1729*$K1729)</f>
        <v/>
      </c>
      <c r="O1729" s="35" t="str">
        <f aca="false">IF(OR($A1729="",$C1729="U",$S1729&lt;&gt;Calc!$F$2),"",SUMIFS($I$3:$I$3002,$E$3:$E$3002,$E1729,$C$3:$C$3002,"&lt;&gt;U",$S$3:$S$3002,Calc!$F$2))</f>
        <v/>
      </c>
      <c r="P1729" s="35" t="str">
        <f aca="false">IF(OR($A1729="",$C1729="U",$S1729&lt;&gt;Calc!$F$2),"",SUMIFS($N$3:$N$3002,$E$3:$E$3002,$E1729,$C$3:$C$3002,"&lt;&gt;U",$S$3:$S$3002,Calc!$F$2))</f>
        <v/>
      </c>
      <c r="Q1729" s="35" t="str">
        <f aca="false">IF(OR($A1729="",$C1729="U",$S1729&lt;&gt;Calc!$F$2),"",IF(COUNTIFS($E$3:$E1729,$E1729,$C$3:$C1729,"&lt;&gt;U",$S$3:$S1729,Calc!$F$2)=1,1,0))</f>
        <v/>
      </c>
      <c r="R1729" s="35" t="str">
        <f aca="false">IF($Q1729=1,$O1729-ROW()/100000,"")</f>
        <v/>
      </c>
      <c r="S1729" s="37" t="str">
        <f aca="false">IF($A1729="","",INT($A1729))</f>
        <v/>
      </c>
      <c r="T1729" s="35" t="str">
        <f aca="false">IF($A1729="","",IF(COUNTIFS($S$3:$S1729,$S1729)=1,1,0))</f>
        <v/>
      </c>
      <c r="U1729" s="37" t="str">
        <f aca="false">IF($T1729=1,$S1729,"")</f>
        <v/>
      </c>
    </row>
    <row r="1730" customFormat="false" ht="15" hidden="false" customHeight="false" outlineLevel="0" collapsed="false">
      <c r="M1730" s="35" t="str">
        <f aca="false">IF($A1730="","",HOUR($A1730))</f>
        <v/>
      </c>
      <c r="N1730" s="36" t="str">
        <f aca="false">IF($A1730="","",$I1730*$K1730)</f>
        <v/>
      </c>
      <c r="O1730" s="35" t="str">
        <f aca="false">IF(OR($A1730="",$C1730="U",$S1730&lt;&gt;Calc!$F$2),"",SUMIFS($I$3:$I$3002,$E$3:$E$3002,$E1730,$C$3:$C$3002,"&lt;&gt;U",$S$3:$S$3002,Calc!$F$2))</f>
        <v/>
      </c>
      <c r="P1730" s="35" t="str">
        <f aca="false">IF(OR($A1730="",$C1730="U",$S1730&lt;&gt;Calc!$F$2),"",SUMIFS($N$3:$N$3002,$E$3:$E$3002,$E1730,$C$3:$C$3002,"&lt;&gt;U",$S$3:$S$3002,Calc!$F$2))</f>
        <v/>
      </c>
      <c r="Q1730" s="35" t="str">
        <f aca="false">IF(OR($A1730="",$C1730="U",$S1730&lt;&gt;Calc!$F$2),"",IF(COUNTIFS($E$3:$E1730,$E1730,$C$3:$C1730,"&lt;&gt;U",$S$3:$S1730,Calc!$F$2)=1,1,0))</f>
        <v/>
      </c>
      <c r="R1730" s="35" t="str">
        <f aca="false">IF($Q1730=1,$O1730-ROW()/100000,"")</f>
        <v/>
      </c>
      <c r="S1730" s="37" t="str">
        <f aca="false">IF($A1730="","",INT($A1730))</f>
        <v/>
      </c>
      <c r="T1730" s="35" t="str">
        <f aca="false">IF($A1730="","",IF(COUNTIFS($S$3:$S1730,$S1730)=1,1,0))</f>
        <v/>
      </c>
      <c r="U1730" s="37" t="str">
        <f aca="false">IF($T1730=1,$S1730,"")</f>
        <v/>
      </c>
    </row>
    <row r="1731" customFormat="false" ht="15" hidden="false" customHeight="false" outlineLevel="0" collapsed="false">
      <c r="M1731" s="35" t="str">
        <f aca="false">IF($A1731="","",HOUR($A1731))</f>
        <v/>
      </c>
      <c r="N1731" s="36" t="str">
        <f aca="false">IF($A1731="","",$I1731*$K1731)</f>
        <v/>
      </c>
      <c r="O1731" s="35" t="str">
        <f aca="false">IF(OR($A1731="",$C1731="U",$S1731&lt;&gt;Calc!$F$2),"",SUMIFS($I$3:$I$3002,$E$3:$E$3002,$E1731,$C$3:$C$3002,"&lt;&gt;U",$S$3:$S$3002,Calc!$F$2))</f>
        <v/>
      </c>
      <c r="P1731" s="35" t="str">
        <f aca="false">IF(OR($A1731="",$C1731="U",$S1731&lt;&gt;Calc!$F$2),"",SUMIFS($N$3:$N$3002,$E$3:$E$3002,$E1731,$C$3:$C$3002,"&lt;&gt;U",$S$3:$S$3002,Calc!$F$2))</f>
        <v/>
      </c>
      <c r="Q1731" s="35" t="str">
        <f aca="false">IF(OR($A1731="",$C1731="U",$S1731&lt;&gt;Calc!$F$2),"",IF(COUNTIFS($E$3:$E1731,$E1731,$C$3:$C1731,"&lt;&gt;U",$S$3:$S1731,Calc!$F$2)=1,1,0))</f>
        <v/>
      </c>
      <c r="R1731" s="35" t="str">
        <f aca="false">IF($Q1731=1,$O1731-ROW()/100000,"")</f>
        <v/>
      </c>
      <c r="S1731" s="37" t="str">
        <f aca="false">IF($A1731="","",INT($A1731))</f>
        <v/>
      </c>
      <c r="T1731" s="35" t="str">
        <f aca="false">IF($A1731="","",IF(COUNTIFS($S$3:$S1731,$S1731)=1,1,0))</f>
        <v/>
      </c>
      <c r="U1731" s="37" t="str">
        <f aca="false">IF($T1731=1,$S1731,"")</f>
        <v/>
      </c>
    </row>
    <row r="1732" customFormat="false" ht="15" hidden="false" customHeight="false" outlineLevel="0" collapsed="false">
      <c r="M1732" s="35" t="str">
        <f aca="false">IF($A1732="","",HOUR($A1732))</f>
        <v/>
      </c>
      <c r="N1732" s="36" t="str">
        <f aca="false">IF($A1732="","",$I1732*$K1732)</f>
        <v/>
      </c>
      <c r="O1732" s="35" t="str">
        <f aca="false">IF(OR($A1732="",$C1732="U",$S1732&lt;&gt;Calc!$F$2),"",SUMIFS($I$3:$I$3002,$E$3:$E$3002,$E1732,$C$3:$C$3002,"&lt;&gt;U",$S$3:$S$3002,Calc!$F$2))</f>
        <v/>
      </c>
      <c r="P1732" s="35" t="str">
        <f aca="false">IF(OR($A1732="",$C1732="U",$S1732&lt;&gt;Calc!$F$2),"",SUMIFS($N$3:$N$3002,$E$3:$E$3002,$E1732,$C$3:$C$3002,"&lt;&gt;U",$S$3:$S$3002,Calc!$F$2))</f>
        <v/>
      </c>
      <c r="Q1732" s="35" t="str">
        <f aca="false">IF(OR($A1732="",$C1732="U",$S1732&lt;&gt;Calc!$F$2),"",IF(COUNTIFS($E$3:$E1732,$E1732,$C$3:$C1732,"&lt;&gt;U",$S$3:$S1732,Calc!$F$2)=1,1,0))</f>
        <v/>
      </c>
      <c r="R1732" s="35" t="str">
        <f aca="false">IF($Q1732=1,$O1732-ROW()/100000,"")</f>
        <v/>
      </c>
      <c r="S1732" s="37" t="str">
        <f aca="false">IF($A1732="","",INT($A1732))</f>
        <v/>
      </c>
      <c r="T1732" s="35" t="str">
        <f aca="false">IF($A1732="","",IF(COUNTIFS($S$3:$S1732,$S1732)=1,1,0))</f>
        <v/>
      </c>
      <c r="U1732" s="37" t="str">
        <f aca="false">IF($T1732=1,$S1732,"")</f>
        <v/>
      </c>
    </row>
    <row r="1733" customFormat="false" ht="15" hidden="false" customHeight="false" outlineLevel="0" collapsed="false">
      <c r="M1733" s="35" t="str">
        <f aca="false">IF($A1733="","",HOUR($A1733))</f>
        <v/>
      </c>
      <c r="N1733" s="36" t="str">
        <f aca="false">IF($A1733="","",$I1733*$K1733)</f>
        <v/>
      </c>
      <c r="O1733" s="35" t="str">
        <f aca="false">IF(OR($A1733="",$C1733="U",$S1733&lt;&gt;Calc!$F$2),"",SUMIFS($I$3:$I$3002,$E$3:$E$3002,$E1733,$C$3:$C$3002,"&lt;&gt;U",$S$3:$S$3002,Calc!$F$2))</f>
        <v/>
      </c>
      <c r="P1733" s="35" t="str">
        <f aca="false">IF(OR($A1733="",$C1733="U",$S1733&lt;&gt;Calc!$F$2),"",SUMIFS($N$3:$N$3002,$E$3:$E$3002,$E1733,$C$3:$C$3002,"&lt;&gt;U",$S$3:$S$3002,Calc!$F$2))</f>
        <v/>
      </c>
      <c r="Q1733" s="35" t="str">
        <f aca="false">IF(OR($A1733="",$C1733="U",$S1733&lt;&gt;Calc!$F$2),"",IF(COUNTIFS($E$3:$E1733,$E1733,$C$3:$C1733,"&lt;&gt;U",$S$3:$S1733,Calc!$F$2)=1,1,0))</f>
        <v/>
      </c>
      <c r="R1733" s="35" t="str">
        <f aca="false">IF($Q1733=1,$O1733-ROW()/100000,"")</f>
        <v/>
      </c>
      <c r="S1733" s="37" t="str">
        <f aca="false">IF($A1733="","",INT($A1733))</f>
        <v/>
      </c>
      <c r="T1733" s="35" t="str">
        <f aca="false">IF($A1733="","",IF(COUNTIFS($S$3:$S1733,$S1733)=1,1,0))</f>
        <v/>
      </c>
      <c r="U1733" s="37" t="str">
        <f aca="false">IF($T1733=1,$S1733,"")</f>
        <v/>
      </c>
    </row>
    <row r="1734" customFormat="false" ht="15" hidden="false" customHeight="false" outlineLevel="0" collapsed="false">
      <c r="M1734" s="35" t="str">
        <f aca="false">IF($A1734="","",HOUR($A1734))</f>
        <v/>
      </c>
      <c r="N1734" s="36" t="str">
        <f aca="false">IF($A1734="","",$I1734*$K1734)</f>
        <v/>
      </c>
      <c r="O1734" s="35" t="str">
        <f aca="false">IF(OR($A1734="",$C1734="U",$S1734&lt;&gt;Calc!$F$2),"",SUMIFS($I$3:$I$3002,$E$3:$E$3002,$E1734,$C$3:$C$3002,"&lt;&gt;U",$S$3:$S$3002,Calc!$F$2))</f>
        <v/>
      </c>
      <c r="P1734" s="35" t="str">
        <f aca="false">IF(OR($A1734="",$C1734="U",$S1734&lt;&gt;Calc!$F$2),"",SUMIFS($N$3:$N$3002,$E$3:$E$3002,$E1734,$C$3:$C$3002,"&lt;&gt;U",$S$3:$S$3002,Calc!$F$2))</f>
        <v/>
      </c>
      <c r="Q1734" s="35" t="str">
        <f aca="false">IF(OR($A1734="",$C1734="U",$S1734&lt;&gt;Calc!$F$2),"",IF(COUNTIFS($E$3:$E1734,$E1734,$C$3:$C1734,"&lt;&gt;U",$S$3:$S1734,Calc!$F$2)=1,1,0))</f>
        <v/>
      </c>
      <c r="R1734" s="35" t="str">
        <f aca="false">IF($Q1734=1,$O1734-ROW()/100000,"")</f>
        <v/>
      </c>
      <c r="S1734" s="37" t="str">
        <f aca="false">IF($A1734="","",INT($A1734))</f>
        <v/>
      </c>
      <c r="T1734" s="35" t="str">
        <f aca="false">IF($A1734="","",IF(COUNTIFS($S$3:$S1734,$S1734)=1,1,0))</f>
        <v/>
      </c>
      <c r="U1734" s="37" t="str">
        <f aca="false">IF($T1734=1,$S1734,"")</f>
        <v/>
      </c>
    </row>
    <row r="1735" customFormat="false" ht="15" hidden="false" customHeight="false" outlineLevel="0" collapsed="false">
      <c r="M1735" s="35" t="str">
        <f aca="false">IF($A1735="","",HOUR($A1735))</f>
        <v/>
      </c>
      <c r="N1735" s="36" t="str">
        <f aca="false">IF($A1735="","",$I1735*$K1735)</f>
        <v/>
      </c>
      <c r="O1735" s="35" t="str">
        <f aca="false">IF(OR($A1735="",$C1735="U",$S1735&lt;&gt;Calc!$F$2),"",SUMIFS($I$3:$I$3002,$E$3:$E$3002,$E1735,$C$3:$C$3002,"&lt;&gt;U",$S$3:$S$3002,Calc!$F$2))</f>
        <v/>
      </c>
      <c r="P1735" s="35" t="str">
        <f aca="false">IF(OR($A1735="",$C1735="U",$S1735&lt;&gt;Calc!$F$2),"",SUMIFS($N$3:$N$3002,$E$3:$E$3002,$E1735,$C$3:$C$3002,"&lt;&gt;U",$S$3:$S$3002,Calc!$F$2))</f>
        <v/>
      </c>
      <c r="Q1735" s="35" t="str">
        <f aca="false">IF(OR($A1735="",$C1735="U",$S1735&lt;&gt;Calc!$F$2),"",IF(COUNTIFS($E$3:$E1735,$E1735,$C$3:$C1735,"&lt;&gt;U",$S$3:$S1735,Calc!$F$2)=1,1,0))</f>
        <v/>
      </c>
      <c r="R1735" s="35" t="str">
        <f aca="false">IF($Q1735=1,$O1735-ROW()/100000,"")</f>
        <v/>
      </c>
      <c r="S1735" s="37" t="str">
        <f aca="false">IF($A1735="","",INT($A1735))</f>
        <v/>
      </c>
      <c r="T1735" s="35" t="str">
        <f aca="false">IF($A1735="","",IF(COUNTIFS($S$3:$S1735,$S1735)=1,1,0))</f>
        <v/>
      </c>
      <c r="U1735" s="37" t="str">
        <f aca="false">IF($T1735=1,$S1735,"")</f>
        <v/>
      </c>
    </row>
    <row r="1736" customFormat="false" ht="15" hidden="false" customHeight="false" outlineLevel="0" collapsed="false">
      <c r="M1736" s="35" t="str">
        <f aca="false">IF($A1736="","",HOUR($A1736))</f>
        <v/>
      </c>
      <c r="N1736" s="36" t="str">
        <f aca="false">IF($A1736="","",$I1736*$K1736)</f>
        <v/>
      </c>
      <c r="O1736" s="35" t="str">
        <f aca="false">IF(OR($A1736="",$C1736="U",$S1736&lt;&gt;Calc!$F$2),"",SUMIFS($I$3:$I$3002,$E$3:$E$3002,$E1736,$C$3:$C$3002,"&lt;&gt;U",$S$3:$S$3002,Calc!$F$2))</f>
        <v/>
      </c>
      <c r="P1736" s="35" t="str">
        <f aca="false">IF(OR($A1736="",$C1736="U",$S1736&lt;&gt;Calc!$F$2),"",SUMIFS($N$3:$N$3002,$E$3:$E$3002,$E1736,$C$3:$C$3002,"&lt;&gt;U",$S$3:$S$3002,Calc!$F$2))</f>
        <v/>
      </c>
      <c r="Q1736" s="35" t="str">
        <f aca="false">IF(OR($A1736="",$C1736="U",$S1736&lt;&gt;Calc!$F$2),"",IF(COUNTIFS($E$3:$E1736,$E1736,$C$3:$C1736,"&lt;&gt;U",$S$3:$S1736,Calc!$F$2)=1,1,0))</f>
        <v/>
      </c>
      <c r="R1736" s="35" t="str">
        <f aca="false">IF($Q1736=1,$O1736-ROW()/100000,"")</f>
        <v/>
      </c>
      <c r="S1736" s="37" t="str">
        <f aca="false">IF($A1736="","",INT($A1736))</f>
        <v/>
      </c>
      <c r="T1736" s="35" t="str">
        <f aca="false">IF($A1736="","",IF(COUNTIFS($S$3:$S1736,$S1736)=1,1,0))</f>
        <v/>
      </c>
      <c r="U1736" s="37" t="str">
        <f aca="false">IF($T1736=1,$S1736,"")</f>
        <v/>
      </c>
    </row>
    <row r="1737" customFormat="false" ht="15" hidden="false" customHeight="false" outlineLevel="0" collapsed="false">
      <c r="M1737" s="35" t="str">
        <f aca="false">IF($A1737="","",HOUR($A1737))</f>
        <v/>
      </c>
      <c r="N1737" s="36" t="str">
        <f aca="false">IF($A1737="","",$I1737*$K1737)</f>
        <v/>
      </c>
      <c r="O1737" s="35" t="str">
        <f aca="false">IF(OR($A1737="",$C1737="U",$S1737&lt;&gt;Calc!$F$2),"",SUMIFS($I$3:$I$3002,$E$3:$E$3002,$E1737,$C$3:$C$3002,"&lt;&gt;U",$S$3:$S$3002,Calc!$F$2))</f>
        <v/>
      </c>
      <c r="P1737" s="35" t="str">
        <f aca="false">IF(OR($A1737="",$C1737="U",$S1737&lt;&gt;Calc!$F$2),"",SUMIFS($N$3:$N$3002,$E$3:$E$3002,$E1737,$C$3:$C$3002,"&lt;&gt;U",$S$3:$S$3002,Calc!$F$2))</f>
        <v/>
      </c>
      <c r="Q1737" s="35" t="str">
        <f aca="false">IF(OR($A1737="",$C1737="U",$S1737&lt;&gt;Calc!$F$2),"",IF(COUNTIFS($E$3:$E1737,$E1737,$C$3:$C1737,"&lt;&gt;U",$S$3:$S1737,Calc!$F$2)=1,1,0))</f>
        <v/>
      </c>
      <c r="R1737" s="35" t="str">
        <f aca="false">IF($Q1737=1,$O1737-ROW()/100000,"")</f>
        <v/>
      </c>
      <c r="S1737" s="37" t="str">
        <f aca="false">IF($A1737="","",INT($A1737))</f>
        <v/>
      </c>
      <c r="T1737" s="35" t="str">
        <f aca="false">IF($A1737="","",IF(COUNTIFS($S$3:$S1737,$S1737)=1,1,0))</f>
        <v/>
      </c>
      <c r="U1737" s="37" t="str">
        <f aca="false">IF($T1737=1,$S1737,"")</f>
        <v/>
      </c>
    </row>
    <row r="1738" customFormat="false" ht="15" hidden="false" customHeight="false" outlineLevel="0" collapsed="false">
      <c r="M1738" s="35" t="str">
        <f aca="false">IF($A1738="","",HOUR($A1738))</f>
        <v/>
      </c>
      <c r="N1738" s="36" t="str">
        <f aca="false">IF($A1738="","",$I1738*$K1738)</f>
        <v/>
      </c>
      <c r="O1738" s="35" t="str">
        <f aca="false">IF(OR($A1738="",$C1738="U",$S1738&lt;&gt;Calc!$F$2),"",SUMIFS($I$3:$I$3002,$E$3:$E$3002,$E1738,$C$3:$C$3002,"&lt;&gt;U",$S$3:$S$3002,Calc!$F$2))</f>
        <v/>
      </c>
      <c r="P1738" s="35" t="str">
        <f aca="false">IF(OR($A1738="",$C1738="U",$S1738&lt;&gt;Calc!$F$2),"",SUMIFS($N$3:$N$3002,$E$3:$E$3002,$E1738,$C$3:$C$3002,"&lt;&gt;U",$S$3:$S$3002,Calc!$F$2))</f>
        <v/>
      </c>
      <c r="Q1738" s="35" t="str">
        <f aca="false">IF(OR($A1738="",$C1738="U",$S1738&lt;&gt;Calc!$F$2),"",IF(COUNTIFS($E$3:$E1738,$E1738,$C$3:$C1738,"&lt;&gt;U",$S$3:$S1738,Calc!$F$2)=1,1,0))</f>
        <v/>
      </c>
      <c r="R1738" s="35" t="str">
        <f aca="false">IF($Q1738=1,$O1738-ROW()/100000,"")</f>
        <v/>
      </c>
      <c r="S1738" s="37" t="str">
        <f aca="false">IF($A1738="","",INT($A1738))</f>
        <v/>
      </c>
      <c r="T1738" s="35" t="str">
        <f aca="false">IF($A1738="","",IF(COUNTIFS($S$3:$S1738,$S1738)=1,1,0))</f>
        <v/>
      </c>
      <c r="U1738" s="37" t="str">
        <f aca="false">IF($T1738=1,$S1738,"")</f>
        <v/>
      </c>
    </row>
    <row r="1739" customFormat="false" ht="15" hidden="false" customHeight="false" outlineLevel="0" collapsed="false">
      <c r="M1739" s="35" t="str">
        <f aca="false">IF($A1739="","",HOUR($A1739))</f>
        <v/>
      </c>
      <c r="N1739" s="36" t="str">
        <f aca="false">IF($A1739="","",$I1739*$K1739)</f>
        <v/>
      </c>
      <c r="O1739" s="35" t="str">
        <f aca="false">IF(OR($A1739="",$C1739="U",$S1739&lt;&gt;Calc!$F$2),"",SUMIFS($I$3:$I$3002,$E$3:$E$3002,$E1739,$C$3:$C$3002,"&lt;&gt;U",$S$3:$S$3002,Calc!$F$2))</f>
        <v/>
      </c>
      <c r="P1739" s="35" t="str">
        <f aca="false">IF(OR($A1739="",$C1739="U",$S1739&lt;&gt;Calc!$F$2),"",SUMIFS($N$3:$N$3002,$E$3:$E$3002,$E1739,$C$3:$C$3002,"&lt;&gt;U",$S$3:$S$3002,Calc!$F$2))</f>
        <v/>
      </c>
      <c r="Q1739" s="35" t="str">
        <f aca="false">IF(OR($A1739="",$C1739="U",$S1739&lt;&gt;Calc!$F$2),"",IF(COUNTIFS($E$3:$E1739,$E1739,$C$3:$C1739,"&lt;&gt;U",$S$3:$S1739,Calc!$F$2)=1,1,0))</f>
        <v/>
      </c>
      <c r="R1739" s="35" t="str">
        <f aca="false">IF($Q1739=1,$O1739-ROW()/100000,"")</f>
        <v/>
      </c>
      <c r="S1739" s="37" t="str">
        <f aca="false">IF($A1739="","",INT($A1739))</f>
        <v/>
      </c>
      <c r="T1739" s="35" t="str">
        <f aca="false">IF($A1739="","",IF(COUNTIFS($S$3:$S1739,$S1739)=1,1,0))</f>
        <v/>
      </c>
      <c r="U1739" s="37" t="str">
        <f aca="false">IF($T1739=1,$S1739,"")</f>
        <v/>
      </c>
    </row>
    <row r="1740" customFormat="false" ht="15" hidden="false" customHeight="false" outlineLevel="0" collapsed="false">
      <c r="M1740" s="35" t="str">
        <f aca="false">IF($A1740="","",HOUR($A1740))</f>
        <v/>
      </c>
      <c r="N1740" s="36" t="str">
        <f aca="false">IF($A1740="","",$I1740*$K1740)</f>
        <v/>
      </c>
      <c r="O1740" s="35" t="str">
        <f aca="false">IF(OR($A1740="",$C1740="U",$S1740&lt;&gt;Calc!$F$2),"",SUMIFS($I$3:$I$3002,$E$3:$E$3002,$E1740,$C$3:$C$3002,"&lt;&gt;U",$S$3:$S$3002,Calc!$F$2))</f>
        <v/>
      </c>
      <c r="P1740" s="35" t="str">
        <f aca="false">IF(OR($A1740="",$C1740="U",$S1740&lt;&gt;Calc!$F$2),"",SUMIFS($N$3:$N$3002,$E$3:$E$3002,$E1740,$C$3:$C$3002,"&lt;&gt;U",$S$3:$S$3002,Calc!$F$2))</f>
        <v/>
      </c>
      <c r="Q1740" s="35" t="str">
        <f aca="false">IF(OR($A1740="",$C1740="U",$S1740&lt;&gt;Calc!$F$2),"",IF(COUNTIFS($E$3:$E1740,$E1740,$C$3:$C1740,"&lt;&gt;U",$S$3:$S1740,Calc!$F$2)=1,1,0))</f>
        <v/>
      </c>
      <c r="R1740" s="35" t="str">
        <f aca="false">IF($Q1740=1,$O1740-ROW()/100000,"")</f>
        <v/>
      </c>
      <c r="S1740" s="37" t="str">
        <f aca="false">IF($A1740="","",INT($A1740))</f>
        <v/>
      </c>
      <c r="T1740" s="35" t="str">
        <f aca="false">IF($A1740="","",IF(COUNTIFS($S$3:$S1740,$S1740)=1,1,0))</f>
        <v/>
      </c>
      <c r="U1740" s="37" t="str">
        <f aca="false">IF($T1740=1,$S1740,"")</f>
        <v/>
      </c>
    </row>
    <row r="1741" customFormat="false" ht="15" hidden="false" customHeight="false" outlineLevel="0" collapsed="false">
      <c r="M1741" s="35" t="str">
        <f aca="false">IF($A1741="","",HOUR($A1741))</f>
        <v/>
      </c>
      <c r="N1741" s="36" t="str">
        <f aca="false">IF($A1741="","",$I1741*$K1741)</f>
        <v/>
      </c>
      <c r="O1741" s="35" t="str">
        <f aca="false">IF(OR($A1741="",$C1741="U",$S1741&lt;&gt;Calc!$F$2),"",SUMIFS($I$3:$I$3002,$E$3:$E$3002,$E1741,$C$3:$C$3002,"&lt;&gt;U",$S$3:$S$3002,Calc!$F$2))</f>
        <v/>
      </c>
      <c r="P1741" s="35" t="str">
        <f aca="false">IF(OR($A1741="",$C1741="U",$S1741&lt;&gt;Calc!$F$2),"",SUMIFS($N$3:$N$3002,$E$3:$E$3002,$E1741,$C$3:$C$3002,"&lt;&gt;U",$S$3:$S$3002,Calc!$F$2))</f>
        <v/>
      </c>
      <c r="Q1741" s="35" t="str">
        <f aca="false">IF(OR($A1741="",$C1741="U",$S1741&lt;&gt;Calc!$F$2),"",IF(COUNTIFS($E$3:$E1741,$E1741,$C$3:$C1741,"&lt;&gt;U",$S$3:$S1741,Calc!$F$2)=1,1,0))</f>
        <v/>
      </c>
      <c r="R1741" s="35" t="str">
        <f aca="false">IF($Q1741=1,$O1741-ROW()/100000,"")</f>
        <v/>
      </c>
      <c r="S1741" s="37" t="str">
        <f aca="false">IF($A1741="","",INT($A1741))</f>
        <v/>
      </c>
      <c r="T1741" s="35" t="str">
        <f aca="false">IF($A1741="","",IF(COUNTIFS($S$3:$S1741,$S1741)=1,1,0))</f>
        <v/>
      </c>
      <c r="U1741" s="37" t="str">
        <f aca="false">IF($T1741=1,$S1741,"")</f>
        <v/>
      </c>
    </row>
    <row r="1742" customFormat="false" ht="15" hidden="false" customHeight="false" outlineLevel="0" collapsed="false">
      <c r="M1742" s="35" t="str">
        <f aca="false">IF($A1742="","",HOUR($A1742))</f>
        <v/>
      </c>
      <c r="N1742" s="36" t="str">
        <f aca="false">IF($A1742="","",$I1742*$K1742)</f>
        <v/>
      </c>
      <c r="O1742" s="35" t="str">
        <f aca="false">IF(OR($A1742="",$C1742="U",$S1742&lt;&gt;Calc!$F$2),"",SUMIFS($I$3:$I$3002,$E$3:$E$3002,$E1742,$C$3:$C$3002,"&lt;&gt;U",$S$3:$S$3002,Calc!$F$2))</f>
        <v/>
      </c>
      <c r="P1742" s="35" t="str">
        <f aca="false">IF(OR($A1742="",$C1742="U",$S1742&lt;&gt;Calc!$F$2),"",SUMIFS($N$3:$N$3002,$E$3:$E$3002,$E1742,$C$3:$C$3002,"&lt;&gt;U",$S$3:$S$3002,Calc!$F$2))</f>
        <v/>
      </c>
      <c r="Q1742" s="35" t="str">
        <f aca="false">IF(OR($A1742="",$C1742="U",$S1742&lt;&gt;Calc!$F$2),"",IF(COUNTIFS($E$3:$E1742,$E1742,$C$3:$C1742,"&lt;&gt;U",$S$3:$S1742,Calc!$F$2)=1,1,0))</f>
        <v/>
      </c>
      <c r="R1742" s="35" t="str">
        <f aca="false">IF($Q1742=1,$O1742-ROW()/100000,"")</f>
        <v/>
      </c>
      <c r="S1742" s="37" t="str">
        <f aca="false">IF($A1742="","",INT($A1742))</f>
        <v/>
      </c>
      <c r="T1742" s="35" t="str">
        <f aca="false">IF($A1742="","",IF(COUNTIFS($S$3:$S1742,$S1742)=1,1,0))</f>
        <v/>
      </c>
      <c r="U1742" s="37" t="str">
        <f aca="false">IF($T1742=1,$S1742,"")</f>
        <v/>
      </c>
    </row>
    <row r="1743" customFormat="false" ht="15" hidden="false" customHeight="false" outlineLevel="0" collapsed="false">
      <c r="M1743" s="35" t="str">
        <f aca="false">IF($A1743="","",HOUR($A1743))</f>
        <v/>
      </c>
      <c r="N1743" s="36" t="str">
        <f aca="false">IF($A1743="","",$I1743*$K1743)</f>
        <v/>
      </c>
      <c r="O1743" s="35" t="str">
        <f aca="false">IF(OR($A1743="",$C1743="U",$S1743&lt;&gt;Calc!$F$2),"",SUMIFS($I$3:$I$3002,$E$3:$E$3002,$E1743,$C$3:$C$3002,"&lt;&gt;U",$S$3:$S$3002,Calc!$F$2))</f>
        <v/>
      </c>
      <c r="P1743" s="35" t="str">
        <f aca="false">IF(OR($A1743="",$C1743="U",$S1743&lt;&gt;Calc!$F$2),"",SUMIFS($N$3:$N$3002,$E$3:$E$3002,$E1743,$C$3:$C$3002,"&lt;&gt;U",$S$3:$S$3002,Calc!$F$2))</f>
        <v/>
      </c>
      <c r="Q1743" s="35" t="str">
        <f aca="false">IF(OR($A1743="",$C1743="U",$S1743&lt;&gt;Calc!$F$2),"",IF(COUNTIFS($E$3:$E1743,$E1743,$C$3:$C1743,"&lt;&gt;U",$S$3:$S1743,Calc!$F$2)=1,1,0))</f>
        <v/>
      </c>
      <c r="R1743" s="35" t="str">
        <f aca="false">IF($Q1743=1,$O1743-ROW()/100000,"")</f>
        <v/>
      </c>
      <c r="S1743" s="37" t="str">
        <f aca="false">IF($A1743="","",INT($A1743))</f>
        <v/>
      </c>
      <c r="T1743" s="35" t="str">
        <f aca="false">IF($A1743="","",IF(COUNTIFS($S$3:$S1743,$S1743)=1,1,0))</f>
        <v/>
      </c>
      <c r="U1743" s="37" t="str">
        <f aca="false">IF($T1743=1,$S1743,"")</f>
        <v/>
      </c>
    </row>
    <row r="1744" customFormat="false" ht="15" hidden="false" customHeight="false" outlineLevel="0" collapsed="false">
      <c r="M1744" s="35" t="str">
        <f aca="false">IF($A1744="","",HOUR($A1744))</f>
        <v/>
      </c>
      <c r="N1744" s="36" t="str">
        <f aca="false">IF($A1744="","",$I1744*$K1744)</f>
        <v/>
      </c>
      <c r="O1744" s="35" t="str">
        <f aca="false">IF(OR($A1744="",$C1744="U",$S1744&lt;&gt;Calc!$F$2),"",SUMIFS($I$3:$I$3002,$E$3:$E$3002,$E1744,$C$3:$C$3002,"&lt;&gt;U",$S$3:$S$3002,Calc!$F$2))</f>
        <v/>
      </c>
      <c r="P1744" s="35" t="str">
        <f aca="false">IF(OR($A1744="",$C1744="U",$S1744&lt;&gt;Calc!$F$2),"",SUMIFS($N$3:$N$3002,$E$3:$E$3002,$E1744,$C$3:$C$3002,"&lt;&gt;U",$S$3:$S$3002,Calc!$F$2))</f>
        <v/>
      </c>
      <c r="Q1744" s="35" t="str">
        <f aca="false">IF(OR($A1744="",$C1744="U",$S1744&lt;&gt;Calc!$F$2),"",IF(COUNTIFS($E$3:$E1744,$E1744,$C$3:$C1744,"&lt;&gt;U",$S$3:$S1744,Calc!$F$2)=1,1,0))</f>
        <v/>
      </c>
      <c r="R1744" s="35" t="str">
        <f aca="false">IF($Q1744=1,$O1744-ROW()/100000,"")</f>
        <v/>
      </c>
      <c r="S1744" s="37" t="str">
        <f aca="false">IF($A1744="","",INT($A1744))</f>
        <v/>
      </c>
      <c r="T1744" s="35" t="str">
        <f aca="false">IF($A1744="","",IF(COUNTIFS($S$3:$S1744,$S1744)=1,1,0))</f>
        <v/>
      </c>
      <c r="U1744" s="37" t="str">
        <f aca="false">IF($T1744=1,$S1744,"")</f>
        <v/>
      </c>
    </row>
    <row r="1745" customFormat="false" ht="15" hidden="false" customHeight="false" outlineLevel="0" collapsed="false">
      <c r="M1745" s="35" t="str">
        <f aca="false">IF($A1745="","",HOUR($A1745))</f>
        <v/>
      </c>
      <c r="N1745" s="36" t="str">
        <f aca="false">IF($A1745="","",$I1745*$K1745)</f>
        <v/>
      </c>
      <c r="O1745" s="35" t="str">
        <f aca="false">IF(OR($A1745="",$C1745="U",$S1745&lt;&gt;Calc!$F$2),"",SUMIFS($I$3:$I$3002,$E$3:$E$3002,$E1745,$C$3:$C$3002,"&lt;&gt;U",$S$3:$S$3002,Calc!$F$2))</f>
        <v/>
      </c>
      <c r="P1745" s="35" t="str">
        <f aca="false">IF(OR($A1745="",$C1745="U",$S1745&lt;&gt;Calc!$F$2),"",SUMIFS($N$3:$N$3002,$E$3:$E$3002,$E1745,$C$3:$C$3002,"&lt;&gt;U",$S$3:$S$3002,Calc!$F$2))</f>
        <v/>
      </c>
      <c r="Q1745" s="35" t="str">
        <f aca="false">IF(OR($A1745="",$C1745="U",$S1745&lt;&gt;Calc!$F$2),"",IF(COUNTIFS($E$3:$E1745,$E1745,$C$3:$C1745,"&lt;&gt;U",$S$3:$S1745,Calc!$F$2)=1,1,0))</f>
        <v/>
      </c>
      <c r="R1745" s="35" t="str">
        <f aca="false">IF($Q1745=1,$O1745-ROW()/100000,"")</f>
        <v/>
      </c>
      <c r="S1745" s="37" t="str">
        <f aca="false">IF($A1745="","",INT($A1745))</f>
        <v/>
      </c>
      <c r="T1745" s="35" t="str">
        <f aca="false">IF($A1745="","",IF(COUNTIFS($S$3:$S1745,$S1745)=1,1,0))</f>
        <v/>
      </c>
      <c r="U1745" s="37" t="str">
        <f aca="false">IF($T1745=1,$S1745,"")</f>
        <v/>
      </c>
    </row>
    <row r="1746" customFormat="false" ht="15" hidden="false" customHeight="false" outlineLevel="0" collapsed="false">
      <c r="M1746" s="35" t="str">
        <f aca="false">IF($A1746="","",HOUR($A1746))</f>
        <v/>
      </c>
      <c r="N1746" s="36" t="str">
        <f aca="false">IF($A1746="","",$I1746*$K1746)</f>
        <v/>
      </c>
      <c r="O1746" s="35" t="str">
        <f aca="false">IF(OR($A1746="",$C1746="U",$S1746&lt;&gt;Calc!$F$2),"",SUMIFS($I$3:$I$3002,$E$3:$E$3002,$E1746,$C$3:$C$3002,"&lt;&gt;U",$S$3:$S$3002,Calc!$F$2))</f>
        <v/>
      </c>
      <c r="P1746" s="35" t="str">
        <f aca="false">IF(OR($A1746="",$C1746="U",$S1746&lt;&gt;Calc!$F$2),"",SUMIFS($N$3:$N$3002,$E$3:$E$3002,$E1746,$C$3:$C$3002,"&lt;&gt;U",$S$3:$S$3002,Calc!$F$2))</f>
        <v/>
      </c>
      <c r="Q1746" s="35" t="str">
        <f aca="false">IF(OR($A1746="",$C1746="U",$S1746&lt;&gt;Calc!$F$2),"",IF(COUNTIFS($E$3:$E1746,$E1746,$C$3:$C1746,"&lt;&gt;U",$S$3:$S1746,Calc!$F$2)=1,1,0))</f>
        <v/>
      </c>
      <c r="R1746" s="35" t="str">
        <f aca="false">IF($Q1746=1,$O1746-ROW()/100000,"")</f>
        <v/>
      </c>
      <c r="S1746" s="37" t="str">
        <f aca="false">IF($A1746="","",INT($A1746))</f>
        <v/>
      </c>
      <c r="T1746" s="35" t="str">
        <f aca="false">IF($A1746="","",IF(COUNTIFS($S$3:$S1746,$S1746)=1,1,0))</f>
        <v/>
      </c>
      <c r="U1746" s="37" t="str">
        <f aca="false">IF($T1746=1,$S1746,"")</f>
        <v/>
      </c>
    </row>
    <row r="1747" customFormat="false" ht="15" hidden="false" customHeight="false" outlineLevel="0" collapsed="false">
      <c r="M1747" s="35" t="str">
        <f aca="false">IF($A1747="","",HOUR($A1747))</f>
        <v/>
      </c>
      <c r="N1747" s="36" t="str">
        <f aca="false">IF($A1747="","",$I1747*$K1747)</f>
        <v/>
      </c>
      <c r="O1747" s="35" t="str">
        <f aca="false">IF(OR($A1747="",$C1747="U",$S1747&lt;&gt;Calc!$F$2),"",SUMIFS($I$3:$I$3002,$E$3:$E$3002,$E1747,$C$3:$C$3002,"&lt;&gt;U",$S$3:$S$3002,Calc!$F$2))</f>
        <v/>
      </c>
      <c r="P1747" s="35" t="str">
        <f aca="false">IF(OR($A1747="",$C1747="U",$S1747&lt;&gt;Calc!$F$2),"",SUMIFS($N$3:$N$3002,$E$3:$E$3002,$E1747,$C$3:$C$3002,"&lt;&gt;U",$S$3:$S$3002,Calc!$F$2))</f>
        <v/>
      </c>
      <c r="Q1747" s="35" t="str">
        <f aca="false">IF(OR($A1747="",$C1747="U",$S1747&lt;&gt;Calc!$F$2),"",IF(COUNTIFS($E$3:$E1747,$E1747,$C$3:$C1747,"&lt;&gt;U",$S$3:$S1747,Calc!$F$2)=1,1,0))</f>
        <v/>
      </c>
      <c r="R1747" s="35" t="str">
        <f aca="false">IF($Q1747=1,$O1747-ROW()/100000,"")</f>
        <v/>
      </c>
      <c r="S1747" s="37" t="str">
        <f aca="false">IF($A1747="","",INT($A1747))</f>
        <v/>
      </c>
      <c r="T1747" s="35" t="str">
        <f aca="false">IF($A1747="","",IF(COUNTIFS($S$3:$S1747,$S1747)=1,1,0))</f>
        <v/>
      </c>
      <c r="U1747" s="37" t="str">
        <f aca="false">IF($T1747=1,$S1747,"")</f>
        <v/>
      </c>
    </row>
    <row r="1748" customFormat="false" ht="15" hidden="false" customHeight="false" outlineLevel="0" collapsed="false">
      <c r="M1748" s="35" t="str">
        <f aca="false">IF($A1748="","",HOUR($A1748))</f>
        <v/>
      </c>
      <c r="N1748" s="36" t="str">
        <f aca="false">IF($A1748="","",$I1748*$K1748)</f>
        <v/>
      </c>
      <c r="O1748" s="35" t="str">
        <f aca="false">IF(OR($A1748="",$C1748="U",$S1748&lt;&gt;Calc!$F$2),"",SUMIFS($I$3:$I$3002,$E$3:$E$3002,$E1748,$C$3:$C$3002,"&lt;&gt;U",$S$3:$S$3002,Calc!$F$2))</f>
        <v/>
      </c>
      <c r="P1748" s="35" t="str">
        <f aca="false">IF(OR($A1748="",$C1748="U",$S1748&lt;&gt;Calc!$F$2),"",SUMIFS($N$3:$N$3002,$E$3:$E$3002,$E1748,$C$3:$C$3002,"&lt;&gt;U",$S$3:$S$3002,Calc!$F$2))</f>
        <v/>
      </c>
      <c r="Q1748" s="35" t="str">
        <f aca="false">IF(OR($A1748="",$C1748="U",$S1748&lt;&gt;Calc!$F$2),"",IF(COUNTIFS($E$3:$E1748,$E1748,$C$3:$C1748,"&lt;&gt;U",$S$3:$S1748,Calc!$F$2)=1,1,0))</f>
        <v/>
      </c>
      <c r="R1748" s="35" t="str">
        <f aca="false">IF($Q1748=1,$O1748-ROW()/100000,"")</f>
        <v/>
      </c>
      <c r="S1748" s="37" t="str">
        <f aca="false">IF($A1748="","",INT($A1748))</f>
        <v/>
      </c>
      <c r="T1748" s="35" t="str">
        <f aca="false">IF($A1748="","",IF(COUNTIFS($S$3:$S1748,$S1748)=1,1,0))</f>
        <v/>
      </c>
      <c r="U1748" s="37" t="str">
        <f aca="false">IF($T1748=1,$S1748,"")</f>
        <v/>
      </c>
    </row>
    <row r="1749" customFormat="false" ht="15" hidden="false" customHeight="false" outlineLevel="0" collapsed="false">
      <c r="M1749" s="35" t="str">
        <f aca="false">IF($A1749="","",HOUR($A1749))</f>
        <v/>
      </c>
      <c r="N1749" s="36" t="str">
        <f aca="false">IF($A1749="","",$I1749*$K1749)</f>
        <v/>
      </c>
      <c r="O1749" s="35" t="str">
        <f aca="false">IF(OR($A1749="",$C1749="U",$S1749&lt;&gt;Calc!$F$2),"",SUMIFS($I$3:$I$3002,$E$3:$E$3002,$E1749,$C$3:$C$3002,"&lt;&gt;U",$S$3:$S$3002,Calc!$F$2))</f>
        <v/>
      </c>
      <c r="P1749" s="35" t="str">
        <f aca="false">IF(OR($A1749="",$C1749="U",$S1749&lt;&gt;Calc!$F$2),"",SUMIFS($N$3:$N$3002,$E$3:$E$3002,$E1749,$C$3:$C$3002,"&lt;&gt;U",$S$3:$S$3002,Calc!$F$2))</f>
        <v/>
      </c>
      <c r="Q1749" s="35" t="str">
        <f aca="false">IF(OR($A1749="",$C1749="U",$S1749&lt;&gt;Calc!$F$2),"",IF(COUNTIFS($E$3:$E1749,$E1749,$C$3:$C1749,"&lt;&gt;U",$S$3:$S1749,Calc!$F$2)=1,1,0))</f>
        <v/>
      </c>
      <c r="R1749" s="35" t="str">
        <f aca="false">IF($Q1749=1,$O1749-ROW()/100000,"")</f>
        <v/>
      </c>
      <c r="S1749" s="37" t="str">
        <f aca="false">IF($A1749="","",INT($A1749))</f>
        <v/>
      </c>
      <c r="T1749" s="35" t="str">
        <f aca="false">IF($A1749="","",IF(COUNTIFS($S$3:$S1749,$S1749)=1,1,0))</f>
        <v/>
      </c>
      <c r="U1749" s="37" t="str">
        <f aca="false">IF($T1749=1,$S1749,"")</f>
        <v/>
      </c>
    </row>
    <row r="1750" customFormat="false" ht="15" hidden="false" customHeight="false" outlineLevel="0" collapsed="false">
      <c r="M1750" s="35" t="str">
        <f aca="false">IF($A1750="","",HOUR($A1750))</f>
        <v/>
      </c>
      <c r="N1750" s="36" t="str">
        <f aca="false">IF($A1750="","",$I1750*$K1750)</f>
        <v/>
      </c>
      <c r="O1750" s="35" t="str">
        <f aca="false">IF(OR($A1750="",$C1750="U",$S1750&lt;&gt;Calc!$F$2),"",SUMIFS($I$3:$I$3002,$E$3:$E$3002,$E1750,$C$3:$C$3002,"&lt;&gt;U",$S$3:$S$3002,Calc!$F$2))</f>
        <v/>
      </c>
      <c r="P1750" s="35" t="str">
        <f aca="false">IF(OR($A1750="",$C1750="U",$S1750&lt;&gt;Calc!$F$2),"",SUMIFS($N$3:$N$3002,$E$3:$E$3002,$E1750,$C$3:$C$3002,"&lt;&gt;U",$S$3:$S$3002,Calc!$F$2))</f>
        <v/>
      </c>
      <c r="Q1750" s="35" t="str">
        <f aca="false">IF(OR($A1750="",$C1750="U",$S1750&lt;&gt;Calc!$F$2),"",IF(COUNTIFS($E$3:$E1750,$E1750,$C$3:$C1750,"&lt;&gt;U",$S$3:$S1750,Calc!$F$2)=1,1,0))</f>
        <v/>
      </c>
      <c r="R1750" s="35" t="str">
        <f aca="false">IF($Q1750=1,$O1750-ROW()/100000,"")</f>
        <v/>
      </c>
      <c r="S1750" s="37" t="str">
        <f aca="false">IF($A1750="","",INT($A1750))</f>
        <v/>
      </c>
      <c r="T1750" s="35" t="str">
        <f aca="false">IF($A1750="","",IF(COUNTIFS($S$3:$S1750,$S1750)=1,1,0))</f>
        <v/>
      </c>
      <c r="U1750" s="37" t="str">
        <f aca="false">IF($T1750=1,$S1750,"")</f>
        <v/>
      </c>
    </row>
    <row r="1751" customFormat="false" ht="15" hidden="false" customHeight="false" outlineLevel="0" collapsed="false">
      <c r="M1751" s="35" t="str">
        <f aca="false">IF($A1751="","",HOUR($A1751))</f>
        <v/>
      </c>
      <c r="N1751" s="36" t="str">
        <f aca="false">IF($A1751="","",$I1751*$K1751)</f>
        <v/>
      </c>
      <c r="O1751" s="35" t="str">
        <f aca="false">IF(OR($A1751="",$C1751="U",$S1751&lt;&gt;Calc!$F$2),"",SUMIFS($I$3:$I$3002,$E$3:$E$3002,$E1751,$C$3:$C$3002,"&lt;&gt;U",$S$3:$S$3002,Calc!$F$2))</f>
        <v/>
      </c>
      <c r="P1751" s="35" t="str">
        <f aca="false">IF(OR($A1751="",$C1751="U",$S1751&lt;&gt;Calc!$F$2),"",SUMIFS($N$3:$N$3002,$E$3:$E$3002,$E1751,$C$3:$C$3002,"&lt;&gt;U",$S$3:$S$3002,Calc!$F$2))</f>
        <v/>
      </c>
      <c r="Q1751" s="35" t="str">
        <f aca="false">IF(OR($A1751="",$C1751="U",$S1751&lt;&gt;Calc!$F$2),"",IF(COUNTIFS($E$3:$E1751,$E1751,$C$3:$C1751,"&lt;&gt;U",$S$3:$S1751,Calc!$F$2)=1,1,0))</f>
        <v/>
      </c>
      <c r="R1751" s="35" t="str">
        <f aca="false">IF($Q1751=1,$O1751-ROW()/100000,"")</f>
        <v/>
      </c>
      <c r="S1751" s="37" t="str">
        <f aca="false">IF($A1751="","",INT($A1751))</f>
        <v/>
      </c>
      <c r="T1751" s="35" t="str">
        <f aca="false">IF($A1751="","",IF(COUNTIFS($S$3:$S1751,$S1751)=1,1,0))</f>
        <v/>
      </c>
      <c r="U1751" s="37" t="str">
        <f aca="false">IF($T1751=1,$S1751,"")</f>
        <v/>
      </c>
    </row>
    <row r="1752" customFormat="false" ht="15" hidden="false" customHeight="false" outlineLevel="0" collapsed="false">
      <c r="M1752" s="35" t="str">
        <f aca="false">IF($A1752="","",HOUR($A1752))</f>
        <v/>
      </c>
      <c r="N1752" s="36" t="str">
        <f aca="false">IF($A1752="","",$I1752*$K1752)</f>
        <v/>
      </c>
      <c r="O1752" s="35" t="str">
        <f aca="false">IF(OR($A1752="",$C1752="U",$S1752&lt;&gt;Calc!$F$2),"",SUMIFS($I$3:$I$3002,$E$3:$E$3002,$E1752,$C$3:$C$3002,"&lt;&gt;U",$S$3:$S$3002,Calc!$F$2))</f>
        <v/>
      </c>
      <c r="P1752" s="35" t="str">
        <f aca="false">IF(OR($A1752="",$C1752="U",$S1752&lt;&gt;Calc!$F$2),"",SUMIFS($N$3:$N$3002,$E$3:$E$3002,$E1752,$C$3:$C$3002,"&lt;&gt;U",$S$3:$S$3002,Calc!$F$2))</f>
        <v/>
      </c>
      <c r="Q1752" s="35" t="str">
        <f aca="false">IF(OR($A1752="",$C1752="U",$S1752&lt;&gt;Calc!$F$2),"",IF(COUNTIFS($E$3:$E1752,$E1752,$C$3:$C1752,"&lt;&gt;U",$S$3:$S1752,Calc!$F$2)=1,1,0))</f>
        <v/>
      </c>
      <c r="R1752" s="35" t="str">
        <f aca="false">IF($Q1752=1,$O1752-ROW()/100000,"")</f>
        <v/>
      </c>
      <c r="S1752" s="37" t="str">
        <f aca="false">IF($A1752="","",INT($A1752))</f>
        <v/>
      </c>
      <c r="T1752" s="35" t="str">
        <f aca="false">IF($A1752="","",IF(COUNTIFS($S$3:$S1752,$S1752)=1,1,0))</f>
        <v/>
      </c>
      <c r="U1752" s="37" t="str">
        <f aca="false">IF($T1752=1,$S1752,"")</f>
        <v/>
      </c>
    </row>
    <row r="1753" customFormat="false" ht="15" hidden="false" customHeight="false" outlineLevel="0" collapsed="false">
      <c r="M1753" s="35" t="str">
        <f aca="false">IF($A1753="","",HOUR($A1753))</f>
        <v/>
      </c>
      <c r="N1753" s="36" t="str">
        <f aca="false">IF($A1753="","",$I1753*$K1753)</f>
        <v/>
      </c>
      <c r="O1753" s="35" t="str">
        <f aca="false">IF(OR($A1753="",$C1753="U",$S1753&lt;&gt;Calc!$F$2),"",SUMIFS($I$3:$I$3002,$E$3:$E$3002,$E1753,$C$3:$C$3002,"&lt;&gt;U",$S$3:$S$3002,Calc!$F$2))</f>
        <v/>
      </c>
      <c r="P1753" s="35" t="str">
        <f aca="false">IF(OR($A1753="",$C1753="U",$S1753&lt;&gt;Calc!$F$2),"",SUMIFS($N$3:$N$3002,$E$3:$E$3002,$E1753,$C$3:$C$3002,"&lt;&gt;U",$S$3:$S$3002,Calc!$F$2))</f>
        <v/>
      </c>
      <c r="Q1753" s="35" t="str">
        <f aca="false">IF(OR($A1753="",$C1753="U",$S1753&lt;&gt;Calc!$F$2),"",IF(COUNTIFS($E$3:$E1753,$E1753,$C$3:$C1753,"&lt;&gt;U",$S$3:$S1753,Calc!$F$2)=1,1,0))</f>
        <v/>
      </c>
      <c r="R1753" s="35" t="str">
        <f aca="false">IF($Q1753=1,$O1753-ROW()/100000,"")</f>
        <v/>
      </c>
      <c r="S1753" s="37" t="str">
        <f aca="false">IF($A1753="","",INT($A1753))</f>
        <v/>
      </c>
      <c r="T1753" s="35" t="str">
        <f aca="false">IF($A1753="","",IF(COUNTIFS($S$3:$S1753,$S1753)=1,1,0))</f>
        <v/>
      </c>
      <c r="U1753" s="37" t="str">
        <f aca="false">IF($T1753=1,$S1753,"")</f>
        <v/>
      </c>
    </row>
    <row r="1754" customFormat="false" ht="15" hidden="false" customHeight="false" outlineLevel="0" collapsed="false">
      <c r="M1754" s="35" t="str">
        <f aca="false">IF($A1754="","",HOUR($A1754))</f>
        <v/>
      </c>
      <c r="N1754" s="36" t="str">
        <f aca="false">IF($A1754="","",$I1754*$K1754)</f>
        <v/>
      </c>
      <c r="O1754" s="35" t="str">
        <f aca="false">IF(OR($A1754="",$C1754="U",$S1754&lt;&gt;Calc!$F$2),"",SUMIFS($I$3:$I$3002,$E$3:$E$3002,$E1754,$C$3:$C$3002,"&lt;&gt;U",$S$3:$S$3002,Calc!$F$2))</f>
        <v/>
      </c>
      <c r="P1754" s="35" t="str">
        <f aca="false">IF(OR($A1754="",$C1754="U",$S1754&lt;&gt;Calc!$F$2),"",SUMIFS($N$3:$N$3002,$E$3:$E$3002,$E1754,$C$3:$C$3002,"&lt;&gt;U",$S$3:$S$3002,Calc!$F$2))</f>
        <v/>
      </c>
      <c r="Q1754" s="35" t="str">
        <f aca="false">IF(OR($A1754="",$C1754="U",$S1754&lt;&gt;Calc!$F$2),"",IF(COUNTIFS($E$3:$E1754,$E1754,$C$3:$C1754,"&lt;&gt;U",$S$3:$S1754,Calc!$F$2)=1,1,0))</f>
        <v/>
      </c>
      <c r="R1754" s="35" t="str">
        <f aca="false">IF($Q1754=1,$O1754-ROW()/100000,"")</f>
        <v/>
      </c>
      <c r="S1754" s="37" t="str">
        <f aca="false">IF($A1754="","",INT($A1754))</f>
        <v/>
      </c>
      <c r="T1754" s="35" t="str">
        <f aca="false">IF($A1754="","",IF(COUNTIFS($S$3:$S1754,$S1754)=1,1,0))</f>
        <v/>
      </c>
      <c r="U1754" s="37" t="str">
        <f aca="false">IF($T1754=1,$S1754,"")</f>
        <v/>
      </c>
    </row>
    <row r="1755" customFormat="false" ht="15" hidden="false" customHeight="false" outlineLevel="0" collapsed="false">
      <c r="M1755" s="35" t="str">
        <f aca="false">IF($A1755="","",HOUR($A1755))</f>
        <v/>
      </c>
      <c r="N1755" s="36" t="str">
        <f aca="false">IF($A1755="","",$I1755*$K1755)</f>
        <v/>
      </c>
      <c r="O1755" s="35" t="str">
        <f aca="false">IF(OR($A1755="",$C1755="U",$S1755&lt;&gt;Calc!$F$2),"",SUMIFS($I$3:$I$3002,$E$3:$E$3002,$E1755,$C$3:$C$3002,"&lt;&gt;U",$S$3:$S$3002,Calc!$F$2))</f>
        <v/>
      </c>
      <c r="P1755" s="35" t="str">
        <f aca="false">IF(OR($A1755="",$C1755="U",$S1755&lt;&gt;Calc!$F$2),"",SUMIFS($N$3:$N$3002,$E$3:$E$3002,$E1755,$C$3:$C$3002,"&lt;&gt;U",$S$3:$S$3002,Calc!$F$2))</f>
        <v/>
      </c>
      <c r="Q1755" s="35" t="str">
        <f aca="false">IF(OR($A1755="",$C1755="U",$S1755&lt;&gt;Calc!$F$2),"",IF(COUNTIFS($E$3:$E1755,$E1755,$C$3:$C1755,"&lt;&gt;U",$S$3:$S1755,Calc!$F$2)=1,1,0))</f>
        <v/>
      </c>
      <c r="R1755" s="35" t="str">
        <f aca="false">IF($Q1755=1,$O1755-ROW()/100000,"")</f>
        <v/>
      </c>
      <c r="S1755" s="37" t="str">
        <f aca="false">IF($A1755="","",INT($A1755))</f>
        <v/>
      </c>
      <c r="T1755" s="35" t="str">
        <f aca="false">IF($A1755="","",IF(COUNTIFS($S$3:$S1755,$S1755)=1,1,0))</f>
        <v/>
      </c>
      <c r="U1755" s="37" t="str">
        <f aca="false">IF($T1755=1,$S1755,"")</f>
        <v/>
      </c>
    </row>
    <row r="1756" customFormat="false" ht="15" hidden="false" customHeight="false" outlineLevel="0" collapsed="false">
      <c r="M1756" s="35" t="str">
        <f aca="false">IF($A1756="","",HOUR($A1756))</f>
        <v/>
      </c>
      <c r="N1756" s="36" t="str">
        <f aca="false">IF($A1756="","",$I1756*$K1756)</f>
        <v/>
      </c>
      <c r="O1756" s="35" t="str">
        <f aca="false">IF(OR($A1756="",$C1756="U",$S1756&lt;&gt;Calc!$F$2),"",SUMIFS($I$3:$I$3002,$E$3:$E$3002,$E1756,$C$3:$C$3002,"&lt;&gt;U",$S$3:$S$3002,Calc!$F$2))</f>
        <v/>
      </c>
      <c r="P1756" s="35" t="str">
        <f aca="false">IF(OR($A1756="",$C1756="U",$S1756&lt;&gt;Calc!$F$2),"",SUMIFS($N$3:$N$3002,$E$3:$E$3002,$E1756,$C$3:$C$3002,"&lt;&gt;U",$S$3:$S$3002,Calc!$F$2))</f>
        <v/>
      </c>
      <c r="Q1756" s="35" t="str">
        <f aca="false">IF(OR($A1756="",$C1756="U",$S1756&lt;&gt;Calc!$F$2),"",IF(COUNTIFS($E$3:$E1756,$E1756,$C$3:$C1756,"&lt;&gt;U",$S$3:$S1756,Calc!$F$2)=1,1,0))</f>
        <v/>
      </c>
      <c r="R1756" s="35" t="str">
        <f aca="false">IF($Q1756=1,$O1756-ROW()/100000,"")</f>
        <v/>
      </c>
      <c r="S1756" s="37" t="str">
        <f aca="false">IF($A1756="","",INT($A1756))</f>
        <v/>
      </c>
      <c r="T1756" s="35" t="str">
        <f aca="false">IF($A1756="","",IF(COUNTIFS($S$3:$S1756,$S1756)=1,1,0))</f>
        <v/>
      </c>
      <c r="U1756" s="37" t="str">
        <f aca="false">IF($T1756=1,$S1756,"")</f>
        <v/>
      </c>
    </row>
    <row r="1757" customFormat="false" ht="15" hidden="false" customHeight="false" outlineLevel="0" collapsed="false">
      <c r="M1757" s="35" t="str">
        <f aca="false">IF($A1757="","",HOUR($A1757))</f>
        <v/>
      </c>
      <c r="N1757" s="36" t="str">
        <f aca="false">IF($A1757="","",$I1757*$K1757)</f>
        <v/>
      </c>
      <c r="O1757" s="35" t="str">
        <f aca="false">IF(OR($A1757="",$C1757="U",$S1757&lt;&gt;Calc!$F$2),"",SUMIFS($I$3:$I$3002,$E$3:$E$3002,$E1757,$C$3:$C$3002,"&lt;&gt;U",$S$3:$S$3002,Calc!$F$2))</f>
        <v/>
      </c>
      <c r="P1757" s="35" t="str">
        <f aca="false">IF(OR($A1757="",$C1757="U",$S1757&lt;&gt;Calc!$F$2),"",SUMIFS($N$3:$N$3002,$E$3:$E$3002,$E1757,$C$3:$C$3002,"&lt;&gt;U",$S$3:$S$3002,Calc!$F$2))</f>
        <v/>
      </c>
      <c r="Q1757" s="35" t="str">
        <f aca="false">IF(OR($A1757="",$C1757="U",$S1757&lt;&gt;Calc!$F$2),"",IF(COUNTIFS($E$3:$E1757,$E1757,$C$3:$C1757,"&lt;&gt;U",$S$3:$S1757,Calc!$F$2)=1,1,0))</f>
        <v/>
      </c>
      <c r="R1757" s="35" t="str">
        <f aca="false">IF($Q1757=1,$O1757-ROW()/100000,"")</f>
        <v/>
      </c>
      <c r="S1757" s="37" t="str">
        <f aca="false">IF($A1757="","",INT($A1757))</f>
        <v/>
      </c>
      <c r="T1757" s="35" t="str">
        <f aca="false">IF($A1757="","",IF(COUNTIFS($S$3:$S1757,$S1757)=1,1,0))</f>
        <v/>
      </c>
      <c r="U1757" s="37" t="str">
        <f aca="false">IF($T1757=1,$S1757,"")</f>
        <v/>
      </c>
    </row>
    <row r="1758" customFormat="false" ht="15" hidden="false" customHeight="false" outlineLevel="0" collapsed="false">
      <c r="M1758" s="35" t="str">
        <f aca="false">IF($A1758="","",HOUR($A1758))</f>
        <v/>
      </c>
      <c r="N1758" s="36" t="str">
        <f aca="false">IF($A1758="","",$I1758*$K1758)</f>
        <v/>
      </c>
      <c r="O1758" s="35" t="str">
        <f aca="false">IF(OR($A1758="",$C1758="U",$S1758&lt;&gt;Calc!$F$2),"",SUMIFS($I$3:$I$3002,$E$3:$E$3002,$E1758,$C$3:$C$3002,"&lt;&gt;U",$S$3:$S$3002,Calc!$F$2))</f>
        <v/>
      </c>
      <c r="P1758" s="35" t="str">
        <f aca="false">IF(OR($A1758="",$C1758="U",$S1758&lt;&gt;Calc!$F$2),"",SUMIFS($N$3:$N$3002,$E$3:$E$3002,$E1758,$C$3:$C$3002,"&lt;&gt;U",$S$3:$S$3002,Calc!$F$2))</f>
        <v/>
      </c>
      <c r="Q1758" s="35" t="str">
        <f aca="false">IF(OR($A1758="",$C1758="U",$S1758&lt;&gt;Calc!$F$2),"",IF(COUNTIFS($E$3:$E1758,$E1758,$C$3:$C1758,"&lt;&gt;U",$S$3:$S1758,Calc!$F$2)=1,1,0))</f>
        <v/>
      </c>
      <c r="R1758" s="35" t="str">
        <f aca="false">IF($Q1758=1,$O1758-ROW()/100000,"")</f>
        <v/>
      </c>
      <c r="S1758" s="37" t="str">
        <f aca="false">IF($A1758="","",INT($A1758))</f>
        <v/>
      </c>
      <c r="T1758" s="35" t="str">
        <f aca="false">IF($A1758="","",IF(COUNTIFS($S$3:$S1758,$S1758)=1,1,0))</f>
        <v/>
      </c>
      <c r="U1758" s="37" t="str">
        <f aca="false">IF($T1758=1,$S1758,"")</f>
        <v/>
      </c>
    </row>
    <row r="1759" customFormat="false" ht="15" hidden="false" customHeight="false" outlineLevel="0" collapsed="false">
      <c r="M1759" s="35" t="str">
        <f aca="false">IF($A1759="","",HOUR($A1759))</f>
        <v/>
      </c>
      <c r="N1759" s="36" t="str">
        <f aca="false">IF($A1759="","",$I1759*$K1759)</f>
        <v/>
      </c>
      <c r="O1759" s="35" t="str">
        <f aca="false">IF(OR($A1759="",$C1759="U",$S1759&lt;&gt;Calc!$F$2),"",SUMIFS($I$3:$I$3002,$E$3:$E$3002,$E1759,$C$3:$C$3002,"&lt;&gt;U",$S$3:$S$3002,Calc!$F$2))</f>
        <v/>
      </c>
      <c r="P1759" s="35" t="str">
        <f aca="false">IF(OR($A1759="",$C1759="U",$S1759&lt;&gt;Calc!$F$2),"",SUMIFS($N$3:$N$3002,$E$3:$E$3002,$E1759,$C$3:$C$3002,"&lt;&gt;U",$S$3:$S$3002,Calc!$F$2))</f>
        <v/>
      </c>
      <c r="Q1759" s="35" t="str">
        <f aca="false">IF(OR($A1759="",$C1759="U",$S1759&lt;&gt;Calc!$F$2),"",IF(COUNTIFS($E$3:$E1759,$E1759,$C$3:$C1759,"&lt;&gt;U",$S$3:$S1759,Calc!$F$2)=1,1,0))</f>
        <v/>
      </c>
      <c r="R1759" s="35" t="str">
        <f aca="false">IF($Q1759=1,$O1759-ROW()/100000,"")</f>
        <v/>
      </c>
      <c r="S1759" s="37" t="str">
        <f aca="false">IF($A1759="","",INT($A1759))</f>
        <v/>
      </c>
      <c r="T1759" s="35" t="str">
        <f aca="false">IF($A1759="","",IF(COUNTIFS($S$3:$S1759,$S1759)=1,1,0))</f>
        <v/>
      </c>
      <c r="U1759" s="37" t="str">
        <f aca="false">IF($T1759=1,$S1759,"")</f>
        <v/>
      </c>
    </row>
    <row r="1760" customFormat="false" ht="15" hidden="false" customHeight="false" outlineLevel="0" collapsed="false">
      <c r="M1760" s="35" t="str">
        <f aca="false">IF($A1760="","",HOUR($A1760))</f>
        <v/>
      </c>
      <c r="N1760" s="36" t="str">
        <f aca="false">IF($A1760="","",$I1760*$K1760)</f>
        <v/>
      </c>
      <c r="O1760" s="35" t="str">
        <f aca="false">IF(OR($A1760="",$C1760="U",$S1760&lt;&gt;Calc!$F$2),"",SUMIFS($I$3:$I$3002,$E$3:$E$3002,$E1760,$C$3:$C$3002,"&lt;&gt;U",$S$3:$S$3002,Calc!$F$2))</f>
        <v/>
      </c>
      <c r="P1760" s="35" t="str">
        <f aca="false">IF(OR($A1760="",$C1760="U",$S1760&lt;&gt;Calc!$F$2),"",SUMIFS($N$3:$N$3002,$E$3:$E$3002,$E1760,$C$3:$C$3002,"&lt;&gt;U",$S$3:$S$3002,Calc!$F$2))</f>
        <v/>
      </c>
      <c r="Q1760" s="35" t="str">
        <f aca="false">IF(OR($A1760="",$C1760="U",$S1760&lt;&gt;Calc!$F$2),"",IF(COUNTIFS($E$3:$E1760,$E1760,$C$3:$C1760,"&lt;&gt;U",$S$3:$S1760,Calc!$F$2)=1,1,0))</f>
        <v/>
      </c>
      <c r="R1760" s="35" t="str">
        <f aca="false">IF($Q1760=1,$O1760-ROW()/100000,"")</f>
        <v/>
      </c>
      <c r="S1760" s="37" t="str">
        <f aca="false">IF($A1760="","",INT($A1760))</f>
        <v/>
      </c>
      <c r="T1760" s="35" t="str">
        <f aca="false">IF($A1760="","",IF(COUNTIFS($S$3:$S1760,$S1760)=1,1,0))</f>
        <v/>
      </c>
      <c r="U1760" s="37" t="str">
        <f aca="false">IF($T1760=1,$S1760,"")</f>
        <v/>
      </c>
    </row>
    <row r="1761" customFormat="false" ht="15" hidden="false" customHeight="false" outlineLevel="0" collapsed="false">
      <c r="M1761" s="35" t="str">
        <f aca="false">IF($A1761="","",HOUR($A1761))</f>
        <v/>
      </c>
      <c r="N1761" s="36" t="str">
        <f aca="false">IF($A1761="","",$I1761*$K1761)</f>
        <v/>
      </c>
      <c r="O1761" s="35" t="str">
        <f aca="false">IF(OR($A1761="",$C1761="U",$S1761&lt;&gt;Calc!$F$2),"",SUMIFS($I$3:$I$3002,$E$3:$E$3002,$E1761,$C$3:$C$3002,"&lt;&gt;U",$S$3:$S$3002,Calc!$F$2))</f>
        <v/>
      </c>
      <c r="P1761" s="35" t="str">
        <f aca="false">IF(OR($A1761="",$C1761="U",$S1761&lt;&gt;Calc!$F$2),"",SUMIFS($N$3:$N$3002,$E$3:$E$3002,$E1761,$C$3:$C$3002,"&lt;&gt;U",$S$3:$S$3002,Calc!$F$2))</f>
        <v/>
      </c>
      <c r="Q1761" s="35" t="str">
        <f aca="false">IF(OR($A1761="",$C1761="U",$S1761&lt;&gt;Calc!$F$2),"",IF(COUNTIFS($E$3:$E1761,$E1761,$C$3:$C1761,"&lt;&gt;U",$S$3:$S1761,Calc!$F$2)=1,1,0))</f>
        <v/>
      </c>
      <c r="R1761" s="35" t="str">
        <f aca="false">IF($Q1761=1,$O1761-ROW()/100000,"")</f>
        <v/>
      </c>
      <c r="S1761" s="37" t="str">
        <f aca="false">IF($A1761="","",INT($A1761))</f>
        <v/>
      </c>
      <c r="T1761" s="35" t="str">
        <f aca="false">IF($A1761="","",IF(COUNTIFS($S$3:$S1761,$S1761)=1,1,0))</f>
        <v/>
      </c>
      <c r="U1761" s="37" t="str">
        <f aca="false">IF($T1761=1,$S1761,"")</f>
        <v/>
      </c>
    </row>
    <row r="1762" customFormat="false" ht="15" hidden="false" customHeight="false" outlineLevel="0" collapsed="false">
      <c r="M1762" s="35" t="str">
        <f aca="false">IF($A1762="","",HOUR($A1762))</f>
        <v/>
      </c>
      <c r="N1762" s="36" t="str">
        <f aca="false">IF($A1762="","",$I1762*$K1762)</f>
        <v/>
      </c>
      <c r="O1762" s="35" t="str">
        <f aca="false">IF(OR($A1762="",$C1762="U",$S1762&lt;&gt;Calc!$F$2),"",SUMIFS($I$3:$I$3002,$E$3:$E$3002,$E1762,$C$3:$C$3002,"&lt;&gt;U",$S$3:$S$3002,Calc!$F$2))</f>
        <v/>
      </c>
      <c r="P1762" s="35" t="str">
        <f aca="false">IF(OR($A1762="",$C1762="U",$S1762&lt;&gt;Calc!$F$2),"",SUMIFS($N$3:$N$3002,$E$3:$E$3002,$E1762,$C$3:$C$3002,"&lt;&gt;U",$S$3:$S$3002,Calc!$F$2))</f>
        <v/>
      </c>
      <c r="Q1762" s="35" t="str">
        <f aca="false">IF(OR($A1762="",$C1762="U",$S1762&lt;&gt;Calc!$F$2),"",IF(COUNTIFS($E$3:$E1762,$E1762,$C$3:$C1762,"&lt;&gt;U",$S$3:$S1762,Calc!$F$2)=1,1,0))</f>
        <v/>
      </c>
      <c r="R1762" s="35" t="str">
        <f aca="false">IF($Q1762=1,$O1762-ROW()/100000,"")</f>
        <v/>
      </c>
      <c r="S1762" s="37" t="str">
        <f aca="false">IF($A1762="","",INT($A1762))</f>
        <v/>
      </c>
      <c r="T1762" s="35" t="str">
        <f aca="false">IF($A1762="","",IF(COUNTIFS($S$3:$S1762,$S1762)=1,1,0))</f>
        <v/>
      </c>
      <c r="U1762" s="37" t="str">
        <f aca="false">IF($T1762=1,$S1762,"")</f>
        <v/>
      </c>
    </row>
    <row r="1763" customFormat="false" ht="15" hidden="false" customHeight="false" outlineLevel="0" collapsed="false">
      <c r="M1763" s="35" t="str">
        <f aca="false">IF($A1763="","",HOUR($A1763))</f>
        <v/>
      </c>
      <c r="N1763" s="36" t="str">
        <f aca="false">IF($A1763="","",$I1763*$K1763)</f>
        <v/>
      </c>
      <c r="O1763" s="35" t="str">
        <f aca="false">IF(OR($A1763="",$C1763="U",$S1763&lt;&gt;Calc!$F$2),"",SUMIFS($I$3:$I$3002,$E$3:$E$3002,$E1763,$C$3:$C$3002,"&lt;&gt;U",$S$3:$S$3002,Calc!$F$2))</f>
        <v/>
      </c>
      <c r="P1763" s="35" t="str">
        <f aca="false">IF(OR($A1763="",$C1763="U",$S1763&lt;&gt;Calc!$F$2),"",SUMIFS($N$3:$N$3002,$E$3:$E$3002,$E1763,$C$3:$C$3002,"&lt;&gt;U",$S$3:$S$3002,Calc!$F$2))</f>
        <v/>
      </c>
      <c r="Q1763" s="35" t="str">
        <f aca="false">IF(OR($A1763="",$C1763="U",$S1763&lt;&gt;Calc!$F$2),"",IF(COUNTIFS($E$3:$E1763,$E1763,$C$3:$C1763,"&lt;&gt;U",$S$3:$S1763,Calc!$F$2)=1,1,0))</f>
        <v/>
      </c>
      <c r="R1763" s="35" t="str">
        <f aca="false">IF($Q1763=1,$O1763-ROW()/100000,"")</f>
        <v/>
      </c>
      <c r="S1763" s="37" t="str">
        <f aca="false">IF($A1763="","",INT($A1763))</f>
        <v/>
      </c>
      <c r="T1763" s="35" t="str">
        <f aca="false">IF($A1763="","",IF(COUNTIFS($S$3:$S1763,$S1763)=1,1,0))</f>
        <v/>
      </c>
      <c r="U1763" s="37" t="str">
        <f aca="false">IF($T1763=1,$S1763,"")</f>
        <v/>
      </c>
    </row>
    <row r="1764" customFormat="false" ht="15" hidden="false" customHeight="false" outlineLevel="0" collapsed="false">
      <c r="M1764" s="35" t="str">
        <f aca="false">IF($A1764="","",HOUR($A1764))</f>
        <v/>
      </c>
      <c r="N1764" s="36" t="str">
        <f aca="false">IF($A1764="","",$I1764*$K1764)</f>
        <v/>
      </c>
      <c r="O1764" s="35" t="str">
        <f aca="false">IF(OR($A1764="",$C1764="U",$S1764&lt;&gt;Calc!$F$2),"",SUMIFS($I$3:$I$3002,$E$3:$E$3002,$E1764,$C$3:$C$3002,"&lt;&gt;U",$S$3:$S$3002,Calc!$F$2))</f>
        <v/>
      </c>
      <c r="P1764" s="35" t="str">
        <f aca="false">IF(OR($A1764="",$C1764="U",$S1764&lt;&gt;Calc!$F$2),"",SUMIFS($N$3:$N$3002,$E$3:$E$3002,$E1764,$C$3:$C$3002,"&lt;&gt;U",$S$3:$S$3002,Calc!$F$2))</f>
        <v/>
      </c>
      <c r="Q1764" s="35" t="str">
        <f aca="false">IF(OR($A1764="",$C1764="U",$S1764&lt;&gt;Calc!$F$2),"",IF(COUNTIFS($E$3:$E1764,$E1764,$C$3:$C1764,"&lt;&gt;U",$S$3:$S1764,Calc!$F$2)=1,1,0))</f>
        <v/>
      </c>
      <c r="R1764" s="35" t="str">
        <f aca="false">IF($Q1764=1,$O1764-ROW()/100000,"")</f>
        <v/>
      </c>
      <c r="S1764" s="37" t="str">
        <f aca="false">IF($A1764="","",INT($A1764))</f>
        <v/>
      </c>
      <c r="T1764" s="35" t="str">
        <f aca="false">IF($A1764="","",IF(COUNTIFS($S$3:$S1764,$S1764)=1,1,0))</f>
        <v/>
      </c>
      <c r="U1764" s="37" t="str">
        <f aca="false">IF($T1764=1,$S1764,"")</f>
        <v/>
      </c>
    </row>
    <row r="1765" customFormat="false" ht="15" hidden="false" customHeight="false" outlineLevel="0" collapsed="false">
      <c r="M1765" s="35" t="str">
        <f aca="false">IF($A1765="","",HOUR($A1765))</f>
        <v/>
      </c>
      <c r="N1765" s="36" t="str">
        <f aca="false">IF($A1765="","",$I1765*$K1765)</f>
        <v/>
      </c>
      <c r="O1765" s="35" t="str">
        <f aca="false">IF(OR($A1765="",$C1765="U",$S1765&lt;&gt;Calc!$F$2),"",SUMIFS($I$3:$I$3002,$E$3:$E$3002,$E1765,$C$3:$C$3002,"&lt;&gt;U",$S$3:$S$3002,Calc!$F$2))</f>
        <v/>
      </c>
      <c r="P1765" s="35" t="str">
        <f aca="false">IF(OR($A1765="",$C1765="U",$S1765&lt;&gt;Calc!$F$2),"",SUMIFS($N$3:$N$3002,$E$3:$E$3002,$E1765,$C$3:$C$3002,"&lt;&gt;U",$S$3:$S$3002,Calc!$F$2))</f>
        <v/>
      </c>
      <c r="Q1765" s="35" t="str">
        <f aca="false">IF(OR($A1765="",$C1765="U",$S1765&lt;&gt;Calc!$F$2),"",IF(COUNTIFS($E$3:$E1765,$E1765,$C$3:$C1765,"&lt;&gt;U",$S$3:$S1765,Calc!$F$2)=1,1,0))</f>
        <v/>
      </c>
      <c r="R1765" s="35" t="str">
        <f aca="false">IF($Q1765=1,$O1765-ROW()/100000,"")</f>
        <v/>
      </c>
      <c r="S1765" s="37" t="str">
        <f aca="false">IF($A1765="","",INT($A1765))</f>
        <v/>
      </c>
      <c r="T1765" s="35" t="str">
        <f aca="false">IF($A1765="","",IF(COUNTIFS($S$3:$S1765,$S1765)=1,1,0))</f>
        <v/>
      </c>
      <c r="U1765" s="37" t="str">
        <f aca="false">IF($T1765=1,$S1765,"")</f>
        <v/>
      </c>
    </row>
    <row r="1766" customFormat="false" ht="15" hidden="false" customHeight="false" outlineLevel="0" collapsed="false">
      <c r="M1766" s="35" t="str">
        <f aca="false">IF($A1766="","",HOUR($A1766))</f>
        <v/>
      </c>
      <c r="N1766" s="36" t="str">
        <f aca="false">IF($A1766="","",$I1766*$K1766)</f>
        <v/>
      </c>
      <c r="O1766" s="35" t="str">
        <f aca="false">IF(OR($A1766="",$C1766="U",$S1766&lt;&gt;Calc!$F$2),"",SUMIFS($I$3:$I$3002,$E$3:$E$3002,$E1766,$C$3:$C$3002,"&lt;&gt;U",$S$3:$S$3002,Calc!$F$2))</f>
        <v/>
      </c>
      <c r="P1766" s="35" t="str">
        <f aca="false">IF(OR($A1766="",$C1766="U",$S1766&lt;&gt;Calc!$F$2),"",SUMIFS($N$3:$N$3002,$E$3:$E$3002,$E1766,$C$3:$C$3002,"&lt;&gt;U",$S$3:$S$3002,Calc!$F$2))</f>
        <v/>
      </c>
      <c r="Q1766" s="35" t="str">
        <f aca="false">IF(OR($A1766="",$C1766="U",$S1766&lt;&gt;Calc!$F$2),"",IF(COUNTIFS($E$3:$E1766,$E1766,$C$3:$C1766,"&lt;&gt;U",$S$3:$S1766,Calc!$F$2)=1,1,0))</f>
        <v/>
      </c>
      <c r="R1766" s="35" t="str">
        <f aca="false">IF($Q1766=1,$O1766-ROW()/100000,"")</f>
        <v/>
      </c>
      <c r="S1766" s="37" t="str">
        <f aca="false">IF($A1766="","",INT($A1766))</f>
        <v/>
      </c>
      <c r="T1766" s="35" t="str">
        <f aca="false">IF($A1766="","",IF(COUNTIFS($S$3:$S1766,$S1766)=1,1,0))</f>
        <v/>
      </c>
      <c r="U1766" s="37" t="str">
        <f aca="false">IF($T1766=1,$S1766,"")</f>
        <v/>
      </c>
    </row>
    <row r="1767" customFormat="false" ht="15" hidden="false" customHeight="false" outlineLevel="0" collapsed="false">
      <c r="M1767" s="35" t="str">
        <f aca="false">IF($A1767="","",HOUR($A1767))</f>
        <v/>
      </c>
      <c r="N1767" s="36" t="str">
        <f aca="false">IF($A1767="","",$I1767*$K1767)</f>
        <v/>
      </c>
      <c r="O1767" s="35" t="str">
        <f aca="false">IF(OR($A1767="",$C1767="U",$S1767&lt;&gt;Calc!$F$2),"",SUMIFS($I$3:$I$3002,$E$3:$E$3002,$E1767,$C$3:$C$3002,"&lt;&gt;U",$S$3:$S$3002,Calc!$F$2))</f>
        <v/>
      </c>
      <c r="P1767" s="35" t="str">
        <f aca="false">IF(OR($A1767="",$C1767="U",$S1767&lt;&gt;Calc!$F$2),"",SUMIFS($N$3:$N$3002,$E$3:$E$3002,$E1767,$C$3:$C$3002,"&lt;&gt;U",$S$3:$S$3002,Calc!$F$2))</f>
        <v/>
      </c>
      <c r="Q1767" s="35" t="str">
        <f aca="false">IF(OR($A1767="",$C1767="U",$S1767&lt;&gt;Calc!$F$2),"",IF(COUNTIFS($E$3:$E1767,$E1767,$C$3:$C1767,"&lt;&gt;U",$S$3:$S1767,Calc!$F$2)=1,1,0))</f>
        <v/>
      </c>
      <c r="R1767" s="35" t="str">
        <f aca="false">IF($Q1767=1,$O1767-ROW()/100000,"")</f>
        <v/>
      </c>
      <c r="S1767" s="37" t="str">
        <f aca="false">IF($A1767="","",INT($A1767))</f>
        <v/>
      </c>
      <c r="T1767" s="35" t="str">
        <f aca="false">IF($A1767="","",IF(COUNTIFS($S$3:$S1767,$S1767)=1,1,0))</f>
        <v/>
      </c>
      <c r="U1767" s="37" t="str">
        <f aca="false">IF($T1767=1,$S1767,"")</f>
        <v/>
      </c>
    </row>
    <row r="1768" customFormat="false" ht="15" hidden="false" customHeight="false" outlineLevel="0" collapsed="false">
      <c r="M1768" s="35" t="str">
        <f aca="false">IF($A1768="","",HOUR($A1768))</f>
        <v/>
      </c>
      <c r="N1768" s="36" t="str">
        <f aca="false">IF($A1768="","",$I1768*$K1768)</f>
        <v/>
      </c>
      <c r="O1768" s="35" t="str">
        <f aca="false">IF(OR($A1768="",$C1768="U",$S1768&lt;&gt;Calc!$F$2),"",SUMIFS($I$3:$I$3002,$E$3:$E$3002,$E1768,$C$3:$C$3002,"&lt;&gt;U",$S$3:$S$3002,Calc!$F$2))</f>
        <v/>
      </c>
      <c r="P1768" s="35" t="str">
        <f aca="false">IF(OR($A1768="",$C1768="U",$S1768&lt;&gt;Calc!$F$2),"",SUMIFS($N$3:$N$3002,$E$3:$E$3002,$E1768,$C$3:$C$3002,"&lt;&gt;U",$S$3:$S$3002,Calc!$F$2))</f>
        <v/>
      </c>
      <c r="Q1768" s="35" t="str">
        <f aca="false">IF(OR($A1768="",$C1768="U",$S1768&lt;&gt;Calc!$F$2),"",IF(COUNTIFS($E$3:$E1768,$E1768,$C$3:$C1768,"&lt;&gt;U",$S$3:$S1768,Calc!$F$2)=1,1,0))</f>
        <v/>
      </c>
      <c r="R1768" s="35" t="str">
        <f aca="false">IF($Q1768=1,$O1768-ROW()/100000,"")</f>
        <v/>
      </c>
      <c r="S1768" s="37" t="str">
        <f aca="false">IF($A1768="","",INT($A1768))</f>
        <v/>
      </c>
      <c r="T1768" s="35" t="str">
        <f aca="false">IF($A1768="","",IF(COUNTIFS($S$3:$S1768,$S1768)=1,1,0))</f>
        <v/>
      </c>
      <c r="U1768" s="37" t="str">
        <f aca="false">IF($T1768=1,$S1768,"")</f>
        <v/>
      </c>
    </row>
    <row r="1769" customFormat="false" ht="15" hidden="false" customHeight="false" outlineLevel="0" collapsed="false">
      <c r="M1769" s="35" t="str">
        <f aca="false">IF($A1769="","",HOUR($A1769))</f>
        <v/>
      </c>
      <c r="N1769" s="36" t="str">
        <f aca="false">IF($A1769="","",$I1769*$K1769)</f>
        <v/>
      </c>
      <c r="O1769" s="35" t="str">
        <f aca="false">IF(OR($A1769="",$C1769="U",$S1769&lt;&gt;Calc!$F$2),"",SUMIFS($I$3:$I$3002,$E$3:$E$3002,$E1769,$C$3:$C$3002,"&lt;&gt;U",$S$3:$S$3002,Calc!$F$2))</f>
        <v/>
      </c>
      <c r="P1769" s="35" t="str">
        <f aca="false">IF(OR($A1769="",$C1769="U",$S1769&lt;&gt;Calc!$F$2),"",SUMIFS($N$3:$N$3002,$E$3:$E$3002,$E1769,$C$3:$C$3002,"&lt;&gt;U",$S$3:$S$3002,Calc!$F$2))</f>
        <v/>
      </c>
      <c r="Q1769" s="35" t="str">
        <f aca="false">IF(OR($A1769="",$C1769="U",$S1769&lt;&gt;Calc!$F$2),"",IF(COUNTIFS($E$3:$E1769,$E1769,$C$3:$C1769,"&lt;&gt;U",$S$3:$S1769,Calc!$F$2)=1,1,0))</f>
        <v/>
      </c>
      <c r="R1769" s="35" t="str">
        <f aca="false">IF($Q1769=1,$O1769-ROW()/100000,"")</f>
        <v/>
      </c>
      <c r="S1769" s="37" t="str">
        <f aca="false">IF($A1769="","",INT($A1769))</f>
        <v/>
      </c>
      <c r="T1769" s="35" t="str">
        <f aca="false">IF($A1769="","",IF(COUNTIFS($S$3:$S1769,$S1769)=1,1,0))</f>
        <v/>
      </c>
      <c r="U1769" s="37" t="str">
        <f aca="false">IF($T1769=1,$S1769,"")</f>
        <v/>
      </c>
    </row>
    <row r="1770" customFormat="false" ht="15" hidden="false" customHeight="false" outlineLevel="0" collapsed="false">
      <c r="M1770" s="35" t="str">
        <f aca="false">IF($A1770="","",HOUR($A1770))</f>
        <v/>
      </c>
      <c r="N1770" s="36" t="str">
        <f aca="false">IF($A1770="","",$I1770*$K1770)</f>
        <v/>
      </c>
      <c r="O1770" s="35" t="str">
        <f aca="false">IF(OR($A1770="",$C1770="U",$S1770&lt;&gt;Calc!$F$2),"",SUMIFS($I$3:$I$3002,$E$3:$E$3002,$E1770,$C$3:$C$3002,"&lt;&gt;U",$S$3:$S$3002,Calc!$F$2))</f>
        <v/>
      </c>
      <c r="P1770" s="35" t="str">
        <f aca="false">IF(OR($A1770="",$C1770="U",$S1770&lt;&gt;Calc!$F$2),"",SUMIFS($N$3:$N$3002,$E$3:$E$3002,$E1770,$C$3:$C$3002,"&lt;&gt;U",$S$3:$S$3002,Calc!$F$2))</f>
        <v/>
      </c>
      <c r="Q1770" s="35" t="str">
        <f aca="false">IF(OR($A1770="",$C1770="U",$S1770&lt;&gt;Calc!$F$2),"",IF(COUNTIFS($E$3:$E1770,$E1770,$C$3:$C1770,"&lt;&gt;U",$S$3:$S1770,Calc!$F$2)=1,1,0))</f>
        <v/>
      </c>
      <c r="R1770" s="35" t="str">
        <f aca="false">IF($Q1770=1,$O1770-ROW()/100000,"")</f>
        <v/>
      </c>
      <c r="S1770" s="37" t="str">
        <f aca="false">IF($A1770="","",INT($A1770))</f>
        <v/>
      </c>
      <c r="T1770" s="35" t="str">
        <f aca="false">IF($A1770="","",IF(COUNTIFS($S$3:$S1770,$S1770)=1,1,0))</f>
        <v/>
      </c>
      <c r="U1770" s="37" t="str">
        <f aca="false">IF($T1770=1,$S1770,"")</f>
        <v/>
      </c>
    </row>
    <row r="1771" customFormat="false" ht="15" hidden="false" customHeight="false" outlineLevel="0" collapsed="false">
      <c r="M1771" s="35" t="str">
        <f aca="false">IF($A1771="","",HOUR($A1771))</f>
        <v/>
      </c>
      <c r="N1771" s="36" t="str">
        <f aca="false">IF($A1771="","",$I1771*$K1771)</f>
        <v/>
      </c>
      <c r="O1771" s="35" t="str">
        <f aca="false">IF(OR($A1771="",$C1771="U",$S1771&lt;&gt;Calc!$F$2),"",SUMIFS($I$3:$I$3002,$E$3:$E$3002,$E1771,$C$3:$C$3002,"&lt;&gt;U",$S$3:$S$3002,Calc!$F$2))</f>
        <v/>
      </c>
      <c r="P1771" s="35" t="str">
        <f aca="false">IF(OR($A1771="",$C1771="U",$S1771&lt;&gt;Calc!$F$2),"",SUMIFS($N$3:$N$3002,$E$3:$E$3002,$E1771,$C$3:$C$3002,"&lt;&gt;U",$S$3:$S$3002,Calc!$F$2))</f>
        <v/>
      </c>
      <c r="Q1771" s="35" t="str">
        <f aca="false">IF(OR($A1771="",$C1771="U",$S1771&lt;&gt;Calc!$F$2),"",IF(COUNTIFS($E$3:$E1771,$E1771,$C$3:$C1771,"&lt;&gt;U",$S$3:$S1771,Calc!$F$2)=1,1,0))</f>
        <v/>
      </c>
      <c r="R1771" s="35" t="str">
        <f aca="false">IF($Q1771=1,$O1771-ROW()/100000,"")</f>
        <v/>
      </c>
      <c r="S1771" s="37" t="str">
        <f aca="false">IF($A1771="","",INT($A1771))</f>
        <v/>
      </c>
      <c r="T1771" s="35" t="str">
        <f aca="false">IF($A1771="","",IF(COUNTIFS($S$3:$S1771,$S1771)=1,1,0))</f>
        <v/>
      </c>
      <c r="U1771" s="37" t="str">
        <f aca="false">IF($T1771=1,$S1771,"")</f>
        <v/>
      </c>
    </row>
    <row r="1772" customFormat="false" ht="15" hidden="false" customHeight="false" outlineLevel="0" collapsed="false">
      <c r="M1772" s="35" t="str">
        <f aca="false">IF($A1772="","",HOUR($A1772))</f>
        <v/>
      </c>
      <c r="N1772" s="36" t="str">
        <f aca="false">IF($A1772="","",$I1772*$K1772)</f>
        <v/>
      </c>
      <c r="O1772" s="35" t="str">
        <f aca="false">IF(OR($A1772="",$C1772="U",$S1772&lt;&gt;Calc!$F$2),"",SUMIFS($I$3:$I$3002,$E$3:$E$3002,$E1772,$C$3:$C$3002,"&lt;&gt;U",$S$3:$S$3002,Calc!$F$2))</f>
        <v/>
      </c>
      <c r="P1772" s="35" t="str">
        <f aca="false">IF(OR($A1772="",$C1772="U",$S1772&lt;&gt;Calc!$F$2),"",SUMIFS($N$3:$N$3002,$E$3:$E$3002,$E1772,$C$3:$C$3002,"&lt;&gt;U",$S$3:$S$3002,Calc!$F$2))</f>
        <v/>
      </c>
      <c r="Q1772" s="35" t="str">
        <f aca="false">IF(OR($A1772="",$C1772="U",$S1772&lt;&gt;Calc!$F$2),"",IF(COUNTIFS($E$3:$E1772,$E1772,$C$3:$C1772,"&lt;&gt;U",$S$3:$S1772,Calc!$F$2)=1,1,0))</f>
        <v/>
      </c>
      <c r="R1772" s="35" t="str">
        <f aca="false">IF($Q1772=1,$O1772-ROW()/100000,"")</f>
        <v/>
      </c>
      <c r="S1772" s="37" t="str">
        <f aca="false">IF($A1772="","",INT($A1772))</f>
        <v/>
      </c>
      <c r="T1772" s="35" t="str">
        <f aca="false">IF($A1772="","",IF(COUNTIFS($S$3:$S1772,$S1772)=1,1,0))</f>
        <v/>
      </c>
      <c r="U1772" s="37" t="str">
        <f aca="false">IF($T1772=1,$S1772,"")</f>
        <v/>
      </c>
    </row>
    <row r="1773" customFormat="false" ht="15" hidden="false" customHeight="false" outlineLevel="0" collapsed="false">
      <c r="M1773" s="35" t="str">
        <f aca="false">IF($A1773="","",HOUR($A1773))</f>
        <v/>
      </c>
      <c r="N1773" s="36" t="str">
        <f aca="false">IF($A1773="","",$I1773*$K1773)</f>
        <v/>
      </c>
      <c r="O1773" s="35" t="str">
        <f aca="false">IF(OR($A1773="",$C1773="U",$S1773&lt;&gt;Calc!$F$2),"",SUMIFS($I$3:$I$3002,$E$3:$E$3002,$E1773,$C$3:$C$3002,"&lt;&gt;U",$S$3:$S$3002,Calc!$F$2))</f>
        <v/>
      </c>
      <c r="P1773" s="35" t="str">
        <f aca="false">IF(OR($A1773="",$C1773="U",$S1773&lt;&gt;Calc!$F$2),"",SUMIFS($N$3:$N$3002,$E$3:$E$3002,$E1773,$C$3:$C$3002,"&lt;&gt;U",$S$3:$S$3002,Calc!$F$2))</f>
        <v/>
      </c>
      <c r="Q1773" s="35" t="str">
        <f aca="false">IF(OR($A1773="",$C1773="U",$S1773&lt;&gt;Calc!$F$2),"",IF(COUNTIFS($E$3:$E1773,$E1773,$C$3:$C1773,"&lt;&gt;U",$S$3:$S1773,Calc!$F$2)=1,1,0))</f>
        <v/>
      </c>
      <c r="R1773" s="35" t="str">
        <f aca="false">IF($Q1773=1,$O1773-ROW()/100000,"")</f>
        <v/>
      </c>
      <c r="S1773" s="37" t="str">
        <f aca="false">IF($A1773="","",INT($A1773))</f>
        <v/>
      </c>
      <c r="T1773" s="35" t="str">
        <f aca="false">IF($A1773="","",IF(COUNTIFS($S$3:$S1773,$S1773)=1,1,0))</f>
        <v/>
      </c>
      <c r="U1773" s="37" t="str">
        <f aca="false">IF($T1773=1,$S1773,"")</f>
        <v/>
      </c>
    </row>
    <row r="1774" customFormat="false" ht="15" hidden="false" customHeight="false" outlineLevel="0" collapsed="false">
      <c r="M1774" s="35" t="str">
        <f aca="false">IF($A1774="","",HOUR($A1774))</f>
        <v/>
      </c>
      <c r="N1774" s="36" t="str">
        <f aca="false">IF($A1774="","",$I1774*$K1774)</f>
        <v/>
      </c>
      <c r="O1774" s="35" t="str">
        <f aca="false">IF(OR($A1774="",$C1774="U",$S1774&lt;&gt;Calc!$F$2),"",SUMIFS($I$3:$I$3002,$E$3:$E$3002,$E1774,$C$3:$C$3002,"&lt;&gt;U",$S$3:$S$3002,Calc!$F$2))</f>
        <v/>
      </c>
      <c r="P1774" s="35" t="str">
        <f aca="false">IF(OR($A1774="",$C1774="U",$S1774&lt;&gt;Calc!$F$2),"",SUMIFS($N$3:$N$3002,$E$3:$E$3002,$E1774,$C$3:$C$3002,"&lt;&gt;U",$S$3:$S$3002,Calc!$F$2))</f>
        <v/>
      </c>
      <c r="Q1774" s="35" t="str">
        <f aca="false">IF(OR($A1774="",$C1774="U",$S1774&lt;&gt;Calc!$F$2),"",IF(COUNTIFS($E$3:$E1774,$E1774,$C$3:$C1774,"&lt;&gt;U",$S$3:$S1774,Calc!$F$2)=1,1,0))</f>
        <v/>
      </c>
      <c r="R1774" s="35" t="str">
        <f aca="false">IF($Q1774=1,$O1774-ROW()/100000,"")</f>
        <v/>
      </c>
      <c r="S1774" s="37" t="str">
        <f aca="false">IF($A1774="","",INT($A1774))</f>
        <v/>
      </c>
      <c r="T1774" s="35" t="str">
        <f aca="false">IF($A1774="","",IF(COUNTIFS($S$3:$S1774,$S1774)=1,1,0))</f>
        <v/>
      </c>
      <c r="U1774" s="37" t="str">
        <f aca="false">IF($T1774=1,$S1774,"")</f>
        <v/>
      </c>
    </row>
    <row r="1775" customFormat="false" ht="15" hidden="false" customHeight="false" outlineLevel="0" collapsed="false">
      <c r="M1775" s="35" t="str">
        <f aca="false">IF($A1775="","",HOUR($A1775))</f>
        <v/>
      </c>
      <c r="N1775" s="36" t="str">
        <f aca="false">IF($A1775="","",$I1775*$K1775)</f>
        <v/>
      </c>
      <c r="O1775" s="35" t="str">
        <f aca="false">IF(OR($A1775="",$C1775="U",$S1775&lt;&gt;Calc!$F$2),"",SUMIFS($I$3:$I$3002,$E$3:$E$3002,$E1775,$C$3:$C$3002,"&lt;&gt;U",$S$3:$S$3002,Calc!$F$2))</f>
        <v/>
      </c>
      <c r="P1775" s="35" t="str">
        <f aca="false">IF(OR($A1775="",$C1775="U",$S1775&lt;&gt;Calc!$F$2),"",SUMIFS($N$3:$N$3002,$E$3:$E$3002,$E1775,$C$3:$C$3002,"&lt;&gt;U",$S$3:$S$3002,Calc!$F$2))</f>
        <v/>
      </c>
      <c r="Q1775" s="35" t="str">
        <f aca="false">IF(OR($A1775="",$C1775="U",$S1775&lt;&gt;Calc!$F$2),"",IF(COUNTIFS($E$3:$E1775,$E1775,$C$3:$C1775,"&lt;&gt;U",$S$3:$S1775,Calc!$F$2)=1,1,0))</f>
        <v/>
      </c>
      <c r="R1775" s="35" t="str">
        <f aca="false">IF($Q1775=1,$O1775-ROW()/100000,"")</f>
        <v/>
      </c>
      <c r="S1775" s="37" t="str">
        <f aca="false">IF($A1775="","",INT($A1775))</f>
        <v/>
      </c>
      <c r="T1775" s="35" t="str">
        <f aca="false">IF($A1775="","",IF(COUNTIFS($S$3:$S1775,$S1775)=1,1,0))</f>
        <v/>
      </c>
      <c r="U1775" s="37" t="str">
        <f aca="false">IF($T1775=1,$S1775,"")</f>
        <v/>
      </c>
    </row>
    <row r="1776" customFormat="false" ht="15" hidden="false" customHeight="false" outlineLevel="0" collapsed="false">
      <c r="M1776" s="35" t="str">
        <f aca="false">IF($A1776="","",HOUR($A1776))</f>
        <v/>
      </c>
      <c r="N1776" s="36" t="str">
        <f aca="false">IF($A1776="","",$I1776*$K1776)</f>
        <v/>
      </c>
      <c r="O1776" s="35" t="str">
        <f aca="false">IF(OR($A1776="",$C1776="U",$S1776&lt;&gt;Calc!$F$2),"",SUMIFS($I$3:$I$3002,$E$3:$E$3002,$E1776,$C$3:$C$3002,"&lt;&gt;U",$S$3:$S$3002,Calc!$F$2))</f>
        <v/>
      </c>
      <c r="P1776" s="35" t="str">
        <f aca="false">IF(OR($A1776="",$C1776="U",$S1776&lt;&gt;Calc!$F$2),"",SUMIFS($N$3:$N$3002,$E$3:$E$3002,$E1776,$C$3:$C$3002,"&lt;&gt;U",$S$3:$S$3002,Calc!$F$2))</f>
        <v/>
      </c>
      <c r="Q1776" s="35" t="str">
        <f aca="false">IF(OR($A1776="",$C1776="U",$S1776&lt;&gt;Calc!$F$2),"",IF(COUNTIFS($E$3:$E1776,$E1776,$C$3:$C1776,"&lt;&gt;U",$S$3:$S1776,Calc!$F$2)=1,1,0))</f>
        <v/>
      </c>
      <c r="R1776" s="35" t="str">
        <f aca="false">IF($Q1776=1,$O1776-ROW()/100000,"")</f>
        <v/>
      </c>
      <c r="S1776" s="37" t="str">
        <f aca="false">IF($A1776="","",INT($A1776))</f>
        <v/>
      </c>
      <c r="T1776" s="35" t="str">
        <f aca="false">IF($A1776="","",IF(COUNTIFS($S$3:$S1776,$S1776)=1,1,0))</f>
        <v/>
      </c>
      <c r="U1776" s="37" t="str">
        <f aca="false">IF($T1776=1,$S1776,"")</f>
        <v/>
      </c>
    </row>
    <row r="1777" customFormat="false" ht="15" hidden="false" customHeight="false" outlineLevel="0" collapsed="false">
      <c r="M1777" s="35" t="str">
        <f aca="false">IF($A1777="","",HOUR($A1777))</f>
        <v/>
      </c>
      <c r="N1777" s="36" t="str">
        <f aca="false">IF($A1777="","",$I1777*$K1777)</f>
        <v/>
      </c>
      <c r="O1777" s="35" t="str">
        <f aca="false">IF(OR($A1777="",$C1777="U",$S1777&lt;&gt;Calc!$F$2),"",SUMIFS($I$3:$I$3002,$E$3:$E$3002,$E1777,$C$3:$C$3002,"&lt;&gt;U",$S$3:$S$3002,Calc!$F$2))</f>
        <v/>
      </c>
      <c r="P1777" s="35" t="str">
        <f aca="false">IF(OR($A1777="",$C1777="U",$S1777&lt;&gt;Calc!$F$2),"",SUMIFS($N$3:$N$3002,$E$3:$E$3002,$E1777,$C$3:$C$3002,"&lt;&gt;U",$S$3:$S$3002,Calc!$F$2))</f>
        <v/>
      </c>
      <c r="Q1777" s="35" t="str">
        <f aca="false">IF(OR($A1777="",$C1777="U",$S1777&lt;&gt;Calc!$F$2),"",IF(COUNTIFS($E$3:$E1777,$E1777,$C$3:$C1777,"&lt;&gt;U",$S$3:$S1777,Calc!$F$2)=1,1,0))</f>
        <v/>
      </c>
      <c r="R1777" s="35" t="str">
        <f aca="false">IF($Q1777=1,$O1777-ROW()/100000,"")</f>
        <v/>
      </c>
      <c r="S1777" s="37" t="str">
        <f aca="false">IF($A1777="","",INT($A1777))</f>
        <v/>
      </c>
      <c r="T1777" s="35" t="str">
        <f aca="false">IF($A1777="","",IF(COUNTIFS($S$3:$S1777,$S1777)=1,1,0))</f>
        <v/>
      </c>
      <c r="U1777" s="37" t="str">
        <f aca="false">IF($T1777=1,$S1777,"")</f>
        <v/>
      </c>
    </row>
    <row r="1778" customFormat="false" ht="15" hidden="false" customHeight="false" outlineLevel="0" collapsed="false">
      <c r="M1778" s="35" t="str">
        <f aca="false">IF($A1778="","",HOUR($A1778))</f>
        <v/>
      </c>
      <c r="N1778" s="36" t="str">
        <f aca="false">IF($A1778="","",$I1778*$K1778)</f>
        <v/>
      </c>
      <c r="O1778" s="35" t="str">
        <f aca="false">IF(OR($A1778="",$C1778="U",$S1778&lt;&gt;Calc!$F$2),"",SUMIFS($I$3:$I$3002,$E$3:$E$3002,$E1778,$C$3:$C$3002,"&lt;&gt;U",$S$3:$S$3002,Calc!$F$2))</f>
        <v/>
      </c>
      <c r="P1778" s="35" t="str">
        <f aca="false">IF(OR($A1778="",$C1778="U",$S1778&lt;&gt;Calc!$F$2),"",SUMIFS($N$3:$N$3002,$E$3:$E$3002,$E1778,$C$3:$C$3002,"&lt;&gt;U",$S$3:$S$3002,Calc!$F$2))</f>
        <v/>
      </c>
      <c r="Q1778" s="35" t="str">
        <f aca="false">IF(OR($A1778="",$C1778="U",$S1778&lt;&gt;Calc!$F$2),"",IF(COUNTIFS($E$3:$E1778,$E1778,$C$3:$C1778,"&lt;&gt;U",$S$3:$S1778,Calc!$F$2)=1,1,0))</f>
        <v/>
      </c>
      <c r="R1778" s="35" t="str">
        <f aca="false">IF($Q1778=1,$O1778-ROW()/100000,"")</f>
        <v/>
      </c>
      <c r="S1778" s="37" t="str">
        <f aca="false">IF($A1778="","",INT($A1778))</f>
        <v/>
      </c>
      <c r="T1778" s="35" t="str">
        <f aca="false">IF($A1778="","",IF(COUNTIFS($S$3:$S1778,$S1778)=1,1,0))</f>
        <v/>
      </c>
      <c r="U1778" s="37" t="str">
        <f aca="false">IF($T1778=1,$S1778,"")</f>
        <v/>
      </c>
    </row>
    <row r="1779" customFormat="false" ht="15" hidden="false" customHeight="false" outlineLevel="0" collapsed="false">
      <c r="M1779" s="35" t="str">
        <f aca="false">IF($A1779="","",HOUR($A1779))</f>
        <v/>
      </c>
      <c r="N1779" s="36" t="str">
        <f aca="false">IF($A1779="","",$I1779*$K1779)</f>
        <v/>
      </c>
      <c r="O1779" s="35" t="str">
        <f aca="false">IF(OR($A1779="",$C1779="U",$S1779&lt;&gt;Calc!$F$2),"",SUMIFS($I$3:$I$3002,$E$3:$E$3002,$E1779,$C$3:$C$3002,"&lt;&gt;U",$S$3:$S$3002,Calc!$F$2))</f>
        <v/>
      </c>
      <c r="P1779" s="35" t="str">
        <f aca="false">IF(OR($A1779="",$C1779="U",$S1779&lt;&gt;Calc!$F$2),"",SUMIFS($N$3:$N$3002,$E$3:$E$3002,$E1779,$C$3:$C$3002,"&lt;&gt;U",$S$3:$S$3002,Calc!$F$2))</f>
        <v/>
      </c>
      <c r="Q1779" s="35" t="str">
        <f aca="false">IF(OR($A1779="",$C1779="U",$S1779&lt;&gt;Calc!$F$2),"",IF(COUNTIFS($E$3:$E1779,$E1779,$C$3:$C1779,"&lt;&gt;U",$S$3:$S1779,Calc!$F$2)=1,1,0))</f>
        <v/>
      </c>
      <c r="R1779" s="35" t="str">
        <f aca="false">IF($Q1779=1,$O1779-ROW()/100000,"")</f>
        <v/>
      </c>
      <c r="S1779" s="37" t="str">
        <f aca="false">IF($A1779="","",INT($A1779))</f>
        <v/>
      </c>
      <c r="T1779" s="35" t="str">
        <f aca="false">IF($A1779="","",IF(COUNTIFS($S$3:$S1779,$S1779)=1,1,0))</f>
        <v/>
      </c>
      <c r="U1779" s="37" t="str">
        <f aca="false">IF($T1779=1,$S1779,"")</f>
        <v/>
      </c>
    </row>
    <row r="1780" customFormat="false" ht="15" hidden="false" customHeight="false" outlineLevel="0" collapsed="false">
      <c r="M1780" s="35" t="str">
        <f aca="false">IF($A1780="","",HOUR($A1780))</f>
        <v/>
      </c>
      <c r="N1780" s="36" t="str">
        <f aca="false">IF($A1780="","",$I1780*$K1780)</f>
        <v/>
      </c>
      <c r="O1780" s="35" t="str">
        <f aca="false">IF(OR($A1780="",$C1780="U",$S1780&lt;&gt;Calc!$F$2),"",SUMIFS($I$3:$I$3002,$E$3:$E$3002,$E1780,$C$3:$C$3002,"&lt;&gt;U",$S$3:$S$3002,Calc!$F$2))</f>
        <v/>
      </c>
      <c r="P1780" s="35" t="str">
        <f aca="false">IF(OR($A1780="",$C1780="U",$S1780&lt;&gt;Calc!$F$2),"",SUMIFS($N$3:$N$3002,$E$3:$E$3002,$E1780,$C$3:$C$3002,"&lt;&gt;U",$S$3:$S$3002,Calc!$F$2))</f>
        <v/>
      </c>
      <c r="Q1780" s="35" t="str">
        <f aca="false">IF(OR($A1780="",$C1780="U",$S1780&lt;&gt;Calc!$F$2),"",IF(COUNTIFS($E$3:$E1780,$E1780,$C$3:$C1780,"&lt;&gt;U",$S$3:$S1780,Calc!$F$2)=1,1,0))</f>
        <v/>
      </c>
      <c r="R1780" s="35" t="str">
        <f aca="false">IF($Q1780=1,$O1780-ROW()/100000,"")</f>
        <v/>
      </c>
      <c r="S1780" s="37" t="str">
        <f aca="false">IF($A1780="","",INT($A1780))</f>
        <v/>
      </c>
      <c r="T1780" s="35" t="str">
        <f aca="false">IF($A1780="","",IF(COUNTIFS($S$3:$S1780,$S1780)=1,1,0))</f>
        <v/>
      </c>
      <c r="U1780" s="37" t="str">
        <f aca="false">IF($T1780=1,$S1780,"")</f>
        <v/>
      </c>
    </row>
    <row r="1781" customFormat="false" ht="15" hidden="false" customHeight="false" outlineLevel="0" collapsed="false">
      <c r="M1781" s="35" t="str">
        <f aca="false">IF($A1781="","",HOUR($A1781))</f>
        <v/>
      </c>
      <c r="N1781" s="36" t="str">
        <f aca="false">IF($A1781="","",$I1781*$K1781)</f>
        <v/>
      </c>
      <c r="O1781" s="35" t="str">
        <f aca="false">IF(OR($A1781="",$C1781="U",$S1781&lt;&gt;Calc!$F$2),"",SUMIFS($I$3:$I$3002,$E$3:$E$3002,$E1781,$C$3:$C$3002,"&lt;&gt;U",$S$3:$S$3002,Calc!$F$2))</f>
        <v/>
      </c>
      <c r="P1781" s="35" t="str">
        <f aca="false">IF(OR($A1781="",$C1781="U",$S1781&lt;&gt;Calc!$F$2),"",SUMIFS($N$3:$N$3002,$E$3:$E$3002,$E1781,$C$3:$C$3002,"&lt;&gt;U",$S$3:$S$3002,Calc!$F$2))</f>
        <v/>
      </c>
      <c r="Q1781" s="35" t="str">
        <f aca="false">IF(OR($A1781="",$C1781="U",$S1781&lt;&gt;Calc!$F$2),"",IF(COUNTIFS($E$3:$E1781,$E1781,$C$3:$C1781,"&lt;&gt;U",$S$3:$S1781,Calc!$F$2)=1,1,0))</f>
        <v/>
      </c>
      <c r="R1781" s="35" t="str">
        <f aca="false">IF($Q1781=1,$O1781-ROW()/100000,"")</f>
        <v/>
      </c>
      <c r="S1781" s="37" t="str">
        <f aca="false">IF($A1781="","",INT($A1781))</f>
        <v/>
      </c>
      <c r="T1781" s="35" t="str">
        <f aca="false">IF($A1781="","",IF(COUNTIFS($S$3:$S1781,$S1781)=1,1,0))</f>
        <v/>
      </c>
      <c r="U1781" s="37" t="str">
        <f aca="false">IF($T1781=1,$S1781,"")</f>
        <v/>
      </c>
    </row>
    <row r="1782" customFormat="false" ht="15" hidden="false" customHeight="false" outlineLevel="0" collapsed="false">
      <c r="M1782" s="35" t="str">
        <f aca="false">IF($A1782="","",HOUR($A1782))</f>
        <v/>
      </c>
      <c r="N1782" s="36" t="str">
        <f aca="false">IF($A1782="","",$I1782*$K1782)</f>
        <v/>
      </c>
      <c r="O1782" s="35" t="str">
        <f aca="false">IF(OR($A1782="",$C1782="U",$S1782&lt;&gt;Calc!$F$2),"",SUMIFS($I$3:$I$3002,$E$3:$E$3002,$E1782,$C$3:$C$3002,"&lt;&gt;U",$S$3:$S$3002,Calc!$F$2))</f>
        <v/>
      </c>
      <c r="P1782" s="35" t="str">
        <f aca="false">IF(OR($A1782="",$C1782="U",$S1782&lt;&gt;Calc!$F$2),"",SUMIFS($N$3:$N$3002,$E$3:$E$3002,$E1782,$C$3:$C$3002,"&lt;&gt;U",$S$3:$S$3002,Calc!$F$2))</f>
        <v/>
      </c>
      <c r="Q1782" s="35" t="str">
        <f aca="false">IF(OR($A1782="",$C1782="U",$S1782&lt;&gt;Calc!$F$2),"",IF(COUNTIFS($E$3:$E1782,$E1782,$C$3:$C1782,"&lt;&gt;U",$S$3:$S1782,Calc!$F$2)=1,1,0))</f>
        <v/>
      </c>
      <c r="R1782" s="35" t="str">
        <f aca="false">IF($Q1782=1,$O1782-ROW()/100000,"")</f>
        <v/>
      </c>
      <c r="S1782" s="37" t="str">
        <f aca="false">IF($A1782="","",INT($A1782))</f>
        <v/>
      </c>
      <c r="T1782" s="35" t="str">
        <f aca="false">IF($A1782="","",IF(COUNTIFS($S$3:$S1782,$S1782)=1,1,0))</f>
        <v/>
      </c>
      <c r="U1782" s="37" t="str">
        <f aca="false">IF($T1782=1,$S1782,"")</f>
        <v/>
      </c>
    </row>
    <row r="1783" customFormat="false" ht="15" hidden="false" customHeight="false" outlineLevel="0" collapsed="false">
      <c r="M1783" s="35" t="str">
        <f aca="false">IF($A1783="","",HOUR($A1783))</f>
        <v/>
      </c>
      <c r="N1783" s="36" t="str">
        <f aca="false">IF($A1783="","",$I1783*$K1783)</f>
        <v/>
      </c>
      <c r="O1783" s="35" t="str">
        <f aca="false">IF(OR($A1783="",$C1783="U",$S1783&lt;&gt;Calc!$F$2),"",SUMIFS($I$3:$I$3002,$E$3:$E$3002,$E1783,$C$3:$C$3002,"&lt;&gt;U",$S$3:$S$3002,Calc!$F$2))</f>
        <v/>
      </c>
      <c r="P1783" s="35" t="str">
        <f aca="false">IF(OR($A1783="",$C1783="U",$S1783&lt;&gt;Calc!$F$2),"",SUMIFS($N$3:$N$3002,$E$3:$E$3002,$E1783,$C$3:$C$3002,"&lt;&gt;U",$S$3:$S$3002,Calc!$F$2))</f>
        <v/>
      </c>
      <c r="Q1783" s="35" t="str">
        <f aca="false">IF(OR($A1783="",$C1783="U",$S1783&lt;&gt;Calc!$F$2),"",IF(COUNTIFS($E$3:$E1783,$E1783,$C$3:$C1783,"&lt;&gt;U",$S$3:$S1783,Calc!$F$2)=1,1,0))</f>
        <v/>
      </c>
      <c r="R1783" s="35" t="str">
        <f aca="false">IF($Q1783=1,$O1783-ROW()/100000,"")</f>
        <v/>
      </c>
      <c r="S1783" s="37" t="str">
        <f aca="false">IF($A1783="","",INT($A1783))</f>
        <v/>
      </c>
      <c r="T1783" s="35" t="str">
        <f aca="false">IF($A1783="","",IF(COUNTIFS($S$3:$S1783,$S1783)=1,1,0))</f>
        <v/>
      </c>
      <c r="U1783" s="37" t="str">
        <f aca="false">IF($T1783=1,$S1783,"")</f>
        <v/>
      </c>
    </row>
    <row r="1784" customFormat="false" ht="15" hidden="false" customHeight="false" outlineLevel="0" collapsed="false">
      <c r="M1784" s="35" t="str">
        <f aca="false">IF($A1784="","",HOUR($A1784))</f>
        <v/>
      </c>
      <c r="N1784" s="36" t="str">
        <f aca="false">IF($A1784="","",$I1784*$K1784)</f>
        <v/>
      </c>
      <c r="O1784" s="35" t="str">
        <f aca="false">IF(OR($A1784="",$C1784="U",$S1784&lt;&gt;Calc!$F$2),"",SUMIFS($I$3:$I$3002,$E$3:$E$3002,$E1784,$C$3:$C$3002,"&lt;&gt;U",$S$3:$S$3002,Calc!$F$2))</f>
        <v/>
      </c>
      <c r="P1784" s="35" t="str">
        <f aca="false">IF(OR($A1784="",$C1784="U",$S1784&lt;&gt;Calc!$F$2),"",SUMIFS($N$3:$N$3002,$E$3:$E$3002,$E1784,$C$3:$C$3002,"&lt;&gt;U",$S$3:$S$3002,Calc!$F$2))</f>
        <v/>
      </c>
      <c r="Q1784" s="35" t="str">
        <f aca="false">IF(OR($A1784="",$C1784="U",$S1784&lt;&gt;Calc!$F$2),"",IF(COUNTIFS($E$3:$E1784,$E1784,$C$3:$C1784,"&lt;&gt;U",$S$3:$S1784,Calc!$F$2)=1,1,0))</f>
        <v/>
      </c>
      <c r="R1784" s="35" t="str">
        <f aca="false">IF($Q1784=1,$O1784-ROW()/100000,"")</f>
        <v/>
      </c>
      <c r="S1784" s="37" t="str">
        <f aca="false">IF($A1784="","",INT($A1784))</f>
        <v/>
      </c>
      <c r="T1784" s="35" t="str">
        <f aca="false">IF($A1784="","",IF(COUNTIFS($S$3:$S1784,$S1784)=1,1,0))</f>
        <v/>
      </c>
      <c r="U1784" s="37" t="str">
        <f aca="false">IF($T1784=1,$S1784,"")</f>
        <v/>
      </c>
    </row>
    <row r="1785" customFormat="false" ht="15" hidden="false" customHeight="false" outlineLevel="0" collapsed="false">
      <c r="M1785" s="35" t="str">
        <f aca="false">IF($A1785="","",HOUR($A1785))</f>
        <v/>
      </c>
      <c r="N1785" s="36" t="str">
        <f aca="false">IF($A1785="","",$I1785*$K1785)</f>
        <v/>
      </c>
      <c r="O1785" s="35" t="str">
        <f aca="false">IF(OR($A1785="",$C1785="U",$S1785&lt;&gt;Calc!$F$2),"",SUMIFS($I$3:$I$3002,$E$3:$E$3002,$E1785,$C$3:$C$3002,"&lt;&gt;U",$S$3:$S$3002,Calc!$F$2))</f>
        <v/>
      </c>
      <c r="P1785" s="35" t="str">
        <f aca="false">IF(OR($A1785="",$C1785="U",$S1785&lt;&gt;Calc!$F$2),"",SUMIFS($N$3:$N$3002,$E$3:$E$3002,$E1785,$C$3:$C$3002,"&lt;&gt;U",$S$3:$S$3002,Calc!$F$2))</f>
        <v/>
      </c>
      <c r="Q1785" s="35" t="str">
        <f aca="false">IF(OR($A1785="",$C1785="U",$S1785&lt;&gt;Calc!$F$2),"",IF(COUNTIFS($E$3:$E1785,$E1785,$C$3:$C1785,"&lt;&gt;U",$S$3:$S1785,Calc!$F$2)=1,1,0))</f>
        <v/>
      </c>
      <c r="R1785" s="35" t="str">
        <f aca="false">IF($Q1785=1,$O1785-ROW()/100000,"")</f>
        <v/>
      </c>
      <c r="S1785" s="37" t="str">
        <f aca="false">IF($A1785="","",INT($A1785))</f>
        <v/>
      </c>
      <c r="T1785" s="35" t="str">
        <f aca="false">IF($A1785="","",IF(COUNTIFS($S$3:$S1785,$S1785)=1,1,0))</f>
        <v/>
      </c>
      <c r="U1785" s="37" t="str">
        <f aca="false">IF($T1785=1,$S1785,"")</f>
        <v/>
      </c>
    </row>
    <row r="1786" customFormat="false" ht="15" hidden="false" customHeight="false" outlineLevel="0" collapsed="false">
      <c r="M1786" s="35" t="str">
        <f aca="false">IF($A1786="","",HOUR($A1786))</f>
        <v/>
      </c>
      <c r="N1786" s="36" t="str">
        <f aca="false">IF($A1786="","",$I1786*$K1786)</f>
        <v/>
      </c>
      <c r="O1786" s="35" t="str">
        <f aca="false">IF(OR($A1786="",$C1786="U",$S1786&lt;&gt;Calc!$F$2),"",SUMIFS($I$3:$I$3002,$E$3:$E$3002,$E1786,$C$3:$C$3002,"&lt;&gt;U",$S$3:$S$3002,Calc!$F$2))</f>
        <v/>
      </c>
      <c r="P1786" s="35" t="str">
        <f aca="false">IF(OR($A1786="",$C1786="U",$S1786&lt;&gt;Calc!$F$2),"",SUMIFS($N$3:$N$3002,$E$3:$E$3002,$E1786,$C$3:$C$3002,"&lt;&gt;U",$S$3:$S$3002,Calc!$F$2))</f>
        <v/>
      </c>
      <c r="Q1786" s="35" t="str">
        <f aca="false">IF(OR($A1786="",$C1786="U",$S1786&lt;&gt;Calc!$F$2),"",IF(COUNTIFS($E$3:$E1786,$E1786,$C$3:$C1786,"&lt;&gt;U",$S$3:$S1786,Calc!$F$2)=1,1,0))</f>
        <v/>
      </c>
      <c r="R1786" s="35" t="str">
        <f aca="false">IF($Q1786=1,$O1786-ROW()/100000,"")</f>
        <v/>
      </c>
      <c r="S1786" s="37" t="str">
        <f aca="false">IF($A1786="","",INT($A1786))</f>
        <v/>
      </c>
      <c r="T1786" s="35" t="str">
        <f aca="false">IF($A1786="","",IF(COUNTIFS($S$3:$S1786,$S1786)=1,1,0))</f>
        <v/>
      </c>
      <c r="U1786" s="37" t="str">
        <f aca="false">IF($T1786=1,$S1786,"")</f>
        <v/>
      </c>
    </row>
    <row r="1787" customFormat="false" ht="15" hidden="false" customHeight="false" outlineLevel="0" collapsed="false">
      <c r="M1787" s="35" t="str">
        <f aca="false">IF($A1787="","",HOUR($A1787))</f>
        <v/>
      </c>
      <c r="N1787" s="36" t="str">
        <f aca="false">IF($A1787="","",$I1787*$K1787)</f>
        <v/>
      </c>
      <c r="O1787" s="35" t="str">
        <f aca="false">IF(OR($A1787="",$C1787="U",$S1787&lt;&gt;Calc!$F$2),"",SUMIFS($I$3:$I$3002,$E$3:$E$3002,$E1787,$C$3:$C$3002,"&lt;&gt;U",$S$3:$S$3002,Calc!$F$2))</f>
        <v/>
      </c>
      <c r="P1787" s="35" t="str">
        <f aca="false">IF(OR($A1787="",$C1787="U",$S1787&lt;&gt;Calc!$F$2),"",SUMIFS($N$3:$N$3002,$E$3:$E$3002,$E1787,$C$3:$C$3002,"&lt;&gt;U",$S$3:$S$3002,Calc!$F$2))</f>
        <v/>
      </c>
      <c r="Q1787" s="35" t="str">
        <f aca="false">IF(OR($A1787="",$C1787="U",$S1787&lt;&gt;Calc!$F$2),"",IF(COUNTIFS($E$3:$E1787,$E1787,$C$3:$C1787,"&lt;&gt;U",$S$3:$S1787,Calc!$F$2)=1,1,0))</f>
        <v/>
      </c>
      <c r="R1787" s="35" t="str">
        <f aca="false">IF($Q1787=1,$O1787-ROW()/100000,"")</f>
        <v/>
      </c>
      <c r="S1787" s="37" t="str">
        <f aca="false">IF($A1787="","",INT($A1787))</f>
        <v/>
      </c>
      <c r="T1787" s="35" t="str">
        <f aca="false">IF($A1787="","",IF(COUNTIFS($S$3:$S1787,$S1787)=1,1,0))</f>
        <v/>
      </c>
      <c r="U1787" s="37" t="str">
        <f aca="false">IF($T1787=1,$S1787,"")</f>
        <v/>
      </c>
    </row>
    <row r="1788" customFormat="false" ht="15" hidden="false" customHeight="false" outlineLevel="0" collapsed="false">
      <c r="M1788" s="35" t="str">
        <f aca="false">IF($A1788="","",HOUR($A1788))</f>
        <v/>
      </c>
      <c r="N1788" s="36" t="str">
        <f aca="false">IF($A1788="","",$I1788*$K1788)</f>
        <v/>
      </c>
      <c r="O1788" s="35" t="str">
        <f aca="false">IF(OR($A1788="",$C1788="U",$S1788&lt;&gt;Calc!$F$2),"",SUMIFS($I$3:$I$3002,$E$3:$E$3002,$E1788,$C$3:$C$3002,"&lt;&gt;U",$S$3:$S$3002,Calc!$F$2))</f>
        <v/>
      </c>
      <c r="P1788" s="35" t="str">
        <f aca="false">IF(OR($A1788="",$C1788="U",$S1788&lt;&gt;Calc!$F$2),"",SUMIFS($N$3:$N$3002,$E$3:$E$3002,$E1788,$C$3:$C$3002,"&lt;&gt;U",$S$3:$S$3002,Calc!$F$2))</f>
        <v/>
      </c>
      <c r="Q1788" s="35" t="str">
        <f aca="false">IF(OR($A1788="",$C1788="U",$S1788&lt;&gt;Calc!$F$2),"",IF(COUNTIFS($E$3:$E1788,$E1788,$C$3:$C1788,"&lt;&gt;U",$S$3:$S1788,Calc!$F$2)=1,1,0))</f>
        <v/>
      </c>
      <c r="R1788" s="35" t="str">
        <f aca="false">IF($Q1788=1,$O1788-ROW()/100000,"")</f>
        <v/>
      </c>
      <c r="S1788" s="37" t="str">
        <f aca="false">IF($A1788="","",INT($A1788))</f>
        <v/>
      </c>
      <c r="T1788" s="35" t="str">
        <f aca="false">IF($A1788="","",IF(COUNTIFS($S$3:$S1788,$S1788)=1,1,0))</f>
        <v/>
      </c>
      <c r="U1788" s="37" t="str">
        <f aca="false">IF($T1788=1,$S1788,"")</f>
        <v/>
      </c>
    </row>
    <row r="1789" customFormat="false" ht="15" hidden="false" customHeight="false" outlineLevel="0" collapsed="false">
      <c r="M1789" s="35" t="str">
        <f aca="false">IF($A1789="","",HOUR($A1789))</f>
        <v/>
      </c>
      <c r="N1789" s="36" t="str">
        <f aca="false">IF($A1789="","",$I1789*$K1789)</f>
        <v/>
      </c>
      <c r="O1789" s="35" t="str">
        <f aca="false">IF(OR($A1789="",$C1789="U",$S1789&lt;&gt;Calc!$F$2),"",SUMIFS($I$3:$I$3002,$E$3:$E$3002,$E1789,$C$3:$C$3002,"&lt;&gt;U",$S$3:$S$3002,Calc!$F$2))</f>
        <v/>
      </c>
      <c r="P1789" s="35" t="str">
        <f aca="false">IF(OR($A1789="",$C1789="U",$S1789&lt;&gt;Calc!$F$2),"",SUMIFS($N$3:$N$3002,$E$3:$E$3002,$E1789,$C$3:$C$3002,"&lt;&gt;U",$S$3:$S$3002,Calc!$F$2))</f>
        <v/>
      </c>
      <c r="Q1789" s="35" t="str">
        <f aca="false">IF(OR($A1789="",$C1789="U",$S1789&lt;&gt;Calc!$F$2),"",IF(COUNTIFS($E$3:$E1789,$E1789,$C$3:$C1789,"&lt;&gt;U",$S$3:$S1789,Calc!$F$2)=1,1,0))</f>
        <v/>
      </c>
      <c r="R1789" s="35" t="str">
        <f aca="false">IF($Q1789=1,$O1789-ROW()/100000,"")</f>
        <v/>
      </c>
      <c r="S1789" s="37" t="str">
        <f aca="false">IF($A1789="","",INT($A1789))</f>
        <v/>
      </c>
      <c r="T1789" s="35" t="str">
        <f aca="false">IF($A1789="","",IF(COUNTIFS($S$3:$S1789,$S1789)=1,1,0))</f>
        <v/>
      </c>
      <c r="U1789" s="37" t="str">
        <f aca="false">IF($T1789=1,$S1789,"")</f>
        <v/>
      </c>
    </row>
    <row r="1790" customFormat="false" ht="15" hidden="false" customHeight="false" outlineLevel="0" collapsed="false">
      <c r="M1790" s="35" t="str">
        <f aca="false">IF($A1790="","",HOUR($A1790))</f>
        <v/>
      </c>
      <c r="N1790" s="36" t="str">
        <f aca="false">IF($A1790="","",$I1790*$K1790)</f>
        <v/>
      </c>
      <c r="O1790" s="35" t="str">
        <f aca="false">IF(OR($A1790="",$C1790="U",$S1790&lt;&gt;Calc!$F$2),"",SUMIFS($I$3:$I$3002,$E$3:$E$3002,$E1790,$C$3:$C$3002,"&lt;&gt;U",$S$3:$S$3002,Calc!$F$2))</f>
        <v/>
      </c>
      <c r="P1790" s="35" t="str">
        <f aca="false">IF(OR($A1790="",$C1790="U",$S1790&lt;&gt;Calc!$F$2),"",SUMIFS($N$3:$N$3002,$E$3:$E$3002,$E1790,$C$3:$C$3002,"&lt;&gt;U",$S$3:$S$3002,Calc!$F$2))</f>
        <v/>
      </c>
      <c r="Q1790" s="35" t="str">
        <f aca="false">IF(OR($A1790="",$C1790="U",$S1790&lt;&gt;Calc!$F$2),"",IF(COUNTIFS($E$3:$E1790,$E1790,$C$3:$C1790,"&lt;&gt;U",$S$3:$S1790,Calc!$F$2)=1,1,0))</f>
        <v/>
      </c>
      <c r="R1790" s="35" t="str">
        <f aca="false">IF($Q1790=1,$O1790-ROW()/100000,"")</f>
        <v/>
      </c>
      <c r="S1790" s="37" t="str">
        <f aca="false">IF($A1790="","",INT($A1790))</f>
        <v/>
      </c>
      <c r="T1790" s="35" t="str">
        <f aca="false">IF($A1790="","",IF(COUNTIFS($S$3:$S1790,$S1790)=1,1,0))</f>
        <v/>
      </c>
      <c r="U1790" s="37" t="str">
        <f aca="false">IF($T1790=1,$S1790,"")</f>
        <v/>
      </c>
    </row>
    <row r="1791" customFormat="false" ht="15" hidden="false" customHeight="false" outlineLevel="0" collapsed="false">
      <c r="M1791" s="35" t="str">
        <f aca="false">IF($A1791="","",HOUR($A1791))</f>
        <v/>
      </c>
      <c r="N1791" s="36" t="str">
        <f aca="false">IF($A1791="","",$I1791*$K1791)</f>
        <v/>
      </c>
      <c r="O1791" s="35" t="str">
        <f aca="false">IF(OR($A1791="",$C1791="U",$S1791&lt;&gt;Calc!$F$2),"",SUMIFS($I$3:$I$3002,$E$3:$E$3002,$E1791,$C$3:$C$3002,"&lt;&gt;U",$S$3:$S$3002,Calc!$F$2))</f>
        <v/>
      </c>
      <c r="P1791" s="35" t="str">
        <f aca="false">IF(OR($A1791="",$C1791="U",$S1791&lt;&gt;Calc!$F$2),"",SUMIFS($N$3:$N$3002,$E$3:$E$3002,$E1791,$C$3:$C$3002,"&lt;&gt;U",$S$3:$S$3002,Calc!$F$2))</f>
        <v/>
      </c>
      <c r="Q1791" s="35" t="str">
        <f aca="false">IF(OR($A1791="",$C1791="U",$S1791&lt;&gt;Calc!$F$2),"",IF(COUNTIFS($E$3:$E1791,$E1791,$C$3:$C1791,"&lt;&gt;U",$S$3:$S1791,Calc!$F$2)=1,1,0))</f>
        <v/>
      </c>
      <c r="R1791" s="35" t="str">
        <f aca="false">IF($Q1791=1,$O1791-ROW()/100000,"")</f>
        <v/>
      </c>
      <c r="S1791" s="37" t="str">
        <f aca="false">IF($A1791="","",INT($A1791))</f>
        <v/>
      </c>
      <c r="T1791" s="35" t="str">
        <f aca="false">IF($A1791="","",IF(COUNTIFS($S$3:$S1791,$S1791)=1,1,0))</f>
        <v/>
      </c>
      <c r="U1791" s="37" t="str">
        <f aca="false">IF($T1791=1,$S1791,"")</f>
        <v/>
      </c>
    </row>
    <row r="1792" customFormat="false" ht="15" hidden="false" customHeight="false" outlineLevel="0" collapsed="false">
      <c r="M1792" s="35" t="str">
        <f aca="false">IF($A1792="","",HOUR($A1792))</f>
        <v/>
      </c>
      <c r="N1792" s="36" t="str">
        <f aca="false">IF($A1792="","",$I1792*$K1792)</f>
        <v/>
      </c>
      <c r="O1792" s="35" t="str">
        <f aca="false">IF(OR($A1792="",$C1792="U",$S1792&lt;&gt;Calc!$F$2),"",SUMIFS($I$3:$I$3002,$E$3:$E$3002,$E1792,$C$3:$C$3002,"&lt;&gt;U",$S$3:$S$3002,Calc!$F$2))</f>
        <v/>
      </c>
      <c r="P1792" s="35" t="str">
        <f aca="false">IF(OR($A1792="",$C1792="U",$S1792&lt;&gt;Calc!$F$2),"",SUMIFS($N$3:$N$3002,$E$3:$E$3002,$E1792,$C$3:$C$3002,"&lt;&gt;U",$S$3:$S$3002,Calc!$F$2))</f>
        <v/>
      </c>
      <c r="Q1792" s="35" t="str">
        <f aca="false">IF(OR($A1792="",$C1792="U",$S1792&lt;&gt;Calc!$F$2),"",IF(COUNTIFS($E$3:$E1792,$E1792,$C$3:$C1792,"&lt;&gt;U",$S$3:$S1792,Calc!$F$2)=1,1,0))</f>
        <v/>
      </c>
      <c r="R1792" s="35" t="str">
        <f aca="false">IF($Q1792=1,$O1792-ROW()/100000,"")</f>
        <v/>
      </c>
      <c r="S1792" s="37" t="str">
        <f aca="false">IF($A1792="","",INT($A1792))</f>
        <v/>
      </c>
      <c r="T1792" s="35" t="str">
        <f aca="false">IF($A1792="","",IF(COUNTIFS($S$3:$S1792,$S1792)=1,1,0))</f>
        <v/>
      </c>
      <c r="U1792" s="37" t="str">
        <f aca="false">IF($T1792=1,$S1792,"")</f>
        <v/>
      </c>
    </row>
    <row r="1793" customFormat="false" ht="15" hidden="false" customHeight="false" outlineLevel="0" collapsed="false">
      <c r="M1793" s="35" t="str">
        <f aca="false">IF($A1793="","",HOUR($A1793))</f>
        <v/>
      </c>
      <c r="N1793" s="36" t="str">
        <f aca="false">IF($A1793="","",$I1793*$K1793)</f>
        <v/>
      </c>
      <c r="O1793" s="35" t="str">
        <f aca="false">IF(OR($A1793="",$C1793="U",$S1793&lt;&gt;Calc!$F$2),"",SUMIFS($I$3:$I$3002,$E$3:$E$3002,$E1793,$C$3:$C$3002,"&lt;&gt;U",$S$3:$S$3002,Calc!$F$2))</f>
        <v/>
      </c>
      <c r="P1793" s="35" t="str">
        <f aca="false">IF(OR($A1793="",$C1793="U",$S1793&lt;&gt;Calc!$F$2),"",SUMIFS($N$3:$N$3002,$E$3:$E$3002,$E1793,$C$3:$C$3002,"&lt;&gt;U",$S$3:$S$3002,Calc!$F$2))</f>
        <v/>
      </c>
      <c r="Q1793" s="35" t="str">
        <f aca="false">IF(OR($A1793="",$C1793="U",$S1793&lt;&gt;Calc!$F$2),"",IF(COUNTIFS($E$3:$E1793,$E1793,$C$3:$C1793,"&lt;&gt;U",$S$3:$S1793,Calc!$F$2)=1,1,0))</f>
        <v/>
      </c>
      <c r="R1793" s="35" t="str">
        <f aca="false">IF($Q1793=1,$O1793-ROW()/100000,"")</f>
        <v/>
      </c>
      <c r="S1793" s="37" t="str">
        <f aca="false">IF($A1793="","",INT($A1793))</f>
        <v/>
      </c>
      <c r="T1793" s="35" t="str">
        <f aca="false">IF($A1793="","",IF(COUNTIFS($S$3:$S1793,$S1793)=1,1,0))</f>
        <v/>
      </c>
      <c r="U1793" s="37" t="str">
        <f aca="false">IF($T1793=1,$S1793,"")</f>
        <v/>
      </c>
    </row>
    <row r="1794" customFormat="false" ht="15" hidden="false" customHeight="false" outlineLevel="0" collapsed="false">
      <c r="M1794" s="35" t="str">
        <f aca="false">IF($A1794="","",HOUR($A1794))</f>
        <v/>
      </c>
      <c r="N1794" s="36" t="str">
        <f aca="false">IF($A1794="","",$I1794*$K1794)</f>
        <v/>
      </c>
      <c r="O1794" s="35" t="str">
        <f aca="false">IF(OR($A1794="",$C1794="U",$S1794&lt;&gt;Calc!$F$2),"",SUMIFS($I$3:$I$3002,$E$3:$E$3002,$E1794,$C$3:$C$3002,"&lt;&gt;U",$S$3:$S$3002,Calc!$F$2))</f>
        <v/>
      </c>
      <c r="P1794" s="35" t="str">
        <f aca="false">IF(OR($A1794="",$C1794="U",$S1794&lt;&gt;Calc!$F$2),"",SUMIFS($N$3:$N$3002,$E$3:$E$3002,$E1794,$C$3:$C$3002,"&lt;&gt;U",$S$3:$S$3002,Calc!$F$2))</f>
        <v/>
      </c>
      <c r="Q1794" s="35" t="str">
        <f aca="false">IF(OR($A1794="",$C1794="U",$S1794&lt;&gt;Calc!$F$2),"",IF(COUNTIFS($E$3:$E1794,$E1794,$C$3:$C1794,"&lt;&gt;U",$S$3:$S1794,Calc!$F$2)=1,1,0))</f>
        <v/>
      </c>
      <c r="R1794" s="35" t="str">
        <f aca="false">IF($Q1794=1,$O1794-ROW()/100000,"")</f>
        <v/>
      </c>
      <c r="S1794" s="37" t="str">
        <f aca="false">IF($A1794="","",INT($A1794))</f>
        <v/>
      </c>
      <c r="T1794" s="35" t="str">
        <f aca="false">IF($A1794="","",IF(COUNTIFS($S$3:$S1794,$S1794)=1,1,0))</f>
        <v/>
      </c>
      <c r="U1794" s="37" t="str">
        <f aca="false">IF($T1794=1,$S1794,"")</f>
        <v/>
      </c>
    </row>
    <row r="1795" customFormat="false" ht="15" hidden="false" customHeight="false" outlineLevel="0" collapsed="false">
      <c r="M1795" s="35" t="str">
        <f aca="false">IF($A1795="","",HOUR($A1795))</f>
        <v/>
      </c>
      <c r="N1795" s="36" t="str">
        <f aca="false">IF($A1795="","",$I1795*$K1795)</f>
        <v/>
      </c>
      <c r="O1795" s="35" t="str">
        <f aca="false">IF(OR($A1795="",$C1795="U",$S1795&lt;&gt;Calc!$F$2),"",SUMIFS($I$3:$I$3002,$E$3:$E$3002,$E1795,$C$3:$C$3002,"&lt;&gt;U",$S$3:$S$3002,Calc!$F$2))</f>
        <v/>
      </c>
      <c r="P1795" s="35" t="str">
        <f aca="false">IF(OR($A1795="",$C1795="U",$S1795&lt;&gt;Calc!$F$2),"",SUMIFS($N$3:$N$3002,$E$3:$E$3002,$E1795,$C$3:$C$3002,"&lt;&gt;U",$S$3:$S$3002,Calc!$F$2))</f>
        <v/>
      </c>
      <c r="Q1795" s="35" t="str">
        <f aca="false">IF(OR($A1795="",$C1795="U",$S1795&lt;&gt;Calc!$F$2),"",IF(COUNTIFS($E$3:$E1795,$E1795,$C$3:$C1795,"&lt;&gt;U",$S$3:$S1795,Calc!$F$2)=1,1,0))</f>
        <v/>
      </c>
      <c r="R1795" s="35" t="str">
        <f aca="false">IF($Q1795=1,$O1795-ROW()/100000,"")</f>
        <v/>
      </c>
      <c r="S1795" s="37" t="str">
        <f aca="false">IF($A1795="","",INT($A1795))</f>
        <v/>
      </c>
      <c r="T1795" s="35" t="str">
        <f aca="false">IF($A1795="","",IF(COUNTIFS($S$3:$S1795,$S1795)=1,1,0))</f>
        <v/>
      </c>
      <c r="U1795" s="37" t="str">
        <f aca="false">IF($T1795=1,$S1795,"")</f>
        <v/>
      </c>
    </row>
    <row r="1796" customFormat="false" ht="15" hidden="false" customHeight="false" outlineLevel="0" collapsed="false">
      <c r="M1796" s="35" t="str">
        <f aca="false">IF($A1796="","",HOUR($A1796))</f>
        <v/>
      </c>
      <c r="N1796" s="36" t="str">
        <f aca="false">IF($A1796="","",$I1796*$K1796)</f>
        <v/>
      </c>
      <c r="O1796" s="35" t="str">
        <f aca="false">IF(OR($A1796="",$C1796="U",$S1796&lt;&gt;Calc!$F$2),"",SUMIFS($I$3:$I$3002,$E$3:$E$3002,$E1796,$C$3:$C$3002,"&lt;&gt;U",$S$3:$S$3002,Calc!$F$2))</f>
        <v/>
      </c>
      <c r="P1796" s="35" t="str">
        <f aca="false">IF(OR($A1796="",$C1796="U",$S1796&lt;&gt;Calc!$F$2),"",SUMIFS($N$3:$N$3002,$E$3:$E$3002,$E1796,$C$3:$C$3002,"&lt;&gt;U",$S$3:$S$3002,Calc!$F$2))</f>
        <v/>
      </c>
      <c r="Q1796" s="35" t="str">
        <f aca="false">IF(OR($A1796="",$C1796="U",$S1796&lt;&gt;Calc!$F$2),"",IF(COUNTIFS($E$3:$E1796,$E1796,$C$3:$C1796,"&lt;&gt;U",$S$3:$S1796,Calc!$F$2)=1,1,0))</f>
        <v/>
      </c>
      <c r="R1796" s="35" t="str">
        <f aca="false">IF($Q1796=1,$O1796-ROW()/100000,"")</f>
        <v/>
      </c>
      <c r="S1796" s="37" t="str">
        <f aca="false">IF($A1796="","",INT($A1796))</f>
        <v/>
      </c>
      <c r="T1796" s="35" t="str">
        <f aca="false">IF($A1796="","",IF(COUNTIFS($S$3:$S1796,$S1796)=1,1,0))</f>
        <v/>
      </c>
      <c r="U1796" s="37" t="str">
        <f aca="false">IF($T1796=1,$S1796,"")</f>
        <v/>
      </c>
    </row>
    <row r="1797" customFormat="false" ht="15" hidden="false" customHeight="false" outlineLevel="0" collapsed="false">
      <c r="M1797" s="35" t="str">
        <f aca="false">IF($A1797="","",HOUR($A1797))</f>
        <v/>
      </c>
      <c r="N1797" s="36" t="str">
        <f aca="false">IF($A1797="","",$I1797*$K1797)</f>
        <v/>
      </c>
      <c r="O1797" s="35" t="str">
        <f aca="false">IF(OR($A1797="",$C1797="U",$S1797&lt;&gt;Calc!$F$2),"",SUMIFS($I$3:$I$3002,$E$3:$E$3002,$E1797,$C$3:$C$3002,"&lt;&gt;U",$S$3:$S$3002,Calc!$F$2))</f>
        <v/>
      </c>
      <c r="P1797" s="35" t="str">
        <f aca="false">IF(OR($A1797="",$C1797="U",$S1797&lt;&gt;Calc!$F$2),"",SUMIFS($N$3:$N$3002,$E$3:$E$3002,$E1797,$C$3:$C$3002,"&lt;&gt;U",$S$3:$S$3002,Calc!$F$2))</f>
        <v/>
      </c>
      <c r="Q1797" s="35" t="str">
        <f aca="false">IF(OR($A1797="",$C1797="U",$S1797&lt;&gt;Calc!$F$2),"",IF(COUNTIFS($E$3:$E1797,$E1797,$C$3:$C1797,"&lt;&gt;U",$S$3:$S1797,Calc!$F$2)=1,1,0))</f>
        <v/>
      </c>
      <c r="R1797" s="35" t="str">
        <f aca="false">IF($Q1797=1,$O1797-ROW()/100000,"")</f>
        <v/>
      </c>
      <c r="S1797" s="37" t="str">
        <f aca="false">IF($A1797="","",INT($A1797))</f>
        <v/>
      </c>
      <c r="T1797" s="35" t="str">
        <f aca="false">IF($A1797="","",IF(COUNTIFS($S$3:$S1797,$S1797)=1,1,0))</f>
        <v/>
      </c>
      <c r="U1797" s="37" t="str">
        <f aca="false">IF($T1797=1,$S1797,"")</f>
        <v/>
      </c>
    </row>
    <row r="1798" customFormat="false" ht="15" hidden="false" customHeight="false" outlineLevel="0" collapsed="false">
      <c r="M1798" s="35" t="str">
        <f aca="false">IF($A1798="","",HOUR($A1798))</f>
        <v/>
      </c>
      <c r="N1798" s="36" t="str">
        <f aca="false">IF($A1798="","",$I1798*$K1798)</f>
        <v/>
      </c>
      <c r="O1798" s="35" t="str">
        <f aca="false">IF(OR($A1798="",$C1798="U",$S1798&lt;&gt;Calc!$F$2),"",SUMIFS($I$3:$I$3002,$E$3:$E$3002,$E1798,$C$3:$C$3002,"&lt;&gt;U",$S$3:$S$3002,Calc!$F$2))</f>
        <v/>
      </c>
      <c r="P1798" s="35" t="str">
        <f aca="false">IF(OR($A1798="",$C1798="U",$S1798&lt;&gt;Calc!$F$2),"",SUMIFS($N$3:$N$3002,$E$3:$E$3002,$E1798,$C$3:$C$3002,"&lt;&gt;U",$S$3:$S$3002,Calc!$F$2))</f>
        <v/>
      </c>
      <c r="Q1798" s="35" t="str">
        <f aca="false">IF(OR($A1798="",$C1798="U",$S1798&lt;&gt;Calc!$F$2),"",IF(COUNTIFS($E$3:$E1798,$E1798,$C$3:$C1798,"&lt;&gt;U",$S$3:$S1798,Calc!$F$2)=1,1,0))</f>
        <v/>
      </c>
      <c r="R1798" s="35" t="str">
        <f aca="false">IF($Q1798=1,$O1798-ROW()/100000,"")</f>
        <v/>
      </c>
      <c r="S1798" s="37" t="str">
        <f aca="false">IF($A1798="","",INT($A1798))</f>
        <v/>
      </c>
      <c r="T1798" s="35" t="str">
        <f aca="false">IF($A1798="","",IF(COUNTIFS($S$3:$S1798,$S1798)=1,1,0))</f>
        <v/>
      </c>
      <c r="U1798" s="37" t="str">
        <f aca="false">IF($T1798=1,$S1798,"")</f>
        <v/>
      </c>
    </row>
    <row r="1799" customFormat="false" ht="15" hidden="false" customHeight="false" outlineLevel="0" collapsed="false">
      <c r="M1799" s="35" t="str">
        <f aca="false">IF($A1799="","",HOUR($A1799))</f>
        <v/>
      </c>
      <c r="N1799" s="36" t="str">
        <f aca="false">IF($A1799="","",$I1799*$K1799)</f>
        <v/>
      </c>
      <c r="O1799" s="35" t="str">
        <f aca="false">IF(OR($A1799="",$C1799="U",$S1799&lt;&gt;Calc!$F$2),"",SUMIFS($I$3:$I$3002,$E$3:$E$3002,$E1799,$C$3:$C$3002,"&lt;&gt;U",$S$3:$S$3002,Calc!$F$2))</f>
        <v/>
      </c>
      <c r="P1799" s="35" t="str">
        <f aca="false">IF(OR($A1799="",$C1799="U",$S1799&lt;&gt;Calc!$F$2),"",SUMIFS($N$3:$N$3002,$E$3:$E$3002,$E1799,$C$3:$C$3002,"&lt;&gt;U",$S$3:$S$3002,Calc!$F$2))</f>
        <v/>
      </c>
      <c r="Q1799" s="35" t="str">
        <f aca="false">IF(OR($A1799="",$C1799="U",$S1799&lt;&gt;Calc!$F$2),"",IF(COUNTIFS($E$3:$E1799,$E1799,$C$3:$C1799,"&lt;&gt;U",$S$3:$S1799,Calc!$F$2)=1,1,0))</f>
        <v/>
      </c>
      <c r="R1799" s="35" t="str">
        <f aca="false">IF($Q1799=1,$O1799-ROW()/100000,"")</f>
        <v/>
      </c>
      <c r="S1799" s="37" t="str">
        <f aca="false">IF($A1799="","",INT($A1799))</f>
        <v/>
      </c>
      <c r="T1799" s="35" t="str">
        <f aca="false">IF($A1799="","",IF(COUNTIFS($S$3:$S1799,$S1799)=1,1,0))</f>
        <v/>
      </c>
      <c r="U1799" s="37" t="str">
        <f aca="false">IF($T1799=1,$S1799,"")</f>
        <v/>
      </c>
    </row>
    <row r="1800" customFormat="false" ht="15" hidden="false" customHeight="false" outlineLevel="0" collapsed="false">
      <c r="M1800" s="35" t="str">
        <f aca="false">IF($A1800="","",HOUR($A1800))</f>
        <v/>
      </c>
      <c r="N1800" s="36" t="str">
        <f aca="false">IF($A1800="","",$I1800*$K1800)</f>
        <v/>
      </c>
      <c r="O1800" s="35" t="str">
        <f aca="false">IF(OR($A1800="",$C1800="U",$S1800&lt;&gt;Calc!$F$2),"",SUMIFS($I$3:$I$3002,$E$3:$E$3002,$E1800,$C$3:$C$3002,"&lt;&gt;U",$S$3:$S$3002,Calc!$F$2))</f>
        <v/>
      </c>
      <c r="P1800" s="35" t="str">
        <f aca="false">IF(OR($A1800="",$C1800="U",$S1800&lt;&gt;Calc!$F$2),"",SUMIFS($N$3:$N$3002,$E$3:$E$3002,$E1800,$C$3:$C$3002,"&lt;&gt;U",$S$3:$S$3002,Calc!$F$2))</f>
        <v/>
      </c>
      <c r="Q1800" s="35" t="str">
        <f aca="false">IF(OR($A1800="",$C1800="U",$S1800&lt;&gt;Calc!$F$2),"",IF(COUNTIFS($E$3:$E1800,$E1800,$C$3:$C1800,"&lt;&gt;U",$S$3:$S1800,Calc!$F$2)=1,1,0))</f>
        <v/>
      </c>
      <c r="R1800" s="35" t="str">
        <f aca="false">IF($Q1800=1,$O1800-ROW()/100000,"")</f>
        <v/>
      </c>
      <c r="S1800" s="37" t="str">
        <f aca="false">IF($A1800="","",INT($A1800))</f>
        <v/>
      </c>
      <c r="T1800" s="35" t="str">
        <f aca="false">IF($A1800="","",IF(COUNTIFS($S$3:$S1800,$S1800)=1,1,0))</f>
        <v/>
      </c>
      <c r="U1800" s="37" t="str">
        <f aca="false">IF($T1800=1,$S1800,"")</f>
        <v/>
      </c>
    </row>
    <row r="1801" customFormat="false" ht="15" hidden="false" customHeight="false" outlineLevel="0" collapsed="false">
      <c r="M1801" s="35" t="str">
        <f aca="false">IF($A1801="","",HOUR($A1801))</f>
        <v/>
      </c>
      <c r="N1801" s="36" t="str">
        <f aca="false">IF($A1801="","",$I1801*$K1801)</f>
        <v/>
      </c>
      <c r="O1801" s="35" t="str">
        <f aca="false">IF(OR($A1801="",$C1801="U",$S1801&lt;&gt;Calc!$F$2),"",SUMIFS($I$3:$I$3002,$E$3:$E$3002,$E1801,$C$3:$C$3002,"&lt;&gt;U",$S$3:$S$3002,Calc!$F$2))</f>
        <v/>
      </c>
      <c r="P1801" s="35" t="str">
        <f aca="false">IF(OR($A1801="",$C1801="U",$S1801&lt;&gt;Calc!$F$2),"",SUMIFS($N$3:$N$3002,$E$3:$E$3002,$E1801,$C$3:$C$3002,"&lt;&gt;U",$S$3:$S$3002,Calc!$F$2))</f>
        <v/>
      </c>
      <c r="Q1801" s="35" t="str">
        <f aca="false">IF(OR($A1801="",$C1801="U",$S1801&lt;&gt;Calc!$F$2),"",IF(COUNTIFS($E$3:$E1801,$E1801,$C$3:$C1801,"&lt;&gt;U",$S$3:$S1801,Calc!$F$2)=1,1,0))</f>
        <v/>
      </c>
      <c r="R1801" s="35" t="str">
        <f aca="false">IF($Q1801=1,$O1801-ROW()/100000,"")</f>
        <v/>
      </c>
      <c r="S1801" s="37" t="str">
        <f aca="false">IF($A1801="","",INT($A1801))</f>
        <v/>
      </c>
      <c r="T1801" s="35" t="str">
        <f aca="false">IF($A1801="","",IF(COUNTIFS($S$3:$S1801,$S1801)=1,1,0))</f>
        <v/>
      </c>
      <c r="U1801" s="37" t="str">
        <f aca="false">IF($T1801=1,$S1801,"")</f>
        <v/>
      </c>
    </row>
    <row r="1802" customFormat="false" ht="15" hidden="false" customHeight="false" outlineLevel="0" collapsed="false">
      <c r="M1802" s="35" t="str">
        <f aca="false">IF($A1802="","",HOUR($A1802))</f>
        <v/>
      </c>
      <c r="N1802" s="36" t="str">
        <f aca="false">IF($A1802="","",$I1802*$K1802)</f>
        <v/>
      </c>
      <c r="O1802" s="35" t="str">
        <f aca="false">IF(OR($A1802="",$C1802="U",$S1802&lt;&gt;Calc!$F$2),"",SUMIFS($I$3:$I$3002,$E$3:$E$3002,$E1802,$C$3:$C$3002,"&lt;&gt;U",$S$3:$S$3002,Calc!$F$2))</f>
        <v/>
      </c>
      <c r="P1802" s="35" t="str">
        <f aca="false">IF(OR($A1802="",$C1802="U",$S1802&lt;&gt;Calc!$F$2),"",SUMIFS($N$3:$N$3002,$E$3:$E$3002,$E1802,$C$3:$C$3002,"&lt;&gt;U",$S$3:$S$3002,Calc!$F$2))</f>
        <v/>
      </c>
      <c r="Q1802" s="35" t="str">
        <f aca="false">IF(OR($A1802="",$C1802="U",$S1802&lt;&gt;Calc!$F$2),"",IF(COUNTIFS($E$3:$E1802,$E1802,$C$3:$C1802,"&lt;&gt;U",$S$3:$S1802,Calc!$F$2)=1,1,0))</f>
        <v/>
      </c>
      <c r="R1802" s="35" t="str">
        <f aca="false">IF($Q1802=1,$O1802-ROW()/100000,"")</f>
        <v/>
      </c>
      <c r="S1802" s="37" t="str">
        <f aca="false">IF($A1802="","",INT($A1802))</f>
        <v/>
      </c>
      <c r="T1802" s="35" t="str">
        <f aca="false">IF($A1802="","",IF(COUNTIFS($S$3:$S1802,$S1802)=1,1,0))</f>
        <v/>
      </c>
      <c r="U1802" s="37" t="str">
        <f aca="false">IF($T1802=1,$S1802,"")</f>
        <v/>
      </c>
    </row>
    <row r="1803" customFormat="false" ht="15" hidden="false" customHeight="false" outlineLevel="0" collapsed="false">
      <c r="M1803" s="35" t="str">
        <f aca="false">IF($A1803="","",HOUR($A1803))</f>
        <v/>
      </c>
      <c r="N1803" s="36" t="str">
        <f aca="false">IF($A1803="","",$I1803*$K1803)</f>
        <v/>
      </c>
      <c r="O1803" s="35" t="str">
        <f aca="false">IF(OR($A1803="",$C1803="U",$S1803&lt;&gt;Calc!$F$2),"",SUMIFS($I$3:$I$3002,$E$3:$E$3002,$E1803,$C$3:$C$3002,"&lt;&gt;U",$S$3:$S$3002,Calc!$F$2))</f>
        <v/>
      </c>
      <c r="P1803" s="35" t="str">
        <f aca="false">IF(OR($A1803="",$C1803="U",$S1803&lt;&gt;Calc!$F$2),"",SUMIFS($N$3:$N$3002,$E$3:$E$3002,$E1803,$C$3:$C$3002,"&lt;&gt;U",$S$3:$S$3002,Calc!$F$2))</f>
        <v/>
      </c>
      <c r="Q1803" s="35" t="str">
        <f aca="false">IF(OR($A1803="",$C1803="U",$S1803&lt;&gt;Calc!$F$2),"",IF(COUNTIFS($E$3:$E1803,$E1803,$C$3:$C1803,"&lt;&gt;U",$S$3:$S1803,Calc!$F$2)=1,1,0))</f>
        <v/>
      </c>
      <c r="R1803" s="35" t="str">
        <f aca="false">IF($Q1803=1,$O1803-ROW()/100000,"")</f>
        <v/>
      </c>
      <c r="S1803" s="37" t="str">
        <f aca="false">IF($A1803="","",INT($A1803))</f>
        <v/>
      </c>
      <c r="T1803" s="35" t="str">
        <f aca="false">IF($A1803="","",IF(COUNTIFS($S$3:$S1803,$S1803)=1,1,0))</f>
        <v/>
      </c>
      <c r="U1803" s="37" t="str">
        <f aca="false">IF($T1803=1,$S1803,"")</f>
        <v/>
      </c>
    </row>
    <row r="1804" customFormat="false" ht="15" hidden="false" customHeight="false" outlineLevel="0" collapsed="false">
      <c r="M1804" s="35" t="str">
        <f aca="false">IF($A1804="","",HOUR($A1804))</f>
        <v/>
      </c>
      <c r="N1804" s="36" t="str">
        <f aca="false">IF($A1804="","",$I1804*$K1804)</f>
        <v/>
      </c>
      <c r="O1804" s="35" t="str">
        <f aca="false">IF(OR($A1804="",$C1804="U",$S1804&lt;&gt;Calc!$F$2),"",SUMIFS($I$3:$I$3002,$E$3:$E$3002,$E1804,$C$3:$C$3002,"&lt;&gt;U",$S$3:$S$3002,Calc!$F$2))</f>
        <v/>
      </c>
      <c r="P1804" s="35" t="str">
        <f aca="false">IF(OR($A1804="",$C1804="U",$S1804&lt;&gt;Calc!$F$2),"",SUMIFS($N$3:$N$3002,$E$3:$E$3002,$E1804,$C$3:$C$3002,"&lt;&gt;U",$S$3:$S$3002,Calc!$F$2))</f>
        <v/>
      </c>
      <c r="Q1804" s="35" t="str">
        <f aca="false">IF(OR($A1804="",$C1804="U",$S1804&lt;&gt;Calc!$F$2),"",IF(COUNTIFS($E$3:$E1804,$E1804,$C$3:$C1804,"&lt;&gt;U",$S$3:$S1804,Calc!$F$2)=1,1,0))</f>
        <v/>
      </c>
      <c r="R1804" s="35" t="str">
        <f aca="false">IF($Q1804=1,$O1804-ROW()/100000,"")</f>
        <v/>
      </c>
      <c r="S1804" s="37" t="str">
        <f aca="false">IF($A1804="","",INT($A1804))</f>
        <v/>
      </c>
      <c r="T1804" s="35" t="str">
        <f aca="false">IF($A1804="","",IF(COUNTIFS($S$3:$S1804,$S1804)=1,1,0))</f>
        <v/>
      </c>
      <c r="U1804" s="37" t="str">
        <f aca="false">IF($T1804=1,$S1804,"")</f>
        <v/>
      </c>
    </row>
    <row r="1805" customFormat="false" ht="15" hidden="false" customHeight="false" outlineLevel="0" collapsed="false">
      <c r="M1805" s="35" t="str">
        <f aca="false">IF($A1805="","",HOUR($A1805))</f>
        <v/>
      </c>
      <c r="N1805" s="36" t="str">
        <f aca="false">IF($A1805="","",$I1805*$K1805)</f>
        <v/>
      </c>
      <c r="O1805" s="35" t="str">
        <f aca="false">IF(OR($A1805="",$C1805="U",$S1805&lt;&gt;Calc!$F$2),"",SUMIFS($I$3:$I$3002,$E$3:$E$3002,$E1805,$C$3:$C$3002,"&lt;&gt;U",$S$3:$S$3002,Calc!$F$2))</f>
        <v/>
      </c>
      <c r="P1805" s="35" t="str">
        <f aca="false">IF(OR($A1805="",$C1805="U",$S1805&lt;&gt;Calc!$F$2),"",SUMIFS($N$3:$N$3002,$E$3:$E$3002,$E1805,$C$3:$C$3002,"&lt;&gt;U",$S$3:$S$3002,Calc!$F$2))</f>
        <v/>
      </c>
      <c r="Q1805" s="35" t="str">
        <f aca="false">IF(OR($A1805="",$C1805="U",$S1805&lt;&gt;Calc!$F$2),"",IF(COUNTIFS($E$3:$E1805,$E1805,$C$3:$C1805,"&lt;&gt;U",$S$3:$S1805,Calc!$F$2)=1,1,0))</f>
        <v/>
      </c>
      <c r="R1805" s="35" t="str">
        <f aca="false">IF($Q1805=1,$O1805-ROW()/100000,"")</f>
        <v/>
      </c>
      <c r="S1805" s="37" t="str">
        <f aca="false">IF($A1805="","",INT($A1805))</f>
        <v/>
      </c>
      <c r="T1805" s="35" t="str">
        <f aca="false">IF($A1805="","",IF(COUNTIFS($S$3:$S1805,$S1805)=1,1,0))</f>
        <v/>
      </c>
      <c r="U1805" s="37" t="str">
        <f aca="false">IF($T1805=1,$S1805,"")</f>
        <v/>
      </c>
    </row>
    <row r="1806" customFormat="false" ht="15" hidden="false" customHeight="false" outlineLevel="0" collapsed="false">
      <c r="M1806" s="35" t="str">
        <f aca="false">IF($A1806="","",HOUR($A1806))</f>
        <v/>
      </c>
      <c r="N1806" s="36" t="str">
        <f aca="false">IF($A1806="","",$I1806*$K1806)</f>
        <v/>
      </c>
      <c r="O1806" s="35" t="str">
        <f aca="false">IF(OR($A1806="",$C1806="U",$S1806&lt;&gt;Calc!$F$2),"",SUMIFS($I$3:$I$3002,$E$3:$E$3002,$E1806,$C$3:$C$3002,"&lt;&gt;U",$S$3:$S$3002,Calc!$F$2))</f>
        <v/>
      </c>
      <c r="P1806" s="35" t="str">
        <f aca="false">IF(OR($A1806="",$C1806="U",$S1806&lt;&gt;Calc!$F$2),"",SUMIFS($N$3:$N$3002,$E$3:$E$3002,$E1806,$C$3:$C$3002,"&lt;&gt;U",$S$3:$S$3002,Calc!$F$2))</f>
        <v/>
      </c>
      <c r="Q1806" s="35" t="str">
        <f aca="false">IF(OR($A1806="",$C1806="U",$S1806&lt;&gt;Calc!$F$2),"",IF(COUNTIFS($E$3:$E1806,$E1806,$C$3:$C1806,"&lt;&gt;U",$S$3:$S1806,Calc!$F$2)=1,1,0))</f>
        <v/>
      </c>
      <c r="R1806" s="35" t="str">
        <f aca="false">IF($Q1806=1,$O1806-ROW()/100000,"")</f>
        <v/>
      </c>
      <c r="S1806" s="37" t="str">
        <f aca="false">IF($A1806="","",INT($A1806))</f>
        <v/>
      </c>
      <c r="T1806" s="35" t="str">
        <f aca="false">IF($A1806="","",IF(COUNTIFS($S$3:$S1806,$S1806)=1,1,0))</f>
        <v/>
      </c>
      <c r="U1806" s="37" t="str">
        <f aca="false">IF($T1806=1,$S1806,"")</f>
        <v/>
      </c>
    </row>
    <row r="1807" customFormat="false" ht="15" hidden="false" customHeight="false" outlineLevel="0" collapsed="false">
      <c r="M1807" s="35" t="str">
        <f aca="false">IF($A1807="","",HOUR($A1807))</f>
        <v/>
      </c>
      <c r="N1807" s="36" t="str">
        <f aca="false">IF($A1807="","",$I1807*$K1807)</f>
        <v/>
      </c>
      <c r="O1807" s="35" t="str">
        <f aca="false">IF(OR($A1807="",$C1807="U",$S1807&lt;&gt;Calc!$F$2),"",SUMIFS($I$3:$I$3002,$E$3:$E$3002,$E1807,$C$3:$C$3002,"&lt;&gt;U",$S$3:$S$3002,Calc!$F$2))</f>
        <v/>
      </c>
      <c r="P1807" s="35" t="str">
        <f aca="false">IF(OR($A1807="",$C1807="U",$S1807&lt;&gt;Calc!$F$2),"",SUMIFS($N$3:$N$3002,$E$3:$E$3002,$E1807,$C$3:$C$3002,"&lt;&gt;U",$S$3:$S$3002,Calc!$F$2))</f>
        <v/>
      </c>
      <c r="Q1807" s="35" t="str">
        <f aca="false">IF(OR($A1807="",$C1807="U",$S1807&lt;&gt;Calc!$F$2),"",IF(COUNTIFS($E$3:$E1807,$E1807,$C$3:$C1807,"&lt;&gt;U",$S$3:$S1807,Calc!$F$2)=1,1,0))</f>
        <v/>
      </c>
      <c r="R1807" s="35" t="str">
        <f aca="false">IF($Q1807=1,$O1807-ROW()/100000,"")</f>
        <v/>
      </c>
      <c r="S1807" s="37" t="str">
        <f aca="false">IF($A1807="","",INT($A1807))</f>
        <v/>
      </c>
      <c r="T1807" s="35" t="str">
        <f aca="false">IF($A1807="","",IF(COUNTIFS($S$3:$S1807,$S1807)=1,1,0))</f>
        <v/>
      </c>
      <c r="U1807" s="37" t="str">
        <f aca="false">IF($T1807=1,$S1807,"")</f>
        <v/>
      </c>
    </row>
    <row r="1808" customFormat="false" ht="15" hidden="false" customHeight="false" outlineLevel="0" collapsed="false">
      <c r="M1808" s="35" t="str">
        <f aca="false">IF($A1808="","",HOUR($A1808))</f>
        <v/>
      </c>
      <c r="N1808" s="36" t="str">
        <f aca="false">IF($A1808="","",$I1808*$K1808)</f>
        <v/>
      </c>
      <c r="O1808" s="35" t="str">
        <f aca="false">IF(OR($A1808="",$C1808="U",$S1808&lt;&gt;Calc!$F$2),"",SUMIFS($I$3:$I$3002,$E$3:$E$3002,$E1808,$C$3:$C$3002,"&lt;&gt;U",$S$3:$S$3002,Calc!$F$2))</f>
        <v/>
      </c>
      <c r="P1808" s="35" t="str">
        <f aca="false">IF(OR($A1808="",$C1808="U",$S1808&lt;&gt;Calc!$F$2),"",SUMIFS($N$3:$N$3002,$E$3:$E$3002,$E1808,$C$3:$C$3002,"&lt;&gt;U",$S$3:$S$3002,Calc!$F$2))</f>
        <v/>
      </c>
      <c r="Q1808" s="35" t="str">
        <f aca="false">IF(OR($A1808="",$C1808="U",$S1808&lt;&gt;Calc!$F$2),"",IF(COUNTIFS($E$3:$E1808,$E1808,$C$3:$C1808,"&lt;&gt;U",$S$3:$S1808,Calc!$F$2)=1,1,0))</f>
        <v/>
      </c>
      <c r="R1808" s="35" t="str">
        <f aca="false">IF($Q1808=1,$O1808-ROW()/100000,"")</f>
        <v/>
      </c>
      <c r="S1808" s="37" t="str">
        <f aca="false">IF($A1808="","",INT($A1808))</f>
        <v/>
      </c>
      <c r="T1808" s="35" t="str">
        <f aca="false">IF($A1808="","",IF(COUNTIFS($S$3:$S1808,$S1808)=1,1,0))</f>
        <v/>
      </c>
      <c r="U1808" s="37" t="str">
        <f aca="false">IF($T1808=1,$S1808,"")</f>
        <v/>
      </c>
    </row>
    <row r="1809" customFormat="false" ht="15" hidden="false" customHeight="false" outlineLevel="0" collapsed="false">
      <c r="M1809" s="35" t="str">
        <f aca="false">IF($A1809="","",HOUR($A1809))</f>
        <v/>
      </c>
      <c r="N1809" s="36" t="str">
        <f aca="false">IF($A1809="","",$I1809*$K1809)</f>
        <v/>
      </c>
      <c r="O1809" s="35" t="str">
        <f aca="false">IF(OR($A1809="",$C1809="U",$S1809&lt;&gt;Calc!$F$2),"",SUMIFS($I$3:$I$3002,$E$3:$E$3002,$E1809,$C$3:$C$3002,"&lt;&gt;U",$S$3:$S$3002,Calc!$F$2))</f>
        <v/>
      </c>
      <c r="P1809" s="35" t="str">
        <f aca="false">IF(OR($A1809="",$C1809="U",$S1809&lt;&gt;Calc!$F$2),"",SUMIFS($N$3:$N$3002,$E$3:$E$3002,$E1809,$C$3:$C$3002,"&lt;&gt;U",$S$3:$S$3002,Calc!$F$2))</f>
        <v/>
      </c>
      <c r="Q1809" s="35" t="str">
        <f aca="false">IF(OR($A1809="",$C1809="U",$S1809&lt;&gt;Calc!$F$2),"",IF(COUNTIFS($E$3:$E1809,$E1809,$C$3:$C1809,"&lt;&gt;U",$S$3:$S1809,Calc!$F$2)=1,1,0))</f>
        <v/>
      </c>
      <c r="R1809" s="35" t="str">
        <f aca="false">IF($Q1809=1,$O1809-ROW()/100000,"")</f>
        <v/>
      </c>
      <c r="S1809" s="37" t="str">
        <f aca="false">IF($A1809="","",INT($A1809))</f>
        <v/>
      </c>
      <c r="T1809" s="35" t="str">
        <f aca="false">IF($A1809="","",IF(COUNTIFS($S$3:$S1809,$S1809)=1,1,0))</f>
        <v/>
      </c>
      <c r="U1809" s="37" t="str">
        <f aca="false">IF($T1809=1,$S1809,"")</f>
        <v/>
      </c>
    </row>
    <row r="1810" customFormat="false" ht="15" hidden="false" customHeight="false" outlineLevel="0" collapsed="false">
      <c r="M1810" s="35" t="str">
        <f aca="false">IF($A1810="","",HOUR($A1810))</f>
        <v/>
      </c>
      <c r="N1810" s="36" t="str">
        <f aca="false">IF($A1810="","",$I1810*$K1810)</f>
        <v/>
      </c>
      <c r="O1810" s="35" t="str">
        <f aca="false">IF(OR($A1810="",$C1810="U",$S1810&lt;&gt;Calc!$F$2),"",SUMIFS($I$3:$I$3002,$E$3:$E$3002,$E1810,$C$3:$C$3002,"&lt;&gt;U",$S$3:$S$3002,Calc!$F$2))</f>
        <v/>
      </c>
      <c r="P1810" s="35" t="str">
        <f aca="false">IF(OR($A1810="",$C1810="U",$S1810&lt;&gt;Calc!$F$2),"",SUMIFS($N$3:$N$3002,$E$3:$E$3002,$E1810,$C$3:$C$3002,"&lt;&gt;U",$S$3:$S$3002,Calc!$F$2))</f>
        <v/>
      </c>
      <c r="Q1810" s="35" t="str">
        <f aca="false">IF(OR($A1810="",$C1810="U",$S1810&lt;&gt;Calc!$F$2),"",IF(COUNTIFS($E$3:$E1810,$E1810,$C$3:$C1810,"&lt;&gt;U",$S$3:$S1810,Calc!$F$2)=1,1,0))</f>
        <v/>
      </c>
      <c r="R1810" s="35" t="str">
        <f aca="false">IF($Q1810=1,$O1810-ROW()/100000,"")</f>
        <v/>
      </c>
      <c r="S1810" s="37" t="str">
        <f aca="false">IF($A1810="","",INT($A1810))</f>
        <v/>
      </c>
      <c r="T1810" s="35" t="str">
        <f aca="false">IF($A1810="","",IF(COUNTIFS($S$3:$S1810,$S1810)=1,1,0))</f>
        <v/>
      </c>
      <c r="U1810" s="37" t="str">
        <f aca="false">IF($T1810=1,$S1810,"")</f>
        <v/>
      </c>
    </row>
    <row r="1811" customFormat="false" ht="15" hidden="false" customHeight="false" outlineLevel="0" collapsed="false">
      <c r="M1811" s="35" t="str">
        <f aca="false">IF($A1811="","",HOUR($A1811))</f>
        <v/>
      </c>
      <c r="N1811" s="36" t="str">
        <f aca="false">IF($A1811="","",$I1811*$K1811)</f>
        <v/>
      </c>
      <c r="O1811" s="35" t="str">
        <f aca="false">IF(OR($A1811="",$C1811="U",$S1811&lt;&gt;Calc!$F$2),"",SUMIFS($I$3:$I$3002,$E$3:$E$3002,$E1811,$C$3:$C$3002,"&lt;&gt;U",$S$3:$S$3002,Calc!$F$2))</f>
        <v/>
      </c>
      <c r="P1811" s="35" t="str">
        <f aca="false">IF(OR($A1811="",$C1811="U",$S1811&lt;&gt;Calc!$F$2),"",SUMIFS($N$3:$N$3002,$E$3:$E$3002,$E1811,$C$3:$C$3002,"&lt;&gt;U",$S$3:$S$3002,Calc!$F$2))</f>
        <v/>
      </c>
      <c r="Q1811" s="35" t="str">
        <f aca="false">IF(OR($A1811="",$C1811="U",$S1811&lt;&gt;Calc!$F$2),"",IF(COUNTIFS($E$3:$E1811,$E1811,$C$3:$C1811,"&lt;&gt;U",$S$3:$S1811,Calc!$F$2)=1,1,0))</f>
        <v/>
      </c>
      <c r="R1811" s="35" t="str">
        <f aca="false">IF($Q1811=1,$O1811-ROW()/100000,"")</f>
        <v/>
      </c>
      <c r="S1811" s="37" t="str">
        <f aca="false">IF($A1811="","",INT($A1811))</f>
        <v/>
      </c>
      <c r="T1811" s="35" t="str">
        <f aca="false">IF($A1811="","",IF(COUNTIFS($S$3:$S1811,$S1811)=1,1,0))</f>
        <v/>
      </c>
      <c r="U1811" s="37" t="str">
        <f aca="false">IF($T1811=1,$S1811,"")</f>
        <v/>
      </c>
    </row>
    <row r="1812" customFormat="false" ht="15" hidden="false" customHeight="false" outlineLevel="0" collapsed="false">
      <c r="M1812" s="35" t="str">
        <f aca="false">IF($A1812="","",HOUR($A1812))</f>
        <v/>
      </c>
      <c r="N1812" s="36" t="str">
        <f aca="false">IF($A1812="","",$I1812*$K1812)</f>
        <v/>
      </c>
      <c r="O1812" s="35" t="str">
        <f aca="false">IF(OR($A1812="",$C1812="U",$S1812&lt;&gt;Calc!$F$2),"",SUMIFS($I$3:$I$3002,$E$3:$E$3002,$E1812,$C$3:$C$3002,"&lt;&gt;U",$S$3:$S$3002,Calc!$F$2))</f>
        <v/>
      </c>
      <c r="P1812" s="35" t="str">
        <f aca="false">IF(OR($A1812="",$C1812="U",$S1812&lt;&gt;Calc!$F$2),"",SUMIFS($N$3:$N$3002,$E$3:$E$3002,$E1812,$C$3:$C$3002,"&lt;&gt;U",$S$3:$S$3002,Calc!$F$2))</f>
        <v/>
      </c>
      <c r="Q1812" s="35" t="str">
        <f aca="false">IF(OR($A1812="",$C1812="U",$S1812&lt;&gt;Calc!$F$2),"",IF(COUNTIFS($E$3:$E1812,$E1812,$C$3:$C1812,"&lt;&gt;U",$S$3:$S1812,Calc!$F$2)=1,1,0))</f>
        <v/>
      </c>
      <c r="R1812" s="35" t="str">
        <f aca="false">IF($Q1812=1,$O1812-ROW()/100000,"")</f>
        <v/>
      </c>
      <c r="S1812" s="37" t="str">
        <f aca="false">IF($A1812="","",INT($A1812))</f>
        <v/>
      </c>
      <c r="T1812" s="35" t="str">
        <f aca="false">IF($A1812="","",IF(COUNTIFS($S$3:$S1812,$S1812)=1,1,0))</f>
        <v/>
      </c>
      <c r="U1812" s="37" t="str">
        <f aca="false">IF($T1812=1,$S1812,"")</f>
        <v/>
      </c>
    </row>
    <row r="1813" customFormat="false" ht="15" hidden="false" customHeight="false" outlineLevel="0" collapsed="false">
      <c r="M1813" s="35" t="str">
        <f aca="false">IF($A1813="","",HOUR($A1813))</f>
        <v/>
      </c>
      <c r="N1813" s="36" t="str">
        <f aca="false">IF($A1813="","",$I1813*$K1813)</f>
        <v/>
      </c>
      <c r="O1813" s="35" t="str">
        <f aca="false">IF(OR($A1813="",$C1813="U",$S1813&lt;&gt;Calc!$F$2),"",SUMIFS($I$3:$I$3002,$E$3:$E$3002,$E1813,$C$3:$C$3002,"&lt;&gt;U",$S$3:$S$3002,Calc!$F$2))</f>
        <v/>
      </c>
      <c r="P1813" s="35" t="str">
        <f aca="false">IF(OR($A1813="",$C1813="U",$S1813&lt;&gt;Calc!$F$2),"",SUMIFS($N$3:$N$3002,$E$3:$E$3002,$E1813,$C$3:$C$3002,"&lt;&gt;U",$S$3:$S$3002,Calc!$F$2))</f>
        <v/>
      </c>
      <c r="Q1813" s="35" t="str">
        <f aca="false">IF(OR($A1813="",$C1813="U",$S1813&lt;&gt;Calc!$F$2),"",IF(COUNTIFS($E$3:$E1813,$E1813,$C$3:$C1813,"&lt;&gt;U",$S$3:$S1813,Calc!$F$2)=1,1,0))</f>
        <v/>
      </c>
      <c r="R1813" s="35" t="str">
        <f aca="false">IF($Q1813=1,$O1813-ROW()/100000,"")</f>
        <v/>
      </c>
      <c r="S1813" s="37" t="str">
        <f aca="false">IF($A1813="","",INT($A1813))</f>
        <v/>
      </c>
      <c r="T1813" s="35" t="str">
        <f aca="false">IF($A1813="","",IF(COUNTIFS($S$3:$S1813,$S1813)=1,1,0))</f>
        <v/>
      </c>
      <c r="U1813" s="37" t="str">
        <f aca="false">IF($T1813=1,$S1813,"")</f>
        <v/>
      </c>
    </row>
    <row r="1814" customFormat="false" ht="15" hidden="false" customHeight="false" outlineLevel="0" collapsed="false">
      <c r="M1814" s="35" t="str">
        <f aca="false">IF($A1814="","",HOUR($A1814))</f>
        <v/>
      </c>
      <c r="N1814" s="36" t="str">
        <f aca="false">IF($A1814="","",$I1814*$K1814)</f>
        <v/>
      </c>
      <c r="O1814" s="35" t="str">
        <f aca="false">IF(OR($A1814="",$C1814="U",$S1814&lt;&gt;Calc!$F$2),"",SUMIFS($I$3:$I$3002,$E$3:$E$3002,$E1814,$C$3:$C$3002,"&lt;&gt;U",$S$3:$S$3002,Calc!$F$2))</f>
        <v/>
      </c>
      <c r="P1814" s="35" t="str">
        <f aca="false">IF(OR($A1814="",$C1814="U",$S1814&lt;&gt;Calc!$F$2),"",SUMIFS($N$3:$N$3002,$E$3:$E$3002,$E1814,$C$3:$C$3002,"&lt;&gt;U",$S$3:$S$3002,Calc!$F$2))</f>
        <v/>
      </c>
      <c r="Q1814" s="35" t="str">
        <f aca="false">IF(OR($A1814="",$C1814="U",$S1814&lt;&gt;Calc!$F$2),"",IF(COUNTIFS($E$3:$E1814,$E1814,$C$3:$C1814,"&lt;&gt;U",$S$3:$S1814,Calc!$F$2)=1,1,0))</f>
        <v/>
      </c>
      <c r="R1814" s="35" t="str">
        <f aca="false">IF($Q1814=1,$O1814-ROW()/100000,"")</f>
        <v/>
      </c>
      <c r="S1814" s="37" t="str">
        <f aca="false">IF($A1814="","",INT($A1814))</f>
        <v/>
      </c>
      <c r="T1814" s="35" t="str">
        <f aca="false">IF($A1814="","",IF(COUNTIFS($S$3:$S1814,$S1814)=1,1,0))</f>
        <v/>
      </c>
      <c r="U1814" s="37" t="str">
        <f aca="false">IF($T1814=1,$S1814,"")</f>
        <v/>
      </c>
    </row>
    <row r="1815" customFormat="false" ht="15" hidden="false" customHeight="false" outlineLevel="0" collapsed="false">
      <c r="M1815" s="35" t="str">
        <f aca="false">IF($A1815="","",HOUR($A1815))</f>
        <v/>
      </c>
      <c r="N1815" s="36" t="str">
        <f aca="false">IF($A1815="","",$I1815*$K1815)</f>
        <v/>
      </c>
      <c r="O1815" s="35" t="str">
        <f aca="false">IF(OR($A1815="",$C1815="U",$S1815&lt;&gt;Calc!$F$2),"",SUMIFS($I$3:$I$3002,$E$3:$E$3002,$E1815,$C$3:$C$3002,"&lt;&gt;U",$S$3:$S$3002,Calc!$F$2))</f>
        <v/>
      </c>
      <c r="P1815" s="35" t="str">
        <f aca="false">IF(OR($A1815="",$C1815="U",$S1815&lt;&gt;Calc!$F$2),"",SUMIFS($N$3:$N$3002,$E$3:$E$3002,$E1815,$C$3:$C$3002,"&lt;&gt;U",$S$3:$S$3002,Calc!$F$2))</f>
        <v/>
      </c>
      <c r="Q1815" s="35" t="str">
        <f aca="false">IF(OR($A1815="",$C1815="U",$S1815&lt;&gt;Calc!$F$2),"",IF(COUNTIFS($E$3:$E1815,$E1815,$C$3:$C1815,"&lt;&gt;U",$S$3:$S1815,Calc!$F$2)=1,1,0))</f>
        <v/>
      </c>
      <c r="R1815" s="35" t="str">
        <f aca="false">IF($Q1815=1,$O1815-ROW()/100000,"")</f>
        <v/>
      </c>
      <c r="S1815" s="37" t="str">
        <f aca="false">IF($A1815="","",INT($A1815))</f>
        <v/>
      </c>
      <c r="T1815" s="35" t="str">
        <f aca="false">IF($A1815="","",IF(COUNTIFS($S$3:$S1815,$S1815)=1,1,0))</f>
        <v/>
      </c>
      <c r="U1815" s="37" t="str">
        <f aca="false">IF($T1815=1,$S1815,"")</f>
        <v/>
      </c>
    </row>
    <row r="1816" customFormat="false" ht="15" hidden="false" customHeight="false" outlineLevel="0" collapsed="false">
      <c r="M1816" s="35" t="str">
        <f aca="false">IF($A1816="","",HOUR($A1816))</f>
        <v/>
      </c>
      <c r="N1816" s="36" t="str">
        <f aca="false">IF($A1816="","",$I1816*$K1816)</f>
        <v/>
      </c>
      <c r="O1816" s="35" t="str">
        <f aca="false">IF(OR($A1816="",$C1816="U",$S1816&lt;&gt;Calc!$F$2),"",SUMIFS($I$3:$I$3002,$E$3:$E$3002,$E1816,$C$3:$C$3002,"&lt;&gt;U",$S$3:$S$3002,Calc!$F$2))</f>
        <v/>
      </c>
      <c r="P1816" s="35" t="str">
        <f aca="false">IF(OR($A1816="",$C1816="U",$S1816&lt;&gt;Calc!$F$2),"",SUMIFS($N$3:$N$3002,$E$3:$E$3002,$E1816,$C$3:$C$3002,"&lt;&gt;U",$S$3:$S$3002,Calc!$F$2))</f>
        <v/>
      </c>
      <c r="Q1816" s="35" t="str">
        <f aca="false">IF(OR($A1816="",$C1816="U",$S1816&lt;&gt;Calc!$F$2),"",IF(COUNTIFS($E$3:$E1816,$E1816,$C$3:$C1816,"&lt;&gt;U",$S$3:$S1816,Calc!$F$2)=1,1,0))</f>
        <v/>
      </c>
      <c r="R1816" s="35" t="str">
        <f aca="false">IF($Q1816=1,$O1816-ROW()/100000,"")</f>
        <v/>
      </c>
      <c r="S1816" s="37" t="str">
        <f aca="false">IF($A1816="","",INT($A1816))</f>
        <v/>
      </c>
      <c r="T1816" s="35" t="str">
        <f aca="false">IF($A1816="","",IF(COUNTIFS($S$3:$S1816,$S1816)=1,1,0))</f>
        <v/>
      </c>
      <c r="U1816" s="37" t="str">
        <f aca="false">IF($T1816=1,$S1816,"")</f>
        <v/>
      </c>
    </row>
    <row r="1817" customFormat="false" ht="15" hidden="false" customHeight="false" outlineLevel="0" collapsed="false">
      <c r="M1817" s="35" t="str">
        <f aca="false">IF($A1817="","",HOUR($A1817))</f>
        <v/>
      </c>
      <c r="N1817" s="36" t="str">
        <f aca="false">IF($A1817="","",$I1817*$K1817)</f>
        <v/>
      </c>
      <c r="O1817" s="35" t="str">
        <f aca="false">IF(OR($A1817="",$C1817="U",$S1817&lt;&gt;Calc!$F$2),"",SUMIFS($I$3:$I$3002,$E$3:$E$3002,$E1817,$C$3:$C$3002,"&lt;&gt;U",$S$3:$S$3002,Calc!$F$2))</f>
        <v/>
      </c>
      <c r="P1817" s="35" t="str">
        <f aca="false">IF(OR($A1817="",$C1817="U",$S1817&lt;&gt;Calc!$F$2),"",SUMIFS($N$3:$N$3002,$E$3:$E$3002,$E1817,$C$3:$C$3002,"&lt;&gt;U",$S$3:$S$3002,Calc!$F$2))</f>
        <v/>
      </c>
      <c r="Q1817" s="35" t="str">
        <f aca="false">IF(OR($A1817="",$C1817="U",$S1817&lt;&gt;Calc!$F$2),"",IF(COUNTIFS($E$3:$E1817,$E1817,$C$3:$C1817,"&lt;&gt;U",$S$3:$S1817,Calc!$F$2)=1,1,0))</f>
        <v/>
      </c>
      <c r="R1817" s="35" t="str">
        <f aca="false">IF($Q1817=1,$O1817-ROW()/100000,"")</f>
        <v/>
      </c>
      <c r="S1817" s="37" t="str">
        <f aca="false">IF($A1817="","",INT($A1817))</f>
        <v/>
      </c>
      <c r="T1817" s="35" t="str">
        <f aca="false">IF($A1817="","",IF(COUNTIFS($S$3:$S1817,$S1817)=1,1,0))</f>
        <v/>
      </c>
      <c r="U1817" s="37" t="str">
        <f aca="false">IF($T1817=1,$S1817,"")</f>
        <v/>
      </c>
    </row>
    <row r="1818" customFormat="false" ht="15" hidden="false" customHeight="false" outlineLevel="0" collapsed="false">
      <c r="M1818" s="35" t="str">
        <f aca="false">IF($A1818="","",HOUR($A1818))</f>
        <v/>
      </c>
      <c r="N1818" s="36" t="str">
        <f aca="false">IF($A1818="","",$I1818*$K1818)</f>
        <v/>
      </c>
      <c r="O1818" s="35" t="str">
        <f aca="false">IF(OR($A1818="",$C1818="U",$S1818&lt;&gt;Calc!$F$2),"",SUMIFS($I$3:$I$3002,$E$3:$E$3002,$E1818,$C$3:$C$3002,"&lt;&gt;U",$S$3:$S$3002,Calc!$F$2))</f>
        <v/>
      </c>
      <c r="P1818" s="35" t="str">
        <f aca="false">IF(OR($A1818="",$C1818="U",$S1818&lt;&gt;Calc!$F$2),"",SUMIFS($N$3:$N$3002,$E$3:$E$3002,$E1818,$C$3:$C$3002,"&lt;&gt;U",$S$3:$S$3002,Calc!$F$2))</f>
        <v/>
      </c>
      <c r="Q1818" s="35" t="str">
        <f aca="false">IF(OR($A1818="",$C1818="U",$S1818&lt;&gt;Calc!$F$2),"",IF(COUNTIFS($E$3:$E1818,$E1818,$C$3:$C1818,"&lt;&gt;U",$S$3:$S1818,Calc!$F$2)=1,1,0))</f>
        <v/>
      </c>
      <c r="R1818" s="35" t="str">
        <f aca="false">IF($Q1818=1,$O1818-ROW()/100000,"")</f>
        <v/>
      </c>
      <c r="S1818" s="37" t="str">
        <f aca="false">IF($A1818="","",INT($A1818))</f>
        <v/>
      </c>
      <c r="T1818" s="35" t="str">
        <f aca="false">IF($A1818="","",IF(COUNTIFS($S$3:$S1818,$S1818)=1,1,0))</f>
        <v/>
      </c>
      <c r="U1818" s="37" t="str">
        <f aca="false">IF($T1818=1,$S1818,"")</f>
        <v/>
      </c>
    </row>
    <row r="1819" customFormat="false" ht="15" hidden="false" customHeight="false" outlineLevel="0" collapsed="false">
      <c r="M1819" s="35" t="str">
        <f aca="false">IF($A1819="","",HOUR($A1819))</f>
        <v/>
      </c>
      <c r="N1819" s="36" t="str">
        <f aca="false">IF($A1819="","",$I1819*$K1819)</f>
        <v/>
      </c>
      <c r="O1819" s="35" t="str">
        <f aca="false">IF(OR($A1819="",$C1819="U",$S1819&lt;&gt;Calc!$F$2),"",SUMIFS($I$3:$I$3002,$E$3:$E$3002,$E1819,$C$3:$C$3002,"&lt;&gt;U",$S$3:$S$3002,Calc!$F$2))</f>
        <v/>
      </c>
      <c r="P1819" s="35" t="str">
        <f aca="false">IF(OR($A1819="",$C1819="U",$S1819&lt;&gt;Calc!$F$2),"",SUMIFS($N$3:$N$3002,$E$3:$E$3002,$E1819,$C$3:$C$3002,"&lt;&gt;U",$S$3:$S$3002,Calc!$F$2))</f>
        <v/>
      </c>
      <c r="Q1819" s="35" t="str">
        <f aca="false">IF(OR($A1819="",$C1819="U",$S1819&lt;&gt;Calc!$F$2),"",IF(COUNTIFS($E$3:$E1819,$E1819,$C$3:$C1819,"&lt;&gt;U",$S$3:$S1819,Calc!$F$2)=1,1,0))</f>
        <v/>
      </c>
      <c r="R1819" s="35" t="str">
        <f aca="false">IF($Q1819=1,$O1819-ROW()/100000,"")</f>
        <v/>
      </c>
      <c r="S1819" s="37" t="str">
        <f aca="false">IF($A1819="","",INT($A1819))</f>
        <v/>
      </c>
      <c r="T1819" s="35" t="str">
        <f aca="false">IF($A1819="","",IF(COUNTIFS($S$3:$S1819,$S1819)=1,1,0))</f>
        <v/>
      </c>
      <c r="U1819" s="37" t="str">
        <f aca="false">IF($T1819=1,$S1819,"")</f>
        <v/>
      </c>
    </row>
    <row r="1820" customFormat="false" ht="15" hidden="false" customHeight="false" outlineLevel="0" collapsed="false">
      <c r="M1820" s="35" t="str">
        <f aca="false">IF($A1820="","",HOUR($A1820))</f>
        <v/>
      </c>
      <c r="N1820" s="36" t="str">
        <f aca="false">IF($A1820="","",$I1820*$K1820)</f>
        <v/>
      </c>
      <c r="O1820" s="35" t="str">
        <f aca="false">IF(OR($A1820="",$C1820="U",$S1820&lt;&gt;Calc!$F$2),"",SUMIFS($I$3:$I$3002,$E$3:$E$3002,$E1820,$C$3:$C$3002,"&lt;&gt;U",$S$3:$S$3002,Calc!$F$2))</f>
        <v/>
      </c>
      <c r="P1820" s="35" t="str">
        <f aca="false">IF(OR($A1820="",$C1820="U",$S1820&lt;&gt;Calc!$F$2),"",SUMIFS($N$3:$N$3002,$E$3:$E$3002,$E1820,$C$3:$C$3002,"&lt;&gt;U",$S$3:$S$3002,Calc!$F$2))</f>
        <v/>
      </c>
      <c r="Q1820" s="35" t="str">
        <f aca="false">IF(OR($A1820="",$C1820="U",$S1820&lt;&gt;Calc!$F$2),"",IF(COUNTIFS($E$3:$E1820,$E1820,$C$3:$C1820,"&lt;&gt;U",$S$3:$S1820,Calc!$F$2)=1,1,0))</f>
        <v/>
      </c>
      <c r="R1820" s="35" t="str">
        <f aca="false">IF($Q1820=1,$O1820-ROW()/100000,"")</f>
        <v/>
      </c>
      <c r="S1820" s="37" t="str">
        <f aca="false">IF($A1820="","",INT($A1820))</f>
        <v/>
      </c>
      <c r="T1820" s="35" t="str">
        <f aca="false">IF($A1820="","",IF(COUNTIFS($S$3:$S1820,$S1820)=1,1,0))</f>
        <v/>
      </c>
      <c r="U1820" s="37" t="str">
        <f aca="false">IF($T1820=1,$S1820,"")</f>
        <v/>
      </c>
    </row>
    <row r="1821" customFormat="false" ht="15" hidden="false" customHeight="false" outlineLevel="0" collapsed="false">
      <c r="M1821" s="35" t="str">
        <f aca="false">IF($A1821="","",HOUR($A1821))</f>
        <v/>
      </c>
      <c r="N1821" s="36" t="str">
        <f aca="false">IF($A1821="","",$I1821*$K1821)</f>
        <v/>
      </c>
      <c r="O1821" s="35" t="str">
        <f aca="false">IF(OR($A1821="",$C1821="U",$S1821&lt;&gt;Calc!$F$2),"",SUMIFS($I$3:$I$3002,$E$3:$E$3002,$E1821,$C$3:$C$3002,"&lt;&gt;U",$S$3:$S$3002,Calc!$F$2))</f>
        <v/>
      </c>
      <c r="P1821" s="35" t="str">
        <f aca="false">IF(OR($A1821="",$C1821="U",$S1821&lt;&gt;Calc!$F$2),"",SUMIFS($N$3:$N$3002,$E$3:$E$3002,$E1821,$C$3:$C$3002,"&lt;&gt;U",$S$3:$S$3002,Calc!$F$2))</f>
        <v/>
      </c>
      <c r="Q1821" s="35" t="str">
        <f aca="false">IF(OR($A1821="",$C1821="U",$S1821&lt;&gt;Calc!$F$2),"",IF(COUNTIFS($E$3:$E1821,$E1821,$C$3:$C1821,"&lt;&gt;U",$S$3:$S1821,Calc!$F$2)=1,1,0))</f>
        <v/>
      </c>
      <c r="R1821" s="35" t="str">
        <f aca="false">IF($Q1821=1,$O1821-ROW()/100000,"")</f>
        <v/>
      </c>
      <c r="S1821" s="37" t="str">
        <f aca="false">IF($A1821="","",INT($A1821))</f>
        <v/>
      </c>
      <c r="T1821" s="35" t="str">
        <f aca="false">IF($A1821="","",IF(COUNTIFS($S$3:$S1821,$S1821)=1,1,0))</f>
        <v/>
      </c>
      <c r="U1821" s="37" t="str">
        <f aca="false">IF($T1821=1,$S1821,"")</f>
        <v/>
      </c>
    </row>
    <row r="1822" customFormat="false" ht="15" hidden="false" customHeight="false" outlineLevel="0" collapsed="false">
      <c r="M1822" s="35" t="str">
        <f aca="false">IF($A1822="","",HOUR($A1822))</f>
        <v/>
      </c>
      <c r="N1822" s="36" t="str">
        <f aca="false">IF($A1822="","",$I1822*$K1822)</f>
        <v/>
      </c>
      <c r="O1822" s="35" t="str">
        <f aca="false">IF(OR($A1822="",$C1822="U",$S1822&lt;&gt;Calc!$F$2),"",SUMIFS($I$3:$I$3002,$E$3:$E$3002,$E1822,$C$3:$C$3002,"&lt;&gt;U",$S$3:$S$3002,Calc!$F$2))</f>
        <v/>
      </c>
      <c r="P1822" s="35" t="str">
        <f aca="false">IF(OR($A1822="",$C1822="U",$S1822&lt;&gt;Calc!$F$2),"",SUMIFS($N$3:$N$3002,$E$3:$E$3002,$E1822,$C$3:$C$3002,"&lt;&gt;U",$S$3:$S$3002,Calc!$F$2))</f>
        <v/>
      </c>
      <c r="Q1822" s="35" t="str">
        <f aca="false">IF(OR($A1822="",$C1822="U",$S1822&lt;&gt;Calc!$F$2),"",IF(COUNTIFS($E$3:$E1822,$E1822,$C$3:$C1822,"&lt;&gt;U",$S$3:$S1822,Calc!$F$2)=1,1,0))</f>
        <v/>
      </c>
      <c r="R1822" s="35" t="str">
        <f aca="false">IF($Q1822=1,$O1822-ROW()/100000,"")</f>
        <v/>
      </c>
      <c r="S1822" s="37" t="str">
        <f aca="false">IF($A1822="","",INT($A1822))</f>
        <v/>
      </c>
      <c r="T1822" s="35" t="str">
        <f aca="false">IF($A1822="","",IF(COUNTIFS($S$3:$S1822,$S1822)=1,1,0))</f>
        <v/>
      </c>
      <c r="U1822" s="37" t="str">
        <f aca="false">IF($T1822=1,$S1822,"")</f>
        <v/>
      </c>
    </row>
    <row r="1823" customFormat="false" ht="15" hidden="false" customHeight="false" outlineLevel="0" collapsed="false">
      <c r="M1823" s="35" t="str">
        <f aca="false">IF($A1823="","",HOUR($A1823))</f>
        <v/>
      </c>
      <c r="N1823" s="36" t="str">
        <f aca="false">IF($A1823="","",$I1823*$K1823)</f>
        <v/>
      </c>
      <c r="O1823" s="35" t="str">
        <f aca="false">IF(OR($A1823="",$C1823="U",$S1823&lt;&gt;Calc!$F$2),"",SUMIFS($I$3:$I$3002,$E$3:$E$3002,$E1823,$C$3:$C$3002,"&lt;&gt;U",$S$3:$S$3002,Calc!$F$2))</f>
        <v/>
      </c>
      <c r="P1823" s="35" t="str">
        <f aca="false">IF(OR($A1823="",$C1823="U",$S1823&lt;&gt;Calc!$F$2),"",SUMIFS($N$3:$N$3002,$E$3:$E$3002,$E1823,$C$3:$C$3002,"&lt;&gt;U",$S$3:$S$3002,Calc!$F$2))</f>
        <v/>
      </c>
      <c r="Q1823" s="35" t="str">
        <f aca="false">IF(OR($A1823="",$C1823="U",$S1823&lt;&gt;Calc!$F$2),"",IF(COUNTIFS($E$3:$E1823,$E1823,$C$3:$C1823,"&lt;&gt;U",$S$3:$S1823,Calc!$F$2)=1,1,0))</f>
        <v/>
      </c>
      <c r="R1823" s="35" t="str">
        <f aca="false">IF($Q1823=1,$O1823-ROW()/100000,"")</f>
        <v/>
      </c>
      <c r="S1823" s="37" t="str">
        <f aca="false">IF($A1823="","",INT($A1823))</f>
        <v/>
      </c>
      <c r="T1823" s="35" t="str">
        <f aca="false">IF($A1823="","",IF(COUNTIFS($S$3:$S1823,$S1823)=1,1,0))</f>
        <v/>
      </c>
      <c r="U1823" s="37" t="str">
        <f aca="false">IF($T1823=1,$S1823,"")</f>
        <v/>
      </c>
    </row>
    <row r="1824" customFormat="false" ht="15" hidden="false" customHeight="false" outlineLevel="0" collapsed="false">
      <c r="M1824" s="35" t="str">
        <f aca="false">IF($A1824="","",HOUR($A1824))</f>
        <v/>
      </c>
      <c r="N1824" s="36" t="str">
        <f aca="false">IF($A1824="","",$I1824*$K1824)</f>
        <v/>
      </c>
      <c r="O1824" s="35" t="str">
        <f aca="false">IF(OR($A1824="",$C1824="U",$S1824&lt;&gt;Calc!$F$2),"",SUMIFS($I$3:$I$3002,$E$3:$E$3002,$E1824,$C$3:$C$3002,"&lt;&gt;U",$S$3:$S$3002,Calc!$F$2))</f>
        <v/>
      </c>
      <c r="P1824" s="35" t="str">
        <f aca="false">IF(OR($A1824="",$C1824="U",$S1824&lt;&gt;Calc!$F$2),"",SUMIFS($N$3:$N$3002,$E$3:$E$3002,$E1824,$C$3:$C$3002,"&lt;&gt;U",$S$3:$S$3002,Calc!$F$2))</f>
        <v/>
      </c>
      <c r="Q1824" s="35" t="str">
        <f aca="false">IF(OR($A1824="",$C1824="U",$S1824&lt;&gt;Calc!$F$2),"",IF(COUNTIFS($E$3:$E1824,$E1824,$C$3:$C1824,"&lt;&gt;U",$S$3:$S1824,Calc!$F$2)=1,1,0))</f>
        <v/>
      </c>
      <c r="R1824" s="35" t="str">
        <f aca="false">IF($Q1824=1,$O1824-ROW()/100000,"")</f>
        <v/>
      </c>
      <c r="S1824" s="37" t="str">
        <f aca="false">IF($A1824="","",INT($A1824))</f>
        <v/>
      </c>
      <c r="T1824" s="35" t="str">
        <f aca="false">IF($A1824="","",IF(COUNTIFS($S$3:$S1824,$S1824)=1,1,0))</f>
        <v/>
      </c>
      <c r="U1824" s="37" t="str">
        <f aca="false">IF($T1824=1,$S1824,"")</f>
        <v/>
      </c>
    </row>
    <row r="1825" customFormat="false" ht="15" hidden="false" customHeight="false" outlineLevel="0" collapsed="false">
      <c r="M1825" s="35" t="str">
        <f aca="false">IF($A1825="","",HOUR($A1825))</f>
        <v/>
      </c>
      <c r="N1825" s="36" t="str">
        <f aca="false">IF($A1825="","",$I1825*$K1825)</f>
        <v/>
      </c>
      <c r="O1825" s="35" t="str">
        <f aca="false">IF(OR($A1825="",$C1825="U",$S1825&lt;&gt;Calc!$F$2),"",SUMIFS($I$3:$I$3002,$E$3:$E$3002,$E1825,$C$3:$C$3002,"&lt;&gt;U",$S$3:$S$3002,Calc!$F$2))</f>
        <v/>
      </c>
      <c r="P1825" s="35" t="str">
        <f aca="false">IF(OR($A1825="",$C1825="U",$S1825&lt;&gt;Calc!$F$2),"",SUMIFS($N$3:$N$3002,$E$3:$E$3002,$E1825,$C$3:$C$3002,"&lt;&gt;U",$S$3:$S$3002,Calc!$F$2))</f>
        <v/>
      </c>
      <c r="Q1825" s="35" t="str">
        <f aca="false">IF(OR($A1825="",$C1825="U",$S1825&lt;&gt;Calc!$F$2),"",IF(COUNTIFS($E$3:$E1825,$E1825,$C$3:$C1825,"&lt;&gt;U",$S$3:$S1825,Calc!$F$2)=1,1,0))</f>
        <v/>
      </c>
      <c r="R1825" s="35" t="str">
        <f aca="false">IF($Q1825=1,$O1825-ROW()/100000,"")</f>
        <v/>
      </c>
      <c r="S1825" s="37" t="str">
        <f aca="false">IF($A1825="","",INT($A1825))</f>
        <v/>
      </c>
      <c r="T1825" s="35" t="str">
        <f aca="false">IF($A1825="","",IF(COUNTIFS($S$3:$S1825,$S1825)=1,1,0))</f>
        <v/>
      </c>
      <c r="U1825" s="37" t="str">
        <f aca="false">IF($T1825=1,$S1825,"")</f>
        <v/>
      </c>
    </row>
    <row r="1826" customFormat="false" ht="15" hidden="false" customHeight="false" outlineLevel="0" collapsed="false">
      <c r="M1826" s="35" t="str">
        <f aca="false">IF($A1826="","",HOUR($A1826))</f>
        <v/>
      </c>
      <c r="N1826" s="36" t="str">
        <f aca="false">IF($A1826="","",$I1826*$K1826)</f>
        <v/>
      </c>
      <c r="O1826" s="35" t="str">
        <f aca="false">IF(OR($A1826="",$C1826="U",$S1826&lt;&gt;Calc!$F$2),"",SUMIFS($I$3:$I$3002,$E$3:$E$3002,$E1826,$C$3:$C$3002,"&lt;&gt;U",$S$3:$S$3002,Calc!$F$2))</f>
        <v/>
      </c>
      <c r="P1826" s="35" t="str">
        <f aca="false">IF(OR($A1826="",$C1826="U",$S1826&lt;&gt;Calc!$F$2),"",SUMIFS($N$3:$N$3002,$E$3:$E$3002,$E1826,$C$3:$C$3002,"&lt;&gt;U",$S$3:$S$3002,Calc!$F$2))</f>
        <v/>
      </c>
      <c r="Q1826" s="35" t="str">
        <f aca="false">IF(OR($A1826="",$C1826="U",$S1826&lt;&gt;Calc!$F$2),"",IF(COUNTIFS($E$3:$E1826,$E1826,$C$3:$C1826,"&lt;&gt;U",$S$3:$S1826,Calc!$F$2)=1,1,0))</f>
        <v/>
      </c>
      <c r="R1826" s="35" t="str">
        <f aca="false">IF($Q1826=1,$O1826-ROW()/100000,"")</f>
        <v/>
      </c>
      <c r="S1826" s="37" t="str">
        <f aca="false">IF($A1826="","",INT($A1826))</f>
        <v/>
      </c>
      <c r="T1826" s="35" t="str">
        <f aca="false">IF($A1826="","",IF(COUNTIFS($S$3:$S1826,$S1826)=1,1,0))</f>
        <v/>
      </c>
      <c r="U1826" s="37" t="str">
        <f aca="false">IF($T1826=1,$S1826,"")</f>
        <v/>
      </c>
    </row>
    <row r="1827" customFormat="false" ht="15" hidden="false" customHeight="false" outlineLevel="0" collapsed="false">
      <c r="M1827" s="35" t="str">
        <f aca="false">IF($A1827="","",HOUR($A1827))</f>
        <v/>
      </c>
      <c r="N1827" s="36" t="str">
        <f aca="false">IF($A1827="","",$I1827*$K1827)</f>
        <v/>
      </c>
      <c r="O1827" s="35" t="str">
        <f aca="false">IF(OR($A1827="",$C1827="U",$S1827&lt;&gt;Calc!$F$2),"",SUMIFS($I$3:$I$3002,$E$3:$E$3002,$E1827,$C$3:$C$3002,"&lt;&gt;U",$S$3:$S$3002,Calc!$F$2))</f>
        <v/>
      </c>
      <c r="P1827" s="35" t="str">
        <f aca="false">IF(OR($A1827="",$C1827="U",$S1827&lt;&gt;Calc!$F$2),"",SUMIFS($N$3:$N$3002,$E$3:$E$3002,$E1827,$C$3:$C$3002,"&lt;&gt;U",$S$3:$S$3002,Calc!$F$2))</f>
        <v/>
      </c>
      <c r="Q1827" s="35" t="str">
        <f aca="false">IF(OR($A1827="",$C1827="U",$S1827&lt;&gt;Calc!$F$2),"",IF(COUNTIFS($E$3:$E1827,$E1827,$C$3:$C1827,"&lt;&gt;U",$S$3:$S1827,Calc!$F$2)=1,1,0))</f>
        <v/>
      </c>
      <c r="R1827" s="35" t="str">
        <f aca="false">IF($Q1827=1,$O1827-ROW()/100000,"")</f>
        <v/>
      </c>
      <c r="S1827" s="37" t="str">
        <f aca="false">IF($A1827="","",INT($A1827))</f>
        <v/>
      </c>
      <c r="T1827" s="35" t="str">
        <f aca="false">IF($A1827="","",IF(COUNTIFS($S$3:$S1827,$S1827)=1,1,0))</f>
        <v/>
      </c>
      <c r="U1827" s="37" t="str">
        <f aca="false">IF($T1827=1,$S1827,"")</f>
        <v/>
      </c>
    </row>
    <row r="1828" customFormat="false" ht="15" hidden="false" customHeight="false" outlineLevel="0" collapsed="false">
      <c r="M1828" s="35" t="str">
        <f aca="false">IF($A1828="","",HOUR($A1828))</f>
        <v/>
      </c>
      <c r="N1828" s="36" t="str">
        <f aca="false">IF($A1828="","",$I1828*$K1828)</f>
        <v/>
      </c>
      <c r="O1828" s="35" t="str">
        <f aca="false">IF(OR($A1828="",$C1828="U",$S1828&lt;&gt;Calc!$F$2),"",SUMIFS($I$3:$I$3002,$E$3:$E$3002,$E1828,$C$3:$C$3002,"&lt;&gt;U",$S$3:$S$3002,Calc!$F$2))</f>
        <v/>
      </c>
      <c r="P1828" s="35" t="str">
        <f aca="false">IF(OR($A1828="",$C1828="U",$S1828&lt;&gt;Calc!$F$2),"",SUMIFS($N$3:$N$3002,$E$3:$E$3002,$E1828,$C$3:$C$3002,"&lt;&gt;U",$S$3:$S$3002,Calc!$F$2))</f>
        <v/>
      </c>
      <c r="Q1828" s="35" t="str">
        <f aca="false">IF(OR($A1828="",$C1828="U",$S1828&lt;&gt;Calc!$F$2),"",IF(COUNTIFS($E$3:$E1828,$E1828,$C$3:$C1828,"&lt;&gt;U",$S$3:$S1828,Calc!$F$2)=1,1,0))</f>
        <v/>
      </c>
      <c r="R1828" s="35" t="str">
        <f aca="false">IF($Q1828=1,$O1828-ROW()/100000,"")</f>
        <v/>
      </c>
      <c r="S1828" s="37" t="str">
        <f aca="false">IF($A1828="","",INT($A1828))</f>
        <v/>
      </c>
      <c r="T1828" s="35" t="str">
        <f aca="false">IF($A1828="","",IF(COUNTIFS($S$3:$S1828,$S1828)=1,1,0))</f>
        <v/>
      </c>
      <c r="U1828" s="37" t="str">
        <f aca="false">IF($T1828=1,$S1828,"")</f>
        <v/>
      </c>
    </row>
    <row r="1829" customFormat="false" ht="15" hidden="false" customHeight="false" outlineLevel="0" collapsed="false">
      <c r="M1829" s="35" t="str">
        <f aca="false">IF($A1829="","",HOUR($A1829))</f>
        <v/>
      </c>
      <c r="N1829" s="36" t="str">
        <f aca="false">IF($A1829="","",$I1829*$K1829)</f>
        <v/>
      </c>
      <c r="O1829" s="35" t="str">
        <f aca="false">IF(OR($A1829="",$C1829="U",$S1829&lt;&gt;Calc!$F$2),"",SUMIFS($I$3:$I$3002,$E$3:$E$3002,$E1829,$C$3:$C$3002,"&lt;&gt;U",$S$3:$S$3002,Calc!$F$2))</f>
        <v/>
      </c>
      <c r="P1829" s="35" t="str">
        <f aca="false">IF(OR($A1829="",$C1829="U",$S1829&lt;&gt;Calc!$F$2),"",SUMIFS($N$3:$N$3002,$E$3:$E$3002,$E1829,$C$3:$C$3002,"&lt;&gt;U",$S$3:$S$3002,Calc!$F$2))</f>
        <v/>
      </c>
      <c r="Q1829" s="35" t="str">
        <f aca="false">IF(OR($A1829="",$C1829="U",$S1829&lt;&gt;Calc!$F$2),"",IF(COUNTIFS($E$3:$E1829,$E1829,$C$3:$C1829,"&lt;&gt;U",$S$3:$S1829,Calc!$F$2)=1,1,0))</f>
        <v/>
      </c>
      <c r="R1829" s="35" t="str">
        <f aca="false">IF($Q1829=1,$O1829-ROW()/100000,"")</f>
        <v/>
      </c>
      <c r="S1829" s="37" t="str">
        <f aca="false">IF($A1829="","",INT($A1829))</f>
        <v/>
      </c>
      <c r="T1829" s="35" t="str">
        <f aca="false">IF($A1829="","",IF(COUNTIFS($S$3:$S1829,$S1829)=1,1,0))</f>
        <v/>
      </c>
      <c r="U1829" s="37" t="str">
        <f aca="false">IF($T1829=1,$S1829,"")</f>
        <v/>
      </c>
    </row>
    <row r="1830" customFormat="false" ht="15" hidden="false" customHeight="false" outlineLevel="0" collapsed="false">
      <c r="M1830" s="35" t="str">
        <f aca="false">IF($A1830="","",HOUR($A1830))</f>
        <v/>
      </c>
      <c r="N1830" s="36" t="str">
        <f aca="false">IF($A1830="","",$I1830*$K1830)</f>
        <v/>
      </c>
      <c r="O1830" s="35" t="str">
        <f aca="false">IF(OR($A1830="",$C1830="U",$S1830&lt;&gt;Calc!$F$2),"",SUMIFS($I$3:$I$3002,$E$3:$E$3002,$E1830,$C$3:$C$3002,"&lt;&gt;U",$S$3:$S$3002,Calc!$F$2))</f>
        <v/>
      </c>
      <c r="P1830" s="35" t="str">
        <f aca="false">IF(OR($A1830="",$C1830="U",$S1830&lt;&gt;Calc!$F$2),"",SUMIFS($N$3:$N$3002,$E$3:$E$3002,$E1830,$C$3:$C$3002,"&lt;&gt;U",$S$3:$S$3002,Calc!$F$2))</f>
        <v/>
      </c>
      <c r="Q1830" s="35" t="str">
        <f aca="false">IF(OR($A1830="",$C1830="U",$S1830&lt;&gt;Calc!$F$2),"",IF(COUNTIFS($E$3:$E1830,$E1830,$C$3:$C1830,"&lt;&gt;U",$S$3:$S1830,Calc!$F$2)=1,1,0))</f>
        <v/>
      </c>
      <c r="R1830" s="35" t="str">
        <f aca="false">IF($Q1830=1,$O1830-ROW()/100000,"")</f>
        <v/>
      </c>
      <c r="S1830" s="37" t="str">
        <f aca="false">IF($A1830="","",INT($A1830))</f>
        <v/>
      </c>
      <c r="T1830" s="35" t="str">
        <f aca="false">IF($A1830="","",IF(COUNTIFS($S$3:$S1830,$S1830)=1,1,0))</f>
        <v/>
      </c>
      <c r="U1830" s="37" t="str">
        <f aca="false">IF($T1830=1,$S1830,"")</f>
        <v/>
      </c>
    </row>
    <row r="1831" customFormat="false" ht="15" hidden="false" customHeight="false" outlineLevel="0" collapsed="false">
      <c r="M1831" s="35" t="str">
        <f aca="false">IF($A1831="","",HOUR($A1831))</f>
        <v/>
      </c>
      <c r="N1831" s="36" t="str">
        <f aca="false">IF($A1831="","",$I1831*$K1831)</f>
        <v/>
      </c>
      <c r="O1831" s="35" t="str">
        <f aca="false">IF(OR($A1831="",$C1831="U",$S1831&lt;&gt;Calc!$F$2),"",SUMIFS($I$3:$I$3002,$E$3:$E$3002,$E1831,$C$3:$C$3002,"&lt;&gt;U",$S$3:$S$3002,Calc!$F$2))</f>
        <v/>
      </c>
      <c r="P1831" s="35" t="str">
        <f aca="false">IF(OR($A1831="",$C1831="U",$S1831&lt;&gt;Calc!$F$2),"",SUMIFS($N$3:$N$3002,$E$3:$E$3002,$E1831,$C$3:$C$3002,"&lt;&gt;U",$S$3:$S$3002,Calc!$F$2))</f>
        <v/>
      </c>
      <c r="Q1831" s="35" t="str">
        <f aca="false">IF(OR($A1831="",$C1831="U",$S1831&lt;&gt;Calc!$F$2),"",IF(COUNTIFS($E$3:$E1831,$E1831,$C$3:$C1831,"&lt;&gt;U",$S$3:$S1831,Calc!$F$2)=1,1,0))</f>
        <v/>
      </c>
      <c r="R1831" s="35" t="str">
        <f aca="false">IF($Q1831=1,$O1831-ROW()/100000,"")</f>
        <v/>
      </c>
      <c r="S1831" s="37" t="str">
        <f aca="false">IF($A1831="","",INT($A1831))</f>
        <v/>
      </c>
      <c r="T1831" s="35" t="str">
        <f aca="false">IF($A1831="","",IF(COUNTIFS($S$3:$S1831,$S1831)=1,1,0))</f>
        <v/>
      </c>
      <c r="U1831" s="37" t="str">
        <f aca="false">IF($T1831=1,$S1831,"")</f>
        <v/>
      </c>
    </row>
    <row r="1832" customFormat="false" ht="15" hidden="false" customHeight="false" outlineLevel="0" collapsed="false">
      <c r="M1832" s="35" t="str">
        <f aca="false">IF($A1832="","",HOUR($A1832))</f>
        <v/>
      </c>
      <c r="N1832" s="36" t="str">
        <f aca="false">IF($A1832="","",$I1832*$K1832)</f>
        <v/>
      </c>
      <c r="O1832" s="35" t="str">
        <f aca="false">IF(OR($A1832="",$C1832="U",$S1832&lt;&gt;Calc!$F$2),"",SUMIFS($I$3:$I$3002,$E$3:$E$3002,$E1832,$C$3:$C$3002,"&lt;&gt;U",$S$3:$S$3002,Calc!$F$2))</f>
        <v/>
      </c>
      <c r="P1832" s="35" t="str">
        <f aca="false">IF(OR($A1832="",$C1832="U",$S1832&lt;&gt;Calc!$F$2),"",SUMIFS($N$3:$N$3002,$E$3:$E$3002,$E1832,$C$3:$C$3002,"&lt;&gt;U",$S$3:$S$3002,Calc!$F$2))</f>
        <v/>
      </c>
      <c r="Q1832" s="35" t="str">
        <f aca="false">IF(OR($A1832="",$C1832="U",$S1832&lt;&gt;Calc!$F$2),"",IF(COUNTIFS($E$3:$E1832,$E1832,$C$3:$C1832,"&lt;&gt;U",$S$3:$S1832,Calc!$F$2)=1,1,0))</f>
        <v/>
      </c>
      <c r="R1832" s="35" t="str">
        <f aca="false">IF($Q1832=1,$O1832-ROW()/100000,"")</f>
        <v/>
      </c>
      <c r="S1832" s="37" t="str">
        <f aca="false">IF($A1832="","",INT($A1832))</f>
        <v/>
      </c>
      <c r="T1832" s="35" t="str">
        <f aca="false">IF($A1832="","",IF(COUNTIFS($S$3:$S1832,$S1832)=1,1,0))</f>
        <v/>
      </c>
      <c r="U1832" s="37" t="str">
        <f aca="false">IF($T1832=1,$S1832,"")</f>
        <v/>
      </c>
    </row>
    <row r="1833" customFormat="false" ht="15" hidden="false" customHeight="false" outlineLevel="0" collapsed="false">
      <c r="M1833" s="35" t="str">
        <f aca="false">IF($A1833="","",HOUR($A1833))</f>
        <v/>
      </c>
      <c r="N1833" s="36" t="str">
        <f aca="false">IF($A1833="","",$I1833*$K1833)</f>
        <v/>
      </c>
      <c r="O1833" s="35" t="str">
        <f aca="false">IF(OR($A1833="",$C1833="U",$S1833&lt;&gt;Calc!$F$2),"",SUMIFS($I$3:$I$3002,$E$3:$E$3002,$E1833,$C$3:$C$3002,"&lt;&gt;U",$S$3:$S$3002,Calc!$F$2))</f>
        <v/>
      </c>
      <c r="P1833" s="35" t="str">
        <f aca="false">IF(OR($A1833="",$C1833="U",$S1833&lt;&gt;Calc!$F$2),"",SUMIFS($N$3:$N$3002,$E$3:$E$3002,$E1833,$C$3:$C$3002,"&lt;&gt;U",$S$3:$S$3002,Calc!$F$2))</f>
        <v/>
      </c>
      <c r="Q1833" s="35" t="str">
        <f aca="false">IF(OR($A1833="",$C1833="U",$S1833&lt;&gt;Calc!$F$2),"",IF(COUNTIFS($E$3:$E1833,$E1833,$C$3:$C1833,"&lt;&gt;U",$S$3:$S1833,Calc!$F$2)=1,1,0))</f>
        <v/>
      </c>
      <c r="R1833" s="35" t="str">
        <f aca="false">IF($Q1833=1,$O1833-ROW()/100000,"")</f>
        <v/>
      </c>
      <c r="S1833" s="37" t="str">
        <f aca="false">IF($A1833="","",INT($A1833))</f>
        <v/>
      </c>
      <c r="T1833" s="35" t="str">
        <f aca="false">IF($A1833="","",IF(COUNTIFS($S$3:$S1833,$S1833)=1,1,0))</f>
        <v/>
      </c>
      <c r="U1833" s="37" t="str">
        <f aca="false">IF($T1833=1,$S1833,"")</f>
        <v/>
      </c>
    </row>
    <row r="1834" customFormat="false" ht="15" hidden="false" customHeight="false" outlineLevel="0" collapsed="false">
      <c r="M1834" s="35" t="str">
        <f aca="false">IF($A1834="","",HOUR($A1834))</f>
        <v/>
      </c>
      <c r="N1834" s="36" t="str">
        <f aca="false">IF($A1834="","",$I1834*$K1834)</f>
        <v/>
      </c>
      <c r="O1834" s="35" t="str">
        <f aca="false">IF(OR($A1834="",$C1834="U",$S1834&lt;&gt;Calc!$F$2),"",SUMIFS($I$3:$I$3002,$E$3:$E$3002,$E1834,$C$3:$C$3002,"&lt;&gt;U",$S$3:$S$3002,Calc!$F$2))</f>
        <v/>
      </c>
      <c r="P1834" s="35" t="str">
        <f aca="false">IF(OR($A1834="",$C1834="U",$S1834&lt;&gt;Calc!$F$2),"",SUMIFS($N$3:$N$3002,$E$3:$E$3002,$E1834,$C$3:$C$3002,"&lt;&gt;U",$S$3:$S$3002,Calc!$F$2))</f>
        <v/>
      </c>
      <c r="Q1834" s="35" t="str">
        <f aca="false">IF(OR($A1834="",$C1834="U",$S1834&lt;&gt;Calc!$F$2),"",IF(COUNTIFS($E$3:$E1834,$E1834,$C$3:$C1834,"&lt;&gt;U",$S$3:$S1834,Calc!$F$2)=1,1,0))</f>
        <v/>
      </c>
      <c r="R1834" s="35" t="str">
        <f aca="false">IF($Q1834=1,$O1834-ROW()/100000,"")</f>
        <v/>
      </c>
      <c r="S1834" s="37" t="str">
        <f aca="false">IF($A1834="","",INT($A1834))</f>
        <v/>
      </c>
      <c r="T1834" s="35" t="str">
        <f aca="false">IF($A1834="","",IF(COUNTIFS($S$3:$S1834,$S1834)=1,1,0))</f>
        <v/>
      </c>
      <c r="U1834" s="37" t="str">
        <f aca="false">IF($T1834=1,$S1834,"")</f>
        <v/>
      </c>
    </row>
    <row r="1835" customFormat="false" ht="15" hidden="false" customHeight="false" outlineLevel="0" collapsed="false">
      <c r="M1835" s="35" t="str">
        <f aca="false">IF($A1835="","",HOUR($A1835))</f>
        <v/>
      </c>
      <c r="N1835" s="36" t="str">
        <f aca="false">IF($A1835="","",$I1835*$K1835)</f>
        <v/>
      </c>
      <c r="O1835" s="35" t="str">
        <f aca="false">IF(OR($A1835="",$C1835="U",$S1835&lt;&gt;Calc!$F$2),"",SUMIFS($I$3:$I$3002,$E$3:$E$3002,$E1835,$C$3:$C$3002,"&lt;&gt;U",$S$3:$S$3002,Calc!$F$2))</f>
        <v/>
      </c>
      <c r="P1835" s="35" t="str">
        <f aca="false">IF(OR($A1835="",$C1835="U",$S1835&lt;&gt;Calc!$F$2),"",SUMIFS($N$3:$N$3002,$E$3:$E$3002,$E1835,$C$3:$C$3002,"&lt;&gt;U",$S$3:$S$3002,Calc!$F$2))</f>
        <v/>
      </c>
      <c r="Q1835" s="35" t="str">
        <f aca="false">IF(OR($A1835="",$C1835="U",$S1835&lt;&gt;Calc!$F$2),"",IF(COUNTIFS($E$3:$E1835,$E1835,$C$3:$C1835,"&lt;&gt;U",$S$3:$S1835,Calc!$F$2)=1,1,0))</f>
        <v/>
      </c>
      <c r="R1835" s="35" t="str">
        <f aca="false">IF($Q1835=1,$O1835-ROW()/100000,"")</f>
        <v/>
      </c>
      <c r="S1835" s="37" t="str">
        <f aca="false">IF($A1835="","",INT($A1835))</f>
        <v/>
      </c>
      <c r="T1835" s="35" t="str">
        <f aca="false">IF($A1835="","",IF(COUNTIFS($S$3:$S1835,$S1835)=1,1,0))</f>
        <v/>
      </c>
      <c r="U1835" s="37" t="str">
        <f aca="false">IF($T1835=1,$S1835,"")</f>
        <v/>
      </c>
    </row>
    <row r="1836" customFormat="false" ht="15" hidden="false" customHeight="false" outlineLevel="0" collapsed="false">
      <c r="M1836" s="35" t="str">
        <f aca="false">IF($A1836="","",HOUR($A1836))</f>
        <v/>
      </c>
      <c r="N1836" s="36" t="str">
        <f aca="false">IF($A1836="","",$I1836*$K1836)</f>
        <v/>
      </c>
      <c r="O1836" s="35" t="str">
        <f aca="false">IF(OR($A1836="",$C1836="U",$S1836&lt;&gt;Calc!$F$2),"",SUMIFS($I$3:$I$3002,$E$3:$E$3002,$E1836,$C$3:$C$3002,"&lt;&gt;U",$S$3:$S$3002,Calc!$F$2))</f>
        <v/>
      </c>
      <c r="P1836" s="35" t="str">
        <f aca="false">IF(OR($A1836="",$C1836="U",$S1836&lt;&gt;Calc!$F$2),"",SUMIFS($N$3:$N$3002,$E$3:$E$3002,$E1836,$C$3:$C$3002,"&lt;&gt;U",$S$3:$S$3002,Calc!$F$2))</f>
        <v/>
      </c>
      <c r="Q1836" s="35" t="str">
        <f aca="false">IF(OR($A1836="",$C1836="U",$S1836&lt;&gt;Calc!$F$2),"",IF(COUNTIFS($E$3:$E1836,$E1836,$C$3:$C1836,"&lt;&gt;U",$S$3:$S1836,Calc!$F$2)=1,1,0))</f>
        <v/>
      </c>
      <c r="R1836" s="35" t="str">
        <f aca="false">IF($Q1836=1,$O1836-ROW()/100000,"")</f>
        <v/>
      </c>
      <c r="S1836" s="37" t="str">
        <f aca="false">IF($A1836="","",INT($A1836))</f>
        <v/>
      </c>
      <c r="T1836" s="35" t="str">
        <f aca="false">IF($A1836="","",IF(COUNTIFS($S$3:$S1836,$S1836)=1,1,0))</f>
        <v/>
      </c>
      <c r="U1836" s="37" t="str">
        <f aca="false">IF($T1836=1,$S1836,"")</f>
        <v/>
      </c>
    </row>
    <row r="1837" customFormat="false" ht="15" hidden="false" customHeight="false" outlineLevel="0" collapsed="false">
      <c r="M1837" s="35" t="str">
        <f aca="false">IF($A1837="","",HOUR($A1837))</f>
        <v/>
      </c>
      <c r="N1837" s="36" t="str">
        <f aca="false">IF($A1837="","",$I1837*$K1837)</f>
        <v/>
      </c>
      <c r="O1837" s="35" t="str">
        <f aca="false">IF(OR($A1837="",$C1837="U",$S1837&lt;&gt;Calc!$F$2),"",SUMIFS($I$3:$I$3002,$E$3:$E$3002,$E1837,$C$3:$C$3002,"&lt;&gt;U",$S$3:$S$3002,Calc!$F$2))</f>
        <v/>
      </c>
      <c r="P1837" s="35" t="str">
        <f aca="false">IF(OR($A1837="",$C1837="U",$S1837&lt;&gt;Calc!$F$2),"",SUMIFS($N$3:$N$3002,$E$3:$E$3002,$E1837,$C$3:$C$3002,"&lt;&gt;U",$S$3:$S$3002,Calc!$F$2))</f>
        <v/>
      </c>
      <c r="Q1837" s="35" t="str">
        <f aca="false">IF(OR($A1837="",$C1837="U",$S1837&lt;&gt;Calc!$F$2),"",IF(COUNTIFS($E$3:$E1837,$E1837,$C$3:$C1837,"&lt;&gt;U",$S$3:$S1837,Calc!$F$2)=1,1,0))</f>
        <v/>
      </c>
      <c r="R1837" s="35" t="str">
        <f aca="false">IF($Q1837=1,$O1837-ROW()/100000,"")</f>
        <v/>
      </c>
      <c r="S1837" s="37" t="str">
        <f aca="false">IF($A1837="","",INT($A1837))</f>
        <v/>
      </c>
      <c r="T1837" s="35" t="str">
        <f aca="false">IF($A1837="","",IF(COUNTIFS($S$3:$S1837,$S1837)=1,1,0))</f>
        <v/>
      </c>
      <c r="U1837" s="37" t="str">
        <f aca="false">IF($T1837=1,$S1837,"")</f>
        <v/>
      </c>
    </row>
    <row r="1838" customFormat="false" ht="15" hidden="false" customHeight="false" outlineLevel="0" collapsed="false">
      <c r="M1838" s="35" t="str">
        <f aca="false">IF($A1838="","",HOUR($A1838))</f>
        <v/>
      </c>
      <c r="N1838" s="36" t="str">
        <f aca="false">IF($A1838="","",$I1838*$K1838)</f>
        <v/>
      </c>
      <c r="O1838" s="35" t="str">
        <f aca="false">IF(OR($A1838="",$C1838="U",$S1838&lt;&gt;Calc!$F$2),"",SUMIFS($I$3:$I$3002,$E$3:$E$3002,$E1838,$C$3:$C$3002,"&lt;&gt;U",$S$3:$S$3002,Calc!$F$2))</f>
        <v/>
      </c>
      <c r="P1838" s="35" t="str">
        <f aca="false">IF(OR($A1838="",$C1838="U",$S1838&lt;&gt;Calc!$F$2),"",SUMIFS($N$3:$N$3002,$E$3:$E$3002,$E1838,$C$3:$C$3002,"&lt;&gt;U",$S$3:$S$3002,Calc!$F$2))</f>
        <v/>
      </c>
      <c r="Q1838" s="35" t="str">
        <f aca="false">IF(OR($A1838="",$C1838="U",$S1838&lt;&gt;Calc!$F$2),"",IF(COUNTIFS($E$3:$E1838,$E1838,$C$3:$C1838,"&lt;&gt;U",$S$3:$S1838,Calc!$F$2)=1,1,0))</f>
        <v/>
      </c>
      <c r="R1838" s="35" t="str">
        <f aca="false">IF($Q1838=1,$O1838-ROW()/100000,"")</f>
        <v/>
      </c>
      <c r="S1838" s="37" t="str">
        <f aca="false">IF($A1838="","",INT($A1838))</f>
        <v/>
      </c>
      <c r="T1838" s="35" t="str">
        <f aca="false">IF($A1838="","",IF(COUNTIFS($S$3:$S1838,$S1838)=1,1,0))</f>
        <v/>
      </c>
      <c r="U1838" s="37" t="str">
        <f aca="false">IF($T1838=1,$S1838,"")</f>
        <v/>
      </c>
    </row>
    <row r="1839" customFormat="false" ht="15" hidden="false" customHeight="false" outlineLevel="0" collapsed="false">
      <c r="M1839" s="35" t="str">
        <f aca="false">IF($A1839="","",HOUR($A1839))</f>
        <v/>
      </c>
      <c r="N1839" s="36" t="str">
        <f aca="false">IF($A1839="","",$I1839*$K1839)</f>
        <v/>
      </c>
      <c r="O1839" s="35" t="str">
        <f aca="false">IF(OR($A1839="",$C1839="U",$S1839&lt;&gt;Calc!$F$2),"",SUMIFS($I$3:$I$3002,$E$3:$E$3002,$E1839,$C$3:$C$3002,"&lt;&gt;U",$S$3:$S$3002,Calc!$F$2))</f>
        <v/>
      </c>
      <c r="P1839" s="35" t="str">
        <f aca="false">IF(OR($A1839="",$C1839="U",$S1839&lt;&gt;Calc!$F$2),"",SUMIFS($N$3:$N$3002,$E$3:$E$3002,$E1839,$C$3:$C$3002,"&lt;&gt;U",$S$3:$S$3002,Calc!$F$2))</f>
        <v/>
      </c>
      <c r="Q1839" s="35" t="str">
        <f aca="false">IF(OR($A1839="",$C1839="U",$S1839&lt;&gt;Calc!$F$2),"",IF(COUNTIFS($E$3:$E1839,$E1839,$C$3:$C1839,"&lt;&gt;U",$S$3:$S1839,Calc!$F$2)=1,1,0))</f>
        <v/>
      </c>
      <c r="R1839" s="35" t="str">
        <f aca="false">IF($Q1839=1,$O1839-ROW()/100000,"")</f>
        <v/>
      </c>
      <c r="S1839" s="37" t="str">
        <f aca="false">IF($A1839="","",INT($A1839))</f>
        <v/>
      </c>
      <c r="T1839" s="35" t="str">
        <f aca="false">IF($A1839="","",IF(COUNTIFS($S$3:$S1839,$S1839)=1,1,0))</f>
        <v/>
      </c>
      <c r="U1839" s="37" t="str">
        <f aca="false">IF($T1839=1,$S1839,"")</f>
        <v/>
      </c>
    </row>
    <row r="1840" customFormat="false" ht="15" hidden="false" customHeight="false" outlineLevel="0" collapsed="false">
      <c r="M1840" s="35" t="str">
        <f aca="false">IF($A1840="","",HOUR($A1840))</f>
        <v/>
      </c>
      <c r="N1840" s="36" t="str">
        <f aca="false">IF($A1840="","",$I1840*$K1840)</f>
        <v/>
      </c>
      <c r="O1840" s="35" t="str">
        <f aca="false">IF(OR($A1840="",$C1840="U",$S1840&lt;&gt;Calc!$F$2),"",SUMIFS($I$3:$I$3002,$E$3:$E$3002,$E1840,$C$3:$C$3002,"&lt;&gt;U",$S$3:$S$3002,Calc!$F$2))</f>
        <v/>
      </c>
      <c r="P1840" s="35" t="str">
        <f aca="false">IF(OR($A1840="",$C1840="U",$S1840&lt;&gt;Calc!$F$2),"",SUMIFS($N$3:$N$3002,$E$3:$E$3002,$E1840,$C$3:$C$3002,"&lt;&gt;U",$S$3:$S$3002,Calc!$F$2))</f>
        <v/>
      </c>
      <c r="Q1840" s="35" t="str">
        <f aca="false">IF(OR($A1840="",$C1840="U",$S1840&lt;&gt;Calc!$F$2),"",IF(COUNTIFS($E$3:$E1840,$E1840,$C$3:$C1840,"&lt;&gt;U",$S$3:$S1840,Calc!$F$2)=1,1,0))</f>
        <v/>
      </c>
      <c r="R1840" s="35" t="str">
        <f aca="false">IF($Q1840=1,$O1840-ROW()/100000,"")</f>
        <v/>
      </c>
      <c r="S1840" s="37" t="str">
        <f aca="false">IF($A1840="","",INT($A1840))</f>
        <v/>
      </c>
      <c r="T1840" s="35" t="str">
        <f aca="false">IF($A1840="","",IF(COUNTIFS($S$3:$S1840,$S1840)=1,1,0))</f>
        <v/>
      </c>
      <c r="U1840" s="37" t="str">
        <f aca="false">IF($T1840=1,$S1840,"")</f>
        <v/>
      </c>
    </row>
    <row r="1841" customFormat="false" ht="15" hidden="false" customHeight="false" outlineLevel="0" collapsed="false">
      <c r="M1841" s="35" t="str">
        <f aca="false">IF($A1841="","",HOUR($A1841))</f>
        <v/>
      </c>
      <c r="N1841" s="36" t="str">
        <f aca="false">IF($A1841="","",$I1841*$K1841)</f>
        <v/>
      </c>
      <c r="O1841" s="35" t="str">
        <f aca="false">IF(OR($A1841="",$C1841="U",$S1841&lt;&gt;Calc!$F$2),"",SUMIFS($I$3:$I$3002,$E$3:$E$3002,$E1841,$C$3:$C$3002,"&lt;&gt;U",$S$3:$S$3002,Calc!$F$2))</f>
        <v/>
      </c>
      <c r="P1841" s="35" t="str">
        <f aca="false">IF(OR($A1841="",$C1841="U",$S1841&lt;&gt;Calc!$F$2),"",SUMIFS($N$3:$N$3002,$E$3:$E$3002,$E1841,$C$3:$C$3002,"&lt;&gt;U",$S$3:$S$3002,Calc!$F$2))</f>
        <v/>
      </c>
      <c r="Q1841" s="35" t="str">
        <f aca="false">IF(OR($A1841="",$C1841="U",$S1841&lt;&gt;Calc!$F$2),"",IF(COUNTIFS($E$3:$E1841,$E1841,$C$3:$C1841,"&lt;&gt;U",$S$3:$S1841,Calc!$F$2)=1,1,0))</f>
        <v/>
      </c>
      <c r="R1841" s="35" t="str">
        <f aca="false">IF($Q1841=1,$O1841-ROW()/100000,"")</f>
        <v/>
      </c>
      <c r="S1841" s="37" t="str">
        <f aca="false">IF($A1841="","",INT($A1841))</f>
        <v/>
      </c>
      <c r="T1841" s="35" t="str">
        <f aca="false">IF($A1841="","",IF(COUNTIFS($S$3:$S1841,$S1841)=1,1,0))</f>
        <v/>
      </c>
      <c r="U1841" s="37" t="str">
        <f aca="false">IF($T1841=1,$S1841,"")</f>
        <v/>
      </c>
    </row>
    <row r="1842" customFormat="false" ht="15" hidden="false" customHeight="false" outlineLevel="0" collapsed="false">
      <c r="M1842" s="35" t="str">
        <f aca="false">IF($A1842="","",HOUR($A1842))</f>
        <v/>
      </c>
      <c r="N1842" s="36" t="str">
        <f aca="false">IF($A1842="","",$I1842*$K1842)</f>
        <v/>
      </c>
      <c r="O1842" s="35" t="str">
        <f aca="false">IF(OR($A1842="",$C1842="U",$S1842&lt;&gt;Calc!$F$2),"",SUMIFS($I$3:$I$3002,$E$3:$E$3002,$E1842,$C$3:$C$3002,"&lt;&gt;U",$S$3:$S$3002,Calc!$F$2))</f>
        <v/>
      </c>
      <c r="P1842" s="35" t="str">
        <f aca="false">IF(OR($A1842="",$C1842="U",$S1842&lt;&gt;Calc!$F$2),"",SUMIFS($N$3:$N$3002,$E$3:$E$3002,$E1842,$C$3:$C$3002,"&lt;&gt;U",$S$3:$S$3002,Calc!$F$2))</f>
        <v/>
      </c>
      <c r="Q1842" s="35" t="str">
        <f aca="false">IF(OR($A1842="",$C1842="U",$S1842&lt;&gt;Calc!$F$2),"",IF(COUNTIFS($E$3:$E1842,$E1842,$C$3:$C1842,"&lt;&gt;U",$S$3:$S1842,Calc!$F$2)=1,1,0))</f>
        <v/>
      </c>
      <c r="R1842" s="35" t="str">
        <f aca="false">IF($Q1842=1,$O1842-ROW()/100000,"")</f>
        <v/>
      </c>
      <c r="S1842" s="37" t="str">
        <f aca="false">IF($A1842="","",INT($A1842))</f>
        <v/>
      </c>
      <c r="T1842" s="35" t="str">
        <f aca="false">IF($A1842="","",IF(COUNTIFS($S$3:$S1842,$S1842)=1,1,0))</f>
        <v/>
      </c>
      <c r="U1842" s="37" t="str">
        <f aca="false">IF($T1842=1,$S1842,"")</f>
        <v/>
      </c>
    </row>
    <row r="1843" customFormat="false" ht="15" hidden="false" customHeight="false" outlineLevel="0" collapsed="false">
      <c r="M1843" s="35" t="str">
        <f aca="false">IF($A1843="","",HOUR($A1843))</f>
        <v/>
      </c>
      <c r="N1843" s="36" t="str">
        <f aca="false">IF($A1843="","",$I1843*$K1843)</f>
        <v/>
      </c>
      <c r="O1843" s="35" t="str">
        <f aca="false">IF(OR($A1843="",$C1843="U",$S1843&lt;&gt;Calc!$F$2),"",SUMIFS($I$3:$I$3002,$E$3:$E$3002,$E1843,$C$3:$C$3002,"&lt;&gt;U",$S$3:$S$3002,Calc!$F$2))</f>
        <v/>
      </c>
      <c r="P1843" s="35" t="str">
        <f aca="false">IF(OR($A1843="",$C1843="U",$S1843&lt;&gt;Calc!$F$2),"",SUMIFS($N$3:$N$3002,$E$3:$E$3002,$E1843,$C$3:$C$3002,"&lt;&gt;U",$S$3:$S$3002,Calc!$F$2))</f>
        <v/>
      </c>
      <c r="Q1843" s="35" t="str">
        <f aca="false">IF(OR($A1843="",$C1843="U",$S1843&lt;&gt;Calc!$F$2),"",IF(COUNTIFS($E$3:$E1843,$E1843,$C$3:$C1843,"&lt;&gt;U",$S$3:$S1843,Calc!$F$2)=1,1,0))</f>
        <v/>
      </c>
      <c r="R1843" s="35" t="str">
        <f aca="false">IF($Q1843=1,$O1843-ROW()/100000,"")</f>
        <v/>
      </c>
      <c r="S1843" s="37" t="str">
        <f aca="false">IF($A1843="","",INT($A1843))</f>
        <v/>
      </c>
      <c r="T1843" s="35" t="str">
        <f aca="false">IF($A1843="","",IF(COUNTIFS($S$3:$S1843,$S1843)=1,1,0))</f>
        <v/>
      </c>
      <c r="U1843" s="37" t="str">
        <f aca="false">IF($T1843=1,$S1843,"")</f>
        <v/>
      </c>
    </row>
    <row r="1844" customFormat="false" ht="15" hidden="false" customHeight="false" outlineLevel="0" collapsed="false">
      <c r="M1844" s="35" t="str">
        <f aca="false">IF($A1844="","",HOUR($A1844))</f>
        <v/>
      </c>
      <c r="N1844" s="36" t="str">
        <f aca="false">IF($A1844="","",$I1844*$K1844)</f>
        <v/>
      </c>
      <c r="O1844" s="35" t="str">
        <f aca="false">IF(OR($A1844="",$C1844="U",$S1844&lt;&gt;Calc!$F$2),"",SUMIFS($I$3:$I$3002,$E$3:$E$3002,$E1844,$C$3:$C$3002,"&lt;&gt;U",$S$3:$S$3002,Calc!$F$2))</f>
        <v/>
      </c>
      <c r="P1844" s="35" t="str">
        <f aca="false">IF(OR($A1844="",$C1844="U",$S1844&lt;&gt;Calc!$F$2),"",SUMIFS($N$3:$N$3002,$E$3:$E$3002,$E1844,$C$3:$C$3002,"&lt;&gt;U",$S$3:$S$3002,Calc!$F$2))</f>
        <v/>
      </c>
      <c r="Q1844" s="35" t="str">
        <f aca="false">IF(OR($A1844="",$C1844="U",$S1844&lt;&gt;Calc!$F$2),"",IF(COUNTIFS($E$3:$E1844,$E1844,$C$3:$C1844,"&lt;&gt;U",$S$3:$S1844,Calc!$F$2)=1,1,0))</f>
        <v/>
      </c>
      <c r="R1844" s="35" t="str">
        <f aca="false">IF($Q1844=1,$O1844-ROW()/100000,"")</f>
        <v/>
      </c>
      <c r="S1844" s="37" t="str">
        <f aca="false">IF($A1844="","",INT($A1844))</f>
        <v/>
      </c>
      <c r="T1844" s="35" t="str">
        <f aca="false">IF($A1844="","",IF(COUNTIFS($S$3:$S1844,$S1844)=1,1,0))</f>
        <v/>
      </c>
      <c r="U1844" s="37" t="str">
        <f aca="false">IF($T1844=1,$S1844,"")</f>
        <v/>
      </c>
    </row>
    <row r="1845" customFormat="false" ht="15" hidden="false" customHeight="false" outlineLevel="0" collapsed="false">
      <c r="M1845" s="35" t="str">
        <f aca="false">IF($A1845="","",HOUR($A1845))</f>
        <v/>
      </c>
      <c r="N1845" s="36" t="str">
        <f aca="false">IF($A1845="","",$I1845*$K1845)</f>
        <v/>
      </c>
      <c r="O1845" s="35" t="str">
        <f aca="false">IF(OR($A1845="",$C1845="U",$S1845&lt;&gt;Calc!$F$2),"",SUMIFS($I$3:$I$3002,$E$3:$E$3002,$E1845,$C$3:$C$3002,"&lt;&gt;U",$S$3:$S$3002,Calc!$F$2))</f>
        <v/>
      </c>
      <c r="P1845" s="35" t="str">
        <f aca="false">IF(OR($A1845="",$C1845="U",$S1845&lt;&gt;Calc!$F$2),"",SUMIFS($N$3:$N$3002,$E$3:$E$3002,$E1845,$C$3:$C$3002,"&lt;&gt;U",$S$3:$S$3002,Calc!$F$2))</f>
        <v/>
      </c>
      <c r="Q1845" s="35" t="str">
        <f aca="false">IF(OR($A1845="",$C1845="U",$S1845&lt;&gt;Calc!$F$2),"",IF(COUNTIFS($E$3:$E1845,$E1845,$C$3:$C1845,"&lt;&gt;U",$S$3:$S1845,Calc!$F$2)=1,1,0))</f>
        <v/>
      </c>
      <c r="R1845" s="35" t="str">
        <f aca="false">IF($Q1845=1,$O1845-ROW()/100000,"")</f>
        <v/>
      </c>
      <c r="S1845" s="37" t="str">
        <f aca="false">IF($A1845="","",INT($A1845))</f>
        <v/>
      </c>
      <c r="T1845" s="35" t="str">
        <f aca="false">IF($A1845="","",IF(COUNTIFS($S$3:$S1845,$S1845)=1,1,0))</f>
        <v/>
      </c>
      <c r="U1845" s="37" t="str">
        <f aca="false">IF($T1845=1,$S1845,"")</f>
        <v/>
      </c>
    </row>
    <row r="1846" customFormat="false" ht="15" hidden="false" customHeight="false" outlineLevel="0" collapsed="false">
      <c r="M1846" s="35" t="str">
        <f aca="false">IF($A1846="","",HOUR($A1846))</f>
        <v/>
      </c>
      <c r="N1846" s="36" t="str">
        <f aca="false">IF($A1846="","",$I1846*$K1846)</f>
        <v/>
      </c>
      <c r="O1846" s="35" t="str">
        <f aca="false">IF(OR($A1846="",$C1846="U",$S1846&lt;&gt;Calc!$F$2),"",SUMIFS($I$3:$I$3002,$E$3:$E$3002,$E1846,$C$3:$C$3002,"&lt;&gt;U",$S$3:$S$3002,Calc!$F$2))</f>
        <v/>
      </c>
      <c r="P1846" s="35" t="str">
        <f aca="false">IF(OR($A1846="",$C1846="U",$S1846&lt;&gt;Calc!$F$2),"",SUMIFS($N$3:$N$3002,$E$3:$E$3002,$E1846,$C$3:$C$3002,"&lt;&gt;U",$S$3:$S$3002,Calc!$F$2))</f>
        <v/>
      </c>
      <c r="Q1846" s="35" t="str">
        <f aca="false">IF(OR($A1846="",$C1846="U",$S1846&lt;&gt;Calc!$F$2),"",IF(COUNTIFS($E$3:$E1846,$E1846,$C$3:$C1846,"&lt;&gt;U",$S$3:$S1846,Calc!$F$2)=1,1,0))</f>
        <v/>
      </c>
      <c r="R1846" s="35" t="str">
        <f aca="false">IF($Q1846=1,$O1846-ROW()/100000,"")</f>
        <v/>
      </c>
      <c r="S1846" s="37" t="str">
        <f aca="false">IF($A1846="","",INT($A1846))</f>
        <v/>
      </c>
      <c r="T1846" s="35" t="str">
        <f aca="false">IF($A1846="","",IF(COUNTIFS($S$3:$S1846,$S1846)=1,1,0))</f>
        <v/>
      </c>
      <c r="U1846" s="37" t="str">
        <f aca="false">IF($T1846=1,$S1846,"")</f>
        <v/>
      </c>
    </row>
    <row r="1847" customFormat="false" ht="15" hidden="false" customHeight="false" outlineLevel="0" collapsed="false">
      <c r="M1847" s="35" t="str">
        <f aca="false">IF($A1847="","",HOUR($A1847))</f>
        <v/>
      </c>
      <c r="N1847" s="36" t="str">
        <f aca="false">IF($A1847="","",$I1847*$K1847)</f>
        <v/>
      </c>
      <c r="O1847" s="35" t="str">
        <f aca="false">IF(OR($A1847="",$C1847="U",$S1847&lt;&gt;Calc!$F$2),"",SUMIFS($I$3:$I$3002,$E$3:$E$3002,$E1847,$C$3:$C$3002,"&lt;&gt;U",$S$3:$S$3002,Calc!$F$2))</f>
        <v/>
      </c>
      <c r="P1847" s="35" t="str">
        <f aca="false">IF(OR($A1847="",$C1847="U",$S1847&lt;&gt;Calc!$F$2),"",SUMIFS($N$3:$N$3002,$E$3:$E$3002,$E1847,$C$3:$C$3002,"&lt;&gt;U",$S$3:$S$3002,Calc!$F$2))</f>
        <v/>
      </c>
      <c r="Q1847" s="35" t="str">
        <f aca="false">IF(OR($A1847="",$C1847="U",$S1847&lt;&gt;Calc!$F$2),"",IF(COUNTIFS($E$3:$E1847,$E1847,$C$3:$C1847,"&lt;&gt;U",$S$3:$S1847,Calc!$F$2)=1,1,0))</f>
        <v/>
      </c>
      <c r="R1847" s="35" t="str">
        <f aca="false">IF($Q1847=1,$O1847-ROW()/100000,"")</f>
        <v/>
      </c>
      <c r="S1847" s="37" t="str">
        <f aca="false">IF($A1847="","",INT($A1847))</f>
        <v/>
      </c>
      <c r="T1847" s="35" t="str">
        <f aca="false">IF($A1847="","",IF(COUNTIFS($S$3:$S1847,$S1847)=1,1,0))</f>
        <v/>
      </c>
      <c r="U1847" s="37" t="str">
        <f aca="false">IF($T1847=1,$S1847,"")</f>
        <v/>
      </c>
    </row>
    <row r="1848" customFormat="false" ht="15" hidden="false" customHeight="false" outlineLevel="0" collapsed="false">
      <c r="M1848" s="35" t="str">
        <f aca="false">IF($A1848="","",HOUR($A1848))</f>
        <v/>
      </c>
      <c r="N1848" s="36" t="str">
        <f aca="false">IF($A1848="","",$I1848*$K1848)</f>
        <v/>
      </c>
      <c r="O1848" s="35" t="str">
        <f aca="false">IF(OR($A1848="",$C1848="U",$S1848&lt;&gt;Calc!$F$2),"",SUMIFS($I$3:$I$3002,$E$3:$E$3002,$E1848,$C$3:$C$3002,"&lt;&gt;U",$S$3:$S$3002,Calc!$F$2))</f>
        <v/>
      </c>
      <c r="P1848" s="35" t="str">
        <f aca="false">IF(OR($A1848="",$C1848="U",$S1848&lt;&gt;Calc!$F$2),"",SUMIFS($N$3:$N$3002,$E$3:$E$3002,$E1848,$C$3:$C$3002,"&lt;&gt;U",$S$3:$S$3002,Calc!$F$2))</f>
        <v/>
      </c>
      <c r="Q1848" s="35" t="str">
        <f aca="false">IF(OR($A1848="",$C1848="U",$S1848&lt;&gt;Calc!$F$2),"",IF(COUNTIFS($E$3:$E1848,$E1848,$C$3:$C1848,"&lt;&gt;U",$S$3:$S1848,Calc!$F$2)=1,1,0))</f>
        <v/>
      </c>
      <c r="R1848" s="35" t="str">
        <f aca="false">IF($Q1848=1,$O1848-ROW()/100000,"")</f>
        <v/>
      </c>
      <c r="S1848" s="37" t="str">
        <f aca="false">IF($A1848="","",INT($A1848))</f>
        <v/>
      </c>
      <c r="T1848" s="35" t="str">
        <f aca="false">IF($A1848="","",IF(COUNTIFS($S$3:$S1848,$S1848)=1,1,0))</f>
        <v/>
      </c>
      <c r="U1848" s="37" t="str">
        <f aca="false">IF($T1848=1,$S1848,"")</f>
        <v/>
      </c>
    </row>
    <row r="1849" customFormat="false" ht="15" hidden="false" customHeight="false" outlineLevel="0" collapsed="false">
      <c r="M1849" s="35" t="str">
        <f aca="false">IF($A1849="","",HOUR($A1849))</f>
        <v/>
      </c>
      <c r="N1849" s="36" t="str">
        <f aca="false">IF($A1849="","",$I1849*$K1849)</f>
        <v/>
      </c>
      <c r="O1849" s="35" t="str">
        <f aca="false">IF(OR($A1849="",$C1849="U",$S1849&lt;&gt;Calc!$F$2),"",SUMIFS($I$3:$I$3002,$E$3:$E$3002,$E1849,$C$3:$C$3002,"&lt;&gt;U",$S$3:$S$3002,Calc!$F$2))</f>
        <v/>
      </c>
      <c r="P1849" s="35" t="str">
        <f aca="false">IF(OR($A1849="",$C1849="U",$S1849&lt;&gt;Calc!$F$2),"",SUMIFS($N$3:$N$3002,$E$3:$E$3002,$E1849,$C$3:$C$3002,"&lt;&gt;U",$S$3:$S$3002,Calc!$F$2))</f>
        <v/>
      </c>
      <c r="Q1849" s="35" t="str">
        <f aca="false">IF(OR($A1849="",$C1849="U",$S1849&lt;&gt;Calc!$F$2),"",IF(COUNTIFS($E$3:$E1849,$E1849,$C$3:$C1849,"&lt;&gt;U",$S$3:$S1849,Calc!$F$2)=1,1,0))</f>
        <v/>
      </c>
      <c r="R1849" s="35" t="str">
        <f aca="false">IF($Q1849=1,$O1849-ROW()/100000,"")</f>
        <v/>
      </c>
      <c r="S1849" s="37" t="str">
        <f aca="false">IF($A1849="","",INT($A1849))</f>
        <v/>
      </c>
      <c r="T1849" s="35" t="str">
        <f aca="false">IF($A1849="","",IF(COUNTIFS($S$3:$S1849,$S1849)=1,1,0))</f>
        <v/>
      </c>
      <c r="U1849" s="37" t="str">
        <f aca="false">IF($T1849=1,$S1849,"")</f>
        <v/>
      </c>
    </row>
    <row r="1850" customFormat="false" ht="15" hidden="false" customHeight="false" outlineLevel="0" collapsed="false">
      <c r="M1850" s="35" t="str">
        <f aca="false">IF($A1850="","",HOUR($A1850))</f>
        <v/>
      </c>
      <c r="N1850" s="36" t="str">
        <f aca="false">IF($A1850="","",$I1850*$K1850)</f>
        <v/>
      </c>
      <c r="O1850" s="35" t="str">
        <f aca="false">IF(OR($A1850="",$C1850="U",$S1850&lt;&gt;Calc!$F$2),"",SUMIFS($I$3:$I$3002,$E$3:$E$3002,$E1850,$C$3:$C$3002,"&lt;&gt;U",$S$3:$S$3002,Calc!$F$2))</f>
        <v/>
      </c>
      <c r="P1850" s="35" t="str">
        <f aca="false">IF(OR($A1850="",$C1850="U",$S1850&lt;&gt;Calc!$F$2),"",SUMIFS($N$3:$N$3002,$E$3:$E$3002,$E1850,$C$3:$C$3002,"&lt;&gt;U",$S$3:$S$3002,Calc!$F$2))</f>
        <v/>
      </c>
      <c r="Q1850" s="35" t="str">
        <f aca="false">IF(OR($A1850="",$C1850="U",$S1850&lt;&gt;Calc!$F$2),"",IF(COUNTIFS($E$3:$E1850,$E1850,$C$3:$C1850,"&lt;&gt;U",$S$3:$S1850,Calc!$F$2)=1,1,0))</f>
        <v/>
      </c>
      <c r="R1850" s="35" t="str">
        <f aca="false">IF($Q1850=1,$O1850-ROW()/100000,"")</f>
        <v/>
      </c>
      <c r="S1850" s="37" t="str">
        <f aca="false">IF($A1850="","",INT($A1850))</f>
        <v/>
      </c>
      <c r="T1850" s="35" t="str">
        <f aca="false">IF($A1850="","",IF(COUNTIFS($S$3:$S1850,$S1850)=1,1,0))</f>
        <v/>
      </c>
      <c r="U1850" s="37" t="str">
        <f aca="false">IF($T1850=1,$S1850,"")</f>
        <v/>
      </c>
    </row>
    <row r="1851" customFormat="false" ht="15" hidden="false" customHeight="false" outlineLevel="0" collapsed="false">
      <c r="M1851" s="35" t="str">
        <f aca="false">IF($A1851="","",HOUR($A1851))</f>
        <v/>
      </c>
      <c r="N1851" s="36" t="str">
        <f aca="false">IF($A1851="","",$I1851*$K1851)</f>
        <v/>
      </c>
      <c r="O1851" s="35" t="str">
        <f aca="false">IF(OR($A1851="",$C1851="U",$S1851&lt;&gt;Calc!$F$2),"",SUMIFS($I$3:$I$3002,$E$3:$E$3002,$E1851,$C$3:$C$3002,"&lt;&gt;U",$S$3:$S$3002,Calc!$F$2))</f>
        <v/>
      </c>
      <c r="P1851" s="35" t="str">
        <f aca="false">IF(OR($A1851="",$C1851="U",$S1851&lt;&gt;Calc!$F$2),"",SUMIFS($N$3:$N$3002,$E$3:$E$3002,$E1851,$C$3:$C$3002,"&lt;&gt;U",$S$3:$S$3002,Calc!$F$2))</f>
        <v/>
      </c>
      <c r="Q1851" s="35" t="str">
        <f aca="false">IF(OR($A1851="",$C1851="U",$S1851&lt;&gt;Calc!$F$2),"",IF(COUNTIFS($E$3:$E1851,$E1851,$C$3:$C1851,"&lt;&gt;U",$S$3:$S1851,Calc!$F$2)=1,1,0))</f>
        <v/>
      </c>
      <c r="R1851" s="35" t="str">
        <f aca="false">IF($Q1851=1,$O1851-ROW()/100000,"")</f>
        <v/>
      </c>
      <c r="S1851" s="37" t="str">
        <f aca="false">IF($A1851="","",INT($A1851))</f>
        <v/>
      </c>
      <c r="T1851" s="35" t="str">
        <f aca="false">IF($A1851="","",IF(COUNTIFS($S$3:$S1851,$S1851)=1,1,0))</f>
        <v/>
      </c>
      <c r="U1851" s="37" t="str">
        <f aca="false">IF($T1851=1,$S1851,"")</f>
        <v/>
      </c>
    </row>
    <row r="1852" customFormat="false" ht="15" hidden="false" customHeight="false" outlineLevel="0" collapsed="false">
      <c r="M1852" s="35" t="str">
        <f aca="false">IF($A1852="","",HOUR($A1852))</f>
        <v/>
      </c>
      <c r="N1852" s="36" t="str">
        <f aca="false">IF($A1852="","",$I1852*$K1852)</f>
        <v/>
      </c>
      <c r="O1852" s="35" t="str">
        <f aca="false">IF(OR($A1852="",$C1852="U",$S1852&lt;&gt;Calc!$F$2),"",SUMIFS($I$3:$I$3002,$E$3:$E$3002,$E1852,$C$3:$C$3002,"&lt;&gt;U",$S$3:$S$3002,Calc!$F$2))</f>
        <v/>
      </c>
      <c r="P1852" s="35" t="str">
        <f aca="false">IF(OR($A1852="",$C1852="U",$S1852&lt;&gt;Calc!$F$2),"",SUMIFS($N$3:$N$3002,$E$3:$E$3002,$E1852,$C$3:$C$3002,"&lt;&gt;U",$S$3:$S$3002,Calc!$F$2))</f>
        <v/>
      </c>
      <c r="Q1852" s="35" t="str">
        <f aca="false">IF(OR($A1852="",$C1852="U",$S1852&lt;&gt;Calc!$F$2),"",IF(COUNTIFS($E$3:$E1852,$E1852,$C$3:$C1852,"&lt;&gt;U",$S$3:$S1852,Calc!$F$2)=1,1,0))</f>
        <v/>
      </c>
      <c r="R1852" s="35" t="str">
        <f aca="false">IF($Q1852=1,$O1852-ROW()/100000,"")</f>
        <v/>
      </c>
      <c r="S1852" s="37" t="str">
        <f aca="false">IF($A1852="","",INT($A1852))</f>
        <v/>
      </c>
      <c r="T1852" s="35" t="str">
        <f aca="false">IF($A1852="","",IF(COUNTIFS($S$3:$S1852,$S1852)=1,1,0))</f>
        <v/>
      </c>
      <c r="U1852" s="37" t="str">
        <f aca="false">IF($T1852=1,$S1852,"")</f>
        <v/>
      </c>
    </row>
    <row r="1853" customFormat="false" ht="15" hidden="false" customHeight="false" outlineLevel="0" collapsed="false">
      <c r="M1853" s="35" t="str">
        <f aca="false">IF($A1853="","",HOUR($A1853))</f>
        <v/>
      </c>
      <c r="N1853" s="36" t="str">
        <f aca="false">IF($A1853="","",$I1853*$K1853)</f>
        <v/>
      </c>
      <c r="O1853" s="35" t="str">
        <f aca="false">IF(OR($A1853="",$C1853="U",$S1853&lt;&gt;Calc!$F$2),"",SUMIFS($I$3:$I$3002,$E$3:$E$3002,$E1853,$C$3:$C$3002,"&lt;&gt;U",$S$3:$S$3002,Calc!$F$2))</f>
        <v/>
      </c>
      <c r="P1853" s="35" t="str">
        <f aca="false">IF(OR($A1853="",$C1853="U",$S1853&lt;&gt;Calc!$F$2),"",SUMIFS($N$3:$N$3002,$E$3:$E$3002,$E1853,$C$3:$C$3002,"&lt;&gt;U",$S$3:$S$3002,Calc!$F$2))</f>
        <v/>
      </c>
      <c r="Q1853" s="35" t="str">
        <f aca="false">IF(OR($A1853="",$C1853="U",$S1853&lt;&gt;Calc!$F$2),"",IF(COUNTIFS($E$3:$E1853,$E1853,$C$3:$C1853,"&lt;&gt;U",$S$3:$S1853,Calc!$F$2)=1,1,0))</f>
        <v/>
      </c>
      <c r="R1853" s="35" t="str">
        <f aca="false">IF($Q1853=1,$O1853-ROW()/100000,"")</f>
        <v/>
      </c>
      <c r="S1853" s="37" t="str">
        <f aca="false">IF($A1853="","",INT($A1853))</f>
        <v/>
      </c>
      <c r="T1853" s="35" t="str">
        <f aca="false">IF($A1853="","",IF(COUNTIFS($S$3:$S1853,$S1853)=1,1,0))</f>
        <v/>
      </c>
      <c r="U1853" s="37" t="str">
        <f aca="false">IF($T1853=1,$S1853,"")</f>
        <v/>
      </c>
    </row>
    <row r="1854" customFormat="false" ht="15" hidden="false" customHeight="false" outlineLevel="0" collapsed="false">
      <c r="M1854" s="35" t="str">
        <f aca="false">IF($A1854="","",HOUR($A1854))</f>
        <v/>
      </c>
      <c r="N1854" s="36" t="str">
        <f aca="false">IF($A1854="","",$I1854*$K1854)</f>
        <v/>
      </c>
      <c r="O1854" s="35" t="str">
        <f aca="false">IF(OR($A1854="",$C1854="U",$S1854&lt;&gt;Calc!$F$2),"",SUMIFS($I$3:$I$3002,$E$3:$E$3002,$E1854,$C$3:$C$3002,"&lt;&gt;U",$S$3:$S$3002,Calc!$F$2))</f>
        <v/>
      </c>
      <c r="P1854" s="35" t="str">
        <f aca="false">IF(OR($A1854="",$C1854="U",$S1854&lt;&gt;Calc!$F$2),"",SUMIFS($N$3:$N$3002,$E$3:$E$3002,$E1854,$C$3:$C$3002,"&lt;&gt;U",$S$3:$S$3002,Calc!$F$2))</f>
        <v/>
      </c>
      <c r="Q1854" s="35" t="str">
        <f aca="false">IF(OR($A1854="",$C1854="U",$S1854&lt;&gt;Calc!$F$2),"",IF(COUNTIFS($E$3:$E1854,$E1854,$C$3:$C1854,"&lt;&gt;U",$S$3:$S1854,Calc!$F$2)=1,1,0))</f>
        <v/>
      </c>
      <c r="R1854" s="35" t="str">
        <f aca="false">IF($Q1854=1,$O1854-ROW()/100000,"")</f>
        <v/>
      </c>
      <c r="S1854" s="37" t="str">
        <f aca="false">IF($A1854="","",INT($A1854))</f>
        <v/>
      </c>
      <c r="T1854" s="35" t="str">
        <f aca="false">IF($A1854="","",IF(COUNTIFS($S$3:$S1854,$S1854)=1,1,0))</f>
        <v/>
      </c>
      <c r="U1854" s="37" t="str">
        <f aca="false">IF($T1854=1,$S1854,"")</f>
        <v/>
      </c>
    </row>
    <row r="1855" customFormat="false" ht="15" hidden="false" customHeight="false" outlineLevel="0" collapsed="false">
      <c r="M1855" s="35" t="str">
        <f aca="false">IF($A1855="","",HOUR($A1855))</f>
        <v/>
      </c>
      <c r="N1855" s="36" t="str">
        <f aca="false">IF($A1855="","",$I1855*$K1855)</f>
        <v/>
      </c>
      <c r="O1855" s="35" t="str">
        <f aca="false">IF(OR($A1855="",$C1855="U",$S1855&lt;&gt;Calc!$F$2),"",SUMIFS($I$3:$I$3002,$E$3:$E$3002,$E1855,$C$3:$C$3002,"&lt;&gt;U",$S$3:$S$3002,Calc!$F$2))</f>
        <v/>
      </c>
      <c r="P1855" s="35" t="str">
        <f aca="false">IF(OR($A1855="",$C1855="U",$S1855&lt;&gt;Calc!$F$2),"",SUMIFS($N$3:$N$3002,$E$3:$E$3002,$E1855,$C$3:$C$3002,"&lt;&gt;U",$S$3:$S$3002,Calc!$F$2))</f>
        <v/>
      </c>
      <c r="Q1855" s="35" t="str">
        <f aca="false">IF(OR($A1855="",$C1855="U",$S1855&lt;&gt;Calc!$F$2),"",IF(COUNTIFS($E$3:$E1855,$E1855,$C$3:$C1855,"&lt;&gt;U",$S$3:$S1855,Calc!$F$2)=1,1,0))</f>
        <v/>
      </c>
      <c r="R1855" s="35" t="str">
        <f aca="false">IF($Q1855=1,$O1855-ROW()/100000,"")</f>
        <v/>
      </c>
      <c r="S1855" s="37" t="str">
        <f aca="false">IF($A1855="","",INT($A1855))</f>
        <v/>
      </c>
      <c r="T1855" s="35" t="str">
        <f aca="false">IF($A1855="","",IF(COUNTIFS($S$3:$S1855,$S1855)=1,1,0))</f>
        <v/>
      </c>
      <c r="U1855" s="37" t="str">
        <f aca="false">IF($T1855=1,$S1855,"")</f>
        <v/>
      </c>
    </row>
    <row r="1856" customFormat="false" ht="15" hidden="false" customHeight="false" outlineLevel="0" collapsed="false">
      <c r="M1856" s="35" t="str">
        <f aca="false">IF($A1856="","",HOUR($A1856))</f>
        <v/>
      </c>
      <c r="N1856" s="36" t="str">
        <f aca="false">IF($A1856="","",$I1856*$K1856)</f>
        <v/>
      </c>
      <c r="O1856" s="35" t="str">
        <f aca="false">IF(OR($A1856="",$C1856="U",$S1856&lt;&gt;Calc!$F$2),"",SUMIFS($I$3:$I$3002,$E$3:$E$3002,$E1856,$C$3:$C$3002,"&lt;&gt;U",$S$3:$S$3002,Calc!$F$2))</f>
        <v/>
      </c>
      <c r="P1856" s="35" t="str">
        <f aca="false">IF(OR($A1856="",$C1856="U",$S1856&lt;&gt;Calc!$F$2),"",SUMIFS($N$3:$N$3002,$E$3:$E$3002,$E1856,$C$3:$C$3002,"&lt;&gt;U",$S$3:$S$3002,Calc!$F$2))</f>
        <v/>
      </c>
      <c r="Q1856" s="35" t="str">
        <f aca="false">IF(OR($A1856="",$C1856="U",$S1856&lt;&gt;Calc!$F$2),"",IF(COUNTIFS($E$3:$E1856,$E1856,$C$3:$C1856,"&lt;&gt;U",$S$3:$S1856,Calc!$F$2)=1,1,0))</f>
        <v/>
      </c>
      <c r="R1856" s="35" t="str">
        <f aca="false">IF($Q1856=1,$O1856-ROW()/100000,"")</f>
        <v/>
      </c>
      <c r="S1856" s="37" t="str">
        <f aca="false">IF($A1856="","",INT($A1856))</f>
        <v/>
      </c>
      <c r="T1856" s="35" t="str">
        <f aca="false">IF($A1856="","",IF(COUNTIFS($S$3:$S1856,$S1856)=1,1,0))</f>
        <v/>
      </c>
      <c r="U1856" s="37" t="str">
        <f aca="false">IF($T1856=1,$S1856,"")</f>
        <v/>
      </c>
    </row>
    <row r="1857" customFormat="false" ht="15" hidden="false" customHeight="false" outlineLevel="0" collapsed="false">
      <c r="M1857" s="35" t="str">
        <f aca="false">IF($A1857="","",HOUR($A1857))</f>
        <v/>
      </c>
      <c r="N1857" s="36" t="str">
        <f aca="false">IF($A1857="","",$I1857*$K1857)</f>
        <v/>
      </c>
      <c r="O1857" s="35" t="str">
        <f aca="false">IF(OR($A1857="",$C1857="U",$S1857&lt;&gt;Calc!$F$2),"",SUMIFS($I$3:$I$3002,$E$3:$E$3002,$E1857,$C$3:$C$3002,"&lt;&gt;U",$S$3:$S$3002,Calc!$F$2))</f>
        <v/>
      </c>
      <c r="P1857" s="35" t="str">
        <f aca="false">IF(OR($A1857="",$C1857="U",$S1857&lt;&gt;Calc!$F$2),"",SUMIFS($N$3:$N$3002,$E$3:$E$3002,$E1857,$C$3:$C$3002,"&lt;&gt;U",$S$3:$S$3002,Calc!$F$2))</f>
        <v/>
      </c>
      <c r="Q1857" s="35" t="str">
        <f aca="false">IF(OR($A1857="",$C1857="U",$S1857&lt;&gt;Calc!$F$2),"",IF(COUNTIFS($E$3:$E1857,$E1857,$C$3:$C1857,"&lt;&gt;U",$S$3:$S1857,Calc!$F$2)=1,1,0))</f>
        <v/>
      </c>
      <c r="R1857" s="35" t="str">
        <f aca="false">IF($Q1857=1,$O1857-ROW()/100000,"")</f>
        <v/>
      </c>
      <c r="S1857" s="37" t="str">
        <f aca="false">IF($A1857="","",INT($A1857))</f>
        <v/>
      </c>
      <c r="T1857" s="35" t="str">
        <f aca="false">IF($A1857="","",IF(COUNTIFS($S$3:$S1857,$S1857)=1,1,0))</f>
        <v/>
      </c>
      <c r="U1857" s="37" t="str">
        <f aca="false">IF($T1857=1,$S1857,"")</f>
        <v/>
      </c>
    </row>
    <row r="1858" customFormat="false" ht="15" hidden="false" customHeight="false" outlineLevel="0" collapsed="false">
      <c r="M1858" s="35" t="str">
        <f aca="false">IF($A1858="","",HOUR($A1858))</f>
        <v/>
      </c>
      <c r="N1858" s="36" t="str">
        <f aca="false">IF($A1858="","",$I1858*$K1858)</f>
        <v/>
      </c>
      <c r="O1858" s="35" t="str">
        <f aca="false">IF(OR($A1858="",$C1858="U",$S1858&lt;&gt;Calc!$F$2),"",SUMIFS($I$3:$I$3002,$E$3:$E$3002,$E1858,$C$3:$C$3002,"&lt;&gt;U",$S$3:$S$3002,Calc!$F$2))</f>
        <v/>
      </c>
      <c r="P1858" s="35" t="str">
        <f aca="false">IF(OR($A1858="",$C1858="U",$S1858&lt;&gt;Calc!$F$2),"",SUMIFS($N$3:$N$3002,$E$3:$E$3002,$E1858,$C$3:$C$3002,"&lt;&gt;U",$S$3:$S$3002,Calc!$F$2))</f>
        <v/>
      </c>
      <c r="Q1858" s="35" t="str">
        <f aca="false">IF(OR($A1858="",$C1858="U",$S1858&lt;&gt;Calc!$F$2),"",IF(COUNTIFS($E$3:$E1858,$E1858,$C$3:$C1858,"&lt;&gt;U",$S$3:$S1858,Calc!$F$2)=1,1,0))</f>
        <v/>
      </c>
      <c r="R1858" s="35" t="str">
        <f aca="false">IF($Q1858=1,$O1858-ROW()/100000,"")</f>
        <v/>
      </c>
      <c r="S1858" s="37" t="str">
        <f aca="false">IF($A1858="","",INT($A1858))</f>
        <v/>
      </c>
      <c r="T1858" s="35" t="str">
        <f aca="false">IF($A1858="","",IF(COUNTIFS($S$3:$S1858,$S1858)=1,1,0))</f>
        <v/>
      </c>
      <c r="U1858" s="37" t="str">
        <f aca="false">IF($T1858=1,$S1858,"")</f>
        <v/>
      </c>
    </row>
    <row r="1859" customFormat="false" ht="15" hidden="false" customHeight="false" outlineLevel="0" collapsed="false">
      <c r="M1859" s="35" t="str">
        <f aca="false">IF($A1859="","",HOUR($A1859))</f>
        <v/>
      </c>
      <c r="N1859" s="36" t="str">
        <f aca="false">IF($A1859="","",$I1859*$K1859)</f>
        <v/>
      </c>
      <c r="O1859" s="35" t="str">
        <f aca="false">IF(OR($A1859="",$C1859="U",$S1859&lt;&gt;Calc!$F$2),"",SUMIFS($I$3:$I$3002,$E$3:$E$3002,$E1859,$C$3:$C$3002,"&lt;&gt;U",$S$3:$S$3002,Calc!$F$2))</f>
        <v/>
      </c>
      <c r="P1859" s="35" t="str">
        <f aca="false">IF(OR($A1859="",$C1859="U",$S1859&lt;&gt;Calc!$F$2),"",SUMIFS($N$3:$N$3002,$E$3:$E$3002,$E1859,$C$3:$C$3002,"&lt;&gt;U",$S$3:$S$3002,Calc!$F$2))</f>
        <v/>
      </c>
      <c r="Q1859" s="35" t="str">
        <f aca="false">IF(OR($A1859="",$C1859="U",$S1859&lt;&gt;Calc!$F$2),"",IF(COUNTIFS($E$3:$E1859,$E1859,$C$3:$C1859,"&lt;&gt;U",$S$3:$S1859,Calc!$F$2)=1,1,0))</f>
        <v/>
      </c>
      <c r="R1859" s="35" t="str">
        <f aca="false">IF($Q1859=1,$O1859-ROW()/100000,"")</f>
        <v/>
      </c>
      <c r="S1859" s="37" t="str">
        <f aca="false">IF($A1859="","",INT($A1859))</f>
        <v/>
      </c>
      <c r="T1859" s="35" t="str">
        <f aca="false">IF($A1859="","",IF(COUNTIFS($S$3:$S1859,$S1859)=1,1,0))</f>
        <v/>
      </c>
      <c r="U1859" s="37" t="str">
        <f aca="false">IF($T1859=1,$S1859,"")</f>
        <v/>
      </c>
    </row>
    <row r="1860" customFormat="false" ht="15" hidden="false" customHeight="false" outlineLevel="0" collapsed="false">
      <c r="M1860" s="35" t="str">
        <f aca="false">IF($A1860="","",HOUR($A1860))</f>
        <v/>
      </c>
      <c r="N1860" s="36" t="str">
        <f aca="false">IF($A1860="","",$I1860*$K1860)</f>
        <v/>
      </c>
      <c r="O1860" s="35" t="str">
        <f aca="false">IF(OR($A1860="",$C1860="U",$S1860&lt;&gt;Calc!$F$2),"",SUMIFS($I$3:$I$3002,$E$3:$E$3002,$E1860,$C$3:$C$3002,"&lt;&gt;U",$S$3:$S$3002,Calc!$F$2))</f>
        <v/>
      </c>
      <c r="P1860" s="35" t="str">
        <f aca="false">IF(OR($A1860="",$C1860="U",$S1860&lt;&gt;Calc!$F$2),"",SUMIFS($N$3:$N$3002,$E$3:$E$3002,$E1860,$C$3:$C$3002,"&lt;&gt;U",$S$3:$S$3002,Calc!$F$2))</f>
        <v/>
      </c>
      <c r="Q1860" s="35" t="str">
        <f aca="false">IF(OR($A1860="",$C1860="U",$S1860&lt;&gt;Calc!$F$2),"",IF(COUNTIFS($E$3:$E1860,$E1860,$C$3:$C1860,"&lt;&gt;U",$S$3:$S1860,Calc!$F$2)=1,1,0))</f>
        <v/>
      </c>
      <c r="R1860" s="35" t="str">
        <f aca="false">IF($Q1860=1,$O1860-ROW()/100000,"")</f>
        <v/>
      </c>
      <c r="S1860" s="37" t="str">
        <f aca="false">IF($A1860="","",INT($A1860))</f>
        <v/>
      </c>
      <c r="T1860" s="35" t="str">
        <f aca="false">IF($A1860="","",IF(COUNTIFS($S$3:$S1860,$S1860)=1,1,0))</f>
        <v/>
      </c>
      <c r="U1860" s="37" t="str">
        <f aca="false">IF($T1860=1,$S1860,"")</f>
        <v/>
      </c>
    </row>
    <row r="1861" customFormat="false" ht="15" hidden="false" customHeight="false" outlineLevel="0" collapsed="false">
      <c r="M1861" s="35" t="str">
        <f aca="false">IF($A1861="","",HOUR($A1861))</f>
        <v/>
      </c>
      <c r="N1861" s="36" t="str">
        <f aca="false">IF($A1861="","",$I1861*$K1861)</f>
        <v/>
      </c>
      <c r="O1861" s="35" t="str">
        <f aca="false">IF(OR($A1861="",$C1861="U",$S1861&lt;&gt;Calc!$F$2),"",SUMIFS($I$3:$I$3002,$E$3:$E$3002,$E1861,$C$3:$C$3002,"&lt;&gt;U",$S$3:$S$3002,Calc!$F$2))</f>
        <v/>
      </c>
      <c r="P1861" s="35" t="str">
        <f aca="false">IF(OR($A1861="",$C1861="U",$S1861&lt;&gt;Calc!$F$2),"",SUMIFS($N$3:$N$3002,$E$3:$E$3002,$E1861,$C$3:$C$3002,"&lt;&gt;U",$S$3:$S$3002,Calc!$F$2))</f>
        <v/>
      </c>
      <c r="Q1861" s="35" t="str">
        <f aca="false">IF(OR($A1861="",$C1861="U",$S1861&lt;&gt;Calc!$F$2),"",IF(COUNTIFS($E$3:$E1861,$E1861,$C$3:$C1861,"&lt;&gt;U",$S$3:$S1861,Calc!$F$2)=1,1,0))</f>
        <v/>
      </c>
      <c r="R1861" s="35" t="str">
        <f aca="false">IF($Q1861=1,$O1861-ROW()/100000,"")</f>
        <v/>
      </c>
      <c r="S1861" s="37" t="str">
        <f aca="false">IF($A1861="","",INT($A1861))</f>
        <v/>
      </c>
      <c r="T1861" s="35" t="str">
        <f aca="false">IF($A1861="","",IF(COUNTIFS($S$3:$S1861,$S1861)=1,1,0))</f>
        <v/>
      </c>
      <c r="U1861" s="37" t="str">
        <f aca="false">IF($T1861=1,$S1861,"")</f>
        <v/>
      </c>
    </row>
    <row r="1862" customFormat="false" ht="15" hidden="false" customHeight="false" outlineLevel="0" collapsed="false">
      <c r="M1862" s="35" t="str">
        <f aca="false">IF($A1862="","",HOUR($A1862))</f>
        <v/>
      </c>
      <c r="N1862" s="36" t="str">
        <f aca="false">IF($A1862="","",$I1862*$K1862)</f>
        <v/>
      </c>
      <c r="O1862" s="35" t="str">
        <f aca="false">IF(OR($A1862="",$C1862="U",$S1862&lt;&gt;Calc!$F$2),"",SUMIFS($I$3:$I$3002,$E$3:$E$3002,$E1862,$C$3:$C$3002,"&lt;&gt;U",$S$3:$S$3002,Calc!$F$2))</f>
        <v/>
      </c>
      <c r="P1862" s="35" t="str">
        <f aca="false">IF(OR($A1862="",$C1862="U",$S1862&lt;&gt;Calc!$F$2),"",SUMIFS($N$3:$N$3002,$E$3:$E$3002,$E1862,$C$3:$C$3002,"&lt;&gt;U",$S$3:$S$3002,Calc!$F$2))</f>
        <v/>
      </c>
      <c r="Q1862" s="35" t="str">
        <f aca="false">IF(OR($A1862="",$C1862="U",$S1862&lt;&gt;Calc!$F$2),"",IF(COUNTIFS($E$3:$E1862,$E1862,$C$3:$C1862,"&lt;&gt;U",$S$3:$S1862,Calc!$F$2)=1,1,0))</f>
        <v/>
      </c>
      <c r="R1862" s="35" t="str">
        <f aca="false">IF($Q1862=1,$O1862-ROW()/100000,"")</f>
        <v/>
      </c>
      <c r="S1862" s="37" t="str">
        <f aca="false">IF($A1862="","",INT($A1862))</f>
        <v/>
      </c>
      <c r="T1862" s="35" t="str">
        <f aca="false">IF($A1862="","",IF(COUNTIFS($S$3:$S1862,$S1862)=1,1,0))</f>
        <v/>
      </c>
      <c r="U1862" s="37" t="str">
        <f aca="false">IF($T1862=1,$S1862,"")</f>
        <v/>
      </c>
    </row>
    <row r="1863" customFormat="false" ht="15" hidden="false" customHeight="false" outlineLevel="0" collapsed="false">
      <c r="M1863" s="35" t="str">
        <f aca="false">IF($A1863="","",HOUR($A1863))</f>
        <v/>
      </c>
      <c r="N1863" s="36" t="str">
        <f aca="false">IF($A1863="","",$I1863*$K1863)</f>
        <v/>
      </c>
      <c r="O1863" s="35" t="str">
        <f aca="false">IF(OR($A1863="",$C1863="U",$S1863&lt;&gt;Calc!$F$2),"",SUMIFS($I$3:$I$3002,$E$3:$E$3002,$E1863,$C$3:$C$3002,"&lt;&gt;U",$S$3:$S$3002,Calc!$F$2))</f>
        <v/>
      </c>
      <c r="P1863" s="35" t="str">
        <f aca="false">IF(OR($A1863="",$C1863="U",$S1863&lt;&gt;Calc!$F$2),"",SUMIFS($N$3:$N$3002,$E$3:$E$3002,$E1863,$C$3:$C$3002,"&lt;&gt;U",$S$3:$S$3002,Calc!$F$2))</f>
        <v/>
      </c>
      <c r="Q1863" s="35" t="str">
        <f aca="false">IF(OR($A1863="",$C1863="U",$S1863&lt;&gt;Calc!$F$2),"",IF(COUNTIFS($E$3:$E1863,$E1863,$C$3:$C1863,"&lt;&gt;U",$S$3:$S1863,Calc!$F$2)=1,1,0))</f>
        <v/>
      </c>
      <c r="R1863" s="35" t="str">
        <f aca="false">IF($Q1863=1,$O1863-ROW()/100000,"")</f>
        <v/>
      </c>
      <c r="S1863" s="37" t="str">
        <f aca="false">IF($A1863="","",INT($A1863))</f>
        <v/>
      </c>
      <c r="T1863" s="35" t="str">
        <f aca="false">IF($A1863="","",IF(COUNTIFS($S$3:$S1863,$S1863)=1,1,0))</f>
        <v/>
      </c>
      <c r="U1863" s="37" t="str">
        <f aca="false">IF($T1863=1,$S1863,"")</f>
        <v/>
      </c>
    </row>
    <row r="1864" customFormat="false" ht="15" hidden="false" customHeight="false" outlineLevel="0" collapsed="false">
      <c r="M1864" s="35" t="str">
        <f aca="false">IF($A1864="","",HOUR($A1864))</f>
        <v/>
      </c>
      <c r="N1864" s="36" t="str">
        <f aca="false">IF($A1864="","",$I1864*$K1864)</f>
        <v/>
      </c>
      <c r="O1864" s="35" t="str">
        <f aca="false">IF(OR($A1864="",$C1864="U",$S1864&lt;&gt;Calc!$F$2),"",SUMIFS($I$3:$I$3002,$E$3:$E$3002,$E1864,$C$3:$C$3002,"&lt;&gt;U",$S$3:$S$3002,Calc!$F$2))</f>
        <v/>
      </c>
      <c r="P1864" s="35" t="str">
        <f aca="false">IF(OR($A1864="",$C1864="U",$S1864&lt;&gt;Calc!$F$2),"",SUMIFS($N$3:$N$3002,$E$3:$E$3002,$E1864,$C$3:$C$3002,"&lt;&gt;U",$S$3:$S$3002,Calc!$F$2))</f>
        <v/>
      </c>
      <c r="Q1864" s="35" t="str">
        <f aca="false">IF(OR($A1864="",$C1864="U",$S1864&lt;&gt;Calc!$F$2),"",IF(COUNTIFS($E$3:$E1864,$E1864,$C$3:$C1864,"&lt;&gt;U",$S$3:$S1864,Calc!$F$2)=1,1,0))</f>
        <v/>
      </c>
      <c r="R1864" s="35" t="str">
        <f aca="false">IF($Q1864=1,$O1864-ROW()/100000,"")</f>
        <v/>
      </c>
      <c r="S1864" s="37" t="str">
        <f aca="false">IF($A1864="","",INT($A1864))</f>
        <v/>
      </c>
      <c r="T1864" s="35" t="str">
        <f aca="false">IF($A1864="","",IF(COUNTIFS($S$3:$S1864,$S1864)=1,1,0))</f>
        <v/>
      </c>
      <c r="U1864" s="37" t="str">
        <f aca="false">IF($T1864=1,$S1864,"")</f>
        <v/>
      </c>
    </row>
    <row r="1865" customFormat="false" ht="15" hidden="false" customHeight="false" outlineLevel="0" collapsed="false">
      <c r="M1865" s="35" t="str">
        <f aca="false">IF($A1865="","",HOUR($A1865))</f>
        <v/>
      </c>
      <c r="N1865" s="36" t="str">
        <f aca="false">IF($A1865="","",$I1865*$K1865)</f>
        <v/>
      </c>
      <c r="O1865" s="35" t="str">
        <f aca="false">IF(OR($A1865="",$C1865="U",$S1865&lt;&gt;Calc!$F$2),"",SUMIFS($I$3:$I$3002,$E$3:$E$3002,$E1865,$C$3:$C$3002,"&lt;&gt;U",$S$3:$S$3002,Calc!$F$2))</f>
        <v/>
      </c>
      <c r="P1865" s="35" t="str">
        <f aca="false">IF(OR($A1865="",$C1865="U",$S1865&lt;&gt;Calc!$F$2),"",SUMIFS($N$3:$N$3002,$E$3:$E$3002,$E1865,$C$3:$C$3002,"&lt;&gt;U",$S$3:$S$3002,Calc!$F$2))</f>
        <v/>
      </c>
      <c r="Q1865" s="35" t="str">
        <f aca="false">IF(OR($A1865="",$C1865="U",$S1865&lt;&gt;Calc!$F$2),"",IF(COUNTIFS($E$3:$E1865,$E1865,$C$3:$C1865,"&lt;&gt;U",$S$3:$S1865,Calc!$F$2)=1,1,0))</f>
        <v/>
      </c>
      <c r="R1865" s="35" t="str">
        <f aca="false">IF($Q1865=1,$O1865-ROW()/100000,"")</f>
        <v/>
      </c>
      <c r="S1865" s="37" t="str">
        <f aca="false">IF($A1865="","",INT($A1865))</f>
        <v/>
      </c>
      <c r="T1865" s="35" t="str">
        <f aca="false">IF($A1865="","",IF(COUNTIFS($S$3:$S1865,$S1865)=1,1,0))</f>
        <v/>
      </c>
      <c r="U1865" s="37" t="str">
        <f aca="false">IF($T1865=1,$S1865,"")</f>
        <v/>
      </c>
    </row>
    <row r="1866" customFormat="false" ht="15" hidden="false" customHeight="false" outlineLevel="0" collapsed="false">
      <c r="M1866" s="35" t="str">
        <f aca="false">IF($A1866="","",HOUR($A1866))</f>
        <v/>
      </c>
      <c r="N1866" s="36" t="str">
        <f aca="false">IF($A1866="","",$I1866*$K1866)</f>
        <v/>
      </c>
      <c r="O1866" s="35" t="str">
        <f aca="false">IF(OR($A1866="",$C1866="U",$S1866&lt;&gt;Calc!$F$2),"",SUMIFS($I$3:$I$3002,$E$3:$E$3002,$E1866,$C$3:$C$3002,"&lt;&gt;U",$S$3:$S$3002,Calc!$F$2))</f>
        <v/>
      </c>
      <c r="P1866" s="35" t="str">
        <f aca="false">IF(OR($A1866="",$C1866="U",$S1866&lt;&gt;Calc!$F$2),"",SUMIFS($N$3:$N$3002,$E$3:$E$3002,$E1866,$C$3:$C$3002,"&lt;&gt;U",$S$3:$S$3002,Calc!$F$2))</f>
        <v/>
      </c>
      <c r="Q1866" s="35" t="str">
        <f aca="false">IF(OR($A1866="",$C1866="U",$S1866&lt;&gt;Calc!$F$2),"",IF(COUNTIFS($E$3:$E1866,$E1866,$C$3:$C1866,"&lt;&gt;U",$S$3:$S1866,Calc!$F$2)=1,1,0))</f>
        <v/>
      </c>
      <c r="R1866" s="35" t="str">
        <f aca="false">IF($Q1866=1,$O1866-ROW()/100000,"")</f>
        <v/>
      </c>
      <c r="S1866" s="37" t="str">
        <f aca="false">IF($A1866="","",INT($A1866))</f>
        <v/>
      </c>
      <c r="T1866" s="35" t="str">
        <f aca="false">IF($A1866="","",IF(COUNTIFS($S$3:$S1866,$S1866)=1,1,0))</f>
        <v/>
      </c>
      <c r="U1866" s="37" t="str">
        <f aca="false">IF($T1866=1,$S1866,"")</f>
        <v/>
      </c>
    </row>
    <row r="1867" customFormat="false" ht="15" hidden="false" customHeight="false" outlineLevel="0" collapsed="false">
      <c r="M1867" s="35" t="str">
        <f aca="false">IF($A1867="","",HOUR($A1867))</f>
        <v/>
      </c>
      <c r="N1867" s="36" t="str">
        <f aca="false">IF($A1867="","",$I1867*$K1867)</f>
        <v/>
      </c>
      <c r="O1867" s="35" t="str">
        <f aca="false">IF(OR($A1867="",$C1867="U",$S1867&lt;&gt;Calc!$F$2),"",SUMIFS($I$3:$I$3002,$E$3:$E$3002,$E1867,$C$3:$C$3002,"&lt;&gt;U",$S$3:$S$3002,Calc!$F$2))</f>
        <v/>
      </c>
      <c r="P1867" s="35" t="str">
        <f aca="false">IF(OR($A1867="",$C1867="U",$S1867&lt;&gt;Calc!$F$2),"",SUMIFS($N$3:$N$3002,$E$3:$E$3002,$E1867,$C$3:$C$3002,"&lt;&gt;U",$S$3:$S$3002,Calc!$F$2))</f>
        <v/>
      </c>
      <c r="Q1867" s="35" t="str">
        <f aca="false">IF(OR($A1867="",$C1867="U",$S1867&lt;&gt;Calc!$F$2),"",IF(COUNTIFS($E$3:$E1867,$E1867,$C$3:$C1867,"&lt;&gt;U",$S$3:$S1867,Calc!$F$2)=1,1,0))</f>
        <v/>
      </c>
      <c r="R1867" s="35" t="str">
        <f aca="false">IF($Q1867=1,$O1867-ROW()/100000,"")</f>
        <v/>
      </c>
      <c r="S1867" s="37" t="str">
        <f aca="false">IF($A1867="","",INT($A1867))</f>
        <v/>
      </c>
      <c r="T1867" s="35" t="str">
        <f aca="false">IF($A1867="","",IF(COUNTIFS($S$3:$S1867,$S1867)=1,1,0))</f>
        <v/>
      </c>
      <c r="U1867" s="37" t="str">
        <f aca="false">IF($T1867=1,$S1867,"")</f>
        <v/>
      </c>
    </row>
    <row r="1868" customFormat="false" ht="15" hidden="false" customHeight="false" outlineLevel="0" collapsed="false">
      <c r="M1868" s="35" t="str">
        <f aca="false">IF($A1868="","",HOUR($A1868))</f>
        <v/>
      </c>
      <c r="N1868" s="36" t="str">
        <f aca="false">IF($A1868="","",$I1868*$K1868)</f>
        <v/>
      </c>
      <c r="O1868" s="35" t="str">
        <f aca="false">IF(OR($A1868="",$C1868="U",$S1868&lt;&gt;Calc!$F$2),"",SUMIFS($I$3:$I$3002,$E$3:$E$3002,$E1868,$C$3:$C$3002,"&lt;&gt;U",$S$3:$S$3002,Calc!$F$2))</f>
        <v/>
      </c>
      <c r="P1868" s="35" t="str">
        <f aca="false">IF(OR($A1868="",$C1868="U",$S1868&lt;&gt;Calc!$F$2),"",SUMIFS($N$3:$N$3002,$E$3:$E$3002,$E1868,$C$3:$C$3002,"&lt;&gt;U",$S$3:$S$3002,Calc!$F$2))</f>
        <v/>
      </c>
      <c r="Q1868" s="35" t="str">
        <f aca="false">IF(OR($A1868="",$C1868="U",$S1868&lt;&gt;Calc!$F$2),"",IF(COUNTIFS($E$3:$E1868,$E1868,$C$3:$C1868,"&lt;&gt;U",$S$3:$S1868,Calc!$F$2)=1,1,0))</f>
        <v/>
      </c>
      <c r="R1868" s="35" t="str">
        <f aca="false">IF($Q1868=1,$O1868-ROW()/100000,"")</f>
        <v/>
      </c>
      <c r="S1868" s="37" t="str">
        <f aca="false">IF($A1868="","",INT($A1868))</f>
        <v/>
      </c>
      <c r="T1868" s="35" t="str">
        <f aca="false">IF($A1868="","",IF(COUNTIFS($S$3:$S1868,$S1868)=1,1,0))</f>
        <v/>
      </c>
      <c r="U1868" s="37" t="str">
        <f aca="false">IF($T1868=1,$S1868,"")</f>
        <v/>
      </c>
    </row>
    <row r="1869" customFormat="false" ht="15" hidden="false" customHeight="false" outlineLevel="0" collapsed="false">
      <c r="M1869" s="35" t="str">
        <f aca="false">IF($A1869="","",HOUR($A1869))</f>
        <v/>
      </c>
      <c r="N1869" s="36" t="str">
        <f aca="false">IF($A1869="","",$I1869*$K1869)</f>
        <v/>
      </c>
      <c r="O1869" s="35" t="str">
        <f aca="false">IF(OR($A1869="",$C1869="U",$S1869&lt;&gt;Calc!$F$2),"",SUMIFS($I$3:$I$3002,$E$3:$E$3002,$E1869,$C$3:$C$3002,"&lt;&gt;U",$S$3:$S$3002,Calc!$F$2))</f>
        <v/>
      </c>
      <c r="P1869" s="35" t="str">
        <f aca="false">IF(OR($A1869="",$C1869="U",$S1869&lt;&gt;Calc!$F$2),"",SUMIFS($N$3:$N$3002,$E$3:$E$3002,$E1869,$C$3:$C$3002,"&lt;&gt;U",$S$3:$S$3002,Calc!$F$2))</f>
        <v/>
      </c>
      <c r="Q1869" s="35" t="str">
        <f aca="false">IF(OR($A1869="",$C1869="U",$S1869&lt;&gt;Calc!$F$2),"",IF(COUNTIFS($E$3:$E1869,$E1869,$C$3:$C1869,"&lt;&gt;U",$S$3:$S1869,Calc!$F$2)=1,1,0))</f>
        <v/>
      </c>
      <c r="R1869" s="35" t="str">
        <f aca="false">IF($Q1869=1,$O1869-ROW()/100000,"")</f>
        <v/>
      </c>
      <c r="S1869" s="37" t="str">
        <f aca="false">IF($A1869="","",INT($A1869))</f>
        <v/>
      </c>
      <c r="T1869" s="35" t="str">
        <f aca="false">IF($A1869="","",IF(COUNTIFS($S$3:$S1869,$S1869)=1,1,0))</f>
        <v/>
      </c>
      <c r="U1869" s="37" t="str">
        <f aca="false">IF($T1869=1,$S1869,"")</f>
        <v/>
      </c>
    </row>
    <row r="1870" customFormat="false" ht="15" hidden="false" customHeight="false" outlineLevel="0" collapsed="false">
      <c r="M1870" s="35" t="str">
        <f aca="false">IF($A1870="","",HOUR($A1870))</f>
        <v/>
      </c>
      <c r="N1870" s="36" t="str">
        <f aca="false">IF($A1870="","",$I1870*$K1870)</f>
        <v/>
      </c>
      <c r="O1870" s="35" t="str">
        <f aca="false">IF(OR($A1870="",$C1870="U",$S1870&lt;&gt;Calc!$F$2),"",SUMIFS($I$3:$I$3002,$E$3:$E$3002,$E1870,$C$3:$C$3002,"&lt;&gt;U",$S$3:$S$3002,Calc!$F$2))</f>
        <v/>
      </c>
      <c r="P1870" s="35" t="str">
        <f aca="false">IF(OR($A1870="",$C1870="U",$S1870&lt;&gt;Calc!$F$2),"",SUMIFS($N$3:$N$3002,$E$3:$E$3002,$E1870,$C$3:$C$3002,"&lt;&gt;U",$S$3:$S$3002,Calc!$F$2))</f>
        <v/>
      </c>
      <c r="Q1870" s="35" t="str">
        <f aca="false">IF(OR($A1870="",$C1870="U",$S1870&lt;&gt;Calc!$F$2),"",IF(COUNTIFS($E$3:$E1870,$E1870,$C$3:$C1870,"&lt;&gt;U",$S$3:$S1870,Calc!$F$2)=1,1,0))</f>
        <v/>
      </c>
      <c r="R1870" s="35" t="str">
        <f aca="false">IF($Q1870=1,$O1870-ROW()/100000,"")</f>
        <v/>
      </c>
      <c r="S1870" s="37" t="str">
        <f aca="false">IF($A1870="","",INT($A1870))</f>
        <v/>
      </c>
      <c r="T1870" s="35" t="str">
        <f aca="false">IF($A1870="","",IF(COUNTIFS($S$3:$S1870,$S1870)=1,1,0))</f>
        <v/>
      </c>
      <c r="U1870" s="37" t="str">
        <f aca="false">IF($T1870=1,$S1870,"")</f>
        <v/>
      </c>
    </row>
    <row r="1871" customFormat="false" ht="15" hidden="false" customHeight="false" outlineLevel="0" collapsed="false">
      <c r="M1871" s="35" t="str">
        <f aca="false">IF($A1871="","",HOUR($A1871))</f>
        <v/>
      </c>
      <c r="N1871" s="36" t="str">
        <f aca="false">IF($A1871="","",$I1871*$K1871)</f>
        <v/>
      </c>
      <c r="O1871" s="35" t="str">
        <f aca="false">IF(OR($A1871="",$C1871="U",$S1871&lt;&gt;Calc!$F$2),"",SUMIFS($I$3:$I$3002,$E$3:$E$3002,$E1871,$C$3:$C$3002,"&lt;&gt;U",$S$3:$S$3002,Calc!$F$2))</f>
        <v/>
      </c>
      <c r="P1871" s="35" t="str">
        <f aca="false">IF(OR($A1871="",$C1871="U",$S1871&lt;&gt;Calc!$F$2),"",SUMIFS($N$3:$N$3002,$E$3:$E$3002,$E1871,$C$3:$C$3002,"&lt;&gt;U",$S$3:$S$3002,Calc!$F$2))</f>
        <v/>
      </c>
      <c r="Q1871" s="35" t="str">
        <f aca="false">IF(OR($A1871="",$C1871="U",$S1871&lt;&gt;Calc!$F$2),"",IF(COUNTIFS($E$3:$E1871,$E1871,$C$3:$C1871,"&lt;&gt;U",$S$3:$S1871,Calc!$F$2)=1,1,0))</f>
        <v/>
      </c>
      <c r="R1871" s="35" t="str">
        <f aca="false">IF($Q1871=1,$O1871-ROW()/100000,"")</f>
        <v/>
      </c>
      <c r="S1871" s="37" t="str">
        <f aca="false">IF($A1871="","",INT($A1871))</f>
        <v/>
      </c>
      <c r="T1871" s="35" t="str">
        <f aca="false">IF($A1871="","",IF(COUNTIFS($S$3:$S1871,$S1871)=1,1,0))</f>
        <v/>
      </c>
      <c r="U1871" s="37" t="str">
        <f aca="false">IF($T1871=1,$S1871,"")</f>
        <v/>
      </c>
    </row>
    <row r="1872" customFormat="false" ht="15" hidden="false" customHeight="false" outlineLevel="0" collapsed="false">
      <c r="M1872" s="35" t="str">
        <f aca="false">IF($A1872="","",HOUR($A1872))</f>
        <v/>
      </c>
      <c r="N1872" s="36" t="str">
        <f aca="false">IF($A1872="","",$I1872*$K1872)</f>
        <v/>
      </c>
      <c r="O1872" s="35" t="str">
        <f aca="false">IF(OR($A1872="",$C1872="U",$S1872&lt;&gt;Calc!$F$2),"",SUMIFS($I$3:$I$3002,$E$3:$E$3002,$E1872,$C$3:$C$3002,"&lt;&gt;U",$S$3:$S$3002,Calc!$F$2))</f>
        <v/>
      </c>
      <c r="P1872" s="35" t="str">
        <f aca="false">IF(OR($A1872="",$C1872="U",$S1872&lt;&gt;Calc!$F$2),"",SUMIFS($N$3:$N$3002,$E$3:$E$3002,$E1872,$C$3:$C$3002,"&lt;&gt;U",$S$3:$S$3002,Calc!$F$2))</f>
        <v/>
      </c>
      <c r="Q1872" s="35" t="str">
        <f aca="false">IF(OR($A1872="",$C1872="U",$S1872&lt;&gt;Calc!$F$2),"",IF(COUNTIFS($E$3:$E1872,$E1872,$C$3:$C1872,"&lt;&gt;U",$S$3:$S1872,Calc!$F$2)=1,1,0))</f>
        <v/>
      </c>
      <c r="R1872" s="35" t="str">
        <f aca="false">IF($Q1872=1,$O1872-ROW()/100000,"")</f>
        <v/>
      </c>
      <c r="S1872" s="37" t="str">
        <f aca="false">IF($A1872="","",INT($A1872))</f>
        <v/>
      </c>
      <c r="T1872" s="35" t="str">
        <f aca="false">IF($A1872="","",IF(COUNTIFS($S$3:$S1872,$S1872)=1,1,0))</f>
        <v/>
      </c>
      <c r="U1872" s="37" t="str">
        <f aca="false">IF($T1872=1,$S1872,"")</f>
        <v/>
      </c>
    </row>
    <row r="1873" customFormat="false" ht="15" hidden="false" customHeight="false" outlineLevel="0" collapsed="false">
      <c r="M1873" s="35" t="str">
        <f aca="false">IF($A1873="","",HOUR($A1873))</f>
        <v/>
      </c>
      <c r="N1873" s="36" t="str">
        <f aca="false">IF($A1873="","",$I1873*$K1873)</f>
        <v/>
      </c>
      <c r="O1873" s="35" t="str">
        <f aca="false">IF(OR($A1873="",$C1873="U",$S1873&lt;&gt;Calc!$F$2),"",SUMIFS($I$3:$I$3002,$E$3:$E$3002,$E1873,$C$3:$C$3002,"&lt;&gt;U",$S$3:$S$3002,Calc!$F$2))</f>
        <v/>
      </c>
      <c r="P1873" s="35" t="str">
        <f aca="false">IF(OR($A1873="",$C1873="U",$S1873&lt;&gt;Calc!$F$2),"",SUMIFS($N$3:$N$3002,$E$3:$E$3002,$E1873,$C$3:$C$3002,"&lt;&gt;U",$S$3:$S$3002,Calc!$F$2))</f>
        <v/>
      </c>
      <c r="Q1873" s="35" t="str">
        <f aca="false">IF(OR($A1873="",$C1873="U",$S1873&lt;&gt;Calc!$F$2),"",IF(COUNTIFS($E$3:$E1873,$E1873,$C$3:$C1873,"&lt;&gt;U",$S$3:$S1873,Calc!$F$2)=1,1,0))</f>
        <v/>
      </c>
      <c r="R1873" s="35" t="str">
        <f aca="false">IF($Q1873=1,$O1873-ROW()/100000,"")</f>
        <v/>
      </c>
      <c r="S1873" s="37" t="str">
        <f aca="false">IF($A1873="","",INT($A1873))</f>
        <v/>
      </c>
      <c r="T1873" s="35" t="str">
        <f aca="false">IF($A1873="","",IF(COUNTIFS($S$3:$S1873,$S1873)=1,1,0))</f>
        <v/>
      </c>
      <c r="U1873" s="37" t="str">
        <f aca="false">IF($T1873=1,$S1873,"")</f>
        <v/>
      </c>
    </row>
    <row r="1874" customFormat="false" ht="15" hidden="false" customHeight="false" outlineLevel="0" collapsed="false">
      <c r="M1874" s="35" t="str">
        <f aca="false">IF($A1874="","",HOUR($A1874))</f>
        <v/>
      </c>
      <c r="N1874" s="36" t="str">
        <f aca="false">IF($A1874="","",$I1874*$K1874)</f>
        <v/>
      </c>
      <c r="O1874" s="35" t="str">
        <f aca="false">IF(OR($A1874="",$C1874="U",$S1874&lt;&gt;Calc!$F$2),"",SUMIFS($I$3:$I$3002,$E$3:$E$3002,$E1874,$C$3:$C$3002,"&lt;&gt;U",$S$3:$S$3002,Calc!$F$2))</f>
        <v/>
      </c>
      <c r="P1874" s="35" t="str">
        <f aca="false">IF(OR($A1874="",$C1874="U",$S1874&lt;&gt;Calc!$F$2),"",SUMIFS($N$3:$N$3002,$E$3:$E$3002,$E1874,$C$3:$C$3002,"&lt;&gt;U",$S$3:$S$3002,Calc!$F$2))</f>
        <v/>
      </c>
      <c r="Q1874" s="35" t="str">
        <f aca="false">IF(OR($A1874="",$C1874="U",$S1874&lt;&gt;Calc!$F$2),"",IF(COUNTIFS($E$3:$E1874,$E1874,$C$3:$C1874,"&lt;&gt;U",$S$3:$S1874,Calc!$F$2)=1,1,0))</f>
        <v/>
      </c>
      <c r="R1874" s="35" t="str">
        <f aca="false">IF($Q1874=1,$O1874-ROW()/100000,"")</f>
        <v/>
      </c>
      <c r="S1874" s="37" t="str">
        <f aca="false">IF($A1874="","",INT($A1874))</f>
        <v/>
      </c>
      <c r="T1874" s="35" t="str">
        <f aca="false">IF($A1874="","",IF(COUNTIFS($S$3:$S1874,$S1874)=1,1,0))</f>
        <v/>
      </c>
      <c r="U1874" s="37" t="str">
        <f aca="false">IF($T1874=1,$S1874,"")</f>
        <v/>
      </c>
    </row>
    <row r="1875" customFormat="false" ht="15" hidden="false" customHeight="false" outlineLevel="0" collapsed="false">
      <c r="M1875" s="35" t="str">
        <f aca="false">IF($A1875="","",HOUR($A1875))</f>
        <v/>
      </c>
      <c r="N1875" s="36" t="str">
        <f aca="false">IF($A1875="","",$I1875*$K1875)</f>
        <v/>
      </c>
      <c r="O1875" s="35" t="str">
        <f aca="false">IF(OR($A1875="",$C1875="U",$S1875&lt;&gt;Calc!$F$2),"",SUMIFS($I$3:$I$3002,$E$3:$E$3002,$E1875,$C$3:$C$3002,"&lt;&gt;U",$S$3:$S$3002,Calc!$F$2))</f>
        <v/>
      </c>
      <c r="P1875" s="35" t="str">
        <f aca="false">IF(OR($A1875="",$C1875="U",$S1875&lt;&gt;Calc!$F$2),"",SUMIFS($N$3:$N$3002,$E$3:$E$3002,$E1875,$C$3:$C$3002,"&lt;&gt;U",$S$3:$S$3002,Calc!$F$2))</f>
        <v/>
      </c>
      <c r="Q1875" s="35" t="str">
        <f aca="false">IF(OR($A1875="",$C1875="U",$S1875&lt;&gt;Calc!$F$2),"",IF(COUNTIFS($E$3:$E1875,$E1875,$C$3:$C1875,"&lt;&gt;U",$S$3:$S1875,Calc!$F$2)=1,1,0))</f>
        <v/>
      </c>
      <c r="R1875" s="35" t="str">
        <f aca="false">IF($Q1875=1,$O1875-ROW()/100000,"")</f>
        <v/>
      </c>
      <c r="S1875" s="37" t="str">
        <f aca="false">IF($A1875="","",INT($A1875))</f>
        <v/>
      </c>
      <c r="T1875" s="35" t="str">
        <f aca="false">IF($A1875="","",IF(COUNTIFS($S$3:$S1875,$S1875)=1,1,0))</f>
        <v/>
      </c>
      <c r="U1875" s="37" t="str">
        <f aca="false">IF($T1875=1,$S1875,"")</f>
        <v/>
      </c>
    </row>
    <row r="1876" customFormat="false" ht="15" hidden="false" customHeight="false" outlineLevel="0" collapsed="false">
      <c r="M1876" s="35" t="str">
        <f aca="false">IF($A1876="","",HOUR($A1876))</f>
        <v/>
      </c>
      <c r="N1876" s="36" t="str">
        <f aca="false">IF($A1876="","",$I1876*$K1876)</f>
        <v/>
      </c>
      <c r="O1876" s="35" t="str">
        <f aca="false">IF(OR($A1876="",$C1876="U",$S1876&lt;&gt;Calc!$F$2),"",SUMIFS($I$3:$I$3002,$E$3:$E$3002,$E1876,$C$3:$C$3002,"&lt;&gt;U",$S$3:$S$3002,Calc!$F$2))</f>
        <v/>
      </c>
      <c r="P1876" s="35" t="str">
        <f aca="false">IF(OR($A1876="",$C1876="U",$S1876&lt;&gt;Calc!$F$2),"",SUMIFS($N$3:$N$3002,$E$3:$E$3002,$E1876,$C$3:$C$3002,"&lt;&gt;U",$S$3:$S$3002,Calc!$F$2))</f>
        <v/>
      </c>
      <c r="Q1876" s="35" t="str">
        <f aca="false">IF(OR($A1876="",$C1876="U",$S1876&lt;&gt;Calc!$F$2),"",IF(COUNTIFS($E$3:$E1876,$E1876,$C$3:$C1876,"&lt;&gt;U",$S$3:$S1876,Calc!$F$2)=1,1,0))</f>
        <v/>
      </c>
      <c r="R1876" s="35" t="str">
        <f aca="false">IF($Q1876=1,$O1876-ROW()/100000,"")</f>
        <v/>
      </c>
      <c r="S1876" s="37" t="str">
        <f aca="false">IF($A1876="","",INT($A1876))</f>
        <v/>
      </c>
      <c r="T1876" s="35" t="str">
        <f aca="false">IF($A1876="","",IF(COUNTIFS($S$3:$S1876,$S1876)=1,1,0))</f>
        <v/>
      </c>
      <c r="U1876" s="37" t="str">
        <f aca="false">IF($T1876=1,$S1876,"")</f>
        <v/>
      </c>
    </row>
    <row r="1877" customFormat="false" ht="15" hidden="false" customHeight="false" outlineLevel="0" collapsed="false">
      <c r="M1877" s="35" t="str">
        <f aca="false">IF($A1877="","",HOUR($A1877))</f>
        <v/>
      </c>
      <c r="N1877" s="36" t="str">
        <f aca="false">IF($A1877="","",$I1877*$K1877)</f>
        <v/>
      </c>
      <c r="O1877" s="35" t="str">
        <f aca="false">IF(OR($A1877="",$C1877="U",$S1877&lt;&gt;Calc!$F$2),"",SUMIFS($I$3:$I$3002,$E$3:$E$3002,$E1877,$C$3:$C$3002,"&lt;&gt;U",$S$3:$S$3002,Calc!$F$2))</f>
        <v/>
      </c>
      <c r="P1877" s="35" t="str">
        <f aca="false">IF(OR($A1877="",$C1877="U",$S1877&lt;&gt;Calc!$F$2),"",SUMIFS($N$3:$N$3002,$E$3:$E$3002,$E1877,$C$3:$C$3002,"&lt;&gt;U",$S$3:$S$3002,Calc!$F$2))</f>
        <v/>
      </c>
      <c r="Q1877" s="35" t="str">
        <f aca="false">IF(OR($A1877="",$C1877="U",$S1877&lt;&gt;Calc!$F$2),"",IF(COUNTIFS($E$3:$E1877,$E1877,$C$3:$C1877,"&lt;&gt;U",$S$3:$S1877,Calc!$F$2)=1,1,0))</f>
        <v/>
      </c>
      <c r="R1877" s="35" t="str">
        <f aca="false">IF($Q1877=1,$O1877-ROW()/100000,"")</f>
        <v/>
      </c>
      <c r="S1877" s="37" t="str">
        <f aca="false">IF($A1877="","",INT($A1877))</f>
        <v/>
      </c>
      <c r="T1877" s="35" t="str">
        <f aca="false">IF($A1877="","",IF(COUNTIFS($S$3:$S1877,$S1877)=1,1,0))</f>
        <v/>
      </c>
      <c r="U1877" s="37" t="str">
        <f aca="false">IF($T1877=1,$S1877,"")</f>
        <v/>
      </c>
    </row>
    <row r="1878" customFormat="false" ht="15" hidden="false" customHeight="false" outlineLevel="0" collapsed="false">
      <c r="M1878" s="35" t="str">
        <f aca="false">IF($A1878="","",HOUR($A1878))</f>
        <v/>
      </c>
      <c r="N1878" s="36" t="str">
        <f aca="false">IF($A1878="","",$I1878*$K1878)</f>
        <v/>
      </c>
      <c r="O1878" s="35" t="str">
        <f aca="false">IF(OR($A1878="",$C1878="U",$S1878&lt;&gt;Calc!$F$2),"",SUMIFS($I$3:$I$3002,$E$3:$E$3002,$E1878,$C$3:$C$3002,"&lt;&gt;U",$S$3:$S$3002,Calc!$F$2))</f>
        <v/>
      </c>
      <c r="P1878" s="35" t="str">
        <f aca="false">IF(OR($A1878="",$C1878="U",$S1878&lt;&gt;Calc!$F$2),"",SUMIFS($N$3:$N$3002,$E$3:$E$3002,$E1878,$C$3:$C$3002,"&lt;&gt;U",$S$3:$S$3002,Calc!$F$2))</f>
        <v/>
      </c>
      <c r="Q1878" s="35" t="str">
        <f aca="false">IF(OR($A1878="",$C1878="U",$S1878&lt;&gt;Calc!$F$2),"",IF(COUNTIFS($E$3:$E1878,$E1878,$C$3:$C1878,"&lt;&gt;U",$S$3:$S1878,Calc!$F$2)=1,1,0))</f>
        <v/>
      </c>
      <c r="R1878" s="35" t="str">
        <f aca="false">IF($Q1878=1,$O1878-ROW()/100000,"")</f>
        <v/>
      </c>
      <c r="S1878" s="37" t="str">
        <f aca="false">IF($A1878="","",INT($A1878))</f>
        <v/>
      </c>
      <c r="T1878" s="35" t="str">
        <f aca="false">IF($A1878="","",IF(COUNTIFS($S$3:$S1878,$S1878)=1,1,0))</f>
        <v/>
      </c>
      <c r="U1878" s="37" t="str">
        <f aca="false">IF($T1878=1,$S1878,"")</f>
        <v/>
      </c>
    </row>
    <row r="1879" customFormat="false" ht="15" hidden="false" customHeight="false" outlineLevel="0" collapsed="false">
      <c r="M1879" s="35" t="str">
        <f aca="false">IF($A1879="","",HOUR($A1879))</f>
        <v/>
      </c>
      <c r="N1879" s="36" t="str">
        <f aca="false">IF($A1879="","",$I1879*$K1879)</f>
        <v/>
      </c>
      <c r="O1879" s="35" t="str">
        <f aca="false">IF(OR($A1879="",$C1879="U",$S1879&lt;&gt;Calc!$F$2),"",SUMIFS($I$3:$I$3002,$E$3:$E$3002,$E1879,$C$3:$C$3002,"&lt;&gt;U",$S$3:$S$3002,Calc!$F$2))</f>
        <v/>
      </c>
      <c r="P1879" s="35" t="str">
        <f aca="false">IF(OR($A1879="",$C1879="U",$S1879&lt;&gt;Calc!$F$2),"",SUMIFS($N$3:$N$3002,$E$3:$E$3002,$E1879,$C$3:$C$3002,"&lt;&gt;U",$S$3:$S$3002,Calc!$F$2))</f>
        <v/>
      </c>
      <c r="Q1879" s="35" t="str">
        <f aca="false">IF(OR($A1879="",$C1879="U",$S1879&lt;&gt;Calc!$F$2),"",IF(COUNTIFS($E$3:$E1879,$E1879,$C$3:$C1879,"&lt;&gt;U",$S$3:$S1879,Calc!$F$2)=1,1,0))</f>
        <v/>
      </c>
      <c r="R1879" s="35" t="str">
        <f aca="false">IF($Q1879=1,$O1879-ROW()/100000,"")</f>
        <v/>
      </c>
      <c r="S1879" s="37" t="str">
        <f aca="false">IF($A1879="","",INT($A1879))</f>
        <v/>
      </c>
      <c r="T1879" s="35" t="str">
        <f aca="false">IF($A1879="","",IF(COUNTIFS($S$3:$S1879,$S1879)=1,1,0))</f>
        <v/>
      </c>
      <c r="U1879" s="37" t="str">
        <f aca="false">IF($T1879=1,$S1879,"")</f>
        <v/>
      </c>
    </row>
    <row r="1880" customFormat="false" ht="15" hidden="false" customHeight="false" outlineLevel="0" collapsed="false">
      <c r="M1880" s="35" t="str">
        <f aca="false">IF($A1880="","",HOUR($A1880))</f>
        <v/>
      </c>
      <c r="N1880" s="36" t="str">
        <f aca="false">IF($A1880="","",$I1880*$K1880)</f>
        <v/>
      </c>
      <c r="O1880" s="35" t="str">
        <f aca="false">IF(OR($A1880="",$C1880="U",$S1880&lt;&gt;Calc!$F$2),"",SUMIFS($I$3:$I$3002,$E$3:$E$3002,$E1880,$C$3:$C$3002,"&lt;&gt;U",$S$3:$S$3002,Calc!$F$2))</f>
        <v/>
      </c>
      <c r="P1880" s="35" t="str">
        <f aca="false">IF(OR($A1880="",$C1880="U",$S1880&lt;&gt;Calc!$F$2),"",SUMIFS($N$3:$N$3002,$E$3:$E$3002,$E1880,$C$3:$C$3002,"&lt;&gt;U",$S$3:$S$3002,Calc!$F$2))</f>
        <v/>
      </c>
      <c r="Q1880" s="35" t="str">
        <f aca="false">IF(OR($A1880="",$C1880="U",$S1880&lt;&gt;Calc!$F$2),"",IF(COUNTIFS($E$3:$E1880,$E1880,$C$3:$C1880,"&lt;&gt;U",$S$3:$S1880,Calc!$F$2)=1,1,0))</f>
        <v/>
      </c>
      <c r="R1880" s="35" t="str">
        <f aca="false">IF($Q1880=1,$O1880-ROW()/100000,"")</f>
        <v/>
      </c>
      <c r="S1880" s="37" t="str">
        <f aca="false">IF($A1880="","",INT($A1880))</f>
        <v/>
      </c>
      <c r="T1880" s="35" t="str">
        <f aca="false">IF($A1880="","",IF(COUNTIFS($S$3:$S1880,$S1880)=1,1,0))</f>
        <v/>
      </c>
      <c r="U1880" s="37" t="str">
        <f aca="false">IF($T1880=1,$S1880,"")</f>
        <v/>
      </c>
    </row>
    <row r="1881" customFormat="false" ht="15" hidden="false" customHeight="false" outlineLevel="0" collapsed="false">
      <c r="M1881" s="35" t="str">
        <f aca="false">IF($A1881="","",HOUR($A1881))</f>
        <v/>
      </c>
      <c r="N1881" s="36" t="str">
        <f aca="false">IF($A1881="","",$I1881*$K1881)</f>
        <v/>
      </c>
      <c r="O1881" s="35" t="str">
        <f aca="false">IF(OR($A1881="",$C1881="U",$S1881&lt;&gt;Calc!$F$2),"",SUMIFS($I$3:$I$3002,$E$3:$E$3002,$E1881,$C$3:$C$3002,"&lt;&gt;U",$S$3:$S$3002,Calc!$F$2))</f>
        <v/>
      </c>
      <c r="P1881" s="35" t="str">
        <f aca="false">IF(OR($A1881="",$C1881="U",$S1881&lt;&gt;Calc!$F$2),"",SUMIFS($N$3:$N$3002,$E$3:$E$3002,$E1881,$C$3:$C$3002,"&lt;&gt;U",$S$3:$S$3002,Calc!$F$2))</f>
        <v/>
      </c>
      <c r="Q1881" s="35" t="str">
        <f aca="false">IF(OR($A1881="",$C1881="U",$S1881&lt;&gt;Calc!$F$2),"",IF(COUNTIFS($E$3:$E1881,$E1881,$C$3:$C1881,"&lt;&gt;U",$S$3:$S1881,Calc!$F$2)=1,1,0))</f>
        <v/>
      </c>
      <c r="R1881" s="35" t="str">
        <f aca="false">IF($Q1881=1,$O1881-ROW()/100000,"")</f>
        <v/>
      </c>
      <c r="S1881" s="37" t="str">
        <f aca="false">IF($A1881="","",INT($A1881))</f>
        <v/>
      </c>
      <c r="T1881" s="35" t="str">
        <f aca="false">IF($A1881="","",IF(COUNTIFS($S$3:$S1881,$S1881)=1,1,0))</f>
        <v/>
      </c>
      <c r="U1881" s="37" t="str">
        <f aca="false">IF($T1881=1,$S1881,"")</f>
        <v/>
      </c>
    </row>
    <row r="1882" customFormat="false" ht="15" hidden="false" customHeight="false" outlineLevel="0" collapsed="false">
      <c r="M1882" s="35" t="str">
        <f aca="false">IF($A1882="","",HOUR($A1882))</f>
        <v/>
      </c>
      <c r="N1882" s="36" t="str">
        <f aca="false">IF($A1882="","",$I1882*$K1882)</f>
        <v/>
      </c>
      <c r="O1882" s="35" t="str">
        <f aca="false">IF(OR($A1882="",$C1882="U",$S1882&lt;&gt;Calc!$F$2),"",SUMIFS($I$3:$I$3002,$E$3:$E$3002,$E1882,$C$3:$C$3002,"&lt;&gt;U",$S$3:$S$3002,Calc!$F$2))</f>
        <v/>
      </c>
      <c r="P1882" s="35" t="str">
        <f aca="false">IF(OR($A1882="",$C1882="U",$S1882&lt;&gt;Calc!$F$2),"",SUMIFS($N$3:$N$3002,$E$3:$E$3002,$E1882,$C$3:$C$3002,"&lt;&gt;U",$S$3:$S$3002,Calc!$F$2))</f>
        <v/>
      </c>
      <c r="Q1882" s="35" t="str">
        <f aca="false">IF(OR($A1882="",$C1882="U",$S1882&lt;&gt;Calc!$F$2),"",IF(COUNTIFS($E$3:$E1882,$E1882,$C$3:$C1882,"&lt;&gt;U",$S$3:$S1882,Calc!$F$2)=1,1,0))</f>
        <v/>
      </c>
      <c r="R1882" s="35" t="str">
        <f aca="false">IF($Q1882=1,$O1882-ROW()/100000,"")</f>
        <v/>
      </c>
      <c r="S1882" s="37" t="str">
        <f aca="false">IF($A1882="","",INT($A1882))</f>
        <v/>
      </c>
      <c r="T1882" s="35" t="str">
        <f aca="false">IF($A1882="","",IF(COUNTIFS($S$3:$S1882,$S1882)=1,1,0))</f>
        <v/>
      </c>
      <c r="U1882" s="37" t="str">
        <f aca="false">IF($T1882=1,$S1882,"")</f>
        <v/>
      </c>
    </row>
    <row r="1883" customFormat="false" ht="15" hidden="false" customHeight="false" outlineLevel="0" collapsed="false">
      <c r="M1883" s="35" t="str">
        <f aca="false">IF($A1883="","",HOUR($A1883))</f>
        <v/>
      </c>
      <c r="N1883" s="36" t="str">
        <f aca="false">IF($A1883="","",$I1883*$K1883)</f>
        <v/>
      </c>
      <c r="O1883" s="35" t="str">
        <f aca="false">IF(OR($A1883="",$C1883="U",$S1883&lt;&gt;Calc!$F$2),"",SUMIFS($I$3:$I$3002,$E$3:$E$3002,$E1883,$C$3:$C$3002,"&lt;&gt;U",$S$3:$S$3002,Calc!$F$2))</f>
        <v/>
      </c>
      <c r="P1883" s="35" t="str">
        <f aca="false">IF(OR($A1883="",$C1883="U",$S1883&lt;&gt;Calc!$F$2),"",SUMIFS($N$3:$N$3002,$E$3:$E$3002,$E1883,$C$3:$C$3002,"&lt;&gt;U",$S$3:$S$3002,Calc!$F$2))</f>
        <v/>
      </c>
      <c r="Q1883" s="35" t="str">
        <f aca="false">IF(OR($A1883="",$C1883="U",$S1883&lt;&gt;Calc!$F$2),"",IF(COUNTIFS($E$3:$E1883,$E1883,$C$3:$C1883,"&lt;&gt;U",$S$3:$S1883,Calc!$F$2)=1,1,0))</f>
        <v/>
      </c>
      <c r="R1883" s="35" t="str">
        <f aca="false">IF($Q1883=1,$O1883-ROW()/100000,"")</f>
        <v/>
      </c>
      <c r="S1883" s="37" t="str">
        <f aca="false">IF($A1883="","",INT($A1883))</f>
        <v/>
      </c>
      <c r="T1883" s="35" t="str">
        <f aca="false">IF($A1883="","",IF(COUNTIFS($S$3:$S1883,$S1883)=1,1,0))</f>
        <v/>
      </c>
      <c r="U1883" s="37" t="str">
        <f aca="false">IF($T1883=1,$S1883,"")</f>
        <v/>
      </c>
    </row>
    <row r="1884" customFormat="false" ht="15" hidden="false" customHeight="false" outlineLevel="0" collapsed="false">
      <c r="M1884" s="35" t="str">
        <f aca="false">IF($A1884="","",HOUR($A1884))</f>
        <v/>
      </c>
      <c r="N1884" s="36" t="str">
        <f aca="false">IF($A1884="","",$I1884*$K1884)</f>
        <v/>
      </c>
      <c r="O1884" s="35" t="str">
        <f aca="false">IF(OR($A1884="",$C1884="U",$S1884&lt;&gt;Calc!$F$2),"",SUMIFS($I$3:$I$3002,$E$3:$E$3002,$E1884,$C$3:$C$3002,"&lt;&gt;U",$S$3:$S$3002,Calc!$F$2))</f>
        <v/>
      </c>
      <c r="P1884" s="35" t="str">
        <f aca="false">IF(OR($A1884="",$C1884="U",$S1884&lt;&gt;Calc!$F$2),"",SUMIFS($N$3:$N$3002,$E$3:$E$3002,$E1884,$C$3:$C$3002,"&lt;&gt;U",$S$3:$S$3002,Calc!$F$2))</f>
        <v/>
      </c>
      <c r="Q1884" s="35" t="str">
        <f aca="false">IF(OR($A1884="",$C1884="U",$S1884&lt;&gt;Calc!$F$2),"",IF(COUNTIFS($E$3:$E1884,$E1884,$C$3:$C1884,"&lt;&gt;U",$S$3:$S1884,Calc!$F$2)=1,1,0))</f>
        <v/>
      </c>
      <c r="R1884" s="35" t="str">
        <f aca="false">IF($Q1884=1,$O1884-ROW()/100000,"")</f>
        <v/>
      </c>
      <c r="S1884" s="37" t="str">
        <f aca="false">IF($A1884="","",INT($A1884))</f>
        <v/>
      </c>
      <c r="T1884" s="35" t="str">
        <f aca="false">IF($A1884="","",IF(COUNTIFS($S$3:$S1884,$S1884)=1,1,0))</f>
        <v/>
      </c>
      <c r="U1884" s="37" t="str">
        <f aca="false">IF($T1884=1,$S1884,"")</f>
        <v/>
      </c>
    </row>
    <row r="1885" customFormat="false" ht="15" hidden="false" customHeight="false" outlineLevel="0" collapsed="false">
      <c r="M1885" s="35" t="str">
        <f aca="false">IF($A1885="","",HOUR($A1885))</f>
        <v/>
      </c>
      <c r="N1885" s="36" t="str">
        <f aca="false">IF($A1885="","",$I1885*$K1885)</f>
        <v/>
      </c>
      <c r="O1885" s="35" t="str">
        <f aca="false">IF(OR($A1885="",$C1885="U",$S1885&lt;&gt;Calc!$F$2),"",SUMIFS($I$3:$I$3002,$E$3:$E$3002,$E1885,$C$3:$C$3002,"&lt;&gt;U",$S$3:$S$3002,Calc!$F$2))</f>
        <v/>
      </c>
      <c r="P1885" s="35" t="str">
        <f aca="false">IF(OR($A1885="",$C1885="U",$S1885&lt;&gt;Calc!$F$2),"",SUMIFS($N$3:$N$3002,$E$3:$E$3002,$E1885,$C$3:$C$3002,"&lt;&gt;U",$S$3:$S$3002,Calc!$F$2))</f>
        <v/>
      </c>
      <c r="Q1885" s="35" t="str">
        <f aca="false">IF(OR($A1885="",$C1885="U",$S1885&lt;&gt;Calc!$F$2),"",IF(COUNTIFS($E$3:$E1885,$E1885,$C$3:$C1885,"&lt;&gt;U",$S$3:$S1885,Calc!$F$2)=1,1,0))</f>
        <v/>
      </c>
      <c r="R1885" s="35" t="str">
        <f aca="false">IF($Q1885=1,$O1885-ROW()/100000,"")</f>
        <v/>
      </c>
      <c r="S1885" s="37" t="str">
        <f aca="false">IF($A1885="","",INT($A1885))</f>
        <v/>
      </c>
      <c r="T1885" s="35" t="str">
        <f aca="false">IF($A1885="","",IF(COUNTIFS($S$3:$S1885,$S1885)=1,1,0))</f>
        <v/>
      </c>
      <c r="U1885" s="37" t="str">
        <f aca="false">IF($T1885=1,$S1885,"")</f>
        <v/>
      </c>
    </row>
    <row r="1886" customFormat="false" ht="15" hidden="false" customHeight="false" outlineLevel="0" collapsed="false">
      <c r="M1886" s="35" t="str">
        <f aca="false">IF($A1886="","",HOUR($A1886))</f>
        <v/>
      </c>
      <c r="N1886" s="36" t="str">
        <f aca="false">IF($A1886="","",$I1886*$K1886)</f>
        <v/>
      </c>
      <c r="O1886" s="35" t="str">
        <f aca="false">IF(OR($A1886="",$C1886="U",$S1886&lt;&gt;Calc!$F$2),"",SUMIFS($I$3:$I$3002,$E$3:$E$3002,$E1886,$C$3:$C$3002,"&lt;&gt;U",$S$3:$S$3002,Calc!$F$2))</f>
        <v/>
      </c>
      <c r="P1886" s="35" t="str">
        <f aca="false">IF(OR($A1886="",$C1886="U",$S1886&lt;&gt;Calc!$F$2),"",SUMIFS($N$3:$N$3002,$E$3:$E$3002,$E1886,$C$3:$C$3002,"&lt;&gt;U",$S$3:$S$3002,Calc!$F$2))</f>
        <v/>
      </c>
      <c r="Q1886" s="35" t="str">
        <f aca="false">IF(OR($A1886="",$C1886="U",$S1886&lt;&gt;Calc!$F$2),"",IF(COUNTIFS($E$3:$E1886,$E1886,$C$3:$C1886,"&lt;&gt;U",$S$3:$S1886,Calc!$F$2)=1,1,0))</f>
        <v/>
      </c>
      <c r="R1886" s="35" t="str">
        <f aca="false">IF($Q1886=1,$O1886-ROW()/100000,"")</f>
        <v/>
      </c>
      <c r="S1886" s="37" t="str">
        <f aca="false">IF($A1886="","",INT($A1886))</f>
        <v/>
      </c>
      <c r="T1886" s="35" t="str">
        <f aca="false">IF($A1886="","",IF(COUNTIFS($S$3:$S1886,$S1886)=1,1,0))</f>
        <v/>
      </c>
      <c r="U1886" s="37" t="str">
        <f aca="false">IF($T1886=1,$S1886,"")</f>
        <v/>
      </c>
    </row>
    <row r="1887" customFormat="false" ht="15" hidden="false" customHeight="false" outlineLevel="0" collapsed="false">
      <c r="M1887" s="35" t="str">
        <f aca="false">IF($A1887="","",HOUR($A1887))</f>
        <v/>
      </c>
      <c r="N1887" s="36" t="str">
        <f aca="false">IF($A1887="","",$I1887*$K1887)</f>
        <v/>
      </c>
      <c r="O1887" s="35" t="str">
        <f aca="false">IF(OR($A1887="",$C1887="U",$S1887&lt;&gt;Calc!$F$2),"",SUMIFS($I$3:$I$3002,$E$3:$E$3002,$E1887,$C$3:$C$3002,"&lt;&gt;U",$S$3:$S$3002,Calc!$F$2))</f>
        <v/>
      </c>
      <c r="P1887" s="35" t="str">
        <f aca="false">IF(OR($A1887="",$C1887="U",$S1887&lt;&gt;Calc!$F$2),"",SUMIFS($N$3:$N$3002,$E$3:$E$3002,$E1887,$C$3:$C$3002,"&lt;&gt;U",$S$3:$S$3002,Calc!$F$2))</f>
        <v/>
      </c>
      <c r="Q1887" s="35" t="str">
        <f aca="false">IF(OR($A1887="",$C1887="U",$S1887&lt;&gt;Calc!$F$2),"",IF(COUNTIFS($E$3:$E1887,$E1887,$C$3:$C1887,"&lt;&gt;U",$S$3:$S1887,Calc!$F$2)=1,1,0))</f>
        <v/>
      </c>
      <c r="R1887" s="35" t="str">
        <f aca="false">IF($Q1887=1,$O1887-ROW()/100000,"")</f>
        <v/>
      </c>
      <c r="S1887" s="37" t="str">
        <f aca="false">IF($A1887="","",INT($A1887))</f>
        <v/>
      </c>
      <c r="T1887" s="35" t="str">
        <f aca="false">IF($A1887="","",IF(COUNTIFS($S$3:$S1887,$S1887)=1,1,0))</f>
        <v/>
      </c>
      <c r="U1887" s="37" t="str">
        <f aca="false">IF($T1887=1,$S1887,"")</f>
        <v/>
      </c>
    </row>
    <row r="1888" customFormat="false" ht="15" hidden="false" customHeight="false" outlineLevel="0" collapsed="false">
      <c r="M1888" s="35" t="str">
        <f aca="false">IF($A1888="","",HOUR($A1888))</f>
        <v/>
      </c>
      <c r="N1888" s="36" t="str">
        <f aca="false">IF($A1888="","",$I1888*$K1888)</f>
        <v/>
      </c>
      <c r="O1888" s="35" t="str">
        <f aca="false">IF(OR($A1888="",$C1888="U",$S1888&lt;&gt;Calc!$F$2),"",SUMIFS($I$3:$I$3002,$E$3:$E$3002,$E1888,$C$3:$C$3002,"&lt;&gt;U",$S$3:$S$3002,Calc!$F$2))</f>
        <v/>
      </c>
      <c r="P1888" s="35" t="str">
        <f aca="false">IF(OR($A1888="",$C1888="U",$S1888&lt;&gt;Calc!$F$2),"",SUMIFS($N$3:$N$3002,$E$3:$E$3002,$E1888,$C$3:$C$3002,"&lt;&gt;U",$S$3:$S$3002,Calc!$F$2))</f>
        <v/>
      </c>
      <c r="Q1888" s="35" t="str">
        <f aca="false">IF(OR($A1888="",$C1888="U",$S1888&lt;&gt;Calc!$F$2),"",IF(COUNTIFS($E$3:$E1888,$E1888,$C$3:$C1888,"&lt;&gt;U",$S$3:$S1888,Calc!$F$2)=1,1,0))</f>
        <v/>
      </c>
      <c r="R1888" s="35" t="str">
        <f aca="false">IF($Q1888=1,$O1888-ROW()/100000,"")</f>
        <v/>
      </c>
      <c r="S1888" s="37" t="str">
        <f aca="false">IF($A1888="","",INT($A1888))</f>
        <v/>
      </c>
      <c r="T1888" s="35" t="str">
        <f aca="false">IF($A1888="","",IF(COUNTIFS($S$3:$S1888,$S1888)=1,1,0))</f>
        <v/>
      </c>
      <c r="U1888" s="37" t="str">
        <f aca="false">IF($T1888=1,$S1888,"")</f>
        <v/>
      </c>
    </row>
    <row r="1889" customFormat="false" ht="15" hidden="false" customHeight="false" outlineLevel="0" collapsed="false">
      <c r="M1889" s="35" t="str">
        <f aca="false">IF($A1889="","",HOUR($A1889))</f>
        <v/>
      </c>
      <c r="N1889" s="36" t="str">
        <f aca="false">IF($A1889="","",$I1889*$K1889)</f>
        <v/>
      </c>
      <c r="O1889" s="35" t="str">
        <f aca="false">IF(OR($A1889="",$C1889="U",$S1889&lt;&gt;Calc!$F$2),"",SUMIFS($I$3:$I$3002,$E$3:$E$3002,$E1889,$C$3:$C$3002,"&lt;&gt;U",$S$3:$S$3002,Calc!$F$2))</f>
        <v/>
      </c>
      <c r="P1889" s="35" t="str">
        <f aca="false">IF(OR($A1889="",$C1889="U",$S1889&lt;&gt;Calc!$F$2),"",SUMIFS($N$3:$N$3002,$E$3:$E$3002,$E1889,$C$3:$C$3002,"&lt;&gt;U",$S$3:$S$3002,Calc!$F$2))</f>
        <v/>
      </c>
      <c r="Q1889" s="35" t="str">
        <f aca="false">IF(OR($A1889="",$C1889="U",$S1889&lt;&gt;Calc!$F$2),"",IF(COUNTIFS($E$3:$E1889,$E1889,$C$3:$C1889,"&lt;&gt;U",$S$3:$S1889,Calc!$F$2)=1,1,0))</f>
        <v/>
      </c>
      <c r="R1889" s="35" t="str">
        <f aca="false">IF($Q1889=1,$O1889-ROW()/100000,"")</f>
        <v/>
      </c>
      <c r="S1889" s="37" t="str">
        <f aca="false">IF($A1889="","",INT($A1889))</f>
        <v/>
      </c>
      <c r="T1889" s="35" t="str">
        <f aca="false">IF($A1889="","",IF(COUNTIFS($S$3:$S1889,$S1889)=1,1,0))</f>
        <v/>
      </c>
      <c r="U1889" s="37" t="str">
        <f aca="false">IF($T1889=1,$S1889,"")</f>
        <v/>
      </c>
    </row>
    <row r="1890" customFormat="false" ht="15" hidden="false" customHeight="false" outlineLevel="0" collapsed="false">
      <c r="M1890" s="35" t="str">
        <f aca="false">IF($A1890="","",HOUR($A1890))</f>
        <v/>
      </c>
      <c r="N1890" s="36" t="str">
        <f aca="false">IF($A1890="","",$I1890*$K1890)</f>
        <v/>
      </c>
      <c r="O1890" s="35" t="str">
        <f aca="false">IF(OR($A1890="",$C1890="U",$S1890&lt;&gt;Calc!$F$2),"",SUMIFS($I$3:$I$3002,$E$3:$E$3002,$E1890,$C$3:$C$3002,"&lt;&gt;U",$S$3:$S$3002,Calc!$F$2))</f>
        <v/>
      </c>
      <c r="P1890" s="35" t="str">
        <f aca="false">IF(OR($A1890="",$C1890="U",$S1890&lt;&gt;Calc!$F$2),"",SUMIFS($N$3:$N$3002,$E$3:$E$3002,$E1890,$C$3:$C$3002,"&lt;&gt;U",$S$3:$S$3002,Calc!$F$2))</f>
        <v/>
      </c>
      <c r="Q1890" s="35" t="str">
        <f aca="false">IF(OR($A1890="",$C1890="U",$S1890&lt;&gt;Calc!$F$2),"",IF(COUNTIFS($E$3:$E1890,$E1890,$C$3:$C1890,"&lt;&gt;U",$S$3:$S1890,Calc!$F$2)=1,1,0))</f>
        <v/>
      </c>
      <c r="R1890" s="35" t="str">
        <f aca="false">IF($Q1890=1,$O1890-ROW()/100000,"")</f>
        <v/>
      </c>
      <c r="S1890" s="37" t="str">
        <f aca="false">IF($A1890="","",INT($A1890))</f>
        <v/>
      </c>
      <c r="T1890" s="35" t="str">
        <f aca="false">IF($A1890="","",IF(COUNTIFS($S$3:$S1890,$S1890)=1,1,0))</f>
        <v/>
      </c>
      <c r="U1890" s="37" t="str">
        <f aca="false">IF($T1890=1,$S1890,"")</f>
        <v/>
      </c>
    </row>
    <row r="1891" customFormat="false" ht="15" hidden="false" customHeight="false" outlineLevel="0" collapsed="false">
      <c r="M1891" s="35" t="str">
        <f aca="false">IF($A1891="","",HOUR($A1891))</f>
        <v/>
      </c>
      <c r="N1891" s="36" t="str">
        <f aca="false">IF($A1891="","",$I1891*$K1891)</f>
        <v/>
      </c>
      <c r="O1891" s="35" t="str">
        <f aca="false">IF(OR($A1891="",$C1891="U",$S1891&lt;&gt;Calc!$F$2),"",SUMIFS($I$3:$I$3002,$E$3:$E$3002,$E1891,$C$3:$C$3002,"&lt;&gt;U",$S$3:$S$3002,Calc!$F$2))</f>
        <v/>
      </c>
      <c r="P1891" s="35" t="str">
        <f aca="false">IF(OR($A1891="",$C1891="U",$S1891&lt;&gt;Calc!$F$2),"",SUMIFS($N$3:$N$3002,$E$3:$E$3002,$E1891,$C$3:$C$3002,"&lt;&gt;U",$S$3:$S$3002,Calc!$F$2))</f>
        <v/>
      </c>
      <c r="Q1891" s="35" t="str">
        <f aca="false">IF(OR($A1891="",$C1891="U",$S1891&lt;&gt;Calc!$F$2),"",IF(COUNTIFS($E$3:$E1891,$E1891,$C$3:$C1891,"&lt;&gt;U",$S$3:$S1891,Calc!$F$2)=1,1,0))</f>
        <v/>
      </c>
      <c r="R1891" s="35" t="str">
        <f aca="false">IF($Q1891=1,$O1891-ROW()/100000,"")</f>
        <v/>
      </c>
      <c r="S1891" s="37" t="str">
        <f aca="false">IF($A1891="","",INT($A1891))</f>
        <v/>
      </c>
      <c r="T1891" s="35" t="str">
        <f aca="false">IF($A1891="","",IF(COUNTIFS($S$3:$S1891,$S1891)=1,1,0))</f>
        <v/>
      </c>
      <c r="U1891" s="37" t="str">
        <f aca="false">IF($T1891=1,$S1891,"")</f>
        <v/>
      </c>
    </row>
    <row r="1892" customFormat="false" ht="15" hidden="false" customHeight="false" outlineLevel="0" collapsed="false">
      <c r="M1892" s="35" t="str">
        <f aca="false">IF($A1892="","",HOUR($A1892))</f>
        <v/>
      </c>
      <c r="N1892" s="36" t="str">
        <f aca="false">IF($A1892="","",$I1892*$K1892)</f>
        <v/>
      </c>
      <c r="O1892" s="35" t="str">
        <f aca="false">IF(OR($A1892="",$C1892="U",$S1892&lt;&gt;Calc!$F$2),"",SUMIFS($I$3:$I$3002,$E$3:$E$3002,$E1892,$C$3:$C$3002,"&lt;&gt;U",$S$3:$S$3002,Calc!$F$2))</f>
        <v/>
      </c>
      <c r="P1892" s="35" t="str">
        <f aca="false">IF(OR($A1892="",$C1892="U",$S1892&lt;&gt;Calc!$F$2),"",SUMIFS($N$3:$N$3002,$E$3:$E$3002,$E1892,$C$3:$C$3002,"&lt;&gt;U",$S$3:$S$3002,Calc!$F$2))</f>
        <v/>
      </c>
      <c r="Q1892" s="35" t="str">
        <f aca="false">IF(OR($A1892="",$C1892="U",$S1892&lt;&gt;Calc!$F$2),"",IF(COUNTIFS($E$3:$E1892,$E1892,$C$3:$C1892,"&lt;&gt;U",$S$3:$S1892,Calc!$F$2)=1,1,0))</f>
        <v/>
      </c>
      <c r="R1892" s="35" t="str">
        <f aca="false">IF($Q1892=1,$O1892-ROW()/100000,"")</f>
        <v/>
      </c>
      <c r="S1892" s="37" t="str">
        <f aca="false">IF($A1892="","",INT($A1892))</f>
        <v/>
      </c>
      <c r="T1892" s="35" t="str">
        <f aca="false">IF($A1892="","",IF(COUNTIFS($S$3:$S1892,$S1892)=1,1,0))</f>
        <v/>
      </c>
      <c r="U1892" s="37" t="str">
        <f aca="false">IF($T1892=1,$S1892,"")</f>
        <v/>
      </c>
    </row>
    <row r="1893" customFormat="false" ht="15" hidden="false" customHeight="false" outlineLevel="0" collapsed="false">
      <c r="M1893" s="35" t="str">
        <f aca="false">IF($A1893="","",HOUR($A1893))</f>
        <v/>
      </c>
      <c r="N1893" s="36" t="str">
        <f aca="false">IF($A1893="","",$I1893*$K1893)</f>
        <v/>
      </c>
      <c r="O1893" s="35" t="str">
        <f aca="false">IF(OR($A1893="",$C1893="U",$S1893&lt;&gt;Calc!$F$2),"",SUMIFS($I$3:$I$3002,$E$3:$E$3002,$E1893,$C$3:$C$3002,"&lt;&gt;U",$S$3:$S$3002,Calc!$F$2))</f>
        <v/>
      </c>
      <c r="P1893" s="35" t="str">
        <f aca="false">IF(OR($A1893="",$C1893="U",$S1893&lt;&gt;Calc!$F$2),"",SUMIFS($N$3:$N$3002,$E$3:$E$3002,$E1893,$C$3:$C$3002,"&lt;&gt;U",$S$3:$S$3002,Calc!$F$2))</f>
        <v/>
      </c>
      <c r="Q1893" s="35" t="str">
        <f aca="false">IF(OR($A1893="",$C1893="U",$S1893&lt;&gt;Calc!$F$2),"",IF(COUNTIFS($E$3:$E1893,$E1893,$C$3:$C1893,"&lt;&gt;U",$S$3:$S1893,Calc!$F$2)=1,1,0))</f>
        <v/>
      </c>
      <c r="R1893" s="35" t="str">
        <f aca="false">IF($Q1893=1,$O1893-ROW()/100000,"")</f>
        <v/>
      </c>
      <c r="S1893" s="37" t="str">
        <f aca="false">IF($A1893="","",INT($A1893))</f>
        <v/>
      </c>
      <c r="T1893" s="35" t="str">
        <f aca="false">IF($A1893="","",IF(COUNTIFS($S$3:$S1893,$S1893)=1,1,0))</f>
        <v/>
      </c>
      <c r="U1893" s="37" t="str">
        <f aca="false">IF($T1893=1,$S1893,"")</f>
        <v/>
      </c>
    </row>
    <row r="1894" customFormat="false" ht="15" hidden="false" customHeight="false" outlineLevel="0" collapsed="false">
      <c r="M1894" s="35" t="str">
        <f aca="false">IF($A1894="","",HOUR($A1894))</f>
        <v/>
      </c>
      <c r="N1894" s="36" t="str">
        <f aca="false">IF($A1894="","",$I1894*$K1894)</f>
        <v/>
      </c>
      <c r="O1894" s="35" t="str">
        <f aca="false">IF(OR($A1894="",$C1894="U",$S1894&lt;&gt;Calc!$F$2),"",SUMIFS($I$3:$I$3002,$E$3:$E$3002,$E1894,$C$3:$C$3002,"&lt;&gt;U",$S$3:$S$3002,Calc!$F$2))</f>
        <v/>
      </c>
      <c r="P1894" s="35" t="str">
        <f aca="false">IF(OR($A1894="",$C1894="U",$S1894&lt;&gt;Calc!$F$2),"",SUMIFS($N$3:$N$3002,$E$3:$E$3002,$E1894,$C$3:$C$3002,"&lt;&gt;U",$S$3:$S$3002,Calc!$F$2))</f>
        <v/>
      </c>
      <c r="Q1894" s="35" t="str">
        <f aca="false">IF(OR($A1894="",$C1894="U",$S1894&lt;&gt;Calc!$F$2),"",IF(COUNTIFS($E$3:$E1894,$E1894,$C$3:$C1894,"&lt;&gt;U",$S$3:$S1894,Calc!$F$2)=1,1,0))</f>
        <v/>
      </c>
      <c r="R1894" s="35" t="str">
        <f aca="false">IF($Q1894=1,$O1894-ROW()/100000,"")</f>
        <v/>
      </c>
      <c r="S1894" s="37" t="str">
        <f aca="false">IF($A1894="","",INT($A1894))</f>
        <v/>
      </c>
      <c r="T1894" s="35" t="str">
        <f aca="false">IF($A1894="","",IF(COUNTIFS($S$3:$S1894,$S1894)=1,1,0))</f>
        <v/>
      </c>
      <c r="U1894" s="37" t="str">
        <f aca="false">IF($T1894=1,$S1894,"")</f>
        <v/>
      </c>
    </row>
    <row r="1895" customFormat="false" ht="15" hidden="false" customHeight="false" outlineLevel="0" collapsed="false">
      <c r="M1895" s="35" t="str">
        <f aca="false">IF($A1895="","",HOUR($A1895))</f>
        <v/>
      </c>
      <c r="N1895" s="36" t="str">
        <f aca="false">IF($A1895="","",$I1895*$K1895)</f>
        <v/>
      </c>
      <c r="O1895" s="35" t="str">
        <f aca="false">IF(OR($A1895="",$C1895="U",$S1895&lt;&gt;Calc!$F$2),"",SUMIFS($I$3:$I$3002,$E$3:$E$3002,$E1895,$C$3:$C$3002,"&lt;&gt;U",$S$3:$S$3002,Calc!$F$2))</f>
        <v/>
      </c>
      <c r="P1895" s="35" t="str">
        <f aca="false">IF(OR($A1895="",$C1895="U",$S1895&lt;&gt;Calc!$F$2),"",SUMIFS($N$3:$N$3002,$E$3:$E$3002,$E1895,$C$3:$C$3002,"&lt;&gt;U",$S$3:$S$3002,Calc!$F$2))</f>
        <v/>
      </c>
      <c r="Q1895" s="35" t="str">
        <f aca="false">IF(OR($A1895="",$C1895="U",$S1895&lt;&gt;Calc!$F$2),"",IF(COUNTIFS($E$3:$E1895,$E1895,$C$3:$C1895,"&lt;&gt;U",$S$3:$S1895,Calc!$F$2)=1,1,0))</f>
        <v/>
      </c>
      <c r="R1895" s="35" t="str">
        <f aca="false">IF($Q1895=1,$O1895-ROW()/100000,"")</f>
        <v/>
      </c>
      <c r="S1895" s="37" t="str">
        <f aca="false">IF($A1895="","",INT($A1895))</f>
        <v/>
      </c>
      <c r="T1895" s="35" t="str">
        <f aca="false">IF($A1895="","",IF(COUNTIFS($S$3:$S1895,$S1895)=1,1,0))</f>
        <v/>
      </c>
      <c r="U1895" s="37" t="str">
        <f aca="false">IF($T1895=1,$S1895,"")</f>
        <v/>
      </c>
    </row>
    <row r="1896" customFormat="false" ht="15" hidden="false" customHeight="false" outlineLevel="0" collapsed="false">
      <c r="M1896" s="35" t="str">
        <f aca="false">IF($A1896="","",HOUR($A1896))</f>
        <v/>
      </c>
      <c r="N1896" s="36" t="str">
        <f aca="false">IF($A1896="","",$I1896*$K1896)</f>
        <v/>
      </c>
      <c r="O1896" s="35" t="str">
        <f aca="false">IF(OR($A1896="",$C1896="U",$S1896&lt;&gt;Calc!$F$2),"",SUMIFS($I$3:$I$3002,$E$3:$E$3002,$E1896,$C$3:$C$3002,"&lt;&gt;U",$S$3:$S$3002,Calc!$F$2))</f>
        <v/>
      </c>
      <c r="P1896" s="35" t="str">
        <f aca="false">IF(OR($A1896="",$C1896="U",$S1896&lt;&gt;Calc!$F$2),"",SUMIFS($N$3:$N$3002,$E$3:$E$3002,$E1896,$C$3:$C$3002,"&lt;&gt;U",$S$3:$S$3002,Calc!$F$2))</f>
        <v/>
      </c>
      <c r="Q1896" s="35" t="str">
        <f aca="false">IF(OR($A1896="",$C1896="U",$S1896&lt;&gt;Calc!$F$2),"",IF(COUNTIFS($E$3:$E1896,$E1896,$C$3:$C1896,"&lt;&gt;U",$S$3:$S1896,Calc!$F$2)=1,1,0))</f>
        <v/>
      </c>
      <c r="R1896" s="35" t="str">
        <f aca="false">IF($Q1896=1,$O1896-ROW()/100000,"")</f>
        <v/>
      </c>
      <c r="S1896" s="37" t="str">
        <f aca="false">IF($A1896="","",INT($A1896))</f>
        <v/>
      </c>
      <c r="T1896" s="35" t="str">
        <f aca="false">IF($A1896="","",IF(COUNTIFS($S$3:$S1896,$S1896)=1,1,0))</f>
        <v/>
      </c>
      <c r="U1896" s="37" t="str">
        <f aca="false">IF($T1896=1,$S1896,"")</f>
        <v/>
      </c>
    </row>
    <row r="1897" customFormat="false" ht="15" hidden="false" customHeight="false" outlineLevel="0" collapsed="false">
      <c r="M1897" s="35" t="str">
        <f aca="false">IF($A1897="","",HOUR($A1897))</f>
        <v/>
      </c>
      <c r="N1897" s="36" t="str">
        <f aca="false">IF($A1897="","",$I1897*$K1897)</f>
        <v/>
      </c>
      <c r="O1897" s="35" t="str">
        <f aca="false">IF(OR($A1897="",$C1897="U",$S1897&lt;&gt;Calc!$F$2),"",SUMIFS($I$3:$I$3002,$E$3:$E$3002,$E1897,$C$3:$C$3002,"&lt;&gt;U",$S$3:$S$3002,Calc!$F$2))</f>
        <v/>
      </c>
      <c r="P1897" s="35" t="str">
        <f aca="false">IF(OR($A1897="",$C1897="U",$S1897&lt;&gt;Calc!$F$2),"",SUMIFS($N$3:$N$3002,$E$3:$E$3002,$E1897,$C$3:$C$3002,"&lt;&gt;U",$S$3:$S$3002,Calc!$F$2))</f>
        <v/>
      </c>
      <c r="Q1897" s="35" t="str">
        <f aca="false">IF(OR($A1897="",$C1897="U",$S1897&lt;&gt;Calc!$F$2),"",IF(COUNTIFS($E$3:$E1897,$E1897,$C$3:$C1897,"&lt;&gt;U",$S$3:$S1897,Calc!$F$2)=1,1,0))</f>
        <v/>
      </c>
      <c r="R1897" s="35" t="str">
        <f aca="false">IF($Q1897=1,$O1897-ROW()/100000,"")</f>
        <v/>
      </c>
      <c r="S1897" s="37" t="str">
        <f aca="false">IF($A1897="","",INT($A1897))</f>
        <v/>
      </c>
      <c r="T1897" s="35" t="str">
        <f aca="false">IF($A1897="","",IF(COUNTIFS($S$3:$S1897,$S1897)=1,1,0))</f>
        <v/>
      </c>
      <c r="U1897" s="37" t="str">
        <f aca="false">IF($T1897=1,$S1897,"")</f>
        <v/>
      </c>
    </row>
    <row r="1898" customFormat="false" ht="15" hidden="false" customHeight="false" outlineLevel="0" collapsed="false">
      <c r="M1898" s="35" t="str">
        <f aca="false">IF($A1898="","",HOUR($A1898))</f>
        <v/>
      </c>
      <c r="N1898" s="36" t="str">
        <f aca="false">IF($A1898="","",$I1898*$K1898)</f>
        <v/>
      </c>
      <c r="O1898" s="35" t="str">
        <f aca="false">IF(OR($A1898="",$C1898="U",$S1898&lt;&gt;Calc!$F$2),"",SUMIFS($I$3:$I$3002,$E$3:$E$3002,$E1898,$C$3:$C$3002,"&lt;&gt;U",$S$3:$S$3002,Calc!$F$2))</f>
        <v/>
      </c>
      <c r="P1898" s="35" t="str">
        <f aca="false">IF(OR($A1898="",$C1898="U",$S1898&lt;&gt;Calc!$F$2),"",SUMIFS($N$3:$N$3002,$E$3:$E$3002,$E1898,$C$3:$C$3002,"&lt;&gt;U",$S$3:$S$3002,Calc!$F$2))</f>
        <v/>
      </c>
      <c r="Q1898" s="35" t="str">
        <f aca="false">IF(OR($A1898="",$C1898="U",$S1898&lt;&gt;Calc!$F$2),"",IF(COUNTIFS($E$3:$E1898,$E1898,$C$3:$C1898,"&lt;&gt;U",$S$3:$S1898,Calc!$F$2)=1,1,0))</f>
        <v/>
      </c>
      <c r="R1898" s="35" t="str">
        <f aca="false">IF($Q1898=1,$O1898-ROW()/100000,"")</f>
        <v/>
      </c>
      <c r="S1898" s="37" t="str">
        <f aca="false">IF($A1898="","",INT($A1898))</f>
        <v/>
      </c>
      <c r="T1898" s="35" t="str">
        <f aca="false">IF($A1898="","",IF(COUNTIFS($S$3:$S1898,$S1898)=1,1,0))</f>
        <v/>
      </c>
      <c r="U1898" s="37" t="str">
        <f aca="false">IF($T1898=1,$S1898,"")</f>
        <v/>
      </c>
    </row>
    <row r="1899" customFormat="false" ht="15" hidden="false" customHeight="false" outlineLevel="0" collapsed="false">
      <c r="M1899" s="35" t="str">
        <f aca="false">IF($A1899="","",HOUR($A1899))</f>
        <v/>
      </c>
      <c r="N1899" s="36" t="str">
        <f aca="false">IF($A1899="","",$I1899*$K1899)</f>
        <v/>
      </c>
      <c r="O1899" s="35" t="str">
        <f aca="false">IF(OR($A1899="",$C1899="U",$S1899&lt;&gt;Calc!$F$2),"",SUMIFS($I$3:$I$3002,$E$3:$E$3002,$E1899,$C$3:$C$3002,"&lt;&gt;U",$S$3:$S$3002,Calc!$F$2))</f>
        <v/>
      </c>
      <c r="P1899" s="35" t="str">
        <f aca="false">IF(OR($A1899="",$C1899="U",$S1899&lt;&gt;Calc!$F$2),"",SUMIFS($N$3:$N$3002,$E$3:$E$3002,$E1899,$C$3:$C$3002,"&lt;&gt;U",$S$3:$S$3002,Calc!$F$2))</f>
        <v/>
      </c>
      <c r="Q1899" s="35" t="str">
        <f aca="false">IF(OR($A1899="",$C1899="U",$S1899&lt;&gt;Calc!$F$2),"",IF(COUNTIFS($E$3:$E1899,$E1899,$C$3:$C1899,"&lt;&gt;U",$S$3:$S1899,Calc!$F$2)=1,1,0))</f>
        <v/>
      </c>
      <c r="R1899" s="35" t="str">
        <f aca="false">IF($Q1899=1,$O1899-ROW()/100000,"")</f>
        <v/>
      </c>
      <c r="S1899" s="37" t="str">
        <f aca="false">IF($A1899="","",INT($A1899))</f>
        <v/>
      </c>
      <c r="T1899" s="35" t="str">
        <f aca="false">IF($A1899="","",IF(COUNTIFS($S$3:$S1899,$S1899)=1,1,0))</f>
        <v/>
      </c>
      <c r="U1899" s="37" t="str">
        <f aca="false">IF($T1899=1,$S1899,"")</f>
        <v/>
      </c>
    </row>
    <row r="1900" customFormat="false" ht="15" hidden="false" customHeight="false" outlineLevel="0" collapsed="false">
      <c r="M1900" s="35" t="str">
        <f aca="false">IF($A1900="","",HOUR($A1900))</f>
        <v/>
      </c>
      <c r="N1900" s="36" t="str">
        <f aca="false">IF($A1900="","",$I1900*$K1900)</f>
        <v/>
      </c>
      <c r="O1900" s="35" t="str">
        <f aca="false">IF(OR($A1900="",$C1900="U",$S1900&lt;&gt;Calc!$F$2),"",SUMIFS($I$3:$I$3002,$E$3:$E$3002,$E1900,$C$3:$C$3002,"&lt;&gt;U",$S$3:$S$3002,Calc!$F$2))</f>
        <v/>
      </c>
      <c r="P1900" s="35" t="str">
        <f aca="false">IF(OR($A1900="",$C1900="U",$S1900&lt;&gt;Calc!$F$2),"",SUMIFS($N$3:$N$3002,$E$3:$E$3002,$E1900,$C$3:$C$3002,"&lt;&gt;U",$S$3:$S$3002,Calc!$F$2))</f>
        <v/>
      </c>
      <c r="Q1900" s="35" t="str">
        <f aca="false">IF(OR($A1900="",$C1900="U",$S1900&lt;&gt;Calc!$F$2),"",IF(COUNTIFS($E$3:$E1900,$E1900,$C$3:$C1900,"&lt;&gt;U",$S$3:$S1900,Calc!$F$2)=1,1,0))</f>
        <v/>
      </c>
      <c r="R1900" s="35" t="str">
        <f aca="false">IF($Q1900=1,$O1900-ROW()/100000,"")</f>
        <v/>
      </c>
      <c r="S1900" s="37" t="str">
        <f aca="false">IF($A1900="","",INT($A1900))</f>
        <v/>
      </c>
      <c r="T1900" s="35" t="str">
        <f aca="false">IF($A1900="","",IF(COUNTIFS($S$3:$S1900,$S1900)=1,1,0))</f>
        <v/>
      </c>
      <c r="U1900" s="37" t="str">
        <f aca="false">IF($T1900=1,$S1900,"")</f>
        <v/>
      </c>
    </row>
    <row r="1901" customFormat="false" ht="15" hidden="false" customHeight="false" outlineLevel="0" collapsed="false">
      <c r="M1901" s="35" t="str">
        <f aca="false">IF($A1901="","",HOUR($A1901))</f>
        <v/>
      </c>
      <c r="N1901" s="36" t="str">
        <f aca="false">IF($A1901="","",$I1901*$K1901)</f>
        <v/>
      </c>
      <c r="O1901" s="35" t="str">
        <f aca="false">IF(OR($A1901="",$C1901="U",$S1901&lt;&gt;Calc!$F$2),"",SUMIFS($I$3:$I$3002,$E$3:$E$3002,$E1901,$C$3:$C$3002,"&lt;&gt;U",$S$3:$S$3002,Calc!$F$2))</f>
        <v/>
      </c>
      <c r="P1901" s="35" t="str">
        <f aca="false">IF(OR($A1901="",$C1901="U",$S1901&lt;&gt;Calc!$F$2),"",SUMIFS($N$3:$N$3002,$E$3:$E$3002,$E1901,$C$3:$C$3002,"&lt;&gt;U",$S$3:$S$3002,Calc!$F$2))</f>
        <v/>
      </c>
      <c r="Q1901" s="35" t="str">
        <f aca="false">IF(OR($A1901="",$C1901="U",$S1901&lt;&gt;Calc!$F$2),"",IF(COUNTIFS($E$3:$E1901,$E1901,$C$3:$C1901,"&lt;&gt;U",$S$3:$S1901,Calc!$F$2)=1,1,0))</f>
        <v/>
      </c>
      <c r="R1901" s="35" t="str">
        <f aca="false">IF($Q1901=1,$O1901-ROW()/100000,"")</f>
        <v/>
      </c>
      <c r="S1901" s="37" t="str">
        <f aca="false">IF($A1901="","",INT($A1901))</f>
        <v/>
      </c>
      <c r="T1901" s="35" t="str">
        <f aca="false">IF($A1901="","",IF(COUNTIFS($S$3:$S1901,$S1901)=1,1,0))</f>
        <v/>
      </c>
      <c r="U1901" s="37" t="str">
        <f aca="false">IF($T1901=1,$S1901,"")</f>
        <v/>
      </c>
    </row>
    <row r="1902" customFormat="false" ht="15" hidden="false" customHeight="false" outlineLevel="0" collapsed="false">
      <c r="M1902" s="35" t="str">
        <f aca="false">IF($A1902="","",HOUR($A1902))</f>
        <v/>
      </c>
      <c r="N1902" s="36" t="str">
        <f aca="false">IF($A1902="","",$I1902*$K1902)</f>
        <v/>
      </c>
      <c r="O1902" s="35" t="str">
        <f aca="false">IF(OR($A1902="",$C1902="U",$S1902&lt;&gt;Calc!$F$2),"",SUMIFS($I$3:$I$3002,$E$3:$E$3002,$E1902,$C$3:$C$3002,"&lt;&gt;U",$S$3:$S$3002,Calc!$F$2))</f>
        <v/>
      </c>
      <c r="P1902" s="35" t="str">
        <f aca="false">IF(OR($A1902="",$C1902="U",$S1902&lt;&gt;Calc!$F$2),"",SUMIFS($N$3:$N$3002,$E$3:$E$3002,$E1902,$C$3:$C$3002,"&lt;&gt;U",$S$3:$S$3002,Calc!$F$2))</f>
        <v/>
      </c>
      <c r="Q1902" s="35" t="str">
        <f aca="false">IF(OR($A1902="",$C1902="U",$S1902&lt;&gt;Calc!$F$2),"",IF(COUNTIFS($E$3:$E1902,$E1902,$C$3:$C1902,"&lt;&gt;U",$S$3:$S1902,Calc!$F$2)=1,1,0))</f>
        <v/>
      </c>
      <c r="R1902" s="35" t="str">
        <f aca="false">IF($Q1902=1,$O1902-ROW()/100000,"")</f>
        <v/>
      </c>
      <c r="S1902" s="37" t="str">
        <f aca="false">IF($A1902="","",INT($A1902))</f>
        <v/>
      </c>
      <c r="T1902" s="35" t="str">
        <f aca="false">IF($A1902="","",IF(COUNTIFS($S$3:$S1902,$S1902)=1,1,0))</f>
        <v/>
      </c>
      <c r="U1902" s="37" t="str">
        <f aca="false">IF($T1902=1,$S1902,"")</f>
        <v/>
      </c>
    </row>
    <row r="1903" customFormat="false" ht="15" hidden="false" customHeight="false" outlineLevel="0" collapsed="false">
      <c r="M1903" s="35" t="str">
        <f aca="false">IF($A1903="","",HOUR($A1903))</f>
        <v/>
      </c>
      <c r="N1903" s="36" t="str">
        <f aca="false">IF($A1903="","",$I1903*$K1903)</f>
        <v/>
      </c>
      <c r="O1903" s="35" t="str">
        <f aca="false">IF(OR($A1903="",$C1903="U",$S1903&lt;&gt;Calc!$F$2),"",SUMIFS($I$3:$I$3002,$E$3:$E$3002,$E1903,$C$3:$C$3002,"&lt;&gt;U",$S$3:$S$3002,Calc!$F$2))</f>
        <v/>
      </c>
      <c r="P1903" s="35" t="str">
        <f aca="false">IF(OR($A1903="",$C1903="U",$S1903&lt;&gt;Calc!$F$2),"",SUMIFS($N$3:$N$3002,$E$3:$E$3002,$E1903,$C$3:$C$3002,"&lt;&gt;U",$S$3:$S$3002,Calc!$F$2))</f>
        <v/>
      </c>
      <c r="Q1903" s="35" t="str">
        <f aca="false">IF(OR($A1903="",$C1903="U",$S1903&lt;&gt;Calc!$F$2),"",IF(COUNTIFS($E$3:$E1903,$E1903,$C$3:$C1903,"&lt;&gt;U",$S$3:$S1903,Calc!$F$2)=1,1,0))</f>
        <v/>
      </c>
      <c r="R1903" s="35" t="str">
        <f aca="false">IF($Q1903=1,$O1903-ROW()/100000,"")</f>
        <v/>
      </c>
      <c r="S1903" s="37" t="str">
        <f aca="false">IF($A1903="","",INT($A1903))</f>
        <v/>
      </c>
      <c r="T1903" s="35" t="str">
        <f aca="false">IF($A1903="","",IF(COUNTIFS($S$3:$S1903,$S1903)=1,1,0))</f>
        <v/>
      </c>
      <c r="U1903" s="37" t="str">
        <f aca="false">IF($T1903=1,$S1903,"")</f>
        <v/>
      </c>
    </row>
    <row r="1904" customFormat="false" ht="15" hidden="false" customHeight="false" outlineLevel="0" collapsed="false">
      <c r="M1904" s="35" t="str">
        <f aca="false">IF($A1904="","",HOUR($A1904))</f>
        <v/>
      </c>
      <c r="N1904" s="36" t="str">
        <f aca="false">IF($A1904="","",$I1904*$K1904)</f>
        <v/>
      </c>
      <c r="O1904" s="35" t="str">
        <f aca="false">IF(OR($A1904="",$C1904="U",$S1904&lt;&gt;Calc!$F$2),"",SUMIFS($I$3:$I$3002,$E$3:$E$3002,$E1904,$C$3:$C$3002,"&lt;&gt;U",$S$3:$S$3002,Calc!$F$2))</f>
        <v/>
      </c>
      <c r="P1904" s="35" t="str">
        <f aca="false">IF(OR($A1904="",$C1904="U",$S1904&lt;&gt;Calc!$F$2),"",SUMIFS($N$3:$N$3002,$E$3:$E$3002,$E1904,$C$3:$C$3002,"&lt;&gt;U",$S$3:$S$3002,Calc!$F$2))</f>
        <v/>
      </c>
      <c r="Q1904" s="35" t="str">
        <f aca="false">IF(OR($A1904="",$C1904="U",$S1904&lt;&gt;Calc!$F$2),"",IF(COUNTIFS($E$3:$E1904,$E1904,$C$3:$C1904,"&lt;&gt;U",$S$3:$S1904,Calc!$F$2)=1,1,0))</f>
        <v/>
      </c>
      <c r="R1904" s="35" t="str">
        <f aca="false">IF($Q1904=1,$O1904-ROW()/100000,"")</f>
        <v/>
      </c>
      <c r="S1904" s="37" t="str">
        <f aca="false">IF($A1904="","",INT($A1904))</f>
        <v/>
      </c>
      <c r="T1904" s="35" t="str">
        <f aca="false">IF($A1904="","",IF(COUNTIFS($S$3:$S1904,$S1904)=1,1,0))</f>
        <v/>
      </c>
      <c r="U1904" s="37" t="str">
        <f aca="false">IF($T1904=1,$S1904,"")</f>
        <v/>
      </c>
    </row>
    <row r="1905" customFormat="false" ht="15" hidden="false" customHeight="false" outlineLevel="0" collapsed="false">
      <c r="M1905" s="35" t="str">
        <f aca="false">IF($A1905="","",HOUR($A1905))</f>
        <v/>
      </c>
      <c r="N1905" s="36" t="str">
        <f aca="false">IF($A1905="","",$I1905*$K1905)</f>
        <v/>
      </c>
      <c r="O1905" s="35" t="str">
        <f aca="false">IF(OR($A1905="",$C1905="U",$S1905&lt;&gt;Calc!$F$2),"",SUMIFS($I$3:$I$3002,$E$3:$E$3002,$E1905,$C$3:$C$3002,"&lt;&gt;U",$S$3:$S$3002,Calc!$F$2))</f>
        <v/>
      </c>
      <c r="P1905" s="35" t="str">
        <f aca="false">IF(OR($A1905="",$C1905="U",$S1905&lt;&gt;Calc!$F$2),"",SUMIFS($N$3:$N$3002,$E$3:$E$3002,$E1905,$C$3:$C$3002,"&lt;&gt;U",$S$3:$S$3002,Calc!$F$2))</f>
        <v/>
      </c>
      <c r="Q1905" s="35" t="str">
        <f aca="false">IF(OR($A1905="",$C1905="U",$S1905&lt;&gt;Calc!$F$2),"",IF(COUNTIFS($E$3:$E1905,$E1905,$C$3:$C1905,"&lt;&gt;U",$S$3:$S1905,Calc!$F$2)=1,1,0))</f>
        <v/>
      </c>
      <c r="R1905" s="35" t="str">
        <f aca="false">IF($Q1905=1,$O1905-ROW()/100000,"")</f>
        <v/>
      </c>
      <c r="S1905" s="37" t="str">
        <f aca="false">IF($A1905="","",INT($A1905))</f>
        <v/>
      </c>
      <c r="T1905" s="35" t="str">
        <f aca="false">IF($A1905="","",IF(COUNTIFS($S$3:$S1905,$S1905)=1,1,0))</f>
        <v/>
      </c>
      <c r="U1905" s="37" t="str">
        <f aca="false">IF($T1905=1,$S1905,"")</f>
        <v/>
      </c>
    </row>
    <row r="1906" customFormat="false" ht="15" hidden="false" customHeight="false" outlineLevel="0" collapsed="false">
      <c r="M1906" s="35" t="str">
        <f aca="false">IF($A1906="","",HOUR($A1906))</f>
        <v/>
      </c>
      <c r="N1906" s="36" t="str">
        <f aca="false">IF($A1906="","",$I1906*$K1906)</f>
        <v/>
      </c>
      <c r="O1906" s="35" t="str">
        <f aca="false">IF(OR($A1906="",$C1906="U",$S1906&lt;&gt;Calc!$F$2),"",SUMIFS($I$3:$I$3002,$E$3:$E$3002,$E1906,$C$3:$C$3002,"&lt;&gt;U",$S$3:$S$3002,Calc!$F$2))</f>
        <v/>
      </c>
      <c r="P1906" s="35" t="str">
        <f aca="false">IF(OR($A1906="",$C1906="U",$S1906&lt;&gt;Calc!$F$2),"",SUMIFS($N$3:$N$3002,$E$3:$E$3002,$E1906,$C$3:$C$3002,"&lt;&gt;U",$S$3:$S$3002,Calc!$F$2))</f>
        <v/>
      </c>
      <c r="Q1906" s="35" t="str">
        <f aca="false">IF(OR($A1906="",$C1906="U",$S1906&lt;&gt;Calc!$F$2),"",IF(COUNTIFS($E$3:$E1906,$E1906,$C$3:$C1906,"&lt;&gt;U",$S$3:$S1906,Calc!$F$2)=1,1,0))</f>
        <v/>
      </c>
      <c r="R1906" s="35" t="str">
        <f aca="false">IF($Q1906=1,$O1906-ROW()/100000,"")</f>
        <v/>
      </c>
      <c r="S1906" s="37" t="str">
        <f aca="false">IF($A1906="","",INT($A1906))</f>
        <v/>
      </c>
      <c r="T1906" s="35" t="str">
        <f aca="false">IF($A1906="","",IF(COUNTIFS($S$3:$S1906,$S1906)=1,1,0))</f>
        <v/>
      </c>
      <c r="U1906" s="37" t="str">
        <f aca="false">IF($T1906=1,$S1906,"")</f>
        <v/>
      </c>
    </row>
    <row r="1907" customFormat="false" ht="15" hidden="false" customHeight="false" outlineLevel="0" collapsed="false">
      <c r="M1907" s="35" t="str">
        <f aca="false">IF($A1907="","",HOUR($A1907))</f>
        <v/>
      </c>
      <c r="N1907" s="36" t="str">
        <f aca="false">IF($A1907="","",$I1907*$K1907)</f>
        <v/>
      </c>
      <c r="O1907" s="35" t="str">
        <f aca="false">IF(OR($A1907="",$C1907="U",$S1907&lt;&gt;Calc!$F$2),"",SUMIFS($I$3:$I$3002,$E$3:$E$3002,$E1907,$C$3:$C$3002,"&lt;&gt;U",$S$3:$S$3002,Calc!$F$2))</f>
        <v/>
      </c>
      <c r="P1907" s="35" t="str">
        <f aca="false">IF(OR($A1907="",$C1907="U",$S1907&lt;&gt;Calc!$F$2),"",SUMIFS($N$3:$N$3002,$E$3:$E$3002,$E1907,$C$3:$C$3002,"&lt;&gt;U",$S$3:$S$3002,Calc!$F$2))</f>
        <v/>
      </c>
      <c r="Q1907" s="35" t="str">
        <f aca="false">IF(OR($A1907="",$C1907="U",$S1907&lt;&gt;Calc!$F$2),"",IF(COUNTIFS($E$3:$E1907,$E1907,$C$3:$C1907,"&lt;&gt;U",$S$3:$S1907,Calc!$F$2)=1,1,0))</f>
        <v/>
      </c>
      <c r="R1907" s="35" t="str">
        <f aca="false">IF($Q1907=1,$O1907-ROW()/100000,"")</f>
        <v/>
      </c>
      <c r="S1907" s="37" t="str">
        <f aca="false">IF($A1907="","",INT($A1907))</f>
        <v/>
      </c>
      <c r="T1907" s="35" t="str">
        <f aca="false">IF($A1907="","",IF(COUNTIFS($S$3:$S1907,$S1907)=1,1,0))</f>
        <v/>
      </c>
      <c r="U1907" s="37" t="str">
        <f aca="false">IF($T1907=1,$S1907,"")</f>
        <v/>
      </c>
    </row>
    <row r="1908" customFormat="false" ht="15" hidden="false" customHeight="false" outlineLevel="0" collapsed="false">
      <c r="M1908" s="35" t="str">
        <f aca="false">IF($A1908="","",HOUR($A1908))</f>
        <v/>
      </c>
      <c r="N1908" s="36" t="str">
        <f aca="false">IF($A1908="","",$I1908*$K1908)</f>
        <v/>
      </c>
      <c r="O1908" s="35" t="str">
        <f aca="false">IF(OR($A1908="",$C1908="U",$S1908&lt;&gt;Calc!$F$2),"",SUMIFS($I$3:$I$3002,$E$3:$E$3002,$E1908,$C$3:$C$3002,"&lt;&gt;U",$S$3:$S$3002,Calc!$F$2))</f>
        <v/>
      </c>
      <c r="P1908" s="35" t="str">
        <f aca="false">IF(OR($A1908="",$C1908="U",$S1908&lt;&gt;Calc!$F$2),"",SUMIFS($N$3:$N$3002,$E$3:$E$3002,$E1908,$C$3:$C$3002,"&lt;&gt;U",$S$3:$S$3002,Calc!$F$2))</f>
        <v/>
      </c>
      <c r="Q1908" s="35" t="str">
        <f aca="false">IF(OR($A1908="",$C1908="U",$S1908&lt;&gt;Calc!$F$2),"",IF(COUNTIFS($E$3:$E1908,$E1908,$C$3:$C1908,"&lt;&gt;U",$S$3:$S1908,Calc!$F$2)=1,1,0))</f>
        <v/>
      </c>
      <c r="R1908" s="35" t="str">
        <f aca="false">IF($Q1908=1,$O1908-ROW()/100000,"")</f>
        <v/>
      </c>
      <c r="S1908" s="37" t="str">
        <f aca="false">IF($A1908="","",INT($A1908))</f>
        <v/>
      </c>
      <c r="T1908" s="35" t="str">
        <f aca="false">IF($A1908="","",IF(COUNTIFS($S$3:$S1908,$S1908)=1,1,0))</f>
        <v/>
      </c>
      <c r="U1908" s="37" t="str">
        <f aca="false">IF($T1908=1,$S1908,"")</f>
        <v/>
      </c>
    </row>
    <row r="1909" customFormat="false" ht="15" hidden="false" customHeight="false" outlineLevel="0" collapsed="false">
      <c r="M1909" s="35" t="str">
        <f aca="false">IF($A1909="","",HOUR($A1909))</f>
        <v/>
      </c>
      <c r="N1909" s="36" t="str">
        <f aca="false">IF($A1909="","",$I1909*$K1909)</f>
        <v/>
      </c>
      <c r="O1909" s="35" t="str">
        <f aca="false">IF(OR($A1909="",$C1909="U",$S1909&lt;&gt;Calc!$F$2),"",SUMIFS($I$3:$I$3002,$E$3:$E$3002,$E1909,$C$3:$C$3002,"&lt;&gt;U",$S$3:$S$3002,Calc!$F$2))</f>
        <v/>
      </c>
      <c r="P1909" s="35" t="str">
        <f aca="false">IF(OR($A1909="",$C1909="U",$S1909&lt;&gt;Calc!$F$2),"",SUMIFS($N$3:$N$3002,$E$3:$E$3002,$E1909,$C$3:$C$3002,"&lt;&gt;U",$S$3:$S$3002,Calc!$F$2))</f>
        <v/>
      </c>
      <c r="Q1909" s="35" t="str">
        <f aca="false">IF(OR($A1909="",$C1909="U",$S1909&lt;&gt;Calc!$F$2),"",IF(COUNTIFS($E$3:$E1909,$E1909,$C$3:$C1909,"&lt;&gt;U",$S$3:$S1909,Calc!$F$2)=1,1,0))</f>
        <v/>
      </c>
      <c r="R1909" s="35" t="str">
        <f aca="false">IF($Q1909=1,$O1909-ROW()/100000,"")</f>
        <v/>
      </c>
      <c r="S1909" s="37" t="str">
        <f aca="false">IF($A1909="","",INT($A1909))</f>
        <v/>
      </c>
      <c r="T1909" s="35" t="str">
        <f aca="false">IF($A1909="","",IF(COUNTIFS($S$3:$S1909,$S1909)=1,1,0))</f>
        <v/>
      </c>
      <c r="U1909" s="37" t="str">
        <f aca="false">IF($T1909=1,$S1909,"")</f>
        <v/>
      </c>
    </row>
    <row r="1910" customFormat="false" ht="15" hidden="false" customHeight="false" outlineLevel="0" collapsed="false">
      <c r="M1910" s="35" t="str">
        <f aca="false">IF($A1910="","",HOUR($A1910))</f>
        <v/>
      </c>
      <c r="N1910" s="36" t="str">
        <f aca="false">IF($A1910="","",$I1910*$K1910)</f>
        <v/>
      </c>
      <c r="O1910" s="35" t="str">
        <f aca="false">IF(OR($A1910="",$C1910="U",$S1910&lt;&gt;Calc!$F$2),"",SUMIFS($I$3:$I$3002,$E$3:$E$3002,$E1910,$C$3:$C$3002,"&lt;&gt;U",$S$3:$S$3002,Calc!$F$2))</f>
        <v/>
      </c>
      <c r="P1910" s="35" t="str">
        <f aca="false">IF(OR($A1910="",$C1910="U",$S1910&lt;&gt;Calc!$F$2),"",SUMIFS($N$3:$N$3002,$E$3:$E$3002,$E1910,$C$3:$C$3002,"&lt;&gt;U",$S$3:$S$3002,Calc!$F$2))</f>
        <v/>
      </c>
      <c r="Q1910" s="35" t="str">
        <f aca="false">IF(OR($A1910="",$C1910="U",$S1910&lt;&gt;Calc!$F$2),"",IF(COUNTIFS($E$3:$E1910,$E1910,$C$3:$C1910,"&lt;&gt;U",$S$3:$S1910,Calc!$F$2)=1,1,0))</f>
        <v/>
      </c>
      <c r="R1910" s="35" t="str">
        <f aca="false">IF($Q1910=1,$O1910-ROW()/100000,"")</f>
        <v/>
      </c>
      <c r="S1910" s="37" t="str">
        <f aca="false">IF($A1910="","",INT($A1910))</f>
        <v/>
      </c>
      <c r="T1910" s="35" t="str">
        <f aca="false">IF($A1910="","",IF(COUNTIFS($S$3:$S1910,$S1910)=1,1,0))</f>
        <v/>
      </c>
      <c r="U1910" s="37" t="str">
        <f aca="false">IF($T1910=1,$S1910,"")</f>
        <v/>
      </c>
    </row>
    <row r="1911" customFormat="false" ht="15" hidden="false" customHeight="false" outlineLevel="0" collapsed="false">
      <c r="M1911" s="35" t="str">
        <f aca="false">IF($A1911="","",HOUR($A1911))</f>
        <v/>
      </c>
      <c r="N1911" s="36" t="str">
        <f aca="false">IF($A1911="","",$I1911*$K1911)</f>
        <v/>
      </c>
      <c r="O1911" s="35" t="str">
        <f aca="false">IF(OR($A1911="",$C1911="U",$S1911&lt;&gt;Calc!$F$2),"",SUMIFS($I$3:$I$3002,$E$3:$E$3002,$E1911,$C$3:$C$3002,"&lt;&gt;U",$S$3:$S$3002,Calc!$F$2))</f>
        <v/>
      </c>
      <c r="P1911" s="35" t="str">
        <f aca="false">IF(OR($A1911="",$C1911="U",$S1911&lt;&gt;Calc!$F$2),"",SUMIFS($N$3:$N$3002,$E$3:$E$3002,$E1911,$C$3:$C$3002,"&lt;&gt;U",$S$3:$S$3002,Calc!$F$2))</f>
        <v/>
      </c>
      <c r="Q1911" s="35" t="str">
        <f aca="false">IF(OR($A1911="",$C1911="U",$S1911&lt;&gt;Calc!$F$2),"",IF(COUNTIFS($E$3:$E1911,$E1911,$C$3:$C1911,"&lt;&gt;U",$S$3:$S1911,Calc!$F$2)=1,1,0))</f>
        <v/>
      </c>
      <c r="R1911" s="35" t="str">
        <f aca="false">IF($Q1911=1,$O1911-ROW()/100000,"")</f>
        <v/>
      </c>
      <c r="S1911" s="37" t="str">
        <f aca="false">IF($A1911="","",INT($A1911))</f>
        <v/>
      </c>
      <c r="T1911" s="35" t="str">
        <f aca="false">IF($A1911="","",IF(COUNTIFS($S$3:$S1911,$S1911)=1,1,0))</f>
        <v/>
      </c>
      <c r="U1911" s="37" t="str">
        <f aca="false">IF($T1911=1,$S1911,"")</f>
        <v/>
      </c>
    </row>
    <row r="1912" customFormat="false" ht="15" hidden="false" customHeight="false" outlineLevel="0" collapsed="false">
      <c r="M1912" s="35" t="str">
        <f aca="false">IF($A1912="","",HOUR($A1912))</f>
        <v/>
      </c>
      <c r="N1912" s="36" t="str">
        <f aca="false">IF($A1912="","",$I1912*$K1912)</f>
        <v/>
      </c>
      <c r="O1912" s="35" t="str">
        <f aca="false">IF(OR($A1912="",$C1912="U",$S1912&lt;&gt;Calc!$F$2),"",SUMIFS($I$3:$I$3002,$E$3:$E$3002,$E1912,$C$3:$C$3002,"&lt;&gt;U",$S$3:$S$3002,Calc!$F$2))</f>
        <v/>
      </c>
      <c r="P1912" s="35" t="str">
        <f aca="false">IF(OR($A1912="",$C1912="U",$S1912&lt;&gt;Calc!$F$2),"",SUMIFS($N$3:$N$3002,$E$3:$E$3002,$E1912,$C$3:$C$3002,"&lt;&gt;U",$S$3:$S$3002,Calc!$F$2))</f>
        <v/>
      </c>
      <c r="Q1912" s="35" t="str">
        <f aca="false">IF(OR($A1912="",$C1912="U",$S1912&lt;&gt;Calc!$F$2),"",IF(COUNTIFS($E$3:$E1912,$E1912,$C$3:$C1912,"&lt;&gt;U",$S$3:$S1912,Calc!$F$2)=1,1,0))</f>
        <v/>
      </c>
      <c r="R1912" s="35" t="str">
        <f aca="false">IF($Q1912=1,$O1912-ROW()/100000,"")</f>
        <v/>
      </c>
      <c r="S1912" s="37" t="str">
        <f aca="false">IF($A1912="","",INT($A1912))</f>
        <v/>
      </c>
      <c r="T1912" s="35" t="str">
        <f aca="false">IF($A1912="","",IF(COUNTIFS($S$3:$S1912,$S1912)=1,1,0))</f>
        <v/>
      </c>
      <c r="U1912" s="37" t="str">
        <f aca="false">IF($T1912=1,$S1912,"")</f>
        <v/>
      </c>
    </row>
    <row r="1913" customFormat="false" ht="15" hidden="false" customHeight="false" outlineLevel="0" collapsed="false">
      <c r="M1913" s="35" t="str">
        <f aca="false">IF($A1913="","",HOUR($A1913))</f>
        <v/>
      </c>
      <c r="N1913" s="36" t="str">
        <f aca="false">IF($A1913="","",$I1913*$K1913)</f>
        <v/>
      </c>
      <c r="O1913" s="35" t="str">
        <f aca="false">IF(OR($A1913="",$C1913="U",$S1913&lt;&gt;Calc!$F$2),"",SUMIFS($I$3:$I$3002,$E$3:$E$3002,$E1913,$C$3:$C$3002,"&lt;&gt;U",$S$3:$S$3002,Calc!$F$2))</f>
        <v/>
      </c>
      <c r="P1913" s="35" t="str">
        <f aca="false">IF(OR($A1913="",$C1913="U",$S1913&lt;&gt;Calc!$F$2),"",SUMIFS($N$3:$N$3002,$E$3:$E$3002,$E1913,$C$3:$C$3002,"&lt;&gt;U",$S$3:$S$3002,Calc!$F$2))</f>
        <v/>
      </c>
      <c r="Q1913" s="35" t="str">
        <f aca="false">IF(OR($A1913="",$C1913="U",$S1913&lt;&gt;Calc!$F$2),"",IF(COUNTIFS($E$3:$E1913,$E1913,$C$3:$C1913,"&lt;&gt;U",$S$3:$S1913,Calc!$F$2)=1,1,0))</f>
        <v/>
      </c>
      <c r="R1913" s="35" t="str">
        <f aca="false">IF($Q1913=1,$O1913-ROW()/100000,"")</f>
        <v/>
      </c>
      <c r="S1913" s="37" t="str">
        <f aca="false">IF($A1913="","",INT($A1913))</f>
        <v/>
      </c>
      <c r="T1913" s="35" t="str">
        <f aca="false">IF($A1913="","",IF(COUNTIFS($S$3:$S1913,$S1913)=1,1,0))</f>
        <v/>
      </c>
      <c r="U1913" s="37" t="str">
        <f aca="false">IF($T1913=1,$S1913,"")</f>
        <v/>
      </c>
    </row>
    <row r="1914" customFormat="false" ht="15" hidden="false" customHeight="false" outlineLevel="0" collapsed="false">
      <c r="M1914" s="35" t="str">
        <f aca="false">IF($A1914="","",HOUR($A1914))</f>
        <v/>
      </c>
      <c r="N1914" s="36" t="str">
        <f aca="false">IF($A1914="","",$I1914*$K1914)</f>
        <v/>
      </c>
      <c r="O1914" s="35" t="str">
        <f aca="false">IF(OR($A1914="",$C1914="U",$S1914&lt;&gt;Calc!$F$2),"",SUMIFS($I$3:$I$3002,$E$3:$E$3002,$E1914,$C$3:$C$3002,"&lt;&gt;U",$S$3:$S$3002,Calc!$F$2))</f>
        <v/>
      </c>
      <c r="P1914" s="35" t="str">
        <f aca="false">IF(OR($A1914="",$C1914="U",$S1914&lt;&gt;Calc!$F$2),"",SUMIFS($N$3:$N$3002,$E$3:$E$3002,$E1914,$C$3:$C$3002,"&lt;&gt;U",$S$3:$S$3002,Calc!$F$2))</f>
        <v/>
      </c>
      <c r="Q1914" s="35" t="str">
        <f aca="false">IF(OR($A1914="",$C1914="U",$S1914&lt;&gt;Calc!$F$2),"",IF(COUNTIFS($E$3:$E1914,$E1914,$C$3:$C1914,"&lt;&gt;U",$S$3:$S1914,Calc!$F$2)=1,1,0))</f>
        <v/>
      </c>
      <c r="R1914" s="35" t="str">
        <f aca="false">IF($Q1914=1,$O1914-ROW()/100000,"")</f>
        <v/>
      </c>
      <c r="S1914" s="37" t="str">
        <f aca="false">IF($A1914="","",INT($A1914))</f>
        <v/>
      </c>
      <c r="T1914" s="35" t="str">
        <f aca="false">IF($A1914="","",IF(COUNTIFS($S$3:$S1914,$S1914)=1,1,0))</f>
        <v/>
      </c>
      <c r="U1914" s="37" t="str">
        <f aca="false">IF($T1914=1,$S1914,"")</f>
        <v/>
      </c>
    </row>
    <row r="1915" customFormat="false" ht="15" hidden="false" customHeight="false" outlineLevel="0" collapsed="false">
      <c r="M1915" s="35" t="str">
        <f aca="false">IF($A1915="","",HOUR($A1915))</f>
        <v/>
      </c>
      <c r="N1915" s="36" t="str">
        <f aca="false">IF($A1915="","",$I1915*$K1915)</f>
        <v/>
      </c>
      <c r="O1915" s="35" t="str">
        <f aca="false">IF(OR($A1915="",$C1915="U",$S1915&lt;&gt;Calc!$F$2),"",SUMIFS($I$3:$I$3002,$E$3:$E$3002,$E1915,$C$3:$C$3002,"&lt;&gt;U",$S$3:$S$3002,Calc!$F$2))</f>
        <v/>
      </c>
      <c r="P1915" s="35" t="str">
        <f aca="false">IF(OR($A1915="",$C1915="U",$S1915&lt;&gt;Calc!$F$2),"",SUMIFS($N$3:$N$3002,$E$3:$E$3002,$E1915,$C$3:$C$3002,"&lt;&gt;U",$S$3:$S$3002,Calc!$F$2))</f>
        <v/>
      </c>
      <c r="Q1915" s="35" t="str">
        <f aca="false">IF(OR($A1915="",$C1915="U",$S1915&lt;&gt;Calc!$F$2),"",IF(COUNTIFS($E$3:$E1915,$E1915,$C$3:$C1915,"&lt;&gt;U",$S$3:$S1915,Calc!$F$2)=1,1,0))</f>
        <v/>
      </c>
      <c r="R1915" s="35" t="str">
        <f aca="false">IF($Q1915=1,$O1915-ROW()/100000,"")</f>
        <v/>
      </c>
      <c r="S1915" s="37" t="str">
        <f aca="false">IF($A1915="","",INT($A1915))</f>
        <v/>
      </c>
      <c r="T1915" s="35" t="str">
        <f aca="false">IF($A1915="","",IF(COUNTIFS($S$3:$S1915,$S1915)=1,1,0))</f>
        <v/>
      </c>
      <c r="U1915" s="37" t="str">
        <f aca="false">IF($T1915=1,$S1915,"")</f>
        <v/>
      </c>
    </row>
    <row r="1916" customFormat="false" ht="15" hidden="false" customHeight="false" outlineLevel="0" collapsed="false">
      <c r="M1916" s="35" t="str">
        <f aca="false">IF($A1916="","",HOUR($A1916))</f>
        <v/>
      </c>
      <c r="N1916" s="36" t="str">
        <f aca="false">IF($A1916="","",$I1916*$K1916)</f>
        <v/>
      </c>
      <c r="O1916" s="35" t="str">
        <f aca="false">IF(OR($A1916="",$C1916="U",$S1916&lt;&gt;Calc!$F$2),"",SUMIFS($I$3:$I$3002,$E$3:$E$3002,$E1916,$C$3:$C$3002,"&lt;&gt;U",$S$3:$S$3002,Calc!$F$2))</f>
        <v/>
      </c>
      <c r="P1916" s="35" t="str">
        <f aca="false">IF(OR($A1916="",$C1916="U",$S1916&lt;&gt;Calc!$F$2),"",SUMIFS($N$3:$N$3002,$E$3:$E$3002,$E1916,$C$3:$C$3002,"&lt;&gt;U",$S$3:$S$3002,Calc!$F$2))</f>
        <v/>
      </c>
      <c r="Q1916" s="35" t="str">
        <f aca="false">IF(OR($A1916="",$C1916="U",$S1916&lt;&gt;Calc!$F$2),"",IF(COUNTIFS($E$3:$E1916,$E1916,$C$3:$C1916,"&lt;&gt;U",$S$3:$S1916,Calc!$F$2)=1,1,0))</f>
        <v/>
      </c>
      <c r="R1916" s="35" t="str">
        <f aca="false">IF($Q1916=1,$O1916-ROW()/100000,"")</f>
        <v/>
      </c>
      <c r="S1916" s="37" t="str">
        <f aca="false">IF($A1916="","",INT($A1916))</f>
        <v/>
      </c>
      <c r="T1916" s="35" t="str">
        <f aca="false">IF($A1916="","",IF(COUNTIFS($S$3:$S1916,$S1916)=1,1,0))</f>
        <v/>
      </c>
      <c r="U1916" s="37" t="str">
        <f aca="false">IF($T1916=1,$S1916,"")</f>
        <v/>
      </c>
    </row>
    <row r="1917" customFormat="false" ht="15" hidden="false" customHeight="false" outlineLevel="0" collapsed="false">
      <c r="M1917" s="35" t="str">
        <f aca="false">IF($A1917="","",HOUR($A1917))</f>
        <v/>
      </c>
      <c r="N1917" s="36" t="str">
        <f aca="false">IF($A1917="","",$I1917*$K1917)</f>
        <v/>
      </c>
      <c r="O1917" s="35" t="str">
        <f aca="false">IF(OR($A1917="",$C1917="U",$S1917&lt;&gt;Calc!$F$2),"",SUMIFS($I$3:$I$3002,$E$3:$E$3002,$E1917,$C$3:$C$3002,"&lt;&gt;U",$S$3:$S$3002,Calc!$F$2))</f>
        <v/>
      </c>
      <c r="P1917" s="35" t="str">
        <f aca="false">IF(OR($A1917="",$C1917="U",$S1917&lt;&gt;Calc!$F$2),"",SUMIFS($N$3:$N$3002,$E$3:$E$3002,$E1917,$C$3:$C$3002,"&lt;&gt;U",$S$3:$S$3002,Calc!$F$2))</f>
        <v/>
      </c>
      <c r="Q1917" s="35" t="str">
        <f aca="false">IF(OR($A1917="",$C1917="U",$S1917&lt;&gt;Calc!$F$2),"",IF(COUNTIFS($E$3:$E1917,$E1917,$C$3:$C1917,"&lt;&gt;U",$S$3:$S1917,Calc!$F$2)=1,1,0))</f>
        <v/>
      </c>
      <c r="R1917" s="35" t="str">
        <f aca="false">IF($Q1917=1,$O1917-ROW()/100000,"")</f>
        <v/>
      </c>
      <c r="S1917" s="37" t="str">
        <f aca="false">IF($A1917="","",INT($A1917))</f>
        <v/>
      </c>
      <c r="T1917" s="35" t="str">
        <f aca="false">IF($A1917="","",IF(COUNTIFS($S$3:$S1917,$S1917)=1,1,0))</f>
        <v/>
      </c>
      <c r="U1917" s="37" t="str">
        <f aca="false">IF($T1917=1,$S1917,"")</f>
        <v/>
      </c>
    </row>
    <row r="1918" customFormat="false" ht="15" hidden="false" customHeight="false" outlineLevel="0" collapsed="false">
      <c r="M1918" s="35" t="str">
        <f aca="false">IF($A1918="","",HOUR($A1918))</f>
        <v/>
      </c>
      <c r="N1918" s="36" t="str">
        <f aca="false">IF($A1918="","",$I1918*$K1918)</f>
        <v/>
      </c>
      <c r="O1918" s="35" t="str">
        <f aca="false">IF(OR($A1918="",$C1918="U",$S1918&lt;&gt;Calc!$F$2),"",SUMIFS($I$3:$I$3002,$E$3:$E$3002,$E1918,$C$3:$C$3002,"&lt;&gt;U",$S$3:$S$3002,Calc!$F$2))</f>
        <v/>
      </c>
      <c r="P1918" s="35" t="str">
        <f aca="false">IF(OR($A1918="",$C1918="U",$S1918&lt;&gt;Calc!$F$2),"",SUMIFS($N$3:$N$3002,$E$3:$E$3002,$E1918,$C$3:$C$3002,"&lt;&gt;U",$S$3:$S$3002,Calc!$F$2))</f>
        <v/>
      </c>
      <c r="Q1918" s="35" t="str">
        <f aca="false">IF(OR($A1918="",$C1918="U",$S1918&lt;&gt;Calc!$F$2),"",IF(COUNTIFS($E$3:$E1918,$E1918,$C$3:$C1918,"&lt;&gt;U",$S$3:$S1918,Calc!$F$2)=1,1,0))</f>
        <v/>
      </c>
      <c r="R1918" s="35" t="str">
        <f aca="false">IF($Q1918=1,$O1918-ROW()/100000,"")</f>
        <v/>
      </c>
      <c r="S1918" s="37" t="str">
        <f aca="false">IF($A1918="","",INT($A1918))</f>
        <v/>
      </c>
      <c r="T1918" s="35" t="str">
        <f aca="false">IF($A1918="","",IF(COUNTIFS($S$3:$S1918,$S1918)=1,1,0))</f>
        <v/>
      </c>
      <c r="U1918" s="37" t="str">
        <f aca="false">IF($T1918=1,$S1918,"")</f>
        <v/>
      </c>
    </row>
    <row r="1919" customFormat="false" ht="15" hidden="false" customHeight="false" outlineLevel="0" collapsed="false">
      <c r="M1919" s="35" t="str">
        <f aca="false">IF($A1919="","",HOUR($A1919))</f>
        <v/>
      </c>
      <c r="N1919" s="36" t="str">
        <f aca="false">IF($A1919="","",$I1919*$K1919)</f>
        <v/>
      </c>
      <c r="O1919" s="35" t="str">
        <f aca="false">IF(OR($A1919="",$C1919="U",$S1919&lt;&gt;Calc!$F$2),"",SUMIFS($I$3:$I$3002,$E$3:$E$3002,$E1919,$C$3:$C$3002,"&lt;&gt;U",$S$3:$S$3002,Calc!$F$2))</f>
        <v/>
      </c>
      <c r="P1919" s="35" t="str">
        <f aca="false">IF(OR($A1919="",$C1919="U",$S1919&lt;&gt;Calc!$F$2),"",SUMIFS($N$3:$N$3002,$E$3:$E$3002,$E1919,$C$3:$C$3002,"&lt;&gt;U",$S$3:$S$3002,Calc!$F$2))</f>
        <v/>
      </c>
      <c r="Q1919" s="35" t="str">
        <f aca="false">IF(OR($A1919="",$C1919="U",$S1919&lt;&gt;Calc!$F$2),"",IF(COUNTIFS($E$3:$E1919,$E1919,$C$3:$C1919,"&lt;&gt;U",$S$3:$S1919,Calc!$F$2)=1,1,0))</f>
        <v/>
      </c>
      <c r="R1919" s="35" t="str">
        <f aca="false">IF($Q1919=1,$O1919-ROW()/100000,"")</f>
        <v/>
      </c>
      <c r="S1919" s="37" t="str">
        <f aca="false">IF($A1919="","",INT($A1919))</f>
        <v/>
      </c>
      <c r="T1919" s="35" t="str">
        <f aca="false">IF($A1919="","",IF(COUNTIFS($S$3:$S1919,$S1919)=1,1,0))</f>
        <v/>
      </c>
      <c r="U1919" s="37" t="str">
        <f aca="false">IF($T1919=1,$S1919,"")</f>
        <v/>
      </c>
    </row>
    <row r="1920" customFormat="false" ht="15" hidden="false" customHeight="false" outlineLevel="0" collapsed="false">
      <c r="M1920" s="35" t="str">
        <f aca="false">IF($A1920="","",HOUR($A1920))</f>
        <v/>
      </c>
      <c r="N1920" s="36" t="str">
        <f aca="false">IF($A1920="","",$I1920*$K1920)</f>
        <v/>
      </c>
      <c r="O1920" s="35" t="str">
        <f aca="false">IF(OR($A1920="",$C1920="U",$S1920&lt;&gt;Calc!$F$2),"",SUMIFS($I$3:$I$3002,$E$3:$E$3002,$E1920,$C$3:$C$3002,"&lt;&gt;U",$S$3:$S$3002,Calc!$F$2))</f>
        <v/>
      </c>
      <c r="P1920" s="35" t="str">
        <f aca="false">IF(OR($A1920="",$C1920="U",$S1920&lt;&gt;Calc!$F$2),"",SUMIFS($N$3:$N$3002,$E$3:$E$3002,$E1920,$C$3:$C$3002,"&lt;&gt;U",$S$3:$S$3002,Calc!$F$2))</f>
        <v/>
      </c>
      <c r="Q1920" s="35" t="str">
        <f aca="false">IF(OR($A1920="",$C1920="U",$S1920&lt;&gt;Calc!$F$2),"",IF(COUNTIFS($E$3:$E1920,$E1920,$C$3:$C1920,"&lt;&gt;U",$S$3:$S1920,Calc!$F$2)=1,1,0))</f>
        <v/>
      </c>
      <c r="R1920" s="35" t="str">
        <f aca="false">IF($Q1920=1,$O1920-ROW()/100000,"")</f>
        <v/>
      </c>
      <c r="S1920" s="37" t="str">
        <f aca="false">IF($A1920="","",INT($A1920))</f>
        <v/>
      </c>
      <c r="T1920" s="35" t="str">
        <f aca="false">IF($A1920="","",IF(COUNTIFS($S$3:$S1920,$S1920)=1,1,0))</f>
        <v/>
      </c>
      <c r="U1920" s="37" t="str">
        <f aca="false">IF($T1920=1,$S1920,"")</f>
        <v/>
      </c>
    </row>
    <row r="1921" customFormat="false" ht="15" hidden="false" customHeight="false" outlineLevel="0" collapsed="false">
      <c r="M1921" s="35" t="str">
        <f aca="false">IF($A1921="","",HOUR($A1921))</f>
        <v/>
      </c>
      <c r="N1921" s="36" t="str">
        <f aca="false">IF($A1921="","",$I1921*$K1921)</f>
        <v/>
      </c>
      <c r="O1921" s="35" t="str">
        <f aca="false">IF(OR($A1921="",$C1921="U",$S1921&lt;&gt;Calc!$F$2),"",SUMIFS($I$3:$I$3002,$E$3:$E$3002,$E1921,$C$3:$C$3002,"&lt;&gt;U",$S$3:$S$3002,Calc!$F$2))</f>
        <v/>
      </c>
      <c r="P1921" s="35" t="str">
        <f aca="false">IF(OR($A1921="",$C1921="U",$S1921&lt;&gt;Calc!$F$2),"",SUMIFS($N$3:$N$3002,$E$3:$E$3002,$E1921,$C$3:$C$3002,"&lt;&gt;U",$S$3:$S$3002,Calc!$F$2))</f>
        <v/>
      </c>
      <c r="Q1921" s="35" t="str">
        <f aca="false">IF(OR($A1921="",$C1921="U",$S1921&lt;&gt;Calc!$F$2),"",IF(COUNTIFS($E$3:$E1921,$E1921,$C$3:$C1921,"&lt;&gt;U",$S$3:$S1921,Calc!$F$2)=1,1,0))</f>
        <v/>
      </c>
      <c r="R1921" s="35" t="str">
        <f aca="false">IF($Q1921=1,$O1921-ROW()/100000,"")</f>
        <v/>
      </c>
      <c r="S1921" s="37" t="str">
        <f aca="false">IF($A1921="","",INT($A1921))</f>
        <v/>
      </c>
      <c r="T1921" s="35" t="str">
        <f aca="false">IF($A1921="","",IF(COUNTIFS($S$3:$S1921,$S1921)=1,1,0))</f>
        <v/>
      </c>
      <c r="U1921" s="37" t="str">
        <f aca="false">IF($T1921=1,$S1921,"")</f>
        <v/>
      </c>
    </row>
    <row r="1922" customFormat="false" ht="15" hidden="false" customHeight="false" outlineLevel="0" collapsed="false">
      <c r="M1922" s="35" t="str">
        <f aca="false">IF($A1922="","",HOUR($A1922))</f>
        <v/>
      </c>
      <c r="N1922" s="36" t="str">
        <f aca="false">IF($A1922="","",$I1922*$K1922)</f>
        <v/>
      </c>
      <c r="O1922" s="35" t="str">
        <f aca="false">IF(OR($A1922="",$C1922="U",$S1922&lt;&gt;Calc!$F$2),"",SUMIFS($I$3:$I$3002,$E$3:$E$3002,$E1922,$C$3:$C$3002,"&lt;&gt;U",$S$3:$S$3002,Calc!$F$2))</f>
        <v/>
      </c>
      <c r="P1922" s="35" t="str">
        <f aca="false">IF(OR($A1922="",$C1922="U",$S1922&lt;&gt;Calc!$F$2),"",SUMIFS($N$3:$N$3002,$E$3:$E$3002,$E1922,$C$3:$C$3002,"&lt;&gt;U",$S$3:$S$3002,Calc!$F$2))</f>
        <v/>
      </c>
      <c r="Q1922" s="35" t="str">
        <f aca="false">IF(OR($A1922="",$C1922="U",$S1922&lt;&gt;Calc!$F$2),"",IF(COUNTIFS($E$3:$E1922,$E1922,$C$3:$C1922,"&lt;&gt;U",$S$3:$S1922,Calc!$F$2)=1,1,0))</f>
        <v/>
      </c>
      <c r="R1922" s="35" t="str">
        <f aca="false">IF($Q1922=1,$O1922-ROW()/100000,"")</f>
        <v/>
      </c>
      <c r="S1922" s="37" t="str">
        <f aca="false">IF($A1922="","",INT($A1922))</f>
        <v/>
      </c>
      <c r="T1922" s="35" t="str">
        <f aca="false">IF($A1922="","",IF(COUNTIFS($S$3:$S1922,$S1922)=1,1,0))</f>
        <v/>
      </c>
      <c r="U1922" s="37" t="str">
        <f aca="false">IF($T1922=1,$S1922,"")</f>
        <v/>
      </c>
    </row>
    <row r="1923" customFormat="false" ht="15" hidden="false" customHeight="false" outlineLevel="0" collapsed="false">
      <c r="M1923" s="35" t="str">
        <f aca="false">IF($A1923="","",HOUR($A1923))</f>
        <v/>
      </c>
      <c r="N1923" s="36" t="str">
        <f aca="false">IF($A1923="","",$I1923*$K1923)</f>
        <v/>
      </c>
      <c r="O1923" s="35" t="str">
        <f aca="false">IF(OR($A1923="",$C1923="U",$S1923&lt;&gt;Calc!$F$2),"",SUMIFS($I$3:$I$3002,$E$3:$E$3002,$E1923,$C$3:$C$3002,"&lt;&gt;U",$S$3:$S$3002,Calc!$F$2))</f>
        <v/>
      </c>
      <c r="P1923" s="35" t="str">
        <f aca="false">IF(OR($A1923="",$C1923="U",$S1923&lt;&gt;Calc!$F$2),"",SUMIFS($N$3:$N$3002,$E$3:$E$3002,$E1923,$C$3:$C$3002,"&lt;&gt;U",$S$3:$S$3002,Calc!$F$2))</f>
        <v/>
      </c>
      <c r="Q1923" s="35" t="str">
        <f aca="false">IF(OR($A1923="",$C1923="U",$S1923&lt;&gt;Calc!$F$2),"",IF(COUNTIFS($E$3:$E1923,$E1923,$C$3:$C1923,"&lt;&gt;U",$S$3:$S1923,Calc!$F$2)=1,1,0))</f>
        <v/>
      </c>
      <c r="R1923" s="35" t="str">
        <f aca="false">IF($Q1923=1,$O1923-ROW()/100000,"")</f>
        <v/>
      </c>
      <c r="S1923" s="37" t="str">
        <f aca="false">IF($A1923="","",INT($A1923))</f>
        <v/>
      </c>
      <c r="T1923" s="35" t="str">
        <f aca="false">IF($A1923="","",IF(COUNTIFS($S$3:$S1923,$S1923)=1,1,0))</f>
        <v/>
      </c>
      <c r="U1923" s="37" t="str">
        <f aca="false">IF($T1923=1,$S1923,"")</f>
        <v/>
      </c>
    </row>
    <row r="1924" customFormat="false" ht="15" hidden="false" customHeight="false" outlineLevel="0" collapsed="false">
      <c r="M1924" s="35" t="str">
        <f aca="false">IF($A1924="","",HOUR($A1924))</f>
        <v/>
      </c>
      <c r="N1924" s="36" t="str">
        <f aca="false">IF($A1924="","",$I1924*$K1924)</f>
        <v/>
      </c>
      <c r="O1924" s="35" t="str">
        <f aca="false">IF(OR($A1924="",$C1924="U",$S1924&lt;&gt;Calc!$F$2),"",SUMIFS($I$3:$I$3002,$E$3:$E$3002,$E1924,$C$3:$C$3002,"&lt;&gt;U",$S$3:$S$3002,Calc!$F$2))</f>
        <v/>
      </c>
      <c r="P1924" s="35" t="str">
        <f aca="false">IF(OR($A1924="",$C1924="U",$S1924&lt;&gt;Calc!$F$2),"",SUMIFS($N$3:$N$3002,$E$3:$E$3002,$E1924,$C$3:$C$3002,"&lt;&gt;U",$S$3:$S$3002,Calc!$F$2))</f>
        <v/>
      </c>
      <c r="Q1924" s="35" t="str">
        <f aca="false">IF(OR($A1924="",$C1924="U",$S1924&lt;&gt;Calc!$F$2),"",IF(COUNTIFS($E$3:$E1924,$E1924,$C$3:$C1924,"&lt;&gt;U",$S$3:$S1924,Calc!$F$2)=1,1,0))</f>
        <v/>
      </c>
      <c r="R1924" s="35" t="str">
        <f aca="false">IF($Q1924=1,$O1924-ROW()/100000,"")</f>
        <v/>
      </c>
      <c r="S1924" s="37" t="str">
        <f aca="false">IF($A1924="","",INT($A1924))</f>
        <v/>
      </c>
      <c r="T1924" s="35" t="str">
        <f aca="false">IF($A1924="","",IF(COUNTIFS($S$3:$S1924,$S1924)=1,1,0))</f>
        <v/>
      </c>
      <c r="U1924" s="37" t="str">
        <f aca="false">IF($T1924=1,$S1924,"")</f>
        <v/>
      </c>
    </row>
    <row r="1925" customFormat="false" ht="15" hidden="false" customHeight="false" outlineLevel="0" collapsed="false">
      <c r="M1925" s="35" t="str">
        <f aca="false">IF($A1925="","",HOUR($A1925))</f>
        <v/>
      </c>
      <c r="N1925" s="36" t="str">
        <f aca="false">IF($A1925="","",$I1925*$K1925)</f>
        <v/>
      </c>
      <c r="O1925" s="35" t="str">
        <f aca="false">IF(OR($A1925="",$C1925="U",$S1925&lt;&gt;Calc!$F$2),"",SUMIFS($I$3:$I$3002,$E$3:$E$3002,$E1925,$C$3:$C$3002,"&lt;&gt;U",$S$3:$S$3002,Calc!$F$2))</f>
        <v/>
      </c>
      <c r="P1925" s="35" t="str">
        <f aca="false">IF(OR($A1925="",$C1925="U",$S1925&lt;&gt;Calc!$F$2),"",SUMIFS($N$3:$N$3002,$E$3:$E$3002,$E1925,$C$3:$C$3002,"&lt;&gt;U",$S$3:$S$3002,Calc!$F$2))</f>
        <v/>
      </c>
      <c r="Q1925" s="35" t="str">
        <f aca="false">IF(OR($A1925="",$C1925="U",$S1925&lt;&gt;Calc!$F$2),"",IF(COUNTIFS($E$3:$E1925,$E1925,$C$3:$C1925,"&lt;&gt;U",$S$3:$S1925,Calc!$F$2)=1,1,0))</f>
        <v/>
      </c>
      <c r="R1925" s="35" t="str">
        <f aca="false">IF($Q1925=1,$O1925-ROW()/100000,"")</f>
        <v/>
      </c>
      <c r="S1925" s="37" t="str">
        <f aca="false">IF($A1925="","",INT($A1925))</f>
        <v/>
      </c>
      <c r="T1925" s="35" t="str">
        <f aca="false">IF($A1925="","",IF(COUNTIFS($S$3:$S1925,$S1925)=1,1,0))</f>
        <v/>
      </c>
      <c r="U1925" s="37" t="str">
        <f aca="false">IF($T1925=1,$S1925,"")</f>
        <v/>
      </c>
    </row>
    <row r="1926" customFormat="false" ht="15" hidden="false" customHeight="false" outlineLevel="0" collapsed="false">
      <c r="M1926" s="35" t="str">
        <f aca="false">IF($A1926="","",HOUR($A1926))</f>
        <v/>
      </c>
      <c r="N1926" s="36" t="str">
        <f aca="false">IF($A1926="","",$I1926*$K1926)</f>
        <v/>
      </c>
      <c r="O1926" s="35" t="str">
        <f aca="false">IF(OR($A1926="",$C1926="U",$S1926&lt;&gt;Calc!$F$2),"",SUMIFS($I$3:$I$3002,$E$3:$E$3002,$E1926,$C$3:$C$3002,"&lt;&gt;U",$S$3:$S$3002,Calc!$F$2))</f>
        <v/>
      </c>
      <c r="P1926" s="35" t="str">
        <f aca="false">IF(OR($A1926="",$C1926="U",$S1926&lt;&gt;Calc!$F$2),"",SUMIFS($N$3:$N$3002,$E$3:$E$3002,$E1926,$C$3:$C$3002,"&lt;&gt;U",$S$3:$S$3002,Calc!$F$2))</f>
        <v/>
      </c>
      <c r="Q1926" s="35" t="str">
        <f aca="false">IF(OR($A1926="",$C1926="U",$S1926&lt;&gt;Calc!$F$2),"",IF(COUNTIFS($E$3:$E1926,$E1926,$C$3:$C1926,"&lt;&gt;U",$S$3:$S1926,Calc!$F$2)=1,1,0))</f>
        <v/>
      </c>
      <c r="R1926" s="35" t="str">
        <f aca="false">IF($Q1926=1,$O1926-ROW()/100000,"")</f>
        <v/>
      </c>
      <c r="S1926" s="37" t="str">
        <f aca="false">IF($A1926="","",INT($A1926))</f>
        <v/>
      </c>
      <c r="T1926" s="35" t="str">
        <f aca="false">IF($A1926="","",IF(COUNTIFS($S$3:$S1926,$S1926)=1,1,0))</f>
        <v/>
      </c>
      <c r="U1926" s="37" t="str">
        <f aca="false">IF($T1926=1,$S1926,"")</f>
        <v/>
      </c>
    </row>
    <row r="1927" customFormat="false" ht="15" hidden="false" customHeight="false" outlineLevel="0" collapsed="false">
      <c r="M1927" s="35" t="str">
        <f aca="false">IF($A1927="","",HOUR($A1927))</f>
        <v/>
      </c>
      <c r="N1927" s="36" t="str">
        <f aca="false">IF($A1927="","",$I1927*$K1927)</f>
        <v/>
      </c>
      <c r="O1927" s="35" t="str">
        <f aca="false">IF(OR($A1927="",$C1927="U",$S1927&lt;&gt;Calc!$F$2),"",SUMIFS($I$3:$I$3002,$E$3:$E$3002,$E1927,$C$3:$C$3002,"&lt;&gt;U",$S$3:$S$3002,Calc!$F$2))</f>
        <v/>
      </c>
      <c r="P1927" s="35" t="str">
        <f aca="false">IF(OR($A1927="",$C1927="U",$S1927&lt;&gt;Calc!$F$2),"",SUMIFS($N$3:$N$3002,$E$3:$E$3002,$E1927,$C$3:$C$3002,"&lt;&gt;U",$S$3:$S$3002,Calc!$F$2))</f>
        <v/>
      </c>
      <c r="Q1927" s="35" t="str">
        <f aca="false">IF(OR($A1927="",$C1927="U",$S1927&lt;&gt;Calc!$F$2),"",IF(COUNTIFS($E$3:$E1927,$E1927,$C$3:$C1927,"&lt;&gt;U",$S$3:$S1927,Calc!$F$2)=1,1,0))</f>
        <v/>
      </c>
      <c r="R1927" s="35" t="str">
        <f aca="false">IF($Q1927=1,$O1927-ROW()/100000,"")</f>
        <v/>
      </c>
      <c r="S1927" s="37" t="str">
        <f aca="false">IF($A1927="","",INT($A1927))</f>
        <v/>
      </c>
      <c r="T1927" s="35" t="str">
        <f aca="false">IF($A1927="","",IF(COUNTIFS($S$3:$S1927,$S1927)=1,1,0))</f>
        <v/>
      </c>
      <c r="U1927" s="37" t="str">
        <f aca="false">IF($T1927=1,$S1927,"")</f>
        <v/>
      </c>
    </row>
    <row r="1928" customFormat="false" ht="15" hidden="false" customHeight="false" outlineLevel="0" collapsed="false">
      <c r="M1928" s="35" t="str">
        <f aca="false">IF($A1928="","",HOUR($A1928))</f>
        <v/>
      </c>
      <c r="N1928" s="36" t="str">
        <f aca="false">IF($A1928="","",$I1928*$K1928)</f>
        <v/>
      </c>
      <c r="O1928" s="35" t="str">
        <f aca="false">IF(OR($A1928="",$C1928="U",$S1928&lt;&gt;Calc!$F$2),"",SUMIFS($I$3:$I$3002,$E$3:$E$3002,$E1928,$C$3:$C$3002,"&lt;&gt;U",$S$3:$S$3002,Calc!$F$2))</f>
        <v/>
      </c>
      <c r="P1928" s="35" t="str">
        <f aca="false">IF(OR($A1928="",$C1928="U",$S1928&lt;&gt;Calc!$F$2),"",SUMIFS($N$3:$N$3002,$E$3:$E$3002,$E1928,$C$3:$C$3002,"&lt;&gt;U",$S$3:$S$3002,Calc!$F$2))</f>
        <v/>
      </c>
      <c r="Q1928" s="35" t="str">
        <f aca="false">IF(OR($A1928="",$C1928="U",$S1928&lt;&gt;Calc!$F$2),"",IF(COUNTIFS($E$3:$E1928,$E1928,$C$3:$C1928,"&lt;&gt;U",$S$3:$S1928,Calc!$F$2)=1,1,0))</f>
        <v/>
      </c>
      <c r="R1928" s="35" t="str">
        <f aca="false">IF($Q1928=1,$O1928-ROW()/100000,"")</f>
        <v/>
      </c>
      <c r="S1928" s="37" t="str">
        <f aca="false">IF($A1928="","",INT($A1928))</f>
        <v/>
      </c>
      <c r="T1928" s="35" t="str">
        <f aca="false">IF($A1928="","",IF(COUNTIFS($S$3:$S1928,$S1928)=1,1,0))</f>
        <v/>
      </c>
      <c r="U1928" s="37" t="str">
        <f aca="false">IF($T1928=1,$S1928,"")</f>
        <v/>
      </c>
    </row>
    <row r="1929" customFormat="false" ht="15" hidden="false" customHeight="false" outlineLevel="0" collapsed="false">
      <c r="M1929" s="35" t="str">
        <f aca="false">IF($A1929="","",HOUR($A1929))</f>
        <v/>
      </c>
      <c r="N1929" s="36" t="str">
        <f aca="false">IF($A1929="","",$I1929*$K1929)</f>
        <v/>
      </c>
      <c r="O1929" s="35" t="str">
        <f aca="false">IF(OR($A1929="",$C1929="U",$S1929&lt;&gt;Calc!$F$2),"",SUMIFS($I$3:$I$3002,$E$3:$E$3002,$E1929,$C$3:$C$3002,"&lt;&gt;U",$S$3:$S$3002,Calc!$F$2))</f>
        <v/>
      </c>
      <c r="P1929" s="35" t="str">
        <f aca="false">IF(OR($A1929="",$C1929="U",$S1929&lt;&gt;Calc!$F$2),"",SUMIFS($N$3:$N$3002,$E$3:$E$3002,$E1929,$C$3:$C$3002,"&lt;&gt;U",$S$3:$S$3002,Calc!$F$2))</f>
        <v/>
      </c>
      <c r="Q1929" s="35" t="str">
        <f aca="false">IF(OR($A1929="",$C1929="U",$S1929&lt;&gt;Calc!$F$2),"",IF(COUNTIFS($E$3:$E1929,$E1929,$C$3:$C1929,"&lt;&gt;U",$S$3:$S1929,Calc!$F$2)=1,1,0))</f>
        <v/>
      </c>
      <c r="R1929" s="35" t="str">
        <f aca="false">IF($Q1929=1,$O1929-ROW()/100000,"")</f>
        <v/>
      </c>
      <c r="S1929" s="37" t="str">
        <f aca="false">IF($A1929="","",INT($A1929))</f>
        <v/>
      </c>
      <c r="T1929" s="35" t="str">
        <f aca="false">IF($A1929="","",IF(COUNTIFS($S$3:$S1929,$S1929)=1,1,0))</f>
        <v/>
      </c>
      <c r="U1929" s="37" t="str">
        <f aca="false">IF($T1929=1,$S1929,"")</f>
        <v/>
      </c>
    </row>
    <row r="1930" customFormat="false" ht="15" hidden="false" customHeight="false" outlineLevel="0" collapsed="false">
      <c r="M1930" s="35" t="str">
        <f aca="false">IF($A1930="","",HOUR($A1930))</f>
        <v/>
      </c>
      <c r="N1930" s="36" t="str">
        <f aca="false">IF($A1930="","",$I1930*$K1930)</f>
        <v/>
      </c>
      <c r="O1930" s="35" t="str">
        <f aca="false">IF(OR($A1930="",$C1930="U",$S1930&lt;&gt;Calc!$F$2),"",SUMIFS($I$3:$I$3002,$E$3:$E$3002,$E1930,$C$3:$C$3002,"&lt;&gt;U",$S$3:$S$3002,Calc!$F$2))</f>
        <v/>
      </c>
      <c r="P1930" s="35" t="str">
        <f aca="false">IF(OR($A1930="",$C1930="U",$S1930&lt;&gt;Calc!$F$2),"",SUMIFS($N$3:$N$3002,$E$3:$E$3002,$E1930,$C$3:$C$3002,"&lt;&gt;U",$S$3:$S$3002,Calc!$F$2))</f>
        <v/>
      </c>
      <c r="Q1930" s="35" t="str">
        <f aca="false">IF(OR($A1930="",$C1930="U",$S1930&lt;&gt;Calc!$F$2),"",IF(COUNTIFS($E$3:$E1930,$E1930,$C$3:$C1930,"&lt;&gt;U",$S$3:$S1930,Calc!$F$2)=1,1,0))</f>
        <v/>
      </c>
      <c r="R1930" s="35" t="str">
        <f aca="false">IF($Q1930=1,$O1930-ROW()/100000,"")</f>
        <v/>
      </c>
      <c r="S1930" s="37" t="str">
        <f aca="false">IF($A1930="","",INT($A1930))</f>
        <v/>
      </c>
      <c r="T1930" s="35" t="str">
        <f aca="false">IF($A1930="","",IF(COUNTIFS($S$3:$S1930,$S1930)=1,1,0))</f>
        <v/>
      </c>
      <c r="U1930" s="37" t="str">
        <f aca="false">IF($T1930=1,$S1930,"")</f>
        <v/>
      </c>
    </row>
    <row r="1931" customFormat="false" ht="15" hidden="false" customHeight="false" outlineLevel="0" collapsed="false">
      <c r="M1931" s="35" t="str">
        <f aca="false">IF($A1931="","",HOUR($A1931))</f>
        <v/>
      </c>
      <c r="N1931" s="36" t="str">
        <f aca="false">IF($A1931="","",$I1931*$K1931)</f>
        <v/>
      </c>
      <c r="O1931" s="35" t="str">
        <f aca="false">IF(OR($A1931="",$C1931="U",$S1931&lt;&gt;Calc!$F$2),"",SUMIFS($I$3:$I$3002,$E$3:$E$3002,$E1931,$C$3:$C$3002,"&lt;&gt;U",$S$3:$S$3002,Calc!$F$2))</f>
        <v/>
      </c>
      <c r="P1931" s="35" t="str">
        <f aca="false">IF(OR($A1931="",$C1931="U",$S1931&lt;&gt;Calc!$F$2),"",SUMIFS($N$3:$N$3002,$E$3:$E$3002,$E1931,$C$3:$C$3002,"&lt;&gt;U",$S$3:$S$3002,Calc!$F$2))</f>
        <v/>
      </c>
      <c r="Q1931" s="35" t="str">
        <f aca="false">IF(OR($A1931="",$C1931="U",$S1931&lt;&gt;Calc!$F$2),"",IF(COUNTIFS($E$3:$E1931,$E1931,$C$3:$C1931,"&lt;&gt;U",$S$3:$S1931,Calc!$F$2)=1,1,0))</f>
        <v/>
      </c>
      <c r="R1931" s="35" t="str">
        <f aca="false">IF($Q1931=1,$O1931-ROW()/100000,"")</f>
        <v/>
      </c>
      <c r="S1931" s="37" t="str">
        <f aca="false">IF($A1931="","",INT($A1931))</f>
        <v/>
      </c>
      <c r="T1931" s="35" t="str">
        <f aca="false">IF($A1931="","",IF(COUNTIFS($S$3:$S1931,$S1931)=1,1,0))</f>
        <v/>
      </c>
      <c r="U1931" s="37" t="str">
        <f aca="false">IF($T1931=1,$S1931,"")</f>
        <v/>
      </c>
    </row>
    <row r="1932" customFormat="false" ht="15" hidden="false" customHeight="false" outlineLevel="0" collapsed="false">
      <c r="M1932" s="35" t="str">
        <f aca="false">IF($A1932="","",HOUR($A1932))</f>
        <v/>
      </c>
      <c r="N1932" s="36" t="str">
        <f aca="false">IF($A1932="","",$I1932*$K1932)</f>
        <v/>
      </c>
      <c r="O1932" s="35" t="str">
        <f aca="false">IF(OR($A1932="",$C1932="U",$S1932&lt;&gt;Calc!$F$2),"",SUMIFS($I$3:$I$3002,$E$3:$E$3002,$E1932,$C$3:$C$3002,"&lt;&gt;U",$S$3:$S$3002,Calc!$F$2))</f>
        <v/>
      </c>
      <c r="P1932" s="35" t="str">
        <f aca="false">IF(OR($A1932="",$C1932="U",$S1932&lt;&gt;Calc!$F$2),"",SUMIFS($N$3:$N$3002,$E$3:$E$3002,$E1932,$C$3:$C$3002,"&lt;&gt;U",$S$3:$S$3002,Calc!$F$2))</f>
        <v/>
      </c>
      <c r="Q1932" s="35" t="str">
        <f aca="false">IF(OR($A1932="",$C1932="U",$S1932&lt;&gt;Calc!$F$2),"",IF(COUNTIFS($E$3:$E1932,$E1932,$C$3:$C1932,"&lt;&gt;U",$S$3:$S1932,Calc!$F$2)=1,1,0))</f>
        <v/>
      </c>
      <c r="R1932" s="35" t="str">
        <f aca="false">IF($Q1932=1,$O1932-ROW()/100000,"")</f>
        <v/>
      </c>
      <c r="S1932" s="37" t="str">
        <f aca="false">IF($A1932="","",INT($A1932))</f>
        <v/>
      </c>
      <c r="T1932" s="35" t="str">
        <f aca="false">IF($A1932="","",IF(COUNTIFS($S$3:$S1932,$S1932)=1,1,0))</f>
        <v/>
      </c>
      <c r="U1932" s="37" t="str">
        <f aca="false">IF($T1932=1,$S1932,"")</f>
        <v/>
      </c>
    </row>
    <row r="1933" customFormat="false" ht="15" hidden="false" customHeight="false" outlineLevel="0" collapsed="false">
      <c r="M1933" s="35" t="str">
        <f aca="false">IF($A1933="","",HOUR($A1933))</f>
        <v/>
      </c>
      <c r="N1933" s="36" t="str">
        <f aca="false">IF($A1933="","",$I1933*$K1933)</f>
        <v/>
      </c>
      <c r="O1933" s="35" t="str">
        <f aca="false">IF(OR($A1933="",$C1933="U",$S1933&lt;&gt;Calc!$F$2),"",SUMIFS($I$3:$I$3002,$E$3:$E$3002,$E1933,$C$3:$C$3002,"&lt;&gt;U",$S$3:$S$3002,Calc!$F$2))</f>
        <v/>
      </c>
      <c r="P1933" s="35" t="str">
        <f aca="false">IF(OR($A1933="",$C1933="U",$S1933&lt;&gt;Calc!$F$2),"",SUMIFS($N$3:$N$3002,$E$3:$E$3002,$E1933,$C$3:$C$3002,"&lt;&gt;U",$S$3:$S$3002,Calc!$F$2))</f>
        <v/>
      </c>
      <c r="Q1933" s="35" t="str">
        <f aca="false">IF(OR($A1933="",$C1933="U",$S1933&lt;&gt;Calc!$F$2),"",IF(COUNTIFS($E$3:$E1933,$E1933,$C$3:$C1933,"&lt;&gt;U",$S$3:$S1933,Calc!$F$2)=1,1,0))</f>
        <v/>
      </c>
      <c r="R1933" s="35" t="str">
        <f aca="false">IF($Q1933=1,$O1933-ROW()/100000,"")</f>
        <v/>
      </c>
      <c r="S1933" s="37" t="str">
        <f aca="false">IF($A1933="","",INT($A1933))</f>
        <v/>
      </c>
      <c r="T1933" s="35" t="str">
        <f aca="false">IF($A1933="","",IF(COUNTIFS($S$3:$S1933,$S1933)=1,1,0))</f>
        <v/>
      </c>
      <c r="U1933" s="37" t="str">
        <f aca="false">IF($T1933=1,$S1933,"")</f>
        <v/>
      </c>
    </row>
    <row r="1934" customFormat="false" ht="15" hidden="false" customHeight="false" outlineLevel="0" collapsed="false">
      <c r="M1934" s="35" t="str">
        <f aca="false">IF($A1934="","",HOUR($A1934))</f>
        <v/>
      </c>
      <c r="N1934" s="36" t="str">
        <f aca="false">IF($A1934="","",$I1934*$K1934)</f>
        <v/>
      </c>
      <c r="O1934" s="35" t="str">
        <f aca="false">IF(OR($A1934="",$C1934="U",$S1934&lt;&gt;Calc!$F$2),"",SUMIFS($I$3:$I$3002,$E$3:$E$3002,$E1934,$C$3:$C$3002,"&lt;&gt;U",$S$3:$S$3002,Calc!$F$2))</f>
        <v/>
      </c>
      <c r="P1934" s="35" t="str">
        <f aca="false">IF(OR($A1934="",$C1934="U",$S1934&lt;&gt;Calc!$F$2),"",SUMIFS($N$3:$N$3002,$E$3:$E$3002,$E1934,$C$3:$C$3002,"&lt;&gt;U",$S$3:$S$3002,Calc!$F$2))</f>
        <v/>
      </c>
      <c r="Q1934" s="35" t="str">
        <f aca="false">IF(OR($A1934="",$C1934="U",$S1934&lt;&gt;Calc!$F$2),"",IF(COUNTIFS($E$3:$E1934,$E1934,$C$3:$C1934,"&lt;&gt;U",$S$3:$S1934,Calc!$F$2)=1,1,0))</f>
        <v/>
      </c>
      <c r="R1934" s="35" t="str">
        <f aca="false">IF($Q1934=1,$O1934-ROW()/100000,"")</f>
        <v/>
      </c>
      <c r="S1934" s="37" t="str">
        <f aca="false">IF($A1934="","",INT($A1934))</f>
        <v/>
      </c>
      <c r="T1934" s="35" t="str">
        <f aca="false">IF($A1934="","",IF(COUNTIFS($S$3:$S1934,$S1934)=1,1,0))</f>
        <v/>
      </c>
      <c r="U1934" s="37" t="str">
        <f aca="false">IF($T1934=1,$S1934,"")</f>
        <v/>
      </c>
    </row>
    <row r="1935" customFormat="false" ht="15" hidden="false" customHeight="false" outlineLevel="0" collapsed="false">
      <c r="M1935" s="35" t="str">
        <f aca="false">IF($A1935="","",HOUR($A1935))</f>
        <v/>
      </c>
      <c r="N1935" s="36" t="str">
        <f aca="false">IF($A1935="","",$I1935*$K1935)</f>
        <v/>
      </c>
      <c r="O1935" s="35" t="str">
        <f aca="false">IF(OR($A1935="",$C1935="U",$S1935&lt;&gt;Calc!$F$2),"",SUMIFS($I$3:$I$3002,$E$3:$E$3002,$E1935,$C$3:$C$3002,"&lt;&gt;U",$S$3:$S$3002,Calc!$F$2))</f>
        <v/>
      </c>
      <c r="P1935" s="35" t="str">
        <f aca="false">IF(OR($A1935="",$C1935="U",$S1935&lt;&gt;Calc!$F$2),"",SUMIFS($N$3:$N$3002,$E$3:$E$3002,$E1935,$C$3:$C$3002,"&lt;&gt;U",$S$3:$S$3002,Calc!$F$2))</f>
        <v/>
      </c>
      <c r="Q1935" s="35" t="str">
        <f aca="false">IF(OR($A1935="",$C1935="U",$S1935&lt;&gt;Calc!$F$2),"",IF(COUNTIFS($E$3:$E1935,$E1935,$C$3:$C1935,"&lt;&gt;U",$S$3:$S1935,Calc!$F$2)=1,1,0))</f>
        <v/>
      </c>
      <c r="R1935" s="35" t="str">
        <f aca="false">IF($Q1935=1,$O1935-ROW()/100000,"")</f>
        <v/>
      </c>
      <c r="S1935" s="37" t="str">
        <f aca="false">IF($A1935="","",INT($A1935))</f>
        <v/>
      </c>
      <c r="T1935" s="35" t="str">
        <f aca="false">IF($A1935="","",IF(COUNTIFS($S$3:$S1935,$S1935)=1,1,0))</f>
        <v/>
      </c>
      <c r="U1935" s="37" t="str">
        <f aca="false">IF($T1935=1,$S1935,"")</f>
        <v/>
      </c>
    </row>
    <row r="1936" customFormat="false" ht="15" hidden="false" customHeight="false" outlineLevel="0" collapsed="false">
      <c r="M1936" s="35" t="str">
        <f aca="false">IF($A1936="","",HOUR($A1936))</f>
        <v/>
      </c>
      <c r="N1936" s="36" t="str">
        <f aca="false">IF($A1936="","",$I1936*$K1936)</f>
        <v/>
      </c>
      <c r="O1936" s="35" t="str">
        <f aca="false">IF(OR($A1936="",$C1936="U",$S1936&lt;&gt;Calc!$F$2),"",SUMIFS($I$3:$I$3002,$E$3:$E$3002,$E1936,$C$3:$C$3002,"&lt;&gt;U",$S$3:$S$3002,Calc!$F$2))</f>
        <v/>
      </c>
      <c r="P1936" s="35" t="str">
        <f aca="false">IF(OR($A1936="",$C1936="U",$S1936&lt;&gt;Calc!$F$2),"",SUMIFS($N$3:$N$3002,$E$3:$E$3002,$E1936,$C$3:$C$3002,"&lt;&gt;U",$S$3:$S$3002,Calc!$F$2))</f>
        <v/>
      </c>
      <c r="Q1936" s="35" t="str">
        <f aca="false">IF(OR($A1936="",$C1936="U",$S1936&lt;&gt;Calc!$F$2),"",IF(COUNTIFS($E$3:$E1936,$E1936,$C$3:$C1936,"&lt;&gt;U",$S$3:$S1936,Calc!$F$2)=1,1,0))</f>
        <v/>
      </c>
      <c r="R1936" s="35" t="str">
        <f aca="false">IF($Q1936=1,$O1936-ROW()/100000,"")</f>
        <v/>
      </c>
      <c r="S1936" s="37" t="str">
        <f aca="false">IF($A1936="","",INT($A1936))</f>
        <v/>
      </c>
      <c r="T1936" s="35" t="str">
        <f aca="false">IF($A1936="","",IF(COUNTIFS($S$3:$S1936,$S1936)=1,1,0))</f>
        <v/>
      </c>
      <c r="U1936" s="37" t="str">
        <f aca="false">IF($T1936=1,$S1936,"")</f>
        <v/>
      </c>
    </row>
    <row r="1937" customFormat="false" ht="15" hidden="false" customHeight="false" outlineLevel="0" collapsed="false">
      <c r="M1937" s="35" t="str">
        <f aca="false">IF($A1937="","",HOUR($A1937))</f>
        <v/>
      </c>
      <c r="N1937" s="36" t="str">
        <f aca="false">IF($A1937="","",$I1937*$K1937)</f>
        <v/>
      </c>
      <c r="O1937" s="35" t="str">
        <f aca="false">IF(OR($A1937="",$C1937="U",$S1937&lt;&gt;Calc!$F$2),"",SUMIFS($I$3:$I$3002,$E$3:$E$3002,$E1937,$C$3:$C$3002,"&lt;&gt;U",$S$3:$S$3002,Calc!$F$2))</f>
        <v/>
      </c>
      <c r="P1937" s="35" t="str">
        <f aca="false">IF(OR($A1937="",$C1937="U",$S1937&lt;&gt;Calc!$F$2),"",SUMIFS($N$3:$N$3002,$E$3:$E$3002,$E1937,$C$3:$C$3002,"&lt;&gt;U",$S$3:$S$3002,Calc!$F$2))</f>
        <v/>
      </c>
      <c r="Q1937" s="35" t="str">
        <f aca="false">IF(OR($A1937="",$C1937="U",$S1937&lt;&gt;Calc!$F$2),"",IF(COUNTIFS($E$3:$E1937,$E1937,$C$3:$C1937,"&lt;&gt;U",$S$3:$S1937,Calc!$F$2)=1,1,0))</f>
        <v/>
      </c>
      <c r="R1937" s="35" t="str">
        <f aca="false">IF($Q1937=1,$O1937-ROW()/100000,"")</f>
        <v/>
      </c>
      <c r="S1937" s="37" t="str">
        <f aca="false">IF($A1937="","",INT($A1937))</f>
        <v/>
      </c>
      <c r="T1937" s="35" t="str">
        <f aca="false">IF($A1937="","",IF(COUNTIFS($S$3:$S1937,$S1937)=1,1,0))</f>
        <v/>
      </c>
      <c r="U1937" s="37" t="str">
        <f aca="false">IF($T1937=1,$S1937,"")</f>
        <v/>
      </c>
    </row>
    <row r="1938" customFormat="false" ht="15" hidden="false" customHeight="false" outlineLevel="0" collapsed="false">
      <c r="M1938" s="35" t="str">
        <f aca="false">IF($A1938="","",HOUR($A1938))</f>
        <v/>
      </c>
      <c r="N1938" s="36" t="str">
        <f aca="false">IF($A1938="","",$I1938*$K1938)</f>
        <v/>
      </c>
      <c r="O1938" s="35" t="str">
        <f aca="false">IF(OR($A1938="",$C1938="U",$S1938&lt;&gt;Calc!$F$2),"",SUMIFS($I$3:$I$3002,$E$3:$E$3002,$E1938,$C$3:$C$3002,"&lt;&gt;U",$S$3:$S$3002,Calc!$F$2))</f>
        <v/>
      </c>
      <c r="P1938" s="35" t="str">
        <f aca="false">IF(OR($A1938="",$C1938="U",$S1938&lt;&gt;Calc!$F$2),"",SUMIFS($N$3:$N$3002,$E$3:$E$3002,$E1938,$C$3:$C$3002,"&lt;&gt;U",$S$3:$S$3002,Calc!$F$2))</f>
        <v/>
      </c>
      <c r="Q1938" s="35" t="str">
        <f aca="false">IF(OR($A1938="",$C1938="U",$S1938&lt;&gt;Calc!$F$2),"",IF(COUNTIFS($E$3:$E1938,$E1938,$C$3:$C1938,"&lt;&gt;U",$S$3:$S1938,Calc!$F$2)=1,1,0))</f>
        <v/>
      </c>
      <c r="R1938" s="35" t="str">
        <f aca="false">IF($Q1938=1,$O1938-ROW()/100000,"")</f>
        <v/>
      </c>
      <c r="S1938" s="37" t="str">
        <f aca="false">IF($A1938="","",INT($A1938))</f>
        <v/>
      </c>
      <c r="T1938" s="35" t="str">
        <f aca="false">IF($A1938="","",IF(COUNTIFS($S$3:$S1938,$S1938)=1,1,0))</f>
        <v/>
      </c>
      <c r="U1938" s="37" t="str">
        <f aca="false">IF($T1938=1,$S1938,"")</f>
        <v/>
      </c>
    </row>
    <row r="1939" customFormat="false" ht="15" hidden="false" customHeight="false" outlineLevel="0" collapsed="false">
      <c r="M1939" s="35" t="str">
        <f aca="false">IF($A1939="","",HOUR($A1939))</f>
        <v/>
      </c>
      <c r="N1939" s="36" t="str">
        <f aca="false">IF($A1939="","",$I1939*$K1939)</f>
        <v/>
      </c>
      <c r="O1939" s="35" t="str">
        <f aca="false">IF(OR($A1939="",$C1939="U",$S1939&lt;&gt;Calc!$F$2),"",SUMIFS($I$3:$I$3002,$E$3:$E$3002,$E1939,$C$3:$C$3002,"&lt;&gt;U",$S$3:$S$3002,Calc!$F$2))</f>
        <v/>
      </c>
      <c r="P1939" s="35" t="str">
        <f aca="false">IF(OR($A1939="",$C1939="U",$S1939&lt;&gt;Calc!$F$2),"",SUMIFS($N$3:$N$3002,$E$3:$E$3002,$E1939,$C$3:$C$3002,"&lt;&gt;U",$S$3:$S$3002,Calc!$F$2))</f>
        <v/>
      </c>
      <c r="Q1939" s="35" t="str">
        <f aca="false">IF(OR($A1939="",$C1939="U",$S1939&lt;&gt;Calc!$F$2),"",IF(COUNTIFS($E$3:$E1939,$E1939,$C$3:$C1939,"&lt;&gt;U",$S$3:$S1939,Calc!$F$2)=1,1,0))</f>
        <v/>
      </c>
      <c r="R1939" s="35" t="str">
        <f aca="false">IF($Q1939=1,$O1939-ROW()/100000,"")</f>
        <v/>
      </c>
      <c r="S1939" s="37" t="str">
        <f aca="false">IF($A1939="","",INT($A1939))</f>
        <v/>
      </c>
      <c r="T1939" s="35" t="str">
        <f aca="false">IF($A1939="","",IF(COUNTIFS($S$3:$S1939,$S1939)=1,1,0))</f>
        <v/>
      </c>
      <c r="U1939" s="37" t="str">
        <f aca="false">IF($T1939=1,$S1939,"")</f>
        <v/>
      </c>
    </row>
    <row r="1940" customFormat="false" ht="15" hidden="false" customHeight="false" outlineLevel="0" collapsed="false">
      <c r="M1940" s="35" t="str">
        <f aca="false">IF($A1940="","",HOUR($A1940))</f>
        <v/>
      </c>
      <c r="N1940" s="36" t="str">
        <f aca="false">IF($A1940="","",$I1940*$K1940)</f>
        <v/>
      </c>
      <c r="O1940" s="35" t="str">
        <f aca="false">IF(OR($A1940="",$C1940="U",$S1940&lt;&gt;Calc!$F$2),"",SUMIFS($I$3:$I$3002,$E$3:$E$3002,$E1940,$C$3:$C$3002,"&lt;&gt;U",$S$3:$S$3002,Calc!$F$2))</f>
        <v/>
      </c>
      <c r="P1940" s="35" t="str">
        <f aca="false">IF(OR($A1940="",$C1940="U",$S1940&lt;&gt;Calc!$F$2),"",SUMIFS($N$3:$N$3002,$E$3:$E$3002,$E1940,$C$3:$C$3002,"&lt;&gt;U",$S$3:$S$3002,Calc!$F$2))</f>
        <v/>
      </c>
      <c r="Q1940" s="35" t="str">
        <f aca="false">IF(OR($A1940="",$C1940="U",$S1940&lt;&gt;Calc!$F$2),"",IF(COUNTIFS($E$3:$E1940,$E1940,$C$3:$C1940,"&lt;&gt;U",$S$3:$S1940,Calc!$F$2)=1,1,0))</f>
        <v/>
      </c>
      <c r="R1940" s="35" t="str">
        <f aca="false">IF($Q1940=1,$O1940-ROW()/100000,"")</f>
        <v/>
      </c>
      <c r="S1940" s="37" t="str">
        <f aca="false">IF($A1940="","",INT($A1940))</f>
        <v/>
      </c>
      <c r="T1940" s="35" t="str">
        <f aca="false">IF($A1940="","",IF(COUNTIFS($S$3:$S1940,$S1940)=1,1,0))</f>
        <v/>
      </c>
      <c r="U1940" s="37" t="str">
        <f aca="false">IF($T1940=1,$S1940,"")</f>
        <v/>
      </c>
    </row>
    <row r="1941" customFormat="false" ht="15" hidden="false" customHeight="false" outlineLevel="0" collapsed="false">
      <c r="M1941" s="35" t="str">
        <f aca="false">IF($A1941="","",HOUR($A1941))</f>
        <v/>
      </c>
      <c r="N1941" s="36" t="str">
        <f aca="false">IF($A1941="","",$I1941*$K1941)</f>
        <v/>
      </c>
      <c r="O1941" s="35" t="str">
        <f aca="false">IF(OR($A1941="",$C1941="U",$S1941&lt;&gt;Calc!$F$2),"",SUMIFS($I$3:$I$3002,$E$3:$E$3002,$E1941,$C$3:$C$3002,"&lt;&gt;U",$S$3:$S$3002,Calc!$F$2))</f>
        <v/>
      </c>
      <c r="P1941" s="35" t="str">
        <f aca="false">IF(OR($A1941="",$C1941="U",$S1941&lt;&gt;Calc!$F$2),"",SUMIFS($N$3:$N$3002,$E$3:$E$3002,$E1941,$C$3:$C$3002,"&lt;&gt;U",$S$3:$S$3002,Calc!$F$2))</f>
        <v/>
      </c>
      <c r="Q1941" s="35" t="str">
        <f aca="false">IF(OR($A1941="",$C1941="U",$S1941&lt;&gt;Calc!$F$2),"",IF(COUNTIFS($E$3:$E1941,$E1941,$C$3:$C1941,"&lt;&gt;U",$S$3:$S1941,Calc!$F$2)=1,1,0))</f>
        <v/>
      </c>
      <c r="R1941" s="35" t="str">
        <f aca="false">IF($Q1941=1,$O1941-ROW()/100000,"")</f>
        <v/>
      </c>
      <c r="S1941" s="37" t="str">
        <f aca="false">IF($A1941="","",INT($A1941))</f>
        <v/>
      </c>
      <c r="T1941" s="35" t="str">
        <f aca="false">IF($A1941="","",IF(COUNTIFS($S$3:$S1941,$S1941)=1,1,0))</f>
        <v/>
      </c>
      <c r="U1941" s="37" t="str">
        <f aca="false">IF($T1941=1,$S1941,"")</f>
        <v/>
      </c>
    </row>
    <row r="1942" customFormat="false" ht="15" hidden="false" customHeight="false" outlineLevel="0" collapsed="false">
      <c r="M1942" s="35" t="str">
        <f aca="false">IF($A1942="","",HOUR($A1942))</f>
        <v/>
      </c>
      <c r="N1942" s="36" t="str">
        <f aca="false">IF($A1942="","",$I1942*$K1942)</f>
        <v/>
      </c>
      <c r="O1942" s="35" t="str">
        <f aca="false">IF(OR($A1942="",$C1942="U",$S1942&lt;&gt;Calc!$F$2),"",SUMIFS($I$3:$I$3002,$E$3:$E$3002,$E1942,$C$3:$C$3002,"&lt;&gt;U",$S$3:$S$3002,Calc!$F$2))</f>
        <v/>
      </c>
      <c r="P1942" s="35" t="str">
        <f aca="false">IF(OR($A1942="",$C1942="U",$S1942&lt;&gt;Calc!$F$2),"",SUMIFS($N$3:$N$3002,$E$3:$E$3002,$E1942,$C$3:$C$3002,"&lt;&gt;U",$S$3:$S$3002,Calc!$F$2))</f>
        <v/>
      </c>
      <c r="Q1942" s="35" t="str">
        <f aca="false">IF(OR($A1942="",$C1942="U",$S1942&lt;&gt;Calc!$F$2),"",IF(COUNTIFS($E$3:$E1942,$E1942,$C$3:$C1942,"&lt;&gt;U",$S$3:$S1942,Calc!$F$2)=1,1,0))</f>
        <v/>
      </c>
      <c r="R1942" s="35" t="str">
        <f aca="false">IF($Q1942=1,$O1942-ROW()/100000,"")</f>
        <v/>
      </c>
      <c r="S1942" s="37" t="str">
        <f aca="false">IF($A1942="","",INT($A1942))</f>
        <v/>
      </c>
      <c r="T1942" s="35" t="str">
        <f aca="false">IF($A1942="","",IF(COUNTIFS($S$3:$S1942,$S1942)=1,1,0))</f>
        <v/>
      </c>
      <c r="U1942" s="37" t="str">
        <f aca="false">IF($T1942=1,$S1942,"")</f>
        <v/>
      </c>
    </row>
    <row r="1943" customFormat="false" ht="15" hidden="false" customHeight="false" outlineLevel="0" collapsed="false">
      <c r="M1943" s="35" t="str">
        <f aca="false">IF($A1943="","",HOUR($A1943))</f>
        <v/>
      </c>
      <c r="N1943" s="36" t="str">
        <f aca="false">IF($A1943="","",$I1943*$K1943)</f>
        <v/>
      </c>
      <c r="O1943" s="35" t="str">
        <f aca="false">IF(OR($A1943="",$C1943="U",$S1943&lt;&gt;Calc!$F$2),"",SUMIFS($I$3:$I$3002,$E$3:$E$3002,$E1943,$C$3:$C$3002,"&lt;&gt;U",$S$3:$S$3002,Calc!$F$2))</f>
        <v/>
      </c>
      <c r="P1943" s="35" t="str">
        <f aca="false">IF(OR($A1943="",$C1943="U",$S1943&lt;&gt;Calc!$F$2),"",SUMIFS($N$3:$N$3002,$E$3:$E$3002,$E1943,$C$3:$C$3002,"&lt;&gt;U",$S$3:$S$3002,Calc!$F$2))</f>
        <v/>
      </c>
      <c r="Q1943" s="35" t="str">
        <f aca="false">IF(OR($A1943="",$C1943="U",$S1943&lt;&gt;Calc!$F$2),"",IF(COUNTIFS($E$3:$E1943,$E1943,$C$3:$C1943,"&lt;&gt;U",$S$3:$S1943,Calc!$F$2)=1,1,0))</f>
        <v/>
      </c>
      <c r="R1943" s="35" t="str">
        <f aca="false">IF($Q1943=1,$O1943-ROW()/100000,"")</f>
        <v/>
      </c>
      <c r="S1943" s="37" t="str">
        <f aca="false">IF($A1943="","",INT($A1943))</f>
        <v/>
      </c>
      <c r="T1943" s="35" t="str">
        <f aca="false">IF($A1943="","",IF(COUNTIFS($S$3:$S1943,$S1943)=1,1,0))</f>
        <v/>
      </c>
      <c r="U1943" s="37" t="str">
        <f aca="false">IF($T1943=1,$S1943,"")</f>
        <v/>
      </c>
    </row>
    <row r="1944" customFormat="false" ht="15" hidden="false" customHeight="false" outlineLevel="0" collapsed="false">
      <c r="M1944" s="35" t="str">
        <f aca="false">IF($A1944="","",HOUR($A1944))</f>
        <v/>
      </c>
      <c r="N1944" s="36" t="str">
        <f aca="false">IF($A1944="","",$I1944*$K1944)</f>
        <v/>
      </c>
      <c r="O1944" s="35" t="str">
        <f aca="false">IF(OR($A1944="",$C1944="U",$S1944&lt;&gt;Calc!$F$2),"",SUMIFS($I$3:$I$3002,$E$3:$E$3002,$E1944,$C$3:$C$3002,"&lt;&gt;U",$S$3:$S$3002,Calc!$F$2))</f>
        <v/>
      </c>
      <c r="P1944" s="35" t="str">
        <f aca="false">IF(OR($A1944="",$C1944="U",$S1944&lt;&gt;Calc!$F$2),"",SUMIFS($N$3:$N$3002,$E$3:$E$3002,$E1944,$C$3:$C$3002,"&lt;&gt;U",$S$3:$S$3002,Calc!$F$2))</f>
        <v/>
      </c>
      <c r="Q1944" s="35" t="str">
        <f aca="false">IF(OR($A1944="",$C1944="U",$S1944&lt;&gt;Calc!$F$2),"",IF(COUNTIFS($E$3:$E1944,$E1944,$C$3:$C1944,"&lt;&gt;U",$S$3:$S1944,Calc!$F$2)=1,1,0))</f>
        <v/>
      </c>
      <c r="R1944" s="35" t="str">
        <f aca="false">IF($Q1944=1,$O1944-ROW()/100000,"")</f>
        <v/>
      </c>
      <c r="S1944" s="37" t="str">
        <f aca="false">IF($A1944="","",INT($A1944))</f>
        <v/>
      </c>
      <c r="T1944" s="35" t="str">
        <f aca="false">IF($A1944="","",IF(COUNTIFS($S$3:$S1944,$S1944)=1,1,0))</f>
        <v/>
      </c>
      <c r="U1944" s="37" t="str">
        <f aca="false">IF($T1944=1,$S1944,"")</f>
        <v/>
      </c>
    </row>
    <row r="1945" customFormat="false" ht="15" hidden="false" customHeight="false" outlineLevel="0" collapsed="false">
      <c r="M1945" s="35" t="str">
        <f aca="false">IF($A1945="","",HOUR($A1945))</f>
        <v/>
      </c>
      <c r="N1945" s="36" t="str">
        <f aca="false">IF($A1945="","",$I1945*$K1945)</f>
        <v/>
      </c>
      <c r="O1945" s="35" t="str">
        <f aca="false">IF(OR($A1945="",$C1945="U",$S1945&lt;&gt;Calc!$F$2),"",SUMIFS($I$3:$I$3002,$E$3:$E$3002,$E1945,$C$3:$C$3002,"&lt;&gt;U",$S$3:$S$3002,Calc!$F$2))</f>
        <v/>
      </c>
      <c r="P1945" s="35" t="str">
        <f aca="false">IF(OR($A1945="",$C1945="U",$S1945&lt;&gt;Calc!$F$2),"",SUMIFS($N$3:$N$3002,$E$3:$E$3002,$E1945,$C$3:$C$3002,"&lt;&gt;U",$S$3:$S$3002,Calc!$F$2))</f>
        <v/>
      </c>
      <c r="Q1945" s="35" t="str">
        <f aca="false">IF(OR($A1945="",$C1945="U",$S1945&lt;&gt;Calc!$F$2),"",IF(COUNTIFS($E$3:$E1945,$E1945,$C$3:$C1945,"&lt;&gt;U",$S$3:$S1945,Calc!$F$2)=1,1,0))</f>
        <v/>
      </c>
      <c r="R1945" s="35" t="str">
        <f aca="false">IF($Q1945=1,$O1945-ROW()/100000,"")</f>
        <v/>
      </c>
      <c r="S1945" s="37" t="str">
        <f aca="false">IF($A1945="","",INT($A1945))</f>
        <v/>
      </c>
      <c r="T1945" s="35" t="str">
        <f aca="false">IF($A1945="","",IF(COUNTIFS($S$3:$S1945,$S1945)=1,1,0))</f>
        <v/>
      </c>
      <c r="U1945" s="37" t="str">
        <f aca="false">IF($T1945=1,$S1945,"")</f>
        <v/>
      </c>
    </row>
    <row r="1946" customFormat="false" ht="15" hidden="false" customHeight="false" outlineLevel="0" collapsed="false">
      <c r="M1946" s="35" t="str">
        <f aca="false">IF($A1946="","",HOUR($A1946))</f>
        <v/>
      </c>
      <c r="N1946" s="36" t="str">
        <f aca="false">IF($A1946="","",$I1946*$K1946)</f>
        <v/>
      </c>
      <c r="O1946" s="35" t="str">
        <f aca="false">IF(OR($A1946="",$C1946="U",$S1946&lt;&gt;Calc!$F$2),"",SUMIFS($I$3:$I$3002,$E$3:$E$3002,$E1946,$C$3:$C$3002,"&lt;&gt;U",$S$3:$S$3002,Calc!$F$2))</f>
        <v/>
      </c>
      <c r="P1946" s="35" t="str">
        <f aca="false">IF(OR($A1946="",$C1946="U",$S1946&lt;&gt;Calc!$F$2),"",SUMIFS($N$3:$N$3002,$E$3:$E$3002,$E1946,$C$3:$C$3002,"&lt;&gt;U",$S$3:$S$3002,Calc!$F$2))</f>
        <v/>
      </c>
      <c r="Q1946" s="35" t="str">
        <f aca="false">IF(OR($A1946="",$C1946="U",$S1946&lt;&gt;Calc!$F$2),"",IF(COUNTIFS($E$3:$E1946,$E1946,$C$3:$C1946,"&lt;&gt;U",$S$3:$S1946,Calc!$F$2)=1,1,0))</f>
        <v/>
      </c>
      <c r="R1946" s="35" t="str">
        <f aca="false">IF($Q1946=1,$O1946-ROW()/100000,"")</f>
        <v/>
      </c>
      <c r="S1946" s="37" t="str">
        <f aca="false">IF($A1946="","",INT($A1946))</f>
        <v/>
      </c>
      <c r="T1946" s="35" t="str">
        <f aca="false">IF($A1946="","",IF(COUNTIFS($S$3:$S1946,$S1946)=1,1,0))</f>
        <v/>
      </c>
      <c r="U1946" s="37" t="str">
        <f aca="false">IF($T1946=1,$S1946,"")</f>
        <v/>
      </c>
    </row>
    <row r="1947" customFormat="false" ht="15" hidden="false" customHeight="false" outlineLevel="0" collapsed="false">
      <c r="M1947" s="35" t="str">
        <f aca="false">IF($A1947="","",HOUR($A1947))</f>
        <v/>
      </c>
      <c r="N1947" s="36" t="str">
        <f aca="false">IF($A1947="","",$I1947*$K1947)</f>
        <v/>
      </c>
      <c r="O1947" s="35" t="str">
        <f aca="false">IF(OR($A1947="",$C1947="U",$S1947&lt;&gt;Calc!$F$2),"",SUMIFS($I$3:$I$3002,$E$3:$E$3002,$E1947,$C$3:$C$3002,"&lt;&gt;U",$S$3:$S$3002,Calc!$F$2))</f>
        <v/>
      </c>
      <c r="P1947" s="35" t="str">
        <f aca="false">IF(OR($A1947="",$C1947="U",$S1947&lt;&gt;Calc!$F$2),"",SUMIFS($N$3:$N$3002,$E$3:$E$3002,$E1947,$C$3:$C$3002,"&lt;&gt;U",$S$3:$S$3002,Calc!$F$2))</f>
        <v/>
      </c>
      <c r="Q1947" s="35" t="str">
        <f aca="false">IF(OR($A1947="",$C1947="U",$S1947&lt;&gt;Calc!$F$2),"",IF(COUNTIFS($E$3:$E1947,$E1947,$C$3:$C1947,"&lt;&gt;U",$S$3:$S1947,Calc!$F$2)=1,1,0))</f>
        <v/>
      </c>
      <c r="R1947" s="35" t="str">
        <f aca="false">IF($Q1947=1,$O1947-ROW()/100000,"")</f>
        <v/>
      </c>
      <c r="S1947" s="37" t="str">
        <f aca="false">IF($A1947="","",INT($A1947))</f>
        <v/>
      </c>
      <c r="T1947" s="35" t="str">
        <f aca="false">IF($A1947="","",IF(COUNTIFS($S$3:$S1947,$S1947)=1,1,0))</f>
        <v/>
      </c>
      <c r="U1947" s="37" t="str">
        <f aca="false">IF($T1947=1,$S1947,"")</f>
        <v/>
      </c>
    </row>
    <row r="1948" customFormat="false" ht="15" hidden="false" customHeight="false" outlineLevel="0" collapsed="false">
      <c r="M1948" s="35" t="str">
        <f aca="false">IF($A1948="","",HOUR($A1948))</f>
        <v/>
      </c>
      <c r="N1948" s="36" t="str">
        <f aca="false">IF($A1948="","",$I1948*$K1948)</f>
        <v/>
      </c>
      <c r="O1948" s="35" t="str">
        <f aca="false">IF(OR($A1948="",$C1948="U",$S1948&lt;&gt;Calc!$F$2),"",SUMIFS($I$3:$I$3002,$E$3:$E$3002,$E1948,$C$3:$C$3002,"&lt;&gt;U",$S$3:$S$3002,Calc!$F$2))</f>
        <v/>
      </c>
      <c r="P1948" s="35" t="str">
        <f aca="false">IF(OR($A1948="",$C1948="U",$S1948&lt;&gt;Calc!$F$2),"",SUMIFS($N$3:$N$3002,$E$3:$E$3002,$E1948,$C$3:$C$3002,"&lt;&gt;U",$S$3:$S$3002,Calc!$F$2))</f>
        <v/>
      </c>
      <c r="Q1948" s="35" t="str">
        <f aca="false">IF(OR($A1948="",$C1948="U",$S1948&lt;&gt;Calc!$F$2),"",IF(COUNTIFS($E$3:$E1948,$E1948,$C$3:$C1948,"&lt;&gt;U",$S$3:$S1948,Calc!$F$2)=1,1,0))</f>
        <v/>
      </c>
      <c r="R1948" s="35" t="str">
        <f aca="false">IF($Q1948=1,$O1948-ROW()/100000,"")</f>
        <v/>
      </c>
      <c r="S1948" s="37" t="str">
        <f aca="false">IF($A1948="","",INT($A1948))</f>
        <v/>
      </c>
      <c r="T1948" s="35" t="str">
        <f aca="false">IF($A1948="","",IF(COUNTIFS($S$3:$S1948,$S1948)=1,1,0))</f>
        <v/>
      </c>
      <c r="U1948" s="37" t="str">
        <f aca="false">IF($T1948=1,$S1948,"")</f>
        <v/>
      </c>
    </row>
    <row r="1949" customFormat="false" ht="15" hidden="false" customHeight="false" outlineLevel="0" collapsed="false">
      <c r="M1949" s="35" t="str">
        <f aca="false">IF($A1949="","",HOUR($A1949))</f>
        <v/>
      </c>
      <c r="N1949" s="36" t="str">
        <f aca="false">IF($A1949="","",$I1949*$K1949)</f>
        <v/>
      </c>
      <c r="O1949" s="35" t="str">
        <f aca="false">IF(OR($A1949="",$C1949="U",$S1949&lt;&gt;Calc!$F$2),"",SUMIFS($I$3:$I$3002,$E$3:$E$3002,$E1949,$C$3:$C$3002,"&lt;&gt;U",$S$3:$S$3002,Calc!$F$2))</f>
        <v/>
      </c>
      <c r="P1949" s="35" t="str">
        <f aca="false">IF(OR($A1949="",$C1949="U",$S1949&lt;&gt;Calc!$F$2),"",SUMIFS($N$3:$N$3002,$E$3:$E$3002,$E1949,$C$3:$C$3002,"&lt;&gt;U",$S$3:$S$3002,Calc!$F$2))</f>
        <v/>
      </c>
      <c r="Q1949" s="35" t="str">
        <f aca="false">IF(OR($A1949="",$C1949="U",$S1949&lt;&gt;Calc!$F$2),"",IF(COUNTIFS($E$3:$E1949,$E1949,$C$3:$C1949,"&lt;&gt;U",$S$3:$S1949,Calc!$F$2)=1,1,0))</f>
        <v/>
      </c>
      <c r="R1949" s="35" t="str">
        <f aca="false">IF($Q1949=1,$O1949-ROW()/100000,"")</f>
        <v/>
      </c>
      <c r="S1949" s="37" t="str">
        <f aca="false">IF($A1949="","",INT($A1949))</f>
        <v/>
      </c>
      <c r="T1949" s="35" t="str">
        <f aca="false">IF($A1949="","",IF(COUNTIFS($S$3:$S1949,$S1949)=1,1,0))</f>
        <v/>
      </c>
      <c r="U1949" s="37" t="str">
        <f aca="false">IF($T1949=1,$S1949,"")</f>
        <v/>
      </c>
    </row>
    <row r="1950" customFormat="false" ht="15" hidden="false" customHeight="false" outlineLevel="0" collapsed="false">
      <c r="M1950" s="35" t="str">
        <f aca="false">IF($A1950="","",HOUR($A1950))</f>
        <v/>
      </c>
      <c r="N1950" s="36" t="str">
        <f aca="false">IF($A1950="","",$I1950*$K1950)</f>
        <v/>
      </c>
      <c r="O1950" s="35" t="str">
        <f aca="false">IF(OR($A1950="",$C1950="U",$S1950&lt;&gt;Calc!$F$2),"",SUMIFS($I$3:$I$3002,$E$3:$E$3002,$E1950,$C$3:$C$3002,"&lt;&gt;U",$S$3:$S$3002,Calc!$F$2))</f>
        <v/>
      </c>
      <c r="P1950" s="35" t="str">
        <f aca="false">IF(OR($A1950="",$C1950="U",$S1950&lt;&gt;Calc!$F$2),"",SUMIFS($N$3:$N$3002,$E$3:$E$3002,$E1950,$C$3:$C$3002,"&lt;&gt;U",$S$3:$S$3002,Calc!$F$2))</f>
        <v/>
      </c>
      <c r="Q1950" s="35" t="str">
        <f aca="false">IF(OR($A1950="",$C1950="U",$S1950&lt;&gt;Calc!$F$2),"",IF(COUNTIFS($E$3:$E1950,$E1950,$C$3:$C1950,"&lt;&gt;U",$S$3:$S1950,Calc!$F$2)=1,1,0))</f>
        <v/>
      </c>
      <c r="R1950" s="35" t="str">
        <f aca="false">IF($Q1950=1,$O1950-ROW()/100000,"")</f>
        <v/>
      </c>
      <c r="S1950" s="37" t="str">
        <f aca="false">IF($A1950="","",INT($A1950))</f>
        <v/>
      </c>
      <c r="T1950" s="35" t="str">
        <f aca="false">IF($A1950="","",IF(COUNTIFS($S$3:$S1950,$S1950)=1,1,0))</f>
        <v/>
      </c>
      <c r="U1950" s="37" t="str">
        <f aca="false">IF($T1950=1,$S1950,"")</f>
        <v/>
      </c>
    </row>
    <row r="1951" customFormat="false" ht="15" hidden="false" customHeight="false" outlineLevel="0" collapsed="false">
      <c r="M1951" s="35" t="str">
        <f aca="false">IF($A1951="","",HOUR($A1951))</f>
        <v/>
      </c>
      <c r="N1951" s="36" t="str">
        <f aca="false">IF($A1951="","",$I1951*$K1951)</f>
        <v/>
      </c>
      <c r="O1951" s="35" t="str">
        <f aca="false">IF(OR($A1951="",$C1951="U",$S1951&lt;&gt;Calc!$F$2),"",SUMIFS($I$3:$I$3002,$E$3:$E$3002,$E1951,$C$3:$C$3002,"&lt;&gt;U",$S$3:$S$3002,Calc!$F$2))</f>
        <v/>
      </c>
      <c r="P1951" s="35" t="str">
        <f aca="false">IF(OR($A1951="",$C1951="U",$S1951&lt;&gt;Calc!$F$2),"",SUMIFS($N$3:$N$3002,$E$3:$E$3002,$E1951,$C$3:$C$3002,"&lt;&gt;U",$S$3:$S$3002,Calc!$F$2))</f>
        <v/>
      </c>
      <c r="Q1951" s="35" t="str">
        <f aca="false">IF(OR($A1951="",$C1951="U",$S1951&lt;&gt;Calc!$F$2),"",IF(COUNTIFS($E$3:$E1951,$E1951,$C$3:$C1951,"&lt;&gt;U",$S$3:$S1951,Calc!$F$2)=1,1,0))</f>
        <v/>
      </c>
      <c r="R1951" s="35" t="str">
        <f aca="false">IF($Q1951=1,$O1951-ROW()/100000,"")</f>
        <v/>
      </c>
      <c r="S1951" s="37" t="str">
        <f aca="false">IF($A1951="","",INT($A1951))</f>
        <v/>
      </c>
      <c r="T1951" s="35" t="str">
        <f aca="false">IF($A1951="","",IF(COUNTIFS($S$3:$S1951,$S1951)=1,1,0))</f>
        <v/>
      </c>
      <c r="U1951" s="37" t="str">
        <f aca="false">IF($T1951=1,$S1951,"")</f>
        <v/>
      </c>
    </row>
    <row r="1952" customFormat="false" ht="15" hidden="false" customHeight="false" outlineLevel="0" collapsed="false">
      <c r="M1952" s="35" t="str">
        <f aca="false">IF($A1952="","",HOUR($A1952))</f>
        <v/>
      </c>
      <c r="N1952" s="36" t="str">
        <f aca="false">IF($A1952="","",$I1952*$K1952)</f>
        <v/>
      </c>
      <c r="O1952" s="35" t="str">
        <f aca="false">IF(OR($A1952="",$C1952="U",$S1952&lt;&gt;Calc!$F$2),"",SUMIFS($I$3:$I$3002,$E$3:$E$3002,$E1952,$C$3:$C$3002,"&lt;&gt;U",$S$3:$S$3002,Calc!$F$2))</f>
        <v/>
      </c>
      <c r="P1952" s="35" t="str">
        <f aca="false">IF(OR($A1952="",$C1952="U",$S1952&lt;&gt;Calc!$F$2),"",SUMIFS($N$3:$N$3002,$E$3:$E$3002,$E1952,$C$3:$C$3002,"&lt;&gt;U",$S$3:$S$3002,Calc!$F$2))</f>
        <v/>
      </c>
      <c r="Q1952" s="35" t="str">
        <f aca="false">IF(OR($A1952="",$C1952="U",$S1952&lt;&gt;Calc!$F$2),"",IF(COUNTIFS($E$3:$E1952,$E1952,$C$3:$C1952,"&lt;&gt;U",$S$3:$S1952,Calc!$F$2)=1,1,0))</f>
        <v/>
      </c>
      <c r="R1952" s="35" t="str">
        <f aca="false">IF($Q1952=1,$O1952-ROW()/100000,"")</f>
        <v/>
      </c>
      <c r="S1952" s="37" t="str">
        <f aca="false">IF($A1952="","",INT($A1952))</f>
        <v/>
      </c>
      <c r="T1952" s="35" t="str">
        <f aca="false">IF($A1952="","",IF(COUNTIFS($S$3:$S1952,$S1952)=1,1,0))</f>
        <v/>
      </c>
      <c r="U1952" s="37" t="str">
        <f aca="false">IF($T1952=1,$S1952,"")</f>
        <v/>
      </c>
    </row>
    <row r="1953" customFormat="false" ht="15" hidden="false" customHeight="false" outlineLevel="0" collapsed="false">
      <c r="M1953" s="35" t="str">
        <f aca="false">IF($A1953="","",HOUR($A1953))</f>
        <v/>
      </c>
      <c r="N1953" s="36" t="str">
        <f aca="false">IF($A1953="","",$I1953*$K1953)</f>
        <v/>
      </c>
      <c r="O1953" s="35" t="str">
        <f aca="false">IF(OR($A1953="",$C1953="U",$S1953&lt;&gt;Calc!$F$2),"",SUMIFS($I$3:$I$3002,$E$3:$E$3002,$E1953,$C$3:$C$3002,"&lt;&gt;U",$S$3:$S$3002,Calc!$F$2))</f>
        <v/>
      </c>
      <c r="P1953" s="35" t="str">
        <f aca="false">IF(OR($A1953="",$C1953="U",$S1953&lt;&gt;Calc!$F$2),"",SUMIFS($N$3:$N$3002,$E$3:$E$3002,$E1953,$C$3:$C$3002,"&lt;&gt;U",$S$3:$S$3002,Calc!$F$2))</f>
        <v/>
      </c>
      <c r="Q1953" s="35" t="str">
        <f aca="false">IF(OR($A1953="",$C1953="U",$S1953&lt;&gt;Calc!$F$2),"",IF(COUNTIFS($E$3:$E1953,$E1953,$C$3:$C1953,"&lt;&gt;U",$S$3:$S1953,Calc!$F$2)=1,1,0))</f>
        <v/>
      </c>
      <c r="R1953" s="35" t="str">
        <f aca="false">IF($Q1953=1,$O1953-ROW()/100000,"")</f>
        <v/>
      </c>
      <c r="S1953" s="37" t="str">
        <f aca="false">IF($A1953="","",INT($A1953))</f>
        <v/>
      </c>
      <c r="T1953" s="35" t="str">
        <f aca="false">IF($A1953="","",IF(COUNTIFS($S$3:$S1953,$S1953)=1,1,0))</f>
        <v/>
      </c>
      <c r="U1953" s="37" t="str">
        <f aca="false">IF($T1953=1,$S1953,"")</f>
        <v/>
      </c>
    </row>
    <row r="1954" customFormat="false" ht="15" hidden="false" customHeight="false" outlineLevel="0" collapsed="false">
      <c r="M1954" s="35" t="str">
        <f aca="false">IF($A1954="","",HOUR($A1954))</f>
        <v/>
      </c>
      <c r="N1954" s="36" t="str">
        <f aca="false">IF($A1954="","",$I1954*$K1954)</f>
        <v/>
      </c>
      <c r="O1954" s="35" t="str">
        <f aca="false">IF(OR($A1954="",$C1954="U",$S1954&lt;&gt;Calc!$F$2),"",SUMIFS($I$3:$I$3002,$E$3:$E$3002,$E1954,$C$3:$C$3002,"&lt;&gt;U",$S$3:$S$3002,Calc!$F$2))</f>
        <v/>
      </c>
      <c r="P1954" s="35" t="str">
        <f aca="false">IF(OR($A1954="",$C1954="U",$S1954&lt;&gt;Calc!$F$2),"",SUMIFS($N$3:$N$3002,$E$3:$E$3002,$E1954,$C$3:$C$3002,"&lt;&gt;U",$S$3:$S$3002,Calc!$F$2))</f>
        <v/>
      </c>
      <c r="Q1954" s="35" t="str">
        <f aca="false">IF(OR($A1954="",$C1954="U",$S1954&lt;&gt;Calc!$F$2),"",IF(COUNTIFS($E$3:$E1954,$E1954,$C$3:$C1954,"&lt;&gt;U",$S$3:$S1954,Calc!$F$2)=1,1,0))</f>
        <v/>
      </c>
      <c r="R1954" s="35" t="str">
        <f aca="false">IF($Q1954=1,$O1954-ROW()/100000,"")</f>
        <v/>
      </c>
      <c r="S1954" s="37" t="str">
        <f aca="false">IF($A1954="","",INT($A1954))</f>
        <v/>
      </c>
      <c r="T1954" s="35" t="str">
        <f aca="false">IF($A1954="","",IF(COUNTIFS($S$3:$S1954,$S1954)=1,1,0))</f>
        <v/>
      </c>
      <c r="U1954" s="37" t="str">
        <f aca="false">IF($T1954=1,$S1954,"")</f>
        <v/>
      </c>
    </row>
    <row r="1955" customFormat="false" ht="15" hidden="false" customHeight="false" outlineLevel="0" collapsed="false">
      <c r="M1955" s="35" t="str">
        <f aca="false">IF($A1955="","",HOUR($A1955))</f>
        <v/>
      </c>
      <c r="N1955" s="36" t="str">
        <f aca="false">IF($A1955="","",$I1955*$K1955)</f>
        <v/>
      </c>
      <c r="O1955" s="35" t="str">
        <f aca="false">IF(OR($A1955="",$C1955="U",$S1955&lt;&gt;Calc!$F$2),"",SUMIFS($I$3:$I$3002,$E$3:$E$3002,$E1955,$C$3:$C$3002,"&lt;&gt;U",$S$3:$S$3002,Calc!$F$2))</f>
        <v/>
      </c>
      <c r="P1955" s="35" t="str">
        <f aca="false">IF(OR($A1955="",$C1955="U",$S1955&lt;&gt;Calc!$F$2),"",SUMIFS($N$3:$N$3002,$E$3:$E$3002,$E1955,$C$3:$C$3002,"&lt;&gt;U",$S$3:$S$3002,Calc!$F$2))</f>
        <v/>
      </c>
      <c r="Q1955" s="35" t="str">
        <f aca="false">IF(OR($A1955="",$C1955="U",$S1955&lt;&gt;Calc!$F$2),"",IF(COUNTIFS($E$3:$E1955,$E1955,$C$3:$C1955,"&lt;&gt;U",$S$3:$S1955,Calc!$F$2)=1,1,0))</f>
        <v/>
      </c>
      <c r="R1955" s="35" t="str">
        <f aca="false">IF($Q1955=1,$O1955-ROW()/100000,"")</f>
        <v/>
      </c>
      <c r="S1955" s="37" t="str">
        <f aca="false">IF($A1955="","",INT($A1955))</f>
        <v/>
      </c>
      <c r="T1955" s="35" t="str">
        <f aca="false">IF($A1955="","",IF(COUNTIFS($S$3:$S1955,$S1955)=1,1,0))</f>
        <v/>
      </c>
      <c r="U1955" s="37" t="str">
        <f aca="false">IF($T1955=1,$S1955,"")</f>
        <v/>
      </c>
    </row>
    <row r="1956" customFormat="false" ht="15" hidden="false" customHeight="false" outlineLevel="0" collapsed="false">
      <c r="M1956" s="35" t="str">
        <f aca="false">IF($A1956="","",HOUR($A1956))</f>
        <v/>
      </c>
      <c r="N1956" s="36" t="str">
        <f aca="false">IF($A1956="","",$I1956*$K1956)</f>
        <v/>
      </c>
      <c r="O1956" s="35" t="str">
        <f aca="false">IF(OR($A1956="",$C1956="U",$S1956&lt;&gt;Calc!$F$2),"",SUMIFS($I$3:$I$3002,$E$3:$E$3002,$E1956,$C$3:$C$3002,"&lt;&gt;U",$S$3:$S$3002,Calc!$F$2))</f>
        <v/>
      </c>
      <c r="P1956" s="35" t="str">
        <f aca="false">IF(OR($A1956="",$C1956="U",$S1956&lt;&gt;Calc!$F$2),"",SUMIFS($N$3:$N$3002,$E$3:$E$3002,$E1956,$C$3:$C$3002,"&lt;&gt;U",$S$3:$S$3002,Calc!$F$2))</f>
        <v/>
      </c>
      <c r="Q1956" s="35" t="str">
        <f aca="false">IF(OR($A1956="",$C1956="U",$S1956&lt;&gt;Calc!$F$2),"",IF(COUNTIFS($E$3:$E1956,$E1956,$C$3:$C1956,"&lt;&gt;U",$S$3:$S1956,Calc!$F$2)=1,1,0))</f>
        <v/>
      </c>
      <c r="R1956" s="35" t="str">
        <f aca="false">IF($Q1956=1,$O1956-ROW()/100000,"")</f>
        <v/>
      </c>
      <c r="S1956" s="37" t="str">
        <f aca="false">IF($A1956="","",INT($A1956))</f>
        <v/>
      </c>
      <c r="T1956" s="35" t="str">
        <f aca="false">IF($A1956="","",IF(COUNTIFS($S$3:$S1956,$S1956)=1,1,0))</f>
        <v/>
      </c>
      <c r="U1956" s="37" t="str">
        <f aca="false">IF($T1956=1,$S1956,"")</f>
        <v/>
      </c>
    </row>
    <row r="1957" customFormat="false" ht="15" hidden="false" customHeight="false" outlineLevel="0" collapsed="false">
      <c r="M1957" s="35" t="str">
        <f aca="false">IF($A1957="","",HOUR($A1957))</f>
        <v/>
      </c>
      <c r="N1957" s="36" t="str">
        <f aca="false">IF($A1957="","",$I1957*$K1957)</f>
        <v/>
      </c>
      <c r="O1957" s="35" t="str">
        <f aca="false">IF(OR($A1957="",$C1957="U",$S1957&lt;&gt;Calc!$F$2),"",SUMIFS($I$3:$I$3002,$E$3:$E$3002,$E1957,$C$3:$C$3002,"&lt;&gt;U",$S$3:$S$3002,Calc!$F$2))</f>
        <v/>
      </c>
      <c r="P1957" s="35" t="str">
        <f aca="false">IF(OR($A1957="",$C1957="U",$S1957&lt;&gt;Calc!$F$2),"",SUMIFS($N$3:$N$3002,$E$3:$E$3002,$E1957,$C$3:$C$3002,"&lt;&gt;U",$S$3:$S$3002,Calc!$F$2))</f>
        <v/>
      </c>
      <c r="Q1957" s="35" t="str">
        <f aca="false">IF(OR($A1957="",$C1957="U",$S1957&lt;&gt;Calc!$F$2),"",IF(COUNTIFS($E$3:$E1957,$E1957,$C$3:$C1957,"&lt;&gt;U",$S$3:$S1957,Calc!$F$2)=1,1,0))</f>
        <v/>
      </c>
      <c r="R1957" s="35" t="str">
        <f aca="false">IF($Q1957=1,$O1957-ROW()/100000,"")</f>
        <v/>
      </c>
      <c r="S1957" s="37" t="str">
        <f aca="false">IF($A1957="","",INT($A1957))</f>
        <v/>
      </c>
      <c r="T1957" s="35" t="str">
        <f aca="false">IF($A1957="","",IF(COUNTIFS($S$3:$S1957,$S1957)=1,1,0))</f>
        <v/>
      </c>
      <c r="U1957" s="37" t="str">
        <f aca="false">IF($T1957=1,$S1957,"")</f>
        <v/>
      </c>
    </row>
    <row r="1958" customFormat="false" ht="15" hidden="false" customHeight="false" outlineLevel="0" collapsed="false">
      <c r="M1958" s="35" t="str">
        <f aca="false">IF($A1958="","",HOUR($A1958))</f>
        <v/>
      </c>
      <c r="N1958" s="36" t="str">
        <f aca="false">IF($A1958="","",$I1958*$K1958)</f>
        <v/>
      </c>
      <c r="O1958" s="35" t="str">
        <f aca="false">IF(OR($A1958="",$C1958="U",$S1958&lt;&gt;Calc!$F$2),"",SUMIFS($I$3:$I$3002,$E$3:$E$3002,$E1958,$C$3:$C$3002,"&lt;&gt;U",$S$3:$S$3002,Calc!$F$2))</f>
        <v/>
      </c>
      <c r="P1958" s="35" t="str">
        <f aca="false">IF(OR($A1958="",$C1958="U",$S1958&lt;&gt;Calc!$F$2),"",SUMIFS($N$3:$N$3002,$E$3:$E$3002,$E1958,$C$3:$C$3002,"&lt;&gt;U",$S$3:$S$3002,Calc!$F$2))</f>
        <v/>
      </c>
      <c r="Q1958" s="35" t="str">
        <f aca="false">IF(OR($A1958="",$C1958="U",$S1958&lt;&gt;Calc!$F$2),"",IF(COUNTIFS($E$3:$E1958,$E1958,$C$3:$C1958,"&lt;&gt;U",$S$3:$S1958,Calc!$F$2)=1,1,0))</f>
        <v/>
      </c>
      <c r="R1958" s="35" t="str">
        <f aca="false">IF($Q1958=1,$O1958-ROW()/100000,"")</f>
        <v/>
      </c>
      <c r="S1958" s="37" t="str">
        <f aca="false">IF($A1958="","",INT($A1958))</f>
        <v/>
      </c>
      <c r="T1958" s="35" t="str">
        <f aca="false">IF($A1958="","",IF(COUNTIFS($S$3:$S1958,$S1958)=1,1,0))</f>
        <v/>
      </c>
      <c r="U1958" s="37" t="str">
        <f aca="false">IF($T1958=1,$S1958,"")</f>
        <v/>
      </c>
    </row>
    <row r="1959" customFormat="false" ht="15" hidden="false" customHeight="false" outlineLevel="0" collapsed="false">
      <c r="M1959" s="35" t="str">
        <f aca="false">IF($A1959="","",HOUR($A1959))</f>
        <v/>
      </c>
      <c r="N1959" s="36" t="str">
        <f aca="false">IF($A1959="","",$I1959*$K1959)</f>
        <v/>
      </c>
      <c r="O1959" s="35" t="str">
        <f aca="false">IF(OR($A1959="",$C1959="U",$S1959&lt;&gt;Calc!$F$2),"",SUMIFS($I$3:$I$3002,$E$3:$E$3002,$E1959,$C$3:$C$3002,"&lt;&gt;U",$S$3:$S$3002,Calc!$F$2))</f>
        <v/>
      </c>
      <c r="P1959" s="35" t="str">
        <f aca="false">IF(OR($A1959="",$C1959="U",$S1959&lt;&gt;Calc!$F$2),"",SUMIFS($N$3:$N$3002,$E$3:$E$3002,$E1959,$C$3:$C$3002,"&lt;&gt;U",$S$3:$S$3002,Calc!$F$2))</f>
        <v/>
      </c>
      <c r="Q1959" s="35" t="str">
        <f aca="false">IF(OR($A1959="",$C1959="U",$S1959&lt;&gt;Calc!$F$2),"",IF(COUNTIFS($E$3:$E1959,$E1959,$C$3:$C1959,"&lt;&gt;U",$S$3:$S1959,Calc!$F$2)=1,1,0))</f>
        <v/>
      </c>
      <c r="R1959" s="35" t="str">
        <f aca="false">IF($Q1959=1,$O1959-ROW()/100000,"")</f>
        <v/>
      </c>
      <c r="S1959" s="37" t="str">
        <f aca="false">IF($A1959="","",INT($A1959))</f>
        <v/>
      </c>
      <c r="T1959" s="35" t="str">
        <f aca="false">IF($A1959="","",IF(COUNTIFS($S$3:$S1959,$S1959)=1,1,0))</f>
        <v/>
      </c>
      <c r="U1959" s="37" t="str">
        <f aca="false">IF($T1959=1,$S1959,"")</f>
        <v/>
      </c>
    </row>
    <row r="1960" customFormat="false" ht="15" hidden="false" customHeight="false" outlineLevel="0" collapsed="false">
      <c r="M1960" s="35" t="str">
        <f aca="false">IF($A1960="","",HOUR($A1960))</f>
        <v/>
      </c>
      <c r="N1960" s="36" t="str">
        <f aca="false">IF($A1960="","",$I1960*$K1960)</f>
        <v/>
      </c>
      <c r="O1960" s="35" t="str">
        <f aca="false">IF(OR($A1960="",$C1960="U",$S1960&lt;&gt;Calc!$F$2),"",SUMIFS($I$3:$I$3002,$E$3:$E$3002,$E1960,$C$3:$C$3002,"&lt;&gt;U",$S$3:$S$3002,Calc!$F$2))</f>
        <v/>
      </c>
      <c r="P1960" s="35" t="str">
        <f aca="false">IF(OR($A1960="",$C1960="U",$S1960&lt;&gt;Calc!$F$2),"",SUMIFS($N$3:$N$3002,$E$3:$E$3002,$E1960,$C$3:$C$3002,"&lt;&gt;U",$S$3:$S$3002,Calc!$F$2))</f>
        <v/>
      </c>
      <c r="Q1960" s="35" t="str">
        <f aca="false">IF(OR($A1960="",$C1960="U",$S1960&lt;&gt;Calc!$F$2),"",IF(COUNTIFS($E$3:$E1960,$E1960,$C$3:$C1960,"&lt;&gt;U",$S$3:$S1960,Calc!$F$2)=1,1,0))</f>
        <v/>
      </c>
      <c r="R1960" s="35" t="str">
        <f aca="false">IF($Q1960=1,$O1960-ROW()/100000,"")</f>
        <v/>
      </c>
      <c r="S1960" s="37" t="str">
        <f aca="false">IF($A1960="","",INT($A1960))</f>
        <v/>
      </c>
      <c r="T1960" s="35" t="str">
        <f aca="false">IF($A1960="","",IF(COUNTIFS($S$3:$S1960,$S1960)=1,1,0))</f>
        <v/>
      </c>
      <c r="U1960" s="37" t="str">
        <f aca="false">IF($T1960=1,$S1960,"")</f>
        <v/>
      </c>
    </row>
    <row r="1961" customFormat="false" ht="15" hidden="false" customHeight="false" outlineLevel="0" collapsed="false">
      <c r="M1961" s="35" t="str">
        <f aca="false">IF($A1961="","",HOUR($A1961))</f>
        <v/>
      </c>
      <c r="N1961" s="36" t="str">
        <f aca="false">IF($A1961="","",$I1961*$K1961)</f>
        <v/>
      </c>
      <c r="O1961" s="35" t="str">
        <f aca="false">IF(OR($A1961="",$C1961="U",$S1961&lt;&gt;Calc!$F$2),"",SUMIFS($I$3:$I$3002,$E$3:$E$3002,$E1961,$C$3:$C$3002,"&lt;&gt;U",$S$3:$S$3002,Calc!$F$2))</f>
        <v/>
      </c>
      <c r="P1961" s="35" t="str">
        <f aca="false">IF(OR($A1961="",$C1961="U",$S1961&lt;&gt;Calc!$F$2),"",SUMIFS($N$3:$N$3002,$E$3:$E$3002,$E1961,$C$3:$C$3002,"&lt;&gt;U",$S$3:$S$3002,Calc!$F$2))</f>
        <v/>
      </c>
      <c r="Q1961" s="35" t="str">
        <f aca="false">IF(OR($A1961="",$C1961="U",$S1961&lt;&gt;Calc!$F$2),"",IF(COUNTIFS($E$3:$E1961,$E1961,$C$3:$C1961,"&lt;&gt;U",$S$3:$S1961,Calc!$F$2)=1,1,0))</f>
        <v/>
      </c>
      <c r="R1961" s="35" t="str">
        <f aca="false">IF($Q1961=1,$O1961-ROW()/100000,"")</f>
        <v/>
      </c>
      <c r="S1961" s="37" t="str">
        <f aca="false">IF($A1961="","",INT($A1961))</f>
        <v/>
      </c>
      <c r="T1961" s="35" t="str">
        <f aca="false">IF($A1961="","",IF(COUNTIFS($S$3:$S1961,$S1961)=1,1,0))</f>
        <v/>
      </c>
      <c r="U1961" s="37" t="str">
        <f aca="false">IF($T1961=1,$S1961,"")</f>
        <v/>
      </c>
    </row>
    <row r="1962" customFormat="false" ht="15" hidden="false" customHeight="false" outlineLevel="0" collapsed="false">
      <c r="M1962" s="35" t="str">
        <f aca="false">IF($A1962="","",HOUR($A1962))</f>
        <v/>
      </c>
      <c r="N1962" s="36" t="str">
        <f aca="false">IF($A1962="","",$I1962*$K1962)</f>
        <v/>
      </c>
      <c r="O1962" s="35" t="str">
        <f aca="false">IF(OR($A1962="",$C1962="U",$S1962&lt;&gt;Calc!$F$2),"",SUMIFS($I$3:$I$3002,$E$3:$E$3002,$E1962,$C$3:$C$3002,"&lt;&gt;U",$S$3:$S$3002,Calc!$F$2))</f>
        <v/>
      </c>
      <c r="P1962" s="35" t="str">
        <f aca="false">IF(OR($A1962="",$C1962="U",$S1962&lt;&gt;Calc!$F$2),"",SUMIFS($N$3:$N$3002,$E$3:$E$3002,$E1962,$C$3:$C$3002,"&lt;&gt;U",$S$3:$S$3002,Calc!$F$2))</f>
        <v/>
      </c>
      <c r="Q1962" s="35" t="str">
        <f aca="false">IF(OR($A1962="",$C1962="U",$S1962&lt;&gt;Calc!$F$2),"",IF(COUNTIFS($E$3:$E1962,$E1962,$C$3:$C1962,"&lt;&gt;U",$S$3:$S1962,Calc!$F$2)=1,1,0))</f>
        <v/>
      </c>
      <c r="R1962" s="35" t="str">
        <f aca="false">IF($Q1962=1,$O1962-ROW()/100000,"")</f>
        <v/>
      </c>
      <c r="S1962" s="37" t="str">
        <f aca="false">IF($A1962="","",INT($A1962))</f>
        <v/>
      </c>
      <c r="T1962" s="35" t="str">
        <f aca="false">IF($A1962="","",IF(COUNTIFS($S$3:$S1962,$S1962)=1,1,0))</f>
        <v/>
      </c>
      <c r="U1962" s="37" t="str">
        <f aca="false">IF($T1962=1,$S1962,"")</f>
        <v/>
      </c>
    </row>
    <row r="1963" customFormat="false" ht="15" hidden="false" customHeight="false" outlineLevel="0" collapsed="false">
      <c r="M1963" s="35" t="str">
        <f aca="false">IF($A1963="","",HOUR($A1963))</f>
        <v/>
      </c>
      <c r="N1963" s="36" t="str">
        <f aca="false">IF($A1963="","",$I1963*$K1963)</f>
        <v/>
      </c>
      <c r="O1963" s="35" t="str">
        <f aca="false">IF(OR($A1963="",$C1963="U",$S1963&lt;&gt;Calc!$F$2),"",SUMIFS($I$3:$I$3002,$E$3:$E$3002,$E1963,$C$3:$C$3002,"&lt;&gt;U",$S$3:$S$3002,Calc!$F$2))</f>
        <v/>
      </c>
      <c r="P1963" s="35" t="str">
        <f aca="false">IF(OR($A1963="",$C1963="U",$S1963&lt;&gt;Calc!$F$2),"",SUMIFS($N$3:$N$3002,$E$3:$E$3002,$E1963,$C$3:$C$3002,"&lt;&gt;U",$S$3:$S$3002,Calc!$F$2))</f>
        <v/>
      </c>
      <c r="Q1963" s="35" t="str">
        <f aca="false">IF(OR($A1963="",$C1963="U",$S1963&lt;&gt;Calc!$F$2),"",IF(COUNTIFS($E$3:$E1963,$E1963,$C$3:$C1963,"&lt;&gt;U",$S$3:$S1963,Calc!$F$2)=1,1,0))</f>
        <v/>
      </c>
      <c r="R1963" s="35" t="str">
        <f aca="false">IF($Q1963=1,$O1963-ROW()/100000,"")</f>
        <v/>
      </c>
      <c r="S1963" s="37" t="str">
        <f aca="false">IF($A1963="","",INT($A1963))</f>
        <v/>
      </c>
      <c r="T1963" s="35" t="str">
        <f aca="false">IF($A1963="","",IF(COUNTIFS($S$3:$S1963,$S1963)=1,1,0))</f>
        <v/>
      </c>
      <c r="U1963" s="37" t="str">
        <f aca="false">IF($T1963=1,$S1963,"")</f>
        <v/>
      </c>
    </row>
    <row r="1964" customFormat="false" ht="15" hidden="false" customHeight="false" outlineLevel="0" collapsed="false">
      <c r="M1964" s="35" t="str">
        <f aca="false">IF($A1964="","",HOUR($A1964))</f>
        <v/>
      </c>
      <c r="N1964" s="36" t="str">
        <f aca="false">IF($A1964="","",$I1964*$K1964)</f>
        <v/>
      </c>
      <c r="O1964" s="35" t="str">
        <f aca="false">IF(OR($A1964="",$C1964="U",$S1964&lt;&gt;Calc!$F$2),"",SUMIFS($I$3:$I$3002,$E$3:$E$3002,$E1964,$C$3:$C$3002,"&lt;&gt;U",$S$3:$S$3002,Calc!$F$2))</f>
        <v/>
      </c>
      <c r="P1964" s="35" t="str">
        <f aca="false">IF(OR($A1964="",$C1964="U",$S1964&lt;&gt;Calc!$F$2),"",SUMIFS($N$3:$N$3002,$E$3:$E$3002,$E1964,$C$3:$C$3002,"&lt;&gt;U",$S$3:$S$3002,Calc!$F$2))</f>
        <v/>
      </c>
      <c r="Q1964" s="35" t="str">
        <f aca="false">IF(OR($A1964="",$C1964="U",$S1964&lt;&gt;Calc!$F$2),"",IF(COUNTIFS($E$3:$E1964,$E1964,$C$3:$C1964,"&lt;&gt;U",$S$3:$S1964,Calc!$F$2)=1,1,0))</f>
        <v/>
      </c>
      <c r="R1964" s="35" t="str">
        <f aca="false">IF($Q1964=1,$O1964-ROW()/100000,"")</f>
        <v/>
      </c>
      <c r="S1964" s="37" t="str">
        <f aca="false">IF($A1964="","",INT($A1964))</f>
        <v/>
      </c>
      <c r="T1964" s="35" t="str">
        <f aca="false">IF($A1964="","",IF(COUNTIFS($S$3:$S1964,$S1964)=1,1,0))</f>
        <v/>
      </c>
      <c r="U1964" s="37" t="str">
        <f aca="false">IF($T1964=1,$S1964,"")</f>
        <v/>
      </c>
    </row>
    <row r="1965" customFormat="false" ht="15" hidden="false" customHeight="false" outlineLevel="0" collapsed="false">
      <c r="M1965" s="35" t="str">
        <f aca="false">IF($A1965="","",HOUR($A1965))</f>
        <v/>
      </c>
      <c r="N1965" s="36" t="str">
        <f aca="false">IF($A1965="","",$I1965*$K1965)</f>
        <v/>
      </c>
      <c r="O1965" s="35" t="str">
        <f aca="false">IF(OR($A1965="",$C1965="U",$S1965&lt;&gt;Calc!$F$2),"",SUMIFS($I$3:$I$3002,$E$3:$E$3002,$E1965,$C$3:$C$3002,"&lt;&gt;U",$S$3:$S$3002,Calc!$F$2))</f>
        <v/>
      </c>
      <c r="P1965" s="35" t="str">
        <f aca="false">IF(OR($A1965="",$C1965="U",$S1965&lt;&gt;Calc!$F$2),"",SUMIFS($N$3:$N$3002,$E$3:$E$3002,$E1965,$C$3:$C$3002,"&lt;&gt;U",$S$3:$S$3002,Calc!$F$2))</f>
        <v/>
      </c>
      <c r="Q1965" s="35" t="str">
        <f aca="false">IF(OR($A1965="",$C1965="U",$S1965&lt;&gt;Calc!$F$2),"",IF(COUNTIFS($E$3:$E1965,$E1965,$C$3:$C1965,"&lt;&gt;U",$S$3:$S1965,Calc!$F$2)=1,1,0))</f>
        <v/>
      </c>
      <c r="R1965" s="35" t="str">
        <f aca="false">IF($Q1965=1,$O1965-ROW()/100000,"")</f>
        <v/>
      </c>
      <c r="S1965" s="37" t="str">
        <f aca="false">IF($A1965="","",INT($A1965))</f>
        <v/>
      </c>
      <c r="T1965" s="35" t="str">
        <f aca="false">IF($A1965="","",IF(COUNTIFS($S$3:$S1965,$S1965)=1,1,0))</f>
        <v/>
      </c>
      <c r="U1965" s="37" t="str">
        <f aca="false">IF($T1965=1,$S1965,"")</f>
        <v/>
      </c>
    </row>
    <row r="1966" customFormat="false" ht="15" hidden="false" customHeight="false" outlineLevel="0" collapsed="false">
      <c r="M1966" s="35" t="str">
        <f aca="false">IF($A1966="","",HOUR($A1966))</f>
        <v/>
      </c>
      <c r="N1966" s="36" t="str">
        <f aca="false">IF($A1966="","",$I1966*$K1966)</f>
        <v/>
      </c>
      <c r="O1966" s="35" t="str">
        <f aca="false">IF(OR($A1966="",$C1966="U",$S1966&lt;&gt;Calc!$F$2),"",SUMIFS($I$3:$I$3002,$E$3:$E$3002,$E1966,$C$3:$C$3002,"&lt;&gt;U",$S$3:$S$3002,Calc!$F$2))</f>
        <v/>
      </c>
      <c r="P1966" s="35" t="str">
        <f aca="false">IF(OR($A1966="",$C1966="U",$S1966&lt;&gt;Calc!$F$2),"",SUMIFS($N$3:$N$3002,$E$3:$E$3002,$E1966,$C$3:$C$3002,"&lt;&gt;U",$S$3:$S$3002,Calc!$F$2))</f>
        <v/>
      </c>
      <c r="Q1966" s="35" t="str">
        <f aca="false">IF(OR($A1966="",$C1966="U",$S1966&lt;&gt;Calc!$F$2),"",IF(COUNTIFS($E$3:$E1966,$E1966,$C$3:$C1966,"&lt;&gt;U",$S$3:$S1966,Calc!$F$2)=1,1,0))</f>
        <v/>
      </c>
      <c r="R1966" s="35" t="str">
        <f aca="false">IF($Q1966=1,$O1966-ROW()/100000,"")</f>
        <v/>
      </c>
      <c r="S1966" s="37" t="str">
        <f aca="false">IF($A1966="","",INT($A1966))</f>
        <v/>
      </c>
      <c r="T1966" s="35" t="str">
        <f aca="false">IF($A1966="","",IF(COUNTIFS($S$3:$S1966,$S1966)=1,1,0))</f>
        <v/>
      </c>
      <c r="U1966" s="37" t="str">
        <f aca="false">IF($T1966=1,$S1966,"")</f>
        <v/>
      </c>
    </row>
    <row r="1967" customFormat="false" ht="15" hidden="false" customHeight="false" outlineLevel="0" collapsed="false">
      <c r="M1967" s="35" t="str">
        <f aca="false">IF($A1967="","",HOUR($A1967))</f>
        <v/>
      </c>
      <c r="N1967" s="36" t="str">
        <f aca="false">IF($A1967="","",$I1967*$K1967)</f>
        <v/>
      </c>
      <c r="O1967" s="35" t="str">
        <f aca="false">IF(OR($A1967="",$C1967="U",$S1967&lt;&gt;Calc!$F$2),"",SUMIFS($I$3:$I$3002,$E$3:$E$3002,$E1967,$C$3:$C$3002,"&lt;&gt;U",$S$3:$S$3002,Calc!$F$2))</f>
        <v/>
      </c>
      <c r="P1967" s="35" t="str">
        <f aca="false">IF(OR($A1967="",$C1967="U",$S1967&lt;&gt;Calc!$F$2),"",SUMIFS($N$3:$N$3002,$E$3:$E$3002,$E1967,$C$3:$C$3002,"&lt;&gt;U",$S$3:$S$3002,Calc!$F$2))</f>
        <v/>
      </c>
      <c r="Q1967" s="35" t="str">
        <f aca="false">IF(OR($A1967="",$C1967="U",$S1967&lt;&gt;Calc!$F$2),"",IF(COUNTIFS($E$3:$E1967,$E1967,$C$3:$C1967,"&lt;&gt;U",$S$3:$S1967,Calc!$F$2)=1,1,0))</f>
        <v/>
      </c>
      <c r="R1967" s="35" t="str">
        <f aca="false">IF($Q1967=1,$O1967-ROW()/100000,"")</f>
        <v/>
      </c>
      <c r="S1967" s="37" t="str">
        <f aca="false">IF($A1967="","",INT($A1967))</f>
        <v/>
      </c>
      <c r="T1967" s="35" t="str">
        <f aca="false">IF($A1967="","",IF(COUNTIFS($S$3:$S1967,$S1967)=1,1,0))</f>
        <v/>
      </c>
      <c r="U1967" s="37" t="str">
        <f aca="false">IF($T1967=1,$S1967,"")</f>
        <v/>
      </c>
    </row>
    <row r="1968" customFormat="false" ht="15" hidden="false" customHeight="false" outlineLevel="0" collapsed="false">
      <c r="M1968" s="35" t="str">
        <f aca="false">IF($A1968="","",HOUR($A1968))</f>
        <v/>
      </c>
      <c r="N1968" s="36" t="str">
        <f aca="false">IF($A1968="","",$I1968*$K1968)</f>
        <v/>
      </c>
      <c r="O1968" s="35" t="str">
        <f aca="false">IF(OR($A1968="",$C1968="U",$S1968&lt;&gt;Calc!$F$2),"",SUMIFS($I$3:$I$3002,$E$3:$E$3002,$E1968,$C$3:$C$3002,"&lt;&gt;U",$S$3:$S$3002,Calc!$F$2))</f>
        <v/>
      </c>
      <c r="P1968" s="35" t="str">
        <f aca="false">IF(OR($A1968="",$C1968="U",$S1968&lt;&gt;Calc!$F$2),"",SUMIFS($N$3:$N$3002,$E$3:$E$3002,$E1968,$C$3:$C$3002,"&lt;&gt;U",$S$3:$S$3002,Calc!$F$2))</f>
        <v/>
      </c>
      <c r="Q1968" s="35" t="str">
        <f aca="false">IF(OR($A1968="",$C1968="U",$S1968&lt;&gt;Calc!$F$2),"",IF(COUNTIFS($E$3:$E1968,$E1968,$C$3:$C1968,"&lt;&gt;U",$S$3:$S1968,Calc!$F$2)=1,1,0))</f>
        <v/>
      </c>
      <c r="R1968" s="35" t="str">
        <f aca="false">IF($Q1968=1,$O1968-ROW()/100000,"")</f>
        <v/>
      </c>
      <c r="S1968" s="37" t="str">
        <f aca="false">IF($A1968="","",INT($A1968))</f>
        <v/>
      </c>
      <c r="T1968" s="35" t="str">
        <f aca="false">IF($A1968="","",IF(COUNTIFS($S$3:$S1968,$S1968)=1,1,0))</f>
        <v/>
      </c>
      <c r="U1968" s="37" t="str">
        <f aca="false">IF($T1968=1,$S1968,"")</f>
        <v/>
      </c>
    </row>
    <row r="1969" customFormat="false" ht="15" hidden="false" customHeight="false" outlineLevel="0" collapsed="false">
      <c r="M1969" s="35" t="str">
        <f aca="false">IF($A1969="","",HOUR($A1969))</f>
        <v/>
      </c>
      <c r="N1969" s="36" t="str">
        <f aca="false">IF($A1969="","",$I1969*$K1969)</f>
        <v/>
      </c>
      <c r="O1969" s="35" t="str">
        <f aca="false">IF(OR($A1969="",$C1969="U",$S1969&lt;&gt;Calc!$F$2),"",SUMIFS($I$3:$I$3002,$E$3:$E$3002,$E1969,$C$3:$C$3002,"&lt;&gt;U",$S$3:$S$3002,Calc!$F$2))</f>
        <v/>
      </c>
      <c r="P1969" s="35" t="str">
        <f aca="false">IF(OR($A1969="",$C1969="U",$S1969&lt;&gt;Calc!$F$2),"",SUMIFS($N$3:$N$3002,$E$3:$E$3002,$E1969,$C$3:$C$3002,"&lt;&gt;U",$S$3:$S$3002,Calc!$F$2))</f>
        <v/>
      </c>
      <c r="Q1969" s="35" t="str">
        <f aca="false">IF(OR($A1969="",$C1969="U",$S1969&lt;&gt;Calc!$F$2),"",IF(COUNTIFS($E$3:$E1969,$E1969,$C$3:$C1969,"&lt;&gt;U",$S$3:$S1969,Calc!$F$2)=1,1,0))</f>
        <v/>
      </c>
      <c r="R1969" s="35" t="str">
        <f aca="false">IF($Q1969=1,$O1969-ROW()/100000,"")</f>
        <v/>
      </c>
      <c r="S1969" s="37" t="str">
        <f aca="false">IF($A1969="","",INT($A1969))</f>
        <v/>
      </c>
      <c r="T1969" s="35" t="str">
        <f aca="false">IF($A1969="","",IF(COUNTIFS($S$3:$S1969,$S1969)=1,1,0))</f>
        <v/>
      </c>
      <c r="U1969" s="37" t="str">
        <f aca="false">IF($T1969=1,$S1969,"")</f>
        <v/>
      </c>
    </row>
    <row r="1970" customFormat="false" ht="15" hidden="false" customHeight="false" outlineLevel="0" collapsed="false">
      <c r="M1970" s="35" t="str">
        <f aca="false">IF($A1970="","",HOUR($A1970))</f>
        <v/>
      </c>
      <c r="N1970" s="36" t="str">
        <f aca="false">IF($A1970="","",$I1970*$K1970)</f>
        <v/>
      </c>
      <c r="O1970" s="35" t="str">
        <f aca="false">IF(OR($A1970="",$C1970="U",$S1970&lt;&gt;Calc!$F$2),"",SUMIFS($I$3:$I$3002,$E$3:$E$3002,$E1970,$C$3:$C$3002,"&lt;&gt;U",$S$3:$S$3002,Calc!$F$2))</f>
        <v/>
      </c>
      <c r="P1970" s="35" t="str">
        <f aca="false">IF(OR($A1970="",$C1970="U",$S1970&lt;&gt;Calc!$F$2),"",SUMIFS($N$3:$N$3002,$E$3:$E$3002,$E1970,$C$3:$C$3002,"&lt;&gt;U",$S$3:$S$3002,Calc!$F$2))</f>
        <v/>
      </c>
      <c r="Q1970" s="35" t="str">
        <f aca="false">IF(OR($A1970="",$C1970="U",$S1970&lt;&gt;Calc!$F$2),"",IF(COUNTIFS($E$3:$E1970,$E1970,$C$3:$C1970,"&lt;&gt;U",$S$3:$S1970,Calc!$F$2)=1,1,0))</f>
        <v/>
      </c>
      <c r="R1970" s="35" t="str">
        <f aca="false">IF($Q1970=1,$O1970-ROW()/100000,"")</f>
        <v/>
      </c>
      <c r="S1970" s="37" t="str">
        <f aca="false">IF($A1970="","",INT($A1970))</f>
        <v/>
      </c>
      <c r="T1970" s="35" t="str">
        <f aca="false">IF($A1970="","",IF(COUNTIFS($S$3:$S1970,$S1970)=1,1,0))</f>
        <v/>
      </c>
      <c r="U1970" s="37" t="str">
        <f aca="false">IF($T1970=1,$S1970,"")</f>
        <v/>
      </c>
    </row>
    <row r="1971" customFormat="false" ht="15" hidden="false" customHeight="false" outlineLevel="0" collapsed="false">
      <c r="M1971" s="35" t="str">
        <f aca="false">IF($A1971="","",HOUR($A1971))</f>
        <v/>
      </c>
      <c r="N1971" s="36" t="str">
        <f aca="false">IF($A1971="","",$I1971*$K1971)</f>
        <v/>
      </c>
      <c r="O1971" s="35" t="str">
        <f aca="false">IF(OR($A1971="",$C1971="U",$S1971&lt;&gt;Calc!$F$2),"",SUMIFS($I$3:$I$3002,$E$3:$E$3002,$E1971,$C$3:$C$3002,"&lt;&gt;U",$S$3:$S$3002,Calc!$F$2))</f>
        <v/>
      </c>
      <c r="P1971" s="35" t="str">
        <f aca="false">IF(OR($A1971="",$C1971="U",$S1971&lt;&gt;Calc!$F$2),"",SUMIFS($N$3:$N$3002,$E$3:$E$3002,$E1971,$C$3:$C$3002,"&lt;&gt;U",$S$3:$S$3002,Calc!$F$2))</f>
        <v/>
      </c>
      <c r="Q1971" s="35" t="str">
        <f aca="false">IF(OR($A1971="",$C1971="U",$S1971&lt;&gt;Calc!$F$2),"",IF(COUNTIFS($E$3:$E1971,$E1971,$C$3:$C1971,"&lt;&gt;U",$S$3:$S1971,Calc!$F$2)=1,1,0))</f>
        <v/>
      </c>
      <c r="R1971" s="35" t="str">
        <f aca="false">IF($Q1971=1,$O1971-ROW()/100000,"")</f>
        <v/>
      </c>
      <c r="S1971" s="37" t="str">
        <f aca="false">IF($A1971="","",INT($A1971))</f>
        <v/>
      </c>
      <c r="T1971" s="35" t="str">
        <f aca="false">IF($A1971="","",IF(COUNTIFS($S$3:$S1971,$S1971)=1,1,0))</f>
        <v/>
      </c>
      <c r="U1971" s="37" t="str">
        <f aca="false">IF($T1971=1,$S1971,"")</f>
        <v/>
      </c>
    </row>
    <row r="1972" customFormat="false" ht="15" hidden="false" customHeight="false" outlineLevel="0" collapsed="false">
      <c r="M1972" s="35" t="str">
        <f aca="false">IF($A1972="","",HOUR($A1972))</f>
        <v/>
      </c>
      <c r="N1972" s="36" t="str">
        <f aca="false">IF($A1972="","",$I1972*$K1972)</f>
        <v/>
      </c>
      <c r="O1972" s="35" t="str">
        <f aca="false">IF(OR($A1972="",$C1972="U",$S1972&lt;&gt;Calc!$F$2),"",SUMIFS($I$3:$I$3002,$E$3:$E$3002,$E1972,$C$3:$C$3002,"&lt;&gt;U",$S$3:$S$3002,Calc!$F$2))</f>
        <v/>
      </c>
      <c r="P1972" s="35" t="str">
        <f aca="false">IF(OR($A1972="",$C1972="U",$S1972&lt;&gt;Calc!$F$2),"",SUMIFS($N$3:$N$3002,$E$3:$E$3002,$E1972,$C$3:$C$3002,"&lt;&gt;U",$S$3:$S$3002,Calc!$F$2))</f>
        <v/>
      </c>
      <c r="Q1972" s="35" t="str">
        <f aca="false">IF(OR($A1972="",$C1972="U",$S1972&lt;&gt;Calc!$F$2),"",IF(COUNTIFS($E$3:$E1972,$E1972,$C$3:$C1972,"&lt;&gt;U",$S$3:$S1972,Calc!$F$2)=1,1,0))</f>
        <v/>
      </c>
      <c r="R1972" s="35" t="str">
        <f aca="false">IF($Q1972=1,$O1972-ROW()/100000,"")</f>
        <v/>
      </c>
      <c r="S1972" s="37" t="str">
        <f aca="false">IF($A1972="","",INT($A1972))</f>
        <v/>
      </c>
      <c r="T1972" s="35" t="str">
        <f aca="false">IF($A1972="","",IF(COUNTIFS($S$3:$S1972,$S1972)=1,1,0))</f>
        <v/>
      </c>
      <c r="U1972" s="37" t="str">
        <f aca="false">IF($T1972=1,$S1972,"")</f>
        <v/>
      </c>
    </row>
    <row r="1973" customFormat="false" ht="15" hidden="false" customHeight="false" outlineLevel="0" collapsed="false">
      <c r="M1973" s="35" t="str">
        <f aca="false">IF($A1973="","",HOUR($A1973))</f>
        <v/>
      </c>
      <c r="N1973" s="36" t="str">
        <f aca="false">IF($A1973="","",$I1973*$K1973)</f>
        <v/>
      </c>
      <c r="O1973" s="35" t="str">
        <f aca="false">IF(OR($A1973="",$C1973="U",$S1973&lt;&gt;Calc!$F$2),"",SUMIFS($I$3:$I$3002,$E$3:$E$3002,$E1973,$C$3:$C$3002,"&lt;&gt;U",$S$3:$S$3002,Calc!$F$2))</f>
        <v/>
      </c>
      <c r="P1973" s="35" t="str">
        <f aca="false">IF(OR($A1973="",$C1973="U",$S1973&lt;&gt;Calc!$F$2),"",SUMIFS($N$3:$N$3002,$E$3:$E$3002,$E1973,$C$3:$C$3002,"&lt;&gt;U",$S$3:$S$3002,Calc!$F$2))</f>
        <v/>
      </c>
      <c r="Q1973" s="35" t="str">
        <f aca="false">IF(OR($A1973="",$C1973="U",$S1973&lt;&gt;Calc!$F$2),"",IF(COUNTIFS($E$3:$E1973,$E1973,$C$3:$C1973,"&lt;&gt;U",$S$3:$S1973,Calc!$F$2)=1,1,0))</f>
        <v/>
      </c>
      <c r="R1973" s="35" t="str">
        <f aca="false">IF($Q1973=1,$O1973-ROW()/100000,"")</f>
        <v/>
      </c>
      <c r="S1973" s="37" t="str">
        <f aca="false">IF($A1973="","",INT($A1973))</f>
        <v/>
      </c>
      <c r="T1973" s="35" t="str">
        <f aca="false">IF($A1973="","",IF(COUNTIFS($S$3:$S1973,$S1973)=1,1,0))</f>
        <v/>
      </c>
      <c r="U1973" s="37" t="str">
        <f aca="false">IF($T1973=1,$S1973,"")</f>
        <v/>
      </c>
    </row>
    <row r="1974" customFormat="false" ht="15" hidden="false" customHeight="false" outlineLevel="0" collapsed="false">
      <c r="M1974" s="35" t="str">
        <f aca="false">IF($A1974="","",HOUR($A1974))</f>
        <v/>
      </c>
      <c r="N1974" s="36" t="str">
        <f aca="false">IF($A1974="","",$I1974*$K1974)</f>
        <v/>
      </c>
      <c r="O1974" s="35" t="str">
        <f aca="false">IF(OR($A1974="",$C1974="U",$S1974&lt;&gt;Calc!$F$2),"",SUMIFS($I$3:$I$3002,$E$3:$E$3002,$E1974,$C$3:$C$3002,"&lt;&gt;U",$S$3:$S$3002,Calc!$F$2))</f>
        <v/>
      </c>
      <c r="P1974" s="35" t="str">
        <f aca="false">IF(OR($A1974="",$C1974="U",$S1974&lt;&gt;Calc!$F$2),"",SUMIFS($N$3:$N$3002,$E$3:$E$3002,$E1974,$C$3:$C$3002,"&lt;&gt;U",$S$3:$S$3002,Calc!$F$2))</f>
        <v/>
      </c>
      <c r="Q1974" s="35" t="str">
        <f aca="false">IF(OR($A1974="",$C1974="U",$S1974&lt;&gt;Calc!$F$2),"",IF(COUNTIFS($E$3:$E1974,$E1974,$C$3:$C1974,"&lt;&gt;U",$S$3:$S1974,Calc!$F$2)=1,1,0))</f>
        <v/>
      </c>
      <c r="R1974" s="35" t="str">
        <f aca="false">IF($Q1974=1,$O1974-ROW()/100000,"")</f>
        <v/>
      </c>
      <c r="S1974" s="37" t="str">
        <f aca="false">IF($A1974="","",INT($A1974))</f>
        <v/>
      </c>
      <c r="T1974" s="35" t="str">
        <f aca="false">IF($A1974="","",IF(COUNTIFS($S$3:$S1974,$S1974)=1,1,0))</f>
        <v/>
      </c>
      <c r="U1974" s="37" t="str">
        <f aca="false">IF($T1974=1,$S1974,"")</f>
        <v/>
      </c>
    </row>
    <row r="1975" customFormat="false" ht="15" hidden="false" customHeight="false" outlineLevel="0" collapsed="false">
      <c r="M1975" s="35" t="str">
        <f aca="false">IF($A1975="","",HOUR($A1975))</f>
        <v/>
      </c>
      <c r="N1975" s="36" t="str">
        <f aca="false">IF($A1975="","",$I1975*$K1975)</f>
        <v/>
      </c>
      <c r="O1975" s="35" t="str">
        <f aca="false">IF(OR($A1975="",$C1975="U",$S1975&lt;&gt;Calc!$F$2),"",SUMIFS($I$3:$I$3002,$E$3:$E$3002,$E1975,$C$3:$C$3002,"&lt;&gt;U",$S$3:$S$3002,Calc!$F$2))</f>
        <v/>
      </c>
      <c r="P1975" s="35" t="str">
        <f aca="false">IF(OR($A1975="",$C1975="U",$S1975&lt;&gt;Calc!$F$2),"",SUMIFS($N$3:$N$3002,$E$3:$E$3002,$E1975,$C$3:$C$3002,"&lt;&gt;U",$S$3:$S$3002,Calc!$F$2))</f>
        <v/>
      </c>
      <c r="Q1975" s="35" t="str">
        <f aca="false">IF(OR($A1975="",$C1975="U",$S1975&lt;&gt;Calc!$F$2),"",IF(COUNTIFS($E$3:$E1975,$E1975,$C$3:$C1975,"&lt;&gt;U",$S$3:$S1975,Calc!$F$2)=1,1,0))</f>
        <v/>
      </c>
      <c r="R1975" s="35" t="str">
        <f aca="false">IF($Q1975=1,$O1975-ROW()/100000,"")</f>
        <v/>
      </c>
      <c r="S1975" s="37" t="str">
        <f aca="false">IF($A1975="","",INT($A1975))</f>
        <v/>
      </c>
      <c r="T1975" s="35" t="str">
        <f aca="false">IF($A1975="","",IF(COUNTIFS($S$3:$S1975,$S1975)=1,1,0))</f>
        <v/>
      </c>
      <c r="U1975" s="37" t="str">
        <f aca="false">IF($T1975=1,$S1975,"")</f>
        <v/>
      </c>
    </row>
    <row r="1976" customFormat="false" ht="15" hidden="false" customHeight="false" outlineLevel="0" collapsed="false">
      <c r="M1976" s="35" t="str">
        <f aca="false">IF($A1976="","",HOUR($A1976))</f>
        <v/>
      </c>
      <c r="N1976" s="36" t="str">
        <f aca="false">IF($A1976="","",$I1976*$K1976)</f>
        <v/>
      </c>
      <c r="O1976" s="35" t="str">
        <f aca="false">IF(OR($A1976="",$C1976="U",$S1976&lt;&gt;Calc!$F$2),"",SUMIFS($I$3:$I$3002,$E$3:$E$3002,$E1976,$C$3:$C$3002,"&lt;&gt;U",$S$3:$S$3002,Calc!$F$2))</f>
        <v/>
      </c>
      <c r="P1976" s="35" t="str">
        <f aca="false">IF(OR($A1976="",$C1976="U",$S1976&lt;&gt;Calc!$F$2),"",SUMIFS($N$3:$N$3002,$E$3:$E$3002,$E1976,$C$3:$C$3002,"&lt;&gt;U",$S$3:$S$3002,Calc!$F$2))</f>
        <v/>
      </c>
      <c r="Q1976" s="35" t="str">
        <f aca="false">IF(OR($A1976="",$C1976="U",$S1976&lt;&gt;Calc!$F$2),"",IF(COUNTIFS($E$3:$E1976,$E1976,$C$3:$C1976,"&lt;&gt;U",$S$3:$S1976,Calc!$F$2)=1,1,0))</f>
        <v/>
      </c>
      <c r="R1976" s="35" t="str">
        <f aca="false">IF($Q1976=1,$O1976-ROW()/100000,"")</f>
        <v/>
      </c>
      <c r="S1976" s="37" t="str">
        <f aca="false">IF($A1976="","",INT($A1976))</f>
        <v/>
      </c>
      <c r="T1976" s="35" t="str">
        <f aca="false">IF($A1976="","",IF(COUNTIFS($S$3:$S1976,$S1976)=1,1,0))</f>
        <v/>
      </c>
      <c r="U1976" s="37" t="str">
        <f aca="false">IF($T1976=1,$S1976,"")</f>
        <v/>
      </c>
    </row>
    <row r="1977" customFormat="false" ht="15" hidden="false" customHeight="false" outlineLevel="0" collapsed="false">
      <c r="M1977" s="35" t="str">
        <f aca="false">IF($A1977="","",HOUR($A1977))</f>
        <v/>
      </c>
      <c r="N1977" s="36" t="str">
        <f aca="false">IF($A1977="","",$I1977*$K1977)</f>
        <v/>
      </c>
      <c r="O1977" s="35" t="str">
        <f aca="false">IF(OR($A1977="",$C1977="U",$S1977&lt;&gt;Calc!$F$2),"",SUMIFS($I$3:$I$3002,$E$3:$E$3002,$E1977,$C$3:$C$3002,"&lt;&gt;U",$S$3:$S$3002,Calc!$F$2))</f>
        <v/>
      </c>
      <c r="P1977" s="35" t="str">
        <f aca="false">IF(OR($A1977="",$C1977="U",$S1977&lt;&gt;Calc!$F$2),"",SUMIFS($N$3:$N$3002,$E$3:$E$3002,$E1977,$C$3:$C$3002,"&lt;&gt;U",$S$3:$S$3002,Calc!$F$2))</f>
        <v/>
      </c>
      <c r="Q1977" s="35" t="str">
        <f aca="false">IF(OR($A1977="",$C1977="U",$S1977&lt;&gt;Calc!$F$2),"",IF(COUNTIFS($E$3:$E1977,$E1977,$C$3:$C1977,"&lt;&gt;U",$S$3:$S1977,Calc!$F$2)=1,1,0))</f>
        <v/>
      </c>
      <c r="R1977" s="35" t="str">
        <f aca="false">IF($Q1977=1,$O1977-ROW()/100000,"")</f>
        <v/>
      </c>
      <c r="S1977" s="37" t="str">
        <f aca="false">IF($A1977="","",INT($A1977))</f>
        <v/>
      </c>
      <c r="T1977" s="35" t="str">
        <f aca="false">IF($A1977="","",IF(COUNTIFS($S$3:$S1977,$S1977)=1,1,0))</f>
        <v/>
      </c>
      <c r="U1977" s="37" t="str">
        <f aca="false">IF($T1977=1,$S1977,"")</f>
        <v/>
      </c>
    </row>
    <row r="1978" customFormat="false" ht="15" hidden="false" customHeight="false" outlineLevel="0" collapsed="false">
      <c r="M1978" s="35" t="str">
        <f aca="false">IF($A1978="","",HOUR($A1978))</f>
        <v/>
      </c>
      <c r="N1978" s="36" t="str">
        <f aca="false">IF($A1978="","",$I1978*$K1978)</f>
        <v/>
      </c>
      <c r="O1978" s="35" t="str">
        <f aca="false">IF(OR($A1978="",$C1978="U",$S1978&lt;&gt;Calc!$F$2),"",SUMIFS($I$3:$I$3002,$E$3:$E$3002,$E1978,$C$3:$C$3002,"&lt;&gt;U",$S$3:$S$3002,Calc!$F$2))</f>
        <v/>
      </c>
      <c r="P1978" s="35" t="str">
        <f aca="false">IF(OR($A1978="",$C1978="U",$S1978&lt;&gt;Calc!$F$2),"",SUMIFS($N$3:$N$3002,$E$3:$E$3002,$E1978,$C$3:$C$3002,"&lt;&gt;U",$S$3:$S$3002,Calc!$F$2))</f>
        <v/>
      </c>
      <c r="Q1978" s="35" t="str">
        <f aca="false">IF(OR($A1978="",$C1978="U",$S1978&lt;&gt;Calc!$F$2),"",IF(COUNTIFS($E$3:$E1978,$E1978,$C$3:$C1978,"&lt;&gt;U",$S$3:$S1978,Calc!$F$2)=1,1,0))</f>
        <v/>
      </c>
      <c r="R1978" s="35" t="str">
        <f aca="false">IF($Q1978=1,$O1978-ROW()/100000,"")</f>
        <v/>
      </c>
      <c r="S1978" s="37" t="str">
        <f aca="false">IF($A1978="","",INT($A1978))</f>
        <v/>
      </c>
      <c r="T1978" s="35" t="str">
        <f aca="false">IF($A1978="","",IF(COUNTIFS($S$3:$S1978,$S1978)=1,1,0))</f>
        <v/>
      </c>
      <c r="U1978" s="37" t="str">
        <f aca="false">IF($T1978=1,$S1978,"")</f>
        <v/>
      </c>
    </row>
    <row r="1979" customFormat="false" ht="15" hidden="false" customHeight="false" outlineLevel="0" collapsed="false">
      <c r="M1979" s="35" t="str">
        <f aca="false">IF($A1979="","",HOUR($A1979))</f>
        <v/>
      </c>
      <c r="N1979" s="36" t="str">
        <f aca="false">IF($A1979="","",$I1979*$K1979)</f>
        <v/>
      </c>
      <c r="O1979" s="35" t="str">
        <f aca="false">IF(OR($A1979="",$C1979="U",$S1979&lt;&gt;Calc!$F$2),"",SUMIFS($I$3:$I$3002,$E$3:$E$3002,$E1979,$C$3:$C$3002,"&lt;&gt;U",$S$3:$S$3002,Calc!$F$2))</f>
        <v/>
      </c>
      <c r="P1979" s="35" t="str">
        <f aca="false">IF(OR($A1979="",$C1979="U",$S1979&lt;&gt;Calc!$F$2),"",SUMIFS($N$3:$N$3002,$E$3:$E$3002,$E1979,$C$3:$C$3002,"&lt;&gt;U",$S$3:$S$3002,Calc!$F$2))</f>
        <v/>
      </c>
      <c r="Q1979" s="35" t="str">
        <f aca="false">IF(OR($A1979="",$C1979="U",$S1979&lt;&gt;Calc!$F$2),"",IF(COUNTIFS($E$3:$E1979,$E1979,$C$3:$C1979,"&lt;&gt;U",$S$3:$S1979,Calc!$F$2)=1,1,0))</f>
        <v/>
      </c>
      <c r="R1979" s="35" t="str">
        <f aca="false">IF($Q1979=1,$O1979-ROW()/100000,"")</f>
        <v/>
      </c>
      <c r="S1979" s="37" t="str">
        <f aca="false">IF($A1979="","",INT($A1979))</f>
        <v/>
      </c>
      <c r="T1979" s="35" t="str">
        <f aca="false">IF($A1979="","",IF(COUNTIFS($S$3:$S1979,$S1979)=1,1,0))</f>
        <v/>
      </c>
      <c r="U1979" s="37" t="str">
        <f aca="false">IF($T1979=1,$S1979,"")</f>
        <v/>
      </c>
    </row>
    <row r="1980" customFormat="false" ht="15" hidden="false" customHeight="false" outlineLevel="0" collapsed="false">
      <c r="M1980" s="35" t="str">
        <f aca="false">IF($A1980="","",HOUR($A1980))</f>
        <v/>
      </c>
      <c r="N1980" s="36" t="str">
        <f aca="false">IF($A1980="","",$I1980*$K1980)</f>
        <v/>
      </c>
      <c r="O1980" s="35" t="str">
        <f aca="false">IF(OR($A1980="",$C1980="U",$S1980&lt;&gt;Calc!$F$2),"",SUMIFS($I$3:$I$3002,$E$3:$E$3002,$E1980,$C$3:$C$3002,"&lt;&gt;U",$S$3:$S$3002,Calc!$F$2))</f>
        <v/>
      </c>
      <c r="P1980" s="35" t="str">
        <f aca="false">IF(OR($A1980="",$C1980="U",$S1980&lt;&gt;Calc!$F$2),"",SUMIFS($N$3:$N$3002,$E$3:$E$3002,$E1980,$C$3:$C$3002,"&lt;&gt;U",$S$3:$S$3002,Calc!$F$2))</f>
        <v/>
      </c>
      <c r="Q1980" s="35" t="str">
        <f aca="false">IF(OR($A1980="",$C1980="U",$S1980&lt;&gt;Calc!$F$2),"",IF(COUNTIFS($E$3:$E1980,$E1980,$C$3:$C1980,"&lt;&gt;U",$S$3:$S1980,Calc!$F$2)=1,1,0))</f>
        <v/>
      </c>
      <c r="R1980" s="35" t="str">
        <f aca="false">IF($Q1980=1,$O1980-ROW()/100000,"")</f>
        <v/>
      </c>
      <c r="S1980" s="37" t="str">
        <f aca="false">IF($A1980="","",INT($A1980))</f>
        <v/>
      </c>
      <c r="T1980" s="35" t="str">
        <f aca="false">IF($A1980="","",IF(COUNTIFS($S$3:$S1980,$S1980)=1,1,0))</f>
        <v/>
      </c>
      <c r="U1980" s="37" t="str">
        <f aca="false">IF($T1980=1,$S1980,"")</f>
        <v/>
      </c>
    </row>
    <row r="1981" customFormat="false" ht="15" hidden="false" customHeight="false" outlineLevel="0" collapsed="false">
      <c r="M1981" s="35" t="str">
        <f aca="false">IF($A1981="","",HOUR($A1981))</f>
        <v/>
      </c>
      <c r="N1981" s="36" t="str">
        <f aca="false">IF($A1981="","",$I1981*$K1981)</f>
        <v/>
      </c>
      <c r="O1981" s="35" t="str">
        <f aca="false">IF(OR($A1981="",$C1981="U",$S1981&lt;&gt;Calc!$F$2),"",SUMIFS($I$3:$I$3002,$E$3:$E$3002,$E1981,$C$3:$C$3002,"&lt;&gt;U",$S$3:$S$3002,Calc!$F$2))</f>
        <v/>
      </c>
      <c r="P1981" s="35" t="str">
        <f aca="false">IF(OR($A1981="",$C1981="U",$S1981&lt;&gt;Calc!$F$2),"",SUMIFS($N$3:$N$3002,$E$3:$E$3002,$E1981,$C$3:$C$3002,"&lt;&gt;U",$S$3:$S$3002,Calc!$F$2))</f>
        <v/>
      </c>
      <c r="Q1981" s="35" t="str">
        <f aca="false">IF(OR($A1981="",$C1981="U",$S1981&lt;&gt;Calc!$F$2),"",IF(COUNTIFS($E$3:$E1981,$E1981,$C$3:$C1981,"&lt;&gt;U",$S$3:$S1981,Calc!$F$2)=1,1,0))</f>
        <v/>
      </c>
      <c r="R1981" s="35" t="str">
        <f aca="false">IF($Q1981=1,$O1981-ROW()/100000,"")</f>
        <v/>
      </c>
      <c r="S1981" s="37" t="str">
        <f aca="false">IF($A1981="","",INT($A1981))</f>
        <v/>
      </c>
      <c r="T1981" s="35" t="str">
        <f aca="false">IF($A1981="","",IF(COUNTIFS($S$3:$S1981,$S1981)=1,1,0))</f>
        <v/>
      </c>
      <c r="U1981" s="37" t="str">
        <f aca="false">IF($T1981=1,$S1981,"")</f>
        <v/>
      </c>
    </row>
    <row r="1982" customFormat="false" ht="15" hidden="false" customHeight="false" outlineLevel="0" collapsed="false">
      <c r="M1982" s="35" t="str">
        <f aca="false">IF($A1982="","",HOUR($A1982))</f>
        <v/>
      </c>
      <c r="N1982" s="36" t="str">
        <f aca="false">IF($A1982="","",$I1982*$K1982)</f>
        <v/>
      </c>
      <c r="O1982" s="35" t="str">
        <f aca="false">IF(OR($A1982="",$C1982="U",$S1982&lt;&gt;Calc!$F$2),"",SUMIFS($I$3:$I$3002,$E$3:$E$3002,$E1982,$C$3:$C$3002,"&lt;&gt;U",$S$3:$S$3002,Calc!$F$2))</f>
        <v/>
      </c>
      <c r="P1982" s="35" t="str">
        <f aca="false">IF(OR($A1982="",$C1982="U",$S1982&lt;&gt;Calc!$F$2),"",SUMIFS($N$3:$N$3002,$E$3:$E$3002,$E1982,$C$3:$C$3002,"&lt;&gt;U",$S$3:$S$3002,Calc!$F$2))</f>
        <v/>
      </c>
      <c r="Q1982" s="35" t="str">
        <f aca="false">IF(OR($A1982="",$C1982="U",$S1982&lt;&gt;Calc!$F$2),"",IF(COUNTIFS($E$3:$E1982,$E1982,$C$3:$C1982,"&lt;&gt;U",$S$3:$S1982,Calc!$F$2)=1,1,0))</f>
        <v/>
      </c>
      <c r="R1982" s="35" t="str">
        <f aca="false">IF($Q1982=1,$O1982-ROW()/100000,"")</f>
        <v/>
      </c>
      <c r="S1982" s="37" t="str">
        <f aca="false">IF($A1982="","",INT($A1982))</f>
        <v/>
      </c>
      <c r="T1982" s="35" t="str">
        <f aca="false">IF($A1982="","",IF(COUNTIFS($S$3:$S1982,$S1982)=1,1,0))</f>
        <v/>
      </c>
      <c r="U1982" s="37" t="str">
        <f aca="false">IF($T1982=1,$S1982,"")</f>
        <v/>
      </c>
    </row>
    <row r="1983" customFormat="false" ht="15" hidden="false" customHeight="false" outlineLevel="0" collapsed="false">
      <c r="M1983" s="35" t="str">
        <f aca="false">IF($A1983="","",HOUR($A1983))</f>
        <v/>
      </c>
      <c r="N1983" s="36" t="str">
        <f aca="false">IF($A1983="","",$I1983*$K1983)</f>
        <v/>
      </c>
      <c r="O1983" s="35" t="str">
        <f aca="false">IF(OR($A1983="",$C1983="U",$S1983&lt;&gt;Calc!$F$2),"",SUMIFS($I$3:$I$3002,$E$3:$E$3002,$E1983,$C$3:$C$3002,"&lt;&gt;U",$S$3:$S$3002,Calc!$F$2))</f>
        <v/>
      </c>
      <c r="P1983" s="35" t="str">
        <f aca="false">IF(OR($A1983="",$C1983="U",$S1983&lt;&gt;Calc!$F$2),"",SUMIFS($N$3:$N$3002,$E$3:$E$3002,$E1983,$C$3:$C$3002,"&lt;&gt;U",$S$3:$S$3002,Calc!$F$2))</f>
        <v/>
      </c>
      <c r="Q1983" s="35" t="str">
        <f aca="false">IF(OR($A1983="",$C1983="U",$S1983&lt;&gt;Calc!$F$2),"",IF(COUNTIFS($E$3:$E1983,$E1983,$C$3:$C1983,"&lt;&gt;U",$S$3:$S1983,Calc!$F$2)=1,1,0))</f>
        <v/>
      </c>
      <c r="R1983" s="35" t="str">
        <f aca="false">IF($Q1983=1,$O1983-ROW()/100000,"")</f>
        <v/>
      </c>
      <c r="S1983" s="37" t="str">
        <f aca="false">IF($A1983="","",INT($A1983))</f>
        <v/>
      </c>
      <c r="T1983" s="35" t="str">
        <f aca="false">IF($A1983="","",IF(COUNTIFS($S$3:$S1983,$S1983)=1,1,0))</f>
        <v/>
      </c>
      <c r="U1983" s="37" t="str">
        <f aca="false">IF($T1983=1,$S1983,"")</f>
        <v/>
      </c>
    </row>
    <row r="1984" customFormat="false" ht="15" hidden="false" customHeight="false" outlineLevel="0" collapsed="false">
      <c r="M1984" s="35" t="str">
        <f aca="false">IF($A1984="","",HOUR($A1984))</f>
        <v/>
      </c>
      <c r="N1984" s="36" t="str">
        <f aca="false">IF($A1984="","",$I1984*$K1984)</f>
        <v/>
      </c>
      <c r="O1984" s="35" t="str">
        <f aca="false">IF(OR($A1984="",$C1984="U",$S1984&lt;&gt;Calc!$F$2),"",SUMIFS($I$3:$I$3002,$E$3:$E$3002,$E1984,$C$3:$C$3002,"&lt;&gt;U",$S$3:$S$3002,Calc!$F$2))</f>
        <v/>
      </c>
      <c r="P1984" s="35" t="str">
        <f aca="false">IF(OR($A1984="",$C1984="U",$S1984&lt;&gt;Calc!$F$2),"",SUMIFS($N$3:$N$3002,$E$3:$E$3002,$E1984,$C$3:$C$3002,"&lt;&gt;U",$S$3:$S$3002,Calc!$F$2))</f>
        <v/>
      </c>
      <c r="Q1984" s="35" t="str">
        <f aca="false">IF(OR($A1984="",$C1984="U",$S1984&lt;&gt;Calc!$F$2),"",IF(COUNTIFS($E$3:$E1984,$E1984,$C$3:$C1984,"&lt;&gt;U",$S$3:$S1984,Calc!$F$2)=1,1,0))</f>
        <v/>
      </c>
      <c r="R1984" s="35" t="str">
        <f aca="false">IF($Q1984=1,$O1984-ROW()/100000,"")</f>
        <v/>
      </c>
      <c r="S1984" s="37" t="str">
        <f aca="false">IF($A1984="","",INT($A1984))</f>
        <v/>
      </c>
      <c r="T1984" s="35" t="str">
        <f aca="false">IF($A1984="","",IF(COUNTIFS($S$3:$S1984,$S1984)=1,1,0))</f>
        <v/>
      </c>
      <c r="U1984" s="37" t="str">
        <f aca="false">IF($T1984=1,$S1984,"")</f>
        <v/>
      </c>
    </row>
    <row r="1985" customFormat="false" ht="15" hidden="false" customHeight="false" outlineLevel="0" collapsed="false">
      <c r="M1985" s="35" t="str">
        <f aca="false">IF($A1985="","",HOUR($A1985))</f>
        <v/>
      </c>
      <c r="N1985" s="36" t="str">
        <f aca="false">IF($A1985="","",$I1985*$K1985)</f>
        <v/>
      </c>
      <c r="O1985" s="35" t="str">
        <f aca="false">IF(OR($A1985="",$C1985="U",$S1985&lt;&gt;Calc!$F$2),"",SUMIFS($I$3:$I$3002,$E$3:$E$3002,$E1985,$C$3:$C$3002,"&lt;&gt;U",$S$3:$S$3002,Calc!$F$2))</f>
        <v/>
      </c>
      <c r="P1985" s="35" t="str">
        <f aca="false">IF(OR($A1985="",$C1985="U",$S1985&lt;&gt;Calc!$F$2),"",SUMIFS($N$3:$N$3002,$E$3:$E$3002,$E1985,$C$3:$C$3002,"&lt;&gt;U",$S$3:$S$3002,Calc!$F$2))</f>
        <v/>
      </c>
      <c r="Q1985" s="35" t="str">
        <f aca="false">IF(OR($A1985="",$C1985="U",$S1985&lt;&gt;Calc!$F$2),"",IF(COUNTIFS($E$3:$E1985,$E1985,$C$3:$C1985,"&lt;&gt;U",$S$3:$S1985,Calc!$F$2)=1,1,0))</f>
        <v/>
      </c>
      <c r="R1985" s="35" t="str">
        <f aca="false">IF($Q1985=1,$O1985-ROW()/100000,"")</f>
        <v/>
      </c>
      <c r="S1985" s="37" t="str">
        <f aca="false">IF($A1985="","",INT($A1985))</f>
        <v/>
      </c>
      <c r="T1985" s="35" t="str">
        <f aca="false">IF($A1985="","",IF(COUNTIFS($S$3:$S1985,$S1985)=1,1,0))</f>
        <v/>
      </c>
      <c r="U1985" s="37" t="str">
        <f aca="false">IF($T1985=1,$S1985,"")</f>
        <v/>
      </c>
    </row>
    <row r="1986" customFormat="false" ht="15" hidden="false" customHeight="false" outlineLevel="0" collapsed="false">
      <c r="M1986" s="35" t="str">
        <f aca="false">IF($A1986="","",HOUR($A1986))</f>
        <v/>
      </c>
      <c r="N1986" s="36" t="str">
        <f aca="false">IF($A1986="","",$I1986*$K1986)</f>
        <v/>
      </c>
      <c r="O1986" s="35" t="str">
        <f aca="false">IF(OR($A1986="",$C1986="U",$S1986&lt;&gt;Calc!$F$2),"",SUMIFS($I$3:$I$3002,$E$3:$E$3002,$E1986,$C$3:$C$3002,"&lt;&gt;U",$S$3:$S$3002,Calc!$F$2))</f>
        <v/>
      </c>
      <c r="P1986" s="35" t="str">
        <f aca="false">IF(OR($A1986="",$C1986="U",$S1986&lt;&gt;Calc!$F$2),"",SUMIFS($N$3:$N$3002,$E$3:$E$3002,$E1986,$C$3:$C$3002,"&lt;&gt;U",$S$3:$S$3002,Calc!$F$2))</f>
        <v/>
      </c>
      <c r="Q1986" s="35" t="str">
        <f aca="false">IF(OR($A1986="",$C1986="U",$S1986&lt;&gt;Calc!$F$2),"",IF(COUNTIFS($E$3:$E1986,$E1986,$C$3:$C1986,"&lt;&gt;U",$S$3:$S1986,Calc!$F$2)=1,1,0))</f>
        <v/>
      </c>
      <c r="R1986" s="35" t="str">
        <f aca="false">IF($Q1986=1,$O1986-ROW()/100000,"")</f>
        <v/>
      </c>
      <c r="S1986" s="37" t="str">
        <f aca="false">IF($A1986="","",INT($A1986))</f>
        <v/>
      </c>
      <c r="T1986" s="35" t="str">
        <f aca="false">IF($A1986="","",IF(COUNTIFS($S$3:$S1986,$S1986)=1,1,0))</f>
        <v/>
      </c>
      <c r="U1986" s="37" t="str">
        <f aca="false">IF($T1986=1,$S1986,"")</f>
        <v/>
      </c>
    </row>
    <row r="1987" customFormat="false" ht="15" hidden="false" customHeight="false" outlineLevel="0" collapsed="false">
      <c r="M1987" s="35" t="str">
        <f aca="false">IF($A1987="","",HOUR($A1987))</f>
        <v/>
      </c>
      <c r="N1987" s="36" t="str">
        <f aca="false">IF($A1987="","",$I1987*$K1987)</f>
        <v/>
      </c>
      <c r="O1987" s="35" t="str">
        <f aca="false">IF(OR($A1987="",$C1987="U",$S1987&lt;&gt;Calc!$F$2),"",SUMIFS($I$3:$I$3002,$E$3:$E$3002,$E1987,$C$3:$C$3002,"&lt;&gt;U",$S$3:$S$3002,Calc!$F$2))</f>
        <v/>
      </c>
      <c r="P1987" s="35" t="str">
        <f aca="false">IF(OR($A1987="",$C1987="U",$S1987&lt;&gt;Calc!$F$2),"",SUMIFS($N$3:$N$3002,$E$3:$E$3002,$E1987,$C$3:$C$3002,"&lt;&gt;U",$S$3:$S$3002,Calc!$F$2))</f>
        <v/>
      </c>
      <c r="Q1987" s="35" t="str">
        <f aca="false">IF(OR($A1987="",$C1987="U",$S1987&lt;&gt;Calc!$F$2),"",IF(COUNTIFS($E$3:$E1987,$E1987,$C$3:$C1987,"&lt;&gt;U",$S$3:$S1987,Calc!$F$2)=1,1,0))</f>
        <v/>
      </c>
      <c r="R1987" s="35" t="str">
        <f aca="false">IF($Q1987=1,$O1987-ROW()/100000,"")</f>
        <v/>
      </c>
      <c r="S1987" s="37" t="str">
        <f aca="false">IF($A1987="","",INT($A1987))</f>
        <v/>
      </c>
      <c r="T1987" s="35" t="str">
        <f aca="false">IF($A1987="","",IF(COUNTIFS($S$3:$S1987,$S1987)=1,1,0))</f>
        <v/>
      </c>
      <c r="U1987" s="37" t="str">
        <f aca="false">IF($T1987=1,$S1987,"")</f>
        <v/>
      </c>
    </row>
    <row r="1988" customFormat="false" ht="15" hidden="false" customHeight="false" outlineLevel="0" collapsed="false">
      <c r="M1988" s="35" t="str">
        <f aca="false">IF($A1988="","",HOUR($A1988))</f>
        <v/>
      </c>
      <c r="N1988" s="36" t="str">
        <f aca="false">IF($A1988="","",$I1988*$K1988)</f>
        <v/>
      </c>
      <c r="O1988" s="35" t="str">
        <f aca="false">IF(OR($A1988="",$C1988="U",$S1988&lt;&gt;Calc!$F$2),"",SUMIFS($I$3:$I$3002,$E$3:$E$3002,$E1988,$C$3:$C$3002,"&lt;&gt;U",$S$3:$S$3002,Calc!$F$2))</f>
        <v/>
      </c>
      <c r="P1988" s="35" t="str">
        <f aca="false">IF(OR($A1988="",$C1988="U",$S1988&lt;&gt;Calc!$F$2),"",SUMIFS($N$3:$N$3002,$E$3:$E$3002,$E1988,$C$3:$C$3002,"&lt;&gt;U",$S$3:$S$3002,Calc!$F$2))</f>
        <v/>
      </c>
      <c r="Q1988" s="35" t="str">
        <f aca="false">IF(OR($A1988="",$C1988="U",$S1988&lt;&gt;Calc!$F$2),"",IF(COUNTIFS($E$3:$E1988,$E1988,$C$3:$C1988,"&lt;&gt;U",$S$3:$S1988,Calc!$F$2)=1,1,0))</f>
        <v/>
      </c>
      <c r="R1988" s="35" t="str">
        <f aca="false">IF($Q1988=1,$O1988-ROW()/100000,"")</f>
        <v/>
      </c>
      <c r="S1988" s="37" t="str">
        <f aca="false">IF($A1988="","",INT($A1988))</f>
        <v/>
      </c>
      <c r="T1988" s="35" t="str">
        <f aca="false">IF($A1988="","",IF(COUNTIFS($S$3:$S1988,$S1988)=1,1,0))</f>
        <v/>
      </c>
      <c r="U1988" s="37" t="str">
        <f aca="false">IF($T1988=1,$S1988,"")</f>
        <v/>
      </c>
    </row>
    <row r="1989" customFormat="false" ht="15" hidden="false" customHeight="false" outlineLevel="0" collapsed="false">
      <c r="M1989" s="35" t="str">
        <f aca="false">IF($A1989="","",HOUR($A1989))</f>
        <v/>
      </c>
      <c r="N1989" s="36" t="str">
        <f aca="false">IF($A1989="","",$I1989*$K1989)</f>
        <v/>
      </c>
      <c r="O1989" s="35" t="str">
        <f aca="false">IF(OR($A1989="",$C1989="U",$S1989&lt;&gt;Calc!$F$2),"",SUMIFS($I$3:$I$3002,$E$3:$E$3002,$E1989,$C$3:$C$3002,"&lt;&gt;U",$S$3:$S$3002,Calc!$F$2))</f>
        <v/>
      </c>
      <c r="P1989" s="35" t="str">
        <f aca="false">IF(OR($A1989="",$C1989="U",$S1989&lt;&gt;Calc!$F$2),"",SUMIFS($N$3:$N$3002,$E$3:$E$3002,$E1989,$C$3:$C$3002,"&lt;&gt;U",$S$3:$S$3002,Calc!$F$2))</f>
        <v/>
      </c>
      <c r="Q1989" s="35" t="str">
        <f aca="false">IF(OR($A1989="",$C1989="U",$S1989&lt;&gt;Calc!$F$2),"",IF(COUNTIFS($E$3:$E1989,$E1989,$C$3:$C1989,"&lt;&gt;U",$S$3:$S1989,Calc!$F$2)=1,1,0))</f>
        <v/>
      </c>
      <c r="R1989" s="35" t="str">
        <f aca="false">IF($Q1989=1,$O1989-ROW()/100000,"")</f>
        <v/>
      </c>
      <c r="S1989" s="37" t="str">
        <f aca="false">IF($A1989="","",INT($A1989))</f>
        <v/>
      </c>
      <c r="T1989" s="35" t="str">
        <f aca="false">IF($A1989="","",IF(COUNTIFS($S$3:$S1989,$S1989)=1,1,0))</f>
        <v/>
      </c>
      <c r="U1989" s="37" t="str">
        <f aca="false">IF($T1989=1,$S1989,"")</f>
        <v/>
      </c>
    </row>
    <row r="1990" customFormat="false" ht="15" hidden="false" customHeight="false" outlineLevel="0" collapsed="false">
      <c r="M1990" s="35" t="str">
        <f aca="false">IF($A1990="","",HOUR($A1990))</f>
        <v/>
      </c>
      <c r="N1990" s="36" t="str">
        <f aca="false">IF($A1990="","",$I1990*$K1990)</f>
        <v/>
      </c>
      <c r="O1990" s="35" t="str">
        <f aca="false">IF(OR($A1990="",$C1990="U",$S1990&lt;&gt;Calc!$F$2),"",SUMIFS($I$3:$I$3002,$E$3:$E$3002,$E1990,$C$3:$C$3002,"&lt;&gt;U",$S$3:$S$3002,Calc!$F$2))</f>
        <v/>
      </c>
      <c r="P1990" s="35" t="str">
        <f aca="false">IF(OR($A1990="",$C1990="U",$S1990&lt;&gt;Calc!$F$2),"",SUMIFS($N$3:$N$3002,$E$3:$E$3002,$E1990,$C$3:$C$3002,"&lt;&gt;U",$S$3:$S$3002,Calc!$F$2))</f>
        <v/>
      </c>
      <c r="Q1990" s="35" t="str">
        <f aca="false">IF(OR($A1990="",$C1990="U",$S1990&lt;&gt;Calc!$F$2),"",IF(COUNTIFS($E$3:$E1990,$E1990,$C$3:$C1990,"&lt;&gt;U",$S$3:$S1990,Calc!$F$2)=1,1,0))</f>
        <v/>
      </c>
      <c r="R1990" s="35" t="str">
        <f aca="false">IF($Q1990=1,$O1990-ROW()/100000,"")</f>
        <v/>
      </c>
      <c r="S1990" s="37" t="str">
        <f aca="false">IF($A1990="","",INT($A1990))</f>
        <v/>
      </c>
      <c r="T1990" s="35" t="str">
        <f aca="false">IF($A1990="","",IF(COUNTIFS($S$3:$S1990,$S1990)=1,1,0))</f>
        <v/>
      </c>
      <c r="U1990" s="37" t="str">
        <f aca="false">IF($T1990=1,$S1990,"")</f>
        <v/>
      </c>
    </row>
    <row r="1991" customFormat="false" ht="15" hidden="false" customHeight="false" outlineLevel="0" collapsed="false">
      <c r="M1991" s="35" t="str">
        <f aca="false">IF($A1991="","",HOUR($A1991))</f>
        <v/>
      </c>
      <c r="N1991" s="36" t="str">
        <f aca="false">IF($A1991="","",$I1991*$K1991)</f>
        <v/>
      </c>
      <c r="O1991" s="35" t="str">
        <f aca="false">IF(OR($A1991="",$C1991="U",$S1991&lt;&gt;Calc!$F$2),"",SUMIFS($I$3:$I$3002,$E$3:$E$3002,$E1991,$C$3:$C$3002,"&lt;&gt;U",$S$3:$S$3002,Calc!$F$2))</f>
        <v/>
      </c>
      <c r="P1991" s="35" t="str">
        <f aca="false">IF(OR($A1991="",$C1991="U",$S1991&lt;&gt;Calc!$F$2),"",SUMIFS($N$3:$N$3002,$E$3:$E$3002,$E1991,$C$3:$C$3002,"&lt;&gt;U",$S$3:$S$3002,Calc!$F$2))</f>
        <v/>
      </c>
      <c r="Q1991" s="35" t="str">
        <f aca="false">IF(OR($A1991="",$C1991="U",$S1991&lt;&gt;Calc!$F$2),"",IF(COUNTIFS($E$3:$E1991,$E1991,$C$3:$C1991,"&lt;&gt;U",$S$3:$S1991,Calc!$F$2)=1,1,0))</f>
        <v/>
      </c>
      <c r="R1991" s="35" t="str">
        <f aca="false">IF($Q1991=1,$O1991-ROW()/100000,"")</f>
        <v/>
      </c>
      <c r="S1991" s="37" t="str">
        <f aca="false">IF($A1991="","",INT($A1991))</f>
        <v/>
      </c>
      <c r="T1991" s="35" t="str">
        <f aca="false">IF($A1991="","",IF(COUNTIFS($S$3:$S1991,$S1991)=1,1,0))</f>
        <v/>
      </c>
      <c r="U1991" s="37" t="str">
        <f aca="false">IF($T1991=1,$S1991,"")</f>
        <v/>
      </c>
    </row>
    <row r="1992" customFormat="false" ht="15" hidden="false" customHeight="false" outlineLevel="0" collapsed="false">
      <c r="M1992" s="35" t="str">
        <f aca="false">IF($A1992="","",HOUR($A1992))</f>
        <v/>
      </c>
      <c r="N1992" s="36" t="str">
        <f aca="false">IF($A1992="","",$I1992*$K1992)</f>
        <v/>
      </c>
      <c r="O1992" s="35" t="str">
        <f aca="false">IF(OR($A1992="",$C1992="U",$S1992&lt;&gt;Calc!$F$2),"",SUMIFS($I$3:$I$3002,$E$3:$E$3002,$E1992,$C$3:$C$3002,"&lt;&gt;U",$S$3:$S$3002,Calc!$F$2))</f>
        <v/>
      </c>
      <c r="P1992" s="35" t="str">
        <f aca="false">IF(OR($A1992="",$C1992="U",$S1992&lt;&gt;Calc!$F$2),"",SUMIFS($N$3:$N$3002,$E$3:$E$3002,$E1992,$C$3:$C$3002,"&lt;&gt;U",$S$3:$S$3002,Calc!$F$2))</f>
        <v/>
      </c>
      <c r="Q1992" s="35" t="str">
        <f aca="false">IF(OR($A1992="",$C1992="U",$S1992&lt;&gt;Calc!$F$2),"",IF(COUNTIFS($E$3:$E1992,$E1992,$C$3:$C1992,"&lt;&gt;U",$S$3:$S1992,Calc!$F$2)=1,1,0))</f>
        <v/>
      </c>
      <c r="R1992" s="35" t="str">
        <f aca="false">IF($Q1992=1,$O1992-ROW()/100000,"")</f>
        <v/>
      </c>
      <c r="S1992" s="37" t="str">
        <f aca="false">IF($A1992="","",INT($A1992))</f>
        <v/>
      </c>
      <c r="T1992" s="35" t="str">
        <f aca="false">IF($A1992="","",IF(COUNTIFS($S$3:$S1992,$S1992)=1,1,0))</f>
        <v/>
      </c>
      <c r="U1992" s="37" t="str">
        <f aca="false">IF($T1992=1,$S1992,"")</f>
        <v/>
      </c>
    </row>
    <row r="1993" customFormat="false" ht="15" hidden="false" customHeight="false" outlineLevel="0" collapsed="false">
      <c r="M1993" s="35" t="str">
        <f aca="false">IF($A1993="","",HOUR($A1993))</f>
        <v/>
      </c>
      <c r="N1993" s="36" t="str">
        <f aca="false">IF($A1993="","",$I1993*$K1993)</f>
        <v/>
      </c>
      <c r="O1993" s="35" t="str">
        <f aca="false">IF(OR($A1993="",$C1993="U",$S1993&lt;&gt;Calc!$F$2),"",SUMIFS($I$3:$I$3002,$E$3:$E$3002,$E1993,$C$3:$C$3002,"&lt;&gt;U",$S$3:$S$3002,Calc!$F$2))</f>
        <v/>
      </c>
      <c r="P1993" s="35" t="str">
        <f aca="false">IF(OR($A1993="",$C1993="U",$S1993&lt;&gt;Calc!$F$2),"",SUMIFS($N$3:$N$3002,$E$3:$E$3002,$E1993,$C$3:$C$3002,"&lt;&gt;U",$S$3:$S$3002,Calc!$F$2))</f>
        <v/>
      </c>
      <c r="Q1993" s="35" t="str">
        <f aca="false">IF(OR($A1993="",$C1993="U",$S1993&lt;&gt;Calc!$F$2),"",IF(COUNTIFS($E$3:$E1993,$E1993,$C$3:$C1993,"&lt;&gt;U",$S$3:$S1993,Calc!$F$2)=1,1,0))</f>
        <v/>
      </c>
      <c r="R1993" s="35" t="str">
        <f aca="false">IF($Q1993=1,$O1993-ROW()/100000,"")</f>
        <v/>
      </c>
      <c r="S1993" s="37" t="str">
        <f aca="false">IF($A1993="","",INT($A1993))</f>
        <v/>
      </c>
      <c r="T1993" s="35" t="str">
        <f aca="false">IF($A1993="","",IF(COUNTIFS($S$3:$S1993,$S1993)=1,1,0))</f>
        <v/>
      </c>
      <c r="U1993" s="37" t="str">
        <f aca="false">IF($T1993=1,$S1993,"")</f>
        <v/>
      </c>
    </row>
    <row r="1994" customFormat="false" ht="15" hidden="false" customHeight="false" outlineLevel="0" collapsed="false">
      <c r="M1994" s="35" t="str">
        <f aca="false">IF($A1994="","",HOUR($A1994))</f>
        <v/>
      </c>
      <c r="N1994" s="36" t="str">
        <f aca="false">IF($A1994="","",$I1994*$K1994)</f>
        <v/>
      </c>
      <c r="O1994" s="35" t="str">
        <f aca="false">IF(OR($A1994="",$C1994="U",$S1994&lt;&gt;Calc!$F$2),"",SUMIFS($I$3:$I$3002,$E$3:$E$3002,$E1994,$C$3:$C$3002,"&lt;&gt;U",$S$3:$S$3002,Calc!$F$2))</f>
        <v/>
      </c>
      <c r="P1994" s="35" t="str">
        <f aca="false">IF(OR($A1994="",$C1994="U",$S1994&lt;&gt;Calc!$F$2),"",SUMIFS($N$3:$N$3002,$E$3:$E$3002,$E1994,$C$3:$C$3002,"&lt;&gt;U",$S$3:$S$3002,Calc!$F$2))</f>
        <v/>
      </c>
      <c r="Q1994" s="35" t="str">
        <f aca="false">IF(OR($A1994="",$C1994="U",$S1994&lt;&gt;Calc!$F$2),"",IF(COUNTIFS($E$3:$E1994,$E1994,$C$3:$C1994,"&lt;&gt;U",$S$3:$S1994,Calc!$F$2)=1,1,0))</f>
        <v/>
      </c>
      <c r="R1994" s="35" t="str">
        <f aca="false">IF($Q1994=1,$O1994-ROW()/100000,"")</f>
        <v/>
      </c>
      <c r="S1994" s="37" t="str">
        <f aca="false">IF($A1994="","",INT($A1994))</f>
        <v/>
      </c>
      <c r="T1994" s="35" t="str">
        <f aca="false">IF($A1994="","",IF(COUNTIFS($S$3:$S1994,$S1994)=1,1,0))</f>
        <v/>
      </c>
      <c r="U1994" s="37" t="str">
        <f aca="false">IF($T1994=1,$S1994,"")</f>
        <v/>
      </c>
    </row>
    <row r="1995" customFormat="false" ht="15" hidden="false" customHeight="false" outlineLevel="0" collapsed="false">
      <c r="M1995" s="35" t="str">
        <f aca="false">IF($A1995="","",HOUR($A1995))</f>
        <v/>
      </c>
      <c r="N1995" s="36" t="str">
        <f aca="false">IF($A1995="","",$I1995*$K1995)</f>
        <v/>
      </c>
      <c r="O1995" s="35" t="str">
        <f aca="false">IF(OR($A1995="",$C1995="U",$S1995&lt;&gt;Calc!$F$2),"",SUMIFS($I$3:$I$3002,$E$3:$E$3002,$E1995,$C$3:$C$3002,"&lt;&gt;U",$S$3:$S$3002,Calc!$F$2))</f>
        <v/>
      </c>
      <c r="P1995" s="35" t="str">
        <f aca="false">IF(OR($A1995="",$C1995="U",$S1995&lt;&gt;Calc!$F$2),"",SUMIFS($N$3:$N$3002,$E$3:$E$3002,$E1995,$C$3:$C$3002,"&lt;&gt;U",$S$3:$S$3002,Calc!$F$2))</f>
        <v/>
      </c>
      <c r="Q1995" s="35" t="str">
        <f aca="false">IF(OR($A1995="",$C1995="U",$S1995&lt;&gt;Calc!$F$2),"",IF(COUNTIFS($E$3:$E1995,$E1995,$C$3:$C1995,"&lt;&gt;U",$S$3:$S1995,Calc!$F$2)=1,1,0))</f>
        <v/>
      </c>
      <c r="R1995" s="35" t="str">
        <f aca="false">IF($Q1995=1,$O1995-ROW()/100000,"")</f>
        <v/>
      </c>
      <c r="S1995" s="37" t="str">
        <f aca="false">IF($A1995="","",INT($A1995))</f>
        <v/>
      </c>
      <c r="T1995" s="35" t="str">
        <f aca="false">IF($A1995="","",IF(COUNTIFS($S$3:$S1995,$S1995)=1,1,0))</f>
        <v/>
      </c>
      <c r="U1995" s="37" t="str">
        <f aca="false">IF($T1995=1,$S1995,"")</f>
        <v/>
      </c>
    </row>
    <row r="1996" customFormat="false" ht="15" hidden="false" customHeight="false" outlineLevel="0" collapsed="false">
      <c r="M1996" s="35" t="str">
        <f aca="false">IF($A1996="","",HOUR($A1996))</f>
        <v/>
      </c>
      <c r="N1996" s="36" t="str">
        <f aca="false">IF($A1996="","",$I1996*$K1996)</f>
        <v/>
      </c>
      <c r="O1996" s="35" t="str">
        <f aca="false">IF(OR($A1996="",$C1996="U",$S1996&lt;&gt;Calc!$F$2),"",SUMIFS($I$3:$I$3002,$E$3:$E$3002,$E1996,$C$3:$C$3002,"&lt;&gt;U",$S$3:$S$3002,Calc!$F$2))</f>
        <v/>
      </c>
      <c r="P1996" s="35" t="str">
        <f aca="false">IF(OR($A1996="",$C1996="U",$S1996&lt;&gt;Calc!$F$2),"",SUMIFS($N$3:$N$3002,$E$3:$E$3002,$E1996,$C$3:$C$3002,"&lt;&gt;U",$S$3:$S$3002,Calc!$F$2))</f>
        <v/>
      </c>
      <c r="Q1996" s="35" t="str">
        <f aca="false">IF(OR($A1996="",$C1996="U",$S1996&lt;&gt;Calc!$F$2),"",IF(COUNTIFS($E$3:$E1996,$E1996,$C$3:$C1996,"&lt;&gt;U",$S$3:$S1996,Calc!$F$2)=1,1,0))</f>
        <v/>
      </c>
      <c r="R1996" s="35" t="str">
        <f aca="false">IF($Q1996=1,$O1996-ROW()/100000,"")</f>
        <v/>
      </c>
      <c r="S1996" s="37" t="str">
        <f aca="false">IF($A1996="","",INT($A1996))</f>
        <v/>
      </c>
      <c r="T1996" s="35" t="str">
        <f aca="false">IF($A1996="","",IF(COUNTIFS($S$3:$S1996,$S1996)=1,1,0))</f>
        <v/>
      </c>
      <c r="U1996" s="37" t="str">
        <f aca="false">IF($T1996=1,$S1996,"")</f>
        <v/>
      </c>
    </row>
    <row r="1997" customFormat="false" ht="15" hidden="false" customHeight="false" outlineLevel="0" collapsed="false">
      <c r="M1997" s="35" t="str">
        <f aca="false">IF($A1997="","",HOUR($A1997))</f>
        <v/>
      </c>
      <c r="N1997" s="36" t="str">
        <f aca="false">IF($A1997="","",$I1997*$K1997)</f>
        <v/>
      </c>
      <c r="O1997" s="35" t="str">
        <f aca="false">IF(OR($A1997="",$C1997="U",$S1997&lt;&gt;Calc!$F$2),"",SUMIFS($I$3:$I$3002,$E$3:$E$3002,$E1997,$C$3:$C$3002,"&lt;&gt;U",$S$3:$S$3002,Calc!$F$2))</f>
        <v/>
      </c>
      <c r="P1997" s="35" t="str">
        <f aca="false">IF(OR($A1997="",$C1997="U",$S1997&lt;&gt;Calc!$F$2),"",SUMIFS($N$3:$N$3002,$E$3:$E$3002,$E1997,$C$3:$C$3002,"&lt;&gt;U",$S$3:$S$3002,Calc!$F$2))</f>
        <v/>
      </c>
      <c r="Q1997" s="35" t="str">
        <f aca="false">IF(OR($A1997="",$C1997="U",$S1997&lt;&gt;Calc!$F$2),"",IF(COUNTIFS($E$3:$E1997,$E1997,$C$3:$C1997,"&lt;&gt;U",$S$3:$S1997,Calc!$F$2)=1,1,0))</f>
        <v/>
      </c>
      <c r="R1997" s="35" t="str">
        <f aca="false">IF($Q1997=1,$O1997-ROW()/100000,"")</f>
        <v/>
      </c>
      <c r="S1997" s="37" t="str">
        <f aca="false">IF($A1997="","",INT($A1997))</f>
        <v/>
      </c>
      <c r="T1997" s="35" t="str">
        <f aca="false">IF($A1997="","",IF(COUNTIFS($S$3:$S1997,$S1997)=1,1,0))</f>
        <v/>
      </c>
      <c r="U1997" s="37" t="str">
        <f aca="false">IF($T1997=1,$S1997,"")</f>
        <v/>
      </c>
    </row>
    <row r="1998" customFormat="false" ht="15" hidden="false" customHeight="false" outlineLevel="0" collapsed="false">
      <c r="M1998" s="35" t="str">
        <f aca="false">IF($A1998="","",HOUR($A1998))</f>
        <v/>
      </c>
      <c r="N1998" s="36" t="str">
        <f aca="false">IF($A1998="","",$I1998*$K1998)</f>
        <v/>
      </c>
      <c r="O1998" s="35" t="str">
        <f aca="false">IF(OR($A1998="",$C1998="U",$S1998&lt;&gt;Calc!$F$2),"",SUMIFS($I$3:$I$3002,$E$3:$E$3002,$E1998,$C$3:$C$3002,"&lt;&gt;U",$S$3:$S$3002,Calc!$F$2))</f>
        <v/>
      </c>
      <c r="P1998" s="35" t="str">
        <f aca="false">IF(OR($A1998="",$C1998="U",$S1998&lt;&gt;Calc!$F$2),"",SUMIFS($N$3:$N$3002,$E$3:$E$3002,$E1998,$C$3:$C$3002,"&lt;&gt;U",$S$3:$S$3002,Calc!$F$2))</f>
        <v/>
      </c>
      <c r="Q1998" s="35" t="str">
        <f aca="false">IF(OR($A1998="",$C1998="U",$S1998&lt;&gt;Calc!$F$2),"",IF(COUNTIFS($E$3:$E1998,$E1998,$C$3:$C1998,"&lt;&gt;U",$S$3:$S1998,Calc!$F$2)=1,1,0))</f>
        <v/>
      </c>
      <c r="R1998" s="35" t="str">
        <f aca="false">IF($Q1998=1,$O1998-ROW()/100000,"")</f>
        <v/>
      </c>
      <c r="S1998" s="37" t="str">
        <f aca="false">IF($A1998="","",INT($A1998))</f>
        <v/>
      </c>
      <c r="T1998" s="35" t="str">
        <f aca="false">IF($A1998="","",IF(COUNTIFS($S$3:$S1998,$S1998)=1,1,0))</f>
        <v/>
      </c>
      <c r="U1998" s="37" t="str">
        <f aca="false">IF($T1998=1,$S1998,"")</f>
        <v/>
      </c>
    </row>
    <row r="1999" customFormat="false" ht="15" hidden="false" customHeight="false" outlineLevel="0" collapsed="false">
      <c r="M1999" s="35" t="str">
        <f aca="false">IF($A1999="","",HOUR($A1999))</f>
        <v/>
      </c>
      <c r="N1999" s="36" t="str">
        <f aca="false">IF($A1999="","",$I1999*$K1999)</f>
        <v/>
      </c>
      <c r="O1999" s="35" t="str">
        <f aca="false">IF(OR($A1999="",$C1999="U",$S1999&lt;&gt;Calc!$F$2),"",SUMIFS($I$3:$I$3002,$E$3:$E$3002,$E1999,$C$3:$C$3002,"&lt;&gt;U",$S$3:$S$3002,Calc!$F$2))</f>
        <v/>
      </c>
      <c r="P1999" s="35" t="str">
        <f aca="false">IF(OR($A1999="",$C1999="U",$S1999&lt;&gt;Calc!$F$2),"",SUMIFS($N$3:$N$3002,$E$3:$E$3002,$E1999,$C$3:$C$3002,"&lt;&gt;U",$S$3:$S$3002,Calc!$F$2))</f>
        <v/>
      </c>
      <c r="Q1999" s="35" t="str">
        <f aca="false">IF(OR($A1999="",$C1999="U",$S1999&lt;&gt;Calc!$F$2),"",IF(COUNTIFS($E$3:$E1999,$E1999,$C$3:$C1999,"&lt;&gt;U",$S$3:$S1999,Calc!$F$2)=1,1,0))</f>
        <v/>
      </c>
      <c r="R1999" s="35" t="str">
        <f aca="false">IF($Q1999=1,$O1999-ROW()/100000,"")</f>
        <v/>
      </c>
      <c r="S1999" s="37" t="str">
        <f aca="false">IF($A1999="","",INT($A1999))</f>
        <v/>
      </c>
      <c r="T1999" s="35" t="str">
        <f aca="false">IF($A1999="","",IF(COUNTIFS($S$3:$S1999,$S1999)=1,1,0))</f>
        <v/>
      </c>
      <c r="U1999" s="37" t="str">
        <f aca="false">IF($T1999=1,$S1999,"")</f>
        <v/>
      </c>
    </row>
    <row r="2000" customFormat="false" ht="15" hidden="false" customHeight="false" outlineLevel="0" collapsed="false">
      <c r="M2000" s="35" t="str">
        <f aca="false">IF($A2000="","",HOUR($A2000))</f>
        <v/>
      </c>
      <c r="N2000" s="36" t="str">
        <f aca="false">IF($A2000="","",$I2000*$K2000)</f>
        <v/>
      </c>
      <c r="O2000" s="35" t="str">
        <f aca="false">IF(OR($A2000="",$C2000="U",$S2000&lt;&gt;Calc!$F$2),"",SUMIFS($I$3:$I$3002,$E$3:$E$3002,$E2000,$C$3:$C$3002,"&lt;&gt;U",$S$3:$S$3002,Calc!$F$2))</f>
        <v/>
      </c>
      <c r="P2000" s="35" t="str">
        <f aca="false">IF(OR($A2000="",$C2000="U",$S2000&lt;&gt;Calc!$F$2),"",SUMIFS($N$3:$N$3002,$E$3:$E$3002,$E2000,$C$3:$C$3002,"&lt;&gt;U",$S$3:$S$3002,Calc!$F$2))</f>
        <v/>
      </c>
      <c r="Q2000" s="35" t="str">
        <f aca="false">IF(OR($A2000="",$C2000="U",$S2000&lt;&gt;Calc!$F$2),"",IF(COUNTIFS($E$3:$E2000,$E2000,$C$3:$C2000,"&lt;&gt;U",$S$3:$S2000,Calc!$F$2)=1,1,0))</f>
        <v/>
      </c>
      <c r="R2000" s="35" t="str">
        <f aca="false">IF($Q2000=1,$O2000-ROW()/100000,"")</f>
        <v/>
      </c>
      <c r="S2000" s="37" t="str">
        <f aca="false">IF($A2000="","",INT($A2000))</f>
        <v/>
      </c>
      <c r="T2000" s="35" t="str">
        <f aca="false">IF($A2000="","",IF(COUNTIFS($S$3:$S2000,$S2000)=1,1,0))</f>
        <v/>
      </c>
      <c r="U2000" s="37" t="str">
        <f aca="false">IF($T2000=1,$S2000,"")</f>
        <v/>
      </c>
    </row>
    <row r="2001" customFormat="false" ht="15" hidden="false" customHeight="false" outlineLevel="0" collapsed="false">
      <c r="M2001" s="35" t="str">
        <f aca="false">IF($A2001="","",HOUR($A2001))</f>
        <v/>
      </c>
      <c r="N2001" s="36" t="str">
        <f aca="false">IF($A2001="","",$I2001*$K2001)</f>
        <v/>
      </c>
      <c r="O2001" s="35" t="str">
        <f aca="false">IF(OR($A2001="",$C2001="U",$S2001&lt;&gt;Calc!$F$2),"",SUMIFS($I$3:$I$3002,$E$3:$E$3002,$E2001,$C$3:$C$3002,"&lt;&gt;U",$S$3:$S$3002,Calc!$F$2))</f>
        <v/>
      </c>
      <c r="P2001" s="35" t="str">
        <f aca="false">IF(OR($A2001="",$C2001="U",$S2001&lt;&gt;Calc!$F$2),"",SUMIFS($N$3:$N$3002,$E$3:$E$3002,$E2001,$C$3:$C$3002,"&lt;&gt;U",$S$3:$S$3002,Calc!$F$2))</f>
        <v/>
      </c>
      <c r="Q2001" s="35" t="str">
        <f aca="false">IF(OR($A2001="",$C2001="U",$S2001&lt;&gt;Calc!$F$2),"",IF(COUNTIFS($E$3:$E2001,$E2001,$C$3:$C2001,"&lt;&gt;U",$S$3:$S2001,Calc!$F$2)=1,1,0))</f>
        <v/>
      </c>
      <c r="R2001" s="35" t="str">
        <f aca="false">IF($Q2001=1,$O2001-ROW()/100000,"")</f>
        <v/>
      </c>
      <c r="S2001" s="37" t="str">
        <f aca="false">IF($A2001="","",INT($A2001))</f>
        <v/>
      </c>
      <c r="T2001" s="35" t="str">
        <f aca="false">IF($A2001="","",IF(COUNTIFS($S$3:$S2001,$S2001)=1,1,0))</f>
        <v/>
      </c>
      <c r="U2001" s="37" t="str">
        <f aca="false">IF($T2001=1,$S2001,"")</f>
        <v/>
      </c>
    </row>
    <row r="2002" customFormat="false" ht="15" hidden="false" customHeight="false" outlineLevel="0" collapsed="false">
      <c r="M2002" s="35" t="str">
        <f aca="false">IF($A2002="","",HOUR($A2002))</f>
        <v/>
      </c>
      <c r="N2002" s="36" t="str">
        <f aca="false">IF($A2002="","",$I2002*$K2002)</f>
        <v/>
      </c>
      <c r="O2002" s="35" t="str">
        <f aca="false">IF(OR($A2002="",$C2002="U",$S2002&lt;&gt;Calc!$F$2),"",SUMIFS($I$3:$I$3002,$E$3:$E$3002,$E2002,$C$3:$C$3002,"&lt;&gt;U",$S$3:$S$3002,Calc!$F$2))</f>
        <v/>
      </c>
      <c r="P2002" s="35" t="str">
        <f aca="false">IF(OR($A2002="",$C2002="U",$S2002&lt;&gt;Calc!$F$2),"",SUMIFS($N$3:$N$3002,$E$3:$E$3002,$E2002,$C$3:$C$3002,"&lt;&gt;U",$S$3:$S$3002,Calc!$F$2))</f>
        <v/>
      </c>
      <c r="Q2002" s="35" t="str">
        <f aca="false">IF(OR($A2002="",$C2002="U",$S2002&lt;&gt;Calc!$F$2),"",IF(COUNTIFS($E$3:$E2002,$E2002,$C$3:$C2002,"&lt;&gt;U",$S$3:$S2002,Calc!$F$2)=1,1,0))</f>
        <v/>
      </c>
      <c r="R2002" s="35" t="str">
        <f aca="false">IF($Q2002=1,$O2002-ROW()/100000,"")</f>
        <v/>
      </c>
      <c r="S2002" s="37" t="str">
        <f aca="false">IF($A2002="","",INT($A2002))</f>
        <v/>
      </c>
      <c r="T2002" s="35" t="str">
        <f aca="false">IF($A2002="","",IF(COUNTIFS($S$3:$S2002,$S2002)=1,1,0))</f>
        <v/>
      </c>
      <c r="U2002" s="37" t="str">
        <f aca="false">IF($T2002=1,$S2002,"")</f>
        <v/>
      </c>
    </row>
    <row r="2003" customFormat="false" ht="15" hidden="false" customHeight="false" outlineLevel="0" collapsed="false">
      <c r="M2003" s="35" t="str">
        <f aca="false">IF($A2003="","",HOUR($A2003))</f>
        <v/>
      </c>
      <c r="N2003" s="36" t="str">
        <f aca="false">IF($A2003="","",$I2003*$K2003)</f>
        <v/>
      </c>
      <c r="O2003" s="35" t="str">
        <f aca="false">IF(OR($A2003="",$C2003="U",$S2003&lt;&gt;Calc!$F$2),"",SUMIFS($I$3:$I$3002,$E$3:$E$3002,$E2003,$C$3:$C$3002,"&lt;&gt;U",$S$3:$S$3002,Calc!$F$2))</f>
        <v/>
      </c>
      <c r="P2003" s="35" t="str">
        <f aca="false">IF(OR($A2003="",$C2003="U",$S2003&lt;&gt;Calc!$F$2),"",SUMIFS($N$3:$N$3002,$E$3:$E$3002,$E2003,$C$3:$C$3002,"&lt;&gt;U",$S$3:$S$3002,Calc!$F$2))</f>
        <v/>
      </c>
      <c r="Q2003" s="35" t="str">
        <f aca="false">IF(OR($A2003="",$C2003="U",$S2003&lt;&gt;Calc!$F$2),"",IF(COUNTIFS($E$3:$E2003,$E2003,$C$3:$C2003,"&lt;&gt;U",$S$3:$S2003,Calc!$F$2)=1,1,0))</f>
        <v/>
      </c>
      <c r="R2003" s="35" t="str">
        <f aca="false">IF($Q2003=1,$O2003-ROW()/100000,"")</f>
        <v/>
      </c>
      <c r="S2003" s="37" t="str">
        <f aca="false">IF($A2003="","",INT($A2003))</f>
        <v/>
      </c>
      <c r="T2003" s="35" t="str">
        <f aca="false">IF($A2003="","",IF(COUNTIFS($S$3:$S2003,$S2003)=1,1,0))</f>
        <v/>
      </c>
      <c r="U2003" s="37" t="str">
        <f aca="false">IF($T2003=1,$S2003,"")</f>
        <v/>
      </c>
    </row>
    <row r="2004" customFormat="false" ht="15" hidden="false" customHeight="false" outlineLevel="0" collapsed="false">
      <c r="M2004" s="35" t="str">
        <f aca="false">IF($A2004="","",HOUR($A2004))</f>
        <v/>
      </c>
      <c r="N2004" s="36" t="str">
        <f aca="false">IF($A2004="","",$I2004*$K2004)</f>
        <v/>
      </c>
      <c r="O2004" s="35" t="str">
        <f aca="false">IF(OR($A2004="",$C2004="U",$S2004&lt;&gt;Calc!$F$2),"",SUMIFS($I$3:$I$3002,$E$3:$E$3002,$E2004,$C$3:$C$3002,"&lt;&gt;U",$S$3:$S$3002,Calc!$F$2))</f>
        <v/>
      </c>
      <c r="P2004" s="35" t="str">
        <f aca="false">IF(OR($A2004="",$C2004="U",$S2004&lt;&gt;Calc!$F$2),"",SUMIFS($N$3:$N$3002,$E$3:$E$3002,$E2004,$C$3:$C$3002,"&lt;&gt;U",$S$3:$S$3002,Calc!$F$2))</f>
        <v/>
      </c>
      <c r="Q2004" s="35" t="str">
        <f aca="false">IF(OR($A2004="",$C2004="U",$S2004&lt;&gt;Calc!$F$2),"",IF(COUNTIFS($E$3:$E2004,$E2004,$C$3:$C2004,"&lt;&gt;U",$S$3:$S2004,Calc!$F$2)=1,1,0))</f>
        <v/>
      </c>
      <c r="R2004" s="35" t="str">
        <f aca="false">IF($Q2004=1,$O2004-ROW()/100000,"")</f>
        <v/>
      </c>
      <c r="S2004" s="37" t="str">
        <f aca="false">IF($A2004="","",INT($A2004))</f>
        <v/>
      </c>
      <c r="T2004" s="35" t="str">
        <f aca="false">IF($A2004="","",IF(COUNTIFS($S$3:$S2004,$S2004)=1,1,0))</f>
        <v/>
      </c>
      <c r="U2004" s="37" t="str">
        <f aca="false">IF($T2004=1,$S2004,"")</f>
        <v/>
      </c>
    </row>
    <row r="2005" customFormat="false" ht="15" hidden="false" customHeight="false" outlineLevel="0" collapsed="false">
      <c r="M2005" s="35" t="str">
        <f aca="false">IF($A2005="","",HOUR($A2005))</f>
        <v/>
      </c>
      <c r="N2005" s="36" t="str">
        <f aca="false">IF($A2005="","",$I2005*$K2005)</f>
        <v/>
      </c>
      <c r="O2005" s="35" t="str">
        <f aca="false">IF(OR($A2005="",$C2005="U",$S2005&lt;&gt;Calc!$F$2),"",SUMIFS($I$3:$I$3002,$E$3:$E$3002,$E2005,$C$3:$C$3002,"&lt;&gt;U",$S$3:$S$3002,Calc!$F$2))</f>
        <v/>
      </c>
      <c r="P2005" s="35" t="str">
        <f aca="false">IF(OR($A2005="",$C2005="U",$S2005&lt;&gt;Calc!$F$2),"",SUMIFS($N$3:$N$3002,$E$3:$E$3002,$E2005,$C$3:$C$3002,"&lt;&gt;U",$S$3:$S$3002,Calc!$F$2))</f>
        <v/>
      </c>
      <c r="Q2005" s="35" t="str">
        <f aca="false">IF(OR($A2005="",$C2005="U",$S2005&lt;&gt;Calc!$F$2),"",IF(COUNTIFS($E$3:$E2005,$E2005,$C$3:$C2005,"&lt;&gt;U",$S$3:$S2005,Calc!$F$2)=1,1,0))</f>
        <v/>
      </c>
      <c r="R2005" s="35" t="str">
        <f aca="false">IF($Q2005=1,$O2005-ROW()/100000,"")</f>
        <v/>
      </c>
      <c r="S2005" s="37" t="str">
        <f aca="false">IF($A2005="","",INT($A2005))</f>
        <v/>
      </c>
      <c r="T2005" s="35" t="str">
        <f aca="false">IF($A2005="","",IF(COUNTIFS($S$3:$S2005,$S2005)=1,1,0))</f>
        <v/>
      </c>
      <c r="U2005" s="37" t="str">
        <f aca="false">IF($T2005=1,$S2005,"")</f>
        <v/>
      </c>
    </row>
    <row r="2006" customFormat="false" ht="15" hidden="false" customHeight="false" outlineLevel="0" collapsed="false">
      <c r="M2006" s="35" t="str">
        <f aca="false">IF($A2006="","",HOUR($A2006))</f>
        <v/>
      </c>
      <c r="N2006" s="36" t="str">
        <f aca="false">IF($A2006="","",$I2006*$K2006)</f>
        <v/>
      </c>
      <c r="O2006" s="35" t="str">
        <f aca="false">IF(OR($A2006="",$C2006="U",$S2006&lt;&gt;Calc!$F$2),"",SUMIFS($I$3:$I$3002,$E$3:$E$3002,$E2006,$C$3:$C$3002,"&lt;&gt;U",$S$3:$S$3002,Calc!$F$2))</f>
        <v/>
      </c>
      <c r="P2006" s="35" t="str">
        <f aca="false">IF(OR($A2006="",$C2006="U",$S2006&lt;&gt;Calc!$F$2),"",SUMIFS($N$3:$N$3002,$E$3:$E$3002,$E2006,$C$3:$C$3002,"&lt;&gt;U",$S$3:$S$3002,Calc!$F$2))</f>
        <v/>
      </c>
      <c r="Q2006" s="35" t="str">
        <f aca="false">IF(OR($A2006="",$C2006="U",$S2006&lt;&gt;Calc!$F$2),"",IF(COUNTIFS($E$3:$E2006,$E2006,$C$3:$C2006,"&lt;&gt;U",$S$3:$S2006,Calc!$F$2)=1,1,0))</f>
        <v/>
      </c>
      <c r="R2006" s="35" t="str">
        <f aca="false">IF($Q2006=1,$O2006-ROW()/100000,"")</f>
        <v/>
      </c>
      <c r="S2006" s="37" t="str">
        <f aca="false">IF($A2006="","",INT($A2006))</f>
        <v/>
      </c>
      <c r="T2006" s="35" t="str">
        <f aca="false">IF($A2006="","",IF(COUNTIFS($S$3:$S2006,$S2006)=1,1,0))</f>
        <v/>
      </c>
      <c r="U2006" s="37" t="str">
        <f aca="false">IF($T2006=1,$S2006,"")</f>
        <v/>
      </c>
    </row>
    <row r="2007" customFormat="false" ht="15" hidden="false" customHeight="false" outlineLevel="0" collapsed="false">
      <c r="M2007" s="35" t="str">
        <f aca="false">IF($A2007="","",HOUR($A2007))</f>
        <v/>
      </c>
      <c r="N2007" s="36" t="str">
        <f aca="false">IF($A2007="","",$I2007*$K2007)</f>
        <v/>
      </c>
      <c r="O2007" s="35" t="str">
        <f aca="false">IF(OR($A2007="",$C2007="U",$S2007&lt;&gt;Calc!$F$2),"",SUMIFS($I$3:$I$3002,$E$3:$E$3002,$E2007,$C$3:$C$3002,"&lt;&gt;U",$S$3:$S$3002,Calc!$F$2))</f>
        <v/>
      </c>
      <c r="P2007" s="35" t="str">
        <f aca="false">IF(OR($A2007="",$C2007="U",$S2007&lt;&gt;Calc!$F$2),"",SUMIFS($N$3:$N$3002,$E$3:$E$3002,$E2007,$C$3:$C$3002,"&lt;&gt;U",$S$3:$S$3002,Calc!$F$2))</f>
        <v/>
      </c>
      <c r="Q2007" s="35" t="str">
        <f aca="false">IF(OR($A2007="",$C2007="U",$S2007&lt;&gt;Calc!$F$2),"",IF(COUNTIFS($E$3:$E2007,$E2007,$C$3:$C2007,"&lt;&gt;U",$S$3:$S2007,Calc!$F$2)=1,1,0))</f>
        <v/>
      </c>
      <c r="R2007" s="35" t="str">
        <f aca="false">IF($Q2007=1,$O2007-ROW()/100000,"")</f>
        <v/>
      </c>
      <c r="S2007" s="37" t="str">
        <f aca="false">IF($A2007="","",INT($A2007))</f>
        <v/>
      </c>
      <c r="T2007" s="35" t="str">
        <f aca="false">IF($A2007="","",IF(COUNTIFS($S$3:$S2007,$S2007)=1,1,0))</f>
        <v/>
      </c>
      <c r="U2007" s="37" t="str">
        <f aca="false">IF($T2007=1,$S2007,"")</f>
        <v/>
      </c>
    </row>
    <row r="2008" customFormat="false" ht="15" hidden="false" customHeight="false" outlineLevel="0" collapsed="false">
      <c r="M2008" s="35" t="str">
        <f aca="false">IF($A2008="","",HOUR($A2008))</f>
        <v/>
      </c>
      <c r="N2008" s="36" t="str">
        <f aca="false">IF($A2008="","",$I2008*$K2008)</f>
        <v/>
      </c>
      <c r="O2008" s="35" t="str">
        <f aca="false">IF(OR($A2008="",$C2008="U",$S2008&lt;&gt;Calc!$F$2),"",SUMIFS($I$3:$I$3002,$E$3:$E$3002,$E2008,$C$3:$C$3002,"&lt;&gt;U",$S$3:$S$3002,Calc!$F$2))</f>
        <v/>
      </c>
      <c r="P2008" s="35" t="str">
        <f aca="false">IF(OR($A2008="",$C2008="U",$S2008&lt;&gt;Calc!$F$2),"",SUMIFS($N$3:$N$3002,$E$3:$E$3002,$E2008,$C$3:$C$3002,"&lt;&gt;U",$S$3:$S$3002,Calc!$F$2))</f>
        <v/>
      </c>
      <c r="Q2008" s="35" t="str">
        <f aca="false">IF(OR($A2008="",$C2008="U",$S2008&lt;&gt;Calc!$F$2),"",IF(COUNTIFS($E$3:$E2008,$E2008,$C$3:$C2008,"&lt;&gt;U",$S$3:$S2008,Calc!$F$2)=1,1,0))</f>
        <v/>
      </c>
      <c r="R2008" s="35" t="str">
        <f aca="false">IF($Q2008=1,$O2008-ROW()/100000,"")</f>
        <v/>
      </c>
      <c r="S2008" s="37" t="str">
        <f aca="false">IF($A2008="","",INT($A2008))</f>
        <v/>
      </c>
      <c r="T2008" s="35" t="str">
        <f aca="false">IF($A2008="","",IF(COUNTIFS($S$3:$S2008,$S2008)=1,1,0))</f>
        <v/>
      </c>
      <c r="U2008" s="37" t="str">
        <f aca="false">IF($T2008=1,$S2008,"")</f>
        <v/>
      </c>
    </row>
    <row r="2009" customFormat="false" ht="15" hidden="false" customHeight="false" outlineLevel="0" collapsed="false">
      <c r="M2009" s="35" t="str">
        <f aca="false">IF($A2009="","",HOUR($A2009))</f>
        <v/>
      </c>
      <c r="N2009" s="36" t="str">
        <f aca="false">IF($A2009="","",$I2009*$K2009)</f>
        <v/>
      </c>
      <c r="O2009" s="35" t="str">
        <f aca="false">IF(OR($A2009="",$C2009="U",$S2009&lt;&gt;Calc!$F$2),"",SUMIFS($I$3:$I$3002,$E$3:$E$3002,$E2009,$C$3:$C$3002,"&lt;&gt;U",$S$3:$S$3002,Calc!$F$2))</f>
        <v/>
      </c>
      <c r="P2009" s="35" t="str">
        <f aca="false">IF(OR($A2009="",$C2009="U",$S2009&lt;&gt;Calc!$F$2),"",SUMIFS($N$3:$N$3002,$E$3:$E$3002,$E2009,$C$3:$C$3002,"&lt;&gt;U",$S$3:$S$3002,Calc!$F$2))</f>
        <v/>
      </c>
      <c r="Q2009" s="35" t="str">
        <f aca="false">IF(OR($A2009="",$C2009="U",$S2009&lt;&gt;Calc!$F$2),"",IF(COUNTIFS($E$3:$E2009,$E2009,$C$3:$C2009,"&lt;&gt;U",$S$3:$S2009,Calc!$F$2)=1,1,0))</f>
        <v/>
      </c>
      <c r="R2009" s="35" t="str">
        <f aca="false">IF($Q2009=1,$O2009-ROW()/100000,"")</f>
        <v/>
      </c>
      <c r="S2009" s="37" t="str">
        <f aca="false">IF($A2009="","",INT($A2009))</f>
        <v/>
      </c>
      <c r="T2009" s="35" t="str">
        <f aca="false">IF($A2009="","",IF(COUNTIFS($S$3:$S2009,$S2009)=1,1,0))</f>
        <v/>
      </c>
      <c r="U2009" s="37" t="str">
        <f aca="false">IF($T2009=1,$S2009,"")</f>
        <v/>
      </c>
    </row>
    <row r="2010" customFormat="false" ht="15" hidden="false" customHeight="false" outlineLevel="0" collapsed="false">
      <c r="M2010" s="35" t="str">
        <f aca="false">IF($A2010="","",HOUR($A2010))</f>
        <v/>
      </c>
      <c r="N2010" s="36" t="str">
        <f aca="false">IF($A2010="","",$I2010*$K2010)</f>
        <v/>
      </c>
      <c r="O2010" s="35" t="str">
        <f aca="false">IF(OR($A2010="",$C2010="U",$S2010&lt;&gt;Calc!$F$2),"",SUMIFS($I$3:$I$3002,$E$3:$E$3002,$E2010,$C$3:$C$3002,"&lt;&gt;U",$S$3:$S$3002,Calc!$F$2))</f>
        <v/>
      </c>
      <c r="P2010" s="35" t="str">
        <f aca="false">IF(OR($A2010="",$C2010="U",$S2010&lt;&gt;Calc!$F$2),"",SUMIFS($N$3:$N$3002,$E$3:$E$3002,$E2010,$C$3:$C$3002,"&lt;&gt;U",$S$3:$S$3002,Calc!$F$2))</f>
        <v/>
      </c>
      <c r="Q2010" s="35" t="str">
        <f aca="false">IF(OR($A2010="",$C2010="U",$S2010&lt;&gt;Calc!$F$2),"",IF(COUNTIFS($E$3:$E2010,$E2010,$C$3:$C2010,"&lt;&gt;U",$S$3:$S2010,Calc!$F$2)=1,1,0))</f>
        <v/>
      </c>
      <c r="R2010" s="35" t="str">
        <f aca="false">IF($Q2010=1,$O2010-ROW()/100000,"")</f>
        <v/>
      </c>
      <c r="S2010" s="37" t="str">
        <f aca="false">IF($A2010="","",INT($A2010))</f>
        <v/>
      </c>
      <c r="T2010" s="35" t="str">
        <f aca="false">IF($A2010="","",IF(COUNTIFS($S$3:$S2010,$S2010)=1,1,0))</f>
        <v/>
      </c>
      <c r="U2010" s="37" t="str">
        <f aca="false">IF($T2010=1,$S2010,"")</f>
        <v/>
      </c>
    </row>
    <row r="2011" customFormat="false" ht="15" hidden="false" customHeight="false" outlineLevel="0" collapsed="false">
      <c r="M2011" s="35" t="str">
        <f aca="false">IF($A2011="","",HOUR($A2011))</f>
        <v/>
      </c>
      <c r="N2011" s="36" t="str">
        <f aca="false">IF($A2011="","",$I2011*$K2011)</f>
        <v/>
      </c>
      <c r="O2011" s="35" t="str">
        <f aca="false">IF(OR($A2011="",$C2011="U",$S2011&lt;&gt;Calc!$F$2),"",SUMIFS($I$3:$I$3002,$E$3:$E$3002,$E2011,$C$3:$C$3002,"&lt;&gt;U",$S$3:$S$3002,Calc!$F$2))</f>
        <v/>
      </c>
      <c r="P2011" s="35" t="str">
        <f aca="false">IF(OR($A2011="",$C2011="U",$S2011&lt;&gt;Calc!$F$2),"",SUMIFS($N$3:$N$3002,$E$3:$E$3002,$E2011,$C$3:$C$3002,"&lt;&gt;U",$S$3:$S$3002,Calc!$F$2))</f>
        <v/>
      </c>
      <c r="Q2011" s="35" t="str">
        <f aca="false">IF(OR($A2011="",$C2011="U",$S2011&lt;&gt;Calc!$F$2),"",IF(COUNTIFS($E$3:$E2011,$E2011,$C$3:$C2011,"&lt;&gt;U",$S$3:$S2011,Calc!$F$2)=1,1,0))</f>
        <v/>
      </c>
      <c r="R2011" s="35" t="str">
        <f aca="false">IF($Q2011=1,$O2011-ROW()/100000,"")</f>
        <v/>
      </c>
      <c r="S2011" s="37" t="str">
        <f aca="false">IF($A2011="","",INT($A2011))</f>
        <v/>
      </c>
      <c r="T2011" s="35" t="str">
        <f aca="false">IF($A2011="","",IF(COUNTIFS($S$3:$S2011,$S2011)=1,1,0))</f>
        <v/>
      </c>
      <c r="U2011" s="37" t="str">
        <f aca="false">IF($T2011=1,$S2011,"")</f>
        <v/>
      </c>
    </row>
    <row r="2012" customFormat="false" ht="15" hidden="false" customHeight="false" outlineLevel="0" collapsed="false">
      <c r="M2012" s="35" t="str">
        <f aca="false">IF($A2012="","",HOUR($A2012))</f>
        <v/>
      </c>
      <c r="N2012" s="36" t="str">
        <f aca="false">IF($A2012="","",$I2012*$K2012)</f>
        <v/>
      </c>
      <c r="O2012" s="35" t="str">
        <f aca="false">IF(OR($A2012="",$C2012="U",$S2012&lt;&gt;Calc!$F$2),"",SUMIFS($I$3:$I$3002,$E$3:$E$3002,$E2012,$C$3:$C$3002,"&lt;&gt;U",$S$3:$S$3002,Calc!$F$2))</f>
        <v/>
      </c>
      <c r="P2012" s="35" t="str">
        <f aca="false">IF(OR($A2012="",$C2012="U",$S2012&lt;&gt;Calc!$F$2),"",SUMIFS($N$3:$N$3002,$E$3:$E$3002,$E2012,$C$3:$C$3002,"&lt;&gt;U",$S$3:$S$3002,Calc!$F$2))</f>
        <v/>
      </c>
      <c r="Q2012" s="35" t="str">
        <f aca="false">IF(OR($A2012="",$C2012="U",$S2012&lt;&gt;Calc!$F$2),"",IF(COUNTIFS($E$3:$E2012,$E2012,$C$3:$C2012,"&lt;&gt;U",$S$3:$S2012,Calc!$F$2)=1,1,0))</f>
        <v/>
      </c>
      <c r="R2012" s="35" t="str">
        <f aca="false">IF($Q2012=1,$O2012-ROW()/100000,"")</f>
        <v/>
      </c>
      <c r="S2012" s="37" t="str">
        <f aca="false">IF($A2012="","",INT($A2012))</f>
        <v/>
      </c>
      <c r="T2012" s="35" t="str">
        <f aca="false">IF($A2012="","",IF(COUNTIFS($S$3:$S2012,$S2012)=1,1,0))</f>
        <v/>
      </c>
      <c r="U2012" s="37" t="str">
        <f aca="false">IF($T2012=1,$S2012,"")</f>
        <v/>
      </c>
    </row>
    <row r="2013" customFormat="false" ht="15" hidden="false" customHeight="false" outlineLevel="0" collapsed="false">
      <c r="M2013" s="35" t="str">
        <f aca="false">IF($A2013="","",HOUR($A2013))</f>
        <v/>
      </c>
      <c r="N2013" s="36" t="str">
        <f aca="false">IF($A2013="","",$I2013*$K2013)</f>
        <v/>
      </c>
      <c r="O2013" s="35" t="str">
        <f aca="false">IF(OR($A2013="",$C2013="U",$S2013&lt;&gt;Calc!$F$2),"",SUMIFS($I$3:$I$3002,$E$3:$E$3002,$E2013,$C$3:$C$3002,"&lt;&gt;U",$S$3:$S$3002,Calc!$F$2))</f>
        <v/>
      </c>
      <c r="P2013" s="35" t="str">
        <f aca="false">IF(OR($A2013="",$C2013="U",$S2013&lt;&gt;Calc!$F$2),"",SUMIFS($N$3:$N$3002,$E$3:$E$3002,$E2013,$C$3:$C$3002,"&lt;&gt;U",$S$3:$S$3002,Calc!$F$2))</f>
        <v/>
      </c>
      <c r="Q2013" s="35" t="str">
        <f aca="false">IF(OR($A2013="",$C2013="U",$S2013&lt;&gt;Calc!$F$2),"",IF(COUNTIFS($E$3:$E2013,$E2013,$C$3:$C2013,"&lt;&gt;U",$S$3:$S2013,Calc!$F$2)=1,1,0))</f>
        <v/>
      </c>
      <c r="R2013" s="35" t="str">
        <f aca="false">IF($Q2013=1,$O2013-ROW()/100000,"")</f>
        <v/>
      </c>
      <c r="S2013" s="37" t="str">
        <f aca="false">IF($A2013="","",INT($A2013))</f>
        <v/>
      </c>
      <c r="T2013" s="35" t="str">
        <f aca="false">IF($A2013="","",IF(COUNTIFS($S$3:$S2013,$S2013)=1,1,0))</f>
        <v/>
      </c>
      <c r="U2013" s="37" t="str">
        <f aca="false">IF($T2013=1,$S2013,"")</f>
        <v/>
      </c>
    </row>
    <row r="2014" customFormat="false" ht="15" hidden="false" customHeight="false" outlineLevel="0" collapsed="false">
      <c r="M2014" s="35" t="str">
        <f aca="false">IF($A2014="","",HOUR($A2014))</f>
        <v/>
      </c>
      <c r="N2014" s="36" t="str">
        <f aca="false">IF($A2014="","",$I2014*$K2014)</f>
        <v/>
      </c>
      <c r="O2014" s="35" t="str">
        <f aca="false">IF(OR($A2014="",$C2014="U",$S2014&lt;&gt;Calc!$F$2),"",SUMIFS($I$3:$I$3002,$E$3:$E$3002,$E2014,$C$3:$C$3002,"&lt;&gt;U",$S$3:$S$3002,Calc!$F$2))</f>
        <v/>
      </c>
      <c r="P2014" s="35" t="str">
        <f aca="false">IF(OR($A2014="",$C2014="U",$S2014&lt;&gt;Calc!$F$2),"",SUMIFS($N$3:$N$3002,$E$3:$E$3002,$E2014,$C$3:$C$3002,"&lt;&gt;U",$S$3:$S$3002,Calc!$F$2))</f>
        <v/>
      </c>
      <c r="Q2014" s="35" t="str">
        <f aca="false">IF(OR($A2014="",$C2014="U",$S2014&lt;&gt;Calc!$F$2),"",IF(COUNTIFS($E$3:$E2014,$E2014,$C$3:$C2014,"&lt;&gt;U",$S$3:$S2014,Calc!$F$2)=1,1,0))</f>
        <v/>
      </c>
      <c r="R2014" s="35" t="str">
        <f aca="false">IF($Q2014=1,$O2014-ROW()/100000,"")</f>
        <v/>
      </c>
      <c r="S2014" s="37" t="str">
        <f aca="false">IF($A2014="","",INT($A2014))</f>
        <v/>
      </c>
      <c r="T2014" s="35" t="str">
        <f aca="false">IF($A2014="","",IF(COUNTIFS($S$3:$S2014,$S2014)=1,1,0))</f>
        <v/>
      </c>
      <c r="U2014" s="37" t="str">
        <f aca="false">IF($T2014=1,$S2014,"")</f>
        <v/>
      </c>
    </row>
    <row r="2015" customFormat="false" ht="15" hidden="false" customHeight="false" outlineLevel="0" collapsed="false">
      <c r="M2015" s="35" t="str">
        <f aca="false">IF($A2015="","",HOUR($A2015))</f>
        <v/>
      </c>
      <c r="N2015" s="36" t="str">
        <f aca="false">IF($A2015="","",$I2015*$K2015)</f>
        <v/>
      </c>
      <c r="O2015" s="35" t="str">
        <f aca="false">IF(OR($A2015="",$C2015="U",$S2015&lt;&gt;Calc!$F$2),"",SUMIFS($I$3:$I$3002,$E$3:$E$3002,$E2015,$C$3:$C$3002,"&lt;&gt;U",$S$3:$S$3002,Calc!$F$2))</f>
        <v/>
      </c>
      <c r="P2015" s="35" t="str">
        <f aca="false">IF(OR($A2015="",$C2015="U",$S2015&lt;&gt;Calc!$F$2),"",SUMIFS($N$3:$N$3002,$E$3:$E$3002,$E2015,$C$3:$C$3002,"&lt;&gt;U",$S$3:$S$3002,Calc!$F$2))</f>
        <v/>
      </c>
      <c r="Q2015" s="35" t="str">
        <f aca="false">IF(OR($A2015="",$C2015="U",$S2015&lt;&gt;Calc!$F$2),"",IF(COUNTIFS($E$3:$E2015,$E2015,$C$3:$C2015,"&lt;&gt;U",$S$3:$S2015,Calc!$F$2)=1,1,0))</f>
        <v/>
      </c>
      <c r="R2015" s="35" t="str">
        <f aca="false">IF($Q2015=1,$O2015-ROW()/100000,"")</f>
        <v/>
      </c>
      <c r="S2015" s="37" t="str">
        <f aca="false">IF($A2015="","",INT($A2015))</f>
        <v/>
      </c>
      <c r="T2015" s="35" t="str">
        <f aca="false">IF($A2015="","",IF(COUNTIFS($S$3:$S2015,$S2015)=1,1,0))</f>
        <v/>
      </c>
      <c r="U2015" s="37" t="str">
        <f aca="false">IF($T2015=1,$S2015,"")</f>
        <v/>
      </c>
    </row>
    <row r="2016" customFormat="false" ht="15" hidden="false" customHeight="false" outlineLevel="0" collapsed="false">
      <c r="M2016" s="35" t="str">
        <f aca="false">IF($A2016="","",HOUR($A2016))</f>
        <v/>
      </c>
      <c r="N2016" s="36" t="str">
        <f aca="false">IF($A2016="","",$I2016*$K2016)</f>
        <v/>
      </c>
      <c r="O2016" s="35" t="str">
        <f aca="false">IF(OR($A2016="",$C2016="U",$S2016&lt;&gt;Calc!$F$2),"",SUMIFS($I$3:$I$3002,$E$3:$E$3002,$E2016,$C$3:$C$3002,"&lt;&gt;U",$S$3:$S$3002,Calc!$F$2))</f>
        <v/>
      </c>
      <c r="P2016" s="35" t="str">
        <f aca="false">IF(OR($A2016="",$C2016="U",$S2016&lt;&gt;Calc!$F$2),"",SUMIFS($N$3:$N$3002,$E$3:$E$3002,$E2016,$C$3:$C$3002,"&lt;&gt;U",$S$3:$S$3002,Calc!$F$2))</f>
        <v/>
      </c>
      <c r="Q2016" s="35" t="str">
        <f aca="false">IF(OR($A2016="",$C2016="U",$S2016&lt;&gt;Calc!$F$2),"",IF(COUNTIFS($E$3:$E2016,$E2016,$C$3:$C2016,"&lt;&gt;U",$S$3:$S2016,Calc!$F$2)=1,1,0))</f>
        <v/>
      </c>
      <c r="R2016" s="35" t="str">
        <f aca="false">IF($Q2016=1,$O2016-ROW()/100000,"")</f>
        <v/>
      </c>
      <c r="S2016" s="37" t="str">
        <f aca="false">IF($A2016="","",INT($A2016))</f>
        <v/>
      </c>
      <c r="T2016" s="35" t="str">
        <f aca="false">IF($A2016="","",IF(COUNTIFS($S$3:$S2016,$S2016)=1,1,0))</f>
        <v/>
      </c>
      <c r="U2016" s="37" t="str">
        <f aca="false">IF($T2016=1,$S2016,"")</f>
        <v/>
      </c>
    </row>
    <row r="2017" customFormat="false" ht="15" hidden="false" customHeight="false" outlineLevel="0" collapsed="false">
      <c r="M2017" s="35" t="str">
        <f aca="false">IF($A2017="","",HOUR($A2017))</f>
        <v/>
      </c>
      <c r="N2017" s="36" t="str">
        <f aca="false">IF($A2017="","",$I2017*$K2017)</f>
        <v/>
      </c>
      <c r="O2017" s="35" t="str">
        <f aca="false">IF(OR($A2017="",$C2017="U",$S2017&lt;&gt;Calc!$F$2),"",SUMIFS($I$3:$I$3002,$E$3:$E$3002,$E2017,$C$3:$C$3002,"&lt;&gt;U",$S$3:$S$3002,Calc!$F$2))</f>
        <v/>
      </c>
      <c r="P2017" s="35" t="str">
        <f aca="false">IF(OR($A2017="",$C2017="U",$S2017&lt;&gt;Calc!$F$2),"",SUMIFS($N$3:$N$3002,$E$3:$E$3002,$E2017,$C$3:$C$3002,"&lt;&gt;U",$S$3:$S$3002,Calc!$F$2))</f>
        <v/>
      </c>
      <c r="Q2017" s="35" t="str">
        <f aca="false">IF(OR($A2017="",$C2017="U",$S2017&lt;&gt;Calc!$F$2),"",IF(COUNTIFS($E$3:$E2017,$E2017,$C$3:$C2017,"&lt;&gt;U",$S$3:$S2017,Calc!$F$2)=1,1,0))</f>
        <v/>
      </c>
      <c r="R2017" s="35" t="str">
        <f aca="false">IF($Q2017=1,$O2017-ROW()/100000,"")</f>
        <v/>
      </c>
      <c r="S2017" s="37" t="str">
        <f aca="false">IF($A2017="","",INT($A2017))</f>
        <v/>
      </c>
      <c r="T2017" s="35" t="str">
        <f aca="false">IF($A2017="","",IF(COUNTIFS($S$3:$S2017,$S2017)=1,1,0))</f>
        <v/>
      </c>
      <c r="U2017" s="37" t="str">
        <f aca="false">IF($T2017=1,$S2017,"")</f>
        <v/>
      </c>
    </row>
    <row r="2018" customFormat="false" ht="15" hidden="false" customHeight="false" outlineLevel="0" collapsed="false">
      <c r="M2018" s="35" t="str">
        <f aca="false">IF($A2018="","",HOUR($A2018))</f>
        <v/>
      </c>
      <c r="N2018" s="36" t="str">
        <f aca="false">IF($A2018="","",$I2018*$K2018)</f>
        <v/>
      </c>
      <c r="O2018" s="35" t="str">
        <f aca="false">IF(OR($A2018="",$C2018="U",$S2018&lt;&gt;Calc!$F$2),"",SUMIFS($I$3:$I$3002,$E$3:$E$3002,$E2018,$C$3:$C$3002,"&lt;&gt;U",$S$3:$S$3002,Calc!$F$2))</f>
        <v/>
      </c>
      <c r="P2018" s="35" t="str">
        <f aca="false">IF(OR($A2018="",$C2018="U",$S2018&lt;&gt;Calc!$F$2),"",SUMIFS($N$3:$N$3002,$E$3:$E$3002,$E2018,$C$3:$C$3002,"&lt;&gt;U",$S$3:$S$3002,Calc!$F$2))</f>
        <v/>
      </c>
      <c r="Q2018" s="35" t="str">
        <f aca="false">IF(OR($A2018="",$C2018="U",$S2018&lt;&gt;Calc!$F$2),"",IF(COUNTIFS($E$3:$E2018,$E2018,$C$3:$C2018,"&lt;&gt;U",$S$3:$S2018,Calc!$F$2)=1,1,0))</f>
        <v/>
      </c>
      <c r="R2018" s="35" t="str">
        <f aca="false">IF($Q2018=1,$O2018-ROW()/100000,"")</f>
        <v/>
      </c>
      <c r="S2018" s="37" t="str">
        <f aca="false">IF($A2018="","",INT($A2018))</f>
        <v/>
      </c>
      <c r="T2018" s="35" t="str">
        <f aca="false">IF($A2018="","",IF(COUNTIFS($S$3:$S2018,$S2018)=1,1,0))</f>
        <v/>
      </c>
      <c r="U2018" s="37" t="str">
        <f aca="false">IF($T2018=1,$S2018,"")</f>
        <v/>
      </c>
    </row>
    <row r="2019" customFormat="false" ht="15" hidden="false" customHeight="false" outlineLevel="0" collapsed="false">
      <c r="M2019" s="35" t="str">
        <f aca="false">IF($A2019="","",HOUR($A2019))</f>
        <v/>
      </c>
      <c r="N2019" s="36" t="str">
        <f aca="false">IF($A2019="","",$I2019*$K2019)</f>
        <v/>
      </c>
      <c r="O2019" s="35" t="str">
        <f aca="false">IF(OR($A2019="",$C2019="U",$S2019&lt;&gt;Calc!$F$2),"",SUMIFS($I$3:$I$3002,$E$3:$E$3002,$E2019,$C$3:$C$3002,"&lt;&gt;U",$S$3:$S$3002,Calc!$F$2))</f>
        <v/>
      </c>
      <c r="P2019" s="35" t="str">
        <f aca="false">IF(OR($A2019="",$C2019="U",$S2019&lt;&gt;Calc!$F$2),"",SUMIFS($N$3:$N$3002,$E$3:$E$3002,$E2019,$C$3:$C$3002,"&lt;&gt;U",$S$3:$S$3002,Calc!$F$2))</f>
        <v/>
      </c>
      <c r="Q2019" s="35" t="str">
        <f aca="false">IF(OR($A2019="",$C2019="U",$S2019&lt;&gt;Calc!$F$2),"",IF(COUNTIFS($E$3:$E2019,$E2019,$C$3:$C2019,"&lt;&gt;U",$S$3:$S2019,Calc!$F$2)=1,1,0))</f>
        <v/>
      </c>
      <c r="R2019" s="35" t="str">
        <f aca="false">IF($Q2019=1,$O2019-ROW()/100000,"")</f>
        <v/>
      </c>
      <c r="S2019" s="37" t="str">
        <f aca="false">IF($A2019="","",INT($A2019))</f>
        <v/>
      </c>
      <c r="T2019" s="35" t="str">
        <f aca="false">IF($A2019="","",IF(COUNTIFS($S$3:$S2019,$S2019)=1,1,0))</f>
        <v/>
      </c>
      <c r="U2019" s="37" t="str">
        <f aca="false">IF($T2019=1,$S2019,"")</f>
        <v/>
      </c>
    </row>
    <row r="2020" customFormat="false" ht="15" hidden="false" customHeight="false" outlineLevel="0" collapsed="false">
      <c r="M2020" s="35" t="str">
        <f aca="false">IF($A2020="","",HOUR($A2020))</f>
        <v/>
      </c>
      <c r="N2020" s="36" t="str">
        <f aca="false">IF($A2020="","",$I2020*$K2020)</f>
        <v/>
      </c>
      <c r="O2020" s="35" t="str">
        <f aca="false">IF(OR($A2020="",$C2020="U",$S2020&lt;&gt;Calc!$F$2),"",SUMIFS($I$3:$I$3002,$E$3:$E$3002,$E2020,$C$3:$C$3002,"&lt;&gt;U",$S$3:$S$3002,Calc!$F$2))</f>
        <v/>
      </c>
      <c r="P2020" s="35" t="str">
        <f aca="false">IF(OR($A2020="",$C2020="U",$S2020&lt;&gt;Calc!$F$2),"",SUMIFS($N$3:$N$3002,$E$3:$E$3002,$E2020,$C$3:$C$3002,"&lt;&gt;U",$S$3:$S$3002,Calc!$F$2))</f>
        <v/>
      </c>
      <c r="Q2020" s="35" t="str">
        <f aca="false">IF(OR($A2020="",$C2020="U",$S2020&lt;&gt;Calc!$F$2),"",IF(COUNTIFS($E$3:$E2020,$E2020,$C$3:$C2020,"&lt;&gt;U",$S$3:$S2020,Calc!$F$2)=1,1,0))</f>
        <v/>
      </c>
      <c r="R2020" s="35" t="str">
        <f aca="false">IF($Q2020=1,$O2020-ROW()/100000,"")</f>
        <v/>
      </c>
      <c r="S2020" s="37" t="str">
        <f aca="false">IF($A2020="","",INT($A2020))</f>
        <v/>
      </c>
      <c r="T2020" s="35" t="str">
        <f aca="false">IF($A2020="","",IF(COUNTIFS($S$3:$S2020,$S2020)=1,1,0))</f>
        <v/>
      </c>
      <c r="U2020" s="37" t="str">
        <f aca="false">IF($T2020=1,$S2020,"")</f>
        <v/>
      </c>
    </row>
    <row r="2021" customFormat="false" ht="15" hidden="false" customHeight="false" outlineLevel="0" collapsed="false">
      <c r="M2021" s="35" t="str">
        <f aca="false">IF($A2021="","",HOUR($A2021))</f>
        <v/>
      </c>
      <c r="N2021" s="36" t="str">
        <f aca="false">IF($A2021="","",$I2021*$K2021)</f>
        <v/>
      </c>
      <c r="O2021" s="35" t="str">
        <f aca="false">IF(OR($A2021="",$C2021="U",$S2021&lt;&gt;Calc!$F$2),"",SUMIFS($I$3:$I$3002,$E$3:$E$3002,$E2021,$C$3:$C$3002,"&lt;&gt;U",$S$3:$S$3002,Calc!$F$2))</f>
        <v/>
      </c>
      <c r="P2021" s="35" t="str">
        <f aca="false">IF(OR($A2021="",$C2021="U",$S2021&lt;&gt;Calc!$F$2),"",SUMIFS($N$3:$N$3002,$E$3:$E$3002,$E2021,$C$3:$C$3002,"&lt;&gt;U",$S$3:$S$3002,Calc!$F$2))</f>
        <v/>
      </c>
      <c r="Q2021" s="35" t="str">
        <f aca="false">IF(OR($A2021="",$C2021="U",$S2021&lt;&gt;Calc!$F$2),"",IF(COUNTIFS($E$3:$E2021,$E2021,$C$3:$C2021,"&lt;&gt;U",$S$3:$S2021,Calc!$F$2)=1,1,0))</f>
        <v/>
      </c>
      <c r="R2021" s="35" t="str">
        <f aca="false">IF($Q2021=1,$O2021-ROW()/100000,"")</f>
        <v/>
      </c>
      <c r="S2021" s="37" t="str">
        <f aca="false">IF($A2021="","",INT($A2021))</f>
        <v/>
      </c>
      <c r="T2021" s="35" t="str">
        <f aca="false">IF($A2021="","",IF(COUNTIFS($S$3:$S2021,$S2021)=1,1,0))</f>
        <v/>
      </c>
      <c r="U2021" s="37" t="str">
        <f aca="false">IF($T2021=1,$S2021,"")</f>
        <v/>
      </c>
    </row>
    <row r="2022" customFormat="false" ht="15" hidden="false" customHeight="false" outlineLevel="0" collapsed="false">
      <c r="M2022" s="35" t="str">
        <f aca="false">IF($A2022="","",HOUR($A2022))</f>
        <v/>
      </c>
      <c r="N2022" s="36" t="str">
        <f aca="false">IF($A2022="","",$I2022*$K2022)</f>
        <v/>
      </c>
      <c r="O2022" s="35" t="str">
        <f aca="false">IF(OR($A2022="",$C2022="U",$S2022&lt;&gt;Calc!$F$2),"",SUMIFS($I$3:$I$3002,$E$3:$E$3002,$E2022,$C$3:$C$3002,"&lt;&gt;U",$S$3:$S$3002,Calc!$F$2))</f>
        <v/>
      </c>
      <c r="P2022" s="35" t="str">
        <f aca="false">IF(OR($A2022="",$C2022="U",$S2022&lt;&gt;Calc!$F$2),"",SUMIFS($N$3:$N$3002,$E$3:$E$3002,$E2022,$C$3:$C$3002,"&lt;&gt;U",$S$3:$S$3002,Calc!$F$2))</f>
        <v/>
      </c>
      <c r="Q2022" s="35" t="str">
        <f aca="false">IF(OR($A2022="",$C2022="U",$S2022&lt;&gt;Calc!$F$2),"",IF(COUNTIFS($E$3:$E2022,$E2022,$C$3:$C2022,"&lt;&gt;U",$S$3:$S2022,Calc!$F$2)=1,1,0))</f>
        <v/>
      </c>
      <c r="R2022" s="35" t="str">
        <f aca="false">IF($Q2022=1,$O2022-ROW()/100000,"")</f>
        <v/>
      </c>
      <c r="S2022" s="37" t="str">
        <f aca="false">IF($A2022="","",INT($A2022))</f>
        <v/>
      </c>
      <c r="T2022" s="35" t="str">
        <f aca="false">IF($A2022="","",IF(COUNTIFS($S$3:$S2022,$S2022)=1,1,0))</f>
        <v/>
      </c>
      <c r="U2022" s="37" t="str">
        <f aca="false">IF($T2022=1,$S2022,"")</f>
        <v/>
      </c>
    </row>
    <row r="2023" customFormat="false" ht="15" hidden="false" customHeight="false" outlineLevel="0" collapsed="false">
      <c r="M2023" s="35" t="str">
        <f aca="false">IF($A2023="","",HOUR($A2023))</f>
        <v/>
      </c>
      <c r="N2023" s="36" t="str">
        <f aca="false">IF($A2023="","",$I2023*$K2023)</f>
        <v/>
      </c>
      <c r="O2023" s="35" t="str">
        <f aca="false">IF(OR($A2023="",$C2023="U",$S2023&lt;&gt;Calc!$F$2),"",SUMIFS($I$3:$I$3002,$E$3:$E$3002,$E2023,$C$3:$C$3002,"&lt;&gt;U",$S$3:$S$3002,Calc!$F$2))</f>
        <v/>
      </c>
      <c r="P2023" s="35" t="str">
        <f aca="false">IF(OR($A2023="",$C2023="U",$S2023&lt;&gt;Calc!$F$2),"",SUMIFS($N$3:$N$3002,$E$3:$E$3002,$E2023,$C$3:$C$3002,"&lt;&gt;U",$S$3:$S$3002,Calc!$F$2))</f>
        <v/>
      </c>
      <c r="Q2023" s="35" t="str">
        <f aca="false">IF(OR($A2023="",$C2023="U",$S2023&lt;&gt;Calc!$F$2),"",IF(COUNTIFS($E$3:$E2023,$E2023,$C$3:$C2023,"&lt;&gt;U",$S$3:$S2023,Calc!$F$2)=1,1,0))</f>
        <v/>
      </c>
      <c r="R2023" s="35" t="str">
        <f aca="false">IF($Q2023=1,$O2023-ROW()/100000,"")</f>
        <v/>
      </c>
      <c r="S2023" s="37" t="str">
        <f aca="false">IF($A2023="","",INT($A2023))</f>
        <v/>
      </c>
      <c r="T2023" s="35" t="str">
        <f aca="false">IF($A2023="","",IF(COUNTIFS($S$3:$S2023,$S2023)=1,1,0))</f>
        <v/>
      </c>
      <c r="U2023" s="37" t="str">
        <f aca="false">IF($T2023=1,$S2023,"")</f>
        <v/>
      </c>
    </row>
    <row r="2024" customFormat="false" ht="15" hidden="false" customHeight="false" outlineLevel="0" collapsed="false">
      <c r="M2024" s="35" t="str">
        <f aca="false">IF($A2024="","",HOUR($A2024))</f>
        <v/>
      </c>
      <c r="N2024" s="36" t="str">
        <f aca="false">IF($A2024="","",$I2024*$K2024)</f>
        <v/>
      </c>
      <c r="O2024" s="35" t="str">
        <f aca="false">IF(OR($A2024="",$C2024="U",$S2024&lt;&gt;Calc!$F$2),"",SUMIFS($I$3:$I$3002,$E$3:$E$3002,$E2024,$C$3:$C$3002,"&lt;&gt;U",$S$3:$S$3002,Calc!$F$2))</f>
        <v/>
      </c>
      <c r="P2024" s="35" t="str">
        <f aca="false">IF(OR($A2024="",$C2024="U",$S2024&lt;&gt;Calc!$F$2),"",SUMIFS($N$3:$N$3002,$E$3:$E$3002,$E2024,$C$3:$C$3002,"&lt;&gt;U",$S$3:$S$3002,Calc!$F$2))</f>
        <v/>
      </c>
      <c r="Q2024" s="35" t="str">
        <f aca="false">IF(OR($A2024="",$C2024="U",$S2024&lt;&gt;Calc!$F$2),"",IF(COUNTIFS($E$3:$E2024,$E2024,$C$3:$C2024,"&lt;&gt;U",$S$3:$S2024,Calc!$F$2)=1,1,0))</f>
        <v/>
      </c>
      <c r="R2024" s="35" t="str">
        <f aca="false">IF($Q2024=1,$O2024-ROW()/100000,"")</f>
        <v/>
      </c>
      <c r="S2024" s="37" t="str">
        <f aca="false">IF($A2024="","",INT($A2024))</f>
        <v/>
      </c>
      <c r="T2024" s="35" t="str">
        <f aca="false">IF($A2024="","",IF(COUNTIFS($S$3:$S2024,$S2024)=1,1,0))</f>
        <v/>
      </c>
      <c r="U2024" s="37" t="str">
        <f aca="false">IF($T2024=1,$S2024,"")</f>
        <v/>
      </c>
    </row>
    <row r="2025" customFormat="false" ht="15" hidden="false" customHeight="false" outlineLevel="0" collapsed="false">
      <c r="M2025" s="35" t="str">
        <f aca="false">IF($A2025="","",HOUR($A2025))</f>
        <v/>
      </c>
      <c r="N2025" s="36" t="str">
        <f aca="false">IF($A2025="","",$I2025*$K2025)</f>
        <v/>
      </c>
      <c r="O2025" s="35" t="str">
        <f aca="false">IF(OR($A2025="",$C2025="U",$S2025&lt;&gt;Calc!$F$2),"",SUMIFS($I$3:$I$3002,$E$3:$E$3002,$E2025,$C$3:$C$3002,"&lt;&gt;U",$S$3:$S$3002,Calc!$F$2))</f>
        <v/>
      </c>
      <c r="P2025" s="35" t="str">
        <f aca="false">IF(OR($A2025="",$C2025="U",$S2025&lt;&gt;Calc!$F$2),"",SUMIFS($N$3:$N$3002,$E$3:$E$3002,$E2025,$C$3:$C$3002,"&lt;&gt;U",$S$3:$S$3002,Calc!$F$2))</f>
        <v/>
      </c>
      <c r="Q2025" s="35" t="str">
        <f aca="false">IF(OR($A2025="",$C2025="U",$S2025&lt;&gt;Calc!$F$2),"",IF(COUNTIFS($E$3:$E2025,$E2025,$C$3:$C2025,"&lt;&gt;U",$S$3:$S2025,Calc!$F$2)=1,1,0))</f>
        <v/>
      </c>
      <c r="R2025" s="35" t="str">
        <f aca="false">IF($Q2025=1,$O2025-ROW()/100000,"")</f>
        <v/>
      </c>
      <c r="S2025" s="37" t="str">
        <f aca="false">IF($A2025="","",INT($A2025))</f>
        <v/>
      </c>
      <c r="T2025" s="35" t="str">
        <f aca="false">IF($A2025="","",IF(COUNTIFS($S$3:$S2025,$S2025)=1,1,0))</f>
        <v/>
      </c>
      <c r="U2025" s="37" t="str">
        <f aca="false">IF($T2025=1,$S2025,"")</f>
        <v/>
      </c>
    </row>
    <row r="2026" customFormat="false" ht="15" hidden="false" customHeight="false" outlineLevel="0" collapsed="false">
      <c r="M2026" s="35" t="str">
        <f aca="false">IF($A2026="","",HOUR($A2026))</f>
        <v/>
      </c>
      <c r="N2026" s="36" t="str">
        <f aca="false">IF($A2026="","",$I2026*$K2026)</f>
        <v/>
      </c>
      <c r="O2026" s="35" t="str">
        <f aca="false">IF(OR($A2026="",$C2026="U",$S2026&lt;&gt;Calc!$F$2),"",SUMIFS($I$3:$I$3002,$E$3:$E$3002,$E2026,$C$3:$C$3002,"&lt;&gt;U",$S$3:$S$3002,Calc!$F$2))</f>
        <v/>
      </c>
      <c r="P2026" s="35" t="str">
        <f aca="false">IF(OR($A2026="",$C2026="U",$S2026&lt;&gt;Calc!$F$2),"",SUMIFS($N$3:$N$3002,$E$3:$E$3002,$E2026,$C$3:$C$3002,"&lt;&gt;U",$S$3:$S$3002,Calc!$F$2))</f>
        <v/>
      </c>
      <c r="Q2026" s="35" t="str">
        <f aca="false">IF(OR($A2026="",$C2026="U",$S2026&lt;&gt;Calc!$F$2),"",IF(COUNTIFS($E$3:$E2026,$E2026,$C$3:$C2026,"&lt;&gt;U",$S$3:$S2026,Calc!$F$2)=1,1,0))</f>
        <v/>
      </c>
      <c r="R2026" s="35" t="str">
        <f aca="false">IF($Q2026=1,$O2026-ROW()/100000,"")</f>
        <v/>
      </c>
      <c r="S2026" s="37" t="str">
        <f aca="false">IF($A2026="","",INT($A2026))</f>
        <v/>
      </c>
      <c r="T2026" s="35" t="str">
        <f aca="false">IF($A2026="","",IF(COUNTIFS($S$3:$S2026,$S2026)=1,1,0))</f>
        <v/>
      </c>
      <c r="U2026" s="37" t="str">
        <f aca="false">IF($T2026=1,$S2026,"")</f>
        <v/>
      </c>
    </row>
    <row r="2027" customFormat="false" ht="15" hidden="false" customHeight="false" outlineLevel="0" collapsed="false">
      <c r="M2027" s="35" t="str">
        <f aca="false">IF($A2027="","",HOUR($A2027))</f>
        <v/>
      </c>
      <c r="N2027" s="36" t="str">
        <f aca="false">IF($A2027="","",$I2027*$K2027)</f>
        <v/>
      </c>
      <c r="O2027" s="35" t="str">
        <f aca="false">IF(OR($A2027="",$C2027="U",$S2027&lt;&gt;Calc!$F$2),"",SUMIFS($I$3:$I$3002,$E$3:$E$3002,$E2027,$C$3:$C$3002,"&lt;&gt;U",$S$3:$S$3002,Calc!$F$2))</f>
        <v/>
      </c>
      <c r="P2027" s="35" t="str">
        <f aca="false">IF(OR($A2027="",$C2027="U",$S2027&lt;&gt;Calc!$F$2),"",SUMIFS($N$3:$N$3002,$E$3:$E$3002,$E2027,$C$3:$C$3002,"&lt;&gt;U",$S$3:$S$3002,Calc!$F$2))</f>
        <v/>
      </c>
      <c r="Q2027" s="35" t="str">
        <f aca="false">IF(OR($A2027="",$C2027="U",$S2027&lt;&gt;Calc!$F$2),"",IF(COUNTIFS($E$3:$E2027,$E2027,$C$3:$C2027,"&lt;&gt;U",$S$3:$S2027,Calc!$F$2)=1,1,0))</f>
        <v/>
      </c>
      <c r="R2027" s="35" t="str">
        <f aca="false">IF($Q2027=1,$O2027-ROW()/100000,"")</f>
        <v/>
      </c>
      <c r="S2027" s="37" t="str">
        <f aca="false">IF($A2027="","",INT($A2027))</f>
        <v/>
      </c>
      <c r="T2027" s="35" t="str">
        <f aca="false">IF($A2027="","",IF(COUNTIFS($S$3:$S2027,$S2027)=1,1,0))</f>
        <v/>
      </c>
      <c r="U2027" s="37" t="str">
        <f aca="false">IF($T2027=1,$S2027,"")</f>
        <v/>
      </c>
    </row>
    <row r="2028" customFormat="false" ht="15" hidden="false" customHeight="false" outlineLevel="0" collapsed="false">
      <c r="M2028" s="35" t="str">
        <f aca="false">IF($A2028="","",HOUR($A2028))</f>
        <v/>
      </c>
      <c r="N2028" s="36" t="str">
        <f aca="false">IF($A2028="","",$I2028*$K2028)</f>
        <v/>
      </c>
      <c r="O2028" s="35" t="str">
        <f aca="false">IF(OR($A2028="",$C2028="U",$S2028&lt;&gt;Calc!$F$2),"",SUMIFS($I$3:$I$3002,$E$3:$E$3002,$E2028,$C$3:$C$3002,"&lt;&gt;U",$S$3:$S$3002,Calc!$F$2))</f>
        <v/>
      </c>
      <c r="P2028" s="35" t="str">
        <f aca="false">IF(OR($A2028="",$C2028="U",$S2028&lt;&gt;Calc!$F$2),"",SUMIFS($N$3:$N$3002,$E$3:$E$3002,$E2028,$C$3:$C$3002,"&lt;&gt;U",$S$3:$S$3002,Calc!$F$2))</f>
        <v/>
      </c>
      <c r="Q2028" s="35" t="str">
        <f aca="false">IF(OR($A2028="",$C2028="U",$S2028&lt;&gt;Calc!$F$2),"",IF(COUNTIFS($E$3:$E2028,$E2028,$C$3:$C2028,"&lt;&gt;U",$S$3:$S2028,Calc!$F$2)=1,1,0))</f>
        <v/>
      </c>
      <c r="R2028" s="35" t="str">
        <f aca="false">IF($Q2028=1,$O2028-ROW()/100000,"")</f>
        <v/>
      </c>
      <c r="S2028" s="37" t="str">
        <f aca="false">IF($A2028="","",INT($A2028))</f>
        <v/>
      </c>
      <c r="T2028" s="35" t="str">
        <f aca="false">IF($A2028="","",IF(COUNTIFS($S$3:$S2028,$S2028)=1,1,0))</f>
        <v/>
      </c>
      <c r="U2028" s="37" t="str">
        <f aca="false">IF($T2028=1,$S2028,"")</f>
        <v/>
      </c>
    </row>
    <row r="2029" customFormat="false" ht="15" hidden="false" customHeight="false" outlineLevel="0" collapsed="false">
      <c r="M2029" s="35" t="str">
        <f aca="false">IF($A2029="","",HOUR($A2029))</f>
        <v/>
      </c>
      <c r="N2029" s="36" t="str">
        <f aca="false">IF($A2029="","",$I2029*$K2029)</f>
        <v/>
      </c>
      <c r="O2029" s="35" t="str">
        <f aca="false">IF(OR($A2029="",$C2029="U",$S2029&lt;&gt;Calc!$F$2),"",SUMIFS($I$3:$I$3002,$E$3:$E$3002,$E2029,$C$3:$C$3002,"&lt;&gt;U",$S$3:$S$3002,Calc!$F$2))</f>
        <v/>
      </c>
      <c r="P2029" s="35" t="str">
        <f aca="false">IF(OR($A2029="",$C2029="U",$S2029&lt;&gt;Calc!$F$2),"",SUMIFS($N$3:$N$3002,$E$3:$E$3002,$E2029,$C$3:$C$3002,"&lt;&gt;U",$S$3:$S$3002,Calc!$F$2))</f>
        <v/>
      </c>
      <c r="Q2029" s="35" t="str">
        <f aca="false">IF(OR($A2029="",$C2029="U",$S2029&lt;&gt;Calc!$F$2),"",IF(COUNTIFS($E$3:$E2029,$E2029,$C$3:$C2029,"&lt;&gt;U",$S$3:$S2029,Calc!$F$2)=1,1,0))</f>
        <v/>
      </c>
      <c r="R2029" s="35" t="str">
        <f aca="false">IF($Q2029=1,$O2029-ROW()/100000,"")</f>
        <v/>
      </c>
      <c r="S2029" s="37" t="str">
        <f aca="false">IF($A2029="","",INT($A2029))</f>
        <v/>
      </c>
      <c r="T2029" s="35" t="str">
        <f aca="false">IF($A2029="","",IF(COUNTIFS($S$3:$S2029,$S2029)=1,1,0))</f>
        <v/>
      </c>
      <c r="U2029" s="37" t="str">
        <f aca="false">IF($T2029=1,$S2029,"")</f>
        <v/>
      </c>
    </row>
    <row r="2030" customFormat="false" ht="15" hidden="false" customHeight="false" outlineLevel="0" collapsed="false">
      <c r="M2030" s="35" t="str">
        <f aca="false">IF($A2030="","",HOUR($A2030))</f>
        <v/>
      </c>
      <c r="N2030" s="36" t="str">
        <f aca="false">IF($A2030="","",$I2030*$K2030)</f>
        <v/>
      </c>
      <c r="O2030" s="35" t="str">
        <f aca="false">IF(OR($A2030="",$C2030="U",$S2030&lt;&gt;Calc!$F$2),"",SUMIFS($I$3:$I$3002,$E$3:$E$3002,$E2030,$C$3:$C$3002,"&lt;&gt;U",$S$3:$S$3002,Calc!$F$2))</f>
        <v/>
      </c>
      <c r="P2030" s="35" t="str">
        <f aca="false">IF(OR($A2030="",$C2030="U",$S2030&lt;&gt;Calc!$F$2),"",SUMIFS($N$3:$N$3002,$E$3:$E$3002,$E2030,$C$3:$C$3002,"&lt;&gt;U",$S$3:$S$3002,Calc!$F$2))</f>
        <v/>
      </c>
      <c r="Q2030" s="35" t="str">
        <f aca="false">IF(OR($A2030="",$C2030="U",$S2030&lt;&gt;Calc!$F$2),"",IF(COUNTIFS($E$3:$E2030,$E2030,$C$3:$C2030,"&lt;&gt;U",$S$3:$S2030,Calc!$F$2)=1,1,0))</f>
        <v/>
      </c>
      <c r="R2030" s="35" t="str">
        <f aca="false">IF($Q2030=1,$O2030-ROW()/100000,"")</f>
        <v/>
      </c>
      <c r="S2030" s="37" t="str">
        <f aca="false">IF($A2030="","",INT($A2030))</f>
        <v/>
      </c>
      <c r="T2030" s="35" t="str">
        <f aca="false">IF($A2030="","",IF(COUNTIFS($S$3:$S2030,$S2030)=1,1,0))</f>
        <v/>
      </c>
      <c r="U2030" s="37" t="str">
        <f aca="false">IF($T2030=1,$S2030,"")</f>
        <v/>
      </c>
    </row>
    <row r="2031" customFormat="false" ht="15" hidden="false" customHeight="false" outlineLevel="0" collapsed="false">
      <c r="M2031" s="35" t="str">
        <f aca="false">IF($A2031="","",HOUR($A2031))</f>
        <v/>
      </c>
      <c r="N2031" s="36" t="str">
        <f aca="false">IF($A2031="","",$I2031*$K2031)</f>
        <v/>
      </c>
      <c r="O2031" s="35" t="str">
        <f aca="false">IF(OR($A2031="",$C2031="U",$S2031&lt;&gt;Calc!$F$2),"",SUMIFS($I$3:$I$3002,$E$3:$E$3002,$E2031,$C$3:$C$3002,"&lt;&gt;U",$S$3:$S$3002,Calc!$F$2))</f>
        <v/>
      </c>
      <c r="P2031" s="35" t="str">
        <f aca="false">IF(OR($A2031="",$C2031="U",$S2031&lt;&gt;Calc!$F$2),"",SUMIFS($N$3:$N$3002,$E$3:$E$3002,$E2031,$C$3:$C$3002,"&lt;&gt;U",$S$3:$S$3002,Calc!$F$2))</f>
        <v/>
      </c>
      <c r="Q2031" s="35" t="str">
        <f aca="false">IF(OR($A2031="",$C2031="U",$S2031&lt;&gt;Calc!$F$2),"",IF(COUNTIFS($E$3:$E2031,$E2031,$C$3:$C2031,"&lt;&gt;U",$S$3:$S2031,Calc!$F$2)=1,1,0))</f>
        <v/>
      </c>
      <c r="R2031" s="35" t="str">
        <f aca="false">IF($Q2031=1,$O2031-ROW()/100000,"")</f>
        <v/>
      </c>
      <c r="S2031" s="37" t="str">
        <f aca="false">IF($A2031="","",INT($A2031))</f>
        <v/>
      </c>
      <c r="T2031" s="35" t="str">
        <f aca="false">IF($A2031="","",IF(COUNTIFS($S$3:$S2031,$S2031)=1,1,0))</f>
        <v/>
      </c>
      <c r="U2031" s="37" t="str">
        <f aca="false">IF($T2031=1,$S2031,"")</f>
        <v/>
      </c>
    </row>
    <row r="2032" customFormat="false" ht="15" hidden="false" customHeight="false" outlineLevel="0" collapsed="false">
      <c r="M2032" s="35" t="str">
        <f aca="false">IF($A2032="","",HOUR($A2032))</f>
        <v/>
      </c>
      <c r="N2032" s="36" t="str">
        <f aca="false">IF($A2032="","",$I2032*$K2032)</f>
        <v/>
      </c>
      <c r="O2032" s="35" t="str">
        <f aca="false">IF(OR($A2032="",$C2032="U",$S2032&lt;&gt;Calc!$F$2),"",SUMIFS($I$3:$I$3002,$E$3:$E$3002,$E2032,$C$3:$C$3002,"&lt;&gt;U",$S$3:$S$3002,Calc!$F$2))</f>
        <v/>
      </c>
      <c r="P2032" s="35" t="str">
        <f aca="false">IF(OR($A2032="",$C2032="U",$S2032&lt;&gt;Calc!$F$2),"",SUMIFS($N$3:$N$3002,$E$3:$E$3002,$E2032,$C$3:$C$3002,"&lt;&gt;U",$S$3:$S$3002,Calc!$F$2))</f>
        <v/>
      </c>
      <c r="Q2032" s="35" t="str">
        <f aca="false">IF(OR($A2032="",$C2032="U",$S2032&lt;&gt;Calc!$F$2),"",IF(COUNTIFS($E$3:$E2032,$E2032,$C$3:$C2032,"&lt;&gt;U",$S$3:$S2032,Calc!$F$2)=1,1,0))</f>
        <v/>
      </c>
      <c r="R2032" s="35" t="str">
        <f aca="false">IF($Q2032=1,$O2032-ROW()/100000,"")</f>
        <v/>
      </c>
      <c r="S2032" s="37" t="str">
        <f aca="false">IF($A2032="","",INT($A2032))</f>
        <v/>
      </c>
      <c r="T2032" s="35" t="str">
        <f aca="false">IF($A2032="","",IF(COUNTIFS($S$3:$S2032,$S2032)=1,1,0))</f>
        <v/>
      </c>
      <c r="U2032" s="37" t="str">
        <f aca="false">IF($T2032=1,$S2032,"")</f>
        <v/>
      </c>
    </row>
    <row r="2033" customFormat="false" ht="15" hidden="false" customHeight="false" outlineLevel="0" collapsed="false">
      <c r="M2033" s="35" t="str">
        <f aca="false">IF($A2033="","",HOUR($A2033))</f>
        <v/>
      </c>
      <c r="N2033" s="36" t="str">
        <f aca="false">IF($A2033="","",$I2033*$K2033)</f>
        <v/>
      </c>
      <c r="O2033" s="35" t="str">
        <f aca="false">IF(OR($A2033="",$C2033="U",$S2033&lt;&gt;Calc!$F$2),"",SUMIFS($I$3:$I$3002,$E$3:$E$3002,$E2033,$C$3:$C$3002,"&lt;&gt;U",$S$3:$S$3002,Calc!$F$2))</f>
        <v/>
      </c>
      <c r="P2033" s="35" t="str">
        <f aca="false">IF(OR($A2033="",$C2033="U",$S2033&lt;&gt;Calc!$F$2),"",SUMIFS($N$3:$N$3002,$E$3:$E$3002,$E2033,$C$3:$C$3002,"&lt;&gt;U",$S$3:$S$3002,Calc!$F$2))</f>
        <v/>
      </c>
      <c r="Q2033" s="35" t="str">
        <f aca="false">IF(OR($A2033="",$C2033="U",$S2033&lt;&gt;Calc!$F$2),"",IF(COUNTIFS($E$3:$E2033,$E2033,$C$3:$C2033,"&lt;&gt;U",$S$3:$S2033,Calc!$F$2)=1,1,0))</f>
        <v/>
      </c>
      <c r="R2033" s="35" t="str">
        <f aca="false">IF($Q2033=1,$O2033-ROW()/100000,"")</f>
        <v/>
      </c>
      <c r="S2033" s="37" t="str">
        <f aca="false">IF($A2033="","",INT($A2033))</f>
        <v/>
      </c>
      <c r="T2033" s="35" t="str">
        <f aca="false">IF($A2033="","",IF(COUNTIFS($S$3:$S2033,$S2033)=1,1,0))</f>
        <v/>
      </c>
      <c r="U2033" s="37" t="str">
        <f aca="false">IF($T2033=1,$S2033,"")</f>
        <v/>
      </c>
    </row>
    <row r="2034" customFormat="false" ht="15" hidden="false" customHeight="false" outlineLevel="0" collapsed="false">
      <c r="M2034" s="35" t="str">
        <f aca="false">IF($A2034="","",HOUR($A2034))</f>
        <v/>
      </c>
      <c r="N2034" s="36" t="str">
        <f aca="false">IF($A2034="","",$I2034*$K2034)</f>
        <v/>
      </c>
      <c r="O2034" s="35" t="str">
        <f aca="false">IF(OR($A2034="",$C2034="U",$S2034&lt;&gt;Calc!$F$2),"",SUMIFS($I$3:$I$3002,$E$3:$E$3002,$E2034,$C$3:$C$3002,"&lt;&gt;U",$S$3:$S$3002,Calc!$F$2))</f>
        <v/>
      </c>
      <c r="P2034" s="35" t="str">
        <f aca="false">IF(OR($A2034="",$C2034="U",$S2034&lt;&gt;Calc!$F$2),"",SUMIFS($N$3:$N$3002,$E$3:$E$3002,$E2034,$C$3:$C$3002,"&lt;&gt;U",$S$3:$S$3002,Calc!$F$2))</f>
        <v/>
      </c>
      <c r="Q2034" s="35" t="str">
        <f aca="false">IF(OR($A2034="",$C2034="U",$S2034&lt;&gt;Calc!$F$2),"",IF(COUNTIFS($E$3:$E2034,$E2034,$C$3:$C2034,"&lt;&gt;U",$S$3:$S2034,Calc!$F$2)=1,1,0))</f>
        <v/>
      </c>
      <c r="R2034" s="35" t="str">
        <f aca="false">IF($Q2034=1,$O2034-ROW()/100000,"")</f>
        <v/>
      </c>
      <c r="S2034" s="37" t="str">
        <f aca="false">IF($A2034="","",INT($A2034))</f>
        <v/>
      </c>
      <c r="T2034" s="35" t="str">
        <f aca="false">IF($A2034="","",IF(COUNTIFS($S$3:$S2034,$S2034)=1,1,0))</f>
        <v/>
      </c>
      <c r="U2034" s="37" t="str">
        <f aca="false">IF($T2034=1,$S2034,"")</f>
        <v/>
      </c>
    </row>
    <row r="2035" customFormat="false" ht="15" hidden="false" customHeight="false" outlineLevel="0" collapsed="false">
      <c r="M2035" s="35" t="str">
        <f aca="false">IF($A2035="","",HOUR($A2035))</f>
        <v/>
      </c>
      <c r="N2035" s="36" t="str">
        <f aca="false">IF($A2035="","",$I2035*$K2035)</f>
        <v/>
      </c>
      <c r="O2035" s="35" t="str">
        <f aca="false">IF(OR($A2035="",$C2035="U",$S2035&lt;&gt;Calc!$F$2),"",SUMIFS($I$3:$I$3002,$E$3:$E$3002,$E2035,$C$3:$C$3002,"&lt;&gt;U",$S$3:$S$3002,Calc!$F$2))</f>
        <v/>
      </c>
      <c r="P2035" s="35" t="str">
        <f aca="false">IF(OR($A2035="",$C2035="U",$S2035&lt;&gt;Calc!$F$2),"",SUMIFS($N$3:$N$3002,$E$3:$E$3002,$E2035,$C$3:$C$3002,"&lt;&gt;U",$S$3:$S$3002,Calc!$F$2))</f>
        <v/>
      </c>
      <c r="Q2035" s="35" t="str">
        <f aca="false">IF(OR($A2035="",$C2035="U",$S2035&lt;&gt;Calc!$F$2),"",IF(COUNTIFS($E$3:$E2035,$E2035,$C$3:$C2035,"&lt;&gt;U",$S$3:$S2035,Calc!$F$2)=1,1,0))</f>
        <v/>
      </c>
      <c r="R2035" s="35" t="str">
        <f aca="false">IF($Q2035=1,$O2035-ROW()/100000,"")</f>
        <v/>
      </c>
      <c r="S2035" s="37" t="str">
        <f aca="false">IF($A2035="","",INT($A2035))</f>
        <v/>
      </c>
      <c r="T2035" s="35" t="str">
        <f aca="false">IF($A2035="","",IF(COUNTIFS($S$3:$S2035,$S2035)=1,1,0))</f>
        <v/>
      </c>
      <c r="U2035" s="37" t="str">
        <f aca="false">IF($T2035=1,$S2035,"")</f>
        <v/>
      </c>
    </row>
    <row r="2036" customFormat="false" ht="15" hidden="false" customHeight="false" outlineLevel="0" collapsed="false">
      <c r="M2036" s="35" t="str">
        <f aca="false">IF($A2036="","",HOUR($A2036))</f>
        <v/>
      </c>
      <c r="N2036" s="36" t="str">
        <f aca="false">IF($A2036="","",$I2036*$K2036)</f>
        <v/>
      </c>
      <c r="O2036" s="35" t="str">
        <f aca="false">IF(OR($A2036="",$C2036="U",$S2036&lt;&gt;Calc!$F$2),"",SUMIFS($I$3:$I$3002,$E$3:$E$3002,$E2036,$C$3:$C$3002,"&lt;&gt;U",$S$3:$S$3002,Calc!$F$2))</f>
        <v/>
      </c>
      <c r="P2036" s="35" t="str">
        <f aca="false">IF(OR($A2036="",$C2036="U",$S2036&lt;&gt;Calc!$F$2),"",SUMIFS($N$3:$N$3002,$E$3:$E$3002,$E2036,$C$3:$C$3002,"&lt;&gt;U",$S$3:$S$3002,Calc!$F$2))</f>
        <v/>
      </c>
      <c r="Q2036" s="35" t="str">
        <f aca="false">IF(OR($A2036="",$C2036="U",$S2036&lt;&gt;Calc!$F$2),"",IF(COUNTIFS($E$3:$E2036,$E2036,$C$3:$C2036,"&lt;&gt;U",$S$3:$S2036,Calc!$F$2)=1,1,0))</f>
        <v/>
      </c>
      <c r="R2036" s="35" t="str">
        <f aca="false">IF($Q2036=1,$O2036-ROW()/100000,"")</f>
        <v/>
      </c>
      <c r="S2036" s="37" t="str">
        <f aca="false">IF($A2036="","",INT($A2036))</f>
        <v/>
      </c>
      <c r="T2036" s="35" t="str">
        <f aca="false">IF($A2036="","",IF(COUNTIFS($S$3:$S2036,$S2036)=1,1,0))</f>
        <v/>
      </c>
      <c r="U2036" s="37" t="str">
        <f aca="false">IF($T2036=1,$S2036,"")</f>
        <v/>
      </c>
    </row>
    <row r="2037" customFormat="false" ht="15" hidden="false" customHeight="false" outlineLevel="0" collapsed="false">
      <c r="M2037" s="35" t="str">
        <f aca="false">IF($A2037="","",HOUR($A2037))</f>
        <v/>
      </c>
      <c r="N2037" s="36" t="str">
        <f aca="false">IF($A2037="","",$I2037*$K2037)</f>
        <v/>
      </c>
      <c r="O2037" s="35" t="str">
        <f aca="false">IF(OR($A2037="",$C2037="U",$S2037&lt;&gt;Calc!$F$2),"",SUMIFS($I$3:$I$3002,$E$3:$E$3002,$E2037,$C$3:$C$3002,"&lt;&gt;U",$S$3:$S$3002,Calc!$F$2))</f>
        <v/>
      </c>
      <c r="P2037" s="35" t="str">
        <f aca="false">IF(OR($A2037="",$C2037="U",$S2037&lt;&gt;Calc!$F$2),"",SUMIFS($N$3:$N$3002,$E$3:$E$3002,$E2037,$C$3:$C$3002,"&lt;&gt;U",$S$3:$S$3002,Calc!$F$2))</f>
        <v/>
      </c>
      <c r="Q2037" s="35" t="str">
        <f aca="false">IF(OR($A2037="",$C2037="U",$S2037&lt;&gt;Calc!$F$2),"",IF(COUNTIFS($E$3:$E2037,$E2037,$C$3:$C2037,"&lt;&gt;U",$S$3:$S2037,Calc!$F$2)=1,1,0))</f>
        <v/>
      </c>
      <c r="R2037" s="35" t="str">
        <f aca="false">IF($Q2037=1,$O2037-ROW()/100000,"")</f>
        <v/>
      </c>
      <c r="S2037" s="37" t="str">
        <f aca="false">IF($A2037="","",INT($A2037))</f>
        <v/>
      </c>
      <c r="T2037" s="35" t="str">
        <f aca="false">IF($A2037="","",IF(COUNTIFS($S$3:$S2037,$S2037)=1,1,0))</f>
        <v/>
      </c>
      <c r="U2037" s="37" t="str">
        <f aca="false">IF($T2037=1,$S2037,"")</f>
        <v/>
      </c>
    </row>
    <row r="2038" customFormat="false" ht="15" hidden="false" customHeight="false" outlineLevel="0" collapsed="false">
      <c r="M2038" s="35" t="str">
        <f aca="false">IF($A2038="","",HOUR($A2038))</f>
        <v/>
      </c>
      <c r="N2038" s="36" t="str">
        <f aca="false">IF($A2038="","",$I2038*$K2038)</f>
        <v/>
      </c>
      <c r="O2038" s="35" t="str">
        <f aca="false">IF(OR($A2038="",$C2038="U",$S2038&lt;&gt;Calc!$F$2),"",SUMIFS($I$3:$I$3002,$E$3:$E$3002,$E2038,$C$3:$C$3002,"&lt;&gt;U",$S$3:$S$3002,Calc!$F$2))</f>
        <v/>
      </c>
      <c r="P2038" s="35" t="str">
        <f aca="false">IF(OR($A2038="",$C2038="U",$S2038&lt;&gt;Calc!$F$2),"",SUMIFS($N$3:$N$3002,$E$3:$E$3002,$E2038,$C$3:$C$3002,"&lt;&gt;U",$S$3:$S$3002,Calc!$F$2))</f>
        <v/>
      </c>
      <c r="Q2038" s="35" t="str">
        <f aca="false">IF(OR($A2038="",$C2038="U",$S2038&lt;&gt;Calc!$F$2),"",IF(COUNTIFS($E$3:$E2038,$E2038,$C$3:$C2038,"&lt;&gt;U",$S$3:$S2038,Calc!$F$2)=1,1,0))</f>
        <v/>
      </c>
      <c r="R2038" s="35" t="str">
        <f aca="false">IF($Q2038=1,$O2038-ROW()/100000,"")</f>
        <v/>
      </c>
      <c r="S2038" s="37" t="str">
        <f aca="false">IF($A2038="","",INT($A2038))</f>
        <v/>
      </c>
      <c r="T2038" s="35" t="str">
        <f aca="false">IF($A2038="","",IF(COUNTIFS($S$3:$S2038,$S2038)=1,1,0))</f>
        <v/>
      </c>
      <c r="U2038" s="37" t="str">
        <f aca="false">IF($T2038=1,$S2038,"")</f>
        <v/>
      </c>
    </row>
    <row r="2039" customFormat="false" ht="15" hidden="false" customHeight="false" outlineLevel="0" collapsed="false">
      <c r="M2039" s="35" t="str">
        <f aca="false">IF($A2039="","",HOUR($A2039))</f>
        <v/>
      </c>
      <c r="N2039" s="36" t="str">
        <f aca="false">IF($A2039="","",$I2039*$K2039)</f>
        <v/>
      </c>
      <c r="O2039" s="35" t="str">
        <f aca="false">IF(OR($A2039="",$C2039="U",$S2039&lt;&gt;Calc!$F$2),"",SUMIFS($I$3:$I$3002,$E$3:$E$3002,$E2039,$C$3:$C$3002,"&lt;&gt;U",$S$3:$S$3002,Calc!$F$2))</f>
        <v/>
      </c>
      <c r="P2039" s="35" t="str">
        <f aca="false">IF(OR($A2039="",$C2039="U",$S2039&lt;&gt;Calc!$F$2),"",SUMIFS($N$3:$N$3002,$E$3:$E$3002,$E2039,$C$3:$C$3002,"&lt;&gt;U",$S$3:$S$3002,Calc!$F$2))</f>
        <v/>
      </c>
      <c r="Q2039" s="35" t="str">
        <f aca="false">IF(OR($A2039="",$C2039="U",$S2039&lt;&gt;Calc!$F$2),"",IF(COUNTIFS($E$3:$E2039,$E2039,$C$3:$C2039,"&lt;&gt;U",$S$3:$S2039,Calc!$F$2)=1,1,0))</f>
        <v/>
      </c>
      <c r="R2039" s="35" t="str">
        <f aca="false">IF($Q2039=1,$O2039-ROW()/100000,"")</f>
        <v/>
      </c>
      <c r="S2039" s="37" t="str">
        <f aca="false">IF($A2039="","",INT($A2039))</f>
        <v/>
      </c>
      <c r="T2039" s="35" t="str">
        <f aca="false">IF($A2039="","",IF(COUNTIFS($S$3:$S2039,$S2039)=1,1,0))</f>
        <v/>
      </c>
      <c r="U2039" s="37" t="str">
        <f aca="false">IF($T2039=1,$S2039,"")</f>
        <v/>
      </c>
    </row>
    <row r="2040" customFormat="false" ht="15" hidden="false" customHeight="false" outlineLevel="0" collapsed="false">
      <c r="M2040" s="35" t="str">
        <f aca="false">IF($A2040="","",HOUR($A2040))</f>
        <v/>
      </c>
      <c r="N2040" s="36" t="str">
        <f aca="false">IF($A2040="","",$I2040*$K2040)</f>
        <v/>
      </c>
      <c r="O2040" s="35" t="str">
        <f aca="false">IF(OR($A2040="",$C2040="U",$S2040&lt;&gt;Calc!$F$2),"",SUMIFS($I$3:$I$3002,$E$3:$E$3002,$E2040,$C$3:$C$3002,"&lt;&gt;U",$S$3:$S$3002,Calc!$F$2))</f>
        <v/>
      </c>
      <c r="P2040" s="35" t="str">
        <f aca="false">IF(OR($A2040="",$C2040="U",$S2040&lt;&gt;Calc!$F$2),"",SUMIFS($N$3:$N$3002,$E$3:$E$3002,$E2040,$C$3:$C$3002,"&lt;&gt;U",$S$3:$S$3002,Calc!$F$2))</f>
        <v/>
      </c>
      <c r="Q2040" s="35" t="str">
        <f aca="false">IF(OR($A2040="",$C2040="U",$S2040&lt;&gt;Calc!$F$2),"",IF(COUNTIFS($E$3:$E2040,$E2040,$C$3:$C2040,"&lt;&gt;U",$S$3:$S2040,Calc!$F$2)=1,1,0))</f>
        <v/>
      </c>
      <c r="R2040" s="35" t="str">
        <f aca="false">IF($Q2040=1,$O2040-ROW()/100000,"")</f>
        <v/>
      </c>
      <c r="S2040" s="37" t="str">
        <f aca="false">IF($A2040="","",INT($A2040))</f>
        <v/>
      </c>
      <c r="T2040" s="35" t="str">
        <f aca="false">IF($A2040="","",IF(COUNTIFS($S$3:$S2040,$S2040)=1,1,0))</f>
        <v/>
      </c>
      <c r="U2040" s="37" t="str">
        <f aca="false">IF($T2040=1,$S2040,"")</f>
        <v/>
      </c>
    </row>
    <row r="2041" customFormat="false" ht="15" hidden="false" customHeight="false" outlineLevel="0" collapsed="false">
      <c r="M2041" s="35" t="str">
        <f aca="false">IF($A2041="","",HOUR($A2041))</f>
        <v/>
      </c>
      <c r="N2041" s="36" t="str">
        <f aca="false">IF($A2041="","",$I2041*$K2041)</f>
        <v/>
      </c>
      <c r="O2041" s="35" t="str">
        <f aca="false">IF(OR($A2041="",$C2041="U",$S2041&lt;&gt;Calc!$F$2),"",SUMIFS($I$3:$I$3002,$E$3:$E$3002,$E2041,$C$3:$C$3002,"&lt;&gt;U",$S$3:$S$3002,Calc!$F$2))</f>
        <v/>
      </c>
      <c r="P2041" s="35" t="str">
        <f aca="false">IF(OR($A2041="",$C2041="U",$S2041&lt;&gt;Calc!$F$2),"",SUMIFS($N$3:$N$3002,$E$3:$E$3002,$E2041,$C$3:$C$3002,"&lt;&gt;U",$S$3:$S$3002,Calc!$F$2))</f>
        <v/>
      </c>
      <c r="Q2041" s="35" t="str">
        <f aca="false">IF(OR($A2041="",$C2041="U",$S2041&lt;&gt;Calc!$F$2),"",IF(COUNTIFS($E$3:$E2041,$E2041,$C$3:$C2041,"&lt;&gt;U",$S$3:$S2041,Calc!$F$2)=1,1,0))</f>
        <v/>
      </c>
      <c r="R2041" s="35" t="str">
        <f aca="false">IF($Q2041=1,$O2041-ROW()/100000,"")</f>
        <v/>
      </c>
      <c r="S2041" s="37" t="str">
        <f aca="false">IF($A2041="","",INT($A2041))</f>
        <v/>
      </c>
      <c r="T2041" s="35" t="str">
        <f aca="false">IF($A2041="","",IF(COUNTIFS($S$3:$S2041,$S2041)=1,1,0))</f>
        <v/>
      </c>
      <c r="U2041" s="37" t="str">
        <f aca="false">IF($T2041=1,$S2041,"")</f>
        <v/>
      </c>
    </row>
    <row r="2042" customFormat="false" ht="15" hidden="false" customHeight="false" outlineLevel="0" collapsed="false">
      <c r="M2042" s="35" t="str">
        <f aca="false">IF($A2042="","",HOUR($A2042))</f>
        <v/>
      </c>
      <c r="N2042" s="36" t="str">
        <f aca="false">IF($A2042="","",$I2042*$K2042)</f>
        <v/>
      </c>
      <c r="O2042" s="35" t="str">
        <f aca="false">IF(OR($A2042="",$C2042="U",$S2042&lt;&gt;Calc!$F$2),"",SUMIFS($I$3:$I$3002,$E$3:$E$3002,$E2042,$C$3:$C$3002,"&lt;&gt;U",$S$3:$S$3002,Calc!$F$2))</f>
        <v/>
      </c>
      <c r="P2042" s="35" t="str">
        <f aca="false">IF(OR($A2042="",$C2042="U",$S2042&lt;&gt;Calc!$F$2),"",SUMIFS($N$3:$N$3002,$E$3:$E$3002,$E2042,$C$3:$C$3002,"&lt;&gt;U",$S$3:$S$3002,Calc!$F$2))</f>
        <v/>
      </c>
      <c r="Q2042" s="35" t="str">
        <f aca="false">IF(OR($A2042="",$C2042="U",$S2042&lt;&gt;Calc!$F$2),"",IF(COUNTIFS($E$3:$E2042,$E2042,$C$3:$C2042,"&lt;&gt;U",$S$3:$S2042,Calc!$F$2)=1,1,0))</f>
        <v/>
      </c>
      <c r="R2042" s="35" t="str">
        <f aca="false">IF($Q2042=1,$O2042-ROW()/100000,"")</f>
        <v/>
      </c>
      <c r="S2042" s="37" t="str">
        <f aca="false">IF($A2042="","",INT($A2042))</f>
        <v/>
      </c>
      <c r="T2042" s="35" t="str">
        <f aca="false">IF($A2042="","",IF(COUNTIFS($S$3:$S2042,$S2042)=1,1,0))</f>
        <v/>
      </c>
      <c r="U2042" s="37" t="str">
        <f aca="false">IF($T2042=1,$S2042,"")</f>
        <v/>
      </c>
    </row>
    <row r="2043" customFormat="false" ht="15" hidden="false" customHeight="false" outlineLevel="0" collapsed="false">
      <c r="M2043" s="35" t="str">
        <f aca="false">IF($A2043="","",HOUR($A2043))</f>
        <v/>
      </c>
      <c r="N2043" s="36" t="str">
        <f aca="false">IF($A2043="","",$I2043*$K2043)</f>
        <v/>
      </c>
      <c r="O2043" s="35" t="str">
        <f aca="false">IF(OR($A2043="",$C2043="U",$S2043&lt;&gt;Calc!$F$2),"",SUMIFS($I$3:$I$3002,$E$3:$E$3002,$E2043,$C$3:$C$3002,"&lt;&gt;U",$S$3:$S$3002,Calc!$F$2))</f>
        <v/>
      </c>
      <c r="P2043" s="35" t="str">
        <f aca="false">IF(OR($A2043="",$C2043="U",$S2043&lt;&gt;Calc!$F$2),"",SUMIFS($N$3:$N$3002,$E$3:$E$3002,$E2043,$C$3:$C$3002,"&lt;&gt;U",$S$3:$S$3002,Calc!$F$2))</f>
        <v/>
      </c>
      <c r="Q2043" s="35" t="str">
        <f aca="false">IF(OR($A2043="",$C2043="U",$S2043&lt;&gt;Calc!$F$2),"",IF(COUNTIFS($E$3:$E2043,$E2043,$C$3:$C2043,"&lt;&gt;U",$S$3:$S2043,Calc!$F$2)=1,1,0))</f>
        <v/>
      </c>
      <c r="R2043" s="35" t="str">
        <f aca="false">IF($Q2043=1,$O2043-ROW()/100000,"")</f>
        <v/>
      </c>
      <c r="S2043" s="37" t="str">
        <f aca="false">IF($A2043="","",INT($A2043))</f>
        <v/>
      </c>
      <c r="T2043" s="35" t="str">
        <f aca="false">IF($A2043="","",IF(COUNTIFS($S$3:$S2043,$S2043)=1,1,0))</f>
        <v/>
      </c>
      <c r="U2043" s="37" t="str">
        <f aca="false">IF($T2043=1,$S2043,"")</f>
        <v/>
      </c>
    </row>
    <row r="2044" customFormat="false" ht="15" hidden="false" customHeight="false" outlineLevel="0" collapsed="false">
      <c r="M2044" s="35" t="str">
        <f aca="false">IF($A2044="","",HOUR($A2044))</f>
        <v/>
      </c>
      <c r="N2044" s="36" t="str">
        <f aca="false">IF($A2044="","",$I2044*$K2044)</f>
        <v/>
      </c>
      <c r="O2044" s="35" t="str">
        <f aca="false">IF(OR($A2044="",$C2044="U",$S2044&lt;&gt;Calc!$F$2),"",SUMIFS($I$3:$I$3002,$E$3:$E$3002,$E2044,$C$3:$C$3002,"&lt;&gt;U",$S$3:$S$3002,Calc!$F$2))</f>
        <v/>
      </c>
      <c r="P2044" s="35" t="str">
        <f aca="false">IF(OR($A2044="",$C2044="U",$S2044&lt;&gt;Calc!$F$2),"",SUMIFS($N$3:$N$3002,$E$3:$E$3002,$E2044,$C$3:$C$3002,"&lt;&gt;U",$S$3:$S$3002,Calc!$F$2))</f>
        <v/>
      </c>
      <c r="Q2044" s="35" t="str">
        <f aca="false">IF(OR($A2044="",$C2044="U",$S2044&lt;&gt;Calc!$F$2),"",IF(COUNTIFS($E$3:$E2044,$E2044,$C$3:$C2044,"&lt;&gt;U",$S$3:$S2044,Calc!$F$2)=1,1,0))</f>
        <v/>
      </c>
      <c r="R2044" s="35" t="str">
        <f aca="false">IF($Q2044=1,$O2044-ROW()/100000,"")</f>
        <v/>
      </c>
      <c r="S2044" s="37" t="str">
        <f aca="false">IF($A2044="","",INT($A2044))</f>
        <v/>
      </c>
      <c r="T2044" s="35" t="str">
        <f aca="false">IF($A2044="","",IF(COUNTIFS($S$3:$S2044,$S2044)=1,1,0))</f>
        <v/>
      </c>
      <c r="U2044" s="37" t="str">
        <f aca="false">IF($T2044=1,$S2044,"")</f>
        <v/>
      </c>
    </row>
    <row r="2045" customFormat="false" ht="15" hidden="false" customHeight="false" outlineLevel="0" collapsed="false">
      <c r="M2045" s="35" t="str">
        <f aca="false">IF($A2045="","",HOUR($A2045))</f>
        <v/>
      </c>
      <c r="N2045" s="36" t="str">
        <f aca="false">IF($A2045="","",$I2045*$K2045)</f>
        <v/>
      </c>
      <c r="O2045" s="35" t="str">
        <f aca="false">IF(OR($A2045="",$C2045="U",$S2045&lt;&gt;Calc!$F$2),"",SUMIFS($I$3:$I$3002,$E$3:$E$3002,$E2045,$C$3:$C$3002,"&lt;&gt;U",$S$3:$S$3002,Calc!$F$2))</f>
        <v/>
      </c>
      <c r="P2045" s="35" t="str">
        <f aca="false">IF(OR($A2045="",$C2045="U",$S2045&lt;&gt;Calc!$F$2),"",SUMIFS($N$3:$N$3002,$E$3:$E$3002,$E2045,$C$3:$C$3002,"&lt;&gt;U",$S$3:$S$3002,Calc!$F$2))</f>
        <v/>
      </c>
      <c r="Q2045" s="35" t="str">
        <f aca="false">IF(OR($A2045="",$C2045="U",$S2045&lt;&gt;Calc!$F$2),"",IF(COUNTIFS($E$3:$E2045,$E2045,$C$3:$C2045,"&lt;&gt;U",$S$3:$S2045,Calc!$F$2)=1,1,0))</f>
        <v/>
      </c>
      <c r="R2045" s="35" t="str">
        <f aca="false">IF($Q2045=1,$O2045-ROW()/100000,"")</f>
        <v/>
      </c>
      <c r="S2045" s="37" t="str">
        <f aca="false">IF($A2045="","",INT($A2045))</f>
        <v/>
      </c>
      <c r="T2045" s="35" t="str">
        <f aca="false">IF($A2045="","",IF(COUNTIFS($S$3:$S2045,$S2045)=1,1,0))</f>
        <v/>
      </c>
      <c r="U2045" s="37" t="str">
        <f aca="false">IF($T2045=1,$S2045,"")</f>
        <v/>
      </c>
    </row>
    <row r="2046" customFormat="false" ht="15" hidden="false" customHeight="false" outlineLevel="0" collapsed="false">
      <c r="M2046" s="35" t="str">
        <f aca="false">IF($A2046="","",HOUR($A2046))</f>
        <v/>
      </c>
      <c r="N2046" s="36" t="str">
        <f aca="false">IF($A2046="","",$I2046*$K2046)</f>
        <v/>
      </c>
      <c r="O2046" s="35" t="str">
        <f aca="false">IF(OR($A2046="",$C2046="U",$S2046&lt;&gt;Calc!$F$2),"",SUMIFS($I$3:$I$3002,$E$3:$E$3002,$E2046,$C$3:$C$3002,"&lt;&gt;U",$S$3:$S$3002,Calc!$F$2))</f>
        <v/>
      </c>
      <c r="P2046" s="35" t="str">
        <f aca="false">IF(OR($A2046="",$C2046="U",$S2046&lt;&gt;Calc!$F$2),"",SUMIFS($N$3:$N$3002,$E$3:$E$3002,$E2046,$C$3:$C$3002,"&lt;&gt;U",$S$3:$S$3002,Calc!$F$2))</f>
        <v/>
      </c>
      <c r="Q2046" s="35" t="str">
        <f aca="false">IF(OR($A2046="",$C2046="U",$S2046&lt;&gt;Calc!$F$2),"",IF(COUNTIFS($E$3:$E2046,$E2046,$C$3:$C2046,"&lt;&gt;U",$S$3:$S2046,Calc!$F$2)=1,1,0))</f>
        <v/>
      </c>
      <c r="R2046" s="35" t="str">
        <f aca="false">IF($Q2046=1,$O2046-ROW()/100000,"")</f>
        <v/>
      </c>
      <c r="S2046" s="37" t="str">
        <f aca="false">IF($A2046="","",INT($A2046))</f>
        <v/>
      </c>
      <c r="T2046" s="35" t="str">
        <f aca="false">IF($A2046="","",IF(COUNTIFS($S$3:$S2046,$S2046)=1,1,0))</f>
        <v/>
      </c>
      <c r="U2046" s="37" t="str">
        <f aca="false">IF($T2046=1,$S2046,"")</f>
        <v/>
      </c>
    </row>
    <row r="2047" customFormat="false" ht="15" hidden="false" customHeight="false" outlineLevel="0" collapsed="false">
      <c r="M2047" s="35" t="str">
        <f aca="false">IF($A2047="","",HOUR($A2047))</f>
        <v/>
      </c>
      <c r="N2047" s="36" t="str">
        <f aca="false">IF($A2047="","",$I2047*$K2047)</f>
        <v/>
      </c>
      <c r="O2047" s="35" t="str">
        <f aca="false">IF(OR($A2047="",$C2047="U",$S2047&lt;&gt;Calc!$F$2),"",SUMIFS($I$3:$I$3002,$E$3:$E$3002,$E2047,$C$3:$C$3002,"&lt;&gt;U",$S$3:$S$3002,Calc!$F$2))</f>
        <v/>
      </c>
      <c r="P2047" s="35" t="str">
        <f aca="false">IF(OR($A2047="",$C2047="U",$S2047&lt;&gt;Calc!$F$2),"",SUMIFS($N$3:$N$3002,$E$3:$E$3002,$E2047,$C$3:$C$3002,"&lt;&gt;U",$S$3:$S$3002,Calc!$F$2))</f>
        <v/>
      </c>
      <c r="Q2047" s="35" t="str">
        <f aca="false">IF(OR($A2047="",$C2047="U",$S2047&lt;&gt;Calc!$F$2),"",IF(COUNTIFS($E$3:$E2047,$E2047,$C$3:$C2047,"&lt;&gt;U",$S$3:$S2047,Calc!$F$2)=1,1,0))</f>
        <v/>
      </c>
      <c r="R2047" s="35" t="str">
        <f aca="false">IF($Q2047=1,$O2047-ROW()/100000,"")</f>
        <v/>
      </c>
      <c r="S2047" s="37" t="str">
        <f aca="false">IF($A2047="","",INT($A2047))</f>
        <v/>
      </c>
      <c r="T2047" s="35" t="str">
        <f aca="false">IF($A2047="","",IF(COUNTIFS($S$3:$S2047,$S2047)=1,1,0))</f>
        <v/>
      </c>
      <c r="U2047" s="37" t="str">
        <f aca="false">IF($T2047=1,$S2047,"")</f>
        <v/>
      </c>
    </row>
    <row r="2048" customFormat="false" ht="15" hidden="false" customHeight="false" outlineLevel="0" collapsed="false">
      <c r="M2048" s="35" t="str">
        <f aca="false">IF($A2048="","",HOUR($A2048))</f>
        <v/>
      </c>
      <c r="N2048" s="36" t="str">
        <f aca="false">IF($A2048="","",$I2048*$K2048)</f>
        <v/>
      </c>
      <c r="O2048" s="35" t="str">
        <f aca="false">IF(OR($A2048="",$C2048="U",$S2048&lt;&gt;Calc!$F$2),"",SUMIFS($I$3:$I$3002,$E$3:$E$3002,$E2048,$C$3:$C$3002,"&lt;&gt;U",$S$3:$S$3002,Calc!$F$2))</f>
        <v/>
      </c>
      <c r="P2048" s="35" t="str">
        <f aca="false">IF(OR($A2048="",$C2048="U",$S2048&lt;&gt;Calc!$F$2),"",SUMIFS($N$3:$N$3002,$E$3:$E$3002,$E2048,$C$3:$C$3002,"&lt;&gt;U",$S$3:$S$3002,Calc!$F$2))</f>
        <v/>
      </c>
      <c r="Q2048" s="35" t="str">
        <f aca="false">IF(OR($A2048="",$C2048="U",$S2048&lt;&gt;Calc!$F$2),"",IF(COUNTIFS($E$3:$E2048,$E2048,$C$3:$C2048,"&lt;&gt;U",$S$3:$S2048,Calc!$F$2)=1,1,0))</f>
        <v/>
      </c>
      <c r="R2048" s="35" t="str">
        <f aca="false">IF($Q2048=1,$O2048-ROW()/100000,"")</f>
        <v/>
      </c>
      <c r="S2048" s="37" t="str">
        <f aca="false">IF($A2048="","",INT($A2048))</f>
        <v/>
      </c>
      <c r="T2048" s="35" t="str">
        <f aca="false">IF($A2048="","",IF(COUNTIFS($S$3:$S2048,$S2048)=1,1,0))</f>
        <v/>
      </c>
      <c r="U2048" s="37" t="str">
        <f aca="false">IF($T2048=1,$S2048,"")</f>
        <v/>
      </c>
    </row>
    <row r="2049" customFormat="false" ht="15" hidden="false" customHeight="false" outlineLevel="0" collapsed="false">
      <c r="M2049" s="35" t="str">
        <f aca="false">IF($A2049="","",HOUR($A2049))</f>
        <v/>
      </c>
      <c r="N2049" s="36" t="str">
        <f aca="false">IF($A2049="","",$I2049*$K2049)</f>
        <v/>
      </c>
      <c r="O2049" s="35" t="str">
        <f aca="false">IF(OR($A2049="",$C2049="U",$S2049&lt;&gt;Calc!$F$2),"",SUMIFS($I$3:$I$3002,$E$3:$E$3002,$E2049,$C$3:$C$3002,"&lt;&gt;U",$S$3:$S$3002,Calc!$F$2))</f>
        <v/>
      </c>
      <c r="P2049" s="35" t="str">
        <f aca="false">IF(OR($A2049="",$C2049="U",$S2049&lt;&gt;Calc!$F$2),"",SUMIFS($N$3:$N$3002,$E$3:$E$3002,$E2049,$C$3:$C$3002,"&lt;&gt;U",$S$3:$S$3002,Calc!$F$2))</f>
        <v/>
      </c>
      <c r="Q2049" s="35" t="str">
        <f aca="false">IF(OR($A2049="",$C2049="U",$S2049&lt;&gt;Calc!$F$2),"",IF(COUNTIFS($E$3:$E2049,$E2049,$C$3:$C2049,"&lt;&gt;U",$S$3:$S2049,Calc!$F$2)=1,1,0))</f>
        <v/>
      </c>
      <c r="R2049" s="35" t="str">
        <f aca="false">IF($Q2049=1,$O2049-ROW()/100000,"")</f>
        <v/>
      </c>
      <c r="S2049" s="37" t="str">
        <f aca="false">IF($A2049="","",INT($A2049))</f>
        <v/>
      </c>
      <c r="T2049" s="35" t="str">
        <f aca="false">IF($A2049="","",IF(COUNTIFS($S$3:$S2049,$S2049)=1,1,0))</f>
        <v/>
      </c>
      <c r="U2049" s="37" t="str">
        <f aca="false">IF($T2049=1,$S2049,"")</f>
        <v/>
      </c>
    </row>
    <row r="2050" customFormat="false" ht="15" hidden="false" customHeight="false" outlineLevel="0" collapsed="false">
      <c r="M2050" s="35" t="str">
        <f aca="false">IF($A2050="","",HOUR($A2050))</f>
        <v/>
      </c>
      <c r="N2050" s="36" t="str">
        <f aca="false">IF($A2050="","",$I2050*$K2050)</f>
        <v/>
      </c>
      <c r="O2050" s="35" t="str">
        <f aca="false">IF(OR($A2050="",$C2050="U",$S2050&lt;&gt;Calc!$F$2),"",SUMIFS($I$3:$I$3002,$E$3:$E$3002,$E2050,$C$3:$C$3002,"&lt;&gt;U",$S$3:$S$3002,Calc!$F$2))</f>
        <v/>
      </c>
      <c r="P2050" s="35" t="str">
        <f aca="false">IF(OR($A2050="",$C2050="U",$S2050&lt;&gt;Calc!$F$2),"",SUMIFS($N$3:$N$3002,$E$3:$E$3002,$E2050,$C$3:$C$3002,"&lt;&gt;U",$S$3:$S$3002,Calc!$F$2))</f>
        <v/>
      </c>
      <c r="Q2050" s="35" t="str">
        <f aca="false">IF(OR($A2050="",$C2050="U",$S2050&lt;&gt;Calc!$F$2),"",IF(COUNTIFS($E$3:$E2050,$E2050,$C$3:$C2050,"&lt;&gt;U",$S$3:$S2050,Calc!$F$2)=1,1,0))</f>
        <v/>
      </c>
      <c r="R2050" s="35" t="str">
        <f aca="false">IF($Q2050=1,$O2050-ROW()/100000,"")</f>
        <v/>
      </c>
      <c r="S2050" s="37" t="str">
        <f aca="false">IF($A2050="","",INT($A2050))</f>
        <v/>
      </c>
      <c r="T2050" s="35" t="str">
        <f aca="false">IF($A2050="","",IF(COUNTIFS($S$3:$S2050,$S2050)=1,1,0))</f>
        <v/>
      </c>
      <c r="U2050" s="37" t="str">
        <f aca="false">IF($T2050=1,$S2050,"")</f>
        <v/>
      </c>
    </row>
    <row r="2051" customFormat="false" ht="15" hidden="false" customHeight="false" outlineLevel="0" collapsed="false">
      <c r="M2051" s="35" t="str">
        <f aca="false">IF($A2051="","",HOUR($A2051))</f>
        <v/>
      </c>
      <c r="N2051" s="36" t="str">
        <f aca="false">IF($A2051="","",$I2051*$K2051)</f>
        <v/>
      </c>
      <c r="O2051" s="35" t="str">
        <f aca="false">IF(OR($A2051="",$C2051="U",$S2051&lt;&gt;Calc!$F$2),"",SUMIFS($I$3:$I$3002,$E$3:$E$3002,$E2051,$C$3:$C$3002,"&lt;&gt;U",$S$3:$S$3002,Calc!$F$2))</f>
        <v/>
      </c>
      <c r="P2051" s="35" t="str">
        <f aca="false">IF(OR($A2051="",$C2051="U",$S2051&lt;&gt;Calc!$F$2),"",SUMIFS($N$3:$N$3002,$E$3:$E$3002,$E2051,$C$3:$C$3002,"&lt;&gt;U",$S$3:$S$3002,Calc!$F$2))</f>
        <v/>
      </c>
      <c r="Q2051" s="35" t="str">
        <f aca="false">IF(OR($A2051="",$C2051="U",$S2051&lt;&gt;Calc!$F$2),"",IF(COUNTIFS($E$3:$E2051,$E2051,$C$3:$C2051,"&lt;&gt;U",$S$3:$S2051,Calc!$F$2)=1,1,0))</f>
        <v/>
      </c>
      <c r="R2051" s="35" t="str">
        <f aca="false">IF($Q2051=1,$O2051-ROW()/100000,"")</f>
        <v/>
      </c>
      <c r="S2051" s="37" t="str">
        <f aca="false">IF($A2051="","",INT($A2051))</f>
        <v/>
      </c>
      <c r="T2051" s="35" t="str">
        <f aca="false">IF($A2051="","",IF(COUNTIFS($S$3:$S2051,$S2051)=1,1,0))</f>
        <v/>
      </c>
      <c r="U2051" s="37" t="str">
        <f aca="false">IF($T2051=1,$S2051,"")</f>
        <v/>
      </c>
    </row>
    <row r="2052" customFormat="false" ht="15" hidden="false" customHeight="false" outlineLevel="0" collapsed="false">
      <c r="M2052" s="35" t="str">
        <f aca="false">IF($A2052="","",HOUR($A2052))</f>
        <v/>
      </c>
      <c r="N2052" s="36" t="str">
        <f aca="false">IF($A2052="","",$I2052*$K2052)</f>
        <v/>
      </c>
      <c r="O2052" s="35" t="str">
        <f aca="false">IF(OR($A2052="",$C2052="U",$S2052&lt;&gt;Calc!$F$2),"",SUMIFS($I$3:$I$3002,$E$3:$E$3002,$E2052,$C$3:$C$3002,"&lt;&gt;U",$S$3:$S$3002,Calc!$F$2))</f>
        <v/>
      </c>
      <c r="P2052" s="35" t="str">
        <f aca="false">IF(OR($A2052="",$C2052="U",$S2052&lt;&gt;Calc!$F$2),"",SUMIFS($N$3:$N$3002,$E$3:$E$3002,$E2052,$C$3:$C$3002,"&lt;&gt;U",$S$3:$S$3002,Calc!$F$2))</f>
        <v/>
      </c>
      <c r="Q2052" s="35" t="str">
        <f aca="false">IF(OR($A2052="",$C2052="U",$S2052&lt;&gt;Calc!$F$2),"",IF(COUNTIFS($E$3:$E2052,$E2052,$C$3:$C2052,"&lt;&gt;U",$S$3:$S2052,Calc!$F$2)=1,1,0))</f>
        <v/>
      </c>
      <c r="R2052" s="35" t="str">
        <f aca="false">IF($Q2052=1,$O2052-ROW()/100000,"")</f>
        <v/>
      </c>
      <c r="S2052" s="37" t="str">
        <f aca="false">IF($A2052="","",INT($A2052))</f>
        <v/>
      </c>
      <c r="T2052" s="35" t="str">
        <f aca="false">IF($A2052="","",IF(COUNTIFS($S$3:$S2052,$S2052)=1,1,0))</f>
        <v/>
      </c>
      <c r="U2052" s="37" t="str">
        <f aca="false">IF($T2052=1,$S2052,"")</f>
        <v/>
      </c>
    </row>
    <row r="2053" customFormat="false" ht="15" hidden="false" customHeight="false" outlineLevel="0" collapsed="false">
      <c r="M2053" s="35" t="str">
        <f aca="false">IF($A2053="","",HOUR($A2053))</f>
        <v/>
      </c>
      <c r="N2053" s="36" t="str">
        <f aca="false">IF($A2053="","",$I2053*$K2053)</f>
        <v/>
      </c>
      <c r="O2053" s="35" t="str">
        <f aca="false">IF(OR($A2053="",$C2053="U",$S2053&lt;&gt;Calc!$F$2),"",SUMIFS($I$3:$I$3002,$E$3:$E$3002,$E2053,$C$3:$C$3002,"&lt;&gt;U",$S$3:$S$3002,Calc!$F$2))</f>
        <v/>
      </c>
      <c r="P2053" s="35" t="str">
        <f aca="false">IF(OR($A2053="",$C2053="U",$S2053&lt;&gt;Calc!$F$2),"",SUMIFS($N$3:$N$3002,$E$3:$E$3002,$E2053,$C$3:$C$3002,"&lt;&gt;U",$S$3:$S$3002,Calc!$F$2))</f>
        <v/>
      </c>
      <c r="Q2053" s="35" t="str">
        <f aca="false">IF(OR($A2053="",$C2053="U",$S2053&lt;&gt;Calc!$F$2),"",IF(COUNTIFS($E$3:$E2053,$E2053,$C$3:$C2053,"&lt;&gt;U",$S$3:$S2053,Calc!$F$2)=1,1,0))</f>
        <v/>
      </c>
      <c r="R2053" s="35" t="str">
        <f aca="false">IF($Q2053=1,$O2053-ROW()/100000,"")</f>
        <v/>
      </c>
      <c r="S2053" s="37" t="str">
        <f aca="false">IF($A2053="","",INT($A2053))</f>
        <v/>
      </c>
      <c r="T2053" s="35" t="str">
        <f aca="false">IF($A2053="","",IF(COUNTIFS($S$3:$S2053,$S2053)=1,1,0))</f>
        <v/>
      </c>
      <c r="U2053" s="37" t="str">
        <f aca="false">IF($T2053=1,$S2053,"")</f>
        <v/>
      </c>
    </row>
    <row r="2054" customFormat="false" ht="15" hidden="false" customHeight="false" outlineLevel="0" collapsed="false">
      <c r="M2054" s="35" t="str">
        <f aca="false">IF($A2054="","",HOUR($A2054))</f>
        <v/>
      </c>
      <c r="N2054" s="36" t="str">
        <f aca="false">IF($A2054="","",$I2054*$K2054)</f>
        <v/>
      </c>
      <c r="O2054" s="35" t="str">
        <f aca="false">IF(OR($A2054="",$C2054="U",$S2054&lt;&gt;Calc!$F$2),"",SUMIFS($I$3:$I$3002,$E$3:$E$3002,$E2054,$C$3:$C$3002,"&lt;&gt;U",$S$3:$S$3002,Calc!$F$2))</f>
        <v/>
      </c>
      <c r="P2054" s="35" t="str">
        <f aca="false">IF(OR($A2054="",$C2054="U",$S2054&lt;&gt;Calc!$F$2),"",SUMIFS($N$3:$N$3002,$E$3:$E$3002,$E2054,$C$3:$C$3002,"&lt;&gt;U",$S$3:$S$3002,Calc!$F$2))</f>
        <v/>
      </c>
      <c r="Q2054" s="35" t="str">
        <f aca="false">IF(OR($A2054="",$C2054="U",$S2054&lt;&gt;Calc!$F$2),"",IF(COUNTIFS($E$3:$E2054,$E2054,$C$3:$C2054,"&lt;&gt;U",$S$3:$S2054,Calc!$F$2)=1,1,0))</f>
        <v/>
      </c>
      <c r="R2054" s="35" t="str">
        <f aca="false">IF($Q2054=1,$O2054-ROW()/100000,"")</f>
        <v/>
      </c>
      <c r="S2054" s="37" t="str">
        <f aca="false">IF($A2054="","",INT($A2054))</f>
        <v/>
      </c>
      <c r="T2054" s="35" t="str">
        <f aca="false">IF($A2054="","",IF(COUNTIFS($S$3:$S2054,$S2054)=1,1,0))</f>
        <v/>
      </c>
      <c r="U2054" s="37" t="str">
        <f aca="false">IF($T2054=1,$S2054,"")</f>
        <v/>
      </c>
    </row>
    <row r="2055" customFormat="false" ht="15" hidden="false" customHeight="false" outlineLevel="0" collapsed="false">
      <c r="M2055" s="35" t="str">
        <f aca="false">IF($A2055="","",HOUR($A2055))</f>
        <v/>
      </c>
      <c r="N2055" s="36" t="str">
        <f aca="false">IF($A2055="","",$I2055*$K2055)</f>
        <v/>
      </c>
      <c r="O2055" s="35" t="str">
        <f aca="false">IF(OR($A2055="",$C2055="U",$S2055&lt;&gt;Calc!$F$2),"",SUMIFS($I$3:$I$3002,$E$3:$E$3002,$E2055,$C$3:$C$3002,"&lt;&gt;U",$S$3:$S$3002,Calc!$F$2))</f>
        <v/>
      </c>
      <c r="P2055" s="35" t="str">
        <f aca="false">IF(OR($A2055="",$C2055="U",$S2055&lt;&gt;Calc!$F$2),"",SUMIFS($N$3:$N$3002,$E$3:$E$3002,$E2055,$C$3:$C$3002,"&lt;&gt;U",$S$3:$S$3002,Calc!$F$2))</f>
        <v/>
      </c>
      <c r="Q2055" s="35" t="str">
        <f aca="false">IF(OR($A2055="",$C2055="U",$S2055&lt;&gt;Calc!$F$2),"",IF(COUNTIFS($E$3:$E2055,$E2055,$C$3:$C2055,"&lt;&gt;U",$S$3:$S2055,Calc!$F$2)=1,1,0))</f>
        <v/>
      </c>
      <c r="R2055" s="35" t="str">
        <f aca="false">IF($Q2055=1,$O2055-ROW()/100000,"")</f>
        <v/>
      </c>
      <c r="S2055" s="37" t="str">
        <f aca="false">IF($A2055="","",INT($A2055))</f>
        <v/>
      </c>
      <c r="T2055" s="35" t="str">
        <f aca="false">IF($A2055="","",IF(COUNTIFS($S$3:$S2055,$S2055)=1,1,0))</f>
        <v/>
      </c>
      <c r="U2055" s="37" t="str">
        <f aca="false">IF($T2055=1,$S2055,"")</f>
        <v/>
      </c>
    </row>
    <row r="2056" customFormat="false" ht="15" hidden="false" customHeight="false" outlineLevel="0" collapsed="false">
      <c r="M2056" s="35" t="str">
        <f aca="false">IF($A2056="","",HOUR($A2056))</f>
        <v/>
      </c>
      <c r="N2056" s="36" t="str">
        <f aca="false">IF($A2056="","",$I2056*$K2056)</f>
        <v/>
      </c>
      <c r="O2056" s="35" t="str">
        <f aca="false">IF(OR($A2056="",$C2056="U",$S2056&lt;&gt;Calc!$F$2),"",SUMIFS($I$3:$I$3002,$E$3:$E$3002,$E2056,$C$3:$C$3002,"&lt;&gt;U",$S$3:$S$3002,Calc!$F$2))</f>
        <v/>
      </c>
      <c r="P2056" s="35" t="str">
        <f aca="false">IF(OR($A2056="",$C2056="U",$S2056&lt;&gt;Calc!$F$2),"",SUMIFS($N$3:$N$3002,$E$3:$E$3002,$E2056,$C$3:$C$3002,"&lt;&gt;U",$S$3:$S$3002,Calc!$F$2))</f>
        <v/>
      </c>
      <c r="Q2056" s="35" t="str">
        <f aca="false">IF(OR($A2056="",$C2056="U",$S2056&lt;&gt;Calc!$F$2),"",IF(COUNTIFS($E$3:$E2056,$E2056,$C$3:$C2056,"&lt;&gt;U",$S$3:$S2056,Calc!$F$2)=1,1,0))</f>
        <v/>
      </c>
      <c r="R2056" s="35" t="str">
        <f aca="false">IF($Q2056=1,$O2056-ROW()/100000,"")</f>
        <v/>
      </c>
      <c r="S2056" s="37" t="str">
        <f aca="false">IF($A2056="","",INT($A2056))</f>
        <v/>
      </c>
      <c r="T2056" s="35" t="str">
        <f aca="false">IF($A2056="","",IF(COUNTIFS($S$3:$S2056,$S2056)=1,1,0))</f>
        <v/>
      </c>
      <c r="U2056" s="37" t="str">
        <f aca="false">IF($T2056=1,$S2056,"")</f>
        <v/>
      </c>
    </row>
    <row r="2057" customFormat="false" ht="15" hidden="false" customHeight="false" outlineLevel="0" collapsed="false">
      <c r="M2057" s="35" t="str">
        <f aca="false">IF($A2057="","",HOUR($A2057))</f>
        <v/>
      </c>
      <c r="N2057" s="36" t="str">
        <f aca="false">IF($A2057="","",$I2057*$K2057)</f>
        <v/>
      </c>
      <c r="O2057" s="35" t="str">
        <f aca="false">IF(OR($A2057="",$C2057="U",$S2057&lt;&gt;Calc!$F$2),"",SUMIFS($I$3:$I$3002,$E$3:$E$3002,$E2057,$C$3:$C$3002,"&lt;&gt;U",$S$3:$S$3002,Calc!$F$2))</f>
        <v/>
      </c>
      <c r="P2057" s="35" t="str">
        <f aca="false">IF(OR($A2057="",$C2057="U",$S2057&lt;&gt;Calc!$F$2),"",SUMIFS($N$3:$N$3002,$E$3:$E$3002,$E2057,$C$3:$C$3002,"&lt;&gt;U",$S$3:$S$3002,Calc!$F$2))</f>
        <v/>
      </c>
      <c r="Q2057" s="35" t="str">
        <f aca="false">IF(OR($A2057="",$C2057="U",$S2057&lt;&gt;Calc!$F$2),"",IF(COUNTIFS($E$3:$E2057,$E2057,$C$3:$C2057,"&lt;&gt;U",$S$3:$S2057,Calc!$F$2)=1,1,0))</f>
        <v/>
      </c>
      <c r="R2057" s="35" t="str">
        <f aca="false">IF($Q2057=1,$O2057-ROW()/100000,"")</f>
        <v/>
      </c>
      <c r="S2057" s="37" t="str">
        <f aca="false">IF($A2057="","",INT($A2057))</f>
        <v/>
      </c>
      <c r="T2057" s="35" t="str">
        <f aca="false">IF($A2057="","",IF(COUNTIFS($S$3:$S2057,$S2057)=1,1,0))</f>
        <v/>
      </c>
      <c r="U2057" s="37" t="str">
        <f aca="false">IF($T2057=1,$S2057,"")</f>
        <v/>
      </c>
    </row>
    <row r="2058" customFormat="false" ht="15" hidden="false" customHeight="false" outlineLevel="0" collapsed="false">
      <c r="M2058" s="35" t="str">
        <f aca="false">IF($A2058="","",HOUR($A2058))</f>
        <v/>
      </c>
      <c r="N2058" s="36" t="str">
        <f aca="false">IF($A2058="","",$I2058*$K2058)</f>
        <v/>
      </c>
      <c r="O2058" s="35" t="str">
        <f aca="false">IF(OR($A2058="",$C2058="U",$S2058&lt;&gt;Calc!$F$2),"",SUMIFS($I$3:$I$3002,$E$3:$E$3002,$E2058,$C$3:$C$3002,"&lt;&gt;U",$S$3:$S$3002,Calc!$F$2))</f>
        <v/>
      </c>
      <c r="P2058" s="35" t="str">
        <f aca="false">IF(OR($A2058="",$C2058="U",$S2058&lt;&gt;Calc!$F$2),"",SUMIFS($N$3:$N$3002,$E$3:$E$3002,$E2058,$C$3:$C$3002,"&lt;&gt;U",$S$3:$S$3002,Calc!$F$2))</f>
        <v/>
      </c>
      <c r="Q2058" s="35" t="str">
        <f aca="false">IF(OR($A2058="",$C2058="U",$S2058&lt;&gt;Calc!$F$2),"",IF(COUNTIFS($E$3:$E2058,$E2058,$C$3:$C2058,"&lt;&gt;U",$S$3:$S2058,Calc!$F$2)=1,1,0))</f>
        <v/>
      </c>
      <c r="R2058" s="35" t="str">
        <f aca="false">IF($Q2058=1,$O2058-ROW()/100000,"")</f>
        <v/>
      </c>
      <c r="S2058" s="37" t="str">
        <f aca="false">IF($A2058="","",INT($A2058))</f>
        <v/>
      </c>
      <c r="T2058" s="35" t="str">
        <f aca="false">IF($A2058="","",IF(COUNTIFS($S$3:$S2058,$S2058)=1,1,0))</f>
        <v/>
      </c>
      <c r="U2058" s="37" t="str">
        <f aca="false">IF($T2058=1,$S2058,"")</f>
        <v/>
      </c>
    </row>
    <row r="2059" customFormat="false" ht="15" hidden="false" customHeight="false" outlineLevel="0" collapsed="false">
      <c r="M2059" s="35" t="str">
        <f aca="false">IF($A2059="","",HOUR($A2059))</f>
        <v/>
      </c>
      <c r="N2059" s="36" t="str">
        <f aca="false">IF($A2059="","",$I2059*$K2059)</f>
        <v/>
      </c>
      <c r="O2059" s="35" t="str">
        <f aca="false">IF(OR($A2059="",$C2059="U",$S2059&lt;&gt;Calc!$F$2),"",SUMIFS($I$3:$I$3002,$E$3:$E$3002,$E2059,$C$3:$C$3002,"&lt;&gt;U",$S$3:$S$3002,Calc!$F$2))</f>
        <v/>
      </c>
      <c r="P2059" s="35" t="str">
        <f aca="false">IF(OR($A2059="",$C2059="U",$S2059&lt;&gt;Calc!$F$2),"",SUMIFS($N$3:$N$3002,$E$3:$E$3002,$E2059,$C$3:$C$3002,"&lt;&gt;U",$S$3:$S$3002,Calc!$F$2))</f>
        <v/>
      </c>
      <c r="Q2059" s="35" t="str">
        <f aca="false">IF(OR($A2059="",$C2059="U",$S2059&lt;&gt;Calc!$F$2),"",IF(COUNTIFS($E$3:$E2059,$E2059,$C$3:$C2059,"&lt;&gt;U",$S$3:$S2059,Calc!$F$2)=1,1,0))</f>
        <v/>
      </c>
      <c r="R2059" s="35" t="str">
        <f aca="false">IF($Q2059=1,$O2059-ROW()/100000,"")</f>
        <v/>
      </c>
      <c r="S2059" s="37" t="str">
        <f aca="false">IF($A2059="","",INT($A2059))</f>
        <v/>
      </c>
      <c r="T2059" s="35" t="str">
        <f aca="false">IF($A2059="","",IF(COUNTIFS($S$3:$S2059,$S2059)=1,1,0))</f>
        <v/>
      </c>
      <c r="U2059" s="37" t="str">
        <f aca="false">IF($T2059=1,$S2059,"")</f>
        <v/>
      </c>
    </row>
    <row r="2060" customFormat="false" ht="15" hidden="false" customHeight="false" outlineLevel="0" collapsed="false">
      <c r="M2060" s="35" t="str">
        <f aca="false">IF($A2060="","",HOUR($A2060))</f>
        <v/>
      </c>
      <c r="N2060" s="36" t="str">
        <f aca="false">IF($A2060="","",$I2060*$K2060)</f>
        <v/>
      </c>
      <c r="O2060" s="35" t="str">
        <f aca="false">IF(OR($A2060="",$C2060="U",$S2060&lt;&gt;Calc!$F$2),"",SUMIFS($I$3:$I$3002,$E$3:$E$3002,$E2060,$C$3:$C$3002,"&lt;&gt;U",$S$3:$S$3002,Calc!$F$2))</f>
        <v/>
      </c>
      <c r="P2060" s="35" t="str">
        <f aca="false">IF(OR($A2060="",$C2060="U",$S2060&lt;&gt;Calc!$F$2),"",SUMIFS($N$3:$N$3002,$E$3:$E$3002,$E2060,$C$3:$C$3002,"&lt;&gt;U",$S$3:$S$3002,Calc!$F$2))</f>
        <v/>
      </c>
      <c r="Q2060" s="35" t="str">
        <f aca="false">IF(OR($A2060="",$C2060="U",$S2060&lt;&gt;Calc!$F$2),"",IF(COUNTIFS($E$3:$E2060,$E2060,$C$3:$C2060,"&lt;&gt;U",$S$3:$S2060,Calc!$F$2)=1,1,0))</f>
        <v/>
      </c>
      <c r="R2060" s="35" t="str">
        <f aca="false">IF($Q2060=1,$O2060-ROW()/100000,"")</f>
        <v/>
      </c>
      <c r="S2060" s="37" t="str">
        <f aca="false">IF($A2060="","",INT($A2060))</f>
        <v/>
      </c>
      <c r="T2060" s="35" t="str">
        <f aca="false">IF($A2060="","",IF(COUNTIFS($S$3:$S2060,$S2060)=1,1,0))</f>
        <v/>
      </c>
      <c r="U2060" s="37" t="str">
        <f aca="false">IF($T2060=1,$S2060,"")</f>
        <v/>
      </c>
    </row>
    <row r="2061" customFormat="false" ht="15" hidden="false" customHeight="false" outlineLevel="0" collapsed="false">
      <c r="M2061" s="35" t="str">
        <f aca="false">IF($A2061="","",HOUR($A2061))</f>
        <v/>
      </c>
      <c r="N2061" s="36" t="str">
        <f aca="false">IF($A2061="","",$I2061*$K2061)</f>
        <v/>
      </c>
      <c r="O2061" s="35" t="str">
        <f aca="false">IF(OR($A2061="",$C2061="U",$S2061&lt;&gt;Calc!$F$2),"",SUMIFS($I$3:$I$3002,$E$3:$E$3002,$E2061,$C$3:$C$3002,"&lt;&gt;U",$S$3:$S$3002,Calc!$F$2))</f>
        <v/>
      </c>
      <c r="P2061" s="35" t="str">
        <f aca="false">IF(OR($A2061="",$C2061="U",$S2061&lt;&gt;Calc!$F$2),"",SUMIFS($N$3:$N$3002,$E$3:$E$3002,$E2061,$C$3:$C$3002,"&lt;&gt;U",$S$3:$S$3002,Calc!$F$2))</f>
        <v/>
      </c>
      <c r="Q2061" s="35" t="str">
        <f aca="false">IF(OR($A2061="",$C2061="U",$S2061&lt;&gt;Calc!$F$2),"",IF(COUNTIFS($E$3:$E2061,$E2061,$C$3:$C2061,"&lt;&gt;U",$S$3:$S2061,Calc!$F$2)=1,1,0))</f>
        <v/>
      </c>
      <c r="R2061" s="35" t="str">
        <f aca="false">IF($Q2061=1,$O2061-ROW()/100000,"")</f>
        <v/>
      </c>
      <c r="S2061" s="37" t="str">
        <f aca="false">IF($A2061="","",INT($A2061))</f>
        <v/>
      </c>
      <c r="T2061" s="35" t="str">
        <f aca="false">IF($A2061="","",IF(COUNTIFS($S$3:$S2061,$S2061)=1,1,0))</f>
        <v/>
      </c>
      <c r="U2061" s="37" t="str">
        <f aca="false">IF($T2061=1,$S2061,"")</f>
        <v/>
      </c>
    </row>
    <row r="2062" customFormat="false" ht="15" hidden="false" customHeight="false" outlineLevel="0" collapsed="false">
      <c r="M2062" s="35" t="str">
        <f aca="false">IF($A2062="","",HOUR($A2062))</f>
        <v/>
      </c>
      <c r="N2062" s="36" t="str">
        <f aca="false">IF($A2062="","",$I2062*$K2062)</f>
        <v/>
      </c>
      <c r="O2062" s="35" t="str">
        <f aca="false">IF(OR($A2062="",$C2062="U",$S2062&lt;&gt;Calc!$F$2),"",SUMIFS($I$3:$I$3002,$E$3:$E$3002,$E2062,$C$3:$C$3002,"&lt;&gt;U",$S$3:$S$3002,Calc!$F$2))</f>
        <v/>
      </c>
      <c r="P2062" s="35" t="str">
        <f aca="false">IF(OR($A2062="",$C2062="U",$S2062&lt;&gt;Calc!$F$2),"",SUMIFS($N$3:$N$3002,$E$3:$E$3002,$E2062,$C$3:$C$3002,"&lt;&gt;U",$S$3:$S$3002,Calc!$F$2))</f>
        <v/>
      </c>
      <c r="Q2062" s="35" t="str">
        <f aca="false">IF(OR($A2062="",$C2062="U",$S2062&lt;&gt;Calc!$F$2),"",IF(COUNTIFS($E$3:$E2062,$E2062,$C$3:$C2062,"&lt;&gt;U",$S$3:$S2062,Calc!$F$2)=1,1,0))</f>
        <v/>
      </c>
      <c r="R2062" s="35" t="str">
        <f aca="false">IF($Q2062=1,$O2062-ROW()/100000,"")</f>
        <v/>
      </c>
      <c r="S2062" s="37" t="str">
        <f aca="false">IF($A2062="","",INT($A2062))</f>
        <v/>
      </c>
      <c r="T2062" s="35" t="str">
        <f aca="false">IF($A2062="","",IF(COUNTIFS($S$3:$S2062,$S2062)=1,1,0))</f>
        <v/>
      </c>
      <c r="U2062" s="37" t="str">
        <f aca="false">IF($T2062=1,$S2062,"")</f>
        <v/>
      </c>
    </row>
    <row r="2063" customFormat="false" ht="15" hidden="false" customHeight="false" outlineLevel="0" collapsed="false">
      <c r="M2063" s="35" t="str">
        <f aca="false">IF($A2063="","",HOUR($A2063))</f>
        <v/>
      </c>
      <c r="N2063" s="36" t="str">
        <f aca="false">IF($A2063="","",$I2063*$K2063)</f>
        <v/>
      </c>
      <c r="O2063" s="35" t="str">
        <f aca="false">IF(OR($A2063="",$C2063="U",$S2063&lt;&gt;Calc!$F$2),"",SUMIFS($I$3:$I$3002,$E$3:$E$3002,$E2063,$C$3:$C$3002,"&lt;&gt;U",$S$3:$S$3002,Calc!$F$2))</f>
        <v/>
      </c>
      <c r="P2063" s="35" t="str">
        <f aca="false">IF(OR($A2063="",$C2063="U",$S2063&lt;&gt;Calc!$F$2),"",SUMIFS($N$3:$N$3002,$E$3:$E$3002,$E2063,$C$3:$C$3002,"&lt;&gt;U",$S$3:$S$3002,Calc!$F$2))</f>
        <v/>
      </c>
      <c r="Q2063" s="35" t="str">
        <f aca="false">IF(OR($A2063="",$C2063="U",$S2063&lt;&gt;Calc!$F$2),"",IF(COUNTIFS($E$3:$E2063,$E2063,$C$3:$C2063,"&lt;&gt;U",$S$3:$S2063,Calc!$F$2)=1,1,0))</f>
        <v/>
      </c>
      <c r="R2063" s="35" t="str">
        <f aca="false">IF($Q2063=1,$O2063-ROW()/100000,"")</f>
        <v/>
      </c>
      <c r="S2063" s="37" t="str">
        <f aca="false">IF($A2063="","",INT($A2063))</f>
        <v/>
      </c>
      <c r="T2063" s="35" t="str">
        <f aca="false">IF($A2063="","",IF(COUNTIFS($S$3:$S2063,$S2063)=1,1,0))</f>
        <v/>
      </c>
      <c r="U2063" s="37" t="str">
        <f aca="false">IF($T2063=1,$S2063,"")</f>
        <v/>
      </c>
    </row>
    <row r="2064" customFormat="false" ht="15" hidden="false" customHeight="false" outlineLevel="0" collapsed="false">
      <c r="M2064" s="35" t="str">
        <f aca="false">IF($A2064="","",HOUR($A2064))</f>
        <v/>
      </c>
      <c r="N2064" s="36" t="str">
        <f aca="false">IF($A2064="","",$I2064*$K2064)</f>
        <v/>
      </c>
      <c r="O2064" s="35" t="str">
        <f aca="false">IF(OR($A2064="",$C2064="U",$S2064&lt;&gt;Calc!$F$2),"",SUMIFS($I$3:$I$3002,$E$3:$E$3002,$E2064,$C$3:$C$3002,"&lt;&gt;U",$S$3:$S$3002,Calc!$F$2))</f>
        <v/>
      </c>
      <c r="P2064" s="35" t="str">
        <f aca="false">IF(OR($A2064="",$C2064="U",$S2064&lt;&gt;Calc!$F$2),"",SUMIFS($N$3:$N$3002,$E$3:$E$3002,$E2064,$C$3:$C$3002,"&lt;&gt;U",$S$3:$S$3002,Calc!$F$2))</f>
        <v/>
      </c>
      <c r="Q2064" s="35" t="str">
        <f aca="false">IF(OR($A2064="",$C2064="U",$S2064&lt;&gt;Calc!$F$2),"",IF(COUNTIFS($E$3:$E2064,$E2064,$C$3:$C2064,"&lt;&gt;U",$S$3:$S2064,Calc!$F$2)=1,1,0))</f>
        <v/>
      </c>
      <c r="R2064" s="35" t="str">
        <f aca="false">IF($Q2064=1,$O2064-ROW()/100000,"")</f>
        <v/>
      </c>
      <c r="S2064" s="37" t="str">
        <f aca="false">IF($A2064="","",INT($A2064))</f>
        <v/>
      </c>
      <c r="T2064" s="35" t="str">
        <f aca="false">IF($A2064="","",IF(COUNTIFS($S$3:$S2064,$S2064)=1,1,0))</f>
        <v/>
      </c>
      <c r="U2064" s="37" t="str">
        <f aca="false">IF($T2064=1,$S2064,"")</f>
        <v/>
      </c>
    </row>
    <row r="2065" customFormat="false" ht="15" hidden="false" customHeight="false" outlineLevel="0" collapsed="false">
      <c r="M2065" s="35" t="str">
        <f aca="false">IF($A2065="","",HOUR($A2065))</f>
        <v/>
      </c>
      <c r="N2065" s="36" t="str">
        <f aca="false">IF($A2065="","",$I2065*$K2065)</f>
        <v/>
      </c>
      <c r="O2065" s="35" t="str">
        <f aca="false">IF(OR($A2065="",$C2065="U",$S2065&lt;&gt;Calc!$F$2),"",SUMIFS($I$3:$I$3002,$E$3:$E$3002,$E2065,$C$3:$C$3002,"&lt;&gt;U",$S$3:$S$3002,Calc!$F$2))</f>
        <v/>
      </c>
      <c r="P2065" s="35" t="str">
        <f aca="false">IF(OR($A2065="",$C2065="U",$S2065&lt;&gt;Calc!$F$2),"",SUMIFS($N$3:$N$3002,$E$3:$E$3002,$E2065,$C$3:$C$3002,"&lt;&gt;U",$S$3:$S$3002,Calc!$F$2))</f>
        <v/>
      </c>
      <c r="Q2065" s="35" t="str">
        <f aca="false">IF(OR($A2065="",$C2065="U",$S2065&lt;&gt;Calc!$F$2),"",IF(COUNTIFS($E$3:$E2065,$E2065,$C$3:$C2065,"&lt;&gt;U",$S$3:$S2065,Calc!$F$2)=1,1,0))</f>
        <v/>
      </c>
      <c r="R2065" s="35" t="str">
        <f aca="false">IF($Q2065=1,$O2065-ROW()/100000,"")</f>
        <v/>
      </c>
      <c r="S2065" s="37" t="str">
        <f aca="false">IF($A2065="","",INT($A2065))</f>
        <v/>
      </c>
      <c r="T2065" s="35" t="str">
        <f aca="false">IF($A2065="","",IF(COUNTIFS($S$3:$S2065,$S2065)=1,1,0))</f>
        <v/>
      </c>
      <c r="U2065" s="37" t="str">
        <f aca="false">IF($T2065=1,$S2065,"")</f>
        <v/>
      </c>
    </row>
    <row r="2066" customFormat="false" ht="15" hidden="false" customHeight="false" outlineLevel="0" collapsed="false">
      <c r="M2066" s="35" t="str">
        <f aca="false">IF($A2066="","",HOUR($A2066))</f>
        <v/>
      </c>
      <c r="N2066" s="36" t="str">
        <f aca="false">IF($A2066="","",$I2066*$K2066)</f>
        <v/>
      </c>
      <c r="O2066" s="35" t="str">
        <f aca="false">IF(OR($A2066="",$C2066="U",$S2066&lt;&gt;Calc!$F$2),"",SUMIFS($I$3:$I$3002,$E$3:$E$3002,$E2066,$C$3:$C$3002,"&lt;&gt;U",$S$3:$S$3002,Calc!$F$2))</f>
        <v/>
      </c>
      <c r="P2066" s="35" t="str">
        <f aca="false">IF(OR($A2066="",$C2066="U",$S2066&lt;&gt;Calc!$F$2),"",SUMIFS($N$3:$N$3002,$E$3:$E$3002,$E2066,$C$3:$C$3002,"&lt;&gt;U",$S$3:$S$3002,Calc!$F$2))</f>
        <v/>
      </c>
      <c r="Q2066" s="35" t="str">
        <f aca="false">IF(OR($A2066="",$C2066="U",$S2066&lt;&gt;Calc!$F$2),"",IF(COUNTIFS($E$3:$E2066,$E2066,$C$3:$C2066,"&lt;&gt;U",$S$3:$S2066,Calc!$F$2)=1,1,0))</f>
        <v/>
      </c>
      <c r="R2066" s="35" t="str">
        <f aca="false">IF($Q2066=1,$O2066-ROW()/100000,"")</f>
        <v/>
      </c>
      <c r="S2066" s="37" t="str">
        <f aca="false">IF($A2066="","",INT($A2066))</f>
        <v/>
      </c>
      <c r="T2066" s="35" t="str">
        <f aca="false">IF($A2066="","",IF(COUNTIFS($S$3:$S2066,$S2066)=1,1,0))</f>
        <v/>
      </c>
      <c r="U2066" s="37" t="str">
        <f aca="false">IF($T2066=1,$S2066,"")</f>
        <v/>
      </c>
    </row>
    <row r="2067" customFormat="false" ht="15" hidden="false" customHeight="false" outlineLevel="0" collapsed="false">
      <c r="M2067" s="35" t="str">
        <f aca="false">IF($A2067="","",HOUR($A2067))</f>
        <v/>
      </c>
      <c r="N2067" s="36" t="str">
        <f aca="false">IF($A2067="","",$I2067*$K2067)</f>
        <v/>
      </c>
      <c r="O2067" s="35" t="str">
        <f aca="false">IF(OR($A2067="",$C2067="U",$S2067&lt;&gt;Calc!$F$2),"",SUMIFS($I$3:$I$3002,$E$3:$E$3002,$E2067,$C$3:$C$3002,"&lt;&gt;U",$S$3:$S$3002,Calc!$F$2))</f>
        <v/>
      </c>
      <c r="P2067" s="35" t="str">
        <f aca="false">IF(OR($A2067="",$C2067="U",$S2067&lt;&gt;Calc!$F$2),"",SUMIFS($N$3:$N$3002,$E$3:$E$3002,$E2067,$C$3:$C$3002,"&lt;&gt;U",$S$3:$S$3002,Calc!$F$2))</f>
        <v/>
      </c>
      <c r="Q2067" s="35" t="str">
        <f aca="false">IF(OR($A2067="",$C2067="U",$S2067&lt;&gt;Calc!$F$2),"",IF(COUNTIFS($E$3:$E2067,$E2067,$C$3:$C2067,"&lt;&gt;U",$S$3:$S2067,Calc!$F$2)=1,1,0))</f>
        <v/>
      </c>
      <c r="R2067" s="35" t="str">
        <f aca="false">IF($Q2067=1,$O2067-ROW()/100000,"")</f>
        <v/>
      </c>
      <c r="S2067" s="37" t="str">
        <f aca="false">IF($A2067="","",INT($A2067))</f>
        <v/>
      </c>
      <c r="T2067" s="35" t="str">
        <f aca="false">IF($A2067="","",IF(COUNTIFS($S$3:$S2067,$S2067)=1,1,0))</f>
        <v/>
      </c>
      <c r="U2067" s="37" t="str">
        <f aca="false">IF($T2067=1,$S2067,"")</f>
        <v/>
      </c>
    </row>
    <row r="2068" customFormat="false" ht="15" hidden="false" customHeight="false" outlineLevel="0" collapsed="false">
      <c r="M2068" s="35" t="str">
        <f aca="false">IF($A2068="","",HOUR($A2068))</f>
        <v/>
      </c>
      <c r="N2068" s="36" t="str">
        <f aca="false">IF($A2068="","",$I2068*$K2068)</f>
        <v/>
      </c>
      <c r="O2068" s="35" t="str">
        <f aca="false">IF(OR($A2068="",$C2068="U",$S2068&lt;&gt;Calc!$F$2),"",SUMIFS($I$3:$I$3002,$E$3:$E$3002,$E2068,$C$3:$C$3002,"&lt;&gt;U",$S$3:$S$3002,Calc!$F$2))</f>
        <v/>
      </c>
      <c r="P2068" s="35" t="str">
        <f aca="false">IF(OR($A2068="",$C2068="U",$S2068&lt;&gt;Calc!$F$2),"",SUMIFS($N$3:$N$3002,$E$3:$E$3002,$E2068,$C$3:$C$3002,"&lt;&gt;U",$S$3:$S$3002,Calc!$F$2))</f>
        <v/>
      </c>
      <c r="Q2068" s="35" t="str">
        <f aca="false">IF(OR($A2068="",$C2068="U",$S2068&lt;&gt;Calc!$F$2),"",IF(COUNTIFS($E$3:$E2068,$E2068,$C$3:$C2068,"&lt;&gt;U",$S$3:$S2068,Calc!$F$2)=1,1,0))</f>
        <v/>
      </c>
      <c r="R2068" s="35" t="str">
        <f aca="false">IF($Q2068=1,$O2068-ROW()/100000,"")</f>
        <v/>
      </c>
      <c r="S2068" s="37" t="str">
        <f aca="false">IF($A2068="","",INT($A2068))</f>
        <v/>
      </c>
      <c r="T2068" s="35" t="str">
        <f aca="false">IF($A2068="","",IF(COUNTIFS($S$3:$S2068,$S2068)=1,1,0))</f>
        <v/>
      </c>
      <c r="U2068" s="37" t="str">
        <f aca="false">IF($T2068=1,$S2068,"")</f>
        <v/>
      </c>
    </row>
    <row r="2069" customFormat="false" ht="15" hidden="false" customHeight="false" outlineLevel="0" collapsed="false">
      <c r="M2069" s="35" t="str">
        <f aca="false">IF($A2069="","",HOUR($A2069))</f>
        <v/>
      </c>
      <c r="N2069" s="36" t="str">
        <f aca="false">IF($A2069="","",$I2069*$K2069)</f>
        <v/>
      </c>
      <c r="O2069" s="35" t="str">
        <f aca="false">IF(OR($A2069="",$C2069="U",$S2069&lt;&gt;Calc!$F$2),"",SUMIFS($I$3:$I$3002,$E$3:$E$3002,$E2069,$C$3:$C$3002,"&lt;&gt;U",$S$3:$S$3002,Calc!$F$2))</f>
        <v/>
      </c>
      <c r="P2069" s="35" t="str">
        <f aca="false">IF(OR($A2069="",$C2069="U",$S2069&lt;&gt;Calc!$F$2),"",SUMIFS($N$3:$N$3002,$E$3:$E$3002,$E2069,$C$3:$C$3002,"&lt;&gt;U",$S$3:$S$3002,Calc!$F$2))</f>
        <v/>
      </c>
      <c r="Q2069" s="35" t="str">
        <f aca="false">IF(OR($A2069="",$C2069="U",$S2069&lt;&gt;Calc!$F$2),"",IF(COUNTIFS($E$3:$E2069,$E2069,$C$3:$C2069,"&lt;&gt;U",$S$3:$S2069,Calc!$F$2)=1,1,0))</f>
        <v/>
      </c>
      <c r="R2069" s="35" t="str">
        <f aca="false">IF($Q2069=1,$O2069-ROW()/100000,"")</f>
        <v/>
      </c>
      <c r="S2069" s="37" t="str">
        <f aca="false">IF($A2069="","",INT($A2069))</f>
        <v/>
      </c>
      <c r="T2069" s="35" t="str">
        <f aca="false">IF($A2069="","",IF(COUNTIFS($S$3:$S2069,$S2069)=1,1,0))</f>
        <v/>
      </c>
      <c r="U2069" s="37" t="str">
        <f aca="false">IF($T2069=1,$S2069,"")</f>
        <v/>
      </c>
    </row>
    <row r="2070" customFormat="false" ht="15" hidden="false" customHeight="false" outlineLevel="0" collapsed="false">
      <c r="M2070" s="35" t="str">
        <f aca="false">IF($A2070="","",HOUR($A2070))</f>
        <v/>
      </c>
      <c r="N2070" s="36" t="str">
        <f aca="false">IF($A2070="","",$I2070*$K2070)</f>
        <v/>
      </c>
      <c r="O2070" s="35" t="str">
        <f aca="false">IF(OR($A2070="",$C2070="U",$S2070&lt;&gt;Calc!$F$2),"",SUMIFS($I$3:$I$3002,$E$3:$E$3002,$E2070,$C$3:$C$3002,"&lt;&gt;U",$S$3:$S$3002,Calc!$F$2))</f>
        <v/>
      </c>
      <c r="P2070" s="35" t="str">
        <f aca="false">IF(OR($A2070="",$C2070="U",$S2070&lt;&gt;Calc!$F$2),"",SUMIFS($N$3:$N$3002,$E$3:$E$3002,$E2070,$C$3:$C$3002,"&lt;&gt;U",$S$3:$S$3002,Calc!$F$2))</f>
        <v/>
      </c>
      <c r="Q2070" s="35" t="str">
        <f aca="false">IF(OR($A2070="",$C2070="U",$S2070&lt;&gt;Calc!$F$2),"",IF(COUNTIFS($E$3:$E2070,$E2070,$C$3:$C2070,"&lt;&gt;U",$S$3:$S2070,Calc!$F$2)=1,1,0))</f>
        <v/>
      </c>
      <c r="R2070" s="35" t="str">
        <f aca="false">IF($Q2070=1,$O2070-ROW()/100000,"")</f>
        <v/>
      </c>
      <c r="S2070" s="37" t="str">
        <f aca="false">IF($A2070="","",INT($A2070))</f>
        <v/>
      </c>
      <c r="T2070" s="35" t="str">
        <f aca="false">IF($A2070="","",IF(COUNTIFS($S$3:$S2070,$S2070)=1,1,0))</f>
        <v/>
      </c>
      <c r="U2070" s="37" t="str">
        <f aca="false">IF($T2070=1,$S2070,"")</f>
        <v/>
      </c>
    </row>
    <row r="2071" customFormat="false" ht="15" hidden="false" customHeight="false" outlineLevel="0" collapsed="false">
      <c r="M2071" s="35" t="str">
        <f aca="false">IF($A2071="","",HOUR($A2071))</f>
        <v/>
      </c>
      <c r="N2071" s="36" t="str">
        <f aca="false">IF($A2071="","",$I2071*$K2071)</f>
        <v/>
      </c>
      <c r="O2071" s="35" t="str">
        <f aca="false">IF(OR($A2071="",$C2071="U",$S2071&lt;&gt;Calc!$F$2),"",SUMIFS($I$3:$I$3002,$E$3:$E$3002,$E2071,$C$3:$C$3002,"&lt;&gt;U",$S$3:$S$3002,Calc!$F$2))</f>
        <v/>
      </c>
      <c r="P2071" s="35" t="str">
        <f aca="false">IF(OR($A2071="",$C2071="U",$S2071&lt;&gt;Calc!$F$2),"",SUMIFS($N$3:$N$3002,$E$3:$E$3002,$E2071,$C$3:$C$3002,"&lt;&gt;U",$S$3:$S$3002,Calc!$F$2))</f>
        <v/>
      </c>
      <c r="Q2071" s="35" t="str">
        <f aca="false">IF(OR($A2071="",$C2071="U",$S2071&lt;&gt;Calc!$F$2),"",IF(COUNTIFS($E$3:$E2071,$E2071,$C$3:$C2071,"&lt;&gt;U",$S$3:$S2071,Calc!$F$2)=1,1,0))</f>
        <v/>
      </c>
      <c r="R2071" s="35" t="str">
        <f aca="false">IF($Q2071=1,$O2071-ROW()/100000,"")</f>
        <v/>
      </c>
      <c r="S2071" s="37" t="str">
        <f aca="false">IF($A2071="","",INT($A2071))</f>
        <v/>
      </c>
      <c r="T2071" s="35" t="str">
        <f aca="false">IF($A2071="","",IF(COUNTIFS($S$3:$S2071,$S2071)=1,1,0))</f>
        <v/>
      </c>
      <c r="U2071" s="37" t="str">
        <f aca="false">IF($T2071=1,$S2071,"")</f>
        <v/>
      </c>
    </row>
    <row r="2072" customFormat="false" ht="15" hidden="false" customHeight="false" outlineLevel="0" collapsed="false">
      <c r="M2072" s="35" t="str">
        <f aca="false">IF($A2072="","",HOUR($A2072))</f>
        <v/>
      </c>
      <c r="N2072" s="36" t="str">
        <f aca="false">IF($A2072="","",$I2072*$K2072)</f>
        <v/>
      </c>
      <c r="O2072" s="35" t="str">
        <f aca="false">IF(OR($A2072="",$C2072="U",$S2072&lt;&gt;Calc!$F$2),"",SUMIFS($I$3:$I$3002,$E$3:$E$3002,$E2072,$C$3:$C$3002,"&lt;&gt;U",$S$3:$S$3002,Calc!$F$2))</f>
        <v/>
      </c>
      <c r="P2072" s="35" t="str">
        <f aca="false">IF(OR($A2072="",$C2072="U",$S2072&lt;&gt;Calc!$F$2),"",SUMIFS($N$3:$N$3002,$E$3:$E$3002,$E2072,$C$3:$C$3002,"&lt;&gt;U",$S$3:$S$3002,Calc!$F$2))</f>
        <v/>
      </c>
      <c r="Q2072" s="35" t="str">
        <f aca="false">IF(OR($A2072="",$C2072="U",$S2072&lt;&gt;Calc!$F$2),"",IF(COUNTIFS($E$3:$E2072,$E2072,$C$3:$C2072,"&lt;&gt;U",$S$3:$S2072,Calc!$F$2)=1,1,0))</f>
        <v/>
      </c>
      <c r="R2072" s="35" t="str">
        <f aca="false">IF($Q2072=1,$O2072-ROW()/100000,"")</f>
        <v/>
      </c>
      <c r="S2072" s="37" t="str">
        <f aca="false">IF($A2072="","",INT($A2072))</f>
        <v/>
      </c>
      <c r="T2072" s="35" t="str">
        <f aca="false">IF($A2072="","",IF(COUNTIFS($S$3:$S2072,$S2072)=1,1,0))</f>
        <v/>
      </c>
      <c r="U2072" s="37" t="str">
        <f aca="false">IF($T2072=1,$S2072,"")</f>
        <v/>
      </c>
    </row>
    <row r="2073" customFormat="false" ht="15" hidden="false" customHeight="false" outlineLevel="0" collapsed="false">
      <c r="M2073" s="35" t="str">
        <f aca="false">IF($A2073="","",HOUR($A2073))</f>
        <v/>
      </c>
      <c r="N2073" s="36" t="str">
        <f aca="false">IF($A2073="","",$I2073*$K2073)</f>
        <v/>
      </c>
      <c r="O2073" s="35" t="str">
        <f aca="false">IF(OR($A2073="",$C2073="U",$S2073&lt;&gt;Calc!$F$2),"",SUMIFS($I$3:$I$3002,$E$3:$E$3002,$E2073,$C$3:$C$3002,"&lt;&gt;U",$S$3:$S$3002,Calc!$F$2))</f>
        <v/>
      </c>
      <c r="P2073" s="35" t="str">
        <f aca="false">IF(OR($A2073="",$C2073="U",$S2073&lt;&gt;Calc!$F$2),"",SUMIFS($N$3:$N$3002,$E$3:$E$3002,$E2073,$C$3:$C$3002,"&lt;&gt;U",$S$3:$S$3002,Calc!$F$2))</f>
        <v/>
      </c>
      <c r="Q2073" s="35" t="str">
        <f aca="false">IF(OR($A2073="",$C2073="U",$S2073&lt;&gt;Calc!$F$2),"",IF(COUNTIFS($E$3:$E2073,$E2073,$C$3:$C2073,"&lt;&gt;U",$S$3:$S2073,Calc!$F$2)=1,1,0))</f>
        <v/>
      </c>
      <c r="R2073" s="35" t="str">
        <f aca="false">IF($Q2073=1,$O2073-ROW()/100000,"")</f>
        <v/>
      </c>
      <c r="S2073" s="37" t="str">
        <f aca="false">IF($A2073="","",INT($A2073))</f>
        <v/>
      </c>
      <c r="T2073" s="35" t="str">
        <f aca="false">IF($A2073="","",IF(COUNTIFS($S$3:$S2073,$S2073)=1,1,0))</f>
        <v/>
      </c>
      <c r="U2073" s="37" t="str">
        <f aca="false">IF($T2073=1,$S2073,"")</f>
        <v/>
      </c>
    </row>
    <row r="2074" customFormat="false" ht="15" hidden="false" customHeight="false" outlineLevel="0" collapsed="false">
      <c r="M2074" s="35" t="str">
        <f aca="false">IF($A2074="","",HOUR($A2074))</f>
        <v/>
      </c>
      <c r="N2074" s="36" t="str">
        <f aca="false">IF($A2074="","",$I2074*$K2074)</f>
        <v/>
      </c>
      <c r="O2074" s="35" t="str">
        <f aca="false">IF(OR($A2074="",$C2074="U",$S2074&lt;&gt;Calc!$F$2),"",SUMIFS($I$3:$I$3002,$E$3:$E$3002,$E2074,$C$3:$C$3002,"&lt;&gt;U",$S$3:$S$3002,Calc!$F$2))</f>
        <v/>
      </c>
      <c r="P2074" s="35" t="str">
        <f aca="false">IF(OR($A2074="",$C2074="U",$S2074&lt;&gt;Calc!$F$2),"",SUMIFS($N$3:$N$3002,$E$3:$E$3002,$E2074,$C$3:$C$3002,"&lt;&gt;U",$S$3:$S$3002,Calc!$F$2))</f>
        <v/>
      </c>
      <c r="Q2074" s="35" t="str">
        <f aca="false">IF(OR($A2074="",$C2074="U",$S2074&lt;&gt;Calc!$F$2),"",IF(COUNTIFS($E$3:$E2074,$E2074,$C$3:$C2074,"&lt;&gt;U",$S$3:$S2074,Calc!$F$2)=1,1,0))</f>
        <v/>
      </c>
      <c r="R2074" s="35" t="str">
        <f aca="false">IF($Q2074=1,$O2074-ROW()/100000,"")</f>
        <v/>
      </c>
      <c r="S2074" s="37" t="str">
        <f aca="false">IF($A2074="","",INT($A2074))</f>
        <v/>
      </c>
      <c r="T2074" s="35" t="str">
        <f aca="false">IF($A2074="","",IF(COUNTIFS($S$3:$S2074,$S2074)=1,1,0))</f>
        <v/>
      </c>
      <c r="U2074" s="37" t="str">
        <f aca="false">IF($T2074=1,$S2074,"")</f>
        <v/>
      </c>
    </row>
    <row r="2075" customFormat="false" ht="15" hidden="false" customHeight="false" outlineLevel="0" collapsed="false">
      <c r="M2075" s="35" t="str">
        <f aca="false">IF($A2075="","",HOUR($A2075))</f>
        <v/>
      </c>
      <c r="N2075" s="36" t="str">
        <f aca="false">IF($A2075="","",$I2075*$K2075)</f>
        <v/>
      </c>
      <c r="O2075" s="35" t="str">
        <f aca="false">IF(OR($A2075="",$C2075="U",$S2075&lt;&gt;Calc!$F$2),"",SUMIFS($I$3:$I$3002,$E$3:$E$3002,$E2075,$C$3:$C$3002,"&lt;&gt;U",$S$3:$S$3002,Calc!$F$2))</f>
        <v/>
      </c>
      <c r="P2075" s="35" t="str">
        <f aca="false">IF(OR($A2075="",$C2075="U",$S2075&lt;&gt;Calc!$F$2),"",SUMIFS($N$3:$N$3002,$E$3:$E$3002,$E2075,$C$3:$C$3002,"&lt;&gt;U",$S$3:$S$3002,Calc!$F$2))</f>
        <v/>
      </c>
      <c r="Q2075" s="35" t="str">
        <f aca="false">IF(OR($A2075="",$C2075="U",$S2075&lt;&gt;Calc!$F$2),"",IF(COUNTIFS($E$3:$E2075,$E2075,$C$3:$C2075,"&lt;&gt;U",$S$3:$S2075,Calc!$F$2)=1,1,0))</f>
        <v/>
      </c>
      <c r="R2075" s="35" t="str">
        <f aca="false">IF($Q2075=1,$O2075-ROW()/100000,"")</f>
        <v/>
      </c>
      <c r="S2075" s="37" t="str">
        <f aca="false">IF($A2075="","",INT($A2075))</f>
        <v/>
      </c>
      <c r="T2075" s="35" t="str">
        <f aca="false">IF($A2075="","",IF(COUNTIFS($S$3:$S2075,$S2075)=1,1,0))</f>
        <v/>
      </c>
      <c r="U2075" s="37" t="str">
        <f aca="false">IF($T2075=1,$S2075,"")</f>
        <v/>
      </c>
    </row>
    <row r="2076" customFormat="false" ht="15" hidden="false" customHeight="false" outlineLevel="0" collapsed="false">
      <c r="M2076" s="35" t="str">
        <f aca="false">IF($A2076="","",HOUR($A2076))</f>
        <v/>
      </c>
      <c r="N2076" s="36" t="str">
        <f aca="false">IF($A2076="","",$I2076*$K2076)</f>
        <v/>
      </c>
      <c r="O2076" s="35" t="str">
        <f aca="false">IF(OR($A2076="",$C2076="U",$S2076&lt;&gt;Calc!$F$2),"",SUMIFS($I$3:$I$3002,$E$3:$E$3002,$E2076,$C$3:$C$3002,"&lt;&gt;U",$S$3:$S$3002,Calc!$F$2))</f>
        <v/>
      </c>
      <c r="P2076" s="35" t="str">
        <f aca="false">IF(OR($A2076="",$C2076="U",$S2076&lt;&gt;Calc!$F$2),"",SUMIFS($N$3:$N$3002,$E$3:$E$3002,$E2076,$C$3:$C$3002,"&lt;&gt;U",$S$3:$S$3002,Calc!$F$2))</f>
        <v/>
      </c>
      <c r="Q2076" s="35" t="str">
        <f aca="false">IF(OR($A2076="",$C2076="U",$S2076&lt;&gt;Calc!$F$2),"",IF(COUNTIFS($E$3:$E2076,$E2076,$C$3:$C2076,"&lt;&gt;U",$S$3:$S2076,Calc!$F$2)=1,1,0))</f>
        <v/>
      </c>
      <c r="R2076" s="35" t="str">
        <f aca="false">IF($Q2076=1,$O2076-ROW()/100000,"")</f>
        <v/>
      </c>
      <c r="S2076" s="37" t="str">
        <f aca="false">IF($A2076="","",INT($A2076))</f>
        <v/>
      </c>
      <c r="T2076" s="35" t="str">
        <f aca="false">IF($A2076="","",IF(COUNTIFS($S$3:$S2076,$S2076)=1,1,0))</f>
        <v/>
      </c>
      <c r="U2076" s="37" t="str">
        <f aca="false">IF($T2076=1,$S2076,"")</f>
        <v/>
      </c>
    </row>
    <row r="2077" customFormat="false" ht="15" hidden="false" customHeight="false" outlineLevel="0" collapsed="false">
      <c r="M2077" s="35" t="str">
        <f aca="false">IF($A2077="","",HOUR($A2077))</f>
        <v/>
      </c>
      <c r="N2077" s="36" t="str">
        <f aca="false">IF($A2077="","",$I2077*$K2077)</f>
        <v/>
      </c>
      <c r="O2077" s="35" t="str">
        <f aca="false">IF(OR($A2077="",$C2077="U",$S2077&lt;&gt;Calc!$F$2),"",SUMIFS($I$3:$I$3002,$E$3:$E$3002,$E2077,$C$3:$C$3002,"&lt;&gt;U",$S$3:$S$3002,Calc!$F$2))</f>
        <v/>
      </c>
      <c r="P2077" s="35" t="str">
        <f aca="false">IF(OR($A2077="",$C2077="U",$S2077&lt;&gt;Calc!$F$2),"",SUMIFS($N$3:$N$3002,$E$3:$E$3002,$E2077,$C$3:$C$3002,"&lt;&gt;U",$S$3:$S$3002,Calc!$F$2))</f>
        <v/>
      </c>
      <c r="Q2077" s="35" t="str">
        <f aca="false">IF(OR($A2077="",$C2077="U",$S2077&lt;&gt;Calc!$F$2),"",IF(COUNTIFS($E$3:$E2077,$E2077,$C$3:$C2077,"&lt;&gt;U",$S$3:$S2077,Calc!$F$2)=1,1,0))</f>
        <v/>
      </c>
      <c r="R2077" s="35" t="str">
        <f aca="false">IF($Q2077=1,$O2077-ROW()/100000,"")</f>
        <v/>
      </c>
      <c r="S2077" s="37" t="str">
        <f aca="false">IF($A2077="","",INT($A2077))</f>
        <v/>
      </c>
      <c r="T2077" s="35" t="str">
        <f aca="false">IF($A2077="","",IF(COUNTIFS($S$3:$S2077,$S2077)=1,1,0))</f>
        <v/>
      </c>
      <c r="U2077" s="37" t="str">
        <f aca="false">IF($T2077=1,$S2077,"")</f>
        <v/>
      </c>
    </row>
    <row r="2078" customFormat="false" ht="15" hidden="false" customHeight="false" outlineLevel="0" collapsed="false">
      <c r="M2078" s="35" t="str">
        <f aca="false">IF($A2078="","",HOUR($A2078))</f>
        <v/>
      </c>
      <c r="N2078" s="36" t="str">
        <f aca="false">IF($A2078="","",$I2078*$K2078)</f>
        <v/>
      </c>
      <c r="O2078" s="35" t="str">
        <f aca="false">IF(OR($A2078="",$C2078="U",$S2078&lt;&gt;Calc!$F$2),"",SUMIFS($I$3:$I$3002,$E$3:$E$3002,$E2078,$C$3:$C$3002,"&lt;&gt;U",$S$3:$S$3002,Calc!$F$2))</f>
        <v/>
      </c>
      <c r="P2078" s="35" t="str">
        <f aca="false">IF(OR($A2078="",$C2078="U",$S2078&lt;&gt;Calc!$F$2),"",SUMIFS($N$3:$N$3002,$E$3:$E$3002,$E2078,$C$3:$C$3002,"&lt;&gt;U",$S$3:$S$3002,Calc!$F$2))</f>
        <v/>
      </c>
      <c r="Q2078" s="35" t="str">
        <f aca="false">IF(OR($A2078="",$C2078="U",$S2078&lt;&gt;Calc!$F$2),"",IF(COUNTIFS($E$3:$E2078,$E2078,$C$3:$C2078,"&lt;&gt;U",$S$3:$S2078,Calc!$F$2)=1,1,0))</f>
        <v/>
      </c>
      <c r="R2078" s="35" t="str">
        <f aca="false">IF($Q2078=1,$O2078-ROW()/100000,"")</f>
        <v/>
      </c>
      <c r="S2078" s="37" t="str">
        <f aca="false">IF($A2078="","",INT($A2078))</f>
        <v/>
      </c>
      <c r="T2078" s="35" t="str">
        <f aca="false">IF($A2078="","",IF(COUNTIFS($S$3:$S2078,$S2078)=1,1,0))</f>
        <v/>
      </c>
      <c r="U2078" s="37" t="str">
        <f aca="false">IF($T2078=1,$S2078,"")</f>
        <v/>
      </c>
    </row>
    <row r="2079" customFormat="false" ht="15" hidden="false" customHeight="false" outlineLevel="0" collapsed="false">
      <c r="M2079" s="35" t="str">
        <f aca="false">IF($A2079="","",HOUR($A2079))</f>
        <v/>
      </c>
      <c r="N2079" s="36" t="str">
        <f aca="false">IF($A2079="","",$I2079*$K2079)</f>
        <v/>
      </c>
      <c r="O2079" s="35" t="str">
        <f aca="false">IF(OR($A2079="",$C2079="U",$S2079&lt;&gt;Calc!$F$2),"",SUMIFS($I$3:$I$3002,$E$3:$E$3002,$E2079,$C$3:$C$3002,"&lt;&gt;U",$S$3:$S$3002,Calc!$F$2))</f>
        <v/>
      </c>
      <c r="P2079" s="35" t="str">
        <f aca="false">IF(OR($A2079="",$C2079="U",$S2079&lt;&gt;Calc!$F$2),"",SUMIFS($N$3:$N$3002,$E$3:$E$3002,$E2079,$C$3:$C$3002,"&lt;&gt;U",$S$3:$S$3002,Calc!$F$2))</f>
        <v/>
      </c>
      <c r="Q2079" s="35" t="str">
        <f aca="false">IF(OR($A2079="",$C2079="U",$S2079&lt;&gt;Calc!$F$2),"",IF(COUNTIFS($E$3:$E2079,$E2079,$C$3:$C2079,"&lt;&gt;U",$S$3:$S2079,Calc!$F$2)=1,1,0))</f>
        <v/>
      </c>
      <c r="R2079" s="35" t="str">
        <f aca="false">IF($Q2079=1,$O2079-ROW()/100000,"")</f>
        <v/>
      </c>
      <c r="S2079" s="37" t="str">
        <f aca="false">IF($A2079="","",INT($A2079))</f>
        <v/>
      </c>
      <c r="T2079" s="35" t="str">
        <f aca="false">IF($A2079="","",IF(COUNTIFS($S$3:$S2079,$S2079)=1,1,0))</f>
        <v/>
      </c>
      <c r="U2079" s="37" t="str">
        <f aca="false">IF($T2079=1,$S2079,"")</f>
        <v/>
      </c>
    </row>
    <row r="2080" customFormat="false" ht="15" hidden="false" customHeight="false" outlineLevel="0" collapsed="false">
      <c r="M2080" s="35" t="str">
        <f aca="false">IF($A2080="","",HOUR($A2080))</f>
        <v/>
      </c>
      <c r="N2080" s="36" t="str">
        <f aca="false">IF($A2080="","",$I2080*$K2080)</f>
        <v/>
      </c>
      <c r="O2080" s="35" t="str">
        <f aca="false">IF(OR($A2080="",$C2080="U",$S2080&lt;&gt;Calc!$F$2),"",SUMIFS($I$3:$I$3002,$E$3:$E$3002,$E2080,$C$3:$C$3002,"&lt;&gt;U",$S$3:$S$3002,Calc!$F$2))</f>
        <v/>
      </c>
      <c r="P2080" s="35" t="str">
        <f aca="false">IF(OR($A2080="",$C2080="U",$S2080&lt;&gt;Calc!$F$2),"",SUMIFS($N$3:$N$3002,$E$3:$E$3002,$E2080,$C$3:$C$3002,"&lt;&gt;U",$S$3:$S$3002,Calc!$F$2))</f>
        <v/>
      </c>
      <c r="Q2080" s="35" t="str">
        <f aca="false">IF(OR($A2080="",$C2080="U",$S2080&lt;&gt;Calc!$F$2),"",IF(COUNTIFS($E$3:$E2080,$E2080,$C$3:$C2080,"&lt;&gt;U",$S$3:$S2080,Calc!$F$2)=1,1,0))</f>
        <v/>
      </c>
      <c r="R2080" s="35" t="str">
        <f aca="false">IF($Q2080=1,$O2080-ROW()/100000,"")</f>
        <v/>
      </c>
      <c r="S2080" s="37" t="str">
        <f aca="false">IF($A2080="","",INT($A2080))</f>
        <v/>
      </c>
      <c r="T2080" s="35" t="str">
        <f aca="false">IF($A2080="","",IF(COUNTIFS($S$3:$S2080,$S2080)=1,1,0))</f>
        <v/>
      </c>
      <c r="U2080" s="37" t="str">
        <f aca="false">IF($T2080=1,$S2080,"")</f>
        <v/>
      </c>
    </row>
    <row r="2081" customFormat="false" ht="15" hidden="false" customHeight="false" outlineLevel="0" collapsed="false">
      <c r="M2081" s="35" t="str">
        <f aca="false">IF($A2081="","",HOUR($A2081))</f>
        <v/>
      </c>
      <c r="N2081" s="36" t="str">
        <f aca="false">IF($A2081="","",$I2081*$K2081)</f>
        <v/>
      </c>
      <c r="O2081" s="35" t="str">
        <f aca="false">IF(OR($A2081="",$C2081="U",$S2081&lt;&gt;Calc!$F$2),"",SUMIFS($I$3:$I$3002,$E$3:$E$3002,$E2081,$C$3:$C$3002,"&lt;&gt;U",$S$3:$S$3002,Calc!$F$2))</f>
        <v/>
      </c>
      <c r="P2081" s="35" t="str">
        <f aca="false">IF(OR($A2081="",$C2081="U",$S2081&lt;&gt;Calc!$F$2),"",SUMIFS($N$3:$N$3002,$E$3:$E$3002,$E2081,$C$3:$C$3002,"&lt;&gt;U",$S$3:$S$3002,Calc!$F$2))</f>
        <v/>
      </c>
      <c r="Q2081" s="35" t="str">
        <f aca="false">IF(OR($A2081="",$C2081="U",$S2081&lt;&gt;Calc!$F$2),"",IF(COUNTIFS($E$3:$E2081,$E2081,$C$3:$C2081,"&lt;&gt;U",$S$3:$S2081,Calc!$F$2)=1,1,0))</f>
        <v/>
      </c>
      <c r="R2081" s="35" t="str">
        <f aca="false">IF($Q2081=1,$O2081-ROW()/100000,"")</f>
        <v/>
      </c>
      <c r="S2081" s="37" t="str">
        <f aca="false">IF($A2081="","",INT($A2081))</f>
        <v/>
      </c>
      <c r="T2081" s="35" t="str">
        <f aca="false">IF($A2081="","",IF(COUNTIFS($S$3:$S2081,$S2081)=1,1,0))</f>
        <v/>
      </c>
      <c r="U2081" s="37" t="str">
        <f aca="false">IF($T2081=1,$S2081,"")</f>
        <v/>
      </c>
    </row>
    <row r="2082" customFormat="false" ht="15" hidden="false" customHeight="false" outlineLevel="0" collapsed="false">
      <c r="M2082" s="35" t="str">
        <f aca="false">IF($A2082="","",HOUR($A2082))</f>
        <v/>
      </c>
      <c r="N2082" s="36" t="str">
        <f aca="false">IF($A2082="","",$I2082*$K2082)</f>
        <v/>
      </c>
      <c r="O2082" s="35" t="str">
        <f aca="false">IF(OR($A2082="",$C2082="U",$S2082&lt;&gt;Calc!$F$2),"",SUMIFS($I$3:$I$3002,$E$3:$E$3002,$E2082,$C$3:$C$3002,"&lt;&gt;U",$S$3:$S$3002,Calc!$F$2))</f>
        <v/>
      </c>
      <c r="P2082" s="35" t="str">
        <f aca="false">IF(OR($A2082="",$C2082="U",$S2082&lt;&gt;Calc!$F$2),"",SUMIFS($N$3:$N$3002,$E$3:$E$3002,$E2082,$C$3:$C$3002,"&lt;&gt;U",$S$3:$S$3002,Calc!$F$2))</f>
        <v/>
      </c>
      <c r="Q2082" s="35" t="str">
        <f aca="false">IF(OR($A2082="",$C2082="U",$S2082&lt;&gt;Calc!$F$2),"",IF(COUNTIFS($E$3:$E2082,$E2082,$C$3:$C2082,"&lt;&gt;U",$S$3:$S2082,Calc!$F$2)=1,1,0))</f>
        <v/>
      </c>
      <c r="R2082" s="35" t="str">
        <f aca="false">IF($Q2082=1,$O2082-ROW()/100000,"")</f>
        <v/>
      </c>
      <c r="S2082" s="37" t="str">
        <f aca="false">IF($A2082="","",INT($A2082))</f>
        <v/>
      </c>
      <c r="T2082" s="35" t="str">
        <f aca="false">IF($A2082="","",IF(COUNTIFS($S$3:$S2082,$S2082)=1,1,0))</f>
        <v/>
      </c>
      <c r="U2082" s="37" t="str">
        <f aca="false">IF($T2082=1,$S2082,"")</f>
        <v/>
      </c>
    </row>
    <row r="2083" customFormat="false" ht="15" hidden="false" customHeight="false" outlineLevel="0" collapsed="false">
      <c r="M2083" s="35" t="str">
        <f aca="false">IF($A2083="","",HOUR($A2083))</f>
        <v/>
      </c>
      <c r="N2083" s="36" t="str">
        <f aca="false">IF($A2083="","",$I2083*$K2083)</f>
        <v/>
      </c>
      <c r="O2083" s="35" t="str">
        <f aca="false">IF(OR($A2083="",$C2083="U",$S2083&lt;&gt;Calc!$F$2),"",SUMIFS($I$3:$I$3002,$E$3:$E$3002,$E2083,$C$3:$C$3002,"&lt;&gt;U",$S$3:$S$3002,Calc!$F$2))</f>
        <v/>
      </c>
      <c r="P2083" s="35" t="str">
        <f aca="false">IF(OR($A2083="",$C2083="U",$S2083&lt;&gt;Calc!$F$2),"",SUMIFS($N$3:$N$3002,$E$3:$E$3002,$E2083,$C$3:$C$3002,"&lt;&gt;U",$S$3:$S$3002,Calc!$F$2))</f>
        <v/>
      </c>
      <c r="Q2083" s="35" t="str">
        <f aca="false">IF(OR($A2083="",$C2083="U",$S2083&lt;&gt;Calc!$F$2),"",IF(COUNTIFS($E$3:$E2083,$E2083,$C$3:$C2083,"&lt;&gt;U",$S$3:$S2083,Calc!$F$2)=1,1,0))</f>
        <v/>
      </c>
      <c r="R2083" s="35" t="str">
        <f aca="false">IF($Q2083=1,$O2083-ROW()/100000,"")</f>
        <v/>
      </c>
      <c r="S2083" s="37" t="str">
        <f aca="false">IF($A2083="","",INT($A2083))</f>
        <v/>
      </c>
      <c r="T2083" s="35" t="str">
        <f aca="false">IF($A2083="","",IF(COUNTIFS($S$3:$S2083,$S2083)=1,1,0))</f>
        <v/>
      </c>
      <c r="U2083" s="37" t="str">
        <f aca="false">IF($T2083=1,$S2083,"")</f>
        <v/>
      </c>
    </row>
    <row r="2084" customFormat="false" ht="15" hidden="false" customHeight="false" outlineLevel="0" collapsed="false">
      <c r="M2084" s="35" t="str">
        <f aca="false">IF($A2084="","",HOUR($A2084))</f>
        <v/>
      </c>
      <c r="N2084" s="36" t="str">
        <f aca="false">IF($A2084="","",$I2084*$K2084)</f>
        <v/>
      </c>
      <c r="O2084" s="35" t="str">
        <f aca="false">IF(OR($A2084="",$C2084="U",$S2084&lt;&gt;Calc!$F$2),"",SUMIFS($I$3:$I$3002,$E$3:$E$3002,$E2084,$C$3:$C$3002,"&lt;&gt;U",$S$3:$S$3002,Calc!$F$2))</f>
        <v/>
      </c>
      <c r="P2084" s="35" t="str">
        <f aca="false">IF(OR($A2084="",$C2084="U",$S2084&lt;&gt;Calc!$F$2),"",SUMIFS($N$3:$N$3002,$E$3:$E$3002,$E2084,$C$3:$C$3002,"&lt;&gt;U",$S$3:$S$3002,Calc!$F$2))</f>
        <v/>
      </c>
      <c r="Q2084" s="35" t="str">
        <f aca="false">IF(OR($A2084="",$C2084="U",$S2084&lt;&gt;Calc!$F$2),"",IF(COUNTIFS($E$3:$E2084,$E2084,$C$3:$C2084,"&lt;&gt;U",$S$3:$S2084,Calc!$F$2)=1,1,0))</f>
        <v/>
      </c>
      <c r="R2084" s="35" t="str">
        <f aca="false">IF($Q2084=1,$O2084-ROW()/100000,"")</f>
        <v/>
      </c>
      <c r="S2084" s="37" t="str">
        <f aca="false">IF($A2084="","",INT($A2084))</f>
        <v/>
      </c>
      <c r="T2084" s="35" t="str">
        <f aca="false">IF($A2084="","",IF(COUNTIFS($S$3:$S2084,$S2084)=1,1,0))</f>
        <v/>
      </c>
      <c r="U2084" s="37" t="str">
        <f aca="false">IF($T2084=1,$S2084,"")</f>
        <v/>
      </c>
    </row>
    <row r="2085" customFormat="false" ht="15" hidden="false" customHeight="false" outlineLevel="0" collapsed="false">
      <c r="M2085" s="35" t="str">
        <f aca="false">IF($A2085="","",HOUR($A2085))</f>
        <v/>
      </c>
      <c r="N2085" s="36" t="str">
        <f aca="false">IF($A2085="","",$I2085*$K2085)</f>
        <v/>
      </c>
      <c r="O2085" s="35" t="str">
        <f aca="false">IF(OR($A2085="",$C2085="U",$S2085&lt;&gt;Calc!$F$2),"",SUMIFS($I$3:$I$3002,$E$3:$E$3002,$E2085,$C$3:$C$3002,"&lt;&gt;U",$S$3:$S$3002,Calc!$F$2))</f>
        <v/>
      </c>
      <c r="P2085" s="35" t="str">
        <f aca="false">IF(OR($A2085="",$C2085="U",$S2085&lt;&gt;Calc!$F$2),"",SUMIFS($N$3:$N$3002,$E$3:$E$3002,$E2085,$C$3:$C$3002,"&lt;&gt;U",$S$3:$S$3002,Calc!$F$2))</f>
        <v/>
      </c>
      <c r="Q2085" s="35" t="str">
        <f aca="false">IF(OR($A2085="",$C2085="U",$S2085&lt;&gt;Calc!$F$2),"",IF(COUNTIFS($E$3:$E2085,$E2085,$C$3:$C2085,"&lt;&gt;U",$S$3:$S2085,Calc!$F$2)=1,1,0))</f>
        <v/>
      </c>
      <c r="R2085" s="35" t="str">
        <f aca="false">IF($Q2085=1,$O2085-ROW()/100000,"")</f>
        <v/>
      </c>
      <c r="S2085" s="37" t="str">
        <f aca="false">IF($A2085="","",INT($A2085))</f>
        <v/>
      </c>
      <c r="T2085" s="35" t="str">
        <f aca="false">IF($A2085="","",IF(COUNTIFS($S$3:$S2085,$S2085)=1,1,0))</f>
        <v/>
      </c>
      <c r="U2085" s="37" t="str">
        <f aca="false">IF($T2085=1,$S2085,"")</f>
        <v/>
      </c>
    </row>
    <row r="2086" customFormat="false" ht="15" hidden="false" customHeight="false" outlineLevel="0" collapsed="false">
      <c r="M2086" s="35" t="str">
        <f aca="false">IF($A2086="","",HOUR($A2086))</f>
        <v/>
      </c>
      <c r="N2086" s="36" t="str">
        <f aca="false">IF($A2086="","",$I2086*$K2086)</f>
        <v/>
      </c>
      <c r="O2086" s="35" t="str">
        <f aca="false">IF(OR($A2086="",$C2086="U",$S2086&lt;&gt;Calc!$F$2),"",SUMIFS($I$3:$I$3002,$E$3:$E$3002,$E2086,$C$3:$C$3002,"&lt;&gt;U",$S$3:$S$3002,Calc!$F$2))</f>
        <v/>
      </c>
      <c r="P2086" s="35" t="str">
        <f aca="false">IF(OR($A2086="",$C2086="U",$S2086&lt;&gt;Calc!$F$2),"",SUMIFS($N$3:$N$3002,$E$3:$E$3002,$E2086,$C$3:$C$3002,"&lt;&gt;U",$S$3:$S$3002,Calc!$F$2))</f>
        <v/>
      </c>
      <c r="Q2086" s="35" t="str">
        <f aca="false">IF(OR($A2086="",$C2086="U",$S2086&lt;&gt;Calc!$F$2),"",IF(COUNTIFS($E$3:$E2086,$E2086,$C$3:$C2086,"&lt;&gt;U",$S$3:$S2086,Calc!$F$2)=1,1,0))</f>
        <v/>
      </c>
      <c r="R2086" s="35" t="str">
        <f aca="false">IF($Q2086=1,$O2086-ROW()/100000,"")</f>
        <v/>
      </c>
      <c r="S2086" s="37" t="str">
        <f aca="false">IF($A2086="","",INT($A2086))</f>
        <v/>
      </c>
      <c r="T2086" s="35" t="str">
        <f aca="false">IF($A2086="","",IF(COUNTIFS($S$3:$S2086,$S2086)=1,1,0))</f>
        <v/>
      </c>
      <c r="U2086" s="37" t="str">
        <f aca="false">IF($T2086=1,$S2086,"")</f>
        <v/>
      </c>
    </row>
    <row r="2087" customFormat="false" ht="15" hidden="false" customHeight="false" outlineLevel="0" collapsed="false">
      <c r="M2087" s="35" t="str">
        <f aca="false">IF($A2087="","",HOUR($A2087))</f>
        <v/>
      </c>
      <c r="N2087" s="36" t="str">
        <f aca="false">IF($A2087="","",$I2087*$K2087)</f>
        <v/>
      </c>
      <c r="O2087" s="35" t="str">
        <f aca="false">IF(OR($A2087="",$C2087="U",$S2087&lt;&gt;Calc!$F$2),"",SUMIFS($I$3:$I$3002,$E$3:$E$3002,$E2087,$C$3:$C$3002,"&lt;&gt;U",$S$3:$S$3002,Calc!$F$2))</f>
        <v/>
      </c>
      <c r="P2087" s="35" t="str">
        <f aca="false">IF(OR($A2087="",$C2087="U",$S2087&lt;&gt;Calc!$F$2),"",SUMIFS($N$3:$N$3002,$E$3:$E$3002,$E2087,$C$3:$C$3002,"&lt;&gt;U",$S$3:$S$3002,Calc!$F$2))</f>
        <v/>
      </c>
      <c r="Q2087" s="35" t="str">
        <f aca="false">IF(OR($A2087="",$C2087="U",$S2087&lt;&gt;Calc!$F$2),"",IF(COUNTIFS($E$3:$E2087,$E2087,$C$3:$C2087,"&lt;&gt;U",$S$3:$S2087,Calc!$F$2)=1,1,0))</f>
        <v/>
      </c>
      <c r="R2087" s="35" t="str">
        <f aca="false">IF($Q2087=1,$O2087-ROW()/100000,"")</f>
        <v/>
      </c>
      <c r="S2087" s="37" t="str">
        <f aca="false">IF($A2087="","",INT($A2087))</f>
        <v/>
      </c>
      <c r="T2087" s="35" t="str">
        <f aca="false">IF($A2087="","",IF(COUNTIFS($S$3:$S2087,$S2087)=1,1,0))</f>
        <v/>
      </c>
      <c r="U2087" s="37" t="str">
        <f aca="false">IF($T2087=1,$S2087,"")</f>
        <v/>
      </c>
    </row>
    <row r="2088" customFormat="false" ht="15" hidden="false" customHeight="false" outlineLevel="0" collapsed="false">
      <c r="M2088" s="35" t="str">
        <f aca="false">IF($A2088="","",HOUR($A2088))</f>
        <v/>
      </c>
      <c r="N2088" s="36" t="str">
        <f aca="false">IF($A2088="","",$I2088*$K2088)</f>
        <v/>
      </c>
      <c r="O2088" s="35" t="str">
        <f aca="false">IF(OR($A2088="",$C2088="U",$S2088&lt;&gt;Calc!$F$2),"",SUMIFS($I$3:$I$3002,$E$3:$E$3002,$E2088,$C$3:$C$3002,"&lt;&gt;U",$S$3:$S$3002,Calc!$F$2))</f>
        <v/>
      </c>
      <c r="P2088" s="35" t="str">
        <f aca="false">IF(OR($A2088="",$C2088="U",$S2088&lt;&gt;Calc!$F$2),"",SUMIFS($N$3:$N$3002,$E$3:$E$3002,$E2088,$C$3:$C$3002,"&lt;&gt;U",$S$3:$S$3002,Calc!$F$2))</f>
        <v/>
      </c>
      <c r="Q2088" s="35" t="str">
        <f aca="false">IF(OR($A2088="",$C2088="U",$S2088&lt;&gt;Calc!$F$2),"",IF(COUNTIFS($E$3:$E2088,$E2088,$C$3:$C2088,"&lt;&gt;U",$S$3:$S2088,Calc!$F$2)=1,1,0))</f>
        <v/>
      </c>
      <c r="R2088" s="35" t="str">
        <f aca="false">IF($Q2088=1,$O2088-ROW()/100000,"")</f>
        <v/>
      </c>
      <c r="S2088" s="37" t="str">
        <f aca="false">IF($A2088="","",INT($A2088))</f>
        <v/>
      </c>
      <c r="T2088" s="35" t="str">
        <f aca="false">IF($A2088="","",IF(COUNTIFS($S$3:$S2088,$S2088)=1,1,0))</f>
        <v/>
      </c>
      <c r="U2088" s="37" t="str">
        <f aca="false">IF($T2088=1,$S2088,"")</f>
        <v/>
      </c>
    </row>
    <row r="2089" customFormat="false" ht="15" hidden="false" customHeight="false" outlineLevel="0" collapsed="false">
      <c r="M2089" s="35" t="str">
        <f aca="false">IF($A2089="","",HOUR($A2089))</f>
        <v/>
      </c>
      <c r="N2089" s="36" t="str">
        <f aca="false">IF($A2089="","",$I2089*$K2089)</f>
        <v/>
      </c>
      <c r="O2089" s="35" t="str">
        <f aca="false">IF(OR($A2089="",$C2089="U",$S2089&lt;&gt;Calc!$F$2),"",SUMIFS($I$3:$I$3002,$E$3:$E$3002,$E2089,$C$3:$C$3002,"&lt;&gt;U",$S$3:$S$3002,Calc!$F$2))</f>
        <v/>
      </c>
      <c r="P2089" s="35" t="str">
        <f aca="false">IF(OR($A2089="",$C2089="U",$S2089&lt;&gt;Calc!$F$2),"",SUMIFS($N$3:$N$3002,$E$3:$E$3002,$E2089,$C$3:$C$3002,"&lt;&gt;U",$S$3:$S$3002,Calc!$F$2))</f>
        <v/>
      </c>
      <c r="Q2089" s="35" t="str">
        <f aca="false">IF(OR($A2089="",$C2089="U",$S2089&lt;&gt;Calc!$F$2),"",IF(COUNTIFS($E$3:$E2089,$E2089,$C$3:$C2089,"&lt;&gt;U",$S$3:$S2089,Calc!$F$2)=1,1,0))</f>
        <v/>
      </c>
      <c r="R2089" s="35" t="str">
        <f aca="false">IF($Q2089=1,$O2089-ROW()/100000,"")</f>
        <v/>
      </c>
      <c r="S2089" s="37" t="str">
        <f aca="false">IF($A2089="","",INT($A2089))</f>
        <v/>
      </c>
      <c r="T2089" s="35" t="str">
        <f aca="false">IF($A2089="","",IF(COUNTIFS($S$3:$S2089,$S2089)=1,1,0))</f>
        <v/>
      </c>
      <c r="U2089" s="37" t="str">
        <f aca="false">IF($T2089=1,$S2089,"")</f>
        <v/>
      </c>
    </row>
    <row r="2090" customFormat="false" ht="15" hidden="false" customHeight="false" outlineLevel="0" collapsed="false">
      <c r="M2090" s="35" t="str">
        <f aca="false">IF($A2090="","",HOUR($A2090))</f>
        <v/>
      </c>
      <c r="N2090" s="36" t="str">
        <f aca="false">IF($A2090="","",$I2090*$K2090)</f>
        <v/>
      </c>
      <c r="O2090" s="35" t="str">
        <f aca="false">IF(OR($A2090="",$C2090="U",$S2090&lt;&gt;Calc!$F$2),"",SUMIFS($I$3:$I$3002,$E$3:$E$3002,$E2090,$C$3:$C$3002,"&lt;&gt;U",$S$3:$S$3002,Calc!$F$2))</f>
        <v/>
      </c>
      <c r="P2090" s="35" t="str">
        <f aca="false">IF(OR($A2090="",$C2090="U",$S2090&lt;&gt;Calc!$F$2),"",SUMIFS($N$3:$N$3002,$E$3:$E$3002,$E2090,$C$3:$C$3002,"&lt;&gt;U",$S$3:$S$3002,Calc!$F$2))</f>
        <v/>
      </c>
      <c r="Q2090" s="35" t="str">
        <f aca="false">IF(OR($A2090="",$C2090="U",$S2090&lt;&gt;Calc!$F$2),"",IF(COUNTIFS($E$3:$E2090,$E2090,$C$3:$C2090,"&lt;&gt;U",$S$3:$S2090,Calc!$F$2)=1,1,0))</f>
        <v/>
      </c>
      <c r="R2090" s="35" t="str">
        <f aca="false">IF($Q2090=1,$O2090-ROW()/100000,"")</f>
        <v/>
      </c>
      <c r="S2090" s="37" t="str">
        <f aca="false">IF($A2090="","",INT($A2090))</f>
        <v/>
      </c>
      <c r="T2090" s="35" t="str">
        <f aca="false">IF($A2090="","",IF(COUNTIFS($S$3:$S2090,$S2090)=1,1,0))</f>
        <v/>
      </c>
      <c r="U2090" s="37" t="str">
        <f aca="false">IF($T2090=1,$S2090,"")</f>
        <v/>
      </c>
    </row>
    <row r="2091" customFormat="false" ht="15" hidden="false" customHeight="false" outlineLevel="0" collapsed="false">
      <c r="M2091" s="35" t="str">
        <f aca="false">IF($A2091="","",HOUR($A2091))</f>
        <v/>
      </c>
      <c r="N2091" s="36" t="str">
        <f aca="false">IF($A2091="","",$I2091*$K2091)</f>
        <v/>
      </c>
      <c r="O2091" s="35" t="str">
        <f aca="false">IF(OR($A2091="",$C2091="U",$S2091&lt;&gt;Calc!$F$2),"",SUMIFS($I$3:$I$3002,$E$3:$E$3002,$E2091,$C$3:$C$3002,"&lt;&gt;U",$S$3:$S$3002,Calc!$F$2))</f>
        <v/>
      </c>
      <c r="P2091" s="35" t="str">
        <f aca="false">IF(OR($A2091="",$C2091="U",$S2091&lt;&gt;Calc!$F$2),"",SUMIFS($N$3:$N$3002,$E$3:$E$3002,$E2091,$C$3:$C$3002,"&lt;&gt;U",$S$3:$S$3002,Calc!$F$2))</f>
        <v/>
      </c>
      <c r="Q2091" s="35" t="str">
        <f aca="false">IF(OR($A2091="",$C2091="U",$S2091&lt;&gt;Calc!$F$2),"",IF(COUNTIFS($E$3:$E2091,$E2091,$C$3:$C2091,"&lt;&gt;U",$S$3:$S2091,Calc!$F$2)=1,1,0))</f>
        <v/>
      </c>
      <c r="R2091" s="35" t="str">
        <f aca="false">IF($Q2091=1,$O2091-ROW()/100000,"")</f>
        <v/>
      </c>
      <c r="S2091" s="37" t="str">
        <f aca="false">IF($A2091="","",INT($A2091))</f>
        <v/>
      </c>
      <c r="T2091" s="35" t="str">
        <f aca="false">IF($A2091="","",IF(COUNTIFS($S$3:$S2091,$S2091)=1,1,0))</f>
        <v/>
      </c>
      <c r="U2091" s="37" t="str">
        <f aca="false">IF($T2091=1,$S2091,"")</f>
        <v/>
      </c>
    </row>
    <row r="2092" customFormat="false" ht="15" hidden="false" customHeight="false" outlineLevel="0" collapsed="false">
      <c r="M2092" s="35" t="str">
        <f aca="false">IF($A2092="","",HOUR($A2092))</f>
        <v/>
      </c>
      <c r="N2092" s="36" t="str">
        <f aca="false">IF($A2092="","",$I2092*$K2092)</f>
        <v/>
      </c>
      <c r="O2092" s="35" t="str">
        <f aca="false">IF(OR($A2092="",$C2092="U",$S2092&lt;&gt;Calc!$F$2),"",SUMIFS($I$3:$I$3002,$E$3:$E$3002,$E2092,$C$3:$C$3002,"&lt;&gt;U",$S$3:$S$3002,Calc!$F$2))</f>
        <v/>
      </c>
      <c r="P2092" s="35" t="str">
        <f aca="false">IF(OR($A2092="",$C2092="U",$S2092&lt;&gt;Calc!$F$2),"",SUMIFS($N$3:$N$3002,$E$3:$E$3002,$E2092,$C$3:$C$3002,"&lt;&gt;U",$S$3:$S$3002,Calc!$F$2))</f>
        <v/>
      </c>
      <c r="Q2092" s="35" t="str">
        <f aca="false">IF(OR($A2092="",$C2092="U",$S2092&lt;&gt;Calc!$F$2),"",IF(COUNTIFS($E$3:$E2092,$E2092,$C$3:$C2092,"&lt;&gt;U",$S$3:$S2092,Calc!$F$2)=1,1,0))</f>
        <v/>
      </c>
      <c r="R2092" s="35" t="str">
        <f aca="false">IF($Q2092=1,$O2092-ROW()/100000,"")</f>
        <v/>
      </c>
      <c r="S2092" s="37" t="str">
        <f aca="false">IF($A2092="","",INT($A2092))</f>
        <v/>
      </c>
      <c r="T2092" s="35" t="str">
        <f aca="false">IF($A2092="","",IF(COUNTIFS($S$3:$S2092,$S2092)=1,1,0))</f>
        <v/>
      </c>
      <c r="U2092" s="37" t="str">
        <f aca="false">IF($T2092=1,$S2092,"")</f>
        <v/>
      </c>
    </row>
    <row r="2093" customFormat="false" ht="15" hidden="false" customHeight="false" outlineLevel="0" collapsed="false">
      <c r="M2093" s="35" t="str">
        <f aca="false">IF($A2093="","",HOUR($A2093))</f>
        <v/>
      </c>
      <c r="N2093" s="36" t="str">
        <f aca="false">IF($A2093="","",$I2093*$K2093)</f>
        <v/>
      </c>
      <c r="O2093" s="35" t="str">
        <f aca="false">IF(OR($A2093="",$C2093="U",$S2093&lt;&gt;Calc!$F$2),"",SUMIFS($I$3:$I$3002,$E$3:$E$3002,$E2093,$C$3:$C$3002,"&lt;&gt;U",$S$3:$S$3002,Calc!$F$2))</f>
        <v/>
      </c>
      <c r="P2093" s="35" t="str">
        <f aca="false">IF(OR($A2093="",$C2093="U",$S2093&lt;&gt;Calc!$F$2),"",SUMIFS($N$3:$N$3002,$E$3:$E$3002,$E2093,$C$3:$C$3002,"&lt;&gt;U",$S$3:$S$3002,Calc!$F$2))</f>
        <v/>
      </c>
      <c r="Q2093" s="35" t="str">
        <f aca="false">IF(OR($A2093="",$C2093="U",$S2093&lt;&gt;Calc!$F$2),"",IF(COUNTIFS($E$3:$E2093,$E2093,$C$3:$C2093,"&lt;&gt;U",$S$3:$S2093,Calc!$F$2)=1,1,0))</f>
        <v/>
      </c>
      <c r="R2093" s="35" t="str">
        <f aca="false">IF($Q2093=1,$O2093-ROW()/100000,"")</f>
        <v/>
      </c>
      <c r="S2093" s="37" t="str">
        <f aca="false">IF($A2093="","",INT($A2093))</f>
        <v/>
      </c>
      <c r="T2093" s="35" t="str">
        <f aca="false">IF($A2093="","",IF(COUNTIFS($S$3:$S2093,$S2093)=1,1,0))</f>
        <v/>
      </c>
      <c r="U2093" s="37" t="str">
        <f aca="false">IF($T2093=1,$S2093,"")</f>
        <v/>
      </c>
    </row>
    <row r="2094" customFormat="false" ht="15" hidden="false" customHeight="false" outlineLevel="0" collapsed="false">
      <c r="M2094" s="35" t="str">
        <f aca="false">IF($A2094="","",HOUR($A2094))</f>
        <v/>
      </c>
      <c r="N2094" s="36" t="str">
        <f aca="false">IF($A2094="","",$I2094*$K2094)</f>
        <v/>
      </c>
      <c r="O2094" s="35" t="str">
        <f aca="false">IF(OR($A2094="",$C2094="U",$S2094&lt;&gt;Calc!$F$2),"",SUMIFS($I$3:$I$3002,$E$3:$E$3002,$E2094,$C$3:$C$3002,"&lt;&gt;U",$S$3:$S$3002,Calc!$F$2))</f>
        <v/>
      </c>
      <c r="P2094" s="35" t="str">
        <f aca="false">IF(OR($A2094="",$C2094="U",$S2094&lt;&gt;Calc!$F$2),"",SUMIFS($N$3:$N$3002,$E$3:$E$3002,$E2094,$C$3:$C$3002,"&lt;&gt;U",$S$3:$S$3002,Calc!$F$2))</f>
        <v/>
      </c>
      <c r="Q2094" s="35" t="str">
        <f aca="false">IF(OR($A2094="",$C2094="U",$S2094&lt;&gt;Calc!$F$2),"",IF(COUNTIFS($E$3:$E2094,$E2094,$C$3:$C2094,"&lt;&gt;U",$S$3:$S2094,Calc!$F$2)=1,1,0))</f>
        <v/>
      </c>
      <c r="R2094" s="35" t="str">
        <f aca="false">IF($Q2094=1,$O2094-ROW()/100000,"")</f>
        <v/>
      </c>
      <c r="S2094" s="37" t="str">
        <f aca="false">IF($A2094="","",INT($A2094))</f>
        <v/>
      </c>
      <c r="T2094" s="35" t="str">
        <f aca="false">IF($A2094="","",IF(COUNTIFS($S$3:$S2094,$S2094)=1,1,0))</f>
        <v/>
      </c>
      <c r="U2094" s="37" t="str">
        <f aca="false">IF($T2094=1,$S2094,"")</f>
        <v/>
      </c>
    </row>
    <row r="2095" customFormat="false" ht="15" hidden="false" customHeight="false" outlineLevel="0" collapsed="false">
      <c r="M2095" s="35" t="str">
        <f aca="false">IF($A2095="","",HOUR($A2095))</f>
        <v/>
      </c>
      <c r="N2095" s="36" t="str">
        <f aca="false">IF($A2095="","",$I2095*$K2095)</f>
        <v/>
      </c>
      <c r="O2095" s="35" t="str">
        <f aca="false">IF(OR($A2095="",$C2095="U",$S2095&lt;&gt;Calc!$F$2),"",SUMIFS($I$3:$I$3002,$E$3:$E$3002,$E2095,$C$3:$C$3002,"&lt;&gt;U",$S$3:$S$3002,Calc!$F$2))</f>
        <v/>
      </c>
      <c r="P2095" s="35" t="str">
        <f aca="false">IF(OR($A2095="",$C2095="U",$S2095&lt;&gt;Calc!$F$2),"",SUMIFS($N$3:$N$3002,$E$3:$E$3002,$E2095,$C$3:$C$3002,"&lt;&gt;U",$S$3:$S$3002,Calc!$F$2))</f>
        <v/>
      </c>
      <c r="Q2095" s="35" t="str">
        <f aca="false">IF(OR($A2095="",$C2095="U",$S2095&lt;&gt;Calc!$F$2),"",IF(COUNTIFS($E$3:$E2095,$E2095,$C$3:$C2095,"&lt;&gt;U",$S$3:$S2095,Calc!$F$2)=1,1,0))</f>
        <v/>
      </c>
      <c r="R2095" s="35" t="str">
        <f aca="false">IF($Q2095=1,$O2095-ROW()/100000,"")</f>
        <v/>
      </c>
      <c r="S2095" s="37" t="str">
        <f aca="false">IF($A2095="","",INT($A2095))</f>
        <v/>
      </c>
      <c r="T2095" s="35" t="str">
        <f aca="false">IF($A2095="","",IF(COUNTIFS($S$3:$S2095,$S2095)=1,1,0))</f>
        <v/>
      </c>
      <c r="U2095" s="37" t="str">
        <f aca="false">IF($T2095=1,$S2095,"")</f>
        <v/>
      </c>
    </row>
    <row r="2096" customFormat="false" ht="15" hidden="false" customHeight="false" outlineLevel="0" collapsed="false">
      <c r="M2096" s="35" t="str">
        <f aca="false">IF($A2096="","",HOUR($A2096))</f>
        <v/>
      </c>
      <c r="N2096" s="36" t="str">
        <f aca="false">IF($A2096="","",$I2096*$K2096)</f>
        <v/>
      </c>
      <c r="O2096" s="35" t="str">
        <f aca="false">IF(OR($A2096="",$C2096="U",$S2096&lt;&gt;Calc!$F$2),"",SUMIFS($I$3:$I$3002,$E$3:$E$3002,$E2096,$C$3:$C$3002,"&lt;&gt;U",$S$3:$S$3002,Calc!$F$2))</f>
        <v/>
      </c>
      <c r="P2096" s="35" t="str">
        <f aca="false">IF(OR($A2096="",$C2096="U",$S2096&lt;&gt;Calc!$F$2),"",SUMIFS($N$3:$N$3002,$E$3:$E$3002,$E2096,$C$3:$C$3002,"&lt;&gt;U",$S$3:$S$3002,Calc!$F$2))</f>
        <v/>
      </c>
      <c r="Q2096" s="35" t="str">
        <f aca="false">IF(OR($A2096="",$C2096="U",$S2096&lt;&gt;Calc!$F$2),"",IF(COUNTIFS($E$3:$E2096,$E2096,$C$3:$C2096,"&lt;&gt;U",$S$3:$S2096,Calc!$F$2)=1,1,0))</f>
        <v/>
      </c>
      <c r="R2096" s="35" t="str">
        <f aca="false">IF($Q2096=1,$O2096-ROW()/100000,"")</f>
        <v/>
      </c>
      <c r="S2096" s="37" t="str">
        <f aca="false">IF($A2096="","",INT($A2096))</f>
        <v/>
      </c>
      <c r="T2096" s="35" t="str">
        <f aca="false">IF($A2096="","",IF(COUNTIFS($S$3:$S2096,$S2096)=1,1,0))</f>
        <v/>
      </c>
      <c r="U2096" s="37" t="str">
        <f aca="false">IF($T2096=1,$S2096,"")</f>
        <v/>
      </c>
    </row>
    <row r="2097" customFormat="false" ht="15" hidden="false" customHeight="false" outlineLevel="0" collapsed="false">
      <c r="M2097" s="35" t="str">
        <f aca="false">IF($A2097="","",HOUR($A2097))</f>
        <v/>
      </c>
      <c r="N2097" s="36" t="str">
        <f aca="false">IF($A2097="","",$I2097*$K2097)</f>
        <v/>
      </c>
      <c r="O2097" s="35" t="str">
        <f aca="false">IF(OR($A2097="",$C2097="U",$S2097&lt;&gt;Calc!$F$2),"",SUMIFS($I$3:$I$3002,$E$3:$E$3002,$E2097,$C$3:$C$3002,"&lt;&gt;U",$S$3:$S$3002,Calc!$F$2))</f>
        <v/>
      </c>
      <c r="P2097" s="35" t="str">
        <f aca="false">IF(OR($A2097="",$C2097="U",$S2097&lt;&gt;Calc!$F$2),"",SUMIFS($N$3:$N$3002,$E$3:$E$3002,$E2097,$C$3:$C$3002,"&lt;&gt;U",$S$3:$S$3002,Calc!$F$2))</f>
        <v/>
      </c>
      <c r="Q2097" s="35" t="str">
        <f aca="false">IF(OR($A2097="",$C2097="U",$S2097&lt;&gt;Calc!$F$2),"",IF(COUNTIFS($E$3:$E2097,$E2097,$C$3:$C2097,"&lt;&gt;U",$S$3:$S2097,Calc!$F$2)=1,1,0))</f>
        <v/>
      </c>
      <c r="R2097" s="35" t="str">
        <f aca="false">IF($Q2097=1,$O2097-ROW()/100000,"")</f>
        <v/>
      </c>
      <c r="S2097" s="37" t="str">
        <f aca="false">IF($A2097="","",INT($A2097))</f>
        <v/>
      </c>
      <c r="T2097" s="35" t="str">
        <f aca="false">IF($A2097="","",IF(COUNTIFS($S$3:$S2097,$S2097)=1,1,0))</f>
        <v/>
      </c>
      <c r="U2097" s="37" t="str">
        <f aca="false">IF($T2097=1,$S2097,"")</f>
        <v/>
      </c>
    </row>
    <row r="2098" customFormat="false" ht="15" hidden="false" customHeight="false" outlineLevel="0" collapsed="false">
      <c r="M2098" s="35" t="str">
        <f aca="false">IF($A2098="","",HOUR($A2098))</f>
        <v/>
      </c>
      <c r="N2098" s="36" t="str">
        <f aca="false">IF($A2098="","",$I2098*$K2098)</f>
        <v/>
      </c>
      <c r="O2098" s="35" t="str">
        <f aca="false">IF(OR($A2098="",$C2098="U",$S2098&lt;&gt;Calc!$F$2),"",SUMIFS($I$3:$I$3002,$E$3:$E$3002,$E2098,$C$3:$C$3002,"&lt;&gt;U",$S$3:$S$3002,Calc!$F$2))</f>
        <v/>
      </c>
      <c r="P2098" s="35" t="str">
        <f aca="false">IF(OR($A2098="",$C2098="U",$S2098&lt;&gt;Calc!$F$2),"",SUMIFS($N$3:$N$3002,$E$3:$E$3002,$E2098,$C$3:$C$3002,"&lt;&gt;U",$S$3:$S$3002,Calc!$F$2))</f>
        <v/>
      </c>
      <c r="Q2098" s="35" t="str">
        <f aca="false">IF(OR($A2098="",$C2098="U",$S2098&lt;&gt;Calc!$F$2),"",IF(COUNTIFS($E$3:$E2098,$E2098,$C$3:$C2098,"&lt;&gt;U",$S$3:$S2098,Calc!$F$2)=1,1,0))</f>
        <v/>
      </c>
      <c r="R2098" s="35" t="str">
        <f aca="false">IF($Q2098=1,$O2098-ROW()/100000,"")</f>
        <v/>
      </c>
      <c r="S2098" s="37" t="str">
        <f aca="false">IF($A2098="","",INT($A2098))</f>
        <v/>
      </c>
      <c r="T2098" s="35" t="str">
        <f aca="false">IF($A2098="","",IF(COUNTIFS($S$3:$S2098,$S2098)=1,1,0))</f>
        <v/>
      </c>
      <c r="U2098" s="37" t="str">
        <f aca="false">IF($T2098=1,$S2098,"")</f>
        <v/>
      </c>
    </row>
    <row r="2099" customFormat="false" ht="15" hidden="false" customHeight="false" outlineLevel="0" collapsed="false">
      <c r="M2099" s="35" t="str">
        <f aca="false">IF($A2099="","",HOUR($A2099))</f>
        <v/>
      </c>
      <c r="N2099" s="36" t="str">
        <f aca="false">IF($A2099="","",$I2099*$K2099)</f>
        <v/>
      </c>
      <c r="O2099" s="35" t="str">
        <f aca="false">IF(OR($A2099="",$C2099="U",$S2099&lt;&gt;Calc!$F$2),"",SUMIFS($I$3:$I$3002,$E$3:$E$3002,$E2099,$C$3:$C$3002,"&lt;&gt;U",$S$3:$S$3002,Calc!$F$2))</f>
        <v/>
      </c>
      <c r="P2099" s="35" t="str">
        <f aca="false">IF(OR($A2099="",$C2099="U",$S2099&lt;&gt;Calc!$F$2),"",SUMIFS($N$3:$N$3002,$E$3:$E$3002,$E2099,$C$3:$C$3002,"&lt;&gt;U",$S$3:$S$3002,Calc!$F$2))</f>
        <v/>
      </c>
      <c r="Q2099" s="35" t="str">
        <f aca="false">IF(OR($A2099="",$C2099="U",$S2099&lt;&gt;Calc!$F$2),"",IF(COUNTIFS($E$3:$E2099,$E2099,$C$3:$C2099,"&lt;&gt;U",$S$3:$S2099,Calc!$F$2)=1,1,0))</f>
        <v/>
      </c>
      <c r="R2099" s="35" t="str">
        <f aca="false">IF($Q2099=1,$O2099-ROW()/100000,"")</f>
        <v/>
      </c>
      <c r="S2099" s="37" t="str">
        <f aca="false">IF($A2099="","",INT($A2099))</f>
        <v/>
      </c>
      <c r="T2099" s="35" t="str">
        <f aca="false">IF($A2099="","",IF(COUNTIFS($S$3:$S2099,$S2099)=1,1,0))</f>
        <v/>
      </c>
      <c r="U2099" s="37" t="str">
        <f aca="false">IF($T2099=1,$S2099,"")</f>
        <v/>
      </c>
    </row>
    <row r="2100" customFormat="false" ht="15" hidden="false" customHeight="false" outlineLevel="0" collapsed="false">
      <c r="M2100" s="35" t="str">
        <f aca="false">IF($A2100="","",HOUR($A2100))</f>
        <v/>
      </c>
      <c r="N2100" s="36" t="str">
        <f aca="false">IF($A2100="","",$I2100*$K2100)</f>
        <v/>
      </c>
      <c r="O2100" s="35" t="str">
        <f aca="false">IF(OR($A2100="",$C2100="U",$S2100&lt;&gt;Calc!$F$2),"",SUMIFS($I$3:$I$3002,$E$3:$E$3002,$E2100,$C$3:$C$3002,"&lt;&gt;U",$S$3:$S$3002,Calc!$F$2))</f>
        <v/>
      </c>
      <c r="P2100" s="35" t="str">
        <f aca="false">IF(OR($A2100="",$C2100="U",$S2100&lt;&gt;Calc!$F$2),"",SUMIFS($N$3:$N$3002,$E$3:$E$3002,$E2100,$C$3:$C$3002,"&lt;&gt;U",$S$3:$S$3002,Calc!$F$2))</f>
        <v/>
      </c>
      <c r="Q2100" s="35" t="str">
        <f aca="false">IF(OR($A2100="",$C2100="U",$S2100&lt;&gt;Calc!$F$2),"",IF(COUNTIFS($E$3:$E2100,$E2100,$C$3:$C2100,"&lt;&gt;U",$S$3:$S2100,Calc!$F$2)=1,1,0))</f>
        <v/>
      </c>
      <c r="R2100" s="35" t="str">
        <f aca="false">IF($Q2100=1,$O2100-ROW()/100000,"")</f>
        <v/>
      </c>
      <c r="S2100" s="37" t="str">
        <f aca="false">IF($A2100="","",INT($A2100))</f>
        <v/>
      </c>
      <c r="T2100" s="35" t="str">
        <f aca="false">IF($A2100="","",IF(COUNTIFS($S$3:$S2100,$S2100)=1,1,0))</f>
        <v/>
      </c>
      <c r="U2100" s="37" t="str">
        <f aca="false">IF($T2100=1,$S2100,"")</f>
        <v/>
      </c>
    </row>
    <row r="2101" customFormat="false" ht="15" hidden="false" customHeight="false" outlineLevel="0" collapsed="false">
      <c r="M2101" s="35" t="str">
        <f aca="false">IF($A2101="","",HOUR($A2101))</f>
        <v/>
      </c>
      <c r="N2101" s="36" t="str">
        <f aca="false">IF($A2101="","",$I2101*$K2101)</f>
        <v/>
      </c>
      <c r="O2101" s="35" t="str">
        <f aca="false">IF(OR($A2101="",$C2101="U",$S2101&lt;&gt;Calc!$F$2),"",SUMIFS($I$3:$I$3002,$E$3:$E$3002,$E2101,$C$3:$C$3002,"&lt;&gt;U",$S$3:$S$3002,Calc!$F$2))</f>
        <v/>
      </c>
      <c r="P2101" s="35" t="str">
        <f aca="false">IF(OR($A2101="",$C2101="U",$S2101&lt;&gt;Calc!$F$2),"",SUMIFS($N$3:$N$3002,$E$3:$E$3002,$E2101,$C$3:$C$3002,"&lt;&gt;U",$S$3:$S$3002,Calc!$F$2))</f>
        <v/>
      </c>
      <c r="Q2101" s="35" t="str">
        <f aca="false">IF(OR($A2101="",$C2101="U",$S2101&lt;&gt;Calc!$F$2),"",IF(COUNTIFS($E$3:$E2101,$E2101,$C$3:$C2101,"&lt;&gt;U",$S$3:$S2101,Calc!$F$2)=1,1,0))</f>
        <v/>
      </c>
      <c r="R2101" s="35" t="str">
        <f aca="false">IF($Q2101=1,$O2101-ROW()/100000,"")</f>
        <v/>
      </c>
      <c r="S2101" s="37" t="str">
        <f aca="false">IF($A2101="","",INT($A2101))</f>
        <v/>
      </c>
      <c r="T2101" s="35" t="str">
        <f aca="false">IF($A2101="","",IF(COUNTIFS($S$3:$S2101,$S2101)=1,1,0))</f>
        <v/>
      </c>
      <c r="U2101" s="37" t="str">
        <f aca="false">IF($T2101=1,$S2101,"")</f>
        <v/>
      </c>
    </row>
    <row r="2102" customFormat="false" ht="15" hidden="false" customHeight="false" outlineLevel="0" collapsed="false">
      <c r="M2102" s="35" t="str">
        <f aca="false">IF($A2102="","",HOUR($A2102))</f>
        <v/>
      </c>
      <c r="N2102" s="36" t="str">
        <f aca="false">IF($A2102="","",$I2102*$K2102)</f>
        <v/>
      </c>
      <c r="O2102" s="35" t="str">
        <f aca="false">IF(OR($A2102="",$C2102="U",$S2102&lt;&gt;Calc!$F$2),"",SUMIFS($I$3:$I$3002,$E$3:$E$3002,$E2102,$C$3:$C$3002,"&lt;&gt;U",$S$3:$S$3002,Calc!$F$2))</f>
        <v/>
      </c>
      <c r="P2102" s="35" t="str">
        <f aca="false">IF(OR($A2102="",$C2102="U",$S2102&lt;&gt;Calc!$F$2),"",SUMIFS($N$3:$N$3002,$E$3:$E$3002,$E2102,$C$3:$C$3002,"&lt;&gt;U",$S$3:$S$3002,Calc!$F$2))</f>
        <v/>
      </c>
      <c r="Q2102" s="35" t="str">
        <f aca="false">IF(OR($A2102="",$C2102="U",$S2102&lt;&gt;Calc!$F$2),"",IF(COUNTIFS($E$3:$E2102,$E2102,$C$3:$C2102,"&lt;&gt;U",$S$3:$S2102,Calc!$F$2)=1,1,0))</f>
        <v/>
      </c>
      <c r="R2102" s="35" t="str">
        <f aca="false">IF($Q2102=1,$O2102-ROW()/100000,"")</f>
        <v/>
      </c>
      <c r="S2102" s="37" t="str">
        <f aca="false">IF($A2102="","",INT($A2102))</f>
        <v/>
      </c>
      <c r="T2102" s="35" t="str">
        <f aca="false">IF($A2102="","",IF(COUNTIFS($S$3:$S2102,$S2102)=1,1,0))</f>
        <v/>
      </c>
      <c r="U2102" s="37" t="str">
        <f aca="false">IF($T2102=1,$S2102,"")</f>
        <v/>
      </c>
    </row>
    <row r="2103" customFormat="false" ht="15" hidden="false" customHeight="false" outlineLevel="0" collapsed="false">
      <c r="M2103" s="35" t="str">
        <f aca="false">IF($A2103="","",HOUR($A2103))</f>
        <v/>
      </c>
      <c r="N2103" s="36" t="str">
        <f aca="false">IF($A2103="","",$I2103*$K2103)</f>
        <v/>
      </c>
      <c r="O2103" s="35" t="str">
        <f aca="false">IF(OR($A2103="",$C2103="U",$S2103&lt;&gt;Calc!$F$2),"",SUMIFS($I$3:$I$3002,$E$3:$E$3002,$E2103,$C$3:$C$3002,"&lt;&gt;U",$S$3:$S$3002,Calc!$F$2))</f>
        <v/>
      </c>
      <c r="P2103" s="35" t="str">
        <f aca="false">IF(OR($A2103="",$C2103="U",$S2103&lt;&gt;Calc!$F$2),"",SUMIFS($N$3:$N$3002,$E$3:$E$3002,$E2103,$C$3:$C$3002,"&lt;&gt;U",$S$3:$S$3002,Calc!$F$2))</f>
        <v/>
      </c>
      <c r="Q2103" s="35" t="str">
        <f aca="false">IF(OR($A2103="",$C2103="U",$S2103&lt;&gt;Calc!$F$2),"",IF(COUNTIFS($E$3:$E2103,$E2103,$C$3:$C2103,"&lt;&gt;U",$S$3:$S2103,Calc!$F$2)=1,1,0))</f>
        <v/>
      </c>
      <c r="R2103" s="35" t="str">
        <f aca="false">IF($Q2103=1,$O2103-ROW()/100000,"")</f>
        <v/>
      </c>
      <c r="S2103" s="37" t="str">
        <f aca="false">IF($A2103="","",INT($A2103))</f>
        <v/>
      </c>
      <c r="T2103" s="35" t="str">
        <f aca="false">IF($A2103="","",IF(COUNTIFS($S$3:$S2103,$S2103)=1,1,0))</f>
        <v/>
      </c>
      <c r="U2103" s="37" t="str">
        <f aca="false">IF($T2103=1,$S2103,"")</f>
        <v/>
      </c>
    </row>
    <row r="2104" customFormat="false" ht="15" hidden="false" customHeight="false" outlineLevel="0" collapsed="false">
      <c r="M2104" s="35" t="str">
        <f aca="false">IF($A2104="","",HOUR($A2104))</f>
        <v/>
      </c>
      <c r="N2104" s="36" t="str">
        <f aca="false">IF($A2104="","",$I2104*$K2104)</f>
        <v/>
      </c>
      <c r="O2104" s="35" t="str">
        <f aca="false">IF(OR($A2104="",$C2104="U",$S2104&lt;&gt;Calc!$F$2),"",SUMIFS($I$3:$I$3002,$E$3:$E$3002,$E2104,$C$3:$C$3002,"&lt;&gt;U",$S$3:$S$3002,Calc!$F$2))</f>
        <v/>
      </c>
      <c r="P2104" s="35" t="str">
        <f aca="false">IF(OR($A2104="",$C2104="U",$S2104&lt;&gt;Calc!$F$2),"",SUMIFS($N$3:$N$3002,$E$3:$E$3002,$E2104,$C$3:$C$3002,"&lt;&gt;U",$S$3:$S$3002,Calc!$F$2))</f>
        <v/>
      </c>
      <c r="Q2104" s="35" t="str">
        <f aca="false">IF(OR($A2104="",$C2104="U",$S2104&lt;&gt;Calc!$F$2),"",IF(COUNTIFS($E$3:$E2104,$E2104,$C$3:$C2104,"&lt;&gt;U",$S$3:$S2104,Calc!$F$2)=1,1,0))</f>
        <v/>
      </c>
      <c r="R2104" s="35" t="str">
        <f aca="false">IF($Q2104=1,$O2104-ROW()/100000,"")</f>
        <v/>
      </c>
      <c r="S2104" s="37" t="str">
        <f aca="false">IF($A2104="","",INT($A2104))</f>
        <v/>
      </c>
      <c r="T2104" s="35" t="str">
        <f aca="false">IF($A2104="","",IF(COUNTIFS($S$3:$S2104,$S2104)=1,1,0))</f>
        <v/>
      </c>
      <c r="U2104" s="37" t="str">
        <f aca="false">IF($T2104=1,$S2104,"")</f>
        <v/>
      </c>
    </row>
    <row r="2105" customFormat="false" ht="15" hidden="false" customHeight="false" outlineLevel="0" collapsed="false">
      <c r="M2105" s="35" t="str">
        <f aca="false">IF($A2105="","",HOUR($A2105))</f>
        <v/>
      </c>
      <c r="N2105" s="36" t="str">
        <f aca="false">IF($A2105="","",$I2105*$K2105)</f>
        <v/>
      </c>
      <c r="O2105" s="35" t="str">
        <f aca="false">IF(OR($A2105="",$C2105="U",$S2105&lt;&gt;Calc!$F$2),"",SUMIFS($I$3:$I$3002,$E$3:$E$3002,$E2105,$C$3:$C$3002,"&lt;&gt;U",$S$3:$S$3002,Calc!$F$2))</f>
        <v/>
      </c>
      <c r="P2105" s="35" t="str">
        <f aca="false">IF(OR($A2105="",$C2105="U",$S2105&lt;&gt;Calc!$F$2),"",SUMIFS($N$3:$N$3002,$E$3:$E$3002,$E2105,$C$3:$C$3002,"&lt;&gt;U",$S$3:$S$3002,Calc!$F$2))</f>
        <v/>
      </c>
      <c r="Q2105" s="35" t="str">
        <f aca="false">IF(OR($A2105="",$C2105="U",$S2105&lt;&gt;Calc!$F$2),"",IF(COUNTIFS($E$3:$E2105,$E2105,$C$3:$C2105,"&lt;&gt;U",$S$3:$S2105,Calc!$F$2)=1,1,0))</f>
        <v/>
      </c>
      <c r="R2105" s="35" t="str">
        <f aca="false">IF($Q2105=1,$O2105-ROW()/100000,"")</f>
        <v/>
      </c>
      <c r="S2105" s="37" t="str">
        <f aca="false">IF($A2105="","",INT($A2105))</f>
        <v/>
      </c>
      <c r="T2105" s="35" t="str">
        <f aca="false">IF($A2105="","",IF(COUNTIFS($S$3:$S2105,$S2105)=1,1,0))</f>
        <v/>
      </c>
      <c r="U2105" s="37" t="str">
        <f aca="false">IF($T2105=1,$S2105,"")</f>
        <v/>
      </c>
    </row>
    <row r="2106" customFormat="false" ht="15" hidden="false" customHeight="false" outlineLevel="0" collapsed="false">
      <c r="M2106" s="35" t="str">
        <f aca="false">IF($A2106="","",HOUR($A2106))</f>
        <v/>
      </c>
      <c r="N2106" s="36" t="str">
        <f aca="false">IF($A2106="","",$I2106*$K2106)</f>
        <v/>
      </c>
      <c r="O2106" s="35" t="str">
        <f aca="false">IF(OR($A2106="",$C2106="U",$S2106&lt;&gt;Calc!$F$2),"",SUMIFS($I$3:$I$3002,$E$3:$E$3002,$E2106,$C$3:$C$3002,"&lt;&gt;U",$S$3:$S$3002,Calc!$F$2))</f>
        <v/>
      </c>
      <c r="P2106" s="35" t="str">
        <f aca="false">IF(OR($A2106="",$C2106="U",$S2106&lt;&gt;Calc!$F$2),"",SUMIFS($N$3:$N$3002,$E$3:$E$3002,$E2106,$C$3:$C$3002,"&lt;&gt;U",$S$3:$S$3002,Calc!$F$2))</f>
        <v/>
      </c>
      <c r="Q2106" s="35" t="str">
        <f aca="false">IF(OR($A2106="",$C2106="U",$S2106&lt;&gt;Calc!$F$2),"",IF(COUNTIFS($E$3:$E2106,$E2106,$C$3:$C2106,"&lt;&gt;U",$S$3:$S2106,Calc!$F$2)=1,1,0))</f>
        <v/>
      </c>
      <c r="R2106" s="35" t="str">
        <f aca="false">IF($Q2106=1,$O2106-ROW()/100000,"")</f>
        <v/>
      </c>
      <c r="S2106" s="37" t="str">
        <f aca="false">IF($A2106="","",INT($A2106))</f>
        <v/>
      </c>
      <c r="T2106" s="35" t="str">
        <f aca="false">IF($A2106="","",IF(COUNTIFS($S$3:$S2106,$S2106)=1,1,0))</f>
        <v/>
      </c>
      <c r="U2106" s="37" t="str">
        <f aca="false">IF($T2106=1,$S2106,"")</f>
        <v/>
      </c>
    </row>
    <row r="2107" customFormat="false" ht="15" hidden="false" customHeight="false" outlineLevel="0" collapsed="false">
      <c r="M2107" s="35" t="str">
        <f aca="false">IF($A2107="","",HOUR($A2107))</f>
        <v/>
      </c>
      <c r="N2107" s="36" t="str">
        <f aca="false">IF($A2107="","",$I2107*$K2107)</f>
        <v/>
      </c>
      <c r="O2107" s="35" t="str">
        <f aca="false">IF(OR($A2107="",$C2107="U",$S2107&lt;&gt;Calc!$F$2),"",SUMIFS($I$3:$I$3002,$E$3:$E$3002,$E2107,$C$3:$C$3002,"&lt;&gt;U",$S$3:$S$3002,Calc!$F$2))</f>
        <v/>
      </c>
      <c r="P2107" s="35" t="str">
        <f aca="false">IF(OR($A2107="",$C2107="U",$S2107&lt;&gt;Calc!$F$2),"",SUMIFS($N$3:$N$3002,$E$3:$E$3002,$E2107,$C$3:$C$3002,"&lt;&gt;U",$S$3:$S$3002,Calc!$F$2))</f>
        <v/>
      </c>
      <c r="Q2107" s="35" t="str">
        <f aca="false">IF(OR($A2107="",$C2107="U",$S2107&lt;&gt;Calc!$F$2),"",IF(COUNTIFS($E$3:$E2107,$E2107,$C$3:$C2107,"&lt;&gt;U",$S$3:$S2107,Calc!$F$2)=1,1,0))</f>
        <v/>
      </c>
      <c r="R2107" s="35" t="str">
        <f aca="false">IF($Q2107=1,$O2107-ROW()/100000,"")</f>
        <v/>
      </c>
      <c r="S2107" s="37" t="str">
        <f aca="false">IF($A2107="","",INT($A2107))</f>
        <v/>
      </c>
      <c r="T2107" s="35" t="str">
        <f aca="false">IF($A2107="","",IF(COUNTIFS($S$3:$S2107,$S2107)=1,1,0))</f>
        <v/>
      </c>
      <c r="U2107" s="37" t="str">
        <f aca="false">IF($T2107=1,$S2107,"")</f>
        <v/>
      </c>
    </row>
    <row r="2108" customFormat="false" ht="15" hidden="false" customHeight="false" outlineLevel="0" collapsed="false">
      <c r="M2108" s="35" t="str">
        <f aca="false">IF($A2108="","",HOUR($A2108))</f>
        <v/>
      </c>
      <c r="N2108" s="36" t="str">
        <f aca="false">IF($A2108="","",$I2108*$K2108)</f>
        <v/>
      </c>
      <c r="O2108" s="35" t="str">
        <f aca="false">IF(OR($A2108="",$C2108="U",$S2108&lt;&gt;Calc!$F$2),"",SUMIFS($I$3:$I$3002,$E$3:$E$3002,$E2108,$C$3:$C$3002,"&lt;&gt;U",$S$3:$S$3002,Calc!$F$2))</f>
        <v/>
      </c>
      <c r="P2108" s="35" t="str">
        <f aca="false">IF(OR($A2108="",$C2108="U",$S2108&lt;&gt;Calc!$F$2),"",SUMIFS($N$3:$N$3002,$E$3:$E$3002,$E2108,$C$3:$C$3002,"&lt;&gt;U",$S$3:$S$3002,Calc!$F$2))</f>
        <v/>
      </c>
      <c r="Q2108" s="35" t="str">
        <f aca="false">IF(OR($A2108="",$C2108="U",$S2108&lt;&gt;Calc!$F$2),"",IF(COUNTIFS($E$3:$E2108,$E2108,$C$3:$C2108,"&lt;&gt;U",$S$3:$S2108,Calc!$F$2)=1,1,0))</f>
        <v/>
      </c>
      <c r="R2108" s="35" t="str">
        <f aca="false">IF($Q2108=1,$O2108-ROW()/100000,"")</f>
        <v/>
      </c>
      <c r="S2108" s="37" t="str">
        <f aca="false">IF($A2108="","",INT($A2108))</f>
        <v/>
      </c>
      <c r="T2108" s="35" t="str">
        <f aca="false">IF($A2108="","",IF(COUNTIFS($S$3:$S2108,$S2108)=1,1,0))</f>
        <v/>
      </c>
      <c r="U2108" s="37" t="str">
        <f aca="false">IF($T2108=1,$S2108,"")</f>
        <v/>
      </c>
    </row>
    <row r="2109" customFormat="false" ht="15" hidden="false" customHeight="false" outlineLevel="0" collapsed="false">
      <c r="M2109" s="35" t="str">
        <f aca="false">IF($A2109="","",HOUR($A2109))</f>
        <v/>
      </c>
      <c r="N2109" s="36" t="str">
        <f aca="false">IF($A2109="","",$I2109*$K2109)</f>
        <v/>
      </c>
      <c r="O2109" s="35" t="str">
        <f aca="false">IF(OR($A2109="",$C2109="U",$S2109&lt;&gt;Calc!$F$2),"",SUMIFS($I$3:$I$3002,$E$3:$E$3002,$E2109,$C$3:$C$3002,"&lt;&gt;U",$S$3:$S$3002,Calc!$F$2))</f>
        <v/>
      </c>
      <c r="P2109" s="35" t="str">
        <f aca="false">IF(OR($A2109="",$C2109="U",$S2109&lt;&gt;Calc!$F$2),"",SUMIFS($N$3:$N$3002,$E$3:$E$3002,$E2109,$C$3:$C$3002,"&lt;&gt;U",$S$3:$S$3002,Calc!$F$2))</f>
        <v/>
      </c>
      <c r="Q2109" s="35" t="str">
        <f aca="false">IF(OR($A2109="",$C2109="U",$S2109&lt;&gt;Calc!$F$2),"",IF(COUNTIFS($E$3:$E2109,$E2109,$C$3:$C2109,"&lt;&gt;U",$S$3:$S2109,Calc!$F$2)=1,1,0))</f>
        <v/>
      </c>
      <c r="R2109" s="35" t="str">
        <f aca="false">IF($Q2109=1,$O2109-ROW()/100000,"")</f>
        <v/>
      </c>
      <c r="S2109" s="37" t="str">
        <f aca="false">IF($A2109="","",INT($A2109))</f>
        <v/>
      </c>
      <c r="T2109" s="35" t="str">
        <f aca="false">IF($A2109="","",IF(COUNTIFS($S$3:$S2109,$S2109)=1,1,0))</f>
        <v/>
      </c>
      <c r="U2109" s="37" t="str">
        <f aca="false">IF($T2109=1,$S2109,"")</f>
        <v/>
      </c>
    </row>
    <row r="2110" customFormat="false" ht="15" hidden="false" customHeight="false" outlineLevel="0" collapsed="false">
      <c r="M2110" s="35" t="str">
        <f aca="false">IF($A2110="","",HOUR($A2110))</f>
        <v/>
      </c>
      <c r="N2110" s="36" t="str">
        <f aca="false">IF($A2110="","",$I2110*$K2110)</f>
        <v/>
      </c>
      <c r="O2110" s="35" t="str">
        <f aca="false">IF(OR($A2110="",$C2110="U",$S2110&lt;&gt;Calc!$F$2),"",SUMIFS($I$3:$I$3002,$E$3:$E$3002,$E2110,$C$3:$C$3002,"&lt;&gt;U",$S$3:$S$3002,Calc!$F$2))</f>
        <v/>
      </c>
      <c r="P2110" s="35" t="str">
        <f aca="false">IF(OR($A2110="",$C2110="U",$S2110&lt;&gt;Calc!$F$2),"",SUMIFS($N$3:$N$3002,$E$3:$E$3002,$E2110,$C$3:$C$3002,"&lt;&gt;U",$S$3:$S$3002,Calc!$F$2))</f>
        <v/>
      </c>
      <c r="Q2110" s="35" t="str">
        <f aca="false">IF(OR($A2110="",$C2110="U",$S2110&lt;&gt;Calc!$F$2),"",IF(COUNTIFS($E$3:$E2110,$E2110,$C$3:$C2110,"&lt;&gt;U",$S$3:$S2110,Calc!$F$2)=1,1,0))</f>
        <v/>
      </c>
      <c r="R2110" s="35" t="str">
        <f aca="false">IF($Q2110=1,$O2110-ROW()/100000,"")</f>
        <v/>
      </c>
      <c r="S2110" s="37" t="str">
        <f aca="false">IF($A2110="","",INT($A2110))</f>
        <v/>
      </c>
      <c r="T2110" s="35" t="str">
        <f aca="false">IF($A2110="","",IF(COUNTIFS($S$3:$S2110,$S2110)=1,1,0))</f>
        <v/>
      </c>
      <c r="U2110" s="37" t="str">
        <f aca="false">IF($T2110=1,$S2110,"")</f>
        <v/>
      </c>
    </row>
    <row r="2111" customFormat="false" ht="15" hidden="false" customHeight="false" outlineLevel="0" collapsed="false">
      <c r="M2111" s="35" t="str">
        <f aca="false">IF($A2111="","",HOUR($A2111))</f>
        <v/>
      </c>
      <c r="N2111" s="36" t="str">
        <f aca="false">IF($A2111="","",$I2111*$K2111)</f>
        <v/>
      </c>
      <c r="O2111" s="35" t="str">
        <f aca="false">IF(OR($A2111="",$C2111="U",$S2111&lt;&gt;Calc!$F$2),"",SUMIFS($I$3:$I$3002,$E$3:$E$3002,$E2111,$C$3:$C$3002,"&lt;&gt;U",$S$3:$S$3002,Calc!$F$2))</f>
        <v/>
      </c>
      <c r="P2111" s="35" t="str">
        <f aca="false">IF(OR($A2111="",$C2111="U",$S2111&lt;&gt;Calc!$F$2),"",SUMIFS($N$3:$N$3002,$E$3:$E$3002,$E2111,$C$3:$C$3002,"&lt;&gt;U",$S$3:$S$3002,Calc!$F$2))</f>
        <v/>
      </c>
      <c r="Q2111" s="35" t="str">
        <f aca="false">IF(OR($A2111="",$C2111="U",$S2111&lt;&gt;Calc!$F$2),"",IF(COUNTIFS($E$3:$E2111,$E2111,$C$3:$C2111,"&lt;&gt;U",$S$3:$S2111,Calc!$F$2)=1,1,0))</f>
        <v/>
      </c>
      <c r="R2111" s="35" t="str">
        <f aca="false">IF($Q2111=1,$O2111-ROW()/100000,"")</f>
        <v/>
      </c>
      <c r="S2111" s="37" t="str">
        <f aca="false">IF($A2111="","",INT($A2111))</f>
        <v/>
      </c>
      <c r="T2111" s="35" t="str">
        <f aca="false">IF($A2111="","",IF(COUNTIFS($S$3:$S2111,$S2111)=1,1,0))</f>
        <v/>
      </c>
      <c r="U2111" s="37" t="str">
        <f aca="false">IF($T2111=1,$S2111,"")</f>
        <v/>
      </c>
    </row>
    <row r="2112" customFormat="false" ht="15" hidden="false" customHeight="false" outlineLevel="0" collapsed="false">
      <c r="M2112" s="35" t="str">
        <f aca="false">IF($A2112="","",HOUR($A2112))</f>
        <v/>
      </c>
      <c r="N2112" s="36" t="str">
        <f aca="false">IF($A2112="","",$I2112*$K2112)</f>
        <v/>
      </c>
      <c r="O2112" s="35" t="str">
        <f aca="false">IF(OR($A2112="",$C2112="U",$S2112&lt;&gt;Calc!$F$2),"",SUMIFS($I$3:$I$3002,$E$3:$E$3002,$E2112,$C$3:$C$3002,"&lt;&gt;U",$S$3:$S$3002,Calc!$F$2))</f>
        <v/>
      </c>
      <c r="P2112" s="35" t="str">
        <f aca="false">IF(OR($A2112="",$C2112="U",$S2112&lt;&gt;Calc!$F$2),"",SUMIFS($N$3:$N$3002,$E$3:$E$3002,$E2112,$C$3:$C$3002,"&lt;&gt;U",$S$3:$S$3002,Calc!$F$2))</f>
        <v/>
      </c>
      <c r="Q2112" s="35" t="str">
        <f aca="false">IF(OR($A2112="",$C2112="U",$S2112&lt;&gt;Calc!$F$2),"",IF(COUNTIFS($E$3:$E2112,$E2112,$C$3:$C2112,"&lt;&gt;U",$S$3:$S2112,Calc!$F$2)=1,1,0))</f>
        <v/>
      </c>
      <c r="R2112" s="35" t="str">
        <f aca="false">IF($Q2112=1,$O2112-ROW()/100000,"")</f>
        <v/>
      </c>
      <c r="S2112" s="37" t="str">
        <f aca="false">IF($A2112="","",INT($A2112))</f>
        <v/>
      </c>
      <c r="T2112" s="35" t="str">
        <f aca="false">IF($A2112="","",IF(COUNTIFS($S$3:$S2112,$S2112)=1,1,0))</f>
        <v/>
      </c>
      <c r="U2112" s="37" t="str">
        <f aca="false">IF($T2112=1,$S2112,"")</f>
        <v/>
      </c>
    </row>
    <row r="2113" customFormat="false" ht="15" hidden="false" customHeight="false" outlineLevel="0" collapsed="false">
      <c r="M2113" s="35" t="str">
        <f aca="false">IF($A2113="","",HOUR($A2113))</f>
        <v/>
      </c>
      <c r="N2113" s="36" t="str">
        <f aca="false">IF($A2113="","",$I2113*$K2113)</f>
        <v/>
      </c>
      <c r="O2113" s="35" t="str">
        <f aca="false">IF(OR($A2113="",$C2113="U",$S2113&lt;&gt;Calc!$F$2),"",SUMIFS($I$3:$I$3002,$E$3:$E$3002,$E2113,$C$3:$C$3002,"&lt;&gt;U",$S$3:$S$3002,Calc!$F$2))</f>
        <v/>
      </c>
      <c r="P2113" s="35" t="str">
        <f aca="false">IF(OR($A2113="",$C2113="U",$S2113&lt;&gt;Calc!$F$2),"",SUMIFS($N$3:$N$3002,$E$3:$E$3002,$E2113,$C$3:$C$3002,"&lt;&gt;U",$S$3:$S$3002,Calc!$F$2))</f>
        <v/>
      </c>
      <c r="Q2113" s="35" t="str">
        <f aca="false">IF(OR($A2113="",$C2113="U",$S2113&lt;&gt;Calc!$F$2),"",IF(COUNTIFS($E$3:$E2113,$E2113,$C$3:$C2113,"&lt;&gt;U",$S$3:$S2113,Calc!$F$2)=1,1,0))</f>
        <v/>
      </c>
      <c r="R2113" s="35" t="str">
        <f aca="false">IF($Q2113=1,$O2113-ROW()/100000,"")</f>
        <v/>
      </c>
      <c r="S2113" s="37" t="str">
        <f aca="false">IF($A2113="","",INT($A2113))</f>
        <v/>
      </c>
      <c r="T2113" s="35" t="str">
        <f aca="false">IF($A2113="","",IF(COUNTIFS($S$3:$S2113,$S2113)=1,1,0))</f>
        <v/>
      </c>
      <c r="U2113" s="37" t="str">
        <f aca="false">IF($T2113=1,$S2113,"")</f>
        <v/>
      </c>
    </row>
    <row r="2114" customFormat="false" ht="15" hidden="false" customHeight="false" outlineLevel="0" collapsed="false">
      <c r="M2114" s="35" t="str">
        <f aca="false">IF($A2114="","",HOUR($A2114))</f>
        <v/>
      </c>
      <c r="N2114" s="36" t="str">
        <f aca="false">IF($A2114="","",$I2114*$K2114)</f>
        <v/>
      </c>
      <c r="O2114" s="35" t="str">
        <f aca="false">IF(OR($A2114="",$C2114="U",$S2114&lt;&gt;Calc!$F$2),"",SUMIFS($I$3:$I$3002,$E$3:$E$3002,$E2114,$C$3:$C$3002,"&lt;&gt;U",$S$3:$S$3002,Calc!$F$2))</f>
        <v/>
      </c>
      <c r="P2114" s="35" t="str">
        <f aca="false">IF(OR($A2114="",$C2114="U",$S2114&lt;&gt;Calc!$F$2),"",SUMIFS($N$3:$N$3002,$E$3:$E$3002,$E2114,$C$3:$C$3002,"&lt;&gt;U",$S$3:$S$3002,Calc!$F$2))</f>
        <v/>
      </c>
      <c r="Q2114" s="35" t="str">
        <f aca="false">IF(OR($A2114="",$C2114="U",$S2114&lt;&gt;Calc!$F$2),"",IF(COUNTIFS($E$3:$E2114,$E2114,$C$3:$C2114,"&lt;&gt;U",$S$3:$S2114,Calc!$F$2)=1,1,0))</f>
        <v/>
      </c>
      <c r="R2114" s="35" t="str">
        <f aca="false">IF($Q2114=1,$O2114-ROW()/100000,"")</f>
        <v/>
      </c>
      <c r="S2114" s="37" t="str">
        <f aca="false">IF($A2114="","",INT($A2114))</f>
        <v/>
      </c>
      <c r="T2114" s="35" t="str">
        <f aca="false">IF($A2114="","",IF(COUNTIFS($S$3:$S2114,$S2114)=1,1,0))</f>
        <v/>
      </c>
      <c r="U2114" s="37" t="str">
        <f aca="false">IF($T2114=1,$S2114,"")</f>
        <v/>
      </c>
    </row>
    <row r="2115" customFormat="false" ht="15" hidden="false" customHeight="false" outlineLevel="0" collapsed="false">
      <c r="M2115" s="35" t="str">
        <f aca="false">IF($A2115="","",HOUR($A2115))</f>
        <v/>
      </c>
      <c r="N2115" s="36" t="str">
        <f aca="false">IF($A2115="","",$I2115*$K2115)</f>
        <v/>
      </c>
      <c r="O2115" s="35" t="str">
        <f aca="false">IF(OR($A2115="",$C2115="U",$S2115&lt;&gt;Calc!$F$2),"",SUMIFS($I$3:$I$3002,$E$3:$E$3002,$E2115,$C$3:$C$3002,"&lt;&gt;U",$S$3:$S$3002,Calc!$F$2))</f>
        <v/>
      </c>
      <c r="P2115" s="35" t="str">
        <f aca="false">IF(OR($A2115="",$C2115="U",$S2115&lt;&gt;Calc!$F$2),"",SUMIFS($N$3:$N$3002,$E$3:$E$3002,$E2115,$C$3:$C$3002,"&lt;&gt;U",$S$3:$S$3002,Calc!$F$2))</f>
        <v/>
      </c>
      <c r="Q2115" s="35" t="str">
        <f aca="false">IF(OR($A2115="",$C2115="U",$S2115&lt;&gt;Calc!$F$2),"",IF(COUNTIFS($E$3:$E2115,$E2115,$C$3:$C2115,"&lt;&gt;U",$S$3:$S2115,Calc!$F$2)=1,1,0))</f>
        <v/>
      </c>
      <c r="R2115" s="35" t="str">
        <f aca="false">IF($Q2115=1,$O2115-ROW()/100000,"")</f>
        <v/>
      </c>
      <c r="S2115" s="37" t="str">
        <f aca="false">IF($A2115="","",INT($A2115))</f>
        <v/>
      </c>
      <c r="T2115" s="35" t="str">
        <f aca="false">IF($A2115="","",IF(COUNTIFS($S$3:$S2115,$S2115)=1,1,0))</f>
        <v/>
      </c>
      <c r="U2115" s="37" t="str">
        <f aca="false">IF($T2115=1,$S2115,"")</f>
        <v/>
      </c>
    </row>
    <row r="2116" customFormat="false" ht="15" hidden="false" customHeight="false" outlineLevel="0" collapsed="false">
      <c r="M2116" s="35" t="str">
        <f aca="false">IF($A2116="","",HOUR($A2116))</f>
        <v/>
      </c>
      <c r="N2116" s="36" t="str">
        <f aca="false">IF($A2116="","",$I2116*$K2116)</f>
        <v/>
      </c>
      <c r="O2116" s="35" t="str">
        <f aca="false">IF(OR($A2116="",$C2116="U",$S2116&lt;&gt;Calc!$F$2),"",SUMIFS($I$3:$I$3002,$E$3:$E$3002,$E2116,$C$3:$C$3002,"&lt;&gt;U",$S$3:$S$3002,Calc!$F$2))</f>
        <v/>
      </c>
      <c r="P2116" s="35" t="str">
        <f aca="false">IF(OR($A2116="",$C2116="U",$S2116&lt;&gt;Calc!$F$2),"",SUMIFS($N$3:$N$3002,$E$3:$E$3002,$E2116,$C$3:$C$3002,"&lt;&gt;U",$S$3:$S$3002,Calc!$F$2))</f>
        <v/>
      </c>
      <c r="Q2116" s="35" t="str">
        <f aca="false">IF(OR($A2116="",$C2116="U",$S2116&lt;&gt;Calc!$F$2),"",IF(COUNTIFS($E$3:$E2116,$E2116,$C$3:$C2116,"&lt;&gt;U",$S$3:$S2116,Calc!$F$2)=1,1,0))</f>
        <v/>
      </c>
      <c r="R2116" s="35" t="str">
        <f aca="false">IF($Q2116=1,$O2116-ROW()/100000,"")</f>
        <v/>
      </c>
      <c r="S2116" s="37" t="str">
        <f aca="false">IF($A2116="","",INT($A2116))</f>
        <v/>
      </c>
      <c r="T2116" s="35" t="str">
        <f aca="false">IF($A2116="","",IF(COUNTIFS($S$3:$S2116,$S2116)=1,1,0))</f>
        <v/>
      </c>
      <c r="U2116" s="37" t="str">
        <f aca="false">IF($T2116=1,$S2116,"")</f>
        <v/>
      </c>
    </row>
    <row r="2117" customFormat="false" ht="15" hidden="false" customHeight="false" outlineLevel="0" collapsed="false">
      <c r="M2117" s="35" t="str">
        <f aca="false">IF($A2117="","",HOUR($A2117))</f>
        <v/>
      </c>
      <c r="N2117" s="36" t="str">
        <f aca="false">IF($A2117="","",$I2117*$K2117)</f>
        <v/>
      </c>
      <c r="O2117" s="35" t="str">
        <f aca="false">IF(OR($A2117="",$C2117="U",$S2117&lt;&gt;Calc!$F$2),"",SUMIFS($I$3:$I$3002,$E$3:$E$3002,$E2117,$C$3:$C$3002,"&lt;&gt;U",$S$3:$S$3002,Calc!$F$2))</f>
        <v/>
      </c>
      <c r="P2117" s="35" t="str">
        <f aca="false">IF(OR($A2117="",$C2117="U",$S2117&lt;&gt;Calc!$F$2),"",SUMIFS($N$3:$N$3002,$E$3:$E$3002,$E2117,$C$3:$C$3002,"&lt;&gt;U",$S$3:$S$3002,Calc!$F$2))</f>
        <v/>
      </c>
      <c r="Q2117" s="35" t="str">
        <f aca="false">IF(OR($A2117="",$C2117="U",$S2117&lt;&gt;Calc!$F$2),"",IF(COUNTIFS($E$3:$E2117,$E2117,$C$3:$C2117,"&lt;&gt;U",$S$3:$S2117,Calc!$F$2)=1,1,0))</f>
        <v/>
      </c>
      <c r="R2117" s="35" t="str">
        <f aca="false">IF($Q2117=1,$O2117-ROW()/100000,"")</f>
        <v/>
      </c>
      <c r="S2117" s="37" t="str">
        <f aca="false">IF($A2117="","",INT($A2117))</f>
        <v/>
      </c>
      <c r="T2117" s="35" t="str">
        <f aca="false">IF($A2117="","",IF(COUNTIFS($S$3:$S2117,$S2117)=1,1,0))</f>
        <v/>
      </c>
      <c r="U2117" s="37" t="str">
        <f aca="false">IF($T2117=1,$S2117,"")</f>
        <v/>
      </c>
    </row>
    <row r="2118" customFormat="false" ht="15" hidden="false" customHeight="false" outlineLevel="0" collapsed="false">
      <c r="M2118" s="35" t="str">
        <f aca="false">IF($A2118="","",HOUR($A2118))</f>
        <v/>
      </c>
      <c r="N2118" s="36" t="str">
        <f aca="false">IF($A2118="","",$I2118*$K2118)</f>
        <v/>
      </c>
      <c r="O2118" s="35" t="str">
        <f aca="false">IF(OR($A2118="",$C2118="U",$S2118&lt;&gt;Calc!$F$2),"",SUMIFS($I$3:$I$3002,$E$3:$E$3002,$E2118,$C$3:$C$3002,"&lt;&gt;U",$S$3:$S$3002,Calc!$F$2))</f>
        <v/>
      </c>
      <c r="P2118" s="35" t="str">
        <f aca="false">IF(OR($A2118="",$C2118="U",$S2118&lt;&gt;Calc!$F$2),"",SUMIFS($N$3:$N$3002,$E$3:$E$3002,$E2118,$C$3:$C$3002,"&lt;&gt;U",$S$3:$S$3002,Calc!$F$2))</f>
        <v/>
      </c>
      <c r="Q2118" s="35" t="str">
        <f aca="false">IF(OR($A2118="",$C2118="U",$S2118&lt;&gt;Calc!$F$2),"",IF(COUNTIFS($E$3:$E2118,$E2118,$C$3:$C2118,"&lt;&gt;U",$S$3:$S2118,Calc!$F$2)=1,1,0))</f>
        <v/>
      </c>
      <c r="R2118" s="35" t="str">
        <f aca="false">IF($Q2118=1,$O2118-ROW()/100000,"")</f>
        <v/>
      </c>
      <c r="S2118" s="37" t="str">
        <f aca="false">IF($A2118="","",INT($A2118))</f>
        <v/>
      </c>
      <c r="T2118" s="35" t="str">
        <f aca="false">IF($A2118="","",IF(COUNTIFS($S$3:$S2118,$S2118)=1,1,0))</f>
        <v/>
      </c>
      <c r="U2118" s="37" t="str">
        <f aca="false">IF($T2118=1,$S2118,"")</f>
        <v/>
      </c>
    </row>
    <row r="2119" customFormat="false" ht="15" hidden="false" customHeight="false" outlineLevel="0" collapsed="false">
      <c r="M2119" s="35" t="str">
        <f aca="false">IF($A2119="","",HOUR($A2119))</f>
        <v/>
      </c>
      <c r="N2119" s="36" t="str">
        <f aca="false">IF($A2119="","",$I2119*$K2119)</f>
        <v/>
      </c>
      <c r="O2119" s="35" t="str">
        <f aca="false">IF(OR($A2119="",$C2119="U",$S2119&lt;&gt;Calc!$F$2),"",SUMIFS($I$3:$I$3002,$E$3:$E$3002,$E2119,$C$3:$C$3002,"&lt;&gt;U",$S$3:$S$3002,Calc!$F$2))</f>
        <v/>
      </c>
      <c r="P2119" s="35" t="str">
        <f aca="false">IF(OR($A2119="",$C2119="U",$S2119&lt;&gt;Calc!$F$2),"",SUMIFS($N$3:$N$3002,$E$3:$E$3002,$E2119,$C$3:$C$3002,"&lt;&gt;U",$S$3:$S$3002,Calc!$F$2))</f>
        <v/>
      </c>
      <c r="Q2119" s="35" t="str">
        <f aca="false">IF(OR($A2119="",$C2119="U",$S2119&lt;&gt;Calc!$F$2),"",IF(COUNTIFS($E$3:$E2119,$E2119,$C$3:$C2119,"&lt;&gt;U",$S$3:$S2119,Calc!$F$2)=1,1,0))</f>
        <v/>
      </c>
      <c r="R2119" s="35" t="str">
        <f aca="false">IF($Q2119=1,$O2119-ROW()/100000,"")</f>
        <v/>
      </c>
      <c r="S2119" s="37" t="str">
        <f aca="false">IF($A2119="","",INT($A2119))</f>
        <v/>
      </c>
      <c r="T2119" s="35" t="str">
        <f aca="false">IF($A2119="","",IF(COUNTIFS($S$3:$S2119,$S2119)=1,1,0))</f>
        <v/>
      </c>
      <c r="U2119" s="37" t="str">
        <f aca="false">IF($T2119=1,$S2119,"")</f>
        <v/>
      </c>
    </row>
    <row r="2120" customFormat="false" ht="15" hidden="false" customHeight="false" outlineLevel="0" collapsed="false">
      <c r="M2120" s="35" t="str">
        <f aca="false">IF($A2120="","",HOUR($A2120))</f>
        <v/>
      </c>
      <c r="N2120" s="36" t="str">
        <f aca="false">IF($A2120="","",$I2120*$K2120)</f>
        <v/>
      </c>
      <c r="O2120" s="35" t="str">
        <f aca="false">IF(OR($A2120="",$C2120="U",$S2120&lt;&gt;Calc!$F$2),"",SUMIFS($I$3:$I$3002,$E$3:$E$3002,$E2120,$C$3:$C$3002,"&lt;&gt;U",$S$3:$S$3002,Calc!$F$2))</f>
        <v/>
      </c>
      <c r="P2120" s="35" t="str">
        <f aca="false">IF(OR($A2120="",$C2120="U",$S2120&lt;&gt;Calc!$F$2),"",SUMIFS($N$3:$N$3002,$E$3:$E$3002,$E2120,$C$3:$C$3002,"&lt;&gt;U",$S$3:$S$3002,Calc!$F$2))</f>
        <v/>
      </c>
      <c r="Q2120" s="35" t="str">
        <f aca="false">IF(OR($A2120="",$C2120="U",$S2120&lt;&gt;Calc!$F$2),"",IF(COUNTIFS($E$3:$E2120,$E2120,$C$3:$C2120,"&lt;&gt;U",$S$3:$S2120,Calc!$F$2)=1,1,0))</f>
        <v/>
      </c>
      <c r="R2120" s="35" t="str">
        <f aca="false">IF($Q2120=1,$O2120-ROW()/100000,"")</f>
        <v/>
      </c>
      <c r="S2120" s="37" t="str">
        <f aca="false">IF($A2120="","",INT($A2120))</f>
        <v/>
      </c>
      <c r="T2120" s="35" t="str">
        <f aca="false">IF($A2120="","",IF(COUNTIFS($S$3:$S2120,$S2120)=1,1,0))</f>
        <v/>
      </c>
      <c r="U2120" s="37" t="str">
        <f aca="false">IF($T2120=1,$S2120,"")</f>
        <v/>
      </c>
    </row>
    <row r="2121" customFormat="false" ht="15" hidden="false" customHeight="false" outlineLevel="0" collapsed="false">
      <c r="M2121" s="35" t="str">
        <f aca="false">IF($A2121="","",HOUR($A2121))</f>
        <v/>
      </c>
      <c r="N2121" s="36" t="str">
        <f aca="false">IF($A2121="","",$I2121*$K2121)</f>
        <v/>
      </c>
      <c r="O2121" s="35" t="str">
        <f aca="false">IF(OR($A2121="",$C2121="U",$S2121&lt;&gt;Calc!$F$2),"",SUMIFS($I$3:$I$3002,$E$3:$E$3002,$E2121,$C$3:$C$3002,"&lt;&gt;U",$S$3:$S$3002,Calc!$F$2))</f>
        <v/>
      </c>
      <c r="P2121" s="35" t="str">
        <f aca="false">IF(OR($A2121="",$C2121="U",$S2121&lt;&gt;Calc!$F$2),"",SUMIFS($N$3:$N$3002,$E$3:$E$3002,$E2121,$C$3:$C$3002,"&lt;&gt;U",$S$3:$S$3002,Calc!$F$2))</f>
        <v/>
      </c>
      <c r="Q2121" s="35" t="str">
        <f aca="false">IF(OR($A2121="",$C2121="U",$S2121&lt;&gt;Calc!$F$2),"",IF(COUNTIFS($E$3:$E2121,$E2121,$C$3:$C2121,"&lt;&gt;U",$S$3:$S2121,Calc!$F$2)=1,1,0))</f>
        <v/>
      </c>
      <c r="R2121" s="35" t="str">
        <f aca="false">IF($Q2121=1,$O2121-ROW()/100000,"")</f>
        <v/>
      </c>
      <c r="S2121" s="37" t="str">
        <f aca="false">IF($A2121="","",INT($A2121))</f>
        <v/>
      </c>
      <c r="T2121" s="35" t="str">
        <f aca="false">IF($A2121="","",IF(COUNTIFS($S$3:$S2121,$S2121)=1,1,0))</f>
        <v/>
      </c>
      <c r="U2121" s="37" t="str">
        <f aca="false">IF($T2121=1,$S2121,"")</f>
        <v/>
      </c>
    </row>
    <row r="2122" customFormat="false" ht="15" hidden="false" customHeight="false" outlineLevel="0" collapsed="false">
      <c r="M2122" s="35" t="str">
        <f aca="false">IF($A2122="","",HOUR($A2122))</f>
        <v/>
      </c>
      <c r="N2122" s="36" t="str">
        <f aca="false">IF($A2122="","",$I2122*$K2122)</f>
        <v/>
      </c>
      <c r="O2122" s="35" t="str">
        <f aca="false">IF(OR($A2122="",$C2122="U",$S2122&lt;&gt;Calc!$F$2),"",SUMIFS($I$3:$I$3002,$E$3:$E$3002,$E2122,$C$3:$C$3002,"&lt;&gt;U",$S$3:$S$3002,Calc!$F$2))</f>
        <v/>
      </c>
      <c r="P2122" s="35" t="str">
        <f aca="false">IF(OR($A2122="",$C2122="U",$S2122&lt;&gt;Calc!$F$2),"",SUMIFS($N$3:$N$3002,$E$3:$E$3002,$E2122,$C$3:$C$3002,"&lt;&gt;U",$S$3:$S$3002,Calc!$F$2))</f>
        <v/>
      </c>
      <c r="Q2122" s="35" t="str">
        <f aca="false">IF(OR($A2122="",$C2122="U",$S2122&lt;&gt;Calc!$F$2),"",IF(COUNTIFS($E$3:$E2122,$E2122,$C$3:$C2122,"&lt;&gt;U",$S$3:$S2122,Calc!$F$2)=1,1,0))</f>
        <v/>
      </c>
      <c r="R2122" s="35" t="str">
        <f aca="false">IF($Q2122=1,$O2122-ROW()/100000,"")</f>
        <v/>
      </c>
      <c r="S2122" s="37" t="str">
        <f aca="false">IF($A2122="","",INT($A2122))</f>
        <v/>
      </c>
      <c r="T2122" s="35" t="str">
        <f aca="false">IF($A2122="","",IF(COUNTIFS($S$3:$S2122,$S2122)=1,1,0))</f>
        <v/>
      </c>
      <c r="U2122" s="37" t="str">
        <f aca="false">IF($T2122=1,$S2122,"")</f>
        <v/>
      </c>
    </row>
    <row r="2123" customFormat="false" ht="15" hidden="false" customHeight="false" outlineLevel="0" collapsed="false">
      <c r="M2123" s="35" t="str">
        <f aca="false">IF($A2123="","",HOUR($A2123))</f>
        <v/>
      </c>
      <c r="N2123" s="36" t="str">
        <f aca="false">IF($A2123="","",$I2123*$K2123)</f>
        <v/>
      </c>
      <c r="O2123" s="35" t="str">
        <f aca="false">IF(OR($A2123="",$C2123="U",$S2123&lt;&gt;Calc!$F$2),"",SUMIFS($I$3:$I$3002,$E$3:$E$3002,$E2123,$C$3:$C$3002,"&lt;&gt;U",$S$3:$S$3002,Calc!$F$2))</f>
        <v/>
      </c>
      <c r="P2123" s="35" t="str">
        <f aca="false">IF(OR($A2123="",$C2123="U",$S2123&lt;&gt;Calc!$F$2),"",SUMIFS($N$3:$N$3002,$E$3:$E$3002,$E2123,$C$3:$C$3002,"&lt;&gt;U",$S$3:$S$3002,Calc!$F$2))</f>
        <v/>
      </c>
      <c r="Q2123" s="35" t="str">
        <f aca="false">IF(OR($A2123="",$C2123="U",$S2123&lt;&gt;Calc!$F$2),"",IF(COUNTIFS($E$3:$E2123,$E2123,$C$3:$C2123,"&lt;&gt;U",$S$3:$S2123,Calc!$F$2)=1,1,0))</f>
        <v/>
      </c>
      <c r="R2123" s="35" t="str">
        <f aca="false">IF($Q2123=1,$O2123-ROW()/100000,"")</f>
        <v/>
      </c>
      <c r="S2123" s="37" t="str">
        <f aca="false">IF($A2123="","",INT($A2123))</f>
        <v/>
      </c>
      <c r="T2123" s="35" t="str">
        <f aca="false">IF($A2123="","",IF(COUNTIFS($S$3:$S2123,$S2123)=1,1,0))</f>
        <v/>
      </c>
      <c r="U2123" s="37" t="str">
        <f aca="false">IF($T2123=1,$S2123,"")</f>
        <v/>
      </c>
    </row>
    <row r="2124" customFormat="false" ht="15" hidden="false" customHeight="false" outlineLevel="0" collapsed="false">
      <c r="M2124" s="35" t="str">
        <f aca="false">IF($A2124="","",HOUR($A2124))</f>
        <v/>
      </c>
      <c r="N2124" s="36" t="str">
        <f aca="false">IF($A2124="","",$I2124*$K2124)</f>
        <v/>
      </c>
      <c r="O2124" s="35" t="str">
        <f aca="false">IF(OR($A2124="",$C2124="U",$S2124&lt;&gt;Calc!$F$2),"",SUMIFS($I$3:$I$3002,$E$3:$E$3002,$E2124,$C$3:$C$3002,"&lt;&gt;U",$S$3:$S$3002,Calc!$F$2))</f>
        <v/>
      </c>
      <c r="P2124" s="35" t="str">
        <f aca="false">IF(OR($A2124="",$C2124="U",$S2124&lt;&gt;Calc!$F$2),"",SUMIFS($N$3:$N$3002,$E$3:$E$3002,$E2124,$C$3:$C$3002,"&lt;&gt;U",$S$3:$S$3002,Calc!$F$2))</f>
        <v/>
      </c>
      <c r="Q2124" s="35" t="str">
        <f aca="false">IF(OR($A2124="",$C2124="U",$S2124&lt;&gt;Calc!$F$2),"",IF(COUNTIFS($E$3:$E2124,$E2124,$C$3:$C2124,"&lt;&gt;U",$S$3:$S2124,Calc!$F$2)=1,1,0))</f>
        <v/>
      </c>
      <c r="R2124" s="35" t="str">
        <f aca="false">IF($Q2124=1,$O2124-ROW()/100000,"")</f>
        <v/>
      </c>
      <c r="S2124" s="37" t="str">
        <f aca="false">IF($A2124="","",INT($A2124))</f>
        <v/>
      </c>
      <c r="T2124" s="35" t="str">
        <f aca="false">IF($A2124="","",IF(COUNTIFS($S$3:$S2124,$S2124)=1,1,0))</f>
        <v/>
      </c>
      <c r="U2124" s="37" t="str">
        <f aca="false">IF($T2124=1,$S2124,"")</f>
        <v/>
      </c>
    </row>
    <row r="2125" customFormat="false" ht="15" hidden="false" customHeight="false" outlineLevel="0" collapsed="false">
      <c r="M2125" s="35" t="str">
        <f aca="false">IF($A2125="","",HOUR($A2125))</f>
        <v/>
      </c>
      <c r="N2125" s="36" t="str">
        <f aca="false">IF($A2125="","",$I2125*$K2125)</f>
        <v/>
      </c>
      <c r="O2125" s="35" t="str">
        <f aca="false">IF(OR($A2125="",$C2125="U",$S2125&lt;&gt;Calc!$F$2),"",SUMIFS($I$3:$I$3002,$E$3:$E$3002,$E2125,$C$3:$C$3002,"&lt;&gt;U",$S$3:$S$3002,Calc!$F$2))</f>
        <v/>
      </c>
      <c r="P2125" s="35" t="str">
        <f aca="false">IF(OR($A2125="",$C2125="U",$S2125&lt;&gt;Calc!$F$2),"",SUMIFS($N$3:$N$3002,$E$3:$E$3002,$E2125,$C$3:$C$3002,"&lt;&gt;U",$S$3:$S$3002,Calc!$F$2))</f>
        <v/>
      </c>
      <c r="Q2125" s="35" t="str">
        <f aca="false">IF(OR($A2125="",$C2125="U",$S2125&lt;&gt;Calc!$F$2),"",IF(COUNTIFS($E$3:$E2125,$E2125,$C$3:$C2125,"&lt;&gt;U",$S$3:$S2125,Calc!$F$2)=1,1,0))</f>
        <v/>
      </c>
      <c r="R2125" s="35" t="str">
        <f aca="false">IF($Q2125=1,$O2125-ROW()/100000,"")</f>
        <v/>
      </c>
      <c r="S2125" s="37" t="str">
        <f aca="false">IF($A2125="","",INT($A2125))</f>
        <v/>
      </c>
      <c r="T2125" s="35" t="str">
        <f aca="false">IF($A2125="","",IF(COUNTIFS($S$3:$S2125,$S2125)=1,1,0))</f>
        <v/>
      </c>
      <c r="U2125" s="37" t="str">
        <f aca="false">IF($T2125=1,$S2125,"")</f>
        <v/>
      </c>
    </row>
    <row r="2126" customFormat="false" ht="15" hidden="false" customHeight="false" outlineLevel="0" collapsed="false">
      <c r="M2126" s="35" t="str">
        <f aca="false">IF($A2126="","",HOUR($A2126))</f>
        <v/>
      </c>
      <c r="N2126" s="36" t="str">
        <f aca="false">IF($A2126="","",$I2126*$K2126)</f>
        <v/>
      </c>
      <c r="O2126" s="35" t="str">
        <f aca="false">IF(OR($A2126="",$C2126="U",$S2126&lt;&gt;Calc!$F$2),"",SUMIFS($I$3:$I$3002,$E$3:$E$3002,$E2126,$C$3:$C$3002,"&lt;&gt;U",$S$3:$S$3002,Calc!$F$2))</f>
        <v/>
      </c>
      <c r="P2126" s="35" t="str">
        <f aca="false">IF(OR($A2126="",$C2126="U",$S2126&lt;&gt;Calc!$F$2),"",SUMIFS($N$3:$N$3002,$E$3:$E$3002,$E2126,$C$3:$C$3002,"&lt;&gt;U",$S$3:$S$3002,Calc!$F$2))</f>
        <v/>
      </c>
      <c r="Q2126" s="35" t="str">
        <f aca="false">IF(OR($A2126="",$C2126="U",$S2126&lt;&gt;Calc!$F$2),"",IF(COUNTIFS($E$3:$E2126,$E2126,$C$3:$C2126,"&lt;&gt;U",$S$3:$S2126,Calc!$F$2)=1,1,0))</f>
        <v/>
      </c>
      <c r="R2126" s="35" t="str">
        <f aca="false">IF($Q2126=1,$O2126-ROW()/100000,"")</f>
        <v/>
      </c>
      <c r="S2126" s="37" t="str">
        <f aca="false">IF($A2126="","",INT($A2126))</f>
        <v/>
      </c>
      <c r="T2126" s="35" t="str">
        <f aca="false">IF($A2126="","",IF(COUNTIFS($S$3:$S2126,$S2126)=1,1,0))</f>
        <v/>
      </c>
      <c r="U2126" s="37" t="str">
        <f aca="false">IF($T2126=1,$S2126,"")</f>
        <v/>
      </c>
    </row>
    <row r="2127" customFormat="false" ht="15" hidden="false" customHeight="false" outlineLevel="0" collapsed="false">
      <c r="M2127" s="35" t="str">
        <f aca="false">IF($A2127="","",HOUR($A2127))</f>
        <v/>
      </c>
      <c r="N2127" s="36" t="str">
        <f aca="false">IF($A2127="","",$I2127*$K2127)</f>
        <v/>
      </c>
      <c r="O2127" s="35" t="str">
        <f aca="false">IF(OR($A2127="",$C2127="U",$S2127&lt;&gt;Calc!$F$2),"",SUMIFS($I$3:$I$3002,$E$3:$E$3002,$E2127,$C$3:$C$3002,"&lt;&gt;U",$S$3:$S$3002,Calc!$F$2))</f>
        <v/>
      </c>
      <c r="P2127" s="35" t="str">
        <f aca="false">IF(OR($A2127="",$C2127="U",$S2127&lt;&gt;Calc!$F$2),"",SUMIFS($N$3:$N$3002,$E$3:$E$3002,$E2127,$C$3:$C$3002,"&lt;&gt;U",$S$3:$S$3002,Calc!$F$2))</f>
        <v/>
      </c>
      <c r="Q2127" s="35" t="str">
        <f aca="false">IF(OR($A2127="",$C2127="U",$S2127&lt;&gt;Calc!$F$2),"",IF(COUNTIFS($E$3:$E2127,$E2127,$C$3:$C2127,"&lt;&gt;U",$S$3:$S2127,Calc!$F$2)=1,1,0))</f>
        <v/>
      </c>
      <c r="R2127" s="35" t="str">
        <f aca="false">IF($Q2127=1,$O2127-ROW()/100000,"")</f>
        <v/>
      </c>
      <c r="S2127" s="37" t="str">
        <f aca="false">IF($A2127="","",INT($A2127))</f>
        <v/>
      </c>
      <c r="T2127" s="35" t="str">
        <f aca="false">IF($A2127="","",IF(COUNTIFS($S$3:$S2127,$S2127)=1,1,0))</f>
        <v/>
      </c>
      <c r="U2127" s="37" t="str">
        <f aca="false">IF($T2127=1,$S2127,"")</f>
        <v/>
      </c>
    </row>
    <row r="2128" customFormat="false" ht="15" hidden="false" customHeight="false" outlineLevel="0" collapsed="false">
      <c r="M2128" s="35" t="str">
        <f aca="false">IF($A2128="","",HOUR($A2128))</f>
        <v/>
      </c>
      <c r="N2128" s="36" t="str">
        <f aca="false">IF($A2128="","",$I2128*$K2128)</f>
        <v/>
      </c>
      <c r="O2128" s="35" t="str">
        <f aca="false">IF(OR($A2128="",$C2128="U",$S2128&lt;&gt;Calc!$F$2),"",SUMIFS($I$3:$I$3002,$E$3:$E$3002,$E2128,$C$3:$C$3002,"&lt;&gt;U",$S$3:$S$3002,Calc!$F$2))</f>
        <v/>
      </c>
      <c r="P2128" s="35" t="str">
        <f aca="false">IF(OR($A2128="",$C2128="U",$S2128&lt;&gt;Calc!$F$2),"",SUMIFS($N$3:$N$3002,$E$3:$E$3002,$E2128,$C$3:$C$3002,"&lt;&gt;U",$S$3:$S$3002,Calc!$F$2))</f>
        <v/>
      </c>
      <c r="Q2128" s="35" t="str">
        <f aca="false">IF(OR($A2128="",$C2128="U",$S2128&lt;&gt;Calc!$F$2),"",IF(COUNTIFS($E$3:$E2128,$E2128,$C$3:$C2128,"&lt;&gt;U",$S$3:$S2128,Calc!$F$2)=1,1,0))</f>
        <v/>
      </c>
      <c r="R2128" s="35" t="str">
        <f aca="false">IF($Q2128=1,$O2128-ROW()/100000,"")</f>
        <v/>
      </c>
      <c r="S2128" s="37" t="str">
        <f aca="false">IF($A2128="","",INT($A2128))</f>
        <v/>
      </c>
      <c r="T2128" s="35" t="str">
        <f aca="false">IF($A2128="","",IF(COUNTIFS($S$3:$S2128,$S2128)=1,1,0))</f>
        <v/>
      </c>
      <c r="U2128" s="37" t="str">
        <f aca="false">IF($T2128=1,$S2128,"")</f>
        <v/>
      </c>
    </row>
    <row r="2129" customFormat="false" ht="15" hidden="false" customHeight="false" outlineLevel="0" collapsed="false">
      <c r="M2129" s="35" t="str">
        <f aca="false">IF($A2129="","",HOUR($A2129))</f>
        <v/>
      </c>
      <c r="N2129" s="36" t="str">
        <f aca="false">IF($A2129="","",$I2129*$K2129)</f>
        <v/>
      </c>
      <c r="O2129" s="35" t="str">
        <f aca="false">IF(OR($A2129="",$C2129="U",$S2129&lt;&gt;Calc!$F$2),"",SUMIFS($I$3:$I$3002,$E$3:$E$3002,$E2129,$C$3:$C$3002,"&lt;&gt;U",$S$3:$S$3002,Calc!$F$2))</f>
        <v/>
      </c>
      <c r="P2129" s="35" t="str">
        <f aca="false">IF(OR($A2129="",$C2129="U",$S2129&lt;&gt;Calc!$F$2),"",SUMIFS($N$3:$N$3002,$E$3:$E$3002,$E2129,$C$3:$C$3002,"&lt;&gt;U",$S$3:$S$3002,Calc!$F$2))</f>
        <v/>
      </c>
      <c r="Q2129" s="35" t="str">
        <f aca="false">IF(OR($A2129="",$C2129="U",$S2129&lt;&gt;Calc!$F$2),"",IF(COUNTIFS($E$3:$E2129,$E2129,$C$3:$C2129,"&lt;&gt;U",$S$3:$S2129,Calc!$F$2)=1,1,0))</f>
        <v/>
      </c>
      <c r="R2129" s="35" t="str">
        <f aca="false">IF($Q2129=1,$O2129-ROW()/100000,"")</f>
        <v/>
      </c>
      <c r="S2129" s="37" t="str">
        <f aca="false">IF($A2129="","",INT($A2129))</f>
        <v/>
      </c>
      <c r="T2129" s="35" t="str">
        <f aca="false">IF($A2129="","",IF(COUNTIFS($S$3:$S2129,$S2129)=1,1,0))</f>
        <v/>
      </c>
      <c r="U2129" s="37" t="str">
        <f aca="false">IF($T2129=1,$S2129,"")</f>
        <v/>
      </c>
    </row>
    <row r="2130" customFormat="false" ht="15" hidden="false" customHeight="false" outlineLevel="0" collapsed="false">
      <c r="M2130" s="35" t="str">
        <f aca="false">IF($A2130="","",HOUR($A2130))</f>
        <v/>
      </c>
      <c r="N2130" s="36" t="str">
        <f aca="false">IF($A2130="","",$I2130*$K2130)</f>
        <v/>
      </c>
      <c r="O2130" s="35" t="str">
        <f aca="false">IF(OR($A2130="",$C2130="U",$S2130&lt;&gt;Calc!$F$2),"",SUMIFS($I$3:$I$3002,$E$3:$E$3002,$E2130,$C$3:$C$3002,"&lt;&gt;U",$S$3:$S$3002,Calc!$F$2))</f>
        <v/>
      </c>
      <c r="P2130" s="35" t="str">
        <f aca="false">IF(OR($A2130="",$C2130="U",$S2130&lt;&gt;Calc!$F$2),"",SUMIFS($N$3:$N$3002,$E$3:$E$3002,$E2130,$C$3:$C$3002,"&lt;&gt;U",$S$3:$S$3002,Calc!$F$2))</f>
        <v/>
      </c>
      <c r="Q2130" s="35" t="str">
        <f aca="false">IF(OR($A2130="",$C2130="U",$S2130&lt;&gt;Calc!$F$2),"",IF(COUNTIFS($E$3:$E2130,$E2130,$C$3:$C2130,"&lt;&gt;U",$S$3:$S2130,Calc!$F$2)=1,1,0))</f>
        <v/>
      </c>
      <c r="R2130" s="35" t="str">
        <f aca="false">IF($Q2130=1,$O2130-ROW()/100000,"")</f>
        <v/>
      </c>
      <c r="S2130" s="37" t="str">
        <f aca="false">IF($A2130="","",INT($A2130))</f>
        <v/>
      </c>
      <c r="T2130" s="35" t="str">
        <f aca="false">IF($A2130="","",IF(COUNTIFS($S$3:$S2130,$S2130)=1,1,0))</f>
        <v/>
      </c>
      <c r="U2130" s="37" t="str">
        <f aca="false">IF($T2130=1,$S2130,"")</f>
        <v/>
      </c>
    </row>
    <row r="2131" customFormat="false" ht="15" hidden="false" customHeight="false" outlineLevel="0" collapsed="false">
      <c r="M2131" s="35" t="str">
        <f aca="false">IF($A2131="","",HOUR($A2131))</f>
        <v/>
      </c>
      <c r="N2131" s="36" t="str">
        <f aca="false">IF($A2131="","",$I2131*$K2131)</f>
        <v/>
      </c>
      <c r="O2131" s="35" t="str">
        <f aca="false">IF(OR($A2131="",$C2131="U",$S2131&lt;&gt;Calc!$F$2),"",SUMIFS($I$3:$I$3002,$E$3:$E$3002,$E2131,$C$3:$C$3002,"&lt;&gt;U",$S$3:$S$3002,Calc!$F$2))</f>
        <v/>
      </c>
      <c r="P2131" s="35" t="str">
        <f aca="false">IF(OR($A2131="",$C2131="U",$S2131&lt;&gt;Calc!$F$2),"",SUMIFS($N$3:$N$3002,$E$3:$E$3002,$E2131,$C$3:$C$3002,"&lt;&gt;U",$S$3:$S$3002,Calc!$F$2))</f>
        <v/>
      </c>
      <c r="Q2131" s="35" t="str">
        <f aca="false">IF(OR($A2131="",$C2131="U",$S2131&lt;&gt;Calc!$F$2),"",IF(COUNTIFS($E$3:$E2131,$E2131,$C$3:$C2131,"&lt;&gt;U",$S$3:$S2131,Calc!$F$2)=1,1,0))</f>
        <v/>
      </c>
      <c r="R2131" s="35" t="str">
        <f aca="false">IF($Q2131=1,$O2131-ROW()/100000,"")</f>
        <v/>
      </c>
      <c r="S2131" s="37" t="str">
        <f aca="false">IF($A2131="","",INT($A2131))</f>
        <v/>
      </c>
      <c r="T2131" s="35" t="str">
        <f aca="false">IF($A2131="","",IF(COUNTIFS($S$3:$S2131,$S2131)=1,1,0))</f>
        <v/>
      </c>
      <c r="U2131" s="37" t="str">
        <f aca="false">IF($T2131=1,$S2131,"")</f>
        <v/>
      </c>
    </row>
    <row r="2132" customFormat="false" ht="15" hidden="false" customHeight="false" outlineLevel="0" collapsed="false">
      <c r="M2132" s="35" t="str">
        <f aca="false">IF($A2132="","",HOUR($A2132))</f>
        <v/>
      </c>
      <c r="N2132" s="36" t="str">
        <f aca="false">IF($A2132="","",$I2132*$K2132)</f>
        <v/>
      </c>
      <c r="O2132" s="35" t="str">
        <f aca="false">IF(OR($A2132="",$C2132="U",$S2132&lt;&gt;Calc!$F$2),"",SUMIFS($I$3:$I$3002,$E$3:$E$3002,$E2132,$C$3:$C$3002,"&lt;&gt;U",$S$3:$S$3002,Calc!$F$2))</f>
        <v/>
      </c>
      <c r="P2132" s="35" t="str">
        <f aca="false">IF(OR($A2132="",$C2132="U",$S2132&lt;&gt;Calc!$F$2),"",SUMIFS($N$3:$N$3002,$E$3:$E$3002,$E2132,$C$3:$C$3002,"&lt;&gt;U",$S$3:$S$3002,Calc!$F$2))</f>
        <v/>
      </c>
      <c r="Q2132" s="35" t="str">
        <f aca="false">IF(OR($A2132="",$C2132="U",$S2132&lt;&gt;Calc!$F$2),"",IF(COUNTIFS($E$3:$E2132,$E2132,$C$3:$C2132,"&lt;&gt;U",$S$3:$S2132,Calc!$F$2)=1,1,0))</f>
        <v/>
      </c>
      <c r="R2132" s="35" t="str">
        <f aca="false">IF($Q2132=1,$O2132-ROW()/100000,"")</f>
        <v/>
      </c>
      <c r="S2132" s="37" t="str">
        <f aca="false">IF($A2132="","",INT($A2132))</f>
        <v/>
      </c>
      <c r="T2132" s="35" t="str">
        <f aca="false">IF($A2132="","",IF(COUNTIFS($S$3:$S2132,$S2132)=1,1,0))</f>
        <v/>
      </c>
      <c r="U2132" s="37" t="str">
        <f aca="false">IF($T2132=1,$S2132,"")</f>
        <v/>
      </c>
    </row>
    <row r="2133" customFormat="false" ht="15" hidden="false" customHeight="false" outlineLevel="0" collapsed="false">
      <c r="M2133" s="35" t="str">
        <f aca="false">IF($A2133="","",HOUR($A2133))</f>
        <v/>
      </c>
      <c r="N2133" s="36" t="str">
        <f aca="false">IF($A2133="","",$I2133*$K2133)</f>
        <v/>
      </c>
      <c r="O2133" s="35" t="str">
        <f aca="false">IF(OR($A2133="",$C2133="U",$S2133&lt;&gt;Calc!$F$2),"",SUMIFS($I$3:$I$3002,$E$3:$E$3002,$E2133,$C$3:$C$3002,"&lt;&gt;U",$S$3:$S$3002,Calc!$F$2))</f>
        <v/>
      </c>
      <c r="P2133" s="35" t="str">
        <f aca="false">IF(OR($A2133="",$C2133="U",$S2133&lt;&gt;Calc!$F$2),"",SUMIFS($N$3:$N$3002,$E$3:$E$3002,$E2133,$C$3:$C$3002,"&lt;&gt;U",$S$3:$S$3002,Calc!$F$2))</f>
        <v/>
      </c>
      <c r="Q2133" s="35" t="str">
        <f aca="false">IF(OR($A2133="",$C2133="U",$S2133&lt;&gt;Calc!$F$2),"",IF(COUNTIFS($E$3:$E2133,$E2133,$C$3:$C2133,"&lt;&gt;U",$S$3:$S2133,Calc!$F$2)=1,1,0))</f>
        <v/>
      </c>
      <c r="R2133" s="35" t="str">
        <f aca="false">IF($Q2133=1,$O2133-ROW()/100000,"")</f>
        <v/>
      </c>
      <c r="S2133" s="37" t="str">
        <f aca="false">IF($A2133="","",INT($A2133))</f>
        <v/>
      </c>
      <c r="T2133" s="35" t="str">
        <f aca="false">IF($A2133="","",IF(COUNTIFS($S$3:$S2133,$S2133)=1,1,0))</f>
        <v/>
      </c>
      <c r="U2133" s="37" t="str">
        <f aca="false">IF($T2133=1,$S2133,"")</f>
        <v/>
      </c>
    </row>
    <row r="2134" customFormat="false" ht="15" hidden="false" customHeight="false" outlineLevel="0" collapsed="false">
      <c r="M2134" s="35" t="str">
        <f aca="false">IF($A2134="","",HOUR($A2134))</f>
        <v/>
      </c>
      <c r="N2134" s="36" t="str">
        <f aca="false">IF($A2134="","",$I2134*$K2134)</f>
        <v/>
      </c>
      <c r="O2134" s="35" t="str">
        <f aca="false">IF(OR($A2134="",$C2134="U",$S2134&lt;&gt;Calc!$F$2),"",SUMIFS($I$3:$I$3002,$E$3:$E$3002,$E2134,$C$3:$C$3002,"&lt;&gt;U",$S$3:$S$3002,Calc!$F$2))</f>
        <v/>
      </c>
      <c r="P2134" s="35" t="str">
        <f aca="false">IF(OR($A2134="",$C2134="U",$S2134&lt;&gt;Calc!$F$2),"",SUMIFS($N$3:$N$3002,$E$3:$E$3002,$E2134,$C$3:$C$3002,"&lt;&gt;U",$S$3:$S$3002,Calc!$F$2))</f>
        <v/>
      </c>
      <c r="Q2134" s="35" t="str">
        <f aca="false">IF(OR($A2134="",$C2134="U",$S2134&lt;&gt;Calc!$F$2),"",IF(COUNTIFS($E$3:$E2134,$E2134,$C$3:$C2134,"&lt;&gt;U",$S$3:$S2134,Calc!$F$2)=1,1,0))</f>
        <v/>
      </c>
      <c r="R2134" s="35" t="str">
        <f aca="false">IF($Q2134=1,$O2134-ROW()/100000,"")</f>
        <v/>
      </c>
      <c r="S2134" s="37" t="str">
        <f aca="false">IF($A2134="","",INT($A2134))</f>
        <v/>
      </c>
      <c r="T2134" s="35" t="str">
        <f aca="false">IF($A2134="","",IF(COUNTIFS($S$3:$S2134,$S2134)=1,1,0))</f>
        <v/>
      </c>
      <c r="U2134" s="37" t="str">
        <f aca="false">IF($T2134=1,$S2134,"")</f>
        <v/>
      </c>
    </row>
    <row r="2135" customFormat="false" ht="15" hidden="false" customHeight="false" outlineLevel="0" collapsed="false">
      <c r="M2135" s="35" t="str">
        <f aca="false">IF($A2135="","",HOUR($A2135))</f>
        <v/>
      </c>
      <c r="N2135" s="36" t="str">
        <f aca="false">IF($A2135="","",$I2135*$K2135)</f>
        <v/>
      </c>
      <c r="O2135" s="35" t="str">
        <f aca="false">IF(OR($A2135="",$C2135="U",$S2135&lt;&gt;Calc!$F$2),"",SUMIFS($I$3:$I$3002,$E$3:$E$3002,$E2135,$C$3:$C$3002,"&lt;&gt;U",$S$3:$S$3002,Calc!$F$2))</f>
        <v/>
      </c>
      <c r="P2135" s="35" t="str">
        <f aca="false">IF(OR($A2135="",$C2135="U",$S2135&lt;&gt;Calc!$F$2),"",SUMIFS($N$3:$N$3002,$E$3:$E$3002,$E2135,$C$3:$C$3002,"&lt;&gt;U",$S$3:$S$3002,Calc!$F$2))</f>
        <v/>
      </c>
      <c r="Q2135" s="35" t="str">
        <f aca="false">IF(OR($A2135="",$C2135="U",$S2135&lt;&gt;Calc!$F$2),"",IF(COUNTIFS($E$3:$E2135,$E2135,$C$3:$C2135,"&lt;&gt;U",$S$3:$S2135,Calc!$F$2)=1,1,0))</f>
        <v/>
      </c>
      <c r="R2135" s="35" t="str">
        <f aca="false">IF($Q2135=1,$O2135-ROW()/100000,"")</f>
        <v/>
      </c>
      <c r="S2135" s="37" t="str">
        <f aca="false">IF($A2135="","",INT($A2135))</f>
        <v/>
      </c>
      <c r="T2135" s="35" t="str">
        <f aca="false">IF($A2135="","",IF(COUNTIFS($S$3:$S2135,$S2135)=1,1,0))</f>
        <v/>
      </c>
      <c r="U2135" s="37" t="str">
        <f aca="false">IF($T2135=1,$S2135,"")</f>
        <v/>
      </c>
    </row>
    <row r="2136" customFormat="false" ht="15" hidden="false" customHeight="false" outlineLevel="0" collapsed="false">
      <c r="M2136" s="35" t="str">
        <f aca="false">IF($A2136="","",HOUR($A2136))</f>
        <v/>
      </c>
      <c r="N2136" s="36" t="str">
        <f aca="false">IF($A2136="","",$I2136*$K2136)</f>
        <v/>
      </c>
      <c r="O2136" s="35" t="str">
        <f aca="false">IF(OR($A2136="",$C2136="U",$S2136&lt;&gt;Calc!$F$2),"",SUMIFS($I$3:$I$3002,$E$3:$E$3002,$E2136,$C$3:$C$3002,"&lt;&gt;U",$S$3:$S$3002,Calc!$F$2))</f>
        <v/>
      </c>
      <c r="P2136" s="35" t="str">
        <f aca="false">IF(OR($A2136="",$C2136="U",$S2136&lt;&gt;Calc!$F$2),"",SUMIFS($N$3:$N$3002,$E$3:$E$3002,$E2136,$C$3:$C$3002,"&lt;&gt;U",$S$3:$S$3002,Calc!$F$2))</f>
        <v/>
      </c>
      <c r="Q2136" s="35" t="str">
        <f aca="false">IF(OR($A2136="",$C2136="U",$S2136&lt;&gt;Calc!$F$2),"",IF(COUNTIFS($E$3:$E2136,$E2136,$C$3:$C2136,"&lt;&gt;U",$S$3:$S2136,Calc!$F$2)=1,1,0))</f>
        <v/>
      </c>
      <c r="R2136" s="35" t="str">
        <f aca="false">IF($Q2136=1,$O2136-ROW()/100000,"")</f>
        <v/>
      </c>
      <c r="S2136" s="37" t="str">
        <f aca="false">IF($A2136="","",INT($A2136))</f>
        <v/>
      </c>
      <c r="T2136" s="35" t="str">
        <f aca="false">IF($A2136="","",IF(COUNTIFS($S$3:$S2136,$S2136)=1,1,0))</f>
        <v/>
      </c>
      <c r="U2136" s="37" t="str">
        <f aca="false">IF($T2136=1,$S2136,"")</f>
        <v/>
      </c>
    </row>
    <row r="2137" customFormat="false" ht="15" hidden="false" customHeight="false" outlineLevel="0" collapsed="false">
      <c r="M2137" s="35" t="str">
        <f aca="false">IF($A2137="","",HOUR($A2137))</f>
        <v/>
      </c>
      <c r="N2137" s="36" t="str">
        <f aca="false">IF($A2137="","",$I2137*$K2137)</f>
        <v/>
      </c>
      <c r="O2137" s="35" t="str">
        <f aca="false">IF(OR($A2137="",$C2137="U",$S2137&lt;&gt;Calc!$F$2),"",SUMIFS($I$3:$I$3002,$E$3:$E$3002,$E2137,$C$3:$C$3002,"&lt;&gt;U",$S$3:$S$3002,Calc!$F$2))</f>
        <v/>
      </c>
      <c r="P2137" s="35" t="str">
        <f aca="false">IF(OR($A2137="",$C2137="U",$S2137&lt;&gt;Calc!$F$2),"",SUMIFS($N$3:$N$3002,$E$3:$E$3002,$E2137,$C$3:$C$3002,"&lt;&gt;U",$S$3:$S$3002,Calc!$F$2))</f>
        <v/>
      </c>
      <c r="Q2137" s="35" t="str">
        <f aca="false">IF(OR($A2137="",$C2137="U",$S2137&lt;&gt;Calc!$F$2),"",IF(COUNTIFS($E$3:$E2137,$E2137,$C$3:$C2137,"&lt;&gt;U",$S$3:$S2137,Calc!$F$2)=1,1,0))</f>
        <v/>
      </c>
      <c r="R2137" s="35" t="str">
        <f aca="false">IF($Q2137=1,$O2137-ROW()/100000,"")</f>
        <v/>
      </c>
      <c r="S2137" s="37" t="str">
        <f aca="false">IF($A2137="","",INT($A2137))</f>
        <v/>
      </c>
      <c r="T2137" s="35" t="str">
        <f aca="false">IF($A2137="","",IF(COUNTIFS($S$3:$S2137,$S2137)=1,1,0))</f>
        <v/>
      </c>
      <c r="U2137" s="37" t="str">
        <f aca="false">IF($T2137=1,$S2137,"")</f>
        <v/>
      </c>
    </row>
    <row r="2138" customFormat="false" ht="15" hidden="false" customHeight="false" outlineLevel="0" collapsed="false">
      <c r="M2138" s="35" t="str">
        <f aca="false">IF($A2138="","",HOUR($A2138))</f>
        <v/>
      </c>
      <c r="N2138" s="36" t="str">
        <f aca="false">IF($A2138="","",$I2138*$K2138)</f>
        <v/>
      </c>
      <c r="O2138" s="35" t="str">
        <f aca="false">IF(OR($A2138="",$C2138="U",$S2138&lt;&gt;Calc!$F$2),"",SUMIFS($I$3:$I$3002,$E$3:$E$3002,$E2138,$C$3:$C$3002,"&lt;&gt;U",$S$3:$S$3002,Calc!$F$2))</f>
        <v/>
      </c>
      <c r="P2138" s="35" t="str">
        <f aca="false">IF(OR($A2138="",$C2138="U",$S2138&lt;&gt;Calc!$F$2),"",SUMIFS($N$3:$N$3002,$E$3:$E$3002,$E2138,$C$3:$C$3002,"&lt;&gt;U",$S$3:$S$3002,Calc!$F$2))</f>
        <v/>
      </c>
      <c r="Q2138" s="35" t="str">
        <f aca="false">IF(OR($A2138="",$C2138="U",$S2138&lt;&gt;Calc!$F$2),"",IF(COUNTIFS($E$3:$E2138,$E2138,$C$3:$C2138,"&lt;&gt;U",$S$3:$S2138,Calc!$F$2)=1,1,0))</f>
        <v/>
      </c>
      <c r="R2138" s="35" t="str">
        <f aca="false">IF($Q2138=1,$O2138-ROW()/100000,"")</f>
        <v/>
      </c>
      <c r="S2138" s="37" t="str">
        <f aca="false">IF($A2138="","",INT($A2138))</f>
        <v/>
      </c>
      <c r="T2138" s="35" t="str">
        <f aca="false">IF($A2138="","",IF(COUNTIFS($S$3:$S2138,$S2138)=1,1,0))</f>
        <v/>
      </c>
      <c r="U2138" s="37" t="str">
        <f aca="false">IF($T2138=1,$S2138,"")</f>
        <v/>
      </c>
    </row>
    <row r="2139" customFormat="false" ht="15" hidden="false" customHeight="false" outlineLevel="0" collapsed="false">
      <c r="M2139" s="35" t="str">
        <f aca="false">IF($A2139="","",HOUR($A2139))</f>
        <v/>
      </c>
      <c r="N2139" s="36" t="str">
        <f aca="false">IF($A2139="","",$I2139*$K2139)</f>
        <v/>
      </c>
      <c r="O2139" s="35" t="str">
        <f aca="false">IF(OR($A2139="",$C2139="U",$S2139&lt;&gt;Calc!$F$2),"",SUMIFS($I$3:$I$3002,$E$3:$E$3002,$E2139,$C$3:$C$3002,"&lt;&gt;U",$S$3:$S$3002,Calc!$F$2))</f>
        <v/>
      </c>
      <c r="P2139" s="35" t="str">
        <f aca="false">IF(OR($A2139="",$C2139="U",$S2139&lt;&gt;Calc!$F$2),"",SUMIFS($N$3:$N$3002,$E$3:$E$3002,$E2139,$C$3:$C$3002,"&lt;&gt;U",$S$3:$S$3002,Calc!$F$2))</f>
        <v/>
      </c>
      <c r="Q2139" s="35" t="str">
        <f aca="false">IF(OR($A2139="",$C2139="U",$S2139&lt;&gt;Calc!$F$2),"",IF(COUNTIFS($E$3:$E2139,$E2139,$C$3:$C2139,"&lt;&gt;U",$S$3:$S2139,Calc!$F$2)=1,1,0))</f>
        <v/>
      </c>
      <c r="R2139" s="35" t="str">
        <f aca="false">IF($Q2139=1,$O2139-ROW()/100000,"")</f>
        <v/>
      </c>
      <c r="S2139" s="37" t="str">
        <f aca="false">IF($A2139="","",INT($A2139))</f>
        <v/>
      </c>
      <c r="T2139" s="35" t="str">
        <f aca="false">IF($A2139="","",IF(COUNTIFS($S$3:$S2139,$S2139)=1,1,0))</f>
        <v/>
      </c>
      <c r="U2139" s="37" t="str">
        <f aca="false">IF($T2139=1,$S2139,"")</f>
        <v/>
      </c>
    </row>
    <row r="2140" customFormat="false" ht="15" hidden="false" customHeight="false" outlineLevel="0" collapsed="false">
      <c r="M2140" s="35" t="str">
        <f aca="false">IF($A2140="","",HOUR($A2140))</f>
        <v/>
      </c>
      <c r="N2140" s="36" t="str">
        <f aca="false">IF($A2140="","",$I2140*$K2140)</f>
        <v/>
      </c>
      <c r="O2140" s="35" t="str">
        <f aca="false">IF(OR($A2140="",$C2140="U",$S2140&lt;&gt;Calc!$F$2),"",SUMIFS($I$3:$I$3002,$E$3:$E$3002,$E2140,$C$3:$C$3002,"&lt;&gt;U",$S$3:$S$3002,Calc!$F$2))</f>
        <v/>
      </c>
      <c r="P2140" s="35" t="str">
        <f aca="false">IF(OR($A2140="",$C2140="U",$S2140&lt;&gt;Calc!$F$2),"",SUMIFS($N$3:$N$3002,$E$3:$E$3002,$E2140,$C$3:$C$3002,"&lt;&gt;U",$S$3:$S$3002,Calc!$F$2))</f>
        <v/>
      </c>
      <c r="Q2140" s="35" t="str">
        <f aca="false">IF(OR($A2140="",$C2140="U",$S2140&lt;&gt;Calc!$F$2),"",IF(COUNTIFS($E$3:$E2140,$E2140,$C$3:$C2140,"&lt;&gt;U",$S$3:$S2140,Calc!$F$2)=1,1,0))</f>
        <v/>
      </c>
      <c r="R2140" s="35" t="str">
        <f aca="false">IF($Q2140=1,$O2140-ROW()/100000,"")</f>
        <v/>
      </c>
      <c r="S2140" s="37" t="str">
        <f aca="false">IF($A2140="","",INT($A2140))</f>
        <v/>
      </c>
      <c r="T2140" s="35" t="str">
        <f aca="false">IF($A2140="","",IF(COUNTIFS($S$3:$S2140,$S2140)=1,1,0))</f>
        <v/>
      </c>
      <c r="U2140" s="37" t="str">
        <f aca="false">IF($T2140=1,$S2140,"")</f>
        <v/>
      </c>
    </row>
    <row r="2141" customFormat="false" ht="15" hidden="false" customHeight="false" outlineLevel="0" collapsed="false">
      <c r="M2141" s="35" t="str">
        <f aca="false">IF($A2141="","",HOUR($A2141))</f>
        <v/>
      </c>
      <c r="N2141" s="36" t="str">
        <f aca="false">IF($A2141="","",$I2141*$K2141)</f>
        <v/>
      </c>
      <c r="O2141" s="35" t="str">
        <f aca="false">IF(OR($A2141="",$C2141="U",$S2141&lt;&gt;Calc!$F$2),"",SUMIFS($I$3:$I$3002,$E$3:$E$3002,$E2141,$C$3:$C$3002,"&lt;&gt;U",$S$3:$S$3002,Calc!$F$2))</f>
        <v/>
      </c>
      <c r="P2141" s="35" t="str">
        <f aca="false">IF(OR($A2141="",$C2141="U",$S2141&lt;&gt;Calc!$F$2),"",SUMIFS($N$3:$N$3002,$E$3:$E$3002,$E2141,$C$3:$C$3002,"&lt;&gt;U",$S$3:$S$3002,Calc!$F$2))</f>
        <v/>
      </c>
      <c r="Q2141" s="35" t="str">
        <f aca="false">IF(OR($A2141="",$C2141="U",$S2141&lt;&gt;Calc!$F$2),"",IF(COUNTIFS($E$3:$E2141,$E2141,$C$3:$C2141,"&lt;&gt;U",$S$3:$S2141,Calc!$F$2)=1,1,0))</f>
        <v/>
      </c>
      <c r="R2141" s="35" t="str">
        <f aca="false">IF($Q2141=1,$O2141-ROW()/100000,"")</f>
        <v/>
      </c>
      <c r="S2141" s="37" t="str">
        <f aca="false">IF($A2141="","",INT($A2141))</f>
        <v/>
      </c>
      <c r="T2141" s="35" t="str">
        <f aca="false">IF($A2141="","",IF(COUNTIFS($S$3:$S2141,$S2141)=1,1,0))</f>
        <v/>
      </c>
      <c r="U2141" s="37" t="str">
        <f aca="false">IF($T2141=1,$S2141,"")</f>
        <v/>
      </c>
    </row>
    <row r="2142" customFormat="false" ht="15" hidden="false" customHeight="false" outlineLevel="0" collapsed="false">
      <c r="M2142" s="35" t="str">
        <f aca="false">IF($A2142="","",HOUR($A2142))</f>
        <v/>
      </c>
      <c r="N2142" s="36" t="str">
        <f aca="false">IF($A2142="","",$I2142*$K2142)</f>
        <v/>
      </c>
      <c r="O2142" s="35" t="str">
        <f aca="false">IF(OR($A2142="",$C2142="U",$S2142&lt;&gt;Calc!$F$2),"",SUMIFS($I$3:$I$3002,$E$3:$E$3002,$E2142,$C$3:$C$3002,"&lt;&gt;U",$S$3:$S$3002,Calc!$F$2))</f>
        <v/>
      </c>
      <c r="P2142" s="35" t="str">
        <f aca="false">IF(OR($A2142="",$C2142="U",$S2142&lt;&gt;Calc!$F$2),"",SUMIFS($N$3:$N$3002,$E$3:$E$3002,$E2142,$C$3:$C$3002,"&lt;&gt;U",$S$3:$S$3002,Calc!$F$2))</f>
        <v/>
      </c>
      <c r="Q2142" s="35" t="str">
        <f aca="false">IF(OR($A2142="",$C2142="U",$S2142&lt;&gt;Calc!$F$2),"",IF(COUNTIFS($E$3:$E2142,$E2142,$C$3:$C2142,"&lt;&gt;U",$S$3:$S2142,Calc!$F$2)=1,1,0))</f>
        <v/>
      </c>
      <c r="R2142" s="35" t="str">
        <f aca="false">IF($Q2142=1,$O2142-ROW()/100000,"")</f>
        <v/>
      </c>
      <c r="S2142" s="37" t="str">
        <f aca="false">IF($A2142="","",INT($A2142))</f>
        <v/>
      </c>
      <c r="T2142" s="35" t="str">
        <f aca="false">IF($A2142="","",IF(COUNTIFS($S$3:$S2142,$S2142)=1,1,0))</f>
        <v/>
      </c>
      <c r="U2142" s="37" t="str">
        <f aca="false">IF($T2142=1,$S2142,"")</f>
        <v/>
      </c>
    </row>
    <row r="2143" customFormat="false" ht="15" hidden="false" customHeight="false" outlineLevel="0" collapsed="false">
      <c r="M2143" s="35" t="str">
        <f aca="false">IF($A2143="","",HOUR($A2143))</f>
        <v/>
      </c>
      <c r="N2143" s="36" t="str">
        <f aca="false">IF($A2143="","",$I2143*$K2143)</f>
        <v/>
      </c>
      <c r="O2143" s="35" t="str">
        <f aca="false">IF(OR($A2143="",$C2143="U",$S2143&lt;&gt;Calc!$F$2),"",SUMIFS($I$3:$I$3002,$E$3:$E$3002,$E2143,$C$3:$C$3002,"&lt;&gt;U",$S$3:$S$3002,Calc!$F$2))</f>
        <v/>
      </c>
      <c r="P2143" s="35" t="str">
        <f aca="false">IF(OR($A2143="",$C2143="U",$S2143&lt;&gt;Calc!$F$2),"",SUMIFS($N$3:$N$3002,$E$3:$E$3002,$E2143,$C$3:$C$3002,"&lt;&gt;U",$S$3:$S$3002,Calc!$F$2))</f>
        <v/>
      </c>
      <c r="Q2143" s="35" t="str">
        <f aca="false">IF(OR($A2143="",$C2143="U",$S2143&lt;&gt;Calc!$F$2),"",IF(COUNTIFS($E$3:$E2143,$E2143,$C$3:$C2143,"&lt;&gt;U",$S$3:$S2143,Calc!$F$2)=1,1,0))</f>
        <v/>
      </c>
      <c r="R2143" s="35" t="str">
        <f aca="false">IF($Q2143=1,$O2143-ROW()/100000,"")</f>
        <v/>
      </c>
      <c r="S2143" s="37" t="str">
        <f aca="false">IF($A2143="","",INT($A2143))</f>
        <v/>
      </c>
      <c r="T2143" s="35" t="str">
        <f aca="false">IF($A2143="","",IF(COUNTIFS($S$3:$S2143,$S2143)=1,1,0))</f>
        <v/>
      </c>
      <c r="U2143" s="37" t="str">
        <f aca="false">IF($T2143=1,$S2143,"")</f>
        <v/>
      </c>
    </row>
    <row r="2144" customFormat="false" ht="15" hidden="false" customHeight="false" outlineLevel="0" collapsed="false">
      <c r="M2144" s="35" t="str">
        <f aca="false">IF($A2144="","",HOUR($A2144))</f>
        <v/>
      </c>
      <c r="N2144" s="36" t="str">
        <f aca="false">IF($A2144="","",$I2144*$K2144)</f>
        <v/>
      </c>
      <c r="O2144" s="35" t="str">
        <f aca="false">IF(OR($A2144="",$C2144="U",$S2144&lt;&gt;Calc!$F$2),"",SUMIFS($I$3:$I$3002,$E$3:$E$3002,$E2144,$C$3:$C$3002,"&lt;&gt;U",$S$3:$S$3002,Calc!$F$2))</f>
        <v/>
      </c>
      <c r="P2144" s="35" t="str">
        <f aca="false">IF(OR($A2144="",$C2144="U",$S2144&lt;&gt;Calc!$F$2),"",SUMIFS($N$3:$N$3002,$E$3:$E$3002,$E2144,$C$3:$C$3002,"&lt;&gt;U",$S$3:$S$3002,Calc!$F$2))</f>
        <v/>
      </c>
      <c r="Q2144" s="35" t="str">
        <f aca="false">IF(OR($A2144="",$C2144="U",$S2144&lt;&gt;Calc!$F$2),"",IF(COUNTIFS($E$3:$E2144,$E2144,$C$3:$C2144,"&lt;&gt;U",$S$3:$S2144,Calc!$F$2)=1,1,0))</f>
        <v/>
      </c>
      <c r="R2144" s="35" t="str">
        <f aca="false">IF($Q2144=1,$O2144-ROW()/100000,"")</f>
        <v/>
      </c>
      <c r="S2144" s="37" t="str">
        <f aca="false">IF($A2144="","",INT($A2144))</f>
        <v/>
      </c>
      <c r="T2144" s="35" t="str">
        <f aca="false">IF($A2144="","",IF(COUNTIFS($S$3:$S2144,$S2144)=1,1,0))</f>
        <v/>
      </c>
      <c r="U2144" s="37" t="str">
        <f aca="false">IF($T2144=1,$S2144,"")</f>
        <v/>
      </c>
    </row>
    <row r="2145" customFormat="false" ht="15" hidden="false" customHeight="false" outlineLevel="0" collapsed="false">
      <c r="M2145" s="35" t="str">
        <f aca="false">IF($A2145="","",HOUR($A2145))</f>
        <v/>
      </c>
      <c r="N2145" s="36" t="str">
        <f aca="false">IF($A2145="","",$I2145*$K2145)</f>
        <v/>
      </c>
      <c r="O2145" s="35" t="str">
        <f aca="false">IF(OR($A2145="",$C2145="U",$S2145&lt;&gt;Calc!$F$2),"",SUMIFS($I$3:$I$3002,$E$3:$E$3002,$E2145,$C$3:$C$3002,"&lt;&gt;U",$S$3:$S$3002,Calc!$F$2))</f>
        <v/>
      </c>
      <c r="P2145" s="35" t="str">
        <f aca="false">IF(OR($A2145="",$C2145="U",$S2145&lt;&gt;Calc!$F$2),"",SUMIFS($N$3:$N$3002,$E$3:$E$3002,$E2145,$C$3:$C$3002,"&lt;&gt;U",$S$3:$S$3002,Calc!$F$2))</f>
        <v/>
      </c>
      <c r="Q2145" s="35" t="str">
        <f aca="false">IF(OR($A2145="",$C2145="U",$S2145&lt;&gt;Calc!$F$2),"",IF(COUNTIFS($E$3:$E2145,$E2145,$C$3:$C2145,"&lt;&gt;U",$S$3:$S2145,Calc!$F$2)=1,1,0))</f>
        <v/>
      </c>
      <c r="R2145" s="35" t="str">
        <f aca="false">IF($Q2145=1,$O2145-ROW()/100000,"")</f>
        <v/>
      </c>
      <c r="S2145" s="37" t="str">
        <f aca="false">IF($A2145="","",INT($A2145))</f>
        <v/>
      </c>
      <c r="T2145" s="35" t="str">
        <f aca="false">IF($A2145="","",IF(COUNTIFS($S$3:$S2145,$S2145)=1,1,0))</f>
        <v/>
      </c>
      <c r="U2145" s="37" t="str">
        <f aca="false">IF($T2145=1,$S2145,"")</f>
        <v/>
      </c>
    </row>
    <row r="2146" customFormat="false" ht="15" hidden="false" customHeight="false" outlineLevel="0" collapsed="false">
      <c r="M2146" s="35" t="str">
        <f aca="false">IF($A2146="","",HOUR($A2146))</f>
        <v/>
      </c>
      <c r="N2146" s="36" t="str">
        <f aca="false">IF($A2146="","",$I2146*$K2146)</f>
        <v/>
      </c>
      <c r="O2146" s="35" t="str">
        <f aca="false">IF(OR($A2146="",$C2146="U",$S2146&lt;&gt;Calc!$F$2),"",SUMIFS($I$3:$I$3002,$E$3:$E$3002,$E2146,$C$3:$C$3002,"&lt;&gt;U",$S$3:$S$3002,Calc!$F$2))</f>
        <v/>
      </c>
      <c r="P2146" s="35" t="str">
        <f aca="false">IF(OR($A2146="",$C2146="U",$S2146&lt;&gt;Calc!$F$2),"",SUMIFS($N$3:$N$3002,$E$3:$E$3002,$E2146,$C$3:$C$3002,"&lt;&gt;U",$S$3:$S$3002,Calc!$F$2))</f>
        <v/>
      </c>
      <c r="Q2146" s="35" t="str">
        <f aca="false">IF(OR($A2146="",$C2146="U",$S2146&lt;&gt;Calc!$F$2),"",IF(COUNTIFS($E$3:$E2146,$E2146,$C$3:$C2146,"&lt;&gt;U",$S$3:$S2146,Calc!$F$2)=1,1,0))</f>
        <v/>
      </c>
      <c r="R2146" s="35" t="str">
        <f aca="false">IF($Q2146=1,$O2146-ROW()/100000,"")</f>
        <v/>
      </c>
      <c r="S2146" s="37" t="str">
        <f aca="false">IF($A2146="","",INT($A2146))</f>
        <v/>
      </c>
      <c r="T2146" s="35" t="str">
        <f aca="false">IF($A2146="","",IF(COUNTIFS($S$3:$S2146,$S2146)=1,1,0))</f>
        <v/>
      </c>
      <c r="U2146" s="37" t="str">
        <f aca="false">IF($T2146=1,$S2146,"")</f>
        <v/>
      </c>
    </row>
    <row r="2147" customFormat="false" ht="15" hidden="false" customHeight="false" outlineLevel="0" collapsed="false">
      <c r="M2147" s="35" t="str">
        <f aca="false">IF($A2147="","",HOUR($A2147))</f>
        <v/>
      </c>
      <c r="N2147" s="36" t="str">
        <f aca="false">IF($A2147="","",$I2147*$K2147)</f>
        <v/>
      </c>
      <c r="O2147" s="35" t="str">
        <f aca="false">IF(OR($A2147="",$C2147="U",$S2147&lt;&gt;Calc!$F$2),"",SUMIFS($I$3:$I$3002,$E$3:$E$3002,$E2147,$C$3:$C$3002,"&lt;&gt;U",$S$3:$S$3002,Calc!$F$2))</f>
        <v/>
      </c>
      <c r="P2147" s="35" t="str">
        <f aca="false">IF(OR($A2147="",$C2147="U",$S2147&lt;&gt;Calc!$F$2),"",SUMIFS($N$3:$N$3002,$E$3:$E$3002,$E2147,$C$3:$C$3002,"&lt;&gt;U",$S$3:$S$3002,Calc!$F$2))</f>
        <v/>
      </c>
      <c r="Q2147" s="35" t="str">
        <f aca="false">IF(OR($A2147="",$C2147="U",$S2147&lt;&gt;Calc!$F$2),"",IF(COUNTIFS($E$3:$E2147,$E2147,$C$3:$C2147,"&lt;&gt;U",$S$3:$S2147,Calc!$F$2)=1,1,0))</f>
        <v/>
      </c>
      <c r="R2147" s="35" t="str">
        <f aca="false">IF($Q2147=1,$O2147-ROW()/100000,"")</f>
        <v/>
      </c>
      <c r="S2147" s="37" t="str">
        <f aca="false">IF($A2147="","",INT($A2147))</f>
        <v/>
      </c>
      <c r="T2147" s="35" t="str">
        <f aca="false">IF($A2147="","",IF(COUNTIFS($S$3:$S2147,$S2147)=1,1,0))</f>
        <v/>
      </c>
      <c r="U2147" s="37" t="str">
        <f aca="false">IF($T2147=1,$S2147,"")</f>
        <v/>
      </c>
    </row>
    <row r="2148" customFormat="false" ht="15" hidden="false" customHeight="false" outlineLevel="0" collapsed="false">
      <c r="M2148" s="35" t="str">
        <f aca="false">IF($A2148="","",HOUR($A2148))</f>
        <v/>
      </c>
      <c r="N2148" s="36" t="str">
        <f aca="false">IF($A2148="","",$I2148*$K2148)</f>
        <v/>
      </c>
      <c r="O2148" s="35" t="str">
        <f aca="false">IF(OR($A2148="",$C2148="U",$S2148&lt;&gt;Calc!$F$2),"",SUMIFS($I$3:$I$3002,$E$3:$E$3002,$E2148,$C$3:$C$3002,"&lt;&gt;U",$S$3:$S$3002,Calc!$F$2))</f>
        <v/>
      </c>
      <c r="P2148" s="35" t="str">
        <f aca="false">IF(OR($A2148="",$C2148="U",$S2148&lt;&gt;Calc!$F$2),"",SUMIFS($N$3:$N$3002,$E$3:$E$3002,$E2148,$C$3:$C$3002,"&lt;&gt;U",$S$3:$S$3002,Calc!$F$2))</f>
        <v/>
      </c>
      <c r="Q2148" s="35" t="str">
        <f aca="false">IF(OR($A2148="",$C2148="U",$S2148&lt;&gt;Calc!$F$2),"",IF(COUNTIFS($E$3:$E2148,$E2148,$C$3:$C2148,"&lt;&gt;U",$S$3:$S2148,Calc!$F$2)=1,1,0))</f>
        <v/>
      </c>
      <c r="R2148" s="35" t="str">
        <f aca="false">IF($Q2148=1,$O2148-ROW()/100000,"")</f>
        <v/>
      </c>
      <c r="S2148" s="37" t="str">
        <f aca="false">IF($A2148="","",INT($A2148))</f>
        <v/>
      </c>
      <c r="T2148" s="35" t="str">
        <f aca="false">IF($A2148="","",IF(COUNTIFS($S$3:$S2148,$S2148)=1,1,0))</f>
        <v/>
      </c>
      <c r="U2148" s="37" t="str">
        <f aca="false">IF($T2148=1,$S2148,"")</f>
        <v/>
      </c>
    </row>
    <row r="2149" customFormat="false" ht="15" hidden="false" customHeight="false" outlineLevel="0" collapsed="false">
      <c r="M2149" s="35" t="str">
        <f aca="false">IF($A2149="","",HOUR($A2149))</f>
        <v/>
      </c>
      <c r="N2149" s="36" t="str">
        <f aca="false">IF($A2149="","",$I2149*$K2149)</f>
        <v/>
      </c>
      <c r="O2149" s="35" t="str">
        <f aca="false">IF(OR($A2149="",$C2149="U",$S2149&lt;&gt;Calc!$F$2),"",SUMIFS($I$3:$I$3002,$E$3:$E$3002,$E2149,$C$3:$C$3002,"&lt;&gt;U",$S$3:$S$3002,Calc!$F$2))</f>
        <v/>
      </c>
      <c r="P2149" s="35" t="str">
        <f aca="false">IF(OR($A2149="",$C2149="U",$S2149&lt;&gt;Calc!$F$2),"",SUMIFS($N$3:$N$3002,$E$3:$E$3002,$E2149,$C$3:$C$3002,"&lt;&gt;U",$S$3:$S$3002,Calc!$F$2))</f>
        <v/>
      </c>
      <c r="Q2149" s="35" t="str">
        <f aca="false">IF(OR($A2149="",$C2149="U",$S2149&lt;&gt;Calc!$F$2),"",IF(COUNTIFS($E$3:$E2149,$E2149,$C$3:$C2149,"&lt;&gt;U",$S$3:$S2149,Calc!$F$2)=1,1,0))</f>
        <v/>
      </c>
      <c r="R2149" s="35" t="str">
        <f aca="false">IF($Q2149=1,$O2149-ROW()/100000,"")</f>
        <v/>
      </c>
      <c r="S2149" s="37" t="str">
        <f aca="false">IF($A2149="","",INT($A2149))</f>
        <v/>
      </c>
      <c r="T2149" s="35" t="str">
        <f aca="false">IF($A2149="","",IF(COUNTIFS($S$3:$S2149,$S2149)=1,1,0))</f>
        <v/>
      </c>
      <c r="U2149" s="37" t="str">
        <f aca="false">IF($T2149=1,$S2149,"")</f>
        <v/>
      </c>
    </row>
    <row r="2150" customFormat="false" ht="15" hidden="false" customHeight="false" outlineLevel="0" collapsed="false">
      <c r="M2150" s="35" t="str">
        <f aca="false">IF($A2150="","",HOUR($A2150))</f>
        <v/>
      </c>
      <c r="N2150" s="36" t="str">
        <f aca="false">IF($A2150="","",$I2150*$K2150)</f>
        <v/>
      </c>
      <c r="O2150" s="35" t="str">
        <f aca="false">IF(OR($A2150="",$C2150="U",$S2150&lt;&gt;Calc!$F$2),"",SUMIFS($I$3:$I$3002,$E$3:$E$3002,$E2150,$C$3:$C$3002,"&lt;&gt;U",$S$3:$S$3002,Calc!$F$2))</f>
        <v/>
      </c>
      <c r="P2150" s="35" t="str">
        <f aca="false">IF(OR($A2150="",$C2150="U",$S2150&lt;&gt;Calc!$F$2),"",SUMIFS($N$3:$N$3002,$E$3:$E$3002,$E2150,$C$3:$C$3002,"&lt;&gt;U",$S$3:$S$3002,Calc!$F$2))</f>
        <v/>
      </c>
      <c r="Q2150" s="35" t="str">
        <f aca="false">IF(OR($A2150="",$C2150="U",$S2150&lt;&gt;Calc!$F$2),"",IF(COUNTIFS($E$3:$E2150,$E2150,$C$3:$C2150,"&lt;&gt;U",$S$3:$S2150,Calc!$F$2)=1,1,0))</f>
        <v/>
      </c>
      <c r="R2150" s="35" t="str">
        <f aca="false">IF($Q2150=1,$O2150-ROW()/100000,"")</f>
        <v/>
      </c>
      <c r="S2150" s="37" t="str">
        <f aca="false">IF($A2150="","",INT($A2150))</f>
        <v/>
      </c>
      <c r="T2150" s="35" t="str">
        <f aca="false">IF($A2150="","",IF(COUNTIFS($S$3:$S2150,$S2150)=1,1,0))</f>
        <v/>
      </c>
      <c r="U2150" s="37" t="str">
        <f aca="false">IF($T2150=1,$S2150,"")</f>
        <v/>
      </c>
    </row>
    <row r="2151" customFormat="false" ht="15" hidden="false" customHeight="false" outlineLevel="0" collapsed="false">
      <c r="M2151" s="35" t="str">
        <f aca="false">IF($A2151="","",HOUR($A2151))</f>
        <v/>
      </c>
      <c r="N2151" s="36" t="str">
        <f aca="false">IF($A2151="","",$I2151*$K2151)</f>
        <v/>
      </c>
      <c r="O2151" s="35" t="str">
        <f aca="false">IF(OR($A2151="",$C2151="U",$S2151&lt;&gt;Calc!$F$2),"",SUMIFS($I$3:$I$3002,$E$3:$E$3002,$E2151,$C$3:$C$3002,"&lt;&gt;U",$S$3:$S$3002,Calc!$F$2))</f>
        <v/>
      </c>
      <c r="P2151" s="35" t="str">
        <f aca="false">IF(OR($A2151="",$C2151="U",$S2151&lt;&gt;Calc!$F$2),"",SUMIFS($N$3:$N$3002,$E$3:$E$3002,$E2151,$C$3:$C$3002,"&lt;&gt;U",$S$3:$S$3002,Calc!$F$2))</f>
        <v/>
      </c>
      <c r="Q2151" s="35" t="str">
        <f aca="false">IF(OR($A2151="",$C2151="U",$S2151&lt;&gt;Calc!$F$2),"",IF(COUNTIFS($E$3:$E2151,$E2151,$C$3:$C2151,"&lt;&gt;U",$S$3:$S2151,Calc!$F$2)=1,1,0))</f>
        <v/>
      </c>
      <c r="R2151" s="35" t="str">
        <f aca="false">IF($Q2151=1,$O2151-ROW()/100000,"")</f>
        <v/>
      </c>
      <c r="S2151" s="37" t="str">
        <f aca="false">IF($A2151="","",INT($A2151))</f>
        <v/>
      </c>
      <c r="T2151" s="35" t="str">
        <f aca="false">IF($A2151="","",IF(COUNTIFS($S$3:$S2151,$S2151)=1,1,0))</f>
        <v/>
      </c>
      <c r="U2151" s="37" t="str">
        <f aca="false">IF($T2151=1,$S2151,"")</f>
        <v/>
      </c>
    </row>
    <row r="2152" customFormat="false" ht="15" hidden="false" customHeight="false" outlineLevel="0" collapsed="false">
      <c r="M2152" s="35" t="str">
        <f aca="false">IF($A2152="","",HOUR($A2152))</f>
        <v/>
      </c>
      <c r="N2152" s="36" t="str">
        <f aca="false">IF($A2152="","",$I2152*$K2152)</f>
        <v/>
      </c>
      <c r="O2152" s="35" t="str">
        <f aca="false">IF(OR($A2152="",$C2152="U",$S2152&lt;&gt;Calc!$F$2),"",SUMIFS($I$3:$I$3002,$E$3:$E$3002,$E2152,$C$3:$C$3002,"&lt;&gt;U",$S$3:$S$3002,Calc!$F$2))</f>
        <v/>
      </c>
      <c r="P2152" s="35" t="str">
        <f aca="false">IF(OR($A2152="",$C2152="U",$S2152&lt;&gt;Calc!$F$2),"",SUMIFS($N$3:$N$3002,$E$3:$E$3002,$E2152,$C$3:$C$3002,"&lt;&gt;U",$S$3:$S$3002,Calc!$F$2))</f>
        <v/>
      </c>
      <c r="Q2152" s="35" t="str">
        <f aca="false">IF(OR($A2152="",$C2152="U",$S2152&lt;&gt;Calc!$F$2),"",IF(COUNTIFS($E$3:$E2152,$E2152,$C$3:$C2152,"&lt;&gt;U",$S$3:$S2152,Calc!$F$2)=1,1,0))</f>
        <v/>
      </c>
      <c r="R2152" s="35" t="str">
        <f aca="false">IF($Q2152=1,$O2152-ROW()/100000,"")</f>
        <v/>
      </c>
      <c r="S2152" s="37" t="str">
        <f aca="false">IF($A2152="","",INT($A2152))</f>
        <v/>
      </c>
      <c r="T2152" s="35" t="str">
        <f aca="false">IF($A2152="","",IF(COUNTIFS($S$3:$S2152,$S2152)=1,1,0))</f>
        <v/>
      </c>
      <c r="U2152" s="37" t="str">
        <f aca="false">IF($T2152=1,$S2152,"")</f>
        <v/>
      </c>
    </row>
    <row r="2153" customFormat="false" ht="15" hidden="false" customHeight="false" outlineLevel="0" collapsed="false">
      <c r="M2153" s="35" t="str">
        <f aca="false">IF($A2153="","",HOUR($A2153))</f>
        <v/>
      </c>
      <c r="N2153" s="36" t="str">
        <f aca="false">IF($A2153="","",$I2153*$K2153)</f>
        <v/>
      </c>
      <c r="O2153" s="35" t="str">
        <f aca="false">IF(OR($A2153="",$C2153="U",$S2153&lt;&gt;Calc!$F$2),"",SUMIFS($I$3:$I$3002,$E$3:$E$3002,$E2153,$C$3:$C$3002,"&lt;&gt;U",$S$3:$S$3002,Calc!$F$2))</f>
        <v/>
      </c>
      <c r="P2153" s="35" t="str">
        <f aca="false">IF(OR($A2153="",$C2153="U",$S2153&lt;&gt;Calc!$F$2),"",SUMIFS($N$3:$N$3002,$E$3:$E$3002,$E2153,$C$3:$C$3002,"&lt;&gt;U",$S$3:$S$3002,Calc!$F$2))</f>
        <v/>
      </c>
      <c r="Q2153" s="35" t="str">
        <f aca="false">IF(OR($A2153="",$C2153="U",$S2153&lt;&gt;Calc!$F$2),"",IF(COUNTIFS($E$3:$E2153,$E2153,$C$3:$C2153,"&lt;&gt;U",$S$3:$S2153,Calc!$F$2)=1,1,0))</f>
        <v/>
      </c>
      <c r="R2153" s="35" t="str">
        <f aca="false">IF($Q2153=1,$O2153-ROW()/100000,"")</f>
        <v/>
      </c>
      <c r="S2153" s="37" t="str">
        <f aca="false">IF($A2153="","",INT($A2153))</f>
        <v/>
      </c>
      <c r="T2153" s="35" t="str">
        <f aca="false">IF($A2153="","",IF(COUNTIFS($S$3:$S2153,$S2153)=1,1,0))</f>
        <v/>
      </c>
      <c r="U2153" s="37" t="str">
        <f aca="false">IF($T2153=1,$S2153,"")</f>
        <v/>
      </c>
    </row>
    <row r="2154" customFormat="false" ht="15" hidden="false" customHeight="false" outlineLevel="0" collapsed="false">
      <c r="M2154" s="35" t="str">
        <f aca="false">IF($A2154="","",HOUR($A2154))</f>
        <v/>
      </c>
      <c r="N2154" s="36" t="str">
        <f aca="false">IF($A2154="","",$I2154*$K2154)</f>
        <v/>
      </c>
      <c r="O2154" s="35" t="str">
        <f aca="false">IF(OR($A2154="",$C2154="U",$S2154&lt;&gt;Calc!$F$2),"",SUMIFS($I$3:$I$3002,$E$3:$E$3002,$E2154,$C$3:$C$3002,"&lt;&gt;U",$S$3:$S$3002,Calc!$F$2))</f>
        <v/>
      </c>
      <c r="P2154" s="35" t="str">
        <f aca="false">IF(OR($A2154="",$C2154="U",$S2154&lt;&gt;Calc!$F$2),"",SUMIFS($N$3:$N$3002,$E$3:$E$3002,$E2154,$C$3:$C$3002,"&lt;&gt;U",$S$3:$S$3002,Calc!$F$2))</f>
        <v/>
      </c>
      <c r="Q2154" s="35" t="str">
        <f aca="false">IF(OR($A2154="",$C2154="U",$S2154&lt;&gt;Calc!$F$2),"",IF(COUNTIFS($E$3:$E2154,$E2154,$C$3:$C2154,"&lt;&gt;U",$S$3:$S2154,Calc!$F$2)=1,1,0))</f>
        <v/>
      </c>
      <c r="R2154" s="35" t="str">
        <f aca="false">IF($Q2154=1,$O2154-ROW()/100000,"")</f>
        <v/>
      </c>
      <c r="S2154" s="37" t="str">
        <f aca="false">IF($A2154="","",INT($A2154))</f>
        <v/>
      </c>
      <c r="T2154" s="35" t="str">
        <f aca="false">IF($A2154="","",IF(COUNTIFS($S$3:$S2154,$S2154)=1,1,0))</f>
        <v/>
      </c>
      <c r="U2154" s="37" t="str">
        <f aca="false">IF($T2154=1,$S2154,"")</f>
        <v/>
      </c>
    </row>
    <row r="2155" customFormat="false" ht="15" hidden="false" customHeight="false" outlineLevel="0" collapsed="false">
      <c r="M2155" s="35" t="str">
        <f aca="false">IF($A2155="","",HOUR($A2155))</f>
        <v/>
      </c>
      <c r="N2155" s="36" t="str">
        <f aca="false">IF($A2155="","",$I2155*$K2155)</f>
        <v/>
      </c>
      <c r="O2155" s="35" t="str">
        <f aca="false">IF(OR($A2155="",$C2155="U",$S2155&lt;&gt;Calc!$F$2),"",SUMIFS($I$3:$I$3002,$E$3:$E$3002,$E2155,$C$3:$C$3002,"&lt;&gt;U",$S$3:$S$3002,Calc!$F$2))</f>
        <v/>
      </c>
      <c r="P2155" s="35" t="str">
        <f aca="false">IF(OR($A2155="",$C2155="U",$S2155&lt;&gt;Calc!$F$2),"",SUMIFS($N$3:$N$3002,$E$3:$E$3002,$E2155,$C$3:$C$3002,"&lt;&gt;U",$S$3:$S$3002,Calc!$F$2))</f>
        <v/>
      </c>
      <c r="Q2155" s="35" t="str">
        <f aca="false">IF(OR($A2155="",$C2155="U",$S2155&lt;&gt;Calc!$F$2),"",IF(COUNTIFS($E$3:$E2155,$E2155,$C$3:$C2155,"&lt;&gt;U",$S$3:$S2155,Calc!$F$2)=1,1,0))</f>
        <v/>
      </c>
      <c r="R2155" s="35" t="str">
        <f aca="false">IF($Q2155=1,$O2155-ROW()/100000,"")</f>
        <v/>
      </c>
      <c r="S2155" s="37" t="str">
        <f aca="false">IF($A2155="","",INT($A2155))</f>
        <v/>
      </c>
      <c r="T2155" s="35" t="str">
        <f aca="false">IF($A2155="","",IF(COUNTIFS($S$3:$S2155,$S2155)=1,1,0))</f>
        <v/>
      </c>
      <c r="U2155" s="37" t="str">
        <f aca="false">IF($T2155=1,$S2155,"")</f>
        <v/>
      </c>
    </row>
    <row r="2156" customFormat="false" ht="15" hidden="false" customHeight="false" outlineLevel="0" collapsed="false">
      <c r="M2156" s="35" t="str">
        <f aca="false">IF($A2156="","",HOUR($A2156))</f>
        <v/>
      </c>
      <c r="N2156" s="36" t="str">
        <f aca="false">IF($A2156="","",$I2156*$K2156)</f>
        <v/>
      </c>
      <c r="O2156" s="35" t="str">
        <f aca="false">IF(OR($A2156="",$C2156="U",$S2156&lt;&gt;Calc!$F$2),"",SUMIFS($I$3:$I$3002,$E$3:$E$3002,$E2156,$C$3:$C$3002,"&lt;&gt;U",$S$3:$S$3002,Calc!$F$2))</f>
        <v/>
      </c>
      <c r="P2156" s="35" t="str">
        <f aca="false">IF(OR($A2156="",$C2156="U",$S2156&lt;&gt;Calc!$F$2),"",SUMIFS($N$3:$N$3002,$E$3:$E$3002,$E2156,$C$3:$C$3002,"&lt;&gt;U",$S$3:$S$3002,Calc!$F$2))</f>
        <v/>
      </c>
      <c r="Q2156" s="35" t="str">
        <f aca="false">IF(OR($A2156="",$C2156="U",$S2156&lt;&gt;Calc!$F$2),"",IF(COUNTIFS($E$3:$E2156,$E2156,$C$3:$C2156,"&lt;&gt;U",$S$3:$S2156,Calc!$F$2)=1,1,0))</f>
        <v/>
      </c>
      <c r="R2156" s="35" t="str">
        <f aca="false">IF($Q2156=1,$O2156-ROW()/100000,"")</f>
        <v/>
      </c>
      <c r="S2156" s="37" t="str">
        <f aca="false">IF($A2156="","",INT($A2156))</f>
        <v/>
      </c>
      <c r="T2156" s="35" t="str">
        <f aca="false">IF($A2156="","",IF(COUNTIFS($S$3:$S2156,$S2156)=1,1,0))</f>
        <v/>
      </c>
      <c r="U2156" s="37" t="str">
        <f aca="false">IF($T2156=1,$S2156,"")</f>
        <v/>
      </c>
    </row>
    <row r="2157" customFormat="false" ht="15" hidden="false" customHeight="false" outlineLevel="0" collapsed="false">
      <c r="M2157" s="35" t="str">
        <f aca="false">IF($A2157="","",HOUR($A2157))</f>
        <v/>
      </c>
      <c r="N2157" s="36" t="str">
        <f aca="false">IF($A2157="","",$I2157*$K2157)</f>
        <v/>
      </c>
      <c r="O2157" s="35" t="str">
        <f aca="false">IF(OR($A2157="",$C2157="U",$S2157&lt;&gt;Calc!$F$2),"",SUMIFS($I$3:$I$3002,$E$3:$E$3002,$E2157,$C$3:$C$3002,"&lt;&gt;U",$S$3:$S$3002,Calc!$F$2))</f>
        <v/>
      </c>
      <c r="P2157" s="35" t="str">
        <f aca="false">IF(OR($A2157="",$C2157="U",$S2157&lt;&gt;Calc!$F$2),"",SUMIFS($N$3:$N$3002,$E$3:$E$3002,$E2157,$C$3:$C$3002,"&lt;&gt;U",$S$3:$S$3002,Calc!$F$2))</f>
        <v/>
      </c>
      <c r="Q2157" s="35" t="str">
        <f aca="false">IF(OR($A2157="",$C2157="U",$S2157&lt;&gt;Calc!$F$2),"",IF(COUNTIFS($E$3:$E2157,$E2157,$C$3:$C2157,"&lt;&gt;U",$S$3:$S2157,Calc!$F$2)=1,1,0))</f>
        <v/>
      </c>
      <c r="R2157" s="35" t="str">
        <f aca="false">IF($Q2157=1,$O2157-ROW()/100000,"")</f>
        <v/>
      </c>
      <c r="S2157" s="37" t="str">
        <f aca="false">IF($A2157="","",INT($A2157))</f>
        <v/>
      </c>
      <c r="T2157" s="35" t="str">
        <f aca="false">IF($A2157="","",IF(COUNTIFS($S$3:$S2157,$S2157)=1,1,0))</f>
        <v/>
      </c>
      <c r="U2157" s="37" t="str">
        <f aca="false">IF($T2157=1,$S2157,"")</f>
        <v/>
      </c>
    </row>
    <row r="2158" customFormat="false" ht="15" hidden="false" customHeight="false" outlineLevel="0" collapsed="false">
      <c r="M2158" s="35" t="str">
        <f aca="false">IF($A2158="","",HOUR($A2158))</f>
        <v/>
      </c>
      <c r="N2158" s="36" t="str">
        <f aca="false">IF($A2158="","",$I2158*$K2158)</f>
        <v/>
      </c>
      <c r="O2158" s="35" t="str">
        <f aca="false">IF(OR($A2158="",$C2158="U",$S2158&lt;&gt;Calc!$F$2),"",SUMIFS($I$3:$I$3002,$E$3:$E$3002,$E2158,$C$3:$C$3002,"&lt;&gt;U",$S$3:$S$3002,Calc!$F$2))</f>
        <v/>
      </c>
      <c r="P2158" s="35" t="str">
        <f aca="false">IF(OR($A2158="",$C2158="U",$S2158&lt;&gt;Calc!$F$2),"",SUMIFS($N$3:$N$3002,$E$3:$E$3002,$E2158,$C$3:$C$3002,"&lt;&gt;U",$S$3:$S$3002,Calc!$F$2))</f>
        <v/>
      </c>
      <c r="Q2158" s="35" t="str">
        <f aca="false">IF(OR($A2158="",$C2158="U",$S2158&lt;&gt;Calc!$F$2),"",IF(COUNTIFS($E$3:$E2158,$E2158,$C$3:$C2158,"&lt;&gt;U",$S$3:$S2158,Calc!$F$2)=1,1,0))</f>
        <v/>
      </c>
      <c r="R2158" s="35" t="str">
        <f aca="false">IF($Q2158=1,$O2158-ROW()/100000,"")</f>
        <v/>
      </c>
      <c r="S2158" s="37" t="str">
        <f aca="false">IF($A2158="","",INT($A2158))</f>
        <v/>
      </c>
      <c r="T2158" s="35" t="str">
        <f aca="false">IF($A2158="","",IF(COUNTIFS($S$3:$S2158,$S2158)=1,1,0))</f>
        <v/>
      </c>
      <c r="U2158" s="37" t="str">
        <f aca="false">IF($T2158=1,$S2158,"")</f>
        <v/>
      </c>
    </row>
    <row r="2159" customFormat="false" ht="15" hidden="false" customHeight="false" outlineLevel="0" collapsed="false">
      <c r="M2159" s="35" t="str">
        <f aca="false">IF($A2159="","",HOUR($A2159))</f>
        <v/>
      </c>
      <c r="N2159" s="36" t="str">
        <f aca="false">IF($A2159="","",$I2159*$K2159)</f>
        <v/>
      </c>
      <c r="O2159" s="35" t="str">
        <f aca="false">IF(OR($A2159="",$C2159="U",$S2159&lt;&gt;Calc!$F$2),"",SUMIFS($I$3:$I$3002,$E$3:$E$3002,$E2159,$C$3:$C$3002,"&lt;&gt;U",$S$3:$S$3002,Calc!$F$2))</f>
        <v/>
      </c>
      <c r="P2159" s="35" t="str">
        <f aca="false">IF(OR($A2159="",$C2159="U",$S2159&lt;&gt;Calc!$F$2),"",SUMIFS($N$3:$N$3002,$E$3:$E$3002,$E2159,$C$3:$C$3002,"&lt;&gt;U",$S$3:$S$3002,Calc!$F$2))</f>
        <v/>
      </c>
      <c r="Q2159" s="35" t="str">
        <f aca="false">IF(OR($A2159="",$C2159="U",$S2159&lt;&gt;Calc!$F$2),"",IF(COUNTIFS($E$3:$E2159,$E2159,$C$3:$C2159,"&lt;&gt;U",$S$3:$S2159,Calc!$F$2)=1,1,0))</f>
        <v/>
      </c>
      <c r="R2159" s="35" t="str">
        <f aca="false">IF($Q2159=1,$O2159-ROW()/100000,"")</f>
        <v/>
      </c>
      <c r="S2159" s="37" t="str">
        <f aca="false">IF($A2159="","",INT($A2159))</f>
        <v/>
      </c>
      <c r="T2159" s="35" t="str">
        <f aca="false">IF($A2159="","",IF(COUNTIFS($S$3:$S2159,$S2159)=1,1,0))</f>
        <v/>
      </c>
      <c r="U2159" s="37" t="str">
        <f aca="false">IF($T2159=1,$S2159,"")</f>
        <v/>
      </c>
    </row>
    <row r="2160" customFormat="false" ht="15" hidden="false" customHeight="false" outlineLevel="0" collapsed="false">
      <c r="M2160" s="35" t="str">
        <f aca="false">IF($A2160="","",HOUR($A2160))</f>
        <v/>
      </c>
      <c r="N2160" s="36" t="str">
        <f aca="false">IF($A2160="","",$I2160*$K2160)</f>
        <v/>
      </c>
      <c r="O2160" s="35" t="str">
        <f aca="false">IF(OR($A2160="",$C2160="U",$S2160&lt;&gt;Calc!$F$2),"",SUMIFS($I$3:$I$3002,$E$3:$E$3002,$E2160,$C$3:$C$3002,"&lt;&gt;U",$S$3:$S$3002,Calc!$F$2))</f>
        <v/>
      </c>
      <c r="P2160" s="35" t="str">
        <f aca="false">IF(OR($A2160="",$C2160="U",$S2160&lt;&gt;Calc!$F$2),"",SUMIFS($N$3:$N$3002,$E$3:$E$3002,$E2160,$C$3:$C$3002,"&lt;&gt;U",$S$3:$S$3002,Calc!$F$2))</f>
        <v/>
      </c>
      <c r="Q2160" s="35" t="str">
        <f aca="false">IF(OR($A2160="",$C2160="U",$S2160&lt;&gt;Calc!$F$2),"",IF(COUNTIFS($E$3:$E2160,$E2160,$C$3:$C2160,"&lt;&gt;U",$S$3:$S2160,Calc!$F$2)=1,1,0))</f>
        <v/>
      </c>
      <c r="R2160" s="35" t="str">
        <f aca="false">IF($Q2160=1,$O2160-ROW()/100000,"")</f>
        <v/>
      </c>
      <c r="S2160" s="37" t="str">
        <f aca="false">IF($A2160="","",INT($A2160))</f>
        <v/>
      </c>
      <c r="T2160" s="35" t="str">
        <f aca="false">IF($A2160="","",IF(COUNTIFS($S$3:$S2160,$S2160)=1,1,0))</f>
        <v/>
      </c>
      <c r="U2160" s="37" t="str">
        <f aca="false">IF($T2160=1,$S2160,"")</f>
        <v/>
      </c>
    </row>
    <row r="2161" customFormat="false" ht="15" hidden="false" customHeight="false" outlineLevel="0" collapsed="false">
      <c r="M2161" s="35" t="str">
        <f aca="false">IF($A2161="","",HOUR($A2161))</f>
        <v/>
      </c>
      <c r="N2161" s="36" t="str">
        <f aca="false">IF($A2161="","",$I2161*$K2161)</f>
        <v/>
      </c>
      <c r="O2161" s="35" t="str">
        <f aca="false">IF(OR($A2161="",$C2161="U",$S2161&lt;&gt;Calc!$F$2),"",SUMIFS($I$3:$I$3002,$E$3:$E$3002,$E2161,$C$3:$C$3002,"&lt;&gt;U",$S$3:$S$3002,Calc!$F$2))</f>
        <v/>
      </c>
      <c r="P2161" s="35" t="str">
        <f aca="false">IF(OR($A2161="",$C2161="U",$S2161&lt;&gt;Calc!$F$2),"",SUMIFS($N$3:$N$3002,$E$3:$E$3002,$E2161,$C$3:$C$3002,"&lt;&gt;U",$S$3:$S$3002,Calc!$F$2))</f>
        <v/>
      </c>
      <c r="Q2161" s="35" t="str">
        <f aca="false">IF(OR($A2161="",$C2161="U",$S2161&lt;&gt;Calc!$F$2),"",IF(COUNTIFS($E$3:$E2161,$E2161,$C$3:$C2161,"&lt;&gt;U",$S$3:$S2161,Calc!$F$2)=1,1,0))</f>
        <v/>
      </c>
      <c r="R2161" s="35" t="str">
        <f aca="false">IF($Q2161=1,$O2161-ROW()/100000,"")</f>
        <v/>
      </c>
      <c r="S2161" s="37" t="str">
        <f aca="false">IF($A2161="","",INT($A2161))</f>
        <v/>
      </c>
      <c r="T2161" s="35" t="str">
        <f aca="false">IF($A2161="","",IF(COUNTIFS($S$3:$S2161,$S2161)=1,1,0))</f>
        <v/>
      </c>
      <c r="U2161" s="37" t="str">
        <f aca="false">IF($T2161=1,$S2161,"")</f>
        <v/>
      </c>
    </row>
    <row r="2162" customFormat="false" ht="15" hidden="false" customHeight="false" outlineLevel="0" collapsed="false">
      <c r="M2162" s="35" t="str">
        <f aca="false">IF($A2162="","",HOUR($A2162))</f>
        <v/>
      </c>
      <c r="N2162" s="36" t="str">
        <f aca="false">IF($A2162="","",$I2162*$K2162)</f>
        <v/>
      </c>
      <c r="O2162" s="35" t="str">
        <f aca="false">IF(OR($A2162="",$C2162="U",$S2162&lt;&gt;Calc!$F$2),"",SUMIFS($I$3:$I$3002,$E$3:$E$3002,$E2162,$C$3:$C$3002,"&lt;&gt;U",$S$3:$S$3002,Calc!$F$2))</f>
        <v/>
      </c>
      <c r="P2162" s="35" t="str">
        <f aca="false">IF(OR($A2162="",$C2162="U",$S2162&lt;&gt;Calc!$F$2),"",SUMIFS($N$3:$N$3002,$E$3:$E$3002,$E2162,$C$3:$C$3002,"&lt;&gt;U",$S$3:$S$3002,Calc!$F$2))</f>
        <v/>
      </c>
      <c r="Q2162" s="35" t="str">
        <f aca="false">IF(OR($A2162="",$C2162="U",$S2162&lt;&gt;Calc!$F$2),"",IF(COUNTIFS($E$3:$E2162,$E2162,$C$3:$C2162,"&lt;&gt;U",$S$3:$S2162,Calc!$F$2)=1,1,0))</f>
        <v/>
      </c>
      <c r="R2162" s="35" t="str">
        <f aca="false">IF($Q2162=1,$O2162-ROW()/100000,"")</f>
        <v/>
      </c>
      <c r="S2162" s="37" t="str">
        <f aca="false">IF($A2162="","",INT($A2162))</f>
        <v/>
      </c>
      <c r="T2162" s="35" t="str">
        <f aca="false">IF($A2162="","",IF(COUNTIFS($S$3:$S2162,$S2162)=1,1,0))</f>
        <v/>
      </c>
      <c r="U2162" s="37" t="str">
        <f aca="false">IF($T2162=1,$S2162,"")</f>
        <v/>
      </c>
    </row>
    <row r="2163" customFormat="false" ht="15" hidden="false" customHeight="false" outlineLevel="0" collapsed="false">
      <c r="M2163" s="35" t="str">
        <f aca="false">IF($A2163="","",HOUR($A2163))</f>
        <v/>
      </c>
      <c r="N2163" s="36" t="str">
        <f aca="false">IF($A2163="","",$I2163*$K2163)</f>
        <v/>
      </c>
      <c r="O2163" s="35" t="str">
        <f aca="false">IF(OR($A2163="",$C2163="U",$S2163&lt;&gt;Calc!$F$2),"",SUMIFS($I$3:$I$3002,$E$3:$E$3002,$E2163,$C$3:$C$3002,"&lt;&gt;U",$S$3:$S$3002,Calc!$F$2))</f>
        <v/>
      </c>
      <c r="P2163" s="35" t="str">
        <f aca="false">IF(OR($A2163="",$C2163="U",$S2163&lt;&gt;Calc!$F$2),"",SUMIFS($N$3:$N$3002,$E$3:$E$3002,$E2163,$C$3:$C$3002,"&lt;&gt;U",$S$3:$S$3002,Calc!$F$2))</f>
        <v/>
      </c>
      <c r="Q2163" s="35" t="str">
        <f aca="false">IF(OR($A2163="",$C2163="U",$S2163&lt;&gt;Calc!$F$2),"",IF(COUNTIFS($E$3:$E2163,$E2163,$C$3:$C2163,"&lt;&gt;U",$S$3:$S2163,Calc!$F$2)=1,1,0))</f>
        <v/>
      </c>
      <c r="R2163" s="35" t="str">
        <f aca="false">IF($Q2163=1,$O2163-ROW()/100000,"")</f>
        <v/>
      </c>
      <c r="S2163" s="37" t="str">
        <f aca="false">IF($A2163="","",INT($A2163))</f>
        <v/>
      </c>
      <c r="T2163" s="35" t="str">
        <f aca="false">IF($A2163="","",IF(COUNTIFS($S$3:$S2163,$S2163)=1,1,0))</f>
        <v/>
      </c>
      <c r="U2163" s="37" t="str">
        <f aca="false">IF($T2163=1,$S2163,"")</f>
        <v/>
      </c>
    </row>
    <row r="2164" customFormat="false" ht="15" hidden="false" customHeight="false" outlineLevel="0" collapsed="false">
      <c r="M2164" s="35" t="str">
        <f aca="false">IF($A2164="","",HOUR($A2164))</f>
        <v/>
      </c>
      <c r="N2164" s="36" t="str">
        <f aca="false">IF($A2164="","",$I2164*$K2164)</f>
        <v/>
      </c>
      <c r="O2164" s="35" t="str">
        <f aca="false">IF(OR($A2164="",$C2164="U",$S2164&lt;&gt;Calc!$F$2),"",SUMIFS($I$3:$I$3002,$E$3:$E$3002,$E2164,$C$3:$C$3002,"&lt;&gt;U",$S$3:$S$3002,Calc!$F$2))</f>
        <v/>
      </c>
      <c r="P2164" s="35" t="str">
        <f aca="false">IF(OR($A2164="",$C2164="U",$S2164&lt;&gt;Calc!$F$2),"",SUMIFS($N$3:$N$3002,$E$3:$E$3002,$E2164,$C$3:$C$3002,"&lt;&gt;U",$S$3:$S$3002,Calc!$F$2))</f>
        <v/>
      </c>
      <c r="Q2164" s="35" t="str">
        <f aca="false">IF(OR($A2164="",$C2164="U",$S2164&lt;&gt;Calc!$F$2),"",IF(COUNTIFS($E$3:$E2164,$E2164,$C$3:$C2164,"&lt;&gt;U",$S$3:$S2164,Calc!$F$2)=1,1,0))</f>
        <v/>
      </c>
      <c r="R2164" s="35" t="str">
        <f aca="false">IF($Q2164=1,$O2164-ROW()/100000,"")</f>
        <v/>
      </c>
      <c r="S2164" s="37" t="str">
        <f aca="false">IF($A2164="","",INT($A2164))</f>
        <v/>
      </c>
      <c r="T2164" s="35" t="str">
        <f aca="false">IF($A2164="","",IF(COUNTIFS($S$3:$S2164,$S2164)=1,1,0))</f>
        <v/>
      </c>
      <c r="U2164" s="37" t="str">
        <f aca="false">IF($T2164=1,$S2164,"")</f>
        <v/>
      </c>
    </row>
    <row r="2165" customFormat="false" ht="15" hidden="false" customHeight="false" outlineLevel="0" collapsed="false">
      <c r="M2165" s="35" t="str">
        <f aca="false">IF($A2165="","",HOUR($A2165))</f>
        <v/>
      </c>
      <c r="N2165" s="36" t="str">
        <f aca="false">IF($A2165="","",$I2165*$K2165)</f>
        <v/>
      </c>
      <c r="O2165" s="35" t="str">
        <f aca="false">IF(OR($A2165="",$C2165="U",$S2165&lt;&gt;Calc!$F$2),"",SUMIFS($I$3:$I$3002,$E$3:$E$3002,$E2165,$C$3:$C$3002,"&lt;&gt;U",$S$3:$S$3002,Calc!$F$2))</f>
        <v/>
      </c>
      <c r="P2165" s="35" t="str">
        <f aca="false">IF(OR($A2165="",$C2165="U",$S2165&lt;&gt;Calc!$F$2),"",SUMIFS($N$3:$N$3002,$E$3:$E$3002,$E2165,$C$3:$C$3002,"&lt;&gt;U",$S$3:$S$3002,Calc!$F$2))</f>
        <v/>
      </c>
      <c r="Q2165" s="35" t="str">
        <f aca="false">IF(OR($A2165="",$C2165="U",$S2165&lt;&gt;Calc!$F$2),"",IF(COUNTIFS($E$3:$E2165,$E2165,$C$3:$C2165,"&lt;&gt;U",$S$3:$S2165,Calc!$F$2)=1,1,0))</f>
        <v/>
      </c>
      <c r="R2165" s="35" t="str">
        <f aca="false">IF($Q2165=1,$O2165-ROW()/100000,"")</f>
        <v/>
      </c>
      <c r="S2165" s="37" t="str">
        <f aca="false">IF($A2165="","",INT($A2165))</f>
        <v/>
      </c>
      <c r="T2165" s="35" t="str">
        <f aca="false">IF($A2165="","",IF(COUNTIFS($S$3:$S2165,$S2165)=1,1,0))</f>
        <v/>
      </c>
      <c r="U2165" s="37" t="str">
        <f aca="false">IF($T2165=1,$S2165,"")</f>
        <v/>
      </c>
    </row>
    <row r="2166" customFormat="false" ht="15" hidden="false" customHeight="false" outlineLevel="0" collapsed="false">
      <c r="M2166" s="35" t="str">
        <f aca="false">IF($A2166="","",HOUR($A2166))</f>
        <v/>
      </c>
      <c r="N2166" s="36" t="str">
        <f aca="false">IF($A2166="","",$I2166*$K2166)</f>
        <v/>
      </c>
      <c r="O2166" s="35" t="str">
        <f aca="false">IF(OR($A2166="",$C2166="U",$S2166&lt;&gt;Calc!$F$2),"",SUMIFS($I$3:$I$3002,$E$3:$E$3002,$E2166,$C$3:$C$3002,"&lt;&gt;U",$S$3:$S$3002,Calc!$F$2))</f>
        <v/>
      </c>
      <c r="P2166" s="35" t="str">
        <f aca="false">IF(OR($A2166="",$C2166="U",$S2166&lt;&gt;Calc!$F$2),"",SUMIFS($N$3:$N$3002,$E$3:$E$3002,$E2166,$C$3:$C$3002,"&lt;&gt;U",$S$3:$S$3002,Calc!$F$2))</f>
        <v/>
      </c>
      <c r="Q2166" s="35" t="str">
        <f aca="false">IF(OR($A2166="",$C2166="U",$S2166&lt;&gt;Calc!$F$2),"",IF(COUNTIFS($E$3:$E2166,$E2166,$C$3:$C2166,"&lt;&gt;U",$S$3:$S2166,Calc!$F$2)=1,1,0))</f>
        <v/>
      </c>
      <c r="R2166" s="35" t="str">
        <f aca="false">IF($Q2166=1,$O2166-ROW()/100000,"")</f>
        <v/>
      </c>
      <c r="S2166" s="37" t="str">
        <f aca="false">IF($A2166="","",INT($A2166))</f>
        <v/>
      </c>
      <c r="T2166" s="35" t="str">
        <f aca="false">IF($A2166="","",IF(COUNTIFS($S$3:$S2166,$S2166)=1,1,0))</f>
        <v/>
      </c>
      <c r="U2166" s="37" t="str">
        <f aca="false">IF($T2166=1,$S2166,"")</f>
        <v/>
      </c>
    </row>
    <row r="2167" customFormat="false" ht="15" hidden="false" customHeight="false" outlineLevel="0" collapsed="false">
      <c r="M2167" s="35" t="str">
        <f aca="false">IF($A2167="","",HOUR($A2167))</f>
        <v/>
      </c>
      <c r="N2167" s="36" t="str">
        <f aca="false">IF($A2167="","",$I2167*$K2167)</f>
        <v/>
      </c>
      <c r="O2167" s="35" t="str">
        <f aca="false">IF(OR($A2167="",$C2167="U",$S2167&lt;&gt;Calc!$F$2),"",SUMIFS($I$3:$I$3002,$E$3:$E$3002,$E2167,$C$3:$C$3002,"&lt;&gt;U",$S$3:$S$3002,Calc!$F$2))</f>
        <v/>
      </c>
      <c r="P2167" s="35" t="str">
        <f aca="false">IF(OR($A2167="",$C2167="U",$S2167&lt;&gt;Calc!$F$2),"",SUMIFS($N$3:$N$3002,$E$3:$E$3002,$E2167,$C$3:$C$3002,"&lt;&gt;U",$S$3:$S$3002,Calc!$F$2))</f>
        <v/>
      </c>
      <c r="Q2167" s="35" t="str">
        <f aca="false">IF(OR($A2167="",$C2167="U",$S2167&lt;&gt;Calc!$F$2),"",IF(COUNTIFS($E$3:$E2167,$E2167,$C$3:$C2167,"&lt;&gt;U",$S$3:$S2167,Calc!$F$2)=1,1,0))</f>
        <v/>
      </c>
      <c r="R2167" s="35" t="str">
        <f aca="false">IF($Q2167=1,$O2167-ROW()/100000,"")</f>
        <v/>
      </c>
      <c r="S2167" s="37" t="str">
        <f aca="false">IF($A2167="","",INT($A2167))</f>
        <v/>
      </c>
      <c r="T2167" s="35" t="str">
        <f aca="false">IF($A2167="","",IF(COUNTIFS($S$3:$S2167,$S2167)=1,1,0))</f>
        <v/>
      </c>
      <c r="U2167" s="37" t="str">
        <f aca="false">IF($T2167=1,$S2167,"")</f>
        <v/>
      </c>
    </row>
    <row r="2168" customFormat="false" ht="15" hidden="false" customHeight="false" outlineLevel="0" collapsed="false">
      <c r="M2168" s="35" t="str">
        <f aca="false">IF($A2168="","",HOUR($A2168))</f>
        <v/>
      </c>
      <c r="N2168" s="36" t="str">
        <f aca="false">IF($A2168="","",$I2168*$K2168)</f>
        <v/>
      </c>
      <c r="O2168" s="35" t="str">
        <f aca="false">IF(OR($A2168="",$C2168="U",$S2168&lt;&gt;Calc!$F$2),"",SUMIFS($I$3:$I$3002,$E$3:$E$3002,$E2168,$C$3:$C$3002,"&lt;&gt;U",$S$3:$S$3002,Calc!$F$2))</f>
        <v/>
      </c>
      <c r="P2168" s="35" t="str">
        <f aca="false">IF(OR($A2168="",$C2168="U",$S2168&lt;&gt;Calc!$F$2),"",SUMIFS($N$3:$N$3002,$E$3:$E$3002,$E2168,$C$3:$C$3002,"&lt;&gt;U",$S$3:$S$3002,Calc!$F$2))</f>
        <v/>
      </c>
      <c r="Q2168" s="35" t="str">
        <f aca="false">IF(OR($A2168="",$C2168="U",$S2168&lt;&gt;Calc!$F$2),"",IF(COUNTIFS($E$3:$E2168,$E2168,$C$3:$C2168,"&lt;&gt;U",$S$3:$S2168,Calc!$F$2)=1,1,0))</f>
        <v/>
      </c>
      <c r="R2168" s="35" t="str">
        <f aca="false">IF($Q2168=1,$O2168-ROW()/100000,"")</f>
        <v/>
      </c>
      <c r="S2168" s="37" t="str">
        <f aca="false">IF($A2168="","",INT($A2168))</f>
        <v/>
      </c>
      <c r="T2168" s="35" t="str">
        <f aca="false">IF($A2168="","",IF(COUNTIFS($S$3:$S2168,$S2168)=1,1,0))</f>
        <v/>
      </c>
      <c r="U2168" s="37" t="str">
        <f aca="false">IF($T2168=1,$S2168,"")</f>
        <v/>
      </c>
    </row>
    <row r="2169" customFormat="false" ht="15" hidden="false" customHeight="false" outlineLevel="0" collapsed="false">
      <c r="M2169" s="35" t="str">
        <f aca="false">IF($A2169="","",HOUR($A2169))</f>
        <v/>
      </c>
      <c r="N2169" s="36" t="str">
        <f aca="false">IF($A2169="","",$I2169*$K2169)</f>
        <v/>
      </c>
      <c r="O2169" s="35" t="str">
        <f aca="false">IF(OR($A2169="",$C2169="U",$S2169&lt;&gt;Calc!$F$2),"",SUMIFS($I$3:$I$3002,$E$3:$E$3002,$E2169,$C$3:$C$3002,"&lt;&gt;U",$S$3:$S$3002,Calc!$F$2))</f>
        <v/>
      </c>
      <c r="P2169" s="35" t="str">
        <f aca="false">IF(OR($A2169="",$C2169="U",$S2169&lt;&gt;Calc!$F$2),"",SUMIFS($N$3:$N$3002,$E$3:$E$3002,$E2169,$C$3:$C$3002,"&lt;&gt;U",$S$3:$S$3002,Calc!$F$2))</f>
        <v/>
      </c>
      <c r="Q2169" s="35" t="str">
        <f aca="false">IF(OR($A2169="",$C2169="U",$S2169&lt;&gt;Calc!$F$2),"",IF(COUNTIFS($E$3:$E2169,$E2169,$C$3:$C2169,"&lt;&gt;U",$S$3:$S2169,Calc!$F$2)=1,1,0))</f>
        <v/>
      </c>
      <c r="R2169" s="35" t="str">
        <f aca="false">IF($Q2169=1,$O2169-ROW()/100000,"")</f>
        <v/>
      </c>
      <c r="S2169" s="37" t="str">
        <f aca="false">IF($A2169="","",INT($A2169))</f>
        <v/>
      </c>
      <c r="T2169" s="35" t="str">
        <f aca="false">IF($A2169="","",IF(COUNTIFS($S$3:$S2169,$S2169)=1,1,0))</f>
        <v/>
      </c>
      <c r="U2169" s="37" t="str">
        <f aca="false">IF($T2169=1,$S2169,"")</f>
        <v/>
      </c>
    </row>
    <row r="2170" customFormat="false" ht="15" hidden="false" customHeight="false" outlineLevel="0" collapsed="false">
      <c r="M2170" s="35" t="str">
        <f aca="false">IF($A2170="","",HOUR($A2170))</f>
        <v/>
      </c>
      <c r="N2170" s="36" t="str">
        <f aca="false">IF($A2170="","",$I2170*$K2170)</f>
        <v/>
      </c>
      <c r="O2170" s="35" t="str">
        <f aca="false">IF(OR($A2170="",$C2170="U",$S2170&lt;&gt;Calc!$F$2),"",SUMIFS($I$3:$I$3002,$E$3:$E$3002,$E2170,$C$3:$C$3002,"&lt;&gt;U",$S$3:$S$3002,Calc!$F$2))</f>
        <v/>
      </c>
      <c r="P2170" s="35" t="str">
        <f aca="false">IF(OR($A2170="",$C2170="U",$S2170&lt;&gt;Calc!$F$2),"",SUMIFS($N$3:$N$3002,$E$3:$E$3002,$E2170,$C$3:$C$3002,"&lt;&gt;U",$S$3:$S$3002,Calc!$F$2))</f>
        <v/>
      </c>
      <c r="Q2170" s="35" t="str">
        <f aca="false">IF(OR($A2170="",$C2170="U",$S2170&lt;&gt;Calc!$F$2),"",IF(COUNTIFS($E$3:$E2170,$E2170,$C$3:$C2170,"&lt;&gt;U",$S$3:$S2170,Calc!$F$2)=1,1,0))</f>
        <v/>
      </c>
      <c r="R2170" s="35" t="str">
        <f aca="false">IF($Q2170=1,$O2170-ROW()/100000,"")</f>
        <v/>
      </c>
      <c r="S2170" s="37" t="str">
        <f aca="false">IF($A2170="","",INT($A2170))</f>
        <v/>
      </c>
      <c r="T2170" s="35" t="str">
        <f aca="false">IF($A2170="","",IF(COUNTIFS($S$3:$S2170,$S2170)=1,1,0))</f>
        <v/>
      </c>
      <c r="U2170" s="37" t="str">
        <f aca="false">IF($T2170=1,$S2170,"")</f>
        <v/>
      </c>
    </row>
    <row r="2171" customFormat="false" ht="15" hidden="false" customHeight="false" outlineLevel="0" collapsed="false">
      <c r="M2171" s="35" t="str">
        <f aca="false">IF($A2171="","",HOUR($A2171))</f>
        <v/>
      </c>
      <c r="N2171" s="36" t="str">
        <f aca="false">IF($A2171="","",$I2171*$K2171)</f>
        <v/>
      </c>
      <c r="O2171" s="35" t="str">
        <f aca="false">IF(OR($A2171="",$C2171="U",$S2171&lt;&gt;Calc!$F$2),"",SUMIFS($I$3:$I$3002,$E$3:$E$3002,$E2171,$C$3:$C$3002,"&lt;&gt;U",$S$3:$S$3002,Calc!$F$2))</f>
        <v/>
      </c>
      <c r="P2171" s="35" t="str">
        <f aca="false">IF(OR($A2171="",$C2171="U",$S2171&lt;&gt;Calc!$F$2),"",SUMIFS($N$3:$N$3002,$E$3:$E$3002,$E2171,$C$3:$C$3002,"&lt;&gt;U",$S$3:$S$3002,Calc!$F$2))</f>
        <v/>
      </c>
      <c r="Q2171" s="35" t="str">
        <f aca="false">IF(OR($A2171="",$C2171="U",$S2171&lt;&gt;Calc!$F$2),"",IF(COUNTIFS($E$3:$E2171,$E2171,$C$3:$C2171,"&lt;&gt;U",$S$3:$S2171,Calc!$F$2)=1,1,0))</f>
        <v/>
      </c>
      <c r="R2171" s="35" t="str">
        <f aca="false">IF($Q2171=1,$O2171-ROW()/100000,"")</f>
        <v/>
      </c>
      <c r="S2171" s="37" t="str">
        <f aca="false">IF($A2171="","",INT($A2171))</f>
        <v/>
      </c>
      <c r="T2171" s="35" t="str">
        <f aca="false">IF($A2171="","",IF(COUNTIFS($S$3:$S2171,$S2171)=1,1,0))</f>
        <v/>
      </c>
      <c r="U2171" s="37" t="str">
        <f aca="false">IF($T2171=1,$S2171,"")</f>
        <v/>
      </c>
    </row>
    <row r="2172" customFormat="false" ht="15" hidden="false" customHeight="false" outlineLevel="0" collapsed="false">
      <c r="M2172" s="35" t="str">
        <f aca="false">IF($A2172="","",HOUR($A2172))</f>
        <v/>
      </c>
      <c r="N2172" s="36" t="str">
        <f aca="false">IF($A2172="","",$I2172*$K2172)</f>
        <v/>
      </c>
      <c r="O2172" s="35" t="str">
        <f aca="false">IF(OR($A2172="",$C2172="U",$S2172&lt;&gt;Calc!$F$2),"",SUMIFS($I$3:$I$3002,$E$3:$E$3002,$E2172,$C$3:$C$3002,"&lt;&gt;U",$S$3:$S$3002,Calc!$F$2))</f>
        <v/>
      </c>
      <c r="P2172" s="35" t="str">
        <f aca="false">IF(OR($A2172="",$C2172="U",$S2172&lt;&gt;Calc!$F$2),"",SUMIFS($N$3:$N$3002,$E$3:$E$3002,$E2172,$C$3:$C$3002,"&lt;&gt;U",$S$3:$S$3002,Calc!$F$2))</f>
        <v/>
      </c>
      <c r="Q2172" s="35" t="str">
        <f aca="false">IF(OR($A2172="",$C2172="U",$S2172&lt;&gt;Calc!$F$2),"",IF(COUNTIFS($E$3:$E2172,$E2172,$C$3:$C2172,"&lt;&gt;U",$S$3:$S2172,Calc!$F$2)=1,1,0))</f>
        <v/>
      </c>
      <c r="R2172" s="35" t="str">
        <f aca="false">IF($Q2172=1,$O2172-ROW()/100000,"")</f>
        <v/>
      </c>
      <c r="S2172" s="37" t="str">
        <f aca="false">IF($A2172="","",INT($A2172))</f>
        <v/>
      </c>
      <c r="T2172" s="35" t="str">
        <f aca="false">IF($A2172="","",IF(COUNTIFS($S$3:$S2172,$S2172)=1,1,0))</f>
        <v/>
      </c>
      <c r="U2172" s="37" t="str">
        <f aca="false">IF($T2172=1,$S2172,"")</f>
        <v/>
      </c>
    </row>
    <row r="2173" customFormat="false" ht="15" hidden="false" customHeight="false" outlineLevel="0" collapsed="false">
      <c r="M2173" s="35" t="str">
        <f aca="false">IF($A2173="","",HOUR($A2173))</f>
        <v/>
      </c>
      <c r="N2173" s="36" t="str">
        <f aca="false">IF($A2173="","",$I2173*$K2173)</f>
        <v/>
      </c>
      <c r="O2173" s="35" t="str">
        <f aca="false">IF(OR($A2173="",$C2173="U",$S2173&lt;&gt;Calc!$F$2),"",SUMIFS($I$3:$I$3002,$E$3:$E$3002,$E2173,$C$3:$C$3002,"&lt;&gt;U",$S$3:$S$3002,Calc!$F$2))</f>
        <v/>
      </c>
      <c r="P2173" s="35" t="str">
        <f aca="false">IF(OR($A2173="",$C2173="U",$S2173&lt;&gt;Calc!$F$2),"",SUMIFS($N$3:$N$3002,$E$3:$E$3002,$E2173,$C$3:$C$3002,"&lt;&gt;U",$S$3:$S$3002,Calc!$F$2))</f>
        <v/>
      </c>
      <c r="Q2173" s="35" t="str">
        <f aca="false">IF(OR($A2173="",$C2173="U",$S2173&lt;&gt;Calc!$F$2),"",IF(COUNTIFS($E$3:$E2173,$E2173,$C$3:$C2173,"&lt;&gt;U",$S$3:$S2173,Calc!$F$2)=1,1,0))</f>
        <v/>
      </c>
      <c r="R2173" s="35" t="str">
        <f aca="false">IF($Q2173=1,$O2173-ROW()/100000,"")</f>
        <v/>
      </c>
      <c r="S2173" s="37" t="str">
        <f aca="false">IF($A2173="","",INT($A2173))</f>
        <v/>
      </c>
      <c r="T2173" s="35" t="str">
        <f aca="false">IF($A2173="","",IF(COUNTIFS($S$3:$S2173,$S2173)=1,1,0))</f>
        <v/>
      </c>
      <c r="U2173" s="37" t="str">
        <f aca="false">IF($T2173=1,$S2173,"")</f>
        <v/>
      </c>
    </row>
    <row r="2174" customFormat="false" ht="15" hidden="false" customHeight="false" outlineLevel="0" collapsed="false">
      <c r="M2174" s="35" t="str">
        <f aca="false">IF($A2174="","",HOUR($A2174))</f>
        <v/>
      </c>
      <c r="N2174" s="36" t="str">
        <f aca="false">IF($A2174="","",$I2174*$K2174)</f>
        <v/>
      </c>
      <c r="O2174" s="35" t="str">
        <f aca="false">IF(OR($A2174="",$C2174="U",$S2174&lt;&gt;Calc!$F$2),"",SUMIFS($I$3:$I$3002,$E$3:$E$3002,$E2174,$C$3:$C$3002,"&lt;&gt;U",$S$3:$S$3002,Calc!$F$2))</f>
        <v/>
      </c>
      <c r="P2174" s="35" t="str">
        <f aca="false">IF(OR($A2174="",$C2174="U",$S2174&lt;&gt;Calc!$F$2),"",SUMIFS($N$3:$N$3002,$E$3:$E$3002,$E2174,$C$3:$C$3002,"&lt;&gt;U",$S$3:$S$3002,Calc!$F$2))</f>
        <v/>
      </c>
      <c r="Q2174" s="35" t="str">
        <f aca="false">IF(OR($A2174="",$C2174="U",$S2174&lt;&gt;Calc!$F$2),"",IF(COUNTIFS($E$3:$E2174,$E2174,$C$3:$C2174,"&lt;&gt;U",$S$3:$S2174,Calc!$F$2)=1,1,0))</f>
        <v/>
      </c>
      <c r="R2174" s="35" t="str">
        <f aca="false">IF($Q2174=1,$O2174-ROW()/100000,"")</f>
        <v/>
      </c>
      <c r="S2174" s="37" t="str">
        <f aca="false">IF($A2174="","",INT($A2174))</f>
        <v/>
      </c>
      <c r="T2174" s="35" t="str">
        <f aca="false">IF($A2174="","",IF(COUNTIFS($S$3:$S2174,$S2174)=1,1,0))</f>
        <v/>
      </c>
      <c r="U2174" s="37" t="str">
        <f aca="false">IF($T2174=1,$S2174,"")</f>
        <v/>
      </c>
    </row>
    <row r="2175" customFormat="false" ht="15" hidden="false" customHeight="false" outlineLevel="0" collapsed="false">
      <c r="M2175" s="35" t="str">
        <f aca="false">IF($A2175="","",HOUR($A2175))</f>
        <v/>
      </c>
      <c r="N2175" s="36" t="str">
        <f aca="false">IF($A2175="","",$I2175*$K2175)</f>
        <v/>
      </c>
      <c r="O2175" s="35" t="str">
        <f aca="false">IF(OR($A2175="",$C2175="U",$S2175&lt;&gt;Calc!$F$2),"",SUMIFS($I$3:$I$3002,$E$3:$E$3002,$E2175,$C$3:$C$3002,"&lt;&gt;U",$S$3:$S$3002,Calc!$F$2))</f>
        <v/>
      </c>
      <c r="P2175" s="35" t="str">
        <f aca="false">IF(OR($A2175="",$C2175="U",$S2175&lt;&gt;Calc!$F$2),"",SUMIFS($N$3:$N$3002,$E$3:$E$3002,$E2175,$C$3:$C$3002,"&lt;&gt;U",$S$3:$S$3002,Calc!$F$2))</f>
        <v/>
      </c>
      <c r="Q2175" s="35" t="str">
        <f aca="false">IF(OR($A2175="",$C2175="U",$S2175&lt;&gt;Calc!$F$2),"",IF(COUNTIFS($E$3:$E2175,$E2175,$C$3:$C2175,"&lt;&gt;U",$S$3:$S2175,Calc!$F$2)=1,1,0))</f>
        <v/>
      </c>
      <c r="R2175" s="35" t="str">
        <f aca="false">IF($Q2175=1,$O2175-ROW()/100000,"")</f>
        <v/>
      </c>
      <c r="S2175" s="37" t="str">
        <f aca="false">IF($A2175="","",INT($A2175))</f>
        <v/>
      </c>
      <c r="T2175" s="35" t="str">
        <f aca="false">IF($A2175="","",IF(COUNTIFS($S$3:$S2175,$S2175)=1,1,0))</f>
        <v/>
      </c>
      <c r="U2175" s="37" t="str">
        <f aca="false">IF($T2175=1,$S2175,"")</f>
        <v/>
      </c>
    </row>
    <row r="2176" customFormat="false" ht="15" hidden="false" customHeight="false" outlineLevel="0" collapsed="false">
      <c r="M2176" s="35" t="str">
        <f aca="false">IF($A2176="","",HOUR($A2176))</f>
        <v/>
      </c>
      <c r="N2176" s="36" t="str">
        <f aca="false">IF($A2176="","",$I2176*$K2176)</f>
        <v/>
      </c>
      <c r="O2176" s="35" t="str">
        <f aca="false">IF(OR($A2176="",$C2176="U",$S2176&lt;&gt;Calc!$F$2),"",SUMIFS($I$3:$I$3002,$E$3:$E$3002,$E2176,$C$3:$C$3002,"&lt;&gt;U",$S$3:$S$3002,Calc!$F$2))</f>
        <v/>
      </c>
      <c r="P2176" s="35" t="str">
        <f aca="false">IF(OR($A2176="",$C2176="U",$S2176&lt;&gt;Calc!$F$2),"",SUMIFS($N$3:$N$3002,$E$3:$E$3002,$E2176,$C$3:$C$3002,"&lt;&gt;U",$S$3:$S$3002,Calc!$F$2))</f>
        <v/>
      </c>
      <c r="Q2176" s="35" t="str">
        <f aca="false">IF(OR($A2176="",$C2176="U",$S2176&lt;&gt;Calc!$F$2),"",IF(COUNTIFS($E$3:$E2176,$E2176,$C$3:$C2176,"&lt;&gt;U",$S$3:$S2176,Calc!$F$2)=1,1,0))</f>
        <v/>
      </c>
      <c r="R2176" s="35" t="str">
        <f aca="false">IF($Q2176=1,$O2176-ROW()/100000,"")</f>
        <v/>
      </c>
      <c r="S2176" s="37" t="str">
        <f aca="false">IF($A2176="","",INT($A2176))</f>
        <v/>
      </c>
      <c r="T2176" s="35" t="str">
        <f aca="false">IF($A2176="","",IF(COUNTIFS($S$3:$S2176,$S2176)=1,1,0))</f>
        <v/>
      </c>
      <c r="U2176" s="37" t="str">
        <f aca="false">IF($T2176=1,$S2176,"")</f>
        <v/>
      </c>
    </row>
    <row r="2177" customFormat="false" ht="15" hidden="false" customHeight="false" outlineLevel="0" collapsed="false">
      <c r="M2177" s="35" t="str">
        <f aca="false">IF($A2177="","",HOUR($A2177))</f>
        <v/>
      </c>
      <c r="N2177" s="36" t="str">
        <f aca="false">IF($A2177="","",$I2177*$K2177)</f>
        <v/>
      </c>
      <c r="O2177" s="35" t="str">
        <f aca="false">IF(OR($A2177="",$C2177="U",$S2177&lt;&gt;Calc!$F$2),"",SUMIFS($I$3:$I$3002,$E$3:$E$3002,$E2177,$C$3:$C$3002,"&lt;&gt;U",$S$3:$S$3002,Calc!$F$2))</f>
        <v/>
      </c>
      <c r="P2177" s="35" t="str">
        <f aca="false">IF(OR($A2177="",$C2177="U",$S2177&lt;&gt;Calc!$F$2),"",SUMIFS($N$3:$N$3002,$E$3:$E$3002,$E2177,$C$3:$C$3002,"&lt;&gt;U",$S$3:$S$3002,Calc!$F$2))</f>
        <v/>
      </c>
      <c r="Q2177" s="35" t="str">
        <f aca="false">IF(OR($A2177="",$C2177="U",$S2177&lt;&gt;Calc!$F$2),"",IF(COUNTIFS($E$3:$E2177,$E2177,$C$3:$C2177,"&lt;&gt;U",$S$3:$S2177,Calc!$F$2)=1,1,0))</f>
        <v/>
      </c>
      <c r="R2177" s="35" t="str">
        <f aca="false">IF($Q2177=1,$O2177-ROW()/100000,"")</f>
        <v/>
      </c>
      <c r="S2177" s="37" t="str">
        <f aca="false">IF($A2177="","",INT($A2177))</f>
        <v/>
      </c>
      <c r="T2177" s="35" t="str">
        <f aca="false">IF($A2177="","",IF(COUNTIFS($S$3:$S2177,$S2177)=1,1,0))</f>
        <v/>
      </c>
      <c r="U2177" s="37" t="str">
        <f aca="false">IF($T2177=1,$S2177,"")</f>
        <v/>
      </c>
    </row>
    <row r="2178" customFormat="false" ht="15" hidden="false" customHeight="false" outlineLevel="0" collapsed="false">
      <c r="M2178" s="35" t="str">
        <f aca="false">IF($A2178="","",HOUR($A2178))</f>
        <v/>
      </c>
      <c r="N2178" s="36" t="str">
        <f aca="false">IF($A2178="","",$I2178*$K2178)</f>
        <v/>
      </c>
      <c r="O2178" s="35" t="str">
        <f aca="false">IF(OR($A2178="",$C2178="U",$S2178&lt;&gt;Calc!$F$2),"",SUMIFS($I$3:$I$3002,$E$3:$E$3002,$E2178,$C$3:$C$3002,"&lt;&gt;U",$S$3:$S$3002,Calc!$F$2))</f>
        <v/>
      </c>
      <c r="P2178" s="35" t="str">
        <f aca="false">IF(OR($A2178="",$C2178="U",$S2178&lt;&gt;Calc!$F$2),"",SUMIFS($N$3:$N$3002,$E$3:$E$3002,$E2178,$C$3:$C$3002,"&lt;&gt;U",$S$3:$S$3002,Calc!$F$2))</f>
        <v/>
      </c>
      <c r="Q2178" s="35" t="str">
        <f aca="false">IF(OR($A2178="",$C2178="U",$S2178&lt;&gt;Calc!$F$2),"",IF(COUNTIFS($E$3:$E2178,$E2178,$C$3:$C2178,"&lt;&gt;U",$S$3:$S2178,Calc!$F$2)=1,1,0))</f>
        <v/>
      </c>
      <c r="R2178" s="35" t="str">
        <f aca="false">IF($Q2178=1,$O2178-ROW()/100000,"")</f>
        <v/>
      </c>
      <c r="S2178" s="37" t="str">
        <f aca="false">IF($A2178="","",INT($A2178))</f>
        <v/>
      </c>
      <c r="T2178" s="35" t="str">
        <f aca="false">IF($A2178="","",IF(COUNTIFS($S$3:$S2178,$S2178)=1,1,0))</f>
        <v/>
      </c>
      <c r="U2178" s="37" t="str">
        <f aca="false">IF($T2178=1,$S2178,"")</f>
        <v/>
      </c>
    </row>
    <row r="2179" customFormat="false" ht="15" hidden="false" customHeight="false" outlineLevel="0" collapsed="false">
      <c r="M2179" s="35" t="str">
        <f aca="false">IF($A2179="","",HOUR($A2179))</f>
        <v/>
      </c>
      <c r="N2179" s="36" t="str">
        <f aca="false">IF($A2179="","",$I2179*$K2179)</f>
        <v/>
      </c>
      <c r="O2179" s="35" t="str">
        <f aca="false">IF(OR($A2179="",$C2179="U",$S2179&lt;&gt;Calc!$F$2),"",SUMIFS($I$3:$I$3002,$E$3:$E$3002,$E2179,$C$3:$C$3002,"&lt;&gt;U",$S$3:$S$3002,Calc!$F$2))</f>
        <v/>
      </c>
      <c r="P2179" s="35" t="str">
        <f aca="false">IF(OR($A2179="",$C2179="U",$S2179&lt;&gt;Calc!$F$2),"",SUMIFS($N$3:$N$3002,$E$3:$E$3002,$E2179,$C$3:$C$3002,"&lt;&gt;U",$S$3:$S$3002,Calc!$F$2))</f>
        <v/>
      </c>
      <c r="Q2179" s="35" t="str">
        <f aca="false">IF(OR($A2179="",$C2179="U",$S2179&lt;&gt;Calc!$F$2),"",IF(COUNTIFS($E$3:$E2179,$E2179,$C$3:$C2179,"&lt;&gt;U",$S$3:$S2179,Calc!$F$2)=1,1,0))</f>
        <v/>
      </c>
      <c r="R2179" s="35" t="str">
        <f aca="false">IF($Q2179=1,$O2179-ROW()/100000,"")</f>
        <v/>
      </c>
      <c r="S2179" s="37" t="str">
        <f aca="false">IF($A2179="","",INT($A2179))</f>
        <v/>
      </c>
      <c r="T2179" s="35" t="str">
        <f aca="false">IF($A2179="","",IF(COUNTIFS($S$3:$S2179,$S2179)=1,1,0))</f>
        <v/>
      </c>
      <c r="U2179" s="37" t="str">
        <f aca="false">IF($T2179=1,$S2179,"")</f>
        <v/>
      </c>
    </row>
    <row r="2180" customFormat="false" ht="15" hidden="false" customHeight="false" outlineLevel="0" collapsed="false">
      <c r="M2180" s="35" t="str">
        <f aca="false">IF($A2180="","",HOUR($A2180))</f>
        <v/>
      </c>
      <c r="N2180" s="36" t="str">
        <f aca="false">IF($A2180="","",$I2180*$K2180)</f>
        <v/>
      </c>
      <c r="O2180" s="35" t="str">
        <f aca="false">IF(OR($A2180="",$C2180="U",$S2180&lt;&gt;Calc!$F$2),"",SUMIFS($I$3:$I$3002,$E$3:$E$3002,$E2180,$C$3:$C$3002,"&lt;&gt;U",$S$3:$S$3002,Calc!$F$2))</f>
        <v/>
      </c>
      <c r="P2180" s="35" t="str">
        <f aca="false">IF(OR($A2180="",$C2180="U",$S2180&lt;&gt;Calc!$F$2),"",SUMIFS($N$3:$N$3002,$E$3:$E$3002,$E2180,$C$3:$C$3002,"&lt;&gt;U",$S$3:$S$3002,Calc!$F$2))</f>
        <v/>
      </c>
      <c r="Q2180" s="35" t="str">
        <f aca="false">IF(OR($A2180="",$C2180="U",$S2180&lt;&gt;Calc!$F$2),"",IF(COUNTIFS($E$3:$E2180,$E2180,$C$3:$C2180,"&lt;&gt;U",$S$3:$S2180,Calc!$F$2)=1,1,0))</f>
        <v/>
      </c>
      <c r="R2180" s="35" t="str">
        <f aca="false">IF($Q2180=1,$O2180-ROW()/100000,"")</f>
        <v/>
      </c>
      <c r="S2180" s="37" t="str">
        <f aca="false">IF($A2180="","",INT($A2180))</f>
        <v/>
      </c>
      <c r="T2180" s="35" t="str">
        <f aca="false">IF($A2180="","",IF(COUNTIFS($S$3:$S2180,$S2180)=1,1,0))</f>
        <v/>
      </c>
      <c r="U2180" s="37" t="str">
        <f aca="false">IF($T2180=1,$S2180,"")</f>
        <v/>
      </c>
    </row>
    <row r="2181" customFormat="false" ht="15" hidden="false" customHeight="false" outlineLevel="0" collapsed="false">
      <c r="M2181" s="35" t="str">
        <f aca="false">IF($A2181="","",HOUR($A2181))</f>
        <v/>
      </c>
      <c r="N2181" s="36" t="str">
        <f aca="false">IF($A2181="","",$I2181*$K2181)</f>
        <v/>
      </c>
      <c r="O2181" s="35" t="str">
        <f aca="false">IF(OR($A2181="",$C2181="U",$S2181&lt;&gt;Calc!$F$2),"",SUMIFS($I$3:$I$3002,$E$3:$E$3002,$E2181,$C$3:$C$3002,"&lt;&gt;U",$S$3:$S$3002,Calc!$F$2))</f>
        <v/>
      </c>
      <c r="P2181" s="35" t="str">
        <f aca="false">IF(OR($A2181="",$C2181="U",$S2181&lt;&gt;Calc!$F$2),"",SUMIFS($N$3:$N$3002,$E$3:$E$3002,$E2181,$C$3:$C$3002,"&lt;&gt;U",$S$3:$S$3002,Calc!$F$2))</f>
        <v/>
      </c>
      <c r="Q2181" s="35" t="str">
        <f aca="false">IF(OR($A2181="",$C2181="U",$S2181&lt;&gt;Calc!$F$2),"",IF(COUNTIFS($E$3:$E2181,$E2181,$C$3:$C2181,"&lt;&gt;U",$S$3:$S2181,Calc!$F$2)=1,1,0))</f>
        <v/>
      </c>
      <c r="R2181" s="35" t="str">
        <f aca="false">IF($Q2181=1,$O2181-ROW()/100000,"")</f>
        <v/>
      </c>
      <c r="S2181" s="37" t="str">
        <f aca="false">IF($A2181="","",INT($A2181))</f>
        <v/>
      </c>
      <c r="T2181" s="35" t="str">
        <f aca="false">IF($A2181="","",IF(COUNTIFS($S$3:$S2181,$S2181)=1,1,0))</f>
        <v/>
      </c>
      <c r="U2181" s="37" t="str">
        <f aca="false">IF($T2181=1,$S2181,"")</f>
        <v/>
      </c>
    </row>
    <row r="2182" customFormat="false" ht="15" hidden="false" customHeight="false" outlineLevel="0" collapsed="false">
      <c r="M2182" s="35" t="str">
        <f aca="false">IF($A2182="","",HOUR($A2182))</f>
        <v/>
      </c>
      <c r="N2182" s="36" t="str">
        <f aca="false">IF($A2182="","",$I2182*$K2182)</f>
        <v/>
      </c>
      <c r="O2182" s="35" t="str">
        <f aca="false">IF(OR($A2182="",$C2182="U",$S2182&lt;&gt;Calc!$F$2),"",SUMIFS($I$3:$I$3002,$E$3:$E$3002,$E2182,$C$3:$C$3002,"&lt;&gt;U",$S$3:$S$3002,Calc!$F$2))</f>
        <v/>
      </c>
      <c r="P2182" s="35" t="str">
        <f aca="false">IF(OR($A2182="",$C2182="U",$S2182&lt;&gt;Calc!$F$2),"",SUMIFS($N$3:$N$3002,$E$3:$E$3002,$E2182,$C$3:$C$3002,"&lt;&gt;U",$S$3:$S$3002,Calc!$F$2))</f>
        <v/>
      </c>
      <c r="Q2182" s="35" t="str">
        <f aca="false">IF(OR($A2182="",$C2182="U",$S2182&lt;&gt;Calc!$F$2),"",IF(COUNTIFS($E$3:$E2182,$E2182,$C$3:$C2182,"&lt;&gt;U",$S$3:$S2182,Calc!$F$2)=1,1,0))</f>
        <v/>
      </c>
      <c r="R2182" s="35" t="str">
        <f aca="false">IF($Q2182=1,$O2182-ROW()/100000,"")</f>
        <v/>
      </c>
      <c r="S2182" s="37" t="str">
        <f aca="false">IF($A2182="","",INT($A2182))</f>
        <v/>
      </c>
      <c r="T2182" s="35" t="str">
        <f aca="false">IF($A2182="","",IF(COUNTIFS($S$3:$S2182,$S2182)=1,1,0))</f>
        <v/>
      </c>
      <c r="U2182" s="37" t="str">
        <f aca="false">IF($T2182=1,$S2182,"")</f>
        <v/>
      </c>
    </row>
    <row r="2183" customFormat="false" ht="15" hidden="false" customHeight="false" outlineLevel="0" collapsed="false">
      <c r="M2183" s="35" t="str">
        <f aca="false">IF($A2183="","",HOUR($A2183))</f>
        <v/>
      </c>
      <c r="N2183" s="36" t="str">
        <f aca="false">IF($A2183="","",$I2183*$K2183)</f>
        <v/>
      </c>
      <c r="O2183" s="35" t="str">
        <f aca="false">IF(OR($A2183="",$C2183="U",$S2183&lt;&gt;Calc!$F$2),"",SUMIFS($I$3:$I$3002,$E$3:$E$3002,$E2183,$C$3:$C$3002,"&lt;&gt;U",$S$3:$S$3002,Calc!$F$2))</f>
        <v/>
      </c>
      <c r="P2183" s="35" t="str">
        <f aca="false">IF(OR($A2183="",$C2183="U",$S2183&lt;&gt;Calc!$F$2),"",SUMIFS($N$3:$N$3002,$E$3:$E$3002,$E2183,$C$3:$C$3002,"&lt;&gt;U",$S$3:$S$3002,Calc!$F$2))</f>
        <v/>
      </c>
      <c r="Q2183" s="35" t="str">
        <f aca="false">IF(OR($A2183="",$C2183="U",$S2183&lt;&gt;Calc!$F$2),"",IF(COUNTIFS($E$3:$E2183,$E2183,$C$3:$C2183,"&lt;&gt;U",$S$3:$S2183,Calc!$F$2)=1,1,0))</f>
        <v/>
      </c>
      <c r="R2183" s="35" t="str">
        <f aca="false">IF($Q2183=1,$O2183-ROW()/100000,"")</f>
        <v/>
      </c>
      <c r="S2183" s="37" t="str">
        <f aca="false">IF($A2183="","",INT($A2183))</f>
        <v/>
      </c>
      <c r="T2183" s="35" t="str">
        <f aca="false">IF($A2183="","",IF(COUNTIFS($S$3:$S2183,$S2183)=1,1,0))</f>
        <v/>
      </c>
      <c r="U2183" s="37" t="str">
        <f aca="false">IF($T2183=1,$S2183,"")</f>
        <v/>
      </c>
    </row>
    <row r="2184" customFormat="false" ht="15" hidden="false" customHeight="false" outlineLevel="0" collapsed="false">
      <c r="M2184" s="35" t="str">
        <f aca="false">IF($A2184="","",HOUR($A2184))</f>
        <v/>
      </c>
      <c r="N2184" s="36" t="str">
        <f aca="false">IF($A2184="","",$I2184*$K2184)</f>
        <v/>
      </c>
      <c r="O2184" s="35" t="str">
        <f aca="false">IF(OR($A2184="",$C2184="U",$S2184&lt;&gt;Calc!$F$2),"",SUMIFS($I$3:$I$3002,$E$3:$E$3002,$E2184,$C$3:$C$3002,"&lt;&gt;U",$S$3:$S$3002,Calc!$F$2))</f>
        <v/>
      </c>
      <c r="P2184" s="35" t="str">
        <f aca="false">IF(OR($A2184="",$C2184="U",$S2184&lt;&gt;Calc!$F$2),"",SUMIFS($N$3:$N$3002,$E$3:$E$3002,$E2184,$C$3:$C$3002,"&lt;&gt;U",$S$3:$S$3002,Calc!$F$2))</f>
        <v/>
      </c>
      <c r="Q2184" s="35" t="str">
        <f aca="false">IF(OR($A2184="",$C2184="U",$S2184&lt;&gt;Calc!$F$2),"",IF(COUNTIFS($E$3:$E2184,$E2184,$C$3:$C2184,"&lt;&gt;U",$S$3:$S2184,Calc!$F$2)=1,1,0))</f>
        <v/>
      </c>
      <c r="R2184" s="35" t="str">
        <f aca="false">IF($Q2184=1,$O2184-ROW()/100000,"")</f>
        <v/>
      </c>
      <c r="S2184" s="37" t="str">
        <f aca="false">IF($A2184="","",INT($A2184))</f>
        <v/>
      </c>
      <c r="T2184" s="35" t="str">
        <f aca="false">IF($A2184="","",IF(COUNTIFS($S$3:$S2184,$S2184)=1,1,0))</f>
        <v/>
      </c>
      <c r="U2184" s="37" t="str">
        <f aca="false">IF($T2184=1,$S2184,"")</f>
        <v/>
      </c>
    </row>
    <row r="2185" customFormat="false" ht="15" hidden="false" customHeight="false" outlineLevel="0" collapsed="false">
      <c r="M2185" s="35" t="str">
        <f aca="false">IF($A2185="","",HOUR($A2185))</f>
        <v/>
      </c>
      <c r="N2185" s="36" t="str">
        <f aca="false">IF($A2185="","",$I2185*$K2185)</f>
        <v/>
      </c>
      <c r="O2185" s="35" t="str">
        <f aca="false">IF(OR($A2185="",$C2185="U",$S2185&lt;&gt;Calc!$F$2),"",SUMIFS($I$3:$I$3002,$E$3:$E$3002,$E2185,$C$3:$C$3002,"&lt;&gt;U",$S$3:$S$3002,Calc!$F$2))</f>
        <v/>
      </c>
      <c r="P2185" s="35" t="str">
        <f aca="false">IF(OR($A2185="",$C2185="U",$S2185&lt;&gt;Calc!$F$2),"",SUMIFS($N$3:$N$3002,$E$3:$E$3002,$E2185,$C$3:$C$3002,"&lt;&gt;U",$S$3:$S$3002,Calc!$F$2))</f>
        <v/>
      </c>
      <c r="Q2185" s="35" t="str">
        <f aca="false">IF(OR($A2185="",$C2185="U",$S2185&lt;&gt;Calc!$F$2),"",IF(COUNTIFS($E$3:$E2185,$E2185,$C$3:$C2185,"&lt;&gt;U",$S$3:$S2185,Calc!$F$2)=1,1,0))</f>
        <v/>
      </c>
      <c r="R2185" s="35" t="str">
        <f aca="false">IF($Q2185=1,$O2185-ROW()/100000,"")</f>
        <v/>
      </c>
      <c r="S2185" s="37" t="str">
        <f aca="false">IF($A2185="","",INT($A2185))</f>
        <v/>
      </c>
      <c r="T2185" s="35" t="str">
        <f aca="false">IF($A2185="","",IF(COUNTIFS($S$3:$S2185,$S2185)=1,1,0))</f>
        <v/>
      </c>
      <c r="U2185" s="37" t="str">
        <f aca="false">IF($T2185=1,$S2185,"")</f>
        <v/>
      </c>
    </row>
    <row r="2186" customFormat="false" ht="15" hidden="false" customHeight="false" outlineLevel="0" collapsed="false">
      <c r="M2186" s="35" t="str">
        <f aca="false">IF($A2186="","",HOUR($A2186))</f>
        <v/>
      </c>
      <c r="N2186" s="36" t="str">
        <f aca="false">IF($A2186="","",$I2186*$K2186)</f>
        <v/>
      </c>
      <c r="O2186" s="35" t="str">
        <f aca="false">IF(OR($A2186="",$C2186="U",$S2186&lt;&gt;Calc!$F$2),"",SUMIFS($I$3:$I$3002,$E$3:$E$3002,$E2186,$C$3:$C$3002,"&lt;&gt;U",$S$3:$S$3002,Calc!$F$2))</f>
        <v/>
      </c>
      <c r="P2186" s="35" t="str">
        <f aca="false">IF(OR($A2186="",$C2186="U",$S2186&lt;&gt;Calc!$F$2),"",SUMIFS($N$3:$N$3002,$E$3:$E$3002,$E2186,$C$3:$C$3002,"&lt;&gt;U",$S$3:$S$3002,Calc!$F$2))</f>
        <v/>
      </c>
      <c r="Q2186" s="35" t="str">
        <f aca="false">IF(OR($A2186="",$C2186="U",$S2186&lt;&gt;Calc!$F$2),"",IF(COUNTIFS($E$3:$E2186,$E2186,$C$3:$C2186,"&lt;&gt;U",$S$3:$S2186,Calc!$F$2)=1,1,0))</f>
        <v/>
      </c>
      <c r="R2186" s="35" t="str">
        <f aca="false">IF($Q2186=1,$O2186-ROW()/100000,"")</f>
        <v/>
      </c>
      <c r="S2186" s="37" t="str">
        <f aca="false">IF($A2186="","",INT($A2186))</f>
        <v/>
      </c>
      <c r="T2186" s="35" t="str">
        <f aca="false">IF($A2186="","",IF(COUNTIFS($S$3:$S2186,$S2186)=1,1,0))</f>
        <v/>
      </c>
      <c r="U2186" s="37" t="str">
        <f aca="false">IF($T2186=1,$S2186,"")</f>
        <v/>
      </c>
    </row>
    <row r="2187" customFormat="false" ht="15" hidden="false" customHeight="false" outlineLevel="0" collapsed="false">
      <c r="M2187" s="35" t="str">
        <f aca="false">IF($A2187="","",HOUR($A2187))</f>
        <v/>
      </c>
      <c r="N2187" s="36" t="str">
        <f aca="false">IF($A2187="","",$I2187*$K2187)</f>
        <v/>
      </c>
      <c r="O2187" s="35" t="str">
        <f aca="false">IF(OR($A2187="",$C2187="U",$S2187&lt;&gt;Calc!$F$2),"",SUMIFS($I$3:$I$3002,$E$3:$E$3002,$E2187,$C$3:$C$3002,"&lt;&gt;U",$S$3:$S$3002,Calc!$F$2))</f>
        <v/>
      </c>
      <c r="P2187" s="35" t="str">
        <f aca="false">IF(OR($A2187="",$C2187="U",$S2187&lt;&gt;Calc!$F$2),"",SUMIFS($N$3:$N$3002,$E$3:$E$3002,$E2187,$C$3:$C$3002,"&lt;&gt;U",$S$3:$S$3002,Calc!$F$2))</f>
        <v/>
      </c>
      <c r="Q2187" s="35" t="str">
        <f aca="false">IF(OR($A2187="",$C2187="U",$S2187&lt;&gt;Calc!$F$2),"",IF(COUNTIFS($E$3:$E2187,$E2187,$C$3:$C2187,"&lt;&gt;U",$S$3:$S2187,Calc!$F$2)=1,1,0))</f>
        <v/>
      </c>
      <c r="R2187" s="35" t="str">
        <f aca="false">IF($Q2187=1,$O2187-ROW()/100000,"")</f>
        <v/>
      </c>
      <c r="S2187" s="37" t="str">
        <f aca="false">IF($A2187="","",INT($A2187))</f>
        <v/>
      </c>
      <c r="T2187" s="35" t="str">
        <f aca="false">IF($A2187="","",IF(COUNTIFS($S$3:$S2187,$S2187)=1,1,0))</f>
        <v/>
      </c>
      <c r="U2187" s="37" t="str">
        <f aca="false">IF($T2187=1,$S2187,"")</f>
        <v/>
      </c>
    </row>
    <row r="2188" customFormat="false" ht="15" hidden="false" customHeight="false" outlineLevel="0" collapsed="false">
      <c r="M2188" s="35" t="str">
        <f aca="false">IF($A2188="","",HOUR($A2188))</f>
        <v/>
      </c>
      <c r="N2188" s="36" t="str">
        <f aca="false">IF($A2188="","",$I2188*$K2188)</f>
        <v/>
      </c>
      <c r="O2188" s="35" t="str">
        <f aca="false">IF(OR($A2188="",$C2188="U",$S2188&lt;&gt;Calc!$F$2),"",SUMIFS($I$3:$I$3002,$E$3:$E$3002,$E2188,$C$3:$C$3002,"&lt;&gt;U",$S$3:$S$3002,Calc!$F$2))</f>
        <v/>
      </c>
      <c r="P2188" s="35" t="str">
        <f aca="false">IF(OR($A2188="",$C2188="U",$S2188&lt;&gt;Calc!$F$2),"",SUMIFS($N$3:$N$3002,$E$3:$E$3002,$E2188,$C$3:$C$3002,"&lt;&gt;U",$S$3:$S$3002,Calc!$F$2))</f>
        <v/>
      </c>
      <c r="Q2188" s="35" t="str">
        <f aca="false">IF(OR($A2188="",$C2188="U",$S2188&lt;&gt;Calc!$F$2),"",IF(COUNTIFS($E$3:$E2188,$E2188,$C$3:$C2188,"&lt;&gt;U",$S$3:$S2188,Calc!$F$2)=1,1,0))</f>
        <v/>
      </c>
      <c r="R2188" s="35" t="str">
        <f aca="false">IF($Q2188=1,$O2188-ROW()/100000,"")</f>
        <v/>
      </c>
      <c r="S2188" s="37" t="str">
        <f aca="false">IF($A2188="","",INT($A2188))</f>
        <v/>
      </c>
      <c r="T2188" s="35" t="str">
        <f aca="false">IF($A2188="","",IF(COUNTIFS($S$3:$S2188,$S2188)=1,1,0))</f>
        <v/>
      </c>
      <c r="U2188" s="37" t="str">
        <f aca="false">IF($T2188=1,$S2188,"")</f>
        <v/>
      </c>
    </row>
    <row r="2189" customFormat="false" ht="15" hidden="false" customHeight="false" outlineLevel="0" collapsed="false">
      <c r="M2189" s="35" t="str">
        <f aca="false">IF($A2189="","",HOUR($A2189))</f>
        <v/>
      </c>
      <c r="N2189" s="36" t="str">
        <f aca="false">IF($A2189="","",$I2189*$K2189)</f>
        <v/>
      </c>
      <c r="O2189" s="35" t="str">
        <f aca="false">IF(OR($A2189="",$C2189="U",$S2189&lt;&gt;Calc!$F$2),"",SUMIFS($I$3:$I$3002,$E$3:$E$3002,$E2189,$C$3:$C$3002,"&lt;&gt;U",$S$3:$S$3002,Calc!$F$2))</f>
        <v/>
      </c>
      <c r="P2189" s="35" t="str">
        <f aca="false">IF(OR($A2189="",$C2189="U",$S2189&lt;&gt;Calc!$F$2),"",SUMIFS($N$3:$N$3002,$E$3:$E$3002,$E2189,$C$3:$C$3002,"&lt;&gt;U",$S$3:$S$3002,Calc!$F$2))</f>
        <v/>
      </c>
      <c r="Q2189" s="35" t="str">
        <f aca="false">IF(OR($A2189="",$C2189="U",$S2189&lt;&gt;Calc!$F$2),"",IF(COUNTIFS($E$3:$E2189,$E2189,$C$3:$C2189,"&lt;&gt;U",$S$3:$S2189,Calc!$F$2)=1,1,0))</f>
        <v/>
      </c>
      <c r="R2189" s="35" t="str">
        <f aca="false">IF($Q2189=1,$O2189-ROW()/100000,"")</f>
        <v/>
      </c>
      <c r="S2189" s="37" t="str">
        <f aca="false">IF($A2189="","",INT($A2189))</f>
        <v/>
      </c>
      <c r="T2189" s="35" t="str">
        <f aca="false">IF($A2189="","",IF(COUNTIFS($S$3:$S2189,$S2189)=1,1,0))</f>
        <v/>
      </c>
      <c r="U2189" s="37" t="str">
        <f aca="false">IF($T2189=1,$S2189,"")</f>
        <v/>
      </c>
    </row>
    <row r="2190" customFormat="false" ht="15" hidden="false" customHeight="false" outlineLevel="0" collapsed="false">
      <c r="M2190" s="35" t="str">
        <f aca="false">IF($A2190="","",HOUR($A2190))</f>
        <v/>
      </c>
      <c r="N2190" s="36" t="str">
        <f aca="false">IF($A2190="","",$I2190*$K2190)</f>
        <v/>
      </c>
      <c r="O2190" s="35" t="str">
        <f aca="false">IF(OR($A2190="",$C2190="U",$S2190&lt;&gt;Calc!$F$2),"",SUMIFS($I$3:$I$3002,$E$3:$E$3002,$E2190,$C$3:$C$3002,"&lt;&gt;U",$S$3:$S$3002,Calc!$F$2))</f>
        <v/>
      </c>
      <c r="P2190" s="35" t="str">
        <f aca="false">IF(OR($A2190="",$C2190="U",$S2190&lt;&gt;Calc!$F$2),"",SUMIFS($N$3:$N$3002,$E$3:$E$3002,$E2190,$C$3:$C$3002,"&lt;&gt;U",$S$3:$S$3002,Calc!$F$2))</f>
        <v/>
      </c>
      <c r="Q2190" s="35" t="str">
        <f aca="false">IF(OR($A2190="",$C2190="U",$S2190&lt;&gt;Calc!$F$2),"",IF(COUNTIFS($E$3:$E2190,$E2190,$C$3:$C2190,"&lt;&gt;U",$S$3:$S2190,Calc!$F$2)=1,1,0))</f>
        <v/>
      </c>
      <c r="R2190" s="35" t="str">
        <f aca="false">IF($Q2190=1,$O2190-ROW()/100000,"")</f>
        <v/>
      </c>
      <c r="S2190" s="37" t="str">
        <f aca="false">IF($A2190="","",INT($A2190))</f>
        <v/>
      </c>
      <c r="T2190" s="35" t="str">
        <f aca="false">IF($A2190="","",IF(COUNTIFS($S$3:$S2190,$S2190)=1,1,0))</f>
        <v/>
      </c>
      <c r="U2190" s="37" t="str">
        <f aca="false">IF($T2190=1,$S2190,"")</f>
        <v/>
      </c>
    </row>
    <row r="2191" customFormat="false" ht="15" hidden="false" customHeight="false" outlineLevel="0" collapsed="false">
      <c r="M2191" s="35" t="str">
        <f aca="false">IF($A2191="","",HOUR($A2191))</f>
        <v/>
      </c>
      <c r="N2191" s="36" t="str">
        <f aca="false">IF($A2191="","",$I2191*$K2191)</f>
        <v/>
      </c>
      <c r="O2191" s="35" t="str">
        <f aca="false">IF(OR($A2191="",$C2191="U",$S2191&lt;&gt;Calc!$F$2),"",SUMIFS($I$3:$I$3002,$E$3:$E$3002,$E2191,$C$3:$C$3002,"&lt;&gt;U",$S$3:$S$3002,Calc!$F$2))</f>
        <v/>
      </c>
      <c r="P2191" s="35" t="str">
        <f aca="false">IF(OR($A2191="",$C2191="U",$S2191&lt;&gt;Calc!$F$2),"",SUMIFS($N$3:$N$3002,$E$3:$E$3002,$E2191,$C$3:$C$3002,"&lt;&gt;U",$S$3:$S$3002,Calc!$F$2))</f>
        <v/>
      </c>
      <c r="Q2191" s="35" t="str">
        <f aca="false">IF(OR($A2191="",$C2191="U",$S2191&lt;&gt;Calc!$F$2),"",IF(COUNTIFS($E$3:$E2191,$E2191,$C$3:$C2191,"&lt;&gt;U",$S$3:$S2191,Calc!$F$2)=1,1,0))</f>
        <v/>
      </c>
      <c r="R2191" s="35" t="str">
        <f aca="false">IF($Q2191=1,$O2191-ROW()/100000,"")</f>
        <v/>
      </c>
      <c r="S2191" s="37" t="str">
        <f aca="false">IF($A2191="","",INT($A2191))</f>
        <v/>
      </c>
      <c r="T2191" s="35" t="str">
        <f aca="false">IF($A2191="","",IF(COUNTIFS($S$3:$S2191,$S2191)=1,1,0))</f>
        <v/>
      </c>
      <c r="U2191" s="37" t="str">
        <f aca="false">IF($T2191=1,$S2191,"")</f>
        <v/>
      </c>
    </row>
    <row r="2192" customFormat="false" ht="15" hidden="false" customHeight="false" outlineLevel="0" collapsed="false">
      <c r="M2192" s="35" t="str">
        <f aca="false">IF($A2192="","",HOUR($A2192))</f>
        <v/>
      </c>
      <c r="N2192" s="36" t="str">
        <f aca="false">IF($A2192="","",$I2192*$K2192)</f>
        <v/>
      </c>
      <c r="O2192" s="35" t="str">
        <f aca="false">IF(OR($A2192="",$C2192="U",$S2192&lt;&gt;Calc!$F$2),"",SUMIFS($I$3:$I$3002,$E$3:$E$3002,$E2192,$C$3:$C$3002,"&lt;&gt;U",$S$3:$S$3002,Calc!$F$2))</f>
        <v/>
      </c>
      <c r="P2192" s="35" t="str">
        <f aca="false">IF(OR($A2192="",$C2192="U",$S2192&lt;&gt;Calc!$F$2),"",SUMIFS($N$3:$N$3002,$E$3:$E$3002,$E2192,$C$3:$C$3002,"&lt;&gt;U",$S$3:$S$3002,Calc!$F$2))</f>
        <v/>
      </c>
      <c r="Q2192" s="35" t="str">
        <f aca="false">IF(OR($A2192="",$C2192="U",$S2192&lt;&gt;Calc!$F$2),"",IF(COUNTIFS($E$3:$E2192,$E2192,$C$3:$C2192,"&lt;&gt;U",$S$3:$S2192,Calc!$F$2)=1,1,0))</f>
        <v/>
      </c>
      <c r="R2192" s="35" t="str">
        <f aca="false">IF($Q2192=1,$O2192-ROW()/100000,"")</f>
        <v/>
      </c>
      <c r="S2192" s="37" t="str">
        <f aca="false">IF($A2192="","",INT($A2192))</f>
        <v/>
      </c>
      <c r="T2192" s="35" t="str">
        <f aca="false">IF($A2192="","",IF(COUNTIFS($S$3:$S2192,$S2192)=1,1,0))</f>
        <v/>
      </c>
      <c r="U2192" s="37" t="str">
        <f aca="false">IF($T2192=1,$S2192,"")</f>
        <v/>
      </c>
    </row>
    <row r="2193" customFormat="false" ht="15" hidden="false" customHeight="false" outlineLevel="0" collapsed="false">
      <c r="M2193" s="35" t="str">
        <f aca="false">IF($A2193="","",HOUR($A2193))</f>
        <v/>
      </c>
      <c r="N2193" s="36" t="str">
        <f aca="false">IF($A2193="","",$I2193*$K2193)</f>
        <v/>
      </c>
      <c r="O2193" s="35" t="str">
        <f aca="false">IF(OR($A2193="",$C2193="U",$S2193&lt;&gt;Calc!$F$2),"",SUMIFS($I$3:$I$3002,$E$3:$E$3002,$E2193,$C$3:$C$3002,"&lt;&gt;U",$S$3:$S$3002,Calc!$F$2))</f>
        <v/>
      </c>
      <c r="P2193" s="35" t="str">
        <f aca="false">IF(OR($A2193="",$C2193="U",$S2193&lt;&gt;Calc!$F$2),"",SUMIFS($N$3:$N$3002,$E$3:$E$3002,$E2193,$C$3:$C$3002,"&lt;&gt;U",$S$3:$S$3002,Calc!$F$2))</f>
        <v/>
      </c>
      <c r="Q2193" s="35" t="str">
        <f aca="false">IF(OR($A2193="",$C2193="U",$S2193&lt;&gt;Calc!$F$2),"",IF(COUNTIFS($E$3:$E2193,$E2193,$C$3:$C2193,"&lt;&gt;U",$S$3:$S2193,Calc!$F$2)=1,1,0))</f>
        <v/>
      </c>
      <c r="R2193" s="35" t="str">
        <f aca="false">IF($Q2193=1,$O2193-ROW()/100000,"")</f>
        <v/>
      </c>
      <c r="S2193" s="37" t="str">
        <f aca="false">IF($A2193="","",INT($A2193))</f>
        <v/>
      </c>
      <c r="T2193" s="35" t="str">
        <f aca="false">IF($A2193="","",IF(COUNTIFS($S$3:$S2193,$S2193)=1,1,0))</f>
        <v/>
      </c>
      <c r="U2193" s="37" t="str">
        <f aca="false">IF($T2193=1,$S2193,"")</f>
        <v/>
      </c>
    </row>
    <row r="2194" customFormat="false" ht="15" hidden="false" customHeight="false" outlineLevel="0" collapsed="false">
      <c r="M2194" s="35" t="str">
        <f aca="false">IF($A2194="","",HOUR($A2194))</f>
        <v/>
      </c>
      <c r="N2194" s="36" t="str">
        <f aca="false">IF($A2194="","",$I2194*$K2194)</f>
        <v/>
      </c>
      <c r="O2194" s="35" t="str">
        <f aca="false">IF(OR($A2194="",$C2194="U",$S2194&lt;&gt;Calc!$F$2),"",SUMIFS($I$3:$I$3002,$E$3:$E$3002,$E2194,$C$3:$C$3002,"&lt;&gt;U",$S$3:$S$3002,Calc!$F$2))</f>
        <v/>
      </c>
      <c r="P2194" s="35" t="str">
        <f aca="false">IF(OR($A2194="",$C2194="U",$S2194&lt;&gt;Calc!$F$2),"",SUMIFS($N$3:$N$3002,$E$3:$E$3002,$E2194,$C$3:$C$3002,"&lt;&gt;U",$S$3:$S$3002,Calc!$F$2))</f>
        <v/>
      </c>
      <c r="Q2194" s="35" t="str">
        <f aca="false">IF(OR($A2194="",$C2194="U",$S2194&lt;&gt;Calc!$F$2),"",IF(COUNTIFS($E$3:$E2194,$E2194,$C$3:$C2194,"&lt;&gt;U",$S$3:$S2194,Calc!$F$2)=1,1,0))</f>
        <v/>
      </c>
      <c r="R2194" s="35" t="str">
        <f aca="false">IF($Q2194=1,$O2194-ROW()/100000,"")</f>
        <v/>
      </c>
      <c r="S2194" s="37" t="str">
        <f aca="false">IF($A2194="","",INT($A2194))</f>
        <v/>
      </c>
      <c r="T2194" s="35" t="str">
        <f aca="false">IF($A2194="","",IF(COUNTIFS($S$3:$S2194,$S2194)=1,1,0))</f>
        <v/>
      </c>
      <c r="U2194" s="37" t="str">
        <f aca="false">IF($T2194=1,$S2194,"")</f>
        <v/>
      </c>
    </row>
    <row r="2195" customFormat="false" ht="15" hidden="false" customHeight="false" outlineLevel="0" collapsed="false">
      <c r="M2195" s="35" t="str">
        <f aca="false">IF($A2195="","",HOUR($A2195))</f>
        <v/>
      </c>
      <c r="N2195" s="36" t="str">
        <f aca="false">IF($A2195="","",$I2195*$K2195)</f>
        <v/>
      </c>
      <c r="O2195" s="35" t="str">
        <f aca="false">IF(OR($A2195="",$C2195="U",$S2195&lt;&gt;Calc!$F$2),"",SUMIFS($I$3:$I$3002,$E$3:$E$3002,$E2195,$C$3:$C$3002,"&lt;&gt;U",$S$3:$S$3002,Calc!$F$2))</f>
        <v/>
      </c>
      <c r="P2195" s="35" t="str">
        <f aca="false">IF(OR($A2195="",$C2195="U",$S2195&lt;&gt;Calc!$F$2),"",SUMIFS($N$3:$N$3002,$E$3:$E$3002,$E2195,$C$3:$C$3002,"&lt;&gt;U",$S$3:$S$3002,Calc!$F$2))</f>
        <v/>
      </c>
      <c r="Q2195" s="35" t="str">
        <f aca="false">IF(OR($A2195="",$C2195="U",$S2195&lt;&gt;Calc!$F$2),"",IF(COUNTIFS($E$3:$E2195,$E2195,$C$3:$C2195,"&lt;&gt;U",$S$3:$S2195,Calc!$F$2)=1,1,0))</f>
        <v/>
      </c>
      <c r="R2195" s="35" t="str">
        <f aca="false">IF($Q2195=1,$O2195-ROW()/100000,"")</f>
        <v/>
      </c>
      <c r="S2195" s="37" t="str">
        <f aca="false">IF($A2195="","",INT($A2195))</f>
        <v/>
      </c>
      <c r="T2195" s="35" t="str">
        <f aca="false">IF($A2195="","",IF(COUNTIFS($S$3:$S2195,$S2195)=1,1,0))</f>
        <v/>
      </c>
      <c r="U2195" s="37" t="str">
        <f aca="false">IF($T2195=1,$S2195,"")</f>
        <v/>
      </c>
    </row>
    <row r="2196" customFormat="false" ht="15" hidden="false" customHeight="false" outlineLevel="0" collapsed="false">
      <c r="M2196" s="35" t="str">
        <f aca="false">IF($A2196="","",HOUR($A2196))</f>
        <v/>
      </c>
      <c r="N2196" s="36" t="str">
        <f aca="false">IF($A2196="","",$I2196*$K2196)</f>
        <v/>
      </c>
      <c r="O2196" s="35" t="str">
        <f aca="false">IF(OR($A2196="",$C2196="U",$S2196&lt;&gt;Calc!$F$2),"",SUMIFS($I$3:$I$3002,$E$3:$E$3002,$E2196,$C$3:$C$3002,"&lt;&gt;U",$S$3:$S$3002,Calc!$F$2))</f>
        <v/>
      </c>
      <c r="P2196" s="35" t="str">
        <f aca="false">IF(OR($A2196="",$C2196="U",$S2196&lt;&gt;Calc!$F$2),"",SUMIFS($N$3:$N$3002,$E$3:$E$3002,$E2196,$C$3:$C$3002,"&lt;&gt;U",$S$3:$S$3002,Calc!$F$2))</f>
        <v/>
      </c>
      <c r="Q2196" s="35" t="str">
        <f aca="false">IF(OR($A2196="",$C2196="U",$S2196&lt;&gt;Calc!$F$2),"",IF(COUNTIFS($E$3:$E2196,$E2196,$C$3:$C2196,"&lt;&gt;U",$S$3:$S2196,Calc!$F$2)=1,1,0))</f>
        <v/>
      </c>
      <c r="R2196" s="35" t="str">
        <f aca="false">IF($Q2196=1,$O2196-ROW()/100000,"")</f>
        <v/>
      </c>
      <c r="S2196" s="37" t="str">
        <f aca="false">IF($A2196="","",INT($A2196))</f>
        <v/>
      </c>
      <c r="T2196" s="35" t="str">
        <f aca="false">IF($A2196="","",IF(COUNTIFS($S$3:$S2196,$S2196)=1,1,0))</f>
        <v/>
      </c>
      <c r="U2196" s="37" t="str">
        <f aca="false">IF($T2196=1,$S2196,"")</f>
        <v/>
      </c>
    </row>
    <row r="2197" customFormat="false" ht="15" hidden="false" customHeight="false" outlineLevel="0" collapsed="false">
      <c r="M2197" s="35" t="str">
        <f aca="false">IF($A2197="","",HOUR($A2197))</f>
        <v/>
      </c>
      <c r="N2197" s="36" t="str">
        <f aca="false">IF($A2197="","",$I2197*$K2197)</f>
        <v/>
      </c>
      <c r="O2197" s="35" t="str">
        <f aca="false">IF(OR($A2197="",$C2197="U",$S2197&lt;&gt;Calc!$F$2),"",SUMIFS($I$3:$I$3002,$E$3:$E$3002,$E2197,$C$3:$C$3002,"&lt;&gt;U",$S$3:$S$3002,Calc!$F$2))</f>
        <v/>
      </c>
      <c r="P2197" s="35" t="str">
        <f aca="false">IF(OR($A2197="",$C2197="U",$S2197&lt;&gt;Calc!$F$2),"",SUMIFS($N$3:$N$3002,$E$3:$E$3002,$E2197,$C$3:$C$3002,"&lt;&gt;U",$S$3:$S$3002,Calc!$F$2))</f>
        <v/>
      </c>
      <c r="Q2197" s="35" t="str">
        <f aca="false">IF(OR($A2197="",$C2197="U",$S2197&lt;&gt;Calc!$F$2),"",IF(COUNTIFS($E$3:$E2197,$E2197,$C$3:$C2197,"&lt;&gt;U",$S$3:$S2197,Calc!$F$2)=1,1,0))</f>
        <v/>
      </c>
      <c r="R2197" s="35" t="str">
        <f aca="false">IF($Q2197=1,$O2197-ROW()/100000,"")</f>
        <v/>
      </c>
      <c r="S2197" s="37" t="str">
        <f aca="false">IF($A2197="","",INT($A2197))</f>
        <v/>
      </c>
      <c r="T2197" s="35" t="str">
        <f aca="false">IF($A2197="","",IF(COUNTIFS($S$3:$S2197,$S2197)=1,1,0))</f>
        <v/>
      </c>
      <c r="U2197" s="37" t="str">
        <f aca="false">IF($T2197=1,$S2197,"")</f>
        <v/>
      </c>
    </row>
    <row r="2198" customFormat="false" ht="15" hidden="false" customHeight="false" outlineLevel="0" collapsed="false">
      <c r="M2198" s="35" t="str">
        <f aca="false">IF($A2198="","",HOUR($A2198))</f>
        <v/>
      </c>
      <c r="N2198" s="36" t="str">
        <f aca="false">IF($A2198="","",$I2198*$K2198)</f>
        <v/>
      </c>
      <c r="O2198" s="35" t="str">
        <f aca="false">IF(OR($A2198="",$C2198="U",$S2198&lt;&gt;Calc!$F$2),"",SUMIFS($I$3:$I$3002,$E$3:$E$3002,$E2198,$C$3:$C$3002,"&lt;&gt;U",$S$3:$S$3002,Calc!$F$2))</f>
        <v/>
      </c>
      <c r="P2198" s="35" t="str">
        <f aca="false">IF(OR($A2198="",$C2198="U",$S2198&lt;&gt;Calc!$F$2),"",SUMIFS($N$3:$N$3002,$E$3:$E$3002,$E2198,$C$3:$C$3002,"&lt;&gt;U",$S$3:$S$3002,Calc!$F$2))</f>
        <v/>
      </c>
      <c r="Q2198" s="35" t="str">
        <f aca="false">IF(OR($A2198="",$C2198="U",$S2198&lt;&gt;Calc!$F$2),"",IF(COUNTIFS($E$3:$E2198,$E2198,$C$3:$C2198,"&lt;&gt;U",$S$3:$S2198,Calc!$F$2)=1,1,0))</f>
        <v/>
      </c>
      <c r="R2198" s="35" t="str">
        <f aca="false">IF($Q2198=1,$O2198-ROW()/100000,"")</f>
        <v/>
      </c>
      <c r="S2198" s="37" t="str">
        <f aca="false">IF($A2198="","",INT($A2198))</f>
        <v/>
      </c>
      <c r="T2198" s="35" t="str">
        <f aca="false">IF($A2198="","",IF(COUNTIFS($S$3:$S2198,$S2198)=1,1,0))</f>
        <v/>
      </c>
      <c r="U2198" s="37" t="str">
        <f aca="false">IF($T2198=1,$S2198,"")</f>
        <v/>
      </c>
    </row>
    <row r="2199" customFormat="false" ht="15" hidden="false" customHeight="false" outlineLevel="0" collapsed="false">
      <c r="M2199" s="35" t="str">
        <f aca="false">IF($A2199="","",HOUR($A2199))</f>
        <v/>
      </c>
      <c r="N2199" s="36" t="str">
        <f aca="false">IF($A2199="","",$I2199*$K2199)</f>
        <v/>
      </c>
      <c r="O2199" s="35" t="str">
        <f aca="false">IF(OR($A2199="",$C2199="U",$S2199&lt;&gt;Calc!$F$2),"",SUMIFS($I$3:$I$3002,$E$3:$E$3002,$E2199,$C$3:$C$3002,"&lt;&gt;U",$S$3:$S$3002,Calc!$F$2))</f>
        <v/>
      </c>
      <c r="P2199" s="35" t="str">
        <f aca="false">IF(OR($A2199="",$C2199="U",$S2199&lt;&gt;Calc!$F$2),"",SUMIFS($N$3:$N$3002,$E$3:$E$3002,$E2199,$C$3:$C$3002,"&lt;&gt;U",$S$3:$S$3002,Calc!$F$2))</f>
        <v/>
      </c>
      <c r="Q2199" s="35" t="str">
        <f aca="false">IF(OR($A2199="",$C2199="U",$S2199&lt;&gt;Calc!$F$2),"",IF(COUNTIFS($E$3:$E2199,$E2199,$C$3:$C2199,"&lt;&gt;U",$S$3:$S2199,Calc!$F$2)=1,1,0))</f>
        <v/>
      </c>
      <c r="R2199" s="35" t="str">
        <f aca="false">IF($Q2199=1,$O2199-ROW()/100000,"")</f>
        <v/>
      </c>
      <c r="S2199" s="37" t="str">
        <f aca="false">IF($A2199="","",INT($A2199))</f>
        <v/>
      </c>
      <c r="T2199" s="35" t="str">
        <f aca="false">IF($A2199="","",IF(COUNTIFS($S$3:$S2199,$S2199)=1,1,0))</f>
        <v/>
      </c>
      <c r="U2199" s="37" t="str">
        <f aca="false">IF($T2199=1,$S2199,"")</f>
        <v/>
      </c>
    </row>
    <row r="2200" customFormat="false" ht="15" hidden="false" customHeight="false" outlineLevel="0" collapsed="false">
      <c r="M2200" s="35" t="str">
        <f aca="false">IF($A2200="","",HOUR($A2200))</f>
        <v/>
      </c>
      <c r="N2200" s="36" t="str">
        <f aca="false">IF($A2200="","",$I2200*$K2200)</f>
        <v/>
      </c>
      <c r="O2200" s="35" t="str">
        <f aca="false">IF(OR($A2200="",$C2200="U",$S2200&lt;&gt;Calc!$F$2),"",SUMIFS($I$3:$I$3002,$E$3:$E$3002,$E2200,$C$3:$C$3002,"&lt;&gt;U",$S$3:$S$3002,Calc!$F$2))</f>
        <v/>
      </c>
      <c r="P2200" s="35" t="str">
        <f aca="false">IF(OR($A2200="",$C2200="U",$S2200&lt;&gt;Calc!$F$2),"",SUMIFS($N$3:$N$3002,$E$3:$E$3002,$E2200,$C$3:$C$3002,"&lt;&gt;U",$S$3:$S$3002,Calc!$F$2))</f>
        <v/>
      </c>
      <c r="Q2200" s="35" t="str">
        <f aca="false">IF(OR($A2200="",$C2200="U",$S2200&lt;&gt;Calc!$F$2),"",IF(COUNTIFS($E$3:$E2200,$E2200,$C$3:$C2200,"&lt;&gt;U",$S$3:$S2200,Calc!$F$2)=1,1,0))</f>
        <v/>
      </c>
      <c r="R2200" s="35" t="str">
        <f aca="false">IF($Q2200=1,$O2200-ROW()/100000,"")</f>
        <v/>
      </c>
      <c r="S2200" s="37" t="str">
        <f aca="false">IF($A2200="","",INT($A2200))</f>
        <v/>
      </c>
      <c r="T2200" s="35" t="str">
        <f aca="false">IF($A2200="","",IF(COUNTIFS($S$3:$S2200,$S2200)=1,1,0))</f>
        <v/>
      </c>
      <c r="U2200" s="37" t="str">
        <f aca="false">IF($T2200=1,$S2200,"")</f>
        <v/>
      </c>
    </row>
    <row r="2201" customFormat="false" ht="15" hidden="false" customHeight="false" outlineLevel="0" collapsed="false">
      <c r="M2201" s="35" t="str">
        <f aca="false">IF($A2201="","",HOUR($A2201))</f>
        <v/>
      </c>
      <c r="N2201" s="36" t="str">
        <f aca="false">IF($A2201="","",$I2201*$K2201)</f>
        <v/>
      </c>
      <c r="O2201" s="35" t="str">
        <f aca="false">IF(OR($A2201="",$C2201="U",$S2201&lt;&gt;Calc!$F$2),"",SUMIFS($I$3:$I$3002,$E$3:$E$3002,$E2201,$C$3:$C$3002,"&lt;&gt;U",$S$3:$S$3002,Calc!$F$2))</f>
        <v/>
      </c>
      <c r="P2201" s="35" t="str">
        <f aca="false">IF(OR($A2201="",$C2201="U",$S2201&lt;&gt;Calc!$F$2),"",SUMIFS($N$3:$N$3002,$E$3:$E$3002,$E2201,$C$3:$C$3002,"&lt;&gt;U",$S$3:$S$3002,Calc!$F$2))</f>
        <v/>
      </c>
      <c r="Q2201" s="35" t="str">
        <f aca="false">IF(OR($A2201="",$C2201="U",$S2201&lt;&gt;Calc!$F$2),"",IF(COUNTIFS($E$3:$E2201,$E2201,$C$3:$C2201,"&lt;&gt;U",$S$3:$S2201,Calc!$F$2)=1,1,0))</f>
        <v/>
      </c>
      <c r="R2201" s="35" t="str">
        <f aca="false">IF($Q2201=1,$O2201-ROW()/100000,"")</f>
        <v/>
      </c>
      <c r="S2201" s="37" t="str">
        <f aca="false">IF($A2201="","",INT($A2201))</f>
        <v/>
      </c>
      <c r="T2201" s="35" t="str">
        <f aca="false">IF($A2201="","",IF(COUNTIFS($S$3:$S2201,$S2201)=1,1,0))</f>
        <v/>
      </c>
      <c r="U2201" s="37" t="str">
        <f aca="false">IF($T2201=1,$S2201,"")</f>
        <v/>
      </c>
    </row>
    <row r="2202" customFormat="false" ht="15" hidden="false" customHeight="false" outlineLevel="0" collapsed="false">
      <c r="M2202" s="35" t="str">
        <f aca="false">IF($A2202="","",HOUR($A2202))</f>
        <v/>
      </c>
      <c r="N2202" s="36" t="str">
        <f aca="false">IF($A2202="","",$I2202*$K2202)</f>
        <v/>
      </c>
      <c r="O2202" s="35" t="str">
        <f aca="false">IF(OR($A2202="",$C2202="U",$S2202&lt;&gt;Calc!$F$2),"",SUMIFS($I$3:$I$3002,$E$3:$E$3002,$E2202,$C$3:$C$3002,"&lt;&gt;U",$S$3:$S$3002,Calc!$F$2))</f>
        <v/>
      </c>
      <c r="P2202" s="35" t="str">
        <f aca="false">IF(OR($A2202="",$C2202="U",$S2202&lt;&gt;Calc!$F$2),"",SUMIFS($N$3:$N$3002,$E$3:$E$3002,$E2202,$C$3:$C$3002,"&lt;&gt;U",$S$3:$S$3002,Calc!$F$2))</f>
        <v/>
      </c>
      <c r="Q2202" s="35" t="str">
        <f aca="false">IF(OR($A2202="",$C2202="U",$S2202&lt;&gt;Calc!$F$2),"",IF(COUNTIFS($E$3:$E2202,$E2202,$C$3:$C2202,"&lt;&gt;U",$S$3:$S2202,Calc!$F$2)=1,1,0))</f>
        <v/>
      </c>
      <c r="R2202" s="35" t="str">
        <f aca="false">IF($Q2202=1,$O2202-ROW()/100000,"")</f>
        <v/>
      </c>
      <c r="S2202" s="37" t="str">
        <f aca="false">IF($A2202="","",INT($A2202))</f>
        <v/>
      </c>
      <c r="T2202" s="35" t="str">
        <f aca="false">IF($A2202="","",IF(COUNTIFS($S$3:$S2202,$S2202)=1,1,0))</f>
        <v/>
      </c>
      <c r="U2202" s="37" t="str">
        <f aca="false">IF($T2202=1,$S2202,"")</f>
        <v/>
      </c>
    </row>
    <row r="2203" customFormat="false" ht="15" hidden="false" customHeight="false" outlineLevel="0" collapsed="false">
      <c r="M2203" s="35" t="str">
        <f aca="false">IF($A2203="","",HOUR($A2203))</f>
        <v/>
      </c>
      <c r="N2203" s="36" t="str">
        <f aca="false">IF($A2203="","",$I2203*$K2203)</f>
        <v/>
      </c>
      <c r="O2203" s="35" t="str">
        <f aca="false">IF(OR($A2203="",$C2203="U",$S2203&lt;&gt;Calc!$F$2),"",SUMIFS($I$3:$I$3002,$E$3:$E$3002,$E2203,$C$3:$C$3002,"&lt;&gt;U",$S$3:$S$3002,Calc!$F$2))</f>
        <v/>
      </c>
      <c r="P2203" s="35" t="str">
        <f aca="false">IF(OR($A2203="",$C2203="U",$S2203&lt;&gt;Calc!$F$2),"",SUMIFS($N$3:$N$3002,$E$3:$E$3002,$E2203,$C$3:$C$3002,"&lt;&gt;U",$S$3:$S$3002,Calc!$F$2))</f>
        <v/>
      </c>
      <c r="Q2203" s="35" t="str">
        <f aca="false">IF(OR($A2203="",$C2203="U",$S2203&lt;&gt;Calc!$F$2),"",IF(COUNTIFS($E$3:$E2203,$E2203,$C$3:$C2203,"&lt;&gt;U",$S$3:$S2203,Calc!$F$2)=1,1,0))</f>
        <v/>
      </c>
      <c r="R2203" s="35" t="str">
        <f aca="false">IF($Q2203=1,$O2203-ROW()/100000,"")</f>
        <v/>
      </c>
      <c r="S2203" s="37" t="str">
        <f aca="false">IF($A2203="","",INT($A2203))</f>
        <v/>
      </c>
      <c r="T2203" s="35" t="str">
        <f aca="false">IF($A2203="","",IF(COUNTIFS($S$3:$S2203,$S2203)=1,1,0))</f>
        <v/>
      </c>
      <c r="U2203" s="37" t="str">
        <f aca="false">IF($T2203=1,$S2203,"")</f>
        <v/>
      </c>
    </row>
    <row r="2204" customFormat="false" ht="15" hidden="false" customHeight="false" outlineLevel="0" collapsed="false">
      <c r="M2204" s="35" t="str">
        <f aca="false">IF($A2204="","",HOUR($A2204))</f>
        <v/>
      </c>
      <c r="N2204" s="36" t="str">
        <f aca="false">IF($A2204="","",$I2204*$K2204)</f>
        <v/>
      </c>
      <c r="O2204" s="35" t="str">
        <f aca="false">IF(OR($A2204="",$C2204="U",$S2204&lt;&gt;Calc!$F$2),"",SUMIFS($I$3:$I$3002,$E$3:$E$3002,$E2204,$C$3:$C$3002,"&lt;&gt;U",$S$3:$S$3002,Calc!$F$2))</f>
        <v/>
      </c>
      <c r="P2204" s="35" t="str">
        <f aca="false">IF(OR($A2204="",$C2204="U",$S2204&lt;&gt;Calc!$F$2),"",SUMIFS($N$3:$N$3002,$E$3:$E$3002,$E2204,$C$3:$C$3002,"&lt;&gt;U",$S$3:$S$3002,Calc!$F$2))</f>
        <v/>
      </c>
      <c r="Q2204" s="35" t="str">
        <f aca="false">IF(OR($A2204="",$C2204="U",$S2204&lt;&gt;Calc!$F$2),"",IF(COUNTIFS($E$3:$E2204,$E2204,$C$3:$C2204,"&lt;&gt;U",$S$3:$S2204,Calc!$F$2)=1,1,0))</f>
        <v/>
      </c>
      <c r="R2204" s="35" t="str">
        <f aca="false">IF($Q2204=1,$O2204-ROW()/100000,"")</f>
        <v/>
      </c>
      <c r="S2204" s="37" t="str">
        <f aca="false">IF($A2204="","",INT($A2204))</f>
        <v/>
      </c>
      <c r="T2204" s="35" t="str">
        <f aca="false">IF($A2204="","",IF(COUNTIFS($S$3:$S2204,$S2204)=1,1,0))</f>
        <v/>
      </c>
      <c r="U2204" s="37" t="str">
        <f aca="false">IF($T2204=1,$S2204,"")</f>
        <v/>
      </c>
    </row>
    <row r="2205" customFormat="false" ht="15" hidden="false" customHeight="false" outlineLevel="0" collapsed="false">
      <c r="M2205" s="35" t="str">
        <f aca="false">IF($A2205="","",HOUR($A2205))</f>
        <v/>
      </c>
      <c r="N2205" s="36" t="str">
        <f aca="false">IF($A2205="","",$I2205*$K2205)</f>
        <v/>
      </c>
      <c r="O2205" s="35" t="str">
        <f aca="false">IF(OR($A2205="",$C2205="U",$S2205&lt;&gt;Calc!$F$2),"",SUMIFS($I$3:$I$3002,$E$3:$E$3002,$E2205,$C$3:$C$3002,"&lt;&gt;U",$S$3:$S$3002,Calc!$F$2))</f>
        <v/>
      </c>
      <c r="P2205" s="35" t="str">
        <f aca="false">IF(OR($A2205="",$C2205="U",$S2205&lt;&gt;Calc!$F$2),"",SUMIFS($N$3:$N$3002,$E$3:$E$3002,$E2205,$C$3:$C$3002,"&lt;&gt;U",$S$3:$S$3002,Calc!$F$2))</f>
        <v/>
      </c>
      <c r="Q2205" s="35" t="str">
        <f aca="false">IF(OR($A2205="",$C2205="U",$S2205&lt;&gt;Calc!$F$2),"",IF(COUNTIFS($E$3:$E2205,$E2205,$C$3:$C2205,"&lt;&gt;U",$S$3:$S2205,Calc!$F$2)=1,1,0))</f>
        <v/>
      </c>
      <c r="R2205" s="35" t="str">
        <f aca="false">IF($Q2205=1,$O2205-ROW()/100000,"")</f>
        <v/>
      </c>
      <c r="S2205" s="37" t="str">
        <f aca="false">IF($A2205="","",INT($A2205))</f>
        <v/>
      </c>
      <c r="T2205" s="35" t="str">
        <f aca="false">IF($A2205="","",IF(COUNTIFS($S$3:$S2205,$S2205)=1,1,0))</f>
        <v/>
      </c>
      <c r="U2205" s="37" t="str">
        <f aca="false">IF($T2205=1,$S2205,"")</f>
        <v/>
      </c>
    </row>
    <row r="2206" customFormat="false" ht="15" hidden="false" customHeight="false" outlineLevel="0" collapsed="false">
      <c r="M2206" s="35" t="str">
        <f aca="false">IF($A2206="","",HOUR($A2206))</f>
        <v/>
      </c>
      <c r="N2206" s="36" t="str">
        <f aca="false">IF($A2206="","",$I2206*$K2206)</f>
        <v/>
      </c>
      <c r="O2206" s="35" t="str">
        <f aca="false">IF(OR($A2206="",$C2206="U",$S2206&lt;&gt;Calc!$F$2),"",SUMIFS($I$3:$I$3002,$E$3:$E$3002,$E2206,$C$3:$C$3002,"&lt;&gt;U",$S$3:$S$3002,Calc!$F$2))</f>
        <v/>
      </c>
      <c r="P2206" s="35" t="str">
        <f aca="false">IF(OR($A2206="",$C2206="U",$S2206&lt;&gt;Calc!$F$2),"",SUMIFS($N$3:$N$3002,$E$3:$E$3002,$E2206,$C$3:$C$3002,"&lt;&gt;U",$S$3:$S$3002,Calc!$F$2))</f>
        <v/>
      </c>
      <c r="Q2206" s="35" t="str">
        <f aca="false">IF(OR($A2206="",$C2206="U",$S2206&lt;&gt;Calc!$F$2),"",IF(COUNTIFS($E$3:$E2206,$E2206,$C$3:$C2206,"&lt;&gt;U",$S$3:$S2206,Calc!$F$2)=1,1,0))</f>
        <v/>
      </c>
      <c r="R2206" s="35" t="str">
        <f aca="false">IF($Q2206=1,$O2206-ROW()/100000,"")</f>
        <v/>
      </c>
      <c r="S2206" s="37" t="str">
        <f aca="false">IF($A2206="","",INT($A2206))</f>
        <v/>
      </c>
      <c r="T2206" s="35" t="str">
        <f aca="false">IF($A2206="","",IF(COUNTIFS($S$3:$S2206,$S2206)=1,1,0))</f>
        <v/>
      </c>
      <c r="U2206" s="37" t="str">
        <f aca="false">IF($T2206=1,$S2206,"")</f>
        <v/>
      </c>
    </row>
    <row r="2207" customFormat="false" ht="15" hidden="false" customHeight="false" outlineLevel="0" collapsed="false">
      <c r="M2207" s="35" t="str">
        <f aca="false">IF($A2207="","",HOUR($A2207))</f>
        <v/>
      </c>
      <c r="N2207" s="36" t="str">
        <f aca="false">IF($A2207="","",$I2207*$K2207)</f>
        <v/>
      </c>
      <c r="O2207" s="35" t="str">
        <f aca="false">IF(OR($A2207="",$C2207="U",$S2207&lt;&gt;Calc!$F$2),"",SUMIFS($I$3:$I$3002,$E$3:$E$3002,$E2207,$C$3:$C$3002,"&lt;&gt;U",$S$3:$S$3002,Calc!$F$2))</f>
        <v/>
      </c>
      <c r="P2207" s="35" t="str">
        <f aca="false">IF(OR($A2207="",$C2207="U",$S2207&lt;&gt;Calc!$F$2),"",SUMIFS($N$3:$N$3002,$E$3:$E$3002,$E2207,$C$3:$C$3002,"&lt;&gt;U",$S$3:$S$3002,Calc!$F$2))</f>
        <v/>
      </c>
      <c r="Q2207" s="35" t="str">
        <f aca="false">IF(OR($A2207="",$C2207="U",$S2207&lt;&gt;Calc!$F$2),"",IF(COUNTIFS($E$3:$E2207,$E2207,$C$3:$C2207,"&lt;&gt;U",$S$3:$S2207,Calc!$F$2)=1,1,0))</f>
        <v/>
      </c>
      <c r="R2207" s="35" t="str">
        <f aca="false">IF($Q2207=1,$O2207-ROW()/100000,"")</f>
        <v/>
      </c>
      <c r="S2207" s="37" t="str">
        <f aca="false">IF($A2207="","",INT($A2207))</f>
        <v/>
      </c>
      <c r="T2207" s="35" t="str">
        <f aca="false">IF($A2207="","",IF(COUNTIFS($S$3:$S2207,$S2207)=1,1,0))</f>
        <v/>
      </c>
      <c r="U2207" s="37" t="str">
        <f aca="false">IF($T2207=1,$S2207,"")</f>
        <v/>
      </c>
    </row>
    <row r="2208" customFormat="false" ht="15" hidden="false" customHeight="false" outlineLevel="0" collapsed="false">
      <c r="M2208" s="35" t="str">
        <f aca="false">IF($A2208="","",HOUR($A2208))</f>
        <v/>
      </c>
      <c r="N2208" s="36" t="str">
        <f aca="false">IF($A2208="","",$I2208*$K2208)</f>
        <v/>
      </c>
      <c r="O2208" s="35" t="str">
        <f aca="false">IF(OR($A2208="",$C2208="U",$S2208&lt;&gt;Calc!$F$2),"",SUMIFS($I$3:$I$3002,$E$3:$E$3002,$E2208,$C$3:$C$3002,"&lt;&gt;U",$S$3:$S$3002,Calc!$F$2))</f>
        <v/>
      </c>
      <c r="P2208" s="35" t="str">
        <f aca="false">IF(OR($A2208="",$C2208="U",$S2208&lt;&gt;Calc!$F$2),"",SUMIFS($N$3:$N$3002,$E$3:$E$3002,$E2208,$C$3:$C$3002,"&lt;&gt;U",$S$3:$S$3002,Calc!$F$2))</f>
        <v/>
      </c>
      <c r="Q2208" s="35" t="str">
        <f aca="false">IF(OR($A2208="",$C2208="U",$S2208&lt;&gt;Calc!$F$2),"",IF(COUNTIFS($E$3:$E2208,$E2208,$C$3:$C2208,"&lt;&gt;U",$S$3:$S2208,Calc!$F$2)=1,1,0))</f>
        <v/>
      </c>
      <c r="R2208" s="35" t="str">
        <f aca="false">IF($Q2208=1,$O2208-ROW()/100000,"")</f>
        <v/>
      </c>
      <c r="S2208" s="37" t="str">
        <f aca="false">IF($A2208="","",INT($A2208))</f>
        <v/>
      </c>
      <c r="T2208" s="35" t="str">
        <f aca="false">IF($A2208="","",IF(COUNTIFS($S$3:$S2208,$S2208)=1,1,0))</f>
        <v/>
      </c>
      <c r="U2208" s="37" t="str">
        <f aca="false">IF($T2208=1,$S2208,"")</f>
        <v/>
      </c>
    </row>
    <row r="2209" customFormat="false" ht="15" hidden="false" customHeight="false" outlineLevel="0" collapsed="false">
      <c r="M2209" s="35" t="str">
        <f aca="false">IF($A2209="","",HOUR($A2209))</f>
        <v/>
      </c>
      <c r="N2209" s="36" t="str">
        <f aca="false">IF($A2209="","",$I2209*$K2209)</f>
        <v/>
      </c>
      <c r="O2209" s="35" t="str">
        <f aca="false">IF(OR($A2209="",$C2209="U",$S2209&lt;&gt;Calc!$F$2),"",SUMIFS($I$3:$I$3002,$E$3:$E$3002,$E2209,$C$3:$C$3002,"&lt;&gt;U",$S$3:$S$3002,Calc!$F$2))</f>
        <v/>
      </c>
      <c r="P2209" s="35" t="str">
        <f aca="false">IF(OR($A2209="",$C2209="U",$S2209&lt;&gt;Calc!$F$2),"",SUMIFS($N$3:$N$3002,$E$3:$E$3002,$E2209,$C$3:$C$3002,"&lt;&gt;U",$S$3:$S$3002,Calc!$F$2))</f>
        <v/>
      </c>
      <c r="Q2209" s="35" t="str">
        <f aca="false">IF(OR($A2209="",$C2209="U",$S2209&lt;&gt;Calc!$F$2),"",IF(COUNTIFS($E$3:$E2209,$E2209,$C$3:$C2209,"&lt;&gt;U",$S$3:$S2209,Calc!$F$2)=1,1,0))</f>
        <v/>
      </c>
      <c r="R2209" s="35" t="str">
        <f aca="false">IF($Q2209=1,$O2209-ROW()/100000,"")</f>
        <v/>
      </c>
      <c r="S2209" s="37" t="str">
        <f aca="false">IF($A2209="","",INT($A2209))</f>
        <v/>
      </c>
      <c r="T2209" s="35" t="str">
        <f aca="false">IF($A2209="","",IF(COUNTIFS($S$3:$S2209,$S2209)=1,1,0))</f>
        <v/>
      </c>
      <c r="U2209" s="37" t="str">
        <f aca="false">IF($T2209=1,$S2209,"")</f>
        <v/>
      </c>
    </row>
    <row r="2210" customFormat="false" ht="15" hidden="false" customHeight="false" outlineLevel="0" collapsed="false">
      <c r="M2210" s="35" t="str">
        <f aca="false">IF($A2210="","",HOUR($A2210))</f>
        <v/>
      </c>
      <c r="N2210" s="36" t="str">
        <f aca="false">IF($A2210="","",$I2210*$K2210)</f>
        <v/>
      </c>
      <c r="O2210" s="35" t="str">
        <f aca="false">IF(OR($A2210="",$C2210="U",$S2210&lt;&gt;Calc!$F$2),"",SUMIFS($I$3:$I$3002,$E$3:$E$3002,$E2210,$C$3:$C$3002,"&lt;&gt;U",$S$3:$S$3002,Calc!$F$2))</f>
        <v/>
      </c>
      <c r="P2210" s="35" t="str">
        <f aca="false">IF(OR($A2210="",$C2210="U",$S2210&lt;&gt;Calc!$F$2),"",SUMIFS($N$3:$N$3002,$E$3:$E$3002,$E2210,$C$3:$C$3002,"&lt;&gt;U",$S$3:$S$3002,Calc!$F$2))</f>
        <v/>
      </c>
      <c r="Q2210" s="35" t="str">
        <f aca="false">IF(OR($A2210="",$C2210="U",$S2210&lt;&gt;Calc!$F$2),"",IF(COUNTIFS($E$3:$E2210,$E2210,$C$3:$C2210,"&lt;&gt;U",$S$3:$S2210,Calc!$F$2)=1,1,0))</f>
        <v/>
      </c>
      <c r="R2210" s="35" t="str">
        <f aca="false">IF($Q2210=1,$O2210-ROW()/100000,"")</f>
        <v/>
      </c>
      <c r="S2210" s="37" t="str">
        <f aca="false">IF($A2210="","",INT($A2210))</f>
        <v/>
      </c>
      <c r="T2210" s="35" t="str">
        <f aca="false">IF($A2210="","",IF(COUNTIFS($S$3:$S2210,$S2210)=1,1,0))</f>
        <v/>
      </c>
      <c r="U2210" s="37" t="str">
        <f aca="false">IF($T2210=1,$S2210,"")</f>
        <v/>
      </c>
    </row>
    <row r="2211" customFormat="false" ht="15" hidden="false" customHeight="false" outlineLevel="0" collapsed="false">
      <c r="M2211" s="35" t="str">
        <f aca="false">IF($A2211="","",HOUR($A2211))</f>
        <v/>
      </c>
      <c r="N2211" s="36" t="str">
        <f aca="false">IF($A2211="","",$I2211*$K2211)</f>
        <v/>
      </c>
      <c r="O2211" s="35" t="str">
        <f aca="false">IF(OR($A2211="",$C2211="U",$S2211&lt;&gt;Calc!$F$2),"",SUMIFS($I$3:$I$3002,$E$3:$E$3002,$E2211,$C$3:$C$3002,"&lt;&gt;U",$S$3:$S$3002,Calc!$F$2))</f>
        <v/>
      </c>
      <c r="P2211" s="35" t="str">
        <f aca="false">IF(OR($A2211="",$C2211="U",$S2211&lt;&gt;Calc!$F$2),"",SUMIFS($N$3:$N$3002,$E$3:$E$3002,$E2211,$C$3:$C$3002,"&lt;&gt;U",$S$3:$S$3002,Calc!$F$2))</f>
        <v/>
      </c>
      <c r="Q2211" s="35" t="str">
        <f aca="false">IF(OR($A2211="",$C2211="U",$S2211&lt;&gt;Calc!$F$2),"",IF(COUNTIFS($E$3:$E2211,$E2211,$C$3:$C2211,"&lt;&gt;U",$S$3:$S2211,Calc!$F$2)=1,1,0))</f>
        <v/>
      </c>
      <c r="R2211" s="35" t="str">
        <f aca="false">IF($Q2211=1,$O2211-ROW()/100000,"")</f>
        <v/>
      </c>
      <c r="S2211" s="37" t="str">
        <f aca="false">IF($A2211="","",INT($A2211))</f>
        <v/>
      </c>
      <c r="T2211" s="35" t="str">
        <f aca="false">IF($A2211="","",IF(COUNTIFS($S$3:$S2211,$S2211)=1,1,0))</f>
        <v/>
      </c>
      <c r="U2211" s="37" t="str">
        <f aca="false">IF($T2211=1,$S2211,"")</f>
        <v/>
      </c>
    </row>
    <row r="2212" customFormat="false" ht="15" hidden="false" customHeight="false" outlineLevel="0" collapsed="false">
      <c r="M2212" s="35" t="str">
        <f aca="false">IF($A2212="","",HOUR($A2212))</f>
        <v/>
      </c>
      <c r="N2212" s="36" t="str">
        <f aca="false">IF($A2212="","",$I2212*$K2212)</f>
        <v/>
      </c>
      <c r="O2212" s="35" t="str">
        <f aca="false">IF(OR($A2212="",$C2212="U",$S2212&lt;&gt;Calc!$F$2),"",SUMIFS($I$3:$I$3002,$E$3:$E$3002,$E2212,$C$3:$C$3002,"&lt;&gt;U",$S$3:$S$3002,Calc!$F$2))</f>
        <v/>
      </c>
      <c r="P2212" s="35" t="str">
        <f aca="false">IF(OR($A2212="",$C2212="U",$S2212&lt;&gt;Calc!$F$2),"",SUMIFS($N$3:$N$3002,$E$3:$E$3002,$E2212,$C$3:$C$3002,"&lt;&gt;U",$S$3:$S$3002,Calc!$F$2))</f>
        <v/>
      </c>
      <c r="Q2212" s="35" t="str">
        <f aca="false">IF(OR($A2212="",$C2212="U",$S2212&lt;&gt;Calc!$F$2),"",IF(COUNTIFS($E$3:$E2212,$E2212,$C$3:$C2212,"&lt;&gt;U",$S$3:$S2212,Calc!$F$2)=1,1,0))</f>
        <v/>
      </c>
      <c r="R2212" s="35" t="str">
        <f aca="false">IF($Q2212=1,$O2212-ROW()/100000,"")</f>
        <v/>
      </c>
      <c r="S2212" s="37" t="str">
        <f aca="false">IF($A2212="","",INT($A2212))</f>
        <v/>
      </c>
      <c r="T2212" s="35" t="str">
        <f aca="false">IF($A2212="","",IF(COUNTIFS($S$3:$S2212,$S2212)=1,1,0))</f>
        <v/>
      </c>
      <c r="U2212" s="37" t="str">
        <f aca="false">IF($T2212=1,$S2212,"")</f>
        <v/>
      </c>
    </row>
    <row r="2213" customFormat="false" ht="15" hidden="false" customHeight="false" outlineLevel="0" collapsed="false">
      <c r="M2213" s="35" t="str">
        <f aca="false">IF($A2213="","",HOUR($A2213))</f>
        <v/>
      </c>
      <c r="N2213" s="36" t="str">
        <f aca="false">IF($A2213="","",$I2213*$K2213)</f>
        <v/>
      </c>
      <c r="O2213" s="35" t="str">
        <f aca="false">IF(OR($A2213="",$C2213="U",$S2213&lt;&gt;Calc!$F$2),"",SUMIFS($I$3:$I$3002,$E$3:$E$3002,$E2213,$C$3:$C$3002,"&lt;&gt;U",$S$3:$S$3002,Calc!$F$2))</f>
        <v/>
      </c>
      <c r="P2213" s="35" t="str">
        <f aca="false">IF(OR($A2213="",$C2213="U",$S2213&lt;&gt;Calc!$F$2),"",SUMIFS($N$3:$N$3002,$E$3:$E$3002,$E2213,$C$3:$C$3002,"&lt;&gt;U",$S$3:$S$3002,Calc!$F$2))</f>
        <v/>
      </c>
      <c r="Q2213" s="35" t="str">
        <f aca="false">IF(OR($A2213="",$C2213="U",$S2213&lt;&gt;Calc!$F$2),"",IF(COUNTIFS($E$3:$E2213,$E2213,$C$3:$C2213,"&lt;&gt;U",$S$3:$S2213,Calc!$F$2)=1,1,0))</f>
        <v/>
      </c>
      <c r="R2213" s="35" t="str">
        <f aca="false">IF($Q2213=1,$O2213-ROW()/100000,"")</f>
        <v/>
      </c>
      <c r="S2213" s="37" t="str">
        <f aca="false">IF($A2213="","",INT($A2213))</f>
        <v/>
      </c>
      <c r="T2213" s="35" t="str">
        <f aca="false">IF($A2213="","",IF(COUNTIFS($S$3:$S2213,$S2213)=1,1,0))</f>
        <v/>
      </c>
      <c r="U2213" s="37" t="str">
        <f aca="false">IF($T2213=1,$S2213,"")</f>
        <v/>
      </c>
    </row>
    <row r="2214" customFormat="false" ht="15" hidden="false" customHeight="false" outlineLevel="0" collapsed="false">
      <c r="M2214" s="35" t="str">
        <f aca="false">IF($A2214="","",HOUR($A2214))</f>
        <v/>
      </c>
      <c r="N2214" s="36" t="str">
        <f aca="false">IF($A2214="","",$I2214*$K2214)</f>
        <v/>
      </c>
      <c r="O2214" s="35" t="str">
        <f aca="false">IF(OR($A2214="",$C2214="U",$S2214&lt;&gt;Calc!$F$2),"",SUMIFS($I$3:$I$3002,$E$3:$E$3002,$E2214,$C$3:$C$3002,"&lt;&gt;U",$S$3:$S$3002,Calc!$F$2))</f>
        <v/>
      </c>
      <c r="P2214" s="35" t="str">
        <f aca="false">IF(OR($A2214="",$C2214="U",$S2214&lt;&gt;Calc!$F$2),"",SUMIFS($N$3:$N$3002,$E$3:$E$3002,$E2214,$C$3:$C$3002,"&lt;&gt;U",$S$3:$S$3002,Calc!$F$2))</f>
        <v/>
      </c>
      <c r="Q2214" s="35" t="str">
        <f aca="false">IF(OR($A2214="",$C2214="U",$S2214&lt;&gt;Calc!$F$2),"",IF(COUNTIFS($E$3:$E2214,$E2214,$C$3:$C2214,"&lt;&gt;U",$S$3:$S2214,Calc!$F$2)=1,1,0))</f>
        <v/>
      </c>
      <c r="R2214" s="35" t="str">
        <f aca="false">IF($Q2214=1,$O2214-ROW()/100000,"")</f>
        <v/>
      </c>
      <c r="S2214" s="37" t="str">
        <f aca="false">IF($A2214="","",INT($A2214))</f>
        <v/>
      </c>
      <c r="T2214" s="35" t="str">
        <f aca="false">IF($A2214="","",IF(COUNTIFS($S$3:$S2214,$S2214)=1,1,0))</f>
        <v/>
      </c>
      <c r="U2214" s="37" t="str">
        <f aca="false">IF($T2214=1,$S2214,"")</f>
        <v/>
      </c>
    </row>
    <row r="2215" customFormat="false" ht="15" hidden="false" customHeight="false" outlineLevel="0" collapsed="false">
      <c r="M2215" s="35" t="str">
        <f aca="false">IF($A2215="","",HOUR($A2215))</f>
        <v/>
      </c>
      <c r="N2215" s="36" t="str">
        <f aca="false">IF($A2215="","",$I2215*$K2215)</f>
        <v/>
      </c>
      <c r="O2215" s="35" t="str">
        <f aca="false">IF(OR($A2215="",$C2215="U",$S2215&lt;&gt;Calc!$F$2),"",SUMIFS($I$3:$I$3002,$E$3:$E$3002,$E2215,$C$3:$C$3002,"&lt;&gt;U",$S$3:$S$3002,Calc!$F$2))</f>
        <v/>
      </c>
      <c r="P2215" s="35" t="str">
        <f aca="false">IF(OR($A2215="",$C2215="U",$S2215&lt;&gt;Calc!$F$2),"",SUMIFS($N$3:$N$3002,$E$3:$E$3002,$E2215,$C$3:$C$3002,"&lt;&gt;U",$S$3:$S$3002,Calc!$F$2))</f>
        <v/>
      </c>
      <c r="Q2215" s="35" t="str">
        <f aca="false">IF(OR($A2215="",$C2215="U",$S2215&lt;&gt;Calc!$F$2),"",IF(COUNTIFS($E$3:$E2215,$E2215,$C$3:$C2215,"&lt;&gt;U",$S$3:$S2215,Calc!$F$2)=1,1,0))</f>
        <v/>
      </c>
      <c r="R2215" s="35" t="str">
        <f aca="false">IF($Q2215=1,$O2215-ROW()/100000,"")</f>
        <v/>
      </c>
      <c r="S2215" s="37" t="str">
        <f aca="false">IF($A2215="","",INT($A2215))</f>
        <v/>
      </c>
      <c r="T2215" s="35" t="str">
        <f aca="false">IF($A2215="","",IF(COUNTIFS($S$3:$S2215,$S2215)=1,1,0))</f>
        <v/>
      </c>
      <c r="U2215" s="37" t="str">
        <f aca="false">IF($T2215=1,$S2215,"")</f>
        <v/>
      </c>
    </row>
    <row r="2216" customFormat="false" ht="15" hidden="false" customHeight="false" outlineLevel="0" collapsed="false">
      <c r="M2216" s="35" t="str">
        <f aca="false">IF($A2216="","",HOUR($A2216))</f>
        <v/>
      </c>
      <c r="N2216" s="36" t="str">
        <f aca="false">IF($A2216="","",$I2216*$K2216)</f>
        <v/>
      </c>
      <c r="O2216" s="35" t="str">
        <f aca="false">IF(OR($A2216="",$C2216="U",$S2216&lt;&gt;Calc!$F$2),"",SUMIFS($I$3:$I$3002,$E$3:$E$3002,$E2216,$C$3:$C$3002,"&lt;&gt;U",$S$3:$S$3002,Calc!$F$2))</f>
        <v/>
      </c>
      <c r="P2216" s="35" t="str">
        <f aca="false">IF(OR($A2216="",$C2216="U",$S2216&lt;&gt;Calc!$F$2),"",SUMIFS($N$3:$N$3002,$E$3:$E$3002,$E2216,$C$3:$C$3002,"&lt;&gt;U",$S$3:$S$3002,Calc!$F$2))</f>
        <v/>
      </c>
      <c r="Q2216" s="35" t="str">
        <f aca="false">IF(OR($A2216="",$C2216="U",$S2216&lt;&gt;Calc!$F$2),"",IF(COUNTIFS($E$3:$E2216,$E2216,$C$3:$C2216,"&lt;&gt;U",$S$3:$S2216,Calc!$F$2)=1,1,0))</f>
        <v/>
      </c>
      <c r="R2216" s="35" t="str">
        <f aca="false">IF($Q2216=1,$O2216-ROW()/100000,"")</f>
        <v/>
      </c>
      <c r="S2216" s="37" t="str">
        <f aca="false">IF($A2216="","",INT($A2216))</f>
        <v/>
      </c>
      <c r="T2216" s="35" t="str">
        <f aca="false">IF($A2216="","",IF(COUNTIFS($S$3:$S2216,$S2216)=1,1,0))</f>
        <v/>
      </c>
      <c r="U2216" s="37" t="str">
        <f aca="false">IF($T2216=1,$S2216,"")</f>
        <v/>
      </c>
    </row>
    <row r="2217" customFormat="false" ht="15" hidden="false" customHeight="false" outlineLevel="0" collapsed="false">
      <c r="M2217" s="35" t="str">
        <f aca="false">IF($A2217="","",HOUR($A2217))</f>
        <v/>
      </c>
      <c r="N2217" s="36" t="str">
        <f aca="false">IF($A2217="","",$I2217*$K2217)</f>
        <v/>
      </c>
      <c r="O2217" s="35" t="str">
        <f aca="false">IF(OR($A2217="",$C2217="U",$S2217&lt;&gt;Calc!$F$2),"",SUMIFS($I$3:$I$3002,$E$3:$E$3002,$E2217,$C$3:$C$3002,"&lt;&gt;U",$S$3:$S$3002,Calc!$F$2))</f>
        <v/>
      </c>
      <c r="P2217" s="35" t="str">
        <f aca="false">IF(OR($A2217="",$C2217="U",$S2217&lt;&gt;Calc!$F$2),"",SUMIFS($N$3:$N$3002,$E$3:$E$3002,$E2217,$C$3:$C$3002,"&lt;&gt;U",$S$3:$S$3002,Calc!$F$2))</f>
        <v/>
      </c>
      <c r="Q2217" s="35" t="str">
        <f aca="false">IF(OR($A2217="",$C2217="U",$S2217&lt;&gt;Calc!$F$2),"",IF(COUNTIFS($E$3:$E2217,$E2217,$C$3:$C2217,"&lt;&gt;U",$S$3:$S2217,Calc!$F$2)=1,1,0))</f>
        <v/>
      </c>
      <c r="R2217" s="35" t="str">
        <f aca="false">IF($Q2217=1,$O2217-ROW()/100000,"")</f>
        <v/>
      </c>
      <c r="S2217" s="37" t="str">
        <f aca="false">IF($A2217="","",INT($A2217))</f>
        <v/>
      </c>
      <c r="T2217" s="35" t="str">
        <f aca="false">IF($A2217="","",IF(COUNTIFS($S$3:$S2217,$S2217)=1,1,0))</f>
        <v/>
      </c>
      <c r="U2217" s="37" t="str">
        <f aca="false">IF($T2217=1,$S2217,"")</f>
        <v/>
      </c>
    </row>
    <row r="2218" customFormat="false" ht="15" hidden="false" customHeight="false" outlineLevel="0" collapsed="false">
      <c r="M2218" s="35" t="str">
        <f aca="false">IF($A2218="","",HOUR($A2218))</f>
        <v/>
      </c>
      <c r="N2218" s="36" t="str">
        <f aca="false">IF($A2218="","",$I2218*$K2218)</f>
        <v/>
      </c>
      <c r="O2218" s="35" t="str">
        <f aca="false">IF(OR($A2218="",$C2218="U",$S2218&lt;&gt;Calc!$F$2),"",SUMIFS($I$3:$I$3002,$E$3:$E$3002,$E2218,$C$3:$C$3002,"&lt;&gt;U",$S$3:$S$3002,Calc!$F$2))</f>
        <v/>
      </c>
      <c r="P2218" s="35" t="str">
        <f aca="false">IF(OR($A2218="",$C2218="U",$S2218&lt;&gt;Calc!$F$2),"",SUMIFS($N$3:$N$3002,$E$3:$E$3002,$E2218,$C$3:$C$3002,"&lt;&gt;U",$S$3:$S$3002,Calc!$F$2))</f>
        <v/>
      </c>
      <c r="Q2218" s="35" t="str">
        <f aca="false">IF(OR($A2218="",$C2218="U",$S2218&lt;&gt;Calc!$F$2),"",IF(COUNTIFS($E$3:$E2218,$E2218,$C$3:$C2218,"&lt;&gt;U",$S$3:$S2218,Calc!$F$2)=1,1,0))</f>
        <v/>
      </c>
      <c r="R2218" s="35" t="str">
        <f aca="false">IF($Q2218=1,$O2218-ROW()/100000,"")</f>
        <v/>
      </c>
      <c r="S2218" s="37" t="str">
        <f aca="false">IF($A2218="","",INT($A2218))</f>
        <v/>
      </c>
      <c r="T2218" s="35" t="str">
        <f aca="false">IF($A2218="","",IF(COUNTIFS($S$3:$S2218,$S2218)=1,1,0))</f>
        <v/>
      </c>
      <c r="U2218" s="37" t="str">
        <f aca="false">IF($T2218=1,$S2218,"")</f>
        <v/>
      </c>
    </row>
    <row r="2219" customFormat="false" ht="15" hidden="false" customHeight="false" outlineLevel="0" collapsed="false">
      <c r="M2219" s="35" t="str">
        <f aca="false">IF($A2219="","",HOUR($A2219))</f>
        <v/>
      </c>
      <c r="N2219" s="36" t="str">
        <f aca="false">IF($A2219="","",$I2219*$K2219)</f>
        <v/>
      </c>
      <c r="O2219" s="35" t="str">
        <f aca="false">IF(OR($A2219="",$C2219="U",$S2219&lt;&gt;Calc!$F$2),"",SUMIFS($I$3:$I$3002,$E$3:$E$3002,$E2219,$C$3:$C$3002,"&lt;&gt;U",$S$3:$S$3002,Calc!$F$2))</f>
        <v/>
      </c>
      <c r="P2219" s="35" t="str">
        <f aca="false">IF(OR($A2219="",$C2219="U",$S2219&lt;&gt;Calc!$F$2),"",SUMIFS($N$3:$N$3002,$E$3:$E$3002,$E2219,$C$3:$C$3002,"&lt;&gt;U",$S$3:$S$3002,Calc!$F$2))</f>
        <v/>
      </c>
      <c r="Q2219" s="35" t="str">
        <f aca="false">IF(OR($A2219="",$C2219="U",$S2219&lt;&gt;Calc!$F$2),"",IF(COUNTIFS($E$3:$E2219,$E2219,$C$3:$C2219,"&lt;&gt;U",$S$3:$S2219,Calc!$F$2)=1,1,0))</f>
        <v/>
      </c>
      <c r="R2219" s="35" t="str">
        <f aca="false">IF($Q2219=1,$O2219-ROW()/100000,"")</f>
        <v/>
      </c>
      <c r="S2219" s="37" t="str">
        <f aca="false">IF($A2219="","",INT($A2219))</f>
        <v/>
      </c>
      <c r="T2219" s="35" t="str">
        <f aca="false">IF($A2219="","",IF(COUNTIFS($S$3:$S2219,$S2219)=1,1,0))</f>
        <v/>
      </c>
      <c r="U2219" s="37" t="str">
        <f aca="false">IF($T2219=1,$S2219,"")</f>
        <v/>
      </c>
    </row>
    <row r="2220" customFormat="false" ht="15" hidden="false" customHeight="false" outlineLevel="0" collapsed="false">
      <c r="M2220" s="35" t="str">
        <f aca="false">IF($A2220="","",HOUR($A2220))</f>
        <v/>
      </c>
      <c r="N2220" s="36" t="str">
        <f aca="false">IF($A2220="","",$I2220*$K2220)</f>
        <v/>
      </c>
      <c r="O2220" s="35" t="str">
        <f aca="false">IF(OR($A2220="",$C2220="U",$S2220&lt;&gt;Calc!$F$2),"",SUMIFS($I$3:$I$3002,$E$3:$E$3002,$E2220,$C$3:$C$3002,"&lt;&gt;U",$S$3:$S$3002,Calc!$F$2))</f>
        <v/>
      </c>
      <c r="P2220" s="35" t="str">
        <f aca="false">IF(OR($A2220="",$C2220="U",$S2220&lt;&gt;Calc!$F$2),"",SUMIFS($N$3:$N$3002,$E$3:$E$3002,$E2220,$C$3:$C$3002,"&lt;&gt;U",$S$3:$S$3002,Calc!$F$2))</f>
        <v/>
      </c>
      <c r="Q2220" s="35" t="str">
        <f aca="false">IF(OR($A2220="",$C2220="U",$S2220&lt;&gt;Calc!$F$2),"",IF(COUNTIFS($E$3:$E2220,$E2220,$C$3:$C2220,"&lt;&gt;U",$S$3:$S2220,Calc!$F$2)=1,1,0))</f>
        <v/>
      </c>
      <c r="R2220" s="35" t="str">
        <f aca="false">IF($Q2220=1,$O2220-ROW()/100000,"")</f>
        <v/>
      </c>
      <c r="S2220" s="37" t="str">
        <f aca="false">IF($A2220="","",INT($A2220))</f>
        <v/>
      </c>
      <c r="T2220" s="35" t="str">
        <f aca="false">IF($A2220="","",IF(COUNTIFS($S$3:$S2220,$S2220)=1,1,0))</f>
        <v/>
      </c>
      <c r="U2220" s="37" t="str">
        <f aca="false">IF($T2220=1,$S2220,"")</f>
        <v/>
      </c>
    </row>
    <row r="2221" customFormat="false" ht="15" hidden="false" customHeight="false" outlineLevel="0" collapsed="false">
      <c r="M2221" s="35" t="str">
        <f aca="false">IF($A2221="","",HOUR($A2221))</f>
        <v/>
      </c>
      <c r="N2221" s="36" t="str">
        <f aca="false">IF($A2221="","",$I2221*$K2221)</f>
        <v/>
      </c>
      <c r="O2221" s="35" t="str">
        <f aca="false">IF(OR($A2221="",$C2221="U",$S2221&lt;&gt;Calc!$F$2),"",SUMIFS($I$3:$I$3002,$E$3:$E$3002,$E2221,$C$3:$C$3002,"&lt;&gt;U",$S$3:$S$3002,Calc!$F$2))</f>
        <v/>
      </c>
      <c r="P2221" s="35" t="str">
        <f aca="false">IF(OR($A2221="",$C2221="U",$S2221&lt;&gt;Calc!$F$2),"",SUMIFS($N$3:$N$3002,$E$3:$E$3002,$E2221,$C$3:$C$3002,"&lt;&gt;U",$S$3:$S$3002,Calc!$F$2))</f>
        <v/>
      </c>
      <c r="Q2221" s="35" t="str">
        <f aca="false">IF(OR($A2221="",$C2221="U",$S2221&lt;&gt;Calc!$F$2),"",IF(COUNTIFS($E$3:$E2221,$E2221,$C$3:$C2221,"&lt;&gt;U",$S$3:$S2221,Calc!$F$2)=1,1,0))</f>
        <v/>
      </c>
      <c r="R2221" s="35" t="str">
        <f aca="false">IF($Q2221=1,$O2221-ROW()/100000,"")</f>
        <v/>
      </c>
      <c r="S2221" s="37" t="str">
        <f aca="false">IF($A2221="","",INT($A2221))</f>
        <v/>
      </c>
      <c r="T2221" s="35" t="str">
        <f aca="false">IF($A2221="","",IF(COUNTIFS($S$3:$S2221,$S2221)=1,1,0))</f>
        <v/>
      </c>
      <c r="U2221" s="37" t="str">
        <f aca="false">IF($T2221=1,$S2221,"")</f>
        <v/>
      </c>
    </row>
    <row r="2222" customFormat="false" ht="15" hidden="false" customHeight="false" outlineLevel="0" collapsed="false">
      <c r="M2222" s="35" t="str">
        <f aca="false">IF($A2222="","",HOUR($A2222))</f>
        <v/>
      </c>
      <c r="N2222" s="36" t="str">
        <f aca="false">IF($A2222="","",$I2222*$K2222)</f>
        <v/>
      </c>
      <c r="O2222" s="35" t="str">
        <f aca="false">IF(OR($A2222="",$C2222="U",$S2222&lt;&gt;Calc!$F$2),"",SUMIFS($I$3:$I$3002,$E$3:$E$3002,$E2222,$C$3:$C$3002,"&lt;&gt;U",$S$3:$S$3002,Calc!$F$2))</f>
        <v/>
      </c>
      <c r="P2222" s="35" t="str">
        <f aca="false">IF(OR($A2222="",$C2222="U",$S2222&lt;&gt;Calc!$F$2),"",SUMIFS($N$3:$N$3002,$E$3:$E$3002,$E2222,$C$3:$C$3002,"&lt;&gt;U",$S$3:$S$3002,Calc!$F$2))</f>
        <v/>
      </c>
      <c r="Q2222" s="35" t="str">
        <f aca="false">IF(OR($A2222="",$C2222="U",$S2222&lt;&gt;Calc!$F$2),"",IF(COUNTIFS($E$3:$E2222,$E2222,$C$3:$C2222,"&lt;&gt;U",$S$3:$S2222,Calc!$F$2)=1,1,0))</f>
        <v/>
      </c>
      <c r="R2222" s="35" t="str">
        <f aca="false">IF($Q2222=1,$O2222-ROW()/100000,"")</f>
        <v/>
      </c>
      <c r="S2222" s="37" t="str">
        <f aca="false">IF($A2222="","",INT($A2222))</f>
        <v/>
      </c>
      <c r="T2222" s="35" t="str">
        <f aca="false">IF($A2222="","",IF(COUNTIFS($S$3:$S2222,$S2222)=1,1,0))</f>
        <v/>
      </c>
      <c r="U2222" s="37" t="str">
        <f aca="false">IF($T2222=1,$S2222,"")</f>
        <v/>
      </c>
    </row>
    <row r="2223" customFormat="false" ht="15" hidden="false" customHeight="false" outlineLevel="0" collapsed="false">
      <c r="M2223" s="35" t="str">
        <f aca="false">IF($A2223="","",HOUR($A2223))</f>
        <v/>
      </c>
      <c r="N2223" s="36" t="str">
        <f aca="false">IF($A2223="","",$I2223*$K2223)</f>
        <v/>
      </c>
      <c r="O2223" s="35" t="str">
        <f aca="false">IF(OR($A2223="",$C2223="U",$S2223&lt;&gt;Calc!$F$2),"",SUMIFS($I$3:$I$3002,$E$3:$E$3002,$E2223,$C$3:$C$3002,"&lt;&gt;U",$S$3:$S$3002,Calc!$F$2))</f>
        <v/>
      </c>
      <c r="P2223" s="35" t="str">
        <f aca="false">IF(OR($A2223="",$C2223="U",$S2223&lt;&gt;Calc!$F$2),"",SUMIFS($N$3:$N$3002,$E$3:$E$3002,$E2223,$C$3:$C$3002,"&lt;&gt;U",$S$3:$S$3002,Calc!$F$2))</f>
        <v/>
      </c>
      <c r="Q2223" s="35" t="str">
        <f aca="false">IF(OR($A2223="",$C2223="U",$S2223&lt;&gt;Calc!$F$2),"",IF(COUNTIFS($E$3:$E2223,$E2223,$C$3:$C2223,"&lt;&gt;U",$S$3:$S2223,Calc!$F$2)=1,1,0))</f>
        <v/>
      </c>
      <c r="R2223" s="35" t="str">
        <f aca="false">IF($Q2223=1,$O2223-ROW()/100000,"")</f>
        <v/>
      </c>
      <c r="S2223" s="37" t="str">
        <f aca="false">IF($A2223="","",INT($A2223))</f>
        <v/>
      </c>
      <c r="T2223" s="35" t="str">
        <f aca="false">IF($A2223="","",IF(COUNTIFS($S$3:$S2223,$S2223)=1,1,0))</f>
        <v/>
      </c>
      <c r="U2223" s="37" t="str">
        <f aca="false">IF($T2223=1,$S2223,"")</f>
        <v/>
      </c>
    </row>
    <row r="2224" customFormat="false" ht="15" hidden="false" customHeight="false" outlineLevel="0" collapsed="false">
      <c r="M2224" s="35" t="str">
        <f aca="false">IF($A2224="","",HOUR($A2224))</f>
        <v/>
      </c>
      <c r="N2224" s="36" t="str">
        <f aca="false">IF($A2224="","",$I2224*$K2224)</f>
        <v/>
      </c>
      <c r="O2224" s="35" t="str">
        <f aca="false">IF(OR($A2224="",$C2224="U",$S2224&lt;&gt;Calc!$F$2),"",SUMIFS($I$3:$I$3002,$E$3:$E$3002,$E2224,$C$3:$C$3002,"&lt;&gt;U",$S$3:$S$3002,Calc!$F$2))</f>
        <v/>
      </c>
      <c r="P2224" s="35" t="str">
        <f aca="false">IF(OR($A2224="",$C2224="U",$S2224&lt;&gt;Calc!$F$2),"",SUMIFS($N$3:$N$3002,$E$3:$E$3002,$E2224,$C$3:$C$3002,"&lt;&gt;U",$S$3:$S$3002,Calc!$F$2))</f>
        <v/>
      </c>
      <c r="Q2224" s="35" t="str">
        <f aca="false">IF(OR($A2224="",$C2224="U",$S2224&lt;&gt;Calc!$F$2),"",IF(COUNTIFS($E$3:$E2224,$E2224,$C$3:$C2224,"&lt;&gt;U",$S$3:$S2224,Calc!$F$2)=1,1,0))</f>
        <v/>
      </c>
      <c r="R2224" s="35" t="str">
        <f aca="false">IF($Q2224=1,$O2224-ROW()/100000,"")</f>
        <v/>
      </c>
      <c r="S2224" s="37" t="str">
        <f aca="false">IF($A2224="","",INT($A2224))</f>
        <v/>
      </c>
      <c r="T2224" s="35" t="str">
        <f aca="false">IF($A2224="","",IF(COUNTIFS($S$3:$S2224,$S2224)=1,1,0))</f>
        <v/>
      </c>
      <c r="U2224" s="37" t="str">
        <f aca="false">IF($T2224=1,$S2224,"")</f>
        <v/>
      </c>
    </row>
    <row r="2225" customFormat="false" ht="15" hidden="false" customHeight="false" outlineLevel="0" collapsed="false">
      <c r="M2225" s="35" t="str">
        <f aca="false">IF($A2225="","",HOUR($A2225))</f>
        <v/>
      </c>
      <c r="N2225" s="36" t="str">
        <f aca="false">IF($A2225="","",$I2225*$K2225)</f>
        <v/>
      </c>
      <c r="O2225" s="35" t="str">
        <f aca="false">IF(OR($A2225="",$C2225="U",$S2225&lt;&gt;Calc!$F$2),"",SUMIFS($I$3:$I$3002,$E$3:$E$3002,$E2225,$C$3:$C$3002,"&lt;&gt;U",$S$3:$S$3002,Calc!$F$2))</f>
        <v/>
      </c>
      <c r="P2225" s="35" t="str">
        <f aca="false">IF(OR($A2225="",$C2225="U",$S2225&lt;&gt;Calc!$F$2),"",SUMIFS($N$3:$N$3002,$E$3:$E$3002,$E2225,$C$3:$C$3002,"&lt;&gt;U",$S$3:$S$3002,Calc!$F$2))</f>
        <v/>
      </c>
      <c r="Q2225" s="35" t="str">
        <f aca="false">IF(OR($A2225="",$C2225="U",$S2225&lt;&gt;Calc!$F$2),"",IF(COUNTIFS($E$3:$E2225,$E2225,$C$3:$C2225,"&lt;&gt;U",$S$3:$S2225,Calc!$F$2)=1,1,0))</f>
        <v/>
      </c>
      <c r="R2225" s="35" t="str">
        <f aca="false">IF($Q2225=1,$O2225-ROW()/100000,"")</f>
        <v/>
      </c>
      <c r="S2225" s="37" t="str">
        <f aca="false">IF($A2225="","",INT($A2225))</f>
        <v/>
      </c>
      <c r="T2225" s="35" t="str">
        <f aca="false">IF($A2225="","",IF(COUNTIFS($S$3:$S2225,$S2225)=1,1,0))</f>
        <v/>
      </c>
      <c r="U2225" s="37" t="str">
        <f aca="false">IF($T2225=1,$S2225,"")</f>
        <v/>
      </c>
    </row>
    <row r="2226" customFormat="false" ht="15" hidden="false" customHeight="false" outlineLevel="0" collapsed="false">
      <c r="M2226" s="35" t="str">
        <f aca="false">IF($A2226="","",HOUR($A2226))</f>
        <v/>
      </c>
      <c r="N2226" s="36" t="str">
        <f aca="false">IF($A2226="","",$I2226*$K2226)</f>
        <v/>
      </c>
      <c r="O2226" s="35" t="str">
        <f aca="false">IF(OR($A2226="",$C2226="U",$S2226&lt;&gt;Calc!$F$2),"",SUMIFS($I$3:$I$3002,$E$3:$E$3002,$E2226,$C$3:$C$3002,"&lt;&gt;U",$S$3:$S$3002,Calc!$F$2))</f>
        <v/>
      </c>
      <c r="P2226" s="35" t="str">
        <f aca="false">IF(OR($A2226="",$C2226="U",$S2226&lt;&gt;Calc!$F$2),"",SUMIFS($N$3:$N$3002,$E$3:$E$3002,$E2226,$C$3:$C$3002,"&lt;&gt;U",$S$3:$S$3002,Calc!$F$2))</f>
        <v/>
      </c>
      <c r="Q2226" s="35" t="str">
        <f aca="false">IF(OR($A2226="",$C2226="U",$S2226&lt;&gt;Calc!$F$2),"",IF(COUNTIFS($E$3:$E2226,$E2226,$C$3:$C2226,"&lt;&gt;U",$S$3:$S2226,Calc!$F$2)=1,1,0))</f>
        <v/>
      </c>
      <c r="R2226" s="35" t="str">
        <f aca="false">IF($Q2226=1,$O2226-ROW()/100000,"")</f>
        <v/>
      </c>
      <c r="S2226" s="37" t="str">
        <f aca="false">IF($A2226="","",INT($A2226))</f>
        <v/>
      </c>
      <c r="T2226" s="35" t="str">
        <f aca="false">IF($A2226="","",IF(COUNTIFS($S$3:$S2226,$S2226)=1,1,0))</f>
        <v/>
      </c>
      <c r="U2226" s="37" t="str">
        <f aca="false">IF($T2226=1,$S2226,"")</f>
        <v/>
      </c>
    </row>
    <row r="2227" customFormat="false" ht="15" hidden="false" customHeight="false" outlineLevel="0" collapsed="false">
      <c r="M2227" s="35" t="str">
        <f aca="false">IF($A2227="","",HOUR($A2227))</f>
        <v/>
      </c>
      <c r="N2227" s="36" t="str">
        <f aca="false">IF($A2227="","",$I2227*$K2227)</f>
        <v/>
      </c>
      <c r="O2227" s="35" t="str">
        <f aca="false">IF(OR($A2227="",$C2227="U",$S2227&lt;&gt;Calc!$F$2),"",SUMIFS($I$3:$I$3002,$E$3:$E$3002,$E2227,$C$3:$C$3002,"&lt;&gt;U",$S$3:$S$3002,Calc!$F$2))</f>
        <v/>
      </c>
      <c r="P2227" s="35" t="str">
        <f aca="false">IF(OR($A2227="",$C2227="U",$S2227&lt;&gt;Calc!$F$2),"",SUMIFS($N$3:$N$3002,$E$3:$E$3002,$E2227,$C$3:$C$3002,"&lt;&gt;U",$S$3:$S$3002,Calc!$F$2))</f>
        <v/>
      </c>
      <c r="Q2227" s="35" t="str">
        <f aca="false">IF(OR($A2227="",$C2227="U",$S2227&lt;&gt;Calc!$F$2),"",IF(COUNTIFS($E$3:$E2227,$E2227,$C$3:$C2227,"&lt;&gt;U",$S$3:$S2227,Calc!$F$2)=1,1,0))</f>
        <v/>
      </c>
      <c r="R2227" s="35" t="str">
        <f aca="false">IF($Q2227=1,$O2227-ROW()/100000,"")</f>
        <v/>
      </c>
      <c r="S2227" s="37" t="str">
        <f aca="false">IF($A2227="","",INT($A2227))</f>
        <v/>
      </c>
      <c r="T2227" s="35" t="str">
        <f aca="false">IF($A2227="","",IF(COUNTIFS($S$3:$S2227,$S2227)=1,1,0))</f>
        <v/>
      </c>
      <c r="U2227" s="37" t="str">
        <f aca="false">IF($T2227=1,$S2227,"")</f>
        <v/>
      </c>
    </row>
    <row r="2228" customFormat="false" ht="15" hidden="false" customHeight="false" outlineLevel="0" collapsed="false">
      <c r="M2228" s="35" t="str">
        <f aca="false">IF($A2228="","",HOUR($A2228))</f>
        <v/>
      </c>
      <c r="N2228" s="36" t="str">
        <f aca="false">IF($A2228="","",$I2228*$K2228)</f>
        <v/>
      </c>
      <c r="O2228" s="35" t="str">
        <f aca="false">IF(OR($A2228="",$C2228="U",$S2228&lt;&gt;Calc!$F$2),"",SUMIFS($I$3:$I$3002,$E$3:$E$3002,$E2228,$C$3:$C$3002,"&lt;&gt;U",$S$3:$S$3002,Calc!$F$2))</f>
        <v/>
      </c>
      <c r="P2228" s="35" t="str">
        <f aca="false">IF(OR($A2228="",$C2228="U",$S2228&lt;&gt;Calc!$F$2),"",SUMIFS($N$3:$N$3002,$E$3:$E$3002,$E2228,$C$3:$C$3002,"&lt;&gt;U",$S$3:$S$3002,Calc!$F$2))</f>
        <v/>
      </c>
      <c r="Q2228" s="35" t="str">
        <f aca="false">IF(OR($A2228="",$C2228="U",$S2228&lt;&gt;Calc!$F$2),"",IF(COUNTIFS($E$3:$E2228,$E2228,$C$3:$C2228,"&lt;&gt;U",$S$3:$S2228,Calc!$F$2)=1,1,0))</f>
        <v/>
      </c>
      <c r="R2228" s="35" t="str">
        <f aca="false">IF($Q2228=1,$O2228-ROW()/100000,"")</f>
        <v/>
      </c>
      <c r="S2228" s="37" t="str">
        <f aca="false">IF($A2228="","",INT($A2228))</f>
        <v/>
      </c>
      <c r="T2228" s="35" t="str">
        <f aca="false">IF($A2228="","",IF(COUNTIFS($S$3:$S2228,$S2228)=1,1,0))</f>
        <v/>
      </c>
      <c r="U2228" s="37" t="str">
        <f aca="false">IF($T2228=1,$S2228,"")</f>
        <v/>
      </c>
    </row>
    <row r="2229" customFormat="false" ht="15" hidden="false" customHeight="false" outlineLevel="0" collapsed="false">
      <c r="M2229" s="35" t="str">
        <f aca="false">IF($A2229="","",HOUR($A2229))</f>
        <v/>
      </c>
      <c r="N2229" s="36" t="str">
        <f aca="false">IF($A2229="","",$I2229*$K2229)</f>
        <v/>
      </c>
      <c r="O2229" s="35" t="str">
        <f aca="false">IF(OR($A2229="",$C2229="U",$S2229&lt;&gt;Calc!$F$2),"",SUMIFS($I$3:$I$3002,$E$3:$E$3002,$E2229,$C$3:$C$3002,"&lt;&gt;U",$S$3:$S$3002,Calc!$F$2))</f>
        <v/>
      </c>
      <c r="P2229" s="35" t="str">
        <f aca="false">IF(OR($A2229="",$C2229="U",$S2229&lt;&gt;Calc!$F$2),"",SUMIFS($N$3:$N$3002,$E$3:$E$3002,$E2229,$C$3:$C$3002,"&lt;&gt;U",$S$3:$S$3002,Calc!$F$2))</f>
        <v/>
      </c>
      <c r="Q2229" s="35" t="str">
        <f aca="false">IF(OR($A2229="",$C2229="U",$S2229&lt;&gt;Calc!$F$2),"",IF(COUNTIFS($E$3:$E2229,$E2229,$C$3:$C2229,"&lt;&gt;U",$S$3:$S2229,Calc!$F$2)=1,1,0))</f>
        <v/>
      </c>
      <c r="R2229" s="35" t="str">
        <f aca="false">IF($Q2229=1,$O2229-ROW()/100000,"")</f>
        <v/>
      </c>
      <c r="S2229" s="37" t="str">
        <f aca="false">IF($A2229="","",INT($A2229))</f>
        <v/>
      </c>
      <c r="T2229" s="35" t="str">
        <f aca="false">IF($A2229="","",IF(COUNTIFS($S$3:$S2229,$S2229)=1,1,0))</f>
        <v/>
      </c>
      <c r="U2229" s="37" t="str">
        <f aca="false">IF($T2229=1,$S2229,"")</f>
        <v/>
      </c>
    </row>
    <row r="2230" customFormat="false" ht="15" hidden="false" customHeight="false" outlineLevel="0" collapsed="false">
      <c r="M2230" s="35" t="str">
        <f aca="false">IF($A2230="","",HOUR($A2230))</f>
        <v/>
      </c>
      <c r="N2230" s="36" t="str">
        <f aca="false">IF($A2230="","",$I2230*$K2230)</f>
        <v/>
      </c>
      <c r="O2230" s="35" t="str">
        <f aca="false">IF(OR($A2230="",$C2230="U",$S2230&lt;&gt;Calc!$F$2),"",SUMIFS($I$3:$I$3002,$E$3:$E$3002,$E2230,$C$3:$C$3002,"&lt;&gt;U",$S$3:$S$3002,Calc!$F$2))</f>
        <v/>
      </c>
      <c r="P2230" s="35" t="str">
        <f aca="false">IF(OR($A2230="",$C2230="U",$S2230&lt;&gt;Calc!$F$2),"",SUMIFS($N$3:$N$3002,$E$3:$E$3002,$E2230,$C$3:$C$3002,"&lt;&gt;U",$S$3:$S$3002,Calc!$F$2))</f>
        <v/>
      </c>
      <c r="Q2230" s="35" t="str">
        <f aca="false">IF(OR($A2230="",$C2230="U",$S2230&lt;&gt;Calc!$F$2),"",IF(COUNTIFS($E$3:$E2230,$E2230,$C$3:$C2230,"&lt;&gt;U",$S$3:$S2230,Calc!$F$2)=1,1,0))</f>
        <v/>
      </c>
      <c r="R2230" s="35" t="str">
        <f aca="false">IF($Q2230=1,$O2230-ROW()/100000,"")</f>
        <v/>
      </c>
      <c r="S2230" s="37" t="str">
        <f aca="false">IF($A2230="","",INT($A2230))</f>
        <v/>
      </c>
      <c r="T2230" s="35" t="str">
        <f aca="false">IF($A2230="","",IF(COUNTIFS($S$3:$S2230,$S2230)=1,1,0))</f>
        <v/>
      </c>
      <c r="U2230" s="37" t="str">
        <f aca="false">IF($T2230=1,$S2230,"")</f>
        <v/>
      </c>
    </row>
    <row r="2231" customFormat="false" ht="15" hidden="false" customHeight="false" outlineLevel="0" collapsed="false">
      <c r="M2231" s="35" t="str">
        <f aca="false">IF($A2231="","",HOUR($A2231))</f>
        <v/>
      </c>
      <c r="N2231" s="36" t="str">
        <f aca="false">IF($A2231="","",$I2231*$K2231)</f>
        <v/>
      </c>
      <c r="O2231" s="35" t="str">
        <f aca="false">IF(OR($A2231="",$C2231="U",$S2231&lt;&gt;Calc!$F$2),"",SUMIFS($I$3:$I$3002,$E$3:$E$3002,$E2231,$C$3:$C$3002,"&lt;&gt;U",$S$3:$S$3002,Calc!$F$2))</f>
        <v/>
      </c>
      <c r="P2231" s="35" t="str">
        <f aca="false">IF(OR($A2231="",$C2231="U",$S2231&lt;&gt;Calc!$F$2),"",SUMIFS($N$3:$N$3002,$E$3:$E$3002,$E2231,$C$3:$C$3002,"&lt;&gt;U",$S$3:$S$3002,Calc!$F$2))</f>
        <v/>
      </c>
      <c r="Q2231" s="35" t="str">
        <f aca="false">IF(OR($A2231="",$C2231="U",$S2231&lt;&gt;Calc!$F$2),"",IF(COUNTIFS($E$3:$E2231,$E2231,$C$3:$C2231,"&lt;&gt;U",$S$3:$S2231,Calc!$F$2)=1,1,0))</f>
        <v/>
      </c>
      <c r="R2231" s="35" t="str">
        <f aca="false">IF($Q2231=1,$O2231-ROW()/100000,"")</f>
        <v/>
      </c>
      <c r="S2231" s="37" t="str">
        <f aca="false">IF($A2231="","",INT($A2231))</f>
        <v/>
      </c>
      <c r="T2231" s="35" t="str">
        <f aca="false">IF($A2231="","",IF(COUNTIFS($S$3:$S2231,$S2231)=1,1,0))</f>
        <v/>
      </c>
      <c r="U2231" s="37" t="str">
        <f aca="false">IF($T2231=1,$S2231,"")</f>
        <v/>
      </c>
    </row>
    <row r="2232" customFormat="false" ht="15" hidden="false" customHeight="false" outlineLevel="0" collapsed="false">
      <c r="M2232" s="35" t="str">
        <f aca="false">IF($A2232="","",HOUR($A2232))</f>
        <v/>
      </c>
      <c r="N2232" s="36" t="str">
        <f aca="false">IF($A2232="","",$I2232*$K2232)</f>
        <v/>
      </c>
      <c r="O2232" s="35" t="str">
        <f aca="false">IF(OR($A2232="",$C2232="U",$S2232&lt;&gt;Calc!$F$2),"",SUMIFS($I$3:$I$3002,$E$3:$E$3002,$E2232,$C$3:$C$3002,"&lt;&gt;U",$S$3:$S$3002,Calc!$F$2))</f>
        <v/>
      </c>
      <c r="P2232" s="35" t="str">
        <f aca="false">IF(OR($A2232="",$C2232="U",$S2232&lt;&gt;Calc!$F$2),"",SUMIFS($N$3:$N$3002,$E$3:$E$3002,$E2232,$C$3:$C$3002,"&lt;&gt;U",$S$3:$S$3002,Calc!$F$2))</f>
        <v/>
      </c>
      <c r="Q2232" s="35" t="str">
        <f aca="false">IF(OR($A2232="",$C2232="U",$S2232&lt;&gt;Calc!$F$2),"",IF(COUNTIFS($E$3:$E2232,$E2232,$C$3:$C2232,"&lt;&gt;U",$S$3:$S2232,Calc!$F$2)=1,1,0))</f>
        <v/>
      </c>
      <c r="R2232" s="35" t="str">
        <f aca="false">IF($Q2232=1,$O2232-ROW()/100000,"")</f>
        <v/>
      </c>
      <c r="S2232" s="37" t="str">
        <f aca="false">IF($A2232="","",INT($A2232))</f>
        <v/>
      </c>
      <c r="T2232" s="35" t="str">
        <f aca="false">IF($A2232="","",IF(COUNTIFS($S$3:$S2232,$S2232)=1,1,0))</f>
        <v/>
      </c>
      <c r="U2232" s="37" t="str">
        <f aca="false">IF($T2232=1,$S2232,"")</f>
        <v/>
      </c>
    </row>
    <row r="2233" customFormat="false" ht="15" hidden="false" customHeight="false" outlineLevel="0" collapsed="false">
      <c r="M2233" s="35" t="str">
        <f aca="false">IF($A2233="","",HOUR($A2233))</f>
        <v/>
      </c>
      <c r="N2233" s="36" t="str">
        <f aca="false">IF($A2233="","",$I2233*$K2233)</f>
        <v/>
      </c>
      <c r="O2233" s="35" t="str">
        <f aca="false">IF(OR($A2233="",$C2233="U",$S2233&lt;&gt;Calc!$F$2),"",SUMIFS($I$3:$I$3002,$E$3:$E$3002,$E2233,$C$3:$C$3002,"&lt;&gt;U",$S$3:$S$3002,Calc!$F$2))</f>
        <v/>
      </c>
      <c r="P2233" s="35" t="str">
        <f aca="false">IF(OR($A2233="",$C2233="U",$S2233&lt;&gt;Calc!$F$2),"",SUMIFS($N$3:$N$3002,$E$3:$E$3002,$E2233,$C$3:$C$3002,"&lt;&gt;U",$S$3:$S$3002,Calc!$F$2))</f>
        <v/>
      </c>
      <c r="Q2233" s="35" t="str">
        <f aca="false">IF(OR($A2233="",$C2233="U",$S2233&lt;&gt;Calc!$F$2),"",IF(COUNTIFS($E$3:$E2233,$E2233,$C$3:$C2233,"&lt;&gt;U",$S$3:$S2233,Calc!$F$2)=1,1,0))</f>
        <v/>
      </c>
      <c r="R2233" s="35" t="str">
        <f aca="false">IF($Q2233=1,$O2233-ROW()/100000,"")</f>
        <v/>
      </c>
      <c r="S2233" s="37" t="str">
        <f aca="false">IF($A2233="","",INT($A2233))</f>
        <v/>
      </c>
      <c r="T2233" s="35" t="str">
        <f aca="false">IF($A2233="","",IF(COUNTIFS($S$3:$S2233,$S2233)=1,1,0))</f>
        <v/>
      </c>
      <c r="U2233" s="37" t="str">
        <f aca="false">IF($T2233=1,$S2233,"")</f>
        <v/>
      </c>
    </row>
    <row r="2234" customFormat="false" ht="15" hidden="false" customHeight="false" outlineLevel="0" collapsed="false">
      <c r="M2234" s="35" t="str">
        <f aca="false">IF($A2234="","",HOUR($A2234))</f>
        <v/>
      </c>
      <c r="N2234" s="36" t="str">
        <f aca="false">IF($A2234="","",$I2234*$K2234)</f>
        <v/>
      </c>
      <c r="O2234" s="35" t="str">
        <f aca="false">IF(OR($A2234="",$C2234="U",$S2234&lt;&gt;Calc!$F$2),"",SUMIFS($I$3:$I$3002,$E$3:$E$3002,$E2234,$C$3:$C$3002,"&lt;&gt;U",$S$3:$S$3002,Calc!$F$2))</f>
        <v/>
      </c>
      <c r="P2234" s="35" t="str">
        <f aca="false">IF(OR($A2234="",$C2234="U",$S2234&lt;&gt;Calc!$F$2),"",SUMIFS($N$3:$N$3002,$E$3:$E$3002,$E2234,$C$3:$C$3002,"&lt;&gt;U",$S$3:$S$3002,Calc!$F$2))</f>
        <v/>
      </c>
      <c r="Q2234" s="35" t="str">
        <f aca="false">IF(OR($A2234="",$C2234="U",$S2234&lt;&gt;Calc!$F$2),"",IF(COUNTIFS($E$3:$E2234,$E2234,$C$3:$C2234,"&lt;&gt;U",$S$3:$S2234,Calc!$F$2)=1,1,0))</f>
        <v/>
      </c>
      <c r="R2234" s="35" t="str">
        <f aca="false">IF($Q2234=1,$O2234-ROW()/100000,"")</f>
        <v/>
      </c>
      <c r="S2234" s="37" t="str">
        <f aca="false">IF($A2234="","",INT($A2234))</f>
        <v/>
      </c>
      <c r="T2234" s="35" t="str">
        <f aca="false">IF($A2234="","",IF(COUNTIFS($S$3:$S2234,$S2234)=1,1,0))</f>
        <v/>
      </c>
      <c r="U2234" s="37" t="str">
        <f aca="false">IF($T2234=1,$S2234,"")</f>
        <v/>
      </c>
    </row>
    <row r="2235" customFormat="false" ht="15" hidden="false" customHeight="false" outlineLevel="0" collapsed="false">
      <c r="M2235" s="35" t="str">
        <f aca="false">IF($A2235="","",HOUR($A2235))</f>
        <v/>
      </c>
      <c r="N2235" s="36" t="str">
        <f aca="false">IF($A2235="","",$I2235*$K2235)</f>
        <v/>
      </c>
      <c r="O2235" s="35" t="str">
        <f aca="false">IF(OR($A2235="",$C2235="U",$S2235&lt;&gt;Calc!$F$2),"",SUMIFS($I$3:$I$3002,$E$3:$E$3002,$E2235,$C$3:$C$3002,"&lt;&gt;U",$S$3:$S$3002,Calc!$F$2))</f>
        <v/>
      </c>
      <c r="P2235" s="35" t="str">
        <f aca="false">IF(OR($A2235="",$C2235="U",$S2235&lt;&gt;Calc!$F$2),"",SUMIFS($N$3:$N$3002,$E$3:$E$3002,$E2235,$C$3:$C$3002,"&lt;&gt;U",$S$3:$S$3002,Calc!$F$2))</f>
        <v/>
      </c>
      <c r="Q2235" s="35" t="str">
        <f aca="false">IF(OR($A2235="",$C2235="U",$S2235&lt;&gt;Calc!$F$2),"",IF(COUNTIFS($E$3:$E2235,$E2235,$C$3:$C2235,"&lt;&gt;U",$S$3:$S2235,Calc!$F$2)=1,1,0))</f>
        <v/>
      </c>
      <c r="R2235" s="35" t="str">
        <f aca="false">IF($Q2235=1,$O2235-ROW()/100000,"")</f>
        <v/>
      </c>
      <c r="S2235" s="37" t="str">
        <f aca="false">IF($A2235="","",INT($A2235))</f>
        <v/>
      </c>
      <c r="T2235" s="35" t="str">
        <f aca="false">IF($A2235="","",IF(COUNTIFS($S$3:$S2235,$S2235)=1,1,0))</f>
        <v/>
      </c>
      <c r="U2235" s="37" t="str">
        <f aca="false">IF($T2235=1,$S2235,"")</f>
        <v/>
      </c>
    </row>
    <row r="2236" customFormat="false" ht="15" hidden="false" customHeight="false" outlineLevel="0" collapsed="false">
      <c r="M2236" s="35" t="str">
        <f aca="false">IF($A2236="","",HOUR($A2236))</f>
        <v/>
      </c>
      <c r="N2236" s="36" t="str">
        <f aca="false">IF($A2236="","",$I2236*$K2236)</f>
        <v/>
      </c>
      <c r="O2236" s="35" t="str">
        <f aca="false">IF(OR($A2236="",$C2236="U",$S2236&lt;&gt;Calc!$F$2),"",SUMIFS($I$3:$I$3002,$E$3:$E$3002,$E2236,$C$3:$C$3002,"&lt;&gt;U",$S$3:$S$3002,Calc!$F$2))</f>
        <v/>
      </c>
      <c r="P2236" s="35" t="str">
        <f aca="false">IF(OR($A2236="",$C2236="U",$S2236&lt;&gt;Calc!$F$2),"",SUMIFS($N$3:$N$3002,$E$3:$E$3002,$E2236,$C$3:$C$3002,"&lt;&gt;U",$S$3:$S$3002,Calc!$F$2))</f>
        <v/>
      </c>
      <c r="Q2236" s="35" t="str">
        <f aca="false">IF(OR($A2236="",$C2236="U",$S2236&lt;&gt;Calc!$F$2),"",IF(COUNTIFS($E$3:$E2236,$E2236,$C$3:$C2236,"&lt;&gt;U",$S$3:$S2236,Calc!$F$2)=1,1,0))</f>
        <v/>
      </c>
      <c r="R2236" s="35" t="str">
        <f aca="false">IF($Q2236=1,$O2236-ROW()/100000,"")</f>
        <v/>
      </c>
      <c r="S2236" s="37" t="str">
        <f aca="false">IF($A2236="","",INT($A2236))</f>
        <v/>
      </c>
      <c r="T2236" s="35" t="str">
        <f aca="false">IF($A2236="","",IF(COUNTIFS($S$3:$S2236,$S2236)=1,1,0))</f>
        <v/>
      </c>
      <c r="U2236" s="37" t="str">
        <f aca="false">IF($T2236=1,$S2236,"")</f>
        <v/>
      </c>
    </row>
    <row r="2237" customFormat="false" ht="15" hidden="false" customHeight="false" outlineLevel="0" collapsed="false">
      <c r="M2237" s="35" t="str">
        <f aca="false">IF($A2237="","",HOUR($A2237))</f>
        <v/>
      </c>
      <c r="N2237" s="36" t="str">
        <f aca="false">IF($A2237="","",$I2237*$K2237)</f>
        <v/>
      </c>
      <c r="O2237" s="35" t="str">
        <f aca="false">IF(OR($A2237="",$C2237="U",$S2237&lt;&gt;Calc!$F$2),"",SUMIFS($I$3:$I$3002,$E$3:$E$3002,$E2237,$C$3:$C$3002,"&lt;&gt;U",$S$3:$S$3002,Calc!$F$2))</f>
        <v/>
      </c>
      <c r="P2237" s="35" t="str">
        <f aca="false">IF(OR($A2237="",$C2237="U",$S2237&lt;&gt;Calc!$F$2),"",SUMIFS($N$3:$N$3002,$E$3:$E$3002,$E2237,$C$3:$C$3002,"&lt;&gt;U",$S$3:$S$3002,Calc!$F$2))</f>
        <v/>
      </c>
      <c r="Q2237" s="35" t="str">
        <f aca="false">IF(OR($A2237="",$C2237="U",$S2237&lt;&gt;Calc!$F$2),"",IF(COUNTIFS($E$3:$E2237,$E2237,$C$3:$C2237,"&lt;&gt;U",$S$3:$S2237,Calc!$F$2)=1,1,0))</f>
        <v/>
      </c>
      <c r="R2237" s="35" t="str">
        <f aca="false">IF($Q2237=1,$O2237-ROW()/100000,"")</f>
        <v/>
      </c>
      <c r="S2237" s="37" t="str">
        <f aca="false">IF($A2237="","",INT($A2237))</f>
        <v/>
      </c>
      <c r="T2237" s="35" t="str">
        <f aca="false">IF($A2237="","",IF(COUNTIFS($S$3:$S2237,$S2237)=1,1,0))</f>
        <v/>
      </c>
      <c r="U2237" s="37" t="str">
        <f aca="false">IF($T2237=1,$S2237,"")</f>
        <v/>
      </c>
    </row>
    <row r="2238" customFormat="false" ht="15" hidden="false" customHeight="false" outlineLevel="0" collapsed="false">
      <c r="M2238" s="35" t="str">
        <f aca="false">IF($A2238="","",HOUR($A2238))</f>
        <v/>
      </c>
      <c r="N2238" s="36" t="str">
        <f aca="false">IF($A2238="","",$I2238*$K2238)</f>
        <v/>
      </c>
      <c r="O2238" s="35" t="str">
        <f aca="false">IF(OR($A2238="",$C2238="U",$S2238&lt;&gt;Calc!$F$2),"",SUMIFS($I$3:$I$3002,$E$3:$E$3002,$E2238,$C$3:$C$3002,"&lt;&gt;U",$S$3:$S$3002,Calc!$F$2))</f>
        <v/>
      </c>
      <c r="P2238" s="35" t="str">
        <f aca="false">IF(OR($A2238="",$C2238="U",$S2238&lt;&gt;Calc!$F$2),"",SUMIFS($N$3:$N$3002,$E$3:$E$3002,$E2238,$C$3:$C$3002,"&lt;&gt;U",$S$3:$S$3002,Calc!$F$2))</f>
        <v/>
      </c>
      <c r="Q2238" s="35" t="str">
        <f aca="false">IF(OR($A2238="",$C2238="U",$S2238&lt;&gt;Calc!$F$2),"",IF(COUNTIFS($E$3:$E2238,$E2238,$C$3:$C2238,"&lt;&gt;U",$S$3:$S2238,Calc!$F$2)=1,1,0))</f>
        <v/>
      </c>
      <c r="R2238" s="35" t="str">
        <f aca="false">IF($Q2238=1,$O2238-ROW()/100000,"")</f>
        <v/>
      </c>
      <c r="S2238" s="37" t="str">
        <f aca="false">IF($A2238="","",INT($A2238))</f>
        <v/>
      </c>
      <c r="T2238" s="35" t="str">
        <f aca="false">IF($A2238="","",IF(COUNTIFS($S$3:$S2238,$S2238)=1,1,0))</f>
        <v/>
      </c>
      <c r="U2238" s="37" t="str">
        <f aca="false">IF($T2238=1,$S2238,"")</f>
        <v/>
      </c>
    </row>
    <row r="2239" customFormat="false" ht="15" hidden="false" customHeight="false" outlineLevel="0" collapsed="false">
      <c r="M2239" s="35" t="str">
        <f aca="false">IF($A2239="","",HOUR($A2239))</f>
        <v/>
      </c>
      <c r="N2239" s="36" t="str">
        <f aca="false">IF($A2239="","",$I2239*$K2239)</f>
        <v/>
      </c>
      <c r="O2239" s="35" t="str">
        <f aca="false">IF(OR($A2239="",$C2239="U",$S2239&lt;&gt;Calc!$F$2),"",SUMIFS($I$3:$I$3002,$E$3:$E$3002,$E2239,$C$3:$C$3002,"&lt;&gt;U",$S$3:$S$3002,Calc!$F$2))</f>
        <v/>
      </c>
      <c r="P2239" s="35" t="str">
        <f aca="false">IF(OR($A2239="",$C2239="U",$S2239&lt;&gt;Calc!$F$2),"",SUMIFS($N$3:$N$3002,$E$3:$E$3002,$E2239,$C$3:$C$3002,"&lt;&gt;U",$S$3:$S$3002,Calc!$F$2))</f>
        <v/>
      </c>
      <c r="Q2239" s="35" t="str">
        <f aca="false">IF(OR($A2239="",$C2239="U",$S2239&lt;&gt;Calc!$F$2),"",IF(COUNTIFS($E$3:$E2239,$E2239,$C$3:$C2239,"&lt;&gt;U",$S$3:$S2239,Calc!$F$2)=1,1,0))</f>
        <v/>
      </c>
      <c r="R2239" s="35" t="str">
        <f aca="false">IF($Q2239=1,$O2239-ROW()/100000,"")</f>
        <v/>
      </c>
      <c r="S2239" s="37" t="str">
        <f aca="false">IF($A2239="","",INT($A2239))</f>
        <v/>
      </c>
      <c r="T2239" s="35" t="str">
        <f aca="false">IF($A2239="","",IF(COUNTIFS($S$3:$S2239,$S2239)=1,1,0))</f>
        <v/>
      </c>
      <c r="U2239" s="37" t="str">
        <f aca="false">IF($T2239=1,$S2239,"")</f>
        <v/>
      </c>
    </row>
    <row r="2240" customFormat="false" ht="15" hidden="false" customHeight="false" outlineLevel="0" collapsed="false">
      <c r="M2240" s="35" t="str">
        <f aca="false">IF($A2240="","",HOUR($A2240))</f>
        <v/>
      </c>
      <c r="N2240" s="36" t="str">
        <f aca="false">IF($A2240="","",$I2240*$K2240)</f>
        <v/>
      </c>
      <c r="O2240" s="35" t="str">
        <f aca="false">IF(OR($A2240="",$C2240="U",$S2240&lt;&gt;Calc!$F$2),"",SUMIFS($I$3:$I$3002,$E$3:$E$3002,$E2240,$C$3:$C$3002,"&lt;&gt;U",$S$3:$S$3002,Calc!$F$2))</f>
        <v/>
      </c>
      <c r="P2240" s="35" t="str">
        <f aca="false">IF(OR($A2240="",$C2240="U",$S2240&lt;&gt;Calc!$F$2),"",SUMIFS($N$3:$N$3002,$E$3:$E$3002,$E2240,$C$3:$C$3002,"&lt;&gt;U",$S$3:$S$3002,Calc!$F$2))</f>
        <v/>
      </c>
      <c r="Q2240" s="35" t="str">
        <f aca="false">IF(OR($A2240="",$C2240="U",$S2240&lt;&gt;Calc!$F$2),"",IF(COUNTIFS($E$3:$E2240,$E2240,$C$3:$C2240,"&lt;&gt;U",$S$3:$S2240,Calc!$F$2)=1,1,0))</f>
        <v/>
      </c>
      <c r="R2240" s="35" t="str">
        <f aca="false">IF($Q2240=1,$O2240-ROW()/100000,"")</f>
        <v/>
      </c>
      <c r="S2240" s="37" t="str">
        <f aca="false">IF($A2240="","",INT($A2240))</f>
        <v/>
      </c>
      <c r="T2240" s="35" t="str">
        <f aca="false">IF($A2240="","",IF(COUNTIFS($S$3:$S2240,$S2240)=1,1,0))</f>
        <v/>
      </c>
      <c r="U2240" s="37" t="str">
        <f aca="false">IF($T2240=1,$S2240,"")</f>
        <v/>
      </c>
    </row>
    <row r="2241" customFormat="false" ht="15" hidden="false" customHeight="false" outlineLevel="0" collapsed="false">
      <c r="M2241" s="35" t="str">
        <f aca="false">IF($A2241="","",HOUR($A2241))</f>
        <v/>
      </c>
      <c r="N2241" s="36" t="str">
        <f aca="false">IF($A2241="","",$I2241*$K2241)</f>
        <v/>
      </c>
      <c r="O2241" s="35" t="str">
        <f aca="false">IF(OR($A2241="",$C2241="U",$S2241&lt;&gt;Calc!$F$2),"",SUMIFS($I$3:$I$3002,$E$3:$E$3002,$E2241,$C$3:$C$3002,"&lt;&gt;U",$S$3:$S$3002,Calc!$F$2))</f>
        <v/>
      </c>
      <c r="P2241" s="35" t="str">
        <f aca="false">IF(OR($A2241="",$C2241="U",$S2241&lt;&gt;Calc!$F$2),"",SUMIFS($N$3:$N$3002,$E$3:$E$3002,$E2241,$C$3:$C$3002,"&lt;&gt;U",$S$3:$S$3002,Calc!$F$2))</f>
        <v/>
      </c>
      <c r="Q2241" s="35" t="str">
        <f aca="false">IF(OR($A2241="",$C2241="U",$S2241&lt;&gt;Calc!$F$2),"",IF(COUNTIFS($E$3:$E2241,$E2241,$C$3:$C2241,"&lt;&gt;U",$S$3:$S2241,Calc!$F$2)=1,1,0))</f>
        <v/>
      </c>
      <c r="R2241" s="35" t="str">
        <f aca="false">IF($Q2241=1,$O2241-ROW()/100000,"")</f>
        <v/>
      </c>
      <c r="S2241" s="37" t="str">
        <f aca="false">IF($A2241="","",INT($A2241))</f>
        <v/>
      </c>
      <c r="T2241" s="35" t="str">
        <f aca="false">IF($A2241="","",IF(COUNTIFS($S$3:$S2241,$S2241)=1,1,0))</f>
        <v/>
      </c>
      <c r="U2241" s="37" t="str">
        <f aca="false">IF($T2241=1,$S2241,"")</f>
        <v/>
      </c>
    </row>
    <row r="2242" customFormat="false" ht="15" hidden="false" customHeight="false" outlineLevel="0" collapsed="false">
      <c r="M2242" s="35" t="str">
        <f aca="false">IF($A2242="","",HOUR($A2242))</f>
        <v/>
      </c>
      <c r="N2242" s="36" t="str">
        <f aca="false">IF($A2242="","",$I2242*$K2242)</f>
        <v/>
      </c>
      <c r="O2242" s="35" t="str">
        <f aca="false">IF(OR($A2242="",$C2242="U",$S2242&lt;&gt;Calc!$F$2),"",SUMIFS($I$3:$I$3002,$E$3:$E$3002,$E2242,$C$3:$C$3002,"&lt;&gt;U",$S$3:$S$3002,Calc!$F$2))</f>
        <v/>
      </c>
      <c r="P2242" s="35" t="str">
        <f aca="false">IF(OR($A2242="",$C2242="U",$S2242&lt;&gt;Calc!$F$2),"",SUMIFS($N$3:$N$3002,$E$3:$E$3002,$E2242,$C$3:$C$3002,"&lt;&gt;U",$S$3:$S$3002,Calc!$F$2))</f>
        <v/>
      </c>
      <c r="Q2242" s="35" t="str">
        <f aca="false">IF(OR($A2242="",$C2242="U",$S2242&lt;&gt;Calc!$F$2),"",IF(COUNTIFS($E$3:$E2242,$E2242,$C$3:$C2242,"&lt;&gt;U",$S$3:$S2242,Calc!$F$2)=1,1,0))</f>
        <v/>
      </c>
      <c r="R2242" s="35" t="str">
        <f aca="false">IF($Q2242=1,$O2242-ROW()/100000,"")</f>
        <v/>
      </c>
      <c r="S2242" s="37" t="str">
        <f aca="false">IF($A2242="","",INT($A2242))</f>
        <v/>
      </c>
      <c r="T2242" s="35" t="str">
        <f aca="false">IF($A2242="","",IF(COUNTIFS($S$3:$S2242,$S2242)=1,1,0))</f>
        <v/>
      </c>
      <c r="U2242" s="37" t="str">
        <f aca="false">IF($T2242=1,$S2242,"")</f>
        <v/>
      </c>
    </row>
    <row r="2243" customFormat="false" ht="15" hidden="false" customHeight="false" outlineLevel="0" collapsed="false">
      <c r="M2243" s="35" t="str">
        <f aca="false">IF($A2243="","",HOUR($A2243))</f>
        <v/>
      </c>
      <c r="N2243" s="36" t="str">
        <f aca="false">IF($A2243="","",$I2243*$K2243)</f>
        <v/>
      </c>
      <c r="O2243" s="35" t="str">
        <f aca="false">IF(OR($A2243="",$C2243="U",$S2243&lt;&gt;Calc!$F$2),"",SUMIFS($I$3:$I$3002,$E$3:$E$3002,$E2243,$C$3:$C$3002,"&lt;&gt;U",$S$3:$S$3002,Calc!$F$2))</f>
        <v/>
      </c>
      <c r="P2243" s="35" t="str">
        <f aca="false">IF(OR($A2243="",$C2243="U",$S2243&lt;&gt;Calc!$F$2),"",SUMIFS($N$3:$N$3002,$E$3:$E$3002,$E2243,$C$3:$C$3002,"&lt;&gt;U",$S$3:$S$3002,Calc!$F$2))</f>
        <v/>
      </c>
      <c r="Q2243" s="35" t="str">
        <f aca="false">IF(OR($A2243="",$C2243="U",$S2243&lt;&gt;Calc!$F$2),"",IF(COUNTIFS($E$3:$E2243,$E2243,$C$3:$C2243,"&lt;&gt;U",$S$3:$S2243,Calc!$F$2)=1,1,0))</f>
        <v/>
      </c>
      <c r="R2243" s="35" t="str">
        <f aca="false">IF($Q2243=1,$O2243-ROW()/100000,"")</f>
        <v/>
      </c>
      <c r="S2243" s="37" t="str">
        <f aca="false">IF($A2243="","",INT($A2243))</f>
        <v/>
      </c>
      <c r="T2243" s="35" t="str">
        <f aca="false">IF($A2243="","",IF(COUNTIFS($S$3:$S2243,$S2243)=1,1,0))</f>
        <v/>
      </c>
      <c r="U2243" s="37" t="str">
        <f aca="false">IF($T2243=1,$S2243,"")</f>
        <v/>
      </c>
    </row>
    <row r="2244" customFormat="false" ht="15" hidden="false" customHeight="false" outlineLevel="0" collapsed="false">
      <c r="M2244" s="35" t="str">
        <f aca="false">IF($A2244="","",HOUR($A2244))</f>
        <v/>
      </c>
      <c r="N2244" s="36" t="str">
        <f aca="false">IF($A2244="","",$I2244*$K2244)</f>
        <v/>
      </c>
      <c r="O2244" s="35" t="str">
        <f aca="false">IF(OR($A2244="",$C2244="U",$S2244&lt;&gt;Calc!$F$2),"",SUMIFS($I$3:$I$3002,$E$3:$E$3002,$E2244,$C$3:$C$3002,"&lt;&gt;U",$S$3:$S$3002,Calc!$F$2))</f>
        <v/>
      </c>
      <c r="P2244" s="35" t="str">
        <f aca="false">IF(OR($A2244="",$C2244="U",$S2244&lt;&gt;Calc!$F$2),"",SUMIFS($N$3:$N$3002,$E$3:$E$3002,$E2244,$C$3:$C$3002,"&lt;&gt;U",$S$3:$S$3002,Calc!$F$2))</f>
        <v/>
      </c>
      <c r="Q2244" s="35" t="str">
        <f aca="false">IF(OR($A2244="",$C2244="U",$S2244&lt;&gt;Calc!$F$2),"",IF(COUNTIFS($E$3:$E2244,$E2244,$C$3:$C2244,"&lt;&gt;U",$S$3:$S2244,Calc!$F$2)=1,1,0))</f>
        <v/>
      </c>
      <c r="R2244" s="35" t="str">
        <f aca="false">IF($Q2244=1,$O2244-ROW()/100000,"")</f>
        <v/>
      </c>
      <c r="S2244" s="37" t="str">
        <f aca="false">IF($A2244="","",INT($A2244))</f>
        <v/>
      </c>
      <c r="T2244" s="35" t="str">
        <f aca="false">IF($A2244="","",IF(COUNTIFS($S$3:$S2244,$S2244)=1,1,0))</f>
        <v/>
      </c>
      <c r="U2244" s="37" t="str">
        <f aca="false">IF($T2244=1,$S2244,"")</f>
        <v/>
      </c>
    </row>
    <row r="2245" customFormat="false" ht="15" hidden="false" customHeight="false" outlineLevel="0" collapsed="false">
      <c r="M2245" s="35" t="str">
        <f aca="false">IF($A2245="","",HOUR($A2245))</f>
        <v/>
      </c>
      <c r="N2245" s="36" t="str">
        <f aca="false">IF($A2245="","",$I2245*$K2245)</f>
        <v/>
      </c>
      <c r="O2245" s="35" t="str">
        <f aca="false">IF(OR($A2245="",$C2245="U",$S2245&lt;&gt;Calc!$F$2),"",SUMIFS($I$3:$I$3002,$E$3:$E$3002,$E2245,$C$3:$C$3002,"&lt;&gt;U",$S$3:$S$3002,Calc!$F$2))</f>
        <v/>
      </c>
      <c r="P2245" s="35" t="str">
        <f aca="false">IF(OR($A2245="",$C2245="U",$S2245&lt;&gt;Calc!$F$2),"",SUMIFS($N$3:$N$3002,$E$3:$E$3002,$E2245,$C$3:$C$3002,"&lt;&gt;U",$S$3:$S$3002,Calc!$F$2))</f>
        <v/>
      </c>
      <c r="Q2245" s="35" t="str">
        <f aca="false">IF(OR($A2245="",$C2245="U",$S2245&lt;&gt;Calc!$F$2),"",IF(COUNTIFS($E$3:$E2245,$E2245,$C$3:$C2245,"&lt;&gt;U",$S$3:$S2245,Calc!$F$2)=1,1,0))</f>
        <v/>
      </c>
      <c r="R2245" s="35" t="str">
        <f aca="false">IF($Q2245=1,$O2245-ROW()/100000,"")</f>
        <v/>
      </c>
      <c r="S2245" s="37" t="str">
        <f aca="false">IF($A2245="","",INT($A2245))</f>
        <v/>
      </c>
      <c r="T2245" s="35" t="str">
        <f aca="false">IF($A2245="","",IF(COUNTIFS($S$3:$S2245,$S2245)=1,1,0))</f>
        <v/>
      </c>
      <c r="U2245" s="37" t="str">
        <f aca="false">IF($T2245=1,$S2245,"")</f>
        <v/>
      </c>
    </row>
    <row r="2246" customFormat="false" ht="15" hidden="false" customHeight="false" outlineLevel="0" collapsed="false">
      <c r="M2246" s="35" t="str">
        <f aca="false">IF($A2246="","",HOUR($A2246))</f>
        <v/>
      </c>
      <c r="N2246" s="36" t="str">
        <f aca="false">IF($A2246="","",$I2246*$K2246)</f>
        <v/>
      </c>
      <c r="O2246" s="35" t="str">
        <f aca="false">IF(OR($A2246="",$C2246="U",$S2246&lt;&gt;Calc!$F$2),"",SUMIFS($I$3:$I$3002,$E$3:$E$3002,$E2246,$C$3:$C$3002,"&lt;&gt;U",$S$3:$S$3002,Calc!$F$2))</f>
        <v/>
      </c>
      <c r="P2246" s="35" t="str">
        <f aca="false">IF(OR($A2246="",$C2246="U",$S2246&lt;&gt;Calc!$F$2),"",SUMIFS($N$3:$N$3002,$E$3:$E$3002,$E2246,$C$3:$C$3002,"&lt;&gt;U",$S$3:$S$3002,Calc!$F$2))</f>
        <v/>
      </c>
      <c r="Q2246" s="35" t="str">
        <f aca="false">IF(OR($A2246="",$C2246="U",$S2246&lt;&gt;Calc!$F$2),"",IF(COUNTIFS($E$3:$E2246,$E2246,$C$3:$C2246,"&lt;&gt;U",$S$3:$S2246,Calc!$F$2)=1,1,0))</f>
        <v/>
      </c>
      <c r="R2246" s="35" t="str">
        <f aca="false">IF($Q2246=1,$O2246-ROW()/100000,"")</f>
        <v/>
      </c>
      <c r="S2246" s="37" t="str">
        <f aca="false">IF($A2246="","",INT($A2246))</f>
        <v/>
      </c>
      <c r="T2246" s="35" t="str">
        <f aca="false">IF($A2246="","",IF(COUNTIFS($S$3:$S2246,$S2246)=1,1,0))</f>
        <v/>
      </c>
      <c r="U2246" s="37" t="str">
        <f aca="false">IF($T2246=1,$S2246,"")</f>
        <v/>
      </c>
    </row>
    <row r="2247" customFormat="false" ht="15" hidden="false" customHeight="false" outlineLevel="0" collapsed="false">
      <c r="M2247" s="35" t="str">
        <f aca="false">IF($A2247="","",HOUR($A2247))</f>
        <v/>
      </c>
      <c r="N2247" s="36" t="str">
        <f aca="false">IF($A2247="","",$I2247*$K2247)</f>
        <v/>
      </c>
      <c r="O2247" s="35" t="str">
        <f aca="false">IF(OR($A2247="",$C2247="U",$S2247&lt;&gt;Calc!$F$2),"",SUMIFS($I$3:$I$3002,$E$3:$E$3002,$E2247,$C$3:$C$3002,"&lt;&gt;U",$S$3:$S$3002,Calc!$F$2))</f>
        <v/>
      </c>
      <c r="P2247" s="35" t="str">
        <f aca="false">IF(OR($A2247="",$C2247="U",$S2247&lt;&gt;Calc!$F$2),"",SUMIFS($N$3:$N$3002,$E$3:$E$3002,$E2247,$C$3:$C$3002,"&lt;&gt;U",$S$3:$S$3002,Calc!$F$2))</f>
        <v/>
      </c>
      <c r="Q2247" s="35" t="str">
        <f aca="false">IF(OR($A2247="",$C2247="U",$S2247&lt;&gt;Calc!$F$2),"",IF(COUNTIFS($E$3:$E2247,$E2247,$C$3:$C2247,"&lt;&gt;U",$S$3:$S2247,Calc!$F$2)=1,1,0))</f>
        <v/>
      </c>
      <c r="R2247" s="35" t="str">
        <f aca="false">IF($Q2247=1,$O2247-ROW()/100000,"")</f>
        <v/>
      </c>
      <c r="S2247" s="37" t="str">
        <f aca="false">IF($A2247="","",INT($A2247))</f>
        <v/>
      </c>
      <c r="T2247" s="35" t="str">
        <f aca="false">IF($A2247="","",IF(COUNTIFS($S$3:$S2247,$S2247)=1,1,0))</f>
        <v/>
      </c>
      <c r="U2247" s="37" t="str">
        <f aca="false">IF($T2247=1,$S2247,"")</f>
        <v/>
      </c>
    </row>
    <row r="2248" customFormat="false" ht="15" hidden="false" customHeight="false" outlineLevel="0" collapsed="false">
      <c r="M2248" s="35" t="str">
        <f aca="false">IF($A2248="","",HOUR($A2248))</f>
        <v/>
      </c>
      <c r="N2248" s="36" t="str">
        <f aca="false">IF($A2248="","",$I2248*$K2248)</f>
        <v/>
      </c>
      <c r="O2248" s="35" t="str">
        <f aca="false">IF(OR($A2248="",$C2248="U",$S2248&lt;&gt;Calc!$F$2),"",SUMIFS($I$3:$I$3002,$E$3:$E$3002,$E2248,$C$3:$C$3002,"&lt;&gt;U",$S$3:$S$3002,Calc!$F$2))</f>
        <v/>
      </c>
      <c r="P2248" s="35" t="str">
        <f aca="false">IF(OR($A2248="",$C2248="U",$S2248&lt;&gt;Calc!$F$2),"",SUMIFS($N$3:$N$3002,$E$3:$E$3002,$E2248,$C$3:$C$3002,"&lt;&gt;U",$S$3:$S$3002,Calc!$F$2))</f>
        <v/>
      </c>
      <c r="Q2248" s="35" t="str">
        <f aca="false">IF(OR($A2248="",$C2248="U",$S2248&lt;&gt;Calc!$F$2),"",IF(COUNTIFS($E$3:$E2248,$E2248,$C$3:$C2248,"&lt;&gt;U",$S$3:$S2248,Calc!$F$2)=1,1,0))</f>
        <v/>
      </c>
      <c r="R2248" s="35" t="str">
        <f aca="false">IF($Q2248=1,$O2248-ROW()/100000,"")</f>
        <v/>
      </c>
      <c r="S2248" s="37" t="str">
        <f aca="false">IF($A2248="","",INT($A2248))</f>
        <v/>
      </c>
      <c r="T2248" s="35" t="str">
        <f aca="false">IF($A2248="","",IF(COUNTIFS($S$3:$S2248,$S2248)=1,1,0))</f>
        <v/>
      </c>
      <c r="U2248" s="37" t="str">
        <f aca="false">IF($T2248=1,$S2248,"")</f>
        <v/>
      </c>
    </row>
    <row r="2249" customFormat="false" ht="15" hidden="false" customHeight="false" outlineLevel="0" collapsed="false">
      <c r="M2249" s="35" t="str">
        <f aca="false">IF($A2249="","",HOUR($A2249))</f>
        <v/>
      </c>
      <c r="N2249" s="36" t="str">
        <f aca="false">IF($A2249="","",$I2249*$K2249)</f>
        <v/>
      </c>
      <c r="O2249" s="35" t="str">
        <f aca="false">IF(OR($A2249="",$C2249="U",$S2249&lt;&gt;Calc!$F$2),"",SUMIFS($I$3:$I$3002,$E$3:$E$3002,$E2249,$C$3:$C$3002,"&lt;&gt;U",$S$3:$S$3002,Calc!$F$2))</f>
        <v/>
      </c>
      <c r="P2249" s="35" t="str">
        <f aca="false">IF(OR($A2249="",$C2249="U",$S2249&lt;&gt;Calc!$F$2),"",SUMIFS($N$3:$N$3002,$E$3:$E$3002,$E2249,$C$3:$C$3002,"&lt;&gt;U",$S$3:$S$3002,Calc!$F$2))</f>
        <v/>
      </c>
      <c r="Q2249" s="35" t="str">
        <f aca="false">IF(OR($A2249="",$C2249="U",$S2249&lt;&gt;Calc!$F$2),"",IF(COUNTIFS($E$3:$E2249,$E2249,$C$3:$C2249,"&lt;&gt;U",$S$3:$S2249,Calc!$F$2)=1,1,0))</f>
        <v/>
      </c>
      <c r="R2249" s="35" t="str">
        <f aca="false">IF($Q2249=1,$O2249-ROW()/100000,"")</f>
        <v/>
      </c>
      <c r="S2249" s="37" t="str">
        <f aca="false">IF($A2249="","",INT($A2249))</f>
        <v/>
      </c>
      <c r="T2249" s="35" t="str">
        <f aca="false">IF($A2249="","",IF(COUNTIFS($S$3:$S2249,$S2249)=1,1,0))</f>
        <v/>
      </c>
      <c r="U2249" s="37" t="str">
        <f aca="false">IF($T2249=1,$S2249,"")</f>
        <v/>
      </c>
    </row>
    <row r="2250" customFormat="false" ht="15" hidden="false" customHeight="false" outlineLevel="0" collapsed="false">
      <c r="M2250" s="35" t="str">
        <f aca="false">IF($A2250="","",HOUR($A2250))</f>
        <v/>
      </c>
      <c r="N2250" s="36" t="str">
        <f aca="false">IF($A2250="","",$I2250*$K2250)</f>
        <v/>
      </c>
      <c r="O2250" s="35" t="str">
        <f aca="false">IF(OR($A2250="",$C2250="U",$S2250&lt;&gt;Calc!$F$2),"",SUMIFS($I$3:$I$3002,$E$3:$E$3002,$E2250,$C$3:$C$3002,"&lt;&gt;U",$S$3:$S$3002,Calc!$F$2))</f>
        <v/>
      </c>
      <c r="P2250" s="35" t="str">
        <f aca="false">IF(OR($A2250="",$C2250="U",$S2250&lt;&gt;Calc!$F$2),"",SUMIFS($N$3:$N$3002,$E$3:$E$3002,$E2250,$C$3:$C$3002,"&lt;&gt;U",$S$3:$S$3002,Calc!$F$2))</f>
        <v/>
      </c>
      <c r="Q2250" s="35" t="str">
        <f aca="false">IF(OR($A2250="",$C2250="U",$S2250&lt;&gt;Calc!$F$2),"",IF(COUNTIFS($E$3:$E2250,$E2250,$C$3:$C2250,"&lt;&gt;U",$S$3:$S2250,Calc!$F$2)=1,1,0))</f>
        <v/>
      </c>
      <c r="R2250" s="35" t="str">
        <f aca="false">IF($Q2250=1,$O2250-ROW()/100000,"")</f>
        <v/>
      </c>
      <c r="S2250" s="37" t="str">
        <f aca="false">IF($A2250="","",INT($A2250))</f>
        <v/>
      </c>
      <c r="T2250" s="35" t="str">
        <f aca="false">IF($A2250="","",IF(COUNTIFS($S$3:$S2250,$S2250)=1,1,0))</f>
        <v/>
      </c>
      <c r="U2250" s="37" t="str">
        <f aca="false">IF($T2250=1,$S2250,"")</f>
        <v/>
      </c>
    </row>
    <row r="2251" customFormat="false" ht="15" hidden="false" customHeight="false" outlineLevel="0" collapsed="false">
      <c r="M2251" s="35" t="str">
        <f aca="false">IF($A2251="","",HOUR($A2251))</f>
        <v/>
      </c>
      <c r="N2251" s="36" t="str">
        <f aca="false">IF($A2251="","",$I2251*$K2251)</f>
        <v/>
      </c>
      <c r="O2251" s="35" t="str">
        <f aca="false">IF(OR($A2251="",$C2251="U",$S2251&lt;&gt;Calc!$F$2),"",SUMIFS($I$3:$I$3002,$E$3:$E$3002,$E2251,$C$3:$C$3002,"&lt;&gt;U",$S$3:$S$3002,Calc!$F$2))</f>
        <v/>
      </c>
      <c r="P2251" s="35" t="str">
        <f aca="false">IF(OR($A2251="",$C2251="U",$S2251&lt;&gt;Calc!$F$2),"",SUMIFS($N$3:$N$3002,$E$3:$E$3002,$E2251,$C$3:$C$3002,"&lt;&gt;U",$S$3:$S$3002,Calc!$F$2))</f>
        <v/>
      </c>
      <c r="Q2251" s="35" t="str">
        <f aca="false">IF(OR($A2251="",$C2251="U",$S2251&lt;&gt;Calc!$F$2),"",IF(COUNTIFS($E$3:$E2251,$E2251,$C$3:$C2251,"&lt;&gt;U",$S$3:$S2251,Calc!$F$2)=1,1,0))</f>
        <v/>
      </c>
      <c r="R2251" s="35" t="str">
        <f aca="false">IF($Q2251=1,$O2251-ROW()/100000,"")</f>
        <v/>
      </c>
      <c r="S2251" s="37" t="str">
        <f aca="false">IF($A2251="","",INT($A2251))</f>
        <v/>
      </c>
      <c r="T2251" s="35" t="str">
        <f aca="false">IF($A2251="","",IF(COUNTIFS($S$3:$S2251,$S2251)=1,1,0))</f>
        <v/>
      </c>
      <c r="U2251" s="37" t="str">
        <f aca="false">IF($T2251=1,$S2251,"")</f>
        <v/>
      </c>
    </row>
    <row r="2252" customFormat="false" ht="15" hidden="false" customHeight="false" outlineLevel="0" collapsed="false">
      <c r="M2252" s="35" t="str">
        <f aca="false">IF($A2252="","",HOUR($A2252))</f>
        <v/>
      </c>
      <c r="N2252" s="36" t="str">
        <f aca="false">IF($A2252="","",$I2252*$K2252)</f>
        <v/>
      </c>
      <c r="O2252" s="35" t="str">
        <f aca="false">IF(OR($A2252="",$C2252="U",$S2252&lt;&gt;Calc!$F$2),"",SUMIFS($I$3:$I$3002,$E$3:$E$3002,$E2252,$C$3:$C$3002,"&lt;&gt;U",$S$3:$S$3002,Calc!$F$2))</f>
        <v/>
      </c>
      <c r="P2252" s="35" t="str">
        <f aca="false">IF(OR($A2252="",$C2252="U",$S2252&lt;&gt;Calc!$F$2),"",SUMIFS($N$3:$N$3002,$E$3:$E$3002,$E2252,$C$3:$C$3002,"&lt;&gt;U",$S$3:$S$3002,Calc!$F$2))</f>
        <v/>
      </c>
      <c r="Q2252" s="35" t="str">
        <f aca="false">IF(OR($A2252="",$C2252="U",$S2252&lt;&gt;Calc!$F$2),"",IF(COUNTIFS($E$3:$E2252,$E2252,$C$3:$C2252,"&lt;&gt;U",$S$3:$S2252,Calc!$F$2)=1,1,0))</f>
        <v/>
      </c>
      <c r="R2252" s="35" t="str">
        <f aca="false">IF($Q2252=1,$O2252-ROW()/100000,"")</f>
        <v/>
      </c>
      <c r="S2252" s="37" t="str">
        <f aca="false">IF($A2252="","",INT($A2252))</f>
        <v/>
      </c>
      <c r="T2252" s="35" t="str">
        <f aca="false">IF($A2252="","",IF(COUNTIFS($S$3:$S2252,$S2252)=1,1,0))</f>
        <v/>
      </c>
      <c r="U2252" s="37" t="str">
        <f aca="false">IF($T2252=1,$S2252,"")</f>
        <v/>
      </c>
    </row>
    <row r="2253" customFormat="false" ht="15" hidden="false" customHeight="false" outlineLevel="0" collapsed="false">
      <c r="M2253" s="35" t="str">
        <f aca="false">IF($A2253="","",HOUR($A2253))</f>
        <v/>
      </c>
      <c r="N2253" s="36" t="str">
        <f aca="false">IF($A2253="","",$I2253*$K2253)</f>
        <v/>
      </c>
      <c r="O2253" s="35" t="str">
        <f aca="false">IF(OR($A2253="",$C2253="U",$S2253&lt;&gt;Calc!$F$2),"",SUMIFS($I$3:$I$3002,$E$3:$E$3002,$E2253,$C$3:$C$3002,"&lt;&gt;U",$S$3:$S$3002,Calc!$F$2))</f>
        <v/>
      </c>
      <c r="P2253" s="35" t="str">
        <f aca="false">IF(OR($A2253="",$C2253="U",$S2253&lt;&gt;Calc!$F$2),"",SUMIFS($N$3:$N$3002,$E$3:$E$3002,$E2253,$C$3:$C$3002,"&lt;&gt;U",$S$3:$S$3002,Calc!$F$2))</f>
        <v/>
      </c>
      <c r="Q2253" s="35" t="str">
        <f aca="false">IF(OR($A2253="",$C2253="U",$S2253&lt;&gt;Calc!$F$2),"",IF(COUNTIFS($E$3:$E2253,$E2253,$C$3:$C2253,"&lt;&gt;U",$S$3:$S2253,Calc!$F$2)=1,1,0))</f>
        <v/>
      </c>
      <c r="R2253" s="35" t="str">
        <f aca="false">IF($Q2253=1,$O2253-ROW()/100000,"")</f>
        <v/>
      </c>
      <c r="S2253" s="37" t="str">
        <f aca="false">IF($A2253="","",INT($A2253))</f>
        <v/>
      </c>
      <c r="T2253" s="35" t="str">
        <f aca="false">IF($A2253="","",IF(COUNTIFS($S$3:$S2253,$S2253)=1,1,0))</f>
        <v/>
      </c>
      <c r="U2253" s="37" t="str">
        <f aca="false">IF($T2253=1,$S2253,"")</f>
        <v/>
      </c>
    </row>
    <row r="2254" customFormat="false" ht="15" hidden="false" customHeight="false" outlineLevel="0" collapsed="false">
      <c r="M2254" s="35" t="str">
        <f aca="false">IF($A2254="","",HOUR($A2254))</f>
        <v/>
      </c>
      <c r="N2254" s="36" t="str">
        <f aca="false">IF($A2254="","",$I2254*$K2254)</f>
        <v/>
      </c>
      <c r="O2254" s="35" t="str">
        <f aca="false">IF(OR($A2254="",$C2254="U",$S2254&lt;&gt;Calc!$F$2),"",SUMIFS($I$3:$I$3002,$E$3:$E$3002,$E2254,$C$3:$C$3002,"&lt;&gt;U",$S$3:$S$3002,Calc!$F$2))</f>
        <v/>
      </c>
      <c r="P2254" s="35" t="str">
        <f aca="false">IF(OR($A2254="",$C2254="U",$S2254&lt;&gt;Calc!$F$2),"",SUMIFS($N$3:$N$3002,$E$3:$E$3002,$E2254,$C$3:$C$3002,"&lt;&gt;U",$S$3:$S$3002,Calc!$F$2))</f>
        <v/>
      </c>
      <c r="Q2254" s="35" t="str">
        <f aca="false">IF(OR($A2254="",$C2254="U",$S2254&lt;&gt;Calc!$F$2),"",IF(COUNTIFS($E$3:$E2254,$E2254,$C$3:$C2254,"&lt;&gt;U",$S$3:$S2254,Calc!$F$2)=1,1,0))</f>
        <v/>
      </c>
      <c r="R2254" s="35" t="str">
        <f aca="false">IF($Q2254=1,$O2254-ROW()/100000,"")</f>
        <v/>
      </c>
      <c r="S2254" s="37" t="str">
        <f aca="false">IF($A2254="","",INT($A2254))</f>
        <v/>
      </c>
      <c r="T2254" s="35" t="str">
        <f aca="false">IF($A2254="","",IF(COUNTIFS($S$3:$S2254,$S2254)=1,1,0))</f>
        <v/>
      </c>
      <c r="U2254" s="37" t="str">
        <f aca="false">IF($T2254=1,$S2254,"")</f>
        <v/>
      </c>
    </row>
    <row r="2255" customFormat="false" ht="15" hidden="false" customHeight="false" outlineLevel="0" collapsed="false">
      <c r="M2255" s="35" t="str">
        <f aca="false">IF($A2255="","",HOUR($A2255))</f>
        <v/>
      </c>
      <c r="N2255" s="36" t="str">
        <f aca="false">IF($A2255="","",$I2255*$K2255)</f>
        <v/>
      </c>
      <c r="O2255" s="35" t="str">
        <f aca="false">IF(OR($A2255="",$C2255="U",$S2255&lt;&gt;Calc!$F$2),"",SUMIFS($I$3:$I$3002,$E$3:$E$3002,$E2255,$C$3:$C$3002,"&lt;&gt;U",$S$3:$S$3002,Calc!$F$2))</f>
        <v/>
      </c>
      <c r="P2255" s="35" t="str">
        <f aca="false">IF(OR($A2255="",$C2255="U",$S2255&lt;&gt;Calc!$F$2),"",SUMIFS($N$3:$N$3002,$E$3:$E$3002,$E2255,$C$3:$C$3002,"&lt;&gt;U",$S$3:$S$3002,Calc!$F$2))</f>
        <v/>
      </c>
      <c r="Q2255" s="35" t="str">
        <f aca="false">IF(OR($A2255="",$C2255="U",$S2255&lt;&gt;Calc!$F$2),"",IF(COUNTIFS($E$3:$E2255,$E2255,$C$3:$C2255,"&lt;&gt;U",$S$3:$S2255,Calc!$F$2)=1,1,0))</f>
        <v/>
      </c>
      <c r="R2255" s="35" t="str">
        <f aca="false">IF($Q2255=1,$O2255-ROW()/100000,"")</f>
        <v/>
      </c>
      <c r="S2255" s="37" t="str">
        <f aca="false">IF($A2255="","",INT($A2255))</f>
        <v/>
      </c>
      <c r="T2255" s="35" t="str">
        <f aca="false">IF($A2255="","",IF(COUNTIFS($S$3:$S2255,$S2255)=1,1,0))</f>
        <v/>
      </c>
      <c r="U2255" s="37" t="str">
        <f aca="false">IF($T2255=1,$S2255,"")</f>
        <v/>
      </c>
    </row>
    <row r="2256" customFormat="false" ht="15" hidden="false" customHeight="false" outlineLevel="0" collapsed="false">
      <c r="M2256" s="35" t="str">
        <f aca="false">IF($A2256="","",HOUR($A2256))</f>
        <v/>
      </c>
      <c r="N2256" s="36" t="str">
        <f aca="false">IF($A2256="","",$I2256*$K2256)</f>
        <v/>
      </c>
      <c r="O2256" s="35" t="str">
        <f aca="false">IF(OR($A2256="",$C2256="U",$S2256&lt;&gt;Calc!$F$2),"",SUMIFS($I$3:$I$3002,$E$3:$E$3002,$E2256,$C$3:$C$3002,"&lt;&gt;U",$S$3:$S$3002,Calc!$F$2))</f>
        <v/>
      </c>
      <c r="P2256" s="35" t="str">
        <f aca="false">IF(OR($A2256="",$C2256="U",$S2256&lt;&gt;Calc!$F$2),"",SUMIFS($N$3:$N$3002,$E$3:$E$3002,$E2256,$C$3:$C$3002,"&lt;&gt;U",$S$3:$S$3002,Calc!$F$2))</f>
        <v/>
      </c>
      <c r="Q2256" s="35" t="str">
        <f aca="false">IF(OR($A2256="",$C2256="U",$S2256&lt;&gt;Calc!$F$2),"",IF(COUNTIFS($E$3:$E2256,$E2256,$C$3:$C2256,"&lt;&gt;U",$S$3:$S2256,Calc!$F$2)=1,1,0))</f>
        <v/>
      </c>
      <c r="R2256" s="35" t="str">
        <f aca="false">IF($Q2256=1,$O2256-ROW()/100000,"")</f>
        <v/>
      </c>
      <c r="S2256" s="37" t="str">
        <f aca="false">IF($A2256="","",INT($A2256))</f>
        <v/>
      </c>
      <c r="T2256" s="35" t="str">
        <f aca="false">IF($A2256="","",IF(COUNTIFS($S$3:$S2256,$S2256)=1,1,0))</f>
        <v/>
      </c>
      <c r="U2256" s="37" t="str">
        <f aca="false">IF($T2256=1,$S2256,"")</f>
        <v/>
      </c>
    </row>
    <row r="2257" customFormat="false" ht="15" hidden="false" customHeight="false" outlineLevel="0" collapsed="false">
      <c r="M2257" s="35" t="str">
        <f aca="false">IF($A2257="","",HOUR($A2257))</f>
        <v/>
      </c>
      <c r="N2257" s="36" t="str">
        <f aca="false">IF($A2257="","",$I2257*$K2257)</f>
        <v/>
      </c>
      <c r="O2257" s="35" t="str">
        <f aca="false">IF(OR($A2257="",$C2257="U",$S2257&lt;&gt;Calc!$F$2),"",SUMIFS($I$3:$I$3002,$E$3:$E$3002,$E2257,$C$3:$C$3002,"&lt;&gt;U",$S$3:$S$3002,Calc!$F$2))</f>
        <v/>
      </c>
      <c r="P2257" s="35" t="str">
        <f aca="false">IF(OR($A2257="",$C2257="U",$S2257&lt;&gt;Calc!$F$2),"",SUMIFS($N$3:$N$3002,$E$3:$E$3002,$E2257,$C$3:$C$3002,"&lt;&gt;U",$S$3:$S$3002,Calc!$F$2))</f>
        <v/>
      </c>
      <c r="Q2257" s="35" t="str">
        <f aca="false">IF(OR($A2257="",$C2257="U",$S2257&lt;&gt;Calc!$F$2),"",IF(COUNTIFS($E$3:$E2257,$E2257,$C$3:$C2257,"&lt;&gt;U",$S$3:$S2257,Calc!$F$2)=1,1,0))</f>
        <v/>
      </c>
      <c r="R2257" s="35" t="str">
        <f aca="false">IF($Q2257=1,$O2257-ROW()/100000,"")</f>
        <v/>
      </c>
      <c r="S2257" s="37" t="str">
        <f aca="false">IF($A2257="","",INT($A2257))</f>
        <v/>
      </c>
      <c r="T2257" s="35" t="str">
        <f aca="false">IF($A2257="","",IF(COUNTIFS($S$3:$S2257,$S2257)=1,1,0))</f>
        <v/>
      </c>
      <c r="U2257" s="37" t="str">
        <f aca="false">IF($T2257=1,$S2257,"")</f>
        <v/>
      </c>
    </row>
    <row r="2258" customFormat="false" ht="15" hidden="false" customHeight="false" outlineLevel="0" collapsed="false">
      <c r="M2258" s="35" t="str">
        <f aca="false">IF($A2258="","",HOUR($A2258))</f>
        <v/>
      </c>
      <c r="N2258" s="36" t="str">
        <f aca="false">IF($A2258="","",$I2258*$K2258)</f>
        <v/>
      </c>
      <c r="O2258" s="35" t="str">
        <f aca="false">IF(OR($A2258="",$C2258="U",$S2258&lt;&gt;Calc!$F$2),"",SUMIFS($I$3:$I$3002,$E$3:$E$3002,$E2258,$C$3:$C$3002,"&lt;&gt;U",$S$3:$S$3002,Calc!$F$2))</f>
        <v/>
      </c>
      <c r="P2258" s="35" t="str">
        <f aca="false">IF(OR($A2258="",$C2258="U",$S2258&lt;&gt;Calc!$F$2),"",SUMIFS($N$3:$N$3002,$E$3:$E$3002,$E2258,$C$3:$C$3002,"&lt;&gt;U",$S$3:$S$3002,Calc!$F$2))</f>
        <v/>
      </c>
      <c r="Q2258" s="35" t="str">
        <f aca="false">IF(OR($A2258="",$C2258="U",$S2258&lt;&gt;Calc!$F$2),"",IF(COUNTIFS($E$3:$E2258,$E2258,$C$3:$C2258,"&lt;&gt;U",$S$3:$S2258,Calc!$F$2)=1,1,0))</f>
        <v/>
      </c>
      <c r="R2258" s="35" t="str">
        <f aca="false">IF($Q2258=1,$O2258-ROW()/100000,"")</f>
        <v/>
      </c>
      <c r="S2258" s="37" t="str">
        <f aca="false">IF($A2258="","",INT($A2258))</f>
        <v/>
      </c>
      <c r="T2258" s="35" t="str">
        <f aca="false">IF($A2258="","",IF(COUNTIFS($S$3:$S2258,$S2258)=1,1,0))</f>
        <v/>
      </c>
      <c r="U2258" s="37" t="str">
        <f aca="false">IF($T2258=1,$S2258,"")</f>
        <v/>
      </c>
    </row>
    <row r="2259" customFormat="false" ht="15" hidden="false" customHeight="false" outlineLevel="0" collapsed="false">
      <c r="M2259" s="35" t="str">
        <f aca="false">IF($A2259="","",HOUR($A2259))</f>
        <v/>
      </c>
      <c r="N2259" s="36" t="str">
        <f aca="false">IF($A2259="","",$I2259*$K2259)</f>
        <v/>
      </c>
      <c r="O2259" s="35" t="str">
        <f aca="false">IF(OR($A2259="",$C2259="U",$S2259&lt;&gt;Calc!$F$2),"",SUMIFS($I$3:$I$3002,$E$3:$E$3002,$E2259,$C$3:$C$3002,"&lt;&gt;U",$S$3:$S$3002,Calc!$F$2))</f>
        <v/>
      </c>
      <c r="P2259" s="35" t="str">
        <f aca="false">IF(OR($A2259="",$C2259="U",$S2259&lt;&gt;Calc!$F$2),"",SUMIFS($N$3:$N$3002,$E$3:$E$3002,$E2259,$C$3:$C$3002,"&lt;&gt;U",$S$3:$S$3002,Calc!$F$2))</f>
        <v/>
      </c>
      <c r="Q2259" s="35" t="str">
        <f aca="false">IF(OR($A2259="",$C2259="U",$S2259&lt;&gt;Calc!$F$2),"",IF(COUNTIFS($E$3:$E2259,$E2259,$C$3:$C2259,"&lt;&gt;U",$S$3:$S2259,Calc!$F$2)=1,1,0))</f>
        <v/>
      </c>
      <c r="R2259" s="35" t="str">
        <f aca="false">IF($Q2259=1,$O2259-ROW()/100000,"")</f>
        <v/>
      </c>
      <c r="S2259" s="37" t="str">
        <f aca="false">IF($A2259="","",INT($A2259))</f>
        <v/>
      </c>
      <c r="T2259" s="35" t="str">
        <f aca="false">IF($A2259="","",IF(COUNTIFS($S$3:$S2259,$S2259)=1,1,0))</f>
        <v/>
      </c>
      <c r="U2259" s="37" t="str">
        <f aca="false">IF($T2259=1,$S2259,"")</f>
        <v/>
      </c>
    </row>
    <row r="2260" customFormat="false" ht="15" hidden="false" customHeight="false" outlineLevel="0" collapsed="false">
      <c r="M2260" s="35" t="str">
        <f aca="false">IF($A2260="","",HOUR($A2260))</f>
        <v/>
      </c>
      <c r="N2260" s="36" t="str">
        <f aca="false">IF($A2260="","",$I2260*$K2260)</f>
        <v/>
      </c>
      <c r="O2260" s="35" t="str">
        <f aca="false">IF(OR($A2260="",$C2260="U",$S2260&lt;&gt;Calc!$F$2),"",SUMIFS($I$3:$I$3002,$E$3:$E$3002,$E2260,$C$3:$C$3002,"&lt;&gt;U",$S$3:$S$3002,Calc!$F$2))</f>
        <v/>
      </c>
      <c r="P2260" s="35" t="str">
        <f aca="false">IF(OR($A2260="",$C2260="U",$S2260&lt;&gt;Calc!$F$2),"",SUMIFS($N$3:$N$3002,$E$3:$E$3002,$E2260,$C$3:$C$3002,"&lt;&gt;U",$S$3:$S$3002,Calc!$F$2))</f>
        <v/>
      </c>
      <c r="Q2260" s="35" t="str">
        <f aca="false">IF(OR($A2260="",$C2260="U",$S2260&lt;&gt;Calc!$F$2),"",IF(COUNTIFS($E$3:$E2260,$E2260,$C$3:$C2260,"&lt;&gt;U",$S$3:$S2260,Calc!$F$2)=1,1,0))</f>
        <v/>
      </c>
      <c r="R2260" s="35" t="str">
        <f aca="false">IF($Q2260=1,$O2260-ROW()/100000,"")</f>
        <v/>
      </c>
      <c r="S2260" s="37" t="str">
        <f aca="false">IF($A2260="","",INT($A2260))</f>
        <v/>
      </c>
      <c r="T2260" s="35" t="str">
        <f aca="false">IF($A2260="","",IF(COUNTIFS($S$3:$S2260,$S2260)=1,1,0))</f>
        <v/>
      </c>
      <c r="U2260" s="37" t="str">
        <f aca="false">IF($T2260=1,$S2260,"")</f>
        <v/>
      </c>
    </row>
    <row r="2261" customFormat="false" ht="15" hidden="false" customHeight="false" outlineLevel="0" collapsed="false">
      <c r="M2261" s="35" t="str">
        <f aca="false">IF($A2261="","",HOUR($A2261))</f>
        <v/>
      </c>
      <c r="N2261" s="36" t="str">
        <f aca="false">IF($A2261="","",$I2261*$K2261)</f>
        <v/>
      </c>
      <c r="O2261" s="35" t="str">
        <f aca="false">IF(OR($A2261="",$C2261="U",$S2261&lt;&gt;Calc!$F$2),"",SUMIFS($I$3:$I$3002,$E$3:$E$3002,$E2261,$C$3:$C$3002,"&lt;&gt;U",$S$3:$S$3002,Calc!$F$2))</f>
        <v/>
      </c>
      <c r="P2261" s="35" t="str">
        <f aca="false">IF(OR($A2261="",$C2261="U",$S2261&lt;&gt;Calc!$F$2),"",SUMIFS($N$3:$N$3002,$E$3:$E$3002,$E2261,$C$3:$C$3002,"&lt;&gt;U",$S$3:$S$3002,Calc!$F$2))</f>
        <v/>
      </c>
      <c r="Q2261" s="35" t="str">
        <f aca="false">IF(OR($A2261="",$C2261="U",$S2261&lt;&gt;Calc!$F$2),"",IF(COUNTIFS($E$3:$E2261,$E2261,$C$3:$C2261,"&lt;&gt;U",$S$3:$S2261,Calc!$F$2)=1,1,0))</f>
        <v/>
      </c>
      <c r="R2261" s="35" t="str">
        <f aca="false">IF($Q2261=1,$O2261-ROW()/100000,"")</f>
        <v/>
      </c>
      <c r="S2261" s="37" t="str">
        <f aca="false">IF($A2261="","",INT($A2261))</f>
        <v/>
      </c>
      <c r="T2261" s="35" t="str">
        <f aca="false">IF($A2261="","",IF(COUNTIFS($S$3:$S2261,$S2261)=1,1,0))</f>
        <v/>
      </c>
      <c r="U2261" s="37" t="str">
        <f aca="false">IF($T2261=1,$S2261,"")</f>
        <v/>
      </c>
    </row>
    <row r="2262" customFormat="false" ht="15" hidden="false" customHeight="false" outlineLevel="0" collapsed="false">
      <c r="M2262" s="35" t="str">
        <f aca="false">IF($A2262="","",HOUR($A2262))</f>
        <v/>
      </c>
      <c r="N2262" s="36" t="str">
        <f aca="false">IF($A2262="","",$I2262*$K2262)</f>
        <v/>
      </c>
      <c r="O2262" s="35" t="str">
        <f aca="false">IF(OR($A2262="",$C2262="U",$S2262&lt;&gt;Calc!$F$2),"",SUMIFS($I$3:$I$3002,$E$3:$E$3002,$E2262,$C$3:$C$3002,"&lt;&gt;U",$S$3:$S$3002,Calc!$F$2))</f>
        <v/>
      </c>
      <c r="P2262" s="35" t="str">
        <f aca="false">IF(OR($A2262="",$C2262="U",$S2262&lt;&gt;Calc!$F$2),"",SUMIFS($N$3:$N$3002,$E$3:$E$3002,$E2262,$C$3:$C$3002,"&lt;&gt;U",$S$3:$S$3002,Calc!$F$2))</f>
        <v/>
      </c>
      <c r="Q2262" s="35" t="str">
        <f aca="false">IF(OR($A2262="",$C2262="U",$S2262&lt;&gt;Calc!$F$2),"",IF(COUNTIFS($E$3:$E2262,$E2262,$C$3:$C2262,"&lt;&gt;U",$S$3:$S2262,Calc!$F$2)=1,1,0))</f>
        <v/>
      </c>
      <c r="R2262" s="35" t="str">
        <f aca="false">IF($Q2262=1,$O2262-ROW()/100000,"")</f>
        <v/>
      </c>
      <c r="S2262" s="37" t="str">
        <f aca="false">IF($A2262="","",INT($A2262))</f>
        <v/>
      </c>
      <c r="T2262" s="35" t="str">
        <f aca="false">IF($A2262="","",IF(COUNTIFS($S$3:$S2262,$S2262)=1,1,0))</f>
        <v/>
      </c>
      <c r="U2262" s="37" t="str">
        <f aca="false">IF($T2262=1,$S2262,"")</f>
        <v/>
      </c>
    </row>
    <row r="2263" customFormat="false" ht="15" hidden="false" customHeight="false" outlineLevel="0" collapsed="false">
      <c r="M2263" s="35" t="str">
        <f aca="false">IF($A2263="","",HOUR($A2263))</f>
        <v/>
      </c>
      <c r="N2263" s="36" t="str">
        <f aca="false">IF($A2263="","",$I2263*$K2263)</f>
        <v/>
      </c>
      <c r="O2263" s="35" t="str">
        <f aca="false">IF(OR($A2263="",$C2263="U",$S2263&lt;&gt;Calc!$F$2),"",SUMIFS($I$3:$I$3002,$E$3:$E$3002,$E2263,$C$3:$C$3002,"&lt;&gt;U",$S$3:$S$3002,Calc!$F$2))</f>
        <v/>
      </c>
      <c r="P2263" s="35" t="str">
        <f aca="false">IF(OR($A2263="",$C2263="U",$S2263&lt;&gt;Calc!$F$2),"",SUMIFS($N$3:$N$3002,$E$3:$E$3002,$E2263,$C$3:$C$3002,"&lt;&gt;U",$S$3:$S$3002,Calc!$F$2))</f>
        <v/>
      </c>
      <c r="Q2263" s="35" t="str">
        <f aca="false">IF(OR($A2263="",$C2263="U",$S2263&lt;&gt;Calc!$F$2),"",IF(COUNTIFS($E$3:$E2263,$E2263,$C$3:$C2263,"&lt;&gt;U",$S$3:$S2263,Calc!$F$2)=1,1,0))</f>
        <v/>
      </c>
      <c r="R2263" s="35" t="str">
        <f aca="false">IF($Q2263=1,$O2263-ROW()/100000,"")</f>
        <v/>
      </c>
      <c r="S2263" s="37" t="str">
        <f aca="false">IF($A2263="","",INT($A2263))</f>
        <v/>
      </c>
      <c r="T2263" s="35" t="str">
        <f aca="false">IF($A2263="","",IF(COUNTIFS($S$3:$S2263,$S2263)=1,1,0))</f>
        <v/>
      </c>
      <c r="U2263" s="37" t="str">
        <f aca="false">IF($T2263=1,$S2263,"")</f>
        <v/>
      </c>
    </row>
    <row r="2264" customFormat="false" ht="15" hidden="false" customHeight="false" outlineLevel="0" collapsed="false">
      <c r="M2264" s="35" t="str">
        <f aca="false">IF($A2264="","",HOUR($A2264))</f>
        <v/>
      </c>
      <c r="N2264" s="36" t="str">
        <f aca="false">IF($A2264="","",$I2264*$K2264)</f>
        <v/>
      </c>
      <c r="O2264" s="35" t="str">
        <f aca="false">IF(OR($A2264="",$C2264="U",$S2264&lt;&gt;Calc!$F$2),"",SUMIFS($I$3:$I$3002,$E$3:$E$3002,$E2264,$C$3:$C$3002,"&lt;&gt;U",$S$3:$S$3002,Calc!$F$2))</f>
        <v/>
      </c>
      <c r="P2264" s="35" t="str">
        <f aca="false">IF(OR($A2264="",$C2264="U",$S2264&lt;&gt;Calc!$F$2),"",SUMIFS($N$3:$N$3002,$E$3:$E$3002,$E2264,$C$3:$C$3002,"&lt;&gt;U",$S$3:$S$3002,Calc!$F$2))</f>
        <v/>
      </c>
      <c r="Q2264" s="35" t="str">
        <f aca="false">IF(OR($A2264="",$C2264="U",$S2264&lt;&gt;Calc!$F$2),"",IF(COUNTIFS($E$3:$E2264,$E2264,$C$3:$C2264,"&lt;&gt;U",$S$3:$S2264,Calc!$F$2)=1,1,0))</f>
        <v/>
      </c>
      <c r="R2264" s="35" t="str">
        <f aca="false">IF($Q2264=1,$O2264-ROW()/100000,"")</f>
        <v/>
      </c>
      <c r="S2264" s="37" t="str">
        <f aca="false">IF($A2264="","",INT($A2264))</f>
        <v/>
      </c>
      <c r="T2264" s="35" t="str">
        <f aca="false">IF($A2264="","",IF(COUNTIFS($S$3:$S2264,$S2264)=1,1,0))</f>
        <v/>
      </c>
      <c r="U2264" s="37" t="str">
        <f aca="false">IF($T2264=1,$S2264,"")</f>
        <v/>
      </c>
    </row>
    <row r="2265" customFormat="false" ht="15" hidden="false" customHeight="false" outlineLevel="0" collapsed="false">
      <c r="M2265" s="35" t="str">
        <f aca="false">IF($A2265="","",HOUR($A2265))</f>
        <v/>
      </c>
      <c r="N2265" s="36" t="str">
        <f aca="false">IF($A2265="","",$I2265*$K2265)</f>
        <v/>
      </c>
      <c r="O2265" s="35" t="str">
        <f aca="false">IF(OR($A2265="",$C2265="U",$S2265&lt;&gt;Calc!$F$2),"",SUMIFS($I$3:$I$3002,$E$3:$E$3002,$E2265,$C$3:$C$3002,"&lt;&gt;U",$S$3:$S$3002,Calc!$F$2))</f>
        <v/>
      </c>
      <c r="P2265" s="35" t="str">
        <f aca="false">IF(OR($A2265="",$C2265="U",$S2265&lt;&gt;Calc!$F$2),"",SUMIFS($N$3:$N$3002,$E$3:$E$3002,$E2265,$C$3:$C$3002,"&lt;&gt;U",$S$3:$S$3002,Calc!$F$2))</f>
        <v/>
      </c>
      <c r="Q2265" s="35" t="str">
        <f aca="false">IF(OR($A2265="",$C2265="U",$S2265&lt;&gt;Calc!$F$2),"",IF(COUNTIFS($E$3:$E2265,$E2265,$C$3:$C2265,"&lt;&gt;U",$S$3:$S2265,Calc!$F$2)=1,1,0))</f>
        <v/>
      </c>
      <c r="R2265" s="35" t="str">
        <f aca="false">IF($Q2265=1,$O2265-ROW()/100000,"")</f>
        <v/>
      </c>
      <c r="S2265" s="37" t="str">
        <f aca="false">IF($A2265="","",INT($A2265))</f>
        <v/>
      </c>
      <c r="T2265" s="35" t="str">
        <f aca="false">IF($A2265="","",IF(COUNTIFS($S$3:$S2265,$S2265)=1,1,0))</f>
        <v/>
      </c>
      <c r="U2265" s="37" t="str">
        <f aca="false">IF($T2265=1,$S2265,"")</f>
        <v/>
      </c>
    </row>
    <row r="2266" customFormat="false" ht="15" hidden="false" customHeight="false" outlineLevel="0" collapsed="false">
      <c r="M2266" s="35" t="str">
        <f aca="false">IF($A2266="","",HOUR($A2266))</f>
        <v/>
      </c>
      <c r="N2266" s="36" t="str">
        <f aca="false">IF($A2266="","",$I2266*$K2266)</f>
        <v/>
      </c>
      <c r="O2266" s="35" t="str">
        <f aca="false">IF(OR($A2266="",$C2266="U",$S2266&lt;&gt;Calc!$F$2),"",SUMIFS($I$3:$I$3002,$E$3:$E$3002,$E2266,$C$3:$C$3002,"&lt;&gt;U",$S$3:$S$3002,Calc!$F$2))</f>
        <v/>
      </c>
      <c r="P2266" s="35" t="str">
        <f aca="false">IF(OR($A2266="",$C2266="U",$S2266&lt;&gt;Calc!$F$2),"",SUMIFS($N$3:$N$3002,$E$3:$E$3002,$E2266,$C$3:$C$3002,"&lt;&gt;U",$S$3:$S$3002,Calc!$F$2))</f>
        <v/>
      </c>
      <c r="Q2266" s="35" t="str">
        <f aca="false">IF(OR($A2266="",$C2266="U",$S2266&lt;&gt;Calc!$F$2),"",IF(COUNTIFS($E$3:$E2266,$E2266,$C$3:$C2266,"&lt;&gt;U",$S$3:$S2266,Calc!$F$2)=1,1,0))</f>
        <v/>
      </c>
      <c r="R2266" s="35" t="str">
        <f aca="false">IF($Q2266=1,$O2266-ROW()/100000,"")</f>
        <v/>
      </c>
      <c r="S2266" s="37" t="str">
        <f aca="false">IF($A2266="","",INT($A2266))</f>
        <v/>
      </c>
      <c r="T2266" s="35" t="str">
        <f aca="false">IF($A2266="","",IF(COUNTIFS($S$3:$S2266,$S2266)=1,1,0))</f>
        <v/>
      </c>
      <c r="U2266" s="37" t="str">
        <f aca="false">IF($T2266=1,$S2266,"")</f>
        <v/>
      </c>
    </row>
    <row r="2267" customFormat="false" ht="15" hidden="false" customHeight="false" outlineLevel="0" collapsed="false">
      <c r="M2267" s="35" t="str">
        <f aca="false">IF($A2267="","",HOUR($A2267))</f>
        <v/>
      </c>
      <c r="N2267" s="36" t="str">
        <f aca="false">IF($A2267="","",$I2267*$K2267)</f>
        <v/>
      </c>
      <c r="O2267" s="35" t="str">
        <f aca="false">IF(OR($A2267="",$C2267="U",$S2267&lt;&gt;Calc!$F$2),"",SUMIFS($I$3:$I$3002,$E$3:$E$3002,$E2267,$C$3:$C$3002,"&lt;&gt;U",$S$3:$S$3002,Calc!$F$2))</f>
        <v/>
      </c>
      <c r="P2267" s="35" t="str">
        <f aca="false">IF(OR($A2267="",$C2267="U",$S2267&lt;&gt;Calc!$F$2),"",SUMIFS($N$3:$N$3002,$E$3:$E$3002,$E2267,$C$3:$C$3002,"&lt;&gt;U",$S$3:$S$3002,Calc!$F$2))</f>
        <v/>
      </c>
      <c r="Q2267" s="35" t="str">
        <f aca="false">IF(OR($A2267="",$C2267="U",$S2267&lt;&gt;Calc!$F$2),"",IF(COUNTIFS($E$3:$E2267,$E2267,$C$3:$C2267,"&lt;&gt;U",$S$3:$S2267,Calc!$F$2)=1,1,0))</f>
        <v/>
      </c>
      <c r="R2267" s="35" t="str">
        <f aca="false">IF($Q2267=1,$O2267-ROW()/100000,"")</f>
        <v/>
      </c>
      <c r="S2267" s="37" t="str">
        <f aca="false">IF($A2267="","",INT($A2267))</f>
        <v/>
      </c>
      <c r="T2267" s="35" t="str">
        <f aca="false">IF($A2267="","",IF(COUNTIFS($S$3:$S2267,$S2267)=1,1,0))</f>
        <v/>
      </c>
      <c r="U2267" s="37" t="str">
        <f aca="false">IF($T2267=1,$S2267,"")</f>
        <v/>
      </c>
    </row>
    <row r="2268" customFormat="false" ht="15" hidden="false" customHeight="false" outlineLevel="0" collapsed="false">
      <c r="M2268" s="35" t="str">
        <f aca="false">IF($A2268="","",HOUR($A2268))</f>
        <v/>
      </c>
      <c r="N2268" s="36" t="str">
        <f aca="false">IF($A2268="","",$I2268*$K2268)</f>
        <v/>
      </c>
      <c r="O2268" s="35" t="str">
        <f aca="false">IF(OR($A2268="",$C2268="U",$S2268&lt;&gt;Calc!$F$2),"",SUMIFS($I$3:$I$3002,$E$3:$E$3002,$E2268,$C$3:$C$3002,"&lt;&gt;U",$S$3:$S$3002,Calc!$F$2))</f>
        <v/>
      </c>
      <c r="P2268" s="35" t="str">
        <f aca="false">IF(OR($A2268="",$C2268="U",$S2268&lt;&gt;Calc!$F$2),"",SUMIFS($N$3:$N$3002,$E$3:$E$3002,$E2268,$C$3:$C$3002,"&lt;&gt;U",$S$3:$S$3002,Calc!$F$2))</f>
        <v/>
      </c>
      <c r="Q2268" s="35" t="str">
        <f aca="false">IF(OR($A2268="",$C2268="U",$S2268&lt;&gt;Calc!$F$2),"",IF(COUNTIFS($E$3:$E2268,$E2268,$C$3:$C2268,"&lt;&gt;U",$S$3:$S2268,Calc!$F$2)=1,1,0))</f>
        <v/>
      </c>
      <c r="R2268" s="35" t="str">
        <f aca="false">IF($Q2268=1,$O2268-ROW()/100000,"")</f>
        <v/>
      </c>
      <c r="S2268" s="37" t="str">
        <f aca="false">IF($A2268="","",INT($A2268))</f>
        <v/>
      </c>
      <c r="T2268" s="35" t="str">
        <f aca="false">IF($A2268="","",IF(COUNTIFS($S$3:$S2268,$S2268)=1,1,0))</f>
        <v/>
      </c>
      <c r="U2268" s="37" t="str">
        <f aca="false">IF($T2268=1,$S2268,"")</f>
        <v/>
      </c>
    </row>
    <row r="2269" customFormat="false" ht="15" hidden="false" customHeight="false" outlineLevel="0" collapsed="false">
      <c r="M2269" s="35" t="str">
        <f aca="false">IF($A2269="","",HOUR($A2269))</f>
        <v/>
      </c>
      <c r="N2269" s="36" t="str">
        <f aca="false">IF($A2269="","",$I2269*$K2269)</f>
        <v/>
      </c>
      <c r="O2269" s="35" t="str">
        <f aca="false">IF(OR($A2269="",$C2269="U",$S2269&lt;&gt;Calc!$F$2),"",SUMIFS($I$3:$I$3002,$E$3:$E$3002,$E2269,$C$3:$C$3002,"&lt;&gt;U",$S$3:$S$3002,Calc!$F$2))</f>
        <v/>
      </c>
      <c r="P2269" s="35" t="str">
        <f aca="false">IF(OR($A2269="",$C2269="U",$S2269&lt;&gt;Calc!$F$2),"",SUMIFS($N$3:$N$3002,$E$3:$E$3002,$E2269,$C$3:$C$3002,"&lt;&gt;U",$S$3:$S$3002,Calc!$F$2))</f>
        <v/>
      </c>
      <c r="Q2269" s="35" t="str">
        <f aca="false">IF(OR($A2269="",$C2269="U",$S2269&lt;&gt;Calc!$F$2),"",IF(COUNTIFS($E$3:$E2269,$E2269,$C$3:$C2269,"&lt;&gt;U",$S$3:$S2269,Calc!$F$2)=1,1,0))</f>
        <v/>
      </c>
      <c r="R2269" s="35" t="str">
        <f aca="false">IF($Q2269=1,$O2269-ROW()/100000,"")</f>
        <v/>
      </c>
      <c r="S2269" s="37" t="str">
        <f aca="false">IF($A2269="","",INT($A2269))</f>
        <v/>
      </c>
      <c r="T2269" s="35" t="str">
        <f aca="false">IF($A2269="","",IF(COUNTIFS($S$3:$S2269,$S2269)=1,1,0))</f>
        <v/>
      </c>
      <c r="U2269" s="37" t="str">
        <f aca="false">IF($T2269=1,$S2269,"")</f>
        <v/>
      </c>
    </row>
    <row r="2270" customFormat="false" ht="15" hidden="false" customHeight="false" outlineLevel="0" collapsed="false">
      <c r="M2270" s="35" t="str">
        <f aca="false">IF($A2270="","",HOUR($A2270))</f>
        <v/>
      </c>
      <c r="N2270" s="36" t="str">
        <f aca="false">IF($A2270="","",$I2270*$K2270)</f>
        <v/>
      </c>
      <c r="O2270" s="35" t="str">
        <f aca="false">IF(OR($A2270="",$C2270="U",$S2270&lt;&gt;Calc!$F$2),"",SUMIFS($I$3:$I$3002,$E$3:$E$3002,$E2270,$C$3:$C$3002,"&lt;&gt;U",$S$3:$S$3002,Calc!$F$2))</f>
        <v/>
      </c>
      <c r="P2270" s="35" t="str">
        <f aca="false">IF(OR($A2270="",$C2270="U",$S2270&lt;&gt;Calc!$F$2),"",SUMIFS($N$3:$N$3002,$E$3:$E$3002,$E2270,$C$3:$C$3002,"&lt;&gt;U",$S$3:$S$3002,Calc!$F$2))</f>
        <v/>
      </c>
      <c r="Q2270" s="35" t="str">
        <f aca="false">IF(OR($A2270="",$C2270="U",$S2270&lt;&gt;Calc!$F$2),"",IF(COUNTIFS($E$3:$E2270,$E2270,$C$3:$C2270,"&lt;&gt;U",$S$3:$S2270,Calc!$F$2)=1,1,0))</f>
        <v/>
      </c>
      <c r="R2270" s="35" t="str">
        <f aca="false">IF($Q2270=1,$O2270-ROW()/100000,"")</f>
        <v/>
      </c>
      <c r="S2270" s="37" t="str">
        <f aca="false">IF($A2270="","",INT($A2270))</f>
        <v/>
      </c>
      <c r="T2270" s="35" t="str">
        <f aca="false">IF($A2270="","",IF(COUNTIFS($S$3:$S2270,$S2270)=1,1,0))</f>
        <v/>
      </c>
      <c r="U2270" s="37" t="str">
        <f aca="false">IF($T2270=1,$S2270,"")</f>
        <v/>
      </c>
    </row>
    <row r="2271" customFormat="false" ht="15" hidden="false" customHeight="false" outlineLevel="0" collapsed="false">
      <c r="M2271" s="35" t="str">
        <f aca="false">IF($A2271="","",HOUR($A2271))</f>
        <v/>
      </c>
      <c r="N2271" s="36" t="str">
        <f aca="false">IF($A2271="","",$I2271*$K2271)</f>
        <v/>
      </c>
      <c r="O2271" s="35" t="str">
        <f aca="false">IF(OR($A2271="",$C2271="U",$S2271&lt;&gt;Calc!$F$2),"",SUMIFS($I$3:$I$3002,$E$3:$E$3002,$E2271,$C$3:$C$3002,"&lt;&gt;U",$S$3:$S$3002,Calc!$F$2))</f>
        <v/>
      </c>
      <c r="P2271" s="35" t="str">
        <f aca="false">IF(OR($A2271="",$C2271="U",$S2271&lt;&gt;Calc!$F$2),"",SUMIFS($N$3:$N$3002,$E$3:$E$3002,$E2271,$C$3:$C$3002,"&lt;&gt;U",$S$3:$S$3002,Calc!$F$2))</f>
        <v/>
      </c>
      <c r="Q2271" s="35" t="str">
        <f aca="false">IF(OR($A2271="",$C2271="U",$S2271&lt;&gt;Calc!$F$2),"",IF(COUNTIFS($E$3:$E2271,$E2271,$C$3:$C2271,"&lt;&gt;U",$S$3:$S2271,Calc!$F$2)=1,1,0))</f>
        <v/>
      </c>
      <c r="R2271" s="35" t="str">
        <f aca="false">IF($Q2271=1,$O2271-ROW()/100000,"")</f>
        <v/>
      </c>
      <c r="S2271" s="37" t="str">
        <f aca="false">IF($A2271="","",INT($A2271))</f>
        <v/>
      </c>
      <c r="T2271" s="35" t="str">
        <f aca="false">IF($A2271="","",IF(COUNTIFS($S$3:$S2271,$S2271)=1,1,0))</f>
        <v/>
      </c>
      <c r="U2271" s="37" t="str">
        <f aca="false">IF($T2271=1,$S2271,"")</f>
        <v/>
      </c>
    </row>
    <row r="2272" customFormat="false" ht="15" hidden="false" customHeight="false" outlineLevel="0" collapsed="false">
      <c r="M2272" s="35" t="str">
        <f aca="false">IF($A2272="","",HOUR($A2272))</f>
        <v/>
      </c>
      <c r="N2272" s="36" t="str">
        <f aca="false">IF($A2272="","",$I2272*$K2272)</f>
        <v/>
      </c>
      <c r="O2272" s="35" t="str">
        <f aca="false">IF(OR($A2272="",$C2272="U",$S2272&lt;&gt;Calc!$F$2),"",SUMIFS($I$3:$I$3002,$E$3:$E$3002,$E2272,$C$3:$C$3002,"&lt;&gt;U",$S$3:$S$3002,Calc!$F$2))</f>
        <v/>
      </c>
      <c r="P2272" s="35" t="str">
        <f aca="false">IF(OR($A2272="",$C2272="U",$S2272&lt;&gt;Calc!$F$2),"",SUMIFS($N$3:$N$3002,$E$3:$E$3002,$E2272,$C$3:$C$3002,"&lt;&gt;U",$S$3:$S$3002,Calc!$F$2))</f>
        <v/>
      </c>
      <c r="Q2272" s="35" t="str">
        <f aca="false">IF(OR($A2272="",$C2272="U",$S2272&lt;&gt;Calc!$F$2),"",IF(COUNTIFS($E$3:$E2272,$E2272,$C$3:$C2272,"&lt;&gt;U",$S$3:$S2272,Calc!$F$2)=1,1,0))</f>
        <v/>
      </c>
      <c r="R2272" s="35" t="str">
        <f aca="false">IF($Q2272=1,$O2272-ROW()/100000,"")</f>
        <v/>
      </c>
      <c r="S2272" s="37" t="str">
        <f aca="false">IF($A2272="","",INT($A2272))</f>
        <v/>
      </c>
      <c r="T2272" s="35" t="str">
        <f aca="false">IF($A2272="","",IF(COUNTIFS($S$3:$S2272,$S2272)=1,1,0))</f>
        <v/>
      </c>
      <c r="U2272" s="37" t="str">
        <f aca="false">IF($T2272=1,$S2272,"")</f>
        <v/>
      </c>
    </row>
    <row r="2273" customFormat="false" ht="15" hidden="false" customHeight="false" outlineLevel="0" collapsed="false">
      <c r="M2273" s="35" t="str">
        <f aca="false">IF($A2273="","",HOUR($A2273))</f>
        <v/>
      </c>
      <c r="N2273" s="36" t="str">
        <f aca="false">IF($A2273="","",$I2273*$K2273)</f>
        <v/>
      </c>
      <c r="O2273" s="35" t="str">
        <f aca="false">IF(OR($A2273="",$C2273="U",$S2273&lt;&gt;Calc!$F$2),"",SUMIFS($I$3:$I$3002,$E$3:$E$3002,$E2273,$C$3:$C$3002,"&lt;&gt;U",$S$3:$S$3002,Calc!$F$2))</f>
        <v/>
      </c>
      <c r="P2273" s="35" t="str">
        <f aca="false">IF(OR($A2273="",$C2273="U",$S2273&lt;&gt;Calc!$F$2),"",SUMIFS($N$3:$N$3002,$E$3:$E$3002,$E2273,$C$3:$C$3002,"&lt;&gt;U",$S$3:$S$3002,Calc!$F$2))</f>
        <v/>
      </c>
      <c r="Q2273" s="35" t="str">
        <f aca="false">IF(OR($A2273="",$C2273="U",$S2273&lt;&gt;Calc!$F$2),"",IF(COUNTIFS($E$3:$E2273,$E2273,$C$3:$C2273,"&lt;&gt;U",$S$3:$S2273,Calc!$F$2)=1,1,0))</f>
        <v/>
      </c>
      <c r="R2273" s="35" t="str">
        <f aca="false">IF($Q2273=1,$O2273-ROW()/100000,"")</f>
        <v/>
      </c>
      <c r="S2273" s="37" t="str">
        <f aca="false">IF($A2273="","",INT($A2273))</f>
        <v/>
      </c>
      <c r="T2273" s="35" t="str">
        <f aca="false">IF($A2273="","",IF(COUNTIFS($S$3:$S2273,$S2273)=1,1,0))</f>
        <v/>
      </c>
      <c r="U2273" s="37" t="str">
        <f aca="false">IF($T2273=1,$S2273,"")</f>
        <v/>
      </c>
    </row>
    <row r="2274" customFormat="false" ht="15" hidden="false" customHeight="false" outlineLevel="0" collapsed="false">
      <c r="M2274" s="35" t="str">
        <f aca="false">IF($A2274="","",HOUR($A2274))</f>
        <v/>
      </c>
      <c r="N2274" s="36" t="str">
        <f aca="false">IF($A2274="","",$I2274*$K2274)</f>
        <v/>
      </c>
      <c r="O2274" s="35" t="str">
        <f aca="false">IF(OR($A2274="",$C2274="U",$S2274&lt;&gt;Calc!$F$2),"",SUMIFS($I$3:$I$3002,$E$3:$E$3002,$E2274,$C$3:$C$3002,"&lt;&gt;U",$S$3:$S$3002,Calc!$F$2))</f>
        <v/>
      </c>
      <c r="P2274" s="35" t="str">
        <f aca="false">IF(OR($A2274="",$C2274="U",$S2274&lt;&gt;Calc!$F$2),"",SUMIFS($N$3:$N$3002,$E$3:$E$3002,$E2274,$C$3:$C$3002,"&lt;&gt;U",$S$3:$S$3002,Calc!$F$2))</f>
        <v/>
      </c>
      <c r="Q2274" s="35" t="str">
        <f aca="false">IF(OR($A2274="",$C2274="U",$S2274&lt;&gt;Calc!$F$2),"",IF(COUNTIFS($E$3:$E2274,$E2274,$C$3:$C2274,"&lt;&gt;U",$S$3:$S2274,Calc!$F$2)=1,1,0))</f>
        <v/>
      </c>
      <c r="R2274" s="35" t="str">
        <f aca="false">IF($Q2274=1,$O2274-ROW()/100000,"")</f>
        <v/>
      </c>
      <c r="S2274" s="37" t="str">
        <f aca="false">IF($A2274="","",INT($A2274))</f>
        <v/>
      </c>
      <c r="T2274" s="35" t="str">
        <f aca="false">IF($A2274="","",IF(COUNTIFS($S$3:$S2274,$S2274)=1,1,0))</f>
        <v/>
      </c>
      <c r="U2274" s="37" t="str">
        <f aca="false">IF($T2274=1,$S2274,"")</f>
        <v/>
      </c>
    </row>
    <row r="2275" customFormat="false" ht="15" hidden="false" customHeight="false" outlineLevel="0" collapsed="false">
      <c r="M2275" s="35" t="str">
        <f aca="false">IF($A2275="","",HOUR($A2275))</f>
        <v/>
      </c>
      <c r="N2275" s="36" t="str">
        <f aca="false">IF($A2275="","",$I2275*$K2275)</f>
        <v/>
      </c>
      <c r="O2275" s="35" t="str">
        <f aca="false">IF(OR($A2275="",$C2275="U",$S2275&lt;&gt;Calc!$F$2),"",SUMIFS($I$3:$I$3002,$E$3:$E$3002,$E2275,$C$3:$C$3002,"&lt;&gt;U",$S$3:$S$3002,Calc!$F$2))</f>
        <v/>
      </c>
      <c r="P2275" s="35" t="str">
        <f aca="false">IF(OR($A2275="",$C2275="U",$S2275&lt;&gt;Calc!$F$2),"",SUMIFS($N$3:$N$3002,$E$3:$E$3002,$E2275,$C$3:$C$3002,"&lt;&gt;U",$S$3:$S$3002,Calc!$F$2))</f>
        <v/>
      </c>
      <c r="Q2275" s="35" t="str">
        <f aca="false">IF(OR($A2275="",$C2275="U",$S2275&lt;&gt;Calc!$F$2),"",IF(COUNTIFS($E$3:$E2275,$E2275,$C$3:$C2275,"&lt;&gt;U",$S$3:$S2275,Calc!$F$2)=1,1,0))</f>
        <v/>
      </c>
      <c r="R2275" s="35" t="str">
        <f aca="false">IF($Q2275=1,$O2275-ROW()/100000,"")</f>
        <v/>
      </c>
      <c r="S2275" s="37" t="str">
        <f aca="false">IF($A2275="","",INT($A2275))</f>
        <v/>
      </c>
      <c r="T2275" s="35" t="str">
        <f aca="false">IF($A2275="","",IF(COUNTIFS($S$3:$S2275,$S2275)=1,1,0))</f>
        <v/>
      </c>
      <c r="U2275" s="37" t="str">
        <f aca="false">IF($T2275=1,$S2275,"")</f>
        <v/>
      </c>
    </row>
    <row r="2276" customFormat="false" ht="15" hidden="false" customHeight="false" outlineLevel="0" collapsed="false">
      <c r="M2276" s="35" t="str">
        <f aca="false">IF($A2276="","",HOUR($A2276))</f>
        <v/>
      </c>
      <c r="N2276" s="36" t="str">
        <f aca="false">IF($A2276="","",$I2276*$K2276)</f>
        <v/>
      </c>
      <c r="O2276" s="35" t="str">
        <f aca="false">IF(OR($A2276="",$C2276="U",$S2276&lt;&gt;Calc!$F$2),"",SUMIFS($I$3:$I$3002,$E$3:$E$3002,$E2276,$C$3:$C$3002,"&lt;&gt;U",$S$3:$S$3002,Calc!$F$2))</f>
        <v/>
      </c>
      <c r="P2276" s="35" t="str">
        <f aca="false">IF(OR($A2276="",$C2276="U",$S2276&lt;&gt;Calc!$F$2),"",SUMIFS($N$3:$N$3002,$E$3:$E$3002,$E2276,$C$3:$C$3002,"&lt;&gt;U",$S$3:$S$3002,Calc!$F$2))</f>
        <v/>
      </c>
      <c r="Q2276" s="35" t="str">
        <f aca="false">IF(OR($A2276="",$C2276="U",$S2276&lt;&gt;Calc!$F$2),"",IF(COUNTIFS($E$3:$E2276,$E2276,$C$3:$C2276,"&lt;&gt;U",$S$3:$S2276,Calc!$F$2)=1,1,0))</f>
        <v/>
      </c>
      <c r="R2276" s="35" t="str">
        <f aca="false">IF($Q2276=1,$O2276-ROW()/100000,"")</f>
        <v/>
      </c>
      <c r="S2276" s="37" t="str">
        <f aca="false">IF($A2276="","",INT($A2276))</f>
        <v/>
      </c>
      <c r="T2276" s="35" t="str">
        <f aca="false">IF($A2276="","",IF(COUNTIFS($S$3:$S2276,$S2276)=1,1,0))</f>
        <v/>
      </c>
      <c r="U2276" s="37" t="str">
        <f aca="false">IF($T2276=1,$S2276,"")</f>
        <v/>
      </c>
    </row>
    <row r="2277" customFormat="false" ht="15" hidden="false" customHeight="false" outlineLevel="0" collapsed="false">
      <c r="M2277" s="35" t="str">
        <f aca="false">IF($A2277="","",HOUR($A2277))</f>
        <v/>
      </c>
      <c r="N2277" s="36" t="str">
        <f aca="false">IF($A2277="","",$I2277*$K2277)</f>
        <v/>
      </c>
      <c r="O2277" s="35" t="str">
        <f aca="false">IF(OR($A2277="",$C2277="U",$S2277&lt;&gt;Calc!$F$2),"",SUMIFS($I$3:$I$3002,$E$3:$E$3002,$E2277,$C$3:$C$3002,"&lt;&gt;U",$S$3:$S$3002,Calc!$F$2))</f>
        <v/>
      </c>
      <c r="P2277" s="35" t="str">
        <f aca="false">IF(OR($A2277="",$C2277="U",$S2277&lt;&gt;Calc!$F$2),"",SUMIFS($N$3:$N$3002,$E$3:$E$3002,$E2277,$C$3:$C$3002,"&lt;&gt;U",$S$3:$S$3002,Calc!$F$2))</f>
        <v/>
      </c>
      <c r="Q2277" s="35" t="str">
        <f aca="false">IF(OR($A2277="",$C2277="U",$S2277&lt;&gt;Calc!$F$2),"",IF(COUNTIFS($E$3:$E2277,$E2277,$C$3:$C2277,"&lt;&gt;U",$S$3:$S2277,Calc!$F$2)=1,1,0))</f>
        <v/>
      </c>
      <c r="R2277" s="35" t="str">
        <f aca="false">IF($Q2277=1,$O2277-ROW()/100000,"")</f>
        <v/>
      </c>
      <c r="S2277" s="37" t="str">
        <f aca="false">IF($A2277="","",INT($A2277))</f>
        <v/>
      </c>
      <c r="T2277" s="35" t="str">
        <f aca="false">IF($A2277="","",IF(COUNTIFS($S$3:$S2277,$S2277)=1,1,0))</f>
        <v/>
      </c>
      <c r="U2277" s="37" t="str">
        <f aca="false">IF($T2277=1,$S2277,"")</f>
        <v/>
      </c>
    </row>
    <row r="2278" customFormat="false" ht="15" hidden="false" customHeight="false" outlineLevel="0" collapsed="false">
      <c r="M2278" s="35" t="str">
        <f aca="false">IF($A2278="","",HOUR($A2278))</f>
        <v/>
      </c>
      <c r="N2278" s="36" t="str">
        <f aca="false">IF($A2278="","",$I2278*$K2278)</f>
        <v/>
      </c>
      <c r="O2278" s="35" t="str">
        <f aca="false">IF(OR($A2278="",$C2278="U",$S2278&lt;&gt;Calc!$F$2),"",SUMIFS($I$3:$I$3002,$E$3:$E$3002,$E2278,$C$3:$C$3002,"&lt;&gt;U",$S$3:$S$3002,Calc!$F$2))</f>
        <v/>
      </c>
      <c r="P2278" s="35" t="str">
        <f aca="false">IF(OR($A2278="",$C2278="U",$S2278&lt;&gt;Calc!$F$2),"",SUMIFS($N$3:$N$3002,$E$3:$E$3002,$E2278,$C$3:$C$3002,"&lt;&gt;U",$S$3:$S$3002,Calc!$F$2))</f>
        <v/>
      </c>
      <c r="Q2278" s="35" t="str">
        <f aca="false">IF(OR($A2278="",$C2278="U",$S2278&lt;&gt;Calc!$F$2),"",IF(COUNTIFS($E$3:$E2278,$E2278,$C$3:$C2278,"&lt;&gt;U",$S$3:$S2278,Calc!$F$2)=1,1,0))</f>
        <v/>
      </c>
      <c r="R2278" s="35" t="str">
        <f aca="false">IF($Q2278=1,$O2278-ROW()/100000,"")</f>
        <v/>
      </c>
      <c r="S2278" s="37" t="str">
        <f aca="false">IF($A2278="","",INT($A2278))</f>
        <v/>
      </c>
      <c r="T2278" s="35" t="str">
        <f aca="false">IF($A2278="","",IF(COUNTIFS($S$3:$S2278,$S2278)=1,1,0))</f>
        <v/>
      </c>
      <c r="U2278" s="37" t="str">
        <f aca="false">IF($T2278=1,$S2278,"")</f>
        <v/>
      </c>
    </row>
    <row r="2279" customFormat="false" ht="15" hidden="false" customHeight="false" outlineLevel="0" collapsed="false">
      <c r="M2279" s="35" t="str">
        <f aca="false">IF($A2279="","",HOUR($A2279))</f>
        <v/>
      </c>
      <c r="N2279" s="36" t="str">
        <f aca="false">IF($A2279="","",$I2279*$K2279)</f>
        <v/>
      </c>
      <c r="O2279" s="35" t="str">
        <f aca="false">IF(OR($A2279="",$C2279="U",$S2279&lt;&gt;Calc!$F$2),"",SUMIFS($I$3:$I$3002,$E$3:$E$3002,$E2279,$C$3:$C$3002,"&lt;&gt;U",$S$3:$S$3002,Calc!$F$2))</f>
        <v/>
      </c>
      <c r="P2279" s="35" t="str">
        <f aca="false">IF(OR($A2279="",$C2279="U",$S2279&lt;&gt;Calc!$F$2),"",SUMIFS($N$3:$N$3002,$E$3:$E$3002,$E2279,$C$3:$C$3002,"&lt;&gt;U",$S$3:$S$3002,Calc!$F$2))</f>
        <v/>
      </c>
      <c r="Q2279" s="35" t="str">
        <f aca="false">IF(OR($A2279="",$C2279="U",$S2279&lt;&gt;Calc!$F$2),"",IF(COUNTIFS($E$3:$E2279,$E2279,$C$3:$C2279,"&lt;&gt;U",$S$3:$S2279,Calc!$F$2)=1,1,0))</f>
        <v/>
      </c>
      <c r="R2279" s="35" t="str">
        <f aca="false">IF($Q2279=1,$O2279-ROW()/100000,"")</f>
        <v/>
      </c>
      <c r="S2279" s="37" t="str">
        <f aca="false">IF($A2279="","",INT($A2279))</f>
        <v/>
      </c>
      <c r="T2279" s="35" t="str">
        <f aca="false">IF($A2279="","",IF(COUNTIFS($S$3:$S2279,$S2279)=1,1,0))</f>
        <v/>
      </c>
      <c r="U2279" s="37" t="str">
        <f aca="false">IF($T2279=1,$S2279,"")</f>
        <v/>
      </c>
    </row>
    <row r="2280" customFormat="false" ht="15" hidden="false" customHeight="false" outlineLevel="0" collapsed="false">
      <c r="M2280" s="35" t="str">
        <f aca="false">IF($A2280="","",HOUR($A2280))</f>
        <v/>
      </c>
      <c r="N2280" s="36" t="str">
        <f aca="false">IF($A2280="","",$I2280*$K2280)</f>
        <v/>
      </c>
      <c r="O2280" s="35" t="str">
        <f aca="false">IF(OR($A2280="",$C2280="U",$S2280&lt;&gt;Calc!$F$2),"",SUMIFS($I$3:$I$3002,$E$3:$E$3002,$E2280,$C$3:$C$3002,"&lt;&gt;U",$S$3:$S$3002,Calc!$F$2))</f>
        <v/>
      </c>
      <c r="P2280" s="35" t="str">
        <f aca="false">IF(OR($A2280="",$C2280="U",$S2280&lt;&gt;Calc!$F$2),"",SUMIFS($N$3:$N$3002,$E$3:$E$3002,$E2280,$C$3:$C$3002,"&lt;&gt;U",$S$3:$S$3002,Calc!$F$2))</f>
        <v/>
      </c>
      <c r="Q2280" s="35" t="str">
        <f aca="false">IF(OR($A2280="",$C2280="U",$S2280&lt;&gt;Calc!$F$2),"",IF(COUNTIFS($E$3:$E2280,$E2280,$C$3:$C2280,"&lt;&gt;U",$S$3:$S2280,Calc!$F$2)=1,1,0))</f>
        <v/>
      </c>
      <c r="R2280" s="35" t="str">
        <f aca="false">IF($Q2280=1,$O2280-ROW()/100000,"")</f>
        <v/>
      </c>
      <c r="S2280" s="37" t="str">
        <f aca="false">IF($A2280="","",INT($A2280))</f>
        <v/>
      </c>
      <c r="T2280" s="35" t="str">
        <f aca="false">IF($A2280="","",IF(COUNTIFS($S$3:$S2280,$S2280)=1,1,0))</f>
        <v/>
      </c>
      <c r="U2280" s="37" t="str">
        <f aca="false">IF($T2280=1,$S2280,"")</f>
        <v/>
      </c>
    </row>
    <row r="2281" customFormat="false" ht="15" hidden="false" customHeight="false" outlineLevel="0" collapsed="false">
      <c r="M2281" s="35" t="str">
        <f aca="false">IF($A2281="","",HOUR($A2281))</f>
        <v/>
      </c>
      <c r="N2281" s="36" t="str">
        <f aca="false">IF($A2281="","",$I2281*$K2281)</f>
        <v/>
      </c>
      <c r="O2281" s="35" t="str">
        <f aca="false">IF(OR($A2281="",$C2281="U",$S2281&lt;&gt;Calc!$F$2),"",SUMIFS($I$3:$I$3002,$E$3:$E$3002,$E2281,$C$3:$C$3002,"&lt;&gt;U",$S$3:$S$3002,Calc!$F$2))</f>
        <v/>
      </c>
      <c r="P2281" s="35" t="str">
        <f aca="false">IF(OR($A2281="",$C2281="U",$S2281&lt;&gt;Calc!$F$2),"",SUMIFS($N$3:$N$3002,$E$3:$E$3002,$E2281,$C$3:$C$3002,"&lt;&gt;U",$S$3:$S$3002,Calc!$F$2))</f>
        <v/>
      </c>
      <c r="Q2281" s="35" t="str">
        <f aca="false">IF(OR($A2281="",$C2281="U",$S2281&lt;&gt;Calc!$F$2),"",IF(COUNTIFS($E$3:$E2281,$E2281,$C$3:$C2281,"&lt;&gt;U",$S$3:$S2281,Calc!$F$2)=1,1,0))</f>
        <v/>
      </c>
      <c r="R2281" s="35" t="str">
        <f aca="false">IF($Q2281=1,$O2281-ROW()/100000,"")</f>
        <v/>
      </c>
      <c r="S2281" s="37" t="str">
        <f aca="false">IF($A2281="","",INT($A2281))</f>
        <v/>
      </c>
      <c r="T2281" s="35" t="str">
        <f aca="false">IF($A2281="","",IF(COUNTIFS($S$3:$S2281,$S2281)=1,1,0))</f>
        <v/>
      </c>
      <c r="U2281" s="37" t="str">
        <f aca="false">IF($T2281=1,$S2281,"")</f>
        <v/>
      </c>
    </row>
    <row r="2282" customFormat="false" ht="15" hidden="false" customHeight="false" outlineLevel="0" collapsed="false">
      <c r="M2282" s="35" t="str">
        <f aca="false">IF($A2282="","",HOUR($A2282))</f>
        <v/>
      </c>
      <c r="N2282" s="36" t="str">
        <f aca="false">IF($A2282="","",$I2282*$K2282)</f>
        <v/>
      </c>
      <c r="O2282" s="35" t="str">
        <f aca="false">IF(OR($A2282="",$C2282="U",$S2282&lt;&gt;Calc!$F$2),"",SUMIFS($I$3:$I$3002,$E$3:$E$3002,$E2282,$C$3:$C$3002,"&lt;&gt;U",$S$3:$S$3002,Calc!$F$2))</f>
        <v/>
      </c>
      <c r="P2282" s="35" t="str">
        <f aca="false">IF(OR($A2282="",$C2282="U",$S2282&lt;&gt;Calc!$F$2),"",SUMIFS($N$3:$N$3002,$E$3:$E$3002,$E2282,$C$3:$C$3002,"&lt;&gt;U",$S$3:$S$3002,Calc!$F$2))</f>
        <v/>
      </c>
      <c r="Q2282" s="35" t="str">
        <f aca="false">IF(OR($A2282="",$C2282="U",$S2282&lt;&gt;Calc!$F$2),"",IF(COUNTIFS($E$3:$E2282,$E2282,$C$3:$C2282,"&lt;&gt;U",$S$3:$S2282,Calc!$F$2)=1,1,0))</f>
        <v/>
      </c>
      <c r="R2282" s="35" t="str">
        <f aca="false">IF($Q2282=1,$O2282-ROW()/100000,"")</f>
        <v/>
      </c>
      <c r="S2282" s="37" t="str">
        <f aca="false">IF($A2282="","",INT($A2282))</f>
        <v/>
      </c>
      <c r="T2282" s="35" t="str">
        <f aca="false">IF($A2282="","",IF(COUNTIFS($S$3:$S2282,$S2282)=1,1,0))</f>
        <v/>
      </c>
      <c r="U2282" s="37" t="str">
        <f aca="false">IF($T2282=1,$S2282,"")</f>
        <v/>
      </c>
    </row>
    <row r="2283" customFormat="false" ht="15" hidden="false" customHeight="false" outlineLevel="0" collapsed="false">
      <c r="M2283" s="35" t="str">
        <f aca="false">IF($A2283="","",HOUR($A2283))</f>
        <v/>
      </c>
      <c r="N2283" s="36" t="str">
        <f aca="false">IF($A2283="","",$I2283*$K2283)</f>
        <v/>
      </c>
      <c r="O2283" s="35" t="str">
        <f aca="false">IF(OR($A2283="",$C2283="U",$S2283&lt;&gt;Calc!$F$2),"",SUMIFS($I$3:$I$3002,$E$3:$E$3002,$E2283,$C$3:$C$3002,"&lt;&gt;U",$S$3:$S$3002,Calc!$F$2))</f>
        <v/>
      </c>
      <c r="P2283" s="35" t="str">
        <f aca="false">IF(OR($A2283="",$C2283="U",$S2283&lt;&gt;Calc!$F$2),"",SUMIFS($N$3:$N$3002,$E$3:$E$3002,$E2283,$C$3:$C$3002,"&lt;&gt;U",$S$3:$S$3002,Calc!$F$2))</f>
        <v/>
      </c>
      <c r="Q2283" s="35" t="str">
        <f aca="false">IF(OR($A2283="",$C2283="U",$S2283&lt;&gt;Calc!$F$2),"",IF(COUNTIFS($E$3:$E2283,$E2283,$C$3:$C2283,"&lt;&gt;U",$S$3:$S2283,Calc!$F$2)=1,1,0))</f>
        <v/>
      </c>
      <c r="R2283" s="35" t="str">
        <f aca="false">IF($Q2283=1,$O2283-ROW()/100000,"")</f>
        <v/>
      </c>
      <c r="S2283" s="37" t="str">
        <f aca="false">IF($A2283="","",INT($A2283))</f>
        <v/>
      </c>
      <c r="T2283" s="35" t="str">
        <f aca="false">IF($A2283="","",IF(COUNTIFS($S$3:$S2283,$S2283)=1,1,0))</f>
        <v/>
      </c>
      <c r="U2283" s="37" t="str">
        <f aca="false">IF($T2283=1,$S2283,"")</f>
        <v/>
      </c>
    </row>
    <row r="2284" customFormat="false" ht="15" hidden="false" customHeight="false" outlineLevel="0" collapsed="false">
      <c r="M2284" s="35" t="str">
        <f aca="false">IF($A2284="","",HOUR($A2284))</f>
        <v/>
      </c>
      <c r="N2284" s="36" t="str">
        <f aca="false">IF($A2284="","",$I2284*$K2284)</f>
        <v/>
      </c>
      <c r="O2284" s="35" t="str">
        <f aca="false">IF(OR($A2284="",$C2284="U",$S2284&lt;&gt;Calc!$F$2),"",SUMIFS($I$3:$I$3002,$E$3:$E$3002,$E2284,$C$3:$C$3002,"&lt;&gt;U",$S$3:$S$3002,Calc!$F$2))</f>
        <v/>
      </c>
      <c r="P2284" s="35" t="str">
        <f aca="false">IF(OR($A2284="",$C2284="U",$S2284&lt;&gt;Calc!$F$2),"",SUMIFS($N$3:$N$3002,$E$3:$E$3002,$E2284,$C$3:$C$3002,"&lt;&gt;U",$S$3:$S$3002,Calc!$F$2))</f>
        <v/>
      </c>
      <c r="Q2284" s="35" t="str">
        <f aca="false">IF(OR($A2284="",$C2284="U",$S2284&lt;&gt;Calc!$F$2),"",IF(COUNTIFS($E$3:$E2284,$E2284,$C$3:$C2284,"&lt;&gt;U",$S$3:$S2284,Calc!$F$2)=1,1,0))</f>
        <v/>
      </c>
      <c r="R2284" s="35" t="str">
        <f aca="false">IF($Q2284=1,$O2284-ROW()/100000,"")</f>
        <v/>
      </c>
      <c r="S2284" s="37" t="str">
        <f aca="false">IF($A2284="","",INT($A2284))</f>
        <v/>
      </c>
      <c r="T2284" s="35" t="str">
        <f aca="false">IF($A2284="","",IF(COUNTIFS($S$3:$S2284,$S2284)=1,1,0))</f>
        <v/>
      </c>
      <c r="U2284" s="37" t="str">
        <f aca="false">IF($T2284=1,$S2284,"")</f>
        <v/>
      </c>
    </row>
    <row r="2285" customFormat="false" ht="15" hidden="false" customHeight="false" outlineLevel="0" collapsed="false">
      <c r="M2285" s="35" t="str">
        <f aca="false">IF($A2285="","",HOUR($A2285))</f>
        <v/>
      </c>
      <c r="N2285" s="36" t="str">
        <f aca="false">IF($A2285="","",$I2285*$K2285)</f>
        <v/>
      </c>
      <c r="O2285" s="35" t="str">
        <f aca="false">IF(OR($A2285="",$C2285="U",$S2285&lt;&gt;Calc!$F$2),"",SUMIFS($I$3:$I$3002,$E$3:$E$3002,$E2285,$C$3:$C$3002,"&lt;&gt;U",$S$3:$S$3002,Calc!$F$2))</f>
        <v/>
      </c>
      <c r="P2285" s="35" t="str">
        <f aca="false">IF(OR($A2285="",$C2285="U",$S2285&lt;&gt;Calc!$F$2),"",SUMIFS($N$3:$N$3002,$E$3:$E$3002,$E2285,$C$3:$C$3002,"&lt;&gt;U",$S$3:$S$3002,Calc!$F$2))</f>
        <v/>
      </c>
      <c r="Q2285" s="35" t="str">
        <f aca="false">IF(OR($A2285="",$C2285="U",$S2285&lt;&gt;Calc!$F$2),"",IF(COUNTIFS($E$3:$E2285,$E2285,$C$3:$C2285,"&lt;&gt;U",$S$3:$S2285,Calc!$F$2)=1,1,0))</f>
        <v/>
      </c>
      <c r="R2285" s="35" t="str">
        <f aca="false">IF($Q2285=1,$O2285-ROW()/100000,"")</f>
        <v/>
      </c>
      <c r="S2285" s="37" t="str">
        <f aca="false">IF($A2285="","",INT($A2285))</f>
        <v/>
      </c>
      <c r="T2285" s="35" t="str">
        <f aca="false">IF($A2285="","",IF(COUNTIFS($S$3:$S2285,$S2285)=1,1,0))</f>
        <v/>
      </c>
      <c r="U2285" s="37" t="str">
        <f aca="false">IF($T2285=1,$S2285,"")</f>
        <v/>
      </c>
    </row>
    <row r="2286" customFormat="false" ht="15" hidden="false" customHeight="false" outlineLevel="0" collapsed="false">
      <c r="M2286" s="35" t="str">
        <f aca="false">IF($A2286="","",HOUR($A2286))</f>
        <v/>
      </c>
      <c r="N2286" s="36" t="str">
        <f aca="false">IF($A2286="","",$I2286*$K2286)</f>
        <v/>
      </c>
      <c r="O2286" s="35" t="str">
        <f aca="false">IF(OR($A2286="",$C2286="U",$S2286&lt;&gt;Calc!$F$2),"",SUMIFS($I$3:$I$3002,$E$3:$E$3002,$E2286,$C$3:$C$3002,"&lt;&gt;U",$S$3:$S$3002,Calc!$F$2))</f>
        <v/>
      </c>
      <c r="P2286" s="35" t="str">
        <f aca="false">IF(OR($A2286="",$C2286="U",$S2286&lt;&gt;Calc!$F$2),"",SUMIFS($N$3:$N$3002,$E$3:$E$3002,$E2286,$C$3:$C$3002,"&lt;&gt;U",$S$3:$S$3002,Calc!$F$2))</f>
        <v/>
      </c>
      <c r="Q2286" s="35" t="str">
        <f aca="false">IF(OR($A2286="",$C2286="U",$S2286&lt;&gt;Calc!$F$2),"",IF(COUNTIFS($E$3:$E2286,$E2286,$C$3:$C2286,"&lt;&gt;U",$S$3:$S2286,Calc!$F$2)=1,1,0))</f>
        <v/>
      </c>
      <c r="R2286" s="35" t="str">
        <f aca="false">IF($Q2286=1,$O2286-ROW()/100000,"")</f>
        <v/>
      </c>
      <c r="S2286" s="37" t="str">
        <f aca="false">IF($A2286="","",INT($A2286))</f>
        <v/>
      </c>
      <c r="T2286" s="35" t="str">
        <f aca="false">IF($A2286="","",IF(COUNTIFS($S$3:$S2286,$S2286)=1,1,0))</f>
        <v/>
      </c>
      <c r="U2286" s="37" t="str">
        <f aca="false">IF($T2286=1,$S2286,"")</f>
        <v/>
      </c>
    </row>
    <row r="2287" customFormat="false" ht="15" hidden="false" customHeight="false" outlineLevel="0" collapsed="false">
      <c r="M2287" s="35" t="str">
        <f aca="false">IF($A2287="","",HOUR($A2287))</f>
        <v/>
      </c>
      <c r="N2287" s="36" t="str">
        <f aca="false">IF($A2287="","",$I2287*$K2287)</f>
        <v/>
      </c>
      <c r="O2287" s="35" t="str">
        <f aca="false">IF(OR($A2287="",$C2287="U",$S2287&lt;&gt;Calc!$F$2),"",SUMIFS($I$3:$I$3002,$E$3:$E$3002,$E2287,$C$3:$C$3002,"&lt;&gt;U",$S$3:$S$3002,Calc!$F$2))</f>
        <v/>
      </c>
      <c r="P2287" s="35" t="str">
        <f aca="false">IF(OR($A2287="",$C2287="U",$S2287&lt;&gt;Calc!$F$2),"",SUMIFS($N$3:$N$3002,$E$3:$E$3002,$E2287,$C$3:$C$3002,"&lt;&gt;U",$S$3:$S$3002,Calc!$F$2))</f>
        <v/>
      </c>
      <c r="Q2287" s="35" t="str">
        <f aca="false">IF(OR($A2287="",$C2287="U",$S2287&lt;&gt;Calc!$F$2),"",IF(COUNTIFS($E$3:$E2287,$E2287,$C$3:$C2287,"&lt;&gt;U",$S$3:$S2287,Calc!$F$2)=1,1,0))</f>
        <v/>
      </c>
      <c r="R2287" s="35" t="str">
        <f aca="false">IF($Q2287=1,$O2287-ROW()/100000,"")</f>
        <v/>
      </c>
      <c r="S2287" s="37" t="str">
        <f aca="false">IF($A2287="","",INT($A2287))</f>
        <v/>
      </c>
      <c r="T2287" s="35" t="str">
        <f aca="false">IF($A2287="","",IF(COUNTIFS($S$3:$S2287,$S2287)=1,1,0))</f>
        <v/>
      </c>
      <c r="U2287" s="37" t="str">
        <f aca="false">IF($T2287=1,$S2287,"")</f>
        <v/>
      </c>
    </row>
    <row r="2288" customFormat="false" ht="15" hidden="false" customHeight="false" outlineLevel="0" collapsed="false">
      <c r="M2288" s="35" t="str">
        <f aca="false">IF($A2288="","",HOUR($A2288))</f>
        <v/>
      </c>
      <c r="N2288" s="36" t="str">
        <f aca="false">IF($A2288="","",$I2288*$K2288)</f>
        <v/>
      </c>
      <c r="O2288" s="35" t="str">
        <f aca="false">IF(OR($A2288="",$C2288="U",$S2288&lt;&gt;Calc!$F$2),"",SUMIFS($I$3:$I$3002,$E$3:$E$3002,$E2288,$C$3:$C$3002,"&lt;&gt;U",$S$3:$S$3002,Calc!$F$2))</f>
        <v/>
      </c>
      <c r="P2288" s="35" t="str">
        <f aca="false">IF(OR($A2288="",$C2288="U",$S2288&lt;&gt;Calc!$F$2),"",SUMIFS($N$3:$N$3002,$E$3:$E$3002,$E2288,$C$3:$C$3002,"&lt;&gt;U",$S$3:$S$3002,Calc!$F$2))</f>
        <v/>
      </c>
      <c r="Q2288" s="35" t="str">
        <f aca="false">IF(OR($A2288="",$C2288="U",$S2288&lt;&gt;Calc!$F$2),"",IF(COUNTIFS($E$3:$E2288,$E2288,$C$3:$C2288,"&lt;&gt;U",$S$3:$S2288,Calc!$F$2)=1,1,0))</f>
        <v/>
      </c>
      <c r="R2288" s="35" t="str">
        <f aca="false">IF($Q2288=1,$O2288-ROW()/100000,"")</f>
        <v/>
      </c>
      <c r="S2288" s="37" t="str">
        <f aca="false">IF($A2288="","",INT($A2288))</f>
        <v/>
      </c>
      <c r="T2288" s="35" t="str">
        <f aca="false">IF($A2288="","",IF(COUNTIFS($S$3:$S2288,$S2288)=1,1,0))</f>
        <v/>
      </c>
      <c r="U2288" s="37" t="str">
        <f aca="false">IF($T2288=1,$S2288,"")</f>
        <v/>
      </c>
    </row>
    <row r="2289" customFormat="false" ht="15" hidden="false" customHeight="false" outlineLevel="0" collapsed="false">
      <c r="M2289" s="35" t="str">
        <f aca="false">IF($A2289="","",HOUR($A2289))</f>
        <v/>
      </c>
      <c r="N2289" s="36" t="str">
        <f aca="false">IF($A2289="","",$I2289*$K2289)</f>
        <v/>
      </c>
      <c r="O2289" s="35" t="str">
        <f aca="false">IF(OR($A2289="",$C2289="U",$S2289&lt;&gt;Calc!$F$2),"",SUMIFS($I$3:$I$3002,$E$3:$E$3002,$E2289,$C$3:$C$3002,"&lt;&gt;U",$S$3:$S$3002,Calc!$F$2))</f>
        <v/>
      </c>
      <c r="P2289" s="35" t="str">
        <f aca="false">IF(OR($A2289="",$C2289="U",$S2289&lt;&gt;Calc!$F$2),"",SUMIFS($N$3:$N$3002,$E$3:$E$3002,$E2289,$C$3:$C$3002,"&lt;&gt;U",$S$3:$S$3002,Calc!$F$2))</f>
        <v/>
      </c>
      <c r="Q2289" s="35" t="str">
        <f aca="false">IF(OR($A2289="",$C2289="U",$S2289&lt;&gt;Calc!$F$2),"",IF(COUNTIFS($E$3:$E2289,$E2289,$C$3:$C2289,"&lt;&gt;U",$S$3:$S2289,Calc!$F$2)=1,1,0))</f>
        <v/>
      </c>
      <c r="R2289" s="35" t="str">
        <f aca="false">IF($Q2289=1,$O2289-ROW()/100000,"")</f>
        <v/>
      </c>
      <c r="S2289" s="37" t="str">
        <f aca="false">IF($A2289="","",INT($A2289))</f>
        <v/>
      </c>
      <c r="T2289" s="35" t="str">
        <f aca="false">IF($A2289="","",IF(COUNTIFS($S$3:$S2289,$S2289)=1,1,0))</f>
        <v/>
      </c>
      <c r="U2289" s="37" t="str">
        <f aca="false">IF($T2289=1,$S2289,"")</f>
        <v/>
      </c>
    </row>
    <row r="2290" customFormat="false" ht="15" hidden="false" customHeight="false" outlineLevel="0" collapsed="false">
      <c r="M2290" s="35" t="str">
        <f aca="false">IF($A2290="","",HOUR($A2290))</f>
        <v/>
      </c>
      <c r="N2290" s="36" t="str">
        <f aca="false">IF($A2290="","",$I2290*$K2290)</f>
        <v/>
      </c>
      <c r="O2290" s="35" t="str">
        <f aca="false">IF(OR($A2290="",$C2290="U",$S2290&lt;&gt;Calc!$F$2),"",SUMIFS($I$3:$I$3002,$E$3:$E$3002,$E2290,$C$3:$C$3002,"&lt;&gt;U",$S$3:$S$3002,Calc!$F$2))</f>
        <v/>
      </c>
      <c r="P2290" s="35" t="str">
        <f aca="false">IF(OR($A2290="",$C2290="U",$S2290&lt;&gt;Calc!$F$2),"",SUMIFS($N$3:$N$3002,$E$3:$E$3002,$E2290,$C$3:$C$3002,"&lt;&gt;U",$S$3:$S$3002,Calc!$F$2))</f>
        <v/>
      </c>
      <c r="Q2290" s="35" t="str">
        <f aca="false">IF(OR($A2290="",$C2290="U",$S2290&lt;&gt;Calc!$F$2),"",IF(COUNTIFS($E$3:$E2290,$E2290,$C$3:$C2290,"&lt;&gt;U",$S$3:$S2290,Calc!$F$2)=1,1,0))</f>
        <v/>
      </c>
      <c r="R2290" s="35" t="str">
        <f aca="false">IF($Q2290=1,$O2290-ROW()/100000,"")</f>
        <v/>
      </c>
      <c r="S2290" s="37" t="str">
        <f aca="false">IF($A2290="","",INT($A2290))</f>
        <v/>
      </c>
      <c r="T2290" s="35" t="str">
        <f aca="false">IF($A2290="","",IF(COUNTIFS($S$3:$S2290,$S2290)=1,1,0))</f>
        <v/>
      </c>
      <c r="U2290" s="37" t="str">
        <f aca="false">IF($T2290=1,$S2290,"")</f>
        <v/>
      </c>
    </row>
    <row r="2291" customFormat="false" ht="15" hidden="false" customHeight="false" outlineLevel="0" collapsed="false">
      <c r="M2291" s="35" t="str">
        <f aca="false">IF($A2291="","",HOUR($A2291))</f>
        <v/>
      </c>
      <c r="N2291" s="36" t="str">
        <f aca="false">IF($A2291="","",$I2291*$K2291)</f>
        <v/>
      </c>
      <c r="O2291" s="35" t="str">
        <f aca="false">IF(OR($A2291="",$C2291="U",$S2291&lt;&gt;Calc!$F$2),"",SUMIFS($I$3:$I$3002,$E$3:$E$3002,$E2291,$C$3:$C$3002,"&lt;&gt;U",$S$3:$S$3002,Calc!$F$2))</f>
        <v/>
      </c>
      <c r="P2291" s="35" t="str">
        <f aca="false">IF(OR($A2291="",$C2291="U",$S2291&lt;&gt;Calc!$F$2),"",SUMIFS($N$3:$N$3002,$E$3:$E$3002,$E2291,$C$3:$C$3002,"&lt;&gt;U",$S$3:$S$3002,Calc!$F$2))</f>
        <v/>
      </c>
      <c r="Q2291" s="35" t="str">
        <f aca="false">IF(OR($A2291="",$C2291="U",$S2291&lt;&gt;Calc!$F$2),"",IF(COUNTIFS($E$3:$E2291,$E2291,$C$3:$C2291,"&lt;&gt;U",$S$3:$S2291,Calc!$F$2)=1,1,0))</f>
        <v/>
      </c>
      <c r="R2291" s="35" t="str">
        <f aca="false">IF($Q2291=1,$O2291-ROW()/100000,"")</f>
        <v/>
      </c>
      <c r="S2291" s="37" t="str">
        <f aca="false">IF($A2291="","",INT($A2291))</f>
        <v/>
      </c>
      <c r="T2291" s="35" t="str">
        <f aca="false">IF($A2291="","",IF(COUNTIFS($S$3:$S2291,$S2291)=1,1,0))</f>
        <v/>
      </c>
      <c r="U2291" s="37" t="str">
        <f aca="false">IF($T2291=1,$S2291,"")</f>
        <v/>
      </c>
    </row>
    <row r="2292" customFormat="false" ht="15" hidden="false" customHeight="false" outlineLevel="0" collapsed="false">
      <c r="M2292" s="35" t="str">
        <f aca="false">IF($A2292="","",HOUR($A2292))</f>
        <v/>
      </c>
      <c r="N2292" s="36" t="str">
        <f aca="false">IF($A2292="","",$I2292*$K2292)</f>
        <v/>
      </c>
      <c r="O2292" s="35" t="str">
        <f aca="false">IF(OR($A2292="",$C2292="U",$S2292&lt;&gt;Calc!$F$2),"",SUMIFS($I$3:$I$3002,$E$3:$E$3002,$E2292,$C$3:$C$3002,"&lt;&gt;U",$S$3:$S$3002,Calc!$F$2))</f>
        <v/>
      </c>
      <c r="P2292" s="35" t="str">
        <f aca="false">IF(OR($A2292="",$C2292="U",$S2292&lt;&gt;Calc!$F$2),"",SUMIFS($N$3:$N$3002,$E$3:$E$3002,$E2292,$C$3:$C$3002,"&lt;&gt;U",$S$3:$S$3002,Calc!$F$2))</f>
        <v/>
      </c>
      <c r="Q2292" s="35" t="str">
        <f aca="false">IF(OR($A2292="",$C2292="U",$S2292&lt;&gt;Calc!$F$2),"",IF(COUNTIFS($E$3:$E2292,$E2292,$C$3:$C2292,"&lt;&gt;U",$S$3:$S2292,Calc!$F$2)=1,1,0))</f>
        <v/>
      </c>
      <c r="R2292" s="35" t="str">
        <f aca="false">IF($Q2292=1,$O2292-ROW()/100000,"")</f>
        <v/>
      </c>
      <c r="S2292" s="37" t="str">
        <f aca="false">IF($A2292="","",INT($A2292))</f>
        <v/>
      </c>
      <c r="T2292" s="35" t="str">
        <f aca="false">IF($A2292="","",IF(COUNTIFS($S$3:$S2292,$S2292)=1,1,0))</f>
        <v/>
      </c>
      <c r="U2292" s="37" t="str">
        <f aca="false">IF($T2292=1,$S2292,"")</f>
        <v/>
      </c>
    </row>
    <row r="2293" customFormat="false" ht="15" hidden="false" customHeight="false" outlineLevel="0" collapsed="false">
      <c r="M2293" s="35" t="str">
        <f aca="false">IF($A2293="","",HOUR($A2293))</f>
        <v/>
      </c>
      <c r="N2293" s="36" t="str">
        <f aca="false">IF($A2293="","",$I2293*$K2293)</f>
        <v/>
      </c>
      <c r="O2293" s="35" t="str">
        <f aca="false">IF(OR($A2293="",$C2293="U",$S2293&lt;&gt;Calc!$F$2),"",SUMIFS($I$3:$I$3002,$E$3:$E$3002,$E2293,$C$3:$C$3002,"&lt;&gt;U",$S$3:$S$3002,Calc!$F$2))</f>
        <v/>
      </c>
      <c r="P2293" s="35" t="str">
        <f aca="false">IF(OR($A2293="",$C2293="U",$S2293&lt;&gt;Calc!$F$2),"",SUMIFS($N$3:$N$3002,$E$3:$E$3002,$E2293,$C$3:$C$3002,"&lt;&gt;U",$S$3:$S$3002,Calc!$F$2))</f>
        <v/>
      </c>
      <c r="Q2293" s="35" t="str">
        <f aca="false">IF(OR($A2293="",$C2293="U",$S2293&lt;&gt;Calc!$F$2),"",IF(COUNTIFS($E$3:$E2293,$E2293,$C$3:$C2293,"&lt;&gt;U",$S$3:$S2293,Calc!$F$2)=1,1,0))</f>
        <v/>
      </c>
      <c r="R2293" s="35" t="str">
        <f aca="false">IF($Q2293=1,$O2293-ROW()/100000,"")</f>
        <v/>
      </c>
      <c r="S2293" s="37" t="str">
        <f aca="false">IF($A2293="","",INT($A2293))</f>
        <v/>
      </c>
      <c r="T2293" s="35" t="str">
        <f aca="false">IF($A2293="","",IF(COUNTIFS($S$3:$S2293,$S2293)=1,1,0))</f>
        <v/>
      </c>
      <c r="U2293" s="37" t="str">
        <f aca="false">IF($T2293=1,$S2293,"")</f>
        <v/>
      </c>
    </row>
    <row r="2294" customFormat="false" ht="15" hidden="false" customHeight="false" outlineLevel="0" collapsed="false">
      <c r="M2294" s="35" t="str">
        <f aca="false">IF($A2294="","",HOUR($A2294))</f>
        <v/>
      </c>
      <c r="N2294" s="36" t="str">
        <f aca="false">IF($A2294="","",$I2294*$K2294)</f>
        <v/>
      </c>
      <c r="O2294" s="35" t="str">
        <f aca="false">IF(OR($A2294="",$C2294="U",$S2294&lt;&gt;Calc!$F$2),"",SUMIFS($I$3:$I$3002,$E$3:$E$3002,$E2294,$C$3:$C$3002,"&lt;&gt;U",$S$3:$S$3002,Calc!$F$2))</f>
        <v/>
      </c>
      <c r="P2294" s="35" t="str">
        <f aca="false">IF(OR($A2294="",$C2294="U",$S2294&lt;&gt;Calc!$F$2),"",SUMIFS($N$3:$N$3002,$E$3:$E$3002,$E2294,$C$3:$C$3002,"&lt;&gt;U",$S$3:$S$3002,Calc!$F$2))</f>
        <v/>
      </c>
      <c r="Q2294" s="35" t="str">
        <f aca="false">IF(OR($A2294="",$C2294="U",$S2294&lt;&gt;Calc!$F$2),"",IF(COUNTIFS($E$3:$E2294,$E2294,$C$3:$C2294,"&lt;&gt;U",$S$3:$S2294,Calc!$F$2)=1,1,0))</f>
        <v/>
      </c>
      <c r="R2294" s="35" t="str">
        <f aca="false">IF($Q2294=1,$O2294-ROW()/100000,"")</f>
        <v/>
      </c>
      <c r="S2294" s="37" t="str">
        <f aca="false">IF($A2294="","",INT($A2294))</f>
        <v/>
      </c>
      <c r="T2294" s="35" t="str">
        <f aca="false">IF($A2294="","",IF(COUNTIFS($S$3:$S2294,$S2294)=1,1,0))</f>
        <v/>
      </c>
      <c r="U2294" s="37" t="str">
        <f aca="false">IF($T2294=1,$S2294,"")</f>
        <v/>
      </c>
    </row>
    <row r="2295" customFormat="false" ht="15" hidden="false" customHeight="false" outlineLevel="0" collapsed="false">
      <c r="M2295" s="35" t="str">
        <f aca="false">IF($A2295="","",HOUR($A2295))</f>
        <v/>
      </c>
      <c r="N2295" s="36" t="str">
        <f aca="false">IF($A2295="","",$I2295*$K2295)</f>
        <v/>
      </c>
      <c r="O2295" s="35" t="str">
        <f aca="false">IF(OR($A2295="",$C2295="U",$S2295&lt;&gt;Calc!$F$2),"",SUMIFS($I$3:$I$3002,$E$3:$E$3002,$E2295,$C$3:$C$3002,"&lt;&gt;U",$S$3:$S$3002,Calc!$F$2))</f>
        <v/>
      </c>
      <c r="P2295" s="35" t="str">
        <f aca="false">IF(OR($A2295="",$C2295="U",$S2295&lt;&gt;Calc!$F$2),"",SUMIFS($N$3:$N$3002,$E$3:$E$3002,$E2295,$C$3:$C$3002,"&lt;&gt;U",$S$3:$S$3002,Calc!$F$2))</f>
        <v/>
      </c>
      <c r="Q2295" s="35" t="str">
        <f aca="false">IF(OR($A2295="",$C2295="U",$S2295&lt;&gt;Calc!$F$2),"",IF(COUNTIFS($E$3:$E2295,$E2295,$C$3:$C2295,"&lt;&gt;U",$S$3:$S2295,Calc!$F$2)=1,1,0))</f>
        <v/>
      </c>
      <c r="R2295" s="35" t="str">
        <f aca="false">IF($Q2295=1,$O2295-ROW()/100000,"")</f>
        <v/>
      </c>
      <c r="S2295" s="37" t="str">
        <f aca="false">IF($A2295="","",INT($A2295))</f>
        <v/>
      </c>
      <c r="T2295" s="35" t="str">
        <f aca="false">IF($A2295="","",IF(COUNTIFS($S$3:$S2295,$S2295)=1,1,0))</f>
        <v/>
      </c>
      <c r="U2295" s="37" t="str">
        <f aca="false">IF($T2295=1,$S2295,"")</f>
        <v/>
      </c>
    </row>
    <row r="2296" customFormat="false" ht="15" hidden="false" customHeight="false" outlineLevel="0" collapsed="false">
      <c r="M2296" s="35" t="str">
        <f aca="false">IF($A2296="","",HOUR($A2296))</f>
        <v/>
      </c>
      <c r="N2296" s="36" t="str">
        <f aca="false">IF($A2296="","",$I2296*$K2296)</f>
        <v/>
      </c>
      <c r="O2296" s="35" t="str">
        <f aca="false">IF(OR($A2296="",$C2296="U",$S2296&lt;&gt;Calc!$F$2),"",SUMIFS($I$3:$I$3002,$E$3:$E$3002,$E2296,$C$3:$C$3002,"&lt;&gt;U",$S$3:$S$3002,Calc!$F$2))</f>
        <v/>
      </c>
      <c r="P2296" s="35" t="str">
        <f aca="false">IF(OR($A2296="",$C2296="U",$S2296&lt;&gt;Calc!$F$2),"",SUMIFS($N$3:$N$3002,$E$3:$E$3002,$E2296,$C$3:$C$3002,"&lt;&gt;U",$S$3:$S$3002,Calc!$F$2))</f>
        <v/>
      </c>
      <c r="Q2296" s="35" t="str">
        <f aca="false">IF(OR($A2296="",$C2296="U",$S2296&lt;&gt;Calc!$F$2),"",IF(COUNTIFS($E$3:$E2296,$E2296,$C$3:$C2296,"&lt;&gt;U",$S$3:$S2296,Calc!$F$2)=1,1,0))</f>
        <v/>
      </c>
      <c r="R2296" s="35" t="str">
        <f aca="false">IF($Q2296=1,$O2296-ROW()/100000,"")</f>
        <v/>
      </c>
      <c r="S2296" s="37" t="str">
        <f aca="false">IF($A2296="","",INT($A2296))</f>
        <v/>
      </c>
      <c r="T2296" s="35" t="str">
        <f aca="false">IF($A2296="","",IF(COUNTIFS($S$3:$S2296,$S2296)=1,1,0))</f>
        <v/>
      </c>
      <c r="U2296" s="37" t="str">
        <f aca="false">IF($T2296=1,$S2296,"")</f>
        <v/>
      </c>
    </row>
    <row r="2297" customFormat="false" ht="15" hidden="false" customHeight="false" outlineLevel="0" collapsed="false">
      <c r="M2297" s="35" t="str">
        <f aca="false">IF($A2297="","",HOUR($A2297))</f>
        <v/>
      </c>
      <c r="N2297" s="36" t="str">
        <f aca="false">IF($A2297="","",$I2297*$K2297)</f>
        <v/>
      </c>
      <c r="O2297" s="35" t="str">
        <f aca="false">IF(OR($A2297="",$C2297="U",$S2297&lt;&gt;Calc!$F$2),"",SUMIFS($I$3:$I$3002,$E$3:$E$3002,$E2297,$C$3:$C$3002,"&lt;&gt;U",$S$3:$S$3002,Calc!$F$2))</f>
        <v/>
      </c>
      <c r="P2297" s="35" t="str">
        <f aca="false">IF(OR($A2297="",$C2297="U",$S2297&lt;&gt;Calc!$F$2),"",SUMIFS($N$3:$N$3002,$E$3:$E$3002,$E2297,$C$3:$C$3002,"&lt;&gt;U",$S$3:$S$3002,Calc!$F$2))</f>
        <v/>
      </c>
      <c r="Q2297" s="35" t="str">
        <f aca="false">IF(OR($A2297="",$C2297="U",$S2297&lt;&gt;Calc!$F$2),"",IF(COUNTIFS($E$3:$E2297,$E2297,$C$3:$C2297,"&lt;&gt;U",$S$3:$S2297,Calc!$F$2)=1,1,0))</f>
        <v/>
      </c>
      <c r="R2297" s="35" t="str">
        <f aca="false">IF($Q2297=1,$O2297-ROW()/100000,"")</f>
        <v/>
      </c>
      <c r="S2297" s="37" t="str">
        <f aca="false">IF($A2297="","",INT($A2297))</f>
        <v/>
      </c>
      <c r="T2297" s="35" t="str">
        <f aca="false">IF($A2297="","",IF(COUNTIFS($S$3:$S2297,$S2297)=1,1,0))</f>
        <v/>
      </c>
      <c r="U2297" s="37" t="str">
        <f aca="false">IF($T2297=1,$S2297,"")</f>
        <v/>
      </c>
    </row>
    <row r="2298" customFormat="false" ht="15" hidden="false" customHeight="false" outlineLevel="0" collapsed="false">
      <c r="M2298" s="35" t="str">
        <f aca="false">IF($A2298="","",HOUR($A2298))</f>
        <v/>
      </c>
      <c r="N2298" s="36" t="str">
        <f aca="false">IF($A2298="","",$I2298*$K2298)</f>
        <v/>
      </c>
      <c r="O2298" s="35" t="str">
        <f aca="false">IF(OR($A2298="",$C2298="U",$S2298&lt;&gt;Calc!$F$2),"",SUMIFS($I$3:$I$3002,$E$3:$E$3002,$E2298,$C$3:$C$3002,"&lt;&gt;U",$S$3:$S$3002,Calc!$F$2))</f>
        <v/>
      </c>
      <c r="P2298" s="35" t="str">
        <f aca="false">IF(OR($A2298="",$C2298="U",$S2298&lt;&gt;Calc!$F$2),"",SUMIFS($N$3:$N$3002,$E$3:$E$3002,$E2298,$C$3:$C$3002,"&lt;&gt;U",$S$3:$S$3002,Calc!$F$2))</f>
        <v/>
      </c>
      <c r="Q2298" s="35" t="str">
        <f aca="false">IF(OR($A2298="",$C2298="U",$S2298&lt;&gt;Calc!$F$2),"",IF(COUNTIFS($E$3:$E2298,$E2298,$C$3:$C2298,"&lt;&gt;U",$S$3:$S2298,Calc!$F$2)=1,1,0))</f>
        <v/>
      </c>
      <c r="R2298" s="35" t="str">
        <f aca="false">IF($Q2298=1,$O2298-ROW()/100000,"")</f>
        <v/>
      </c>
      <c r="S2298" s="37" t="str">
        <f aca="false">IF($A2298="","",INT($A2298))</f>
        <v/>
      </c>
      <c r="T2298" s="35" t="str">
        <f aca="false">IF($A2298="","",IF(COUNTIFS($S$3:$S2298,$S2298)=1,1,0))</f>
        <v/>
      </c>
      <c r="U2298" s="37" t="str">
        <f aca="false">IF($T2298=1,$S2298,"")</f>
        <v/>
      </c>
    </row>
    <row r="2299" customFormat="false" ht="15" hidden="false" customHeight="false" outlineLevel="0" collapsed="false">
      <c r="M2299" s="35" t="str">
        <f aca="false">IF($A2299="","",HOUR($A2299))</f>
        <v/>
      </c>
      <c r="N2299" s="36" t="str">
        <f aca="false">IF($A2299="","",$I2299*$K2299)</f>
        <v/>
      </c>
      <c r="O2299" s="35" t="str">
        <f aca="false">IF(OR($A2299="",$C2299="U",$S2299&lt;&gt;Calc!$F$2),"",SUMIFS($I$3:$I$3002,$E$3:$E$3002,$E2299,$C$3:$C$3002,"&lt;&gt;U",$S$3:$S$3002,Calc!$F$2))</f>
        <v/>
      </c>
      <c r="P2299" s="35" t="str">
        <f aca="false">IF(OR($A2299="",$C2299="U",$S2299&lt;&gt;Calc!$F$2),"",SUMIFS($N$3:$N$3002,$E$3:$E$3002,$E2299,$C$3:$C$3002,"&lt;&gt;U",$S$3:$S$3002,Calc!$F$2))</f>
        <v/>
      </c>
      <c r="Q2299" s="35" t="str">
        <f aca="false">IF(OR($A2299="",$C2299="U",$S2299&lt;&gt;Calc!$F$2),"",IF(COUNTIFS($E$3:$E2299,$E2299,$C$3:$C2299,"&lt;&gt;U",$S$3:$S2299,Calc!$F$2)=1,1,0))</f>
        <v/>
      </c>
      <c r="R2299" s="35" t="str">
        <f aca="false">IF($Q2299=1,$O2299-ROW()/100000,"")</f>
        <v/>
      </c>
      <c r="S2299" s="37" t="str">
        <f aca="false">IF($A2299="","",INT($A2299))</f>
        <v/>
      </c>
      <c r="T2299" s="35" t="str">
        <f aca="false">IF($A2299="","",IF(COUNTIFS($S$3:$S2299,$S2299)=1,1,0))</f>
        <v/>
      </c>
      <c r="U2299" s="37" t="str">
        <f aca="false">IF($T2299=1,$S2299,"")</f>
        <v/>
      </c>
    </row>
    <row r="2300" customFormat="false" ht="15" hidden="false" customHeight="false" outlineLevel="0" collapsed="false">
      <c r="M2300" s="35" t="str">
        <f aca="false">IF($A2300="","",HOUR($A2300))</f>
        <v/>
      </c>
      <c r="N2300" s="36" t="str">
        <f aca="false">IF($A2300="","",$I2300*$K2300)</f>
        <v/>
      </c>
      <c r="O2300" s="35" t="str">
        <f aca="false">IF(OR($A2300="",$C2300="U",$S2300&lt;&gt;Calc!$F$2),"",SUMIFS($I$3:$I$3002,$E$3:$E$3002,$E2300,$C$3:$C$3002,"&lt;&gt;U",$S$3:$S$3002,Calc!$F$2))</f>
        <v/>
      </c>
      <c r="P2300" s="35" t="str">
        <f aca="false">IF(OR($A2300="",$C2300="U",$S2300&lt;&gt;Calc!$F$2),"",SUMIFS($N$3:$N$3002,$E$3:$E$3002,$E2300,$C$3:$C$3002,"&lt;&gt;U",$S$3:$S$3002,Calc!$F$2))</f>
        <v/>
      </c>
      <c r="Q2300" s="35" t="str">
        <f aca="false">IF(OR($A2300="",$C2300="U",$S2300&lt;&gt;Calc!$F$2),"",IF(COUNTIFS($E$3:$E2300,$E2300,$C$3:$C2300,"&lt;&gt;U",$S$3:$S2300,Calc!$F$2)=1,1,0))</f>
        <v/>
      </c>
      <c r="R2300" s="35" t="str">
        <f aca="false">IF($Q2300=1,$O2300-ROW()/100000,"")</f>
        <v/>
      </c>
      <c r="S2300" s="37" t="str">
        <f aca="false">IF($A2300="","",INT($A2300))</f>
        <v/>
      </c>
      <c r="T2300" s="35" t="str">
        <f aca="false">IF($A2300="","",IF(COUNTIFS($S$3:$S2300,$S2300)=1,1,0))</f>
        <v/>
      </c>
      <c r="U2300" s="37" t="str">
        <f aca="false">IF($T2300=1,$S2300,"")</f>
        <v/>
      </c>
    </row>
    <row r="2301" customFormat="false" ht="15" hidden="false" customHeight="false" outlineLevel="0" collapsed="false">
      <c r="M2301" s="35" t="str">
        <f aca="false">IF($A2301="","",HOUR($A2301))</f>
        <v/>
      </c>
      <c r="N2301" s="36" t="str">
        <f aca="false">IF($A2301="","",$I2301*$K2301)</f>
        <v/>
      </c>
      <c r="O2301" s="35" t="str">
        <f aca="false">IF(OR($A2301="",$C2301="U",$S2301&lt;&gt;Calc!$F$2),"",SUMIFS($I$3:$I$3002,$E$3:$E$3002,$E2301,$C$3:$C$3002,"&lt;&gt;U",$S$3:$S$3002,Calc!$F$2))</f>
        <v/>
      </c>
      <c r="P2301" s="35" t="str">
        <f aca="false">IF(OR($A2301="",$C2301="U",$S2301&lt;&gt;Calc!$F$2),"",SUMIFS($N$3:$N$3002,$E$3:$E$3002,$E2301,$C$3:$C$3002,"&lt;&gt;U",$S$3:$S$3002,Calc!$F$2))</f>
        <v/>
      </c>
      <c r="Q2301" s="35" t="str">
        <f aca="false">IF(OR($A2301="",$C2301="U",$S2301&lt;&gt;Calc!$F$2),"",IF(COUNTIFS($E$3:$E2301,$E2301,$C$3:$C2301,"&lt;&gt;U",$S$3:$S2301,Calc!$F$2)=1,1,0))</f>
        <v/>
      </c>
      <c r="R2301" s="35" t="str">
        <f aca="false">IF($Q2301=1,$O2301-ROW()/100000,"")</f>
        <v/>
      </c>
      <c r="S2301" s="37" t="str">
        <f aca="false">IF($A2301="","",INT($A2301))</f>
        <v/>
      </c>
      <c r="T2301" s="35" t="str">
        <f aca="false">IF($A2301="","",IF(COUNTIFS($S$3:$S2301,$S2301)=1,1,0))</f>
        <v/>
      </c>
      <c r="U2301" s="37" t="str">
        <f aca="false">IF($T2301=1,$S2301,"")</f>
        <v/>
      </c>
    </row>
    <row r="2302" customFormat="false" ht="15" hidden="false" customHeight="false" outlineLevel="0" collapsed="false">
      <c r="M2302" s="35" t="str">
        <f aca="false">IF($A2302="","",HOUR($A2302))</f>
        <v/>
      </c>
      <c r="N2302" s="36" t="str">
        <f aca="false">IF($A2302="","",$I2302*$K2302)</f>
        <v/>
      </c>
      <c r="O2302" s="35" t="str">
        <f aca="false">IF(OR($A2302="",$C2302="U",$S2302&lt;&gt;Calc!$F$2),"",SUMIFS($I$3:$I$3002,$E$3:$E$3002,$E2302,$C$3:$C$3002,"&lt;&gt;U",$S$3:$S$3002,Calc!$F$2))</f>
        <v/>
      </c>
      <c r="P2302" s="35" t="str">
        <f aca="false">IF(OR($A2302="",$C2302="U",$S2302&lt;&gt;Calc!$F$2),"",SUMIFS($N$3:$N$3002,$E$3:$E$3002,$E2302,$C$3:$C$3002,"&lt;&gt;U",$S$3:$S$3002,Calc!$F$2))</f>
        <v/>
      </c>
      <c r="Q2302" s="35" t="str">
        <f aca="false">IF(OR($A2302="",$C2302="U",$S2302&lt;&gt;Calc!$F$2),"",IF(COUNTIFS($E$3:$E2302,$E2302,$C$3:$C2302,"&lt;&gt;U",$S$3:$S2302,Calc!$F$2)=1,1,0))</f>
        <v/>
      </c>
      <c r="R2302" s="35" t="str">
        <f aca="false">IF($Q2302=1,$O2302-ROW()/100000,"")</f>
        <v/>
      </c>
      <c r="S2302" s="37" t="str">
        <f aca="false">IF($A2302="","",INT($A2302))</f>
        <v/>
      </c>
      <c r="T2302" s="35" t="str">
        <f aca="false">IF($A2302="","",IF(COUNTIFS($S$3:$S2302,$S2302)=1,1,0))</f>
        <v/>
      </c>
      <c r="U2302" s="37" t="str">
        <f aca="false">IF($T2302=1,$S2302,"")</f>
        <v/>
      </c>
    </row>
    <row r="2303" customFormat="false" ht="15" hidden="false" customHeight="false" outlineLevel="0" collapsed="false">
      <c r="M2303" s="35" t="str">
        <f aca="false">IF($A2303="","",HOUR($A2303))</f>
        <v/>
      </c>
      <c r="N2303" s="36" t="str">
        <f aca="false">IF($A2303="","",$I2303*$K2303)</f>
        <v/>
      </c>
      <c r="O2303" s="35" t="str">
        <f aca="false">IF(OR($A2303="",$C2303="U",$S2303&lt;&gt;Calc!$F$2),"",SUMIFS($I$3:$I$3002,$E$3:$E$3002,$E2303,$C$3:$C$3002,"&lt;&gt;U",$S$3:$S$3002,Calc!$F$2))</f>
        <v/>
      </c>
      <c r="P2303" s="35" t="str">
        <f aca="false">IF(OR($A2303="",$C2303="U",$S2303&lt;&gt;Calc!$F$2),"",SUMIFS($N$3:$N$3002,$E$3:$E$3002,$E2303,$C$3:$C$3002,"&lt;&gt;U",$S$3:$S$3002,Calc!$F$2))</f>
        <v/>
      </c>
      <c r="Q2303" s="35" t="str">
        <f aca="false">IF(OR($A2303="",$C2303="U",$S2303&lt;&gt;Calc!$F$2),"",IF(COUNTIFS($E$3:$E2303,$E2303,$C$3:$C2303,"&lt;&gt;U",$S$3:$S2303,Calc!$F$2)=1,1,0))</f>
        <v/>
      </c>
      <c r="R2303" s="35" t="str">
        <f aca="false">IF($Q2303=1,$O2303-ROW()/100000,"")</f>
        <v/>
      </c>
      <c r="S2303" s="37" t="str">
        <f aca="false">IF($A2303="","",INT($A2303))</f>
        <v/>
      </c>
      <c r="T2303" s="35" t="str">
        <f aca="false">IF($A2303="","",IF(COUNTIFS($S$3:$S2303,$S2303)=1,1,0))</f>
        <v/>
      </c>
      <c r="U2303" s="37" t="str">
        <f aca="false">IF($T2303=1,$S2303,"")</f>
        <v/>
      </c>
    </row>
    <row r="2304" customFormat="false" ht="15" hidden="false" customHeight="false" outlineLevel="0" collapsed="false">
      <c r="M2304" s="35" t="str">
        <f aca="false">IF($A2304="","",HOUR($A2304))</f>
        <v/>
      </c>
      <c r="N2304" s="36" t="str">
        <f aca="false">IF($A2304="","",$I2304*$K2304)</f>
        <v/>
      </c>
      <c r="O2304" s="35" t="str">
        <f aca="false">IF(OR($A2304="",$C2304="U",$S2304&lt;&gt;Calc!$F$2),"",SUMIFS($I$3:$I$3002,$E$3:$E$3002,$E2304,$C$3:$C$3002,"&lt;&gt;U",$S$3:$S$3002,Calc!$F$2))</f>
        <v/>
      </c>
      <c r="P2304" s="35" t="str">
        <f aca="false">IF(OR($A2304="",$C2304="U",$S2304&lt;&gt;Calc!$F$2),"",SUMIFS($N$3:$N$3002,$E$3:$E$3002,$E2304,$C$3:$C$3002,"&lt;&gt;U",$S$3:$S$3002,Calc!$F$2))</f>
        <v/>
      </c>
      <c r="Q2304" s="35" t="str">
        <f aca="false">IF(OR($A2304="",$C2304="U",$S2304&lt;&gt;Calc!$F$2),"",IF(COUNTIFS($E$3:$E2304,$E2304,$C$3:$C2304,"&lt;&gt;U",$S$3:$S2304,Calc!$F$2)=1,1,0))</f>
        <v/>
      </c>
      <c r="R2304" s="35" t="str">
        <f aca="false">IF($Q2304=1,$O2304-ROW()/100000,"")</f>
        <v/>
      </c>
      <c r="S2304" s="37" t="str">
        <f aca="false">IF($A2304="","",INT($A2304))</f>
        <v/>
      </c>
      <c r="T2304" s="35" t="str">
        <f aca="false">IF($A2304="","",IF(COUNTIFS($S$3:$S2304,$S2304)=1,1,0))</f>
        <v/>
      </c>
      <c r="U2304" s="37" t="str">
        <f aca="false">IF($T2304=1,$S2304,"")</f>
        <v/>
      </c>
    </row>
    <row r="2305" customFormat="false" ht="15" hidden="false" customHeight="false" outlineLevel="0" collapsed="false">
      <c r="M2305" s="35" t="str">
        <f aca="false">IF($A2305="","",HOUR($A2305))</f>
        <v/>
      </c>
      <c r="N2305" s="36" t="str">
        <f aca="false">IF($A2305="","",$I2305*$K2305)</f>
        <v/>
      </c>
      <c r="O2305" s="35" t="str">
        <f aca="false">IF(OR($A2305="",$C2305="U",$S2305&lt;&gt;Calc!$F$2),"",SUMIFS($I$3:$I$3002,$E$3:$E$3002,$E2305,$C$3:$C$3002,"&lt;&gt;U",$S$3:$S$3002,Calc!$F$2))</f>
        <v/>
      </c>
      <c r="P2305" s="35" t="str">
        <f aca="false">IF(OR($A2305="",$C2305="U",$S2305&lt;&gt;Calc!$F$2),"",SUMIFS($N$3:$N$3002,$E$3:$E$3002,$E2305,$C$3:$C$3002,"&lt;&gt;U",$S$3:$S$3002,Calc!$F$2))</f>
        <v/>
      </c>
      <c r="Q2305" s="35" t="str">
        <f aca="false">IF(OR($A2305="",$C2305="U",$S2305&lt;&gt;Calc!$F$2),"",IF(COUNTIFS($E$3:$E2305,$E2305,$C$3:$C2305,"&lt;&gt;U",$S$3:$S2305,Calc!$F$2)=1,1,0))</f>
        <v/>
      </c>
      <c r="R2305" s="35" t="str">
        <f aca="false">IF($Q2305=1,$O2305-ROW()/100000,"")</f>
        <v/>
      </c>
      <c r="S2305" s="37" t="str">
        <f aca="false">IF($A2305="","",INT($A2305))</f>
        <v/>
      </c>
      <c r="T2305" s="35" t="str">
        <f aca="false">IF($A2305="","",IF(COUNTIFS($S$3:$S2305,$S2305)=1,1,0))</f>
        <v/>
      </c>
      <c r="U2305" s="37" t="str">
        <f aca="false">IF($T2305=1,$S2305,"")</f>
        <v/>
      </c>
    </row>
    <row r="2306" customFormat="false" ht="15" hidden="false" customHeight="false" outlineLevel="0" collapsed="false">
      <c r="M2306" s="35" t="str">
        <f aca="false">IF($A2306="","",HOUR($A2306))</f>
        <v/>
      </c>
      <c r="N2306" s="36" t="str">
        <f aca="false">IF($A2306="","",$I2306*$K2306)</f>
        <v/>
      </c>
      <c r="O2306" s="35" t="str">
        <f aca="false">IF(OR($A2306="",$C2306="U",$S2306&lt;&gt;Calc!$F$2),"",SUMIFS($I$3:$I$3002,$E$3:$E$3002,$E2306,$C$3:$C$3002,"&lt;&gt;U",$S$3:$S$3002,Calc!$F$2))</f>
        <v/>
      </c>
      <c r="P2306" s="35" t="str">
        <f aca="false">IF(OR($A2306="",$C2306="U",$S2306&lt;&gt;Calc!$F$2),"",SUMIFS($N$3:$N$3002,$E$3:$E$3002,$E2306,$C$3:$C$3002,"&lt;&gt;U",$S$3:$S$3002,Calc!$F$2))</f>
        <v/>
      </c>
      <c r="Q2306" s="35" t="str">
        <f aca="false">IF(OR($A2306="",$C2306="U",$S2306&lt;&gt;Calc!$F$2),"",IF(COUNTIFS($E$3:$E2306,$E2306,$C$3:$C2306,"&lt;&gt;U",$S$3:$S2306,Calc!$F$2)=1,1,0))</f>
        <v/>
      </c>
      <c r="R2306" s="35" t="str">
        <f aca="false">IF($Q2306=1,$O2306-ROW()/100000,"")</f>
        <v/>
      </c>
      <c r="S2306" s="37" t="str">
        <f aca="false">IF($A2306="","",INT($A2306))</f>
        <v/>
      </c>
      <c r="T2306" s="35" t="str">
        <f aca="false">IF($A2306="","",IF(COUNTIFS($S$3:$S2306,$S2306)=1,1,0))</f>
        <v/>
      </c>
      <c r="U2306" s="37" t="str">
        <f aca="false">IF($T2306=1,$S2306,"")</f>
        <v/>
      </c>
    </row>
    <row r="2307" customFormat="false" ht="15" hidden="false" customHeight="false" outlineLevel="0" collapsed="false">
      <c r="M2307" s="35" t="str">
        <f aca="false">IF($A2307="","",HOUR($A2307))</f>
        <v/>
      </c>
      <c r="N2307" s="36" t="str">
        <f aca="false">IF($A2307="","",$I2307*$K2307)</f>
        <v/>
      </c>
      <c r="O2307" s="35" t="str">
        <f aca="false">IF(OR($A2307="",$C2307="U",$S2307&lt;&gt;Calc!$F$2),"",SUMIFS($I$3:$I$3002,$E$3:$E$3002,$E2307,$C$3:$C$3002,"&lt;&gt;U",$S$3:$S$3002,Calc!$F$2))</f>
        <v/>
      </c>
      <c r="P2307" s="35" t="str">
        <f aca="false">IF(OR($A2307="",$C2307="U",$S2307&lt;&gt;Calc!$F$2),"",SUMIFS($N$3:$N$3002,$E$3:$E$3002,$E2307,$C$3:$C$3002,"&lt;&gt;U",$S$3:$S$3002,Calc!$F$2))</f>
        <v/>
      </c>
      <c r="Q2307" s="35" t="str">
        <f aca="false">IF(OR($A2307="",$C2307="U",$S2307&lt;&gt;Calc!$F$2),"",IF(COUNTIFS($E$3:$E2307,$E2307,$C$3:$C2307,"&lt;&gt;U",$S$3:$S2307,Calc!$F$2)=1,1,0))</f>
        <v/>
      </c>
      <c r="R2307" s="35" t="str">
        <f aca="false">IF($Q2307=1,$O2307-ROW()/100000,"")</f>
        <v/>
      </c>
      <c r="S2307" s="37" t="str">
        <f aca="false">IF($A2307="","",INT($A2307))</f>
        <v/>
      </c>
      <c r="T2307" s="35" t="str">
        <f aca="false">IF($A2307="","",IF(COUNTIFS($S$3:$S2307,$S2307)=1,1,0))</f>
        <v/>
      </c>
      <c r="U2307" s="37" t="str">
        <f aca="false">IF($T2307=1,$S2307,"")</f>
        <v/>
      </c>
    </row>
    <row r="2308" customFormat="false" ht="15" hidden="false" customHeight="false" outlineLevel="0" collapsed="false">
      <c r="M2308" s="35" t="str">
        <f aca="false">IF($A2308="","",HOUR($A2308))</f>
        <v/>
      </c>
      <c r="N2308" s="36" t="str">
        <f aca="false">IF($A2308="","",$I2308*$K2308)</f>
        <v/>
      </c>
      <c r="O2308" s="35" t="str">
        <f aca="false">IF(OR($A2308="",$C2308="U",$S2308&lt;&gt;Calc!$F$2),"",SUMIFS($I$3:$I$3002,$E$3:$E$3002,$E2308,$C$3:$C$3002,"&lt;&gt;U",$S$3:$S$3002,Calc!$F$2))</f>
        <v/>
      </c>
      <c r="P2308" s="35" t="str">
        <f aca="false">IF(OR($A2308="",$C2308="U",$S2308&lt;&gt;Calc!$F$2),"",SUMIFS($N$3:$N$3002,$E$3:$E$3002,$E2308,$C$3:$C$3002,"&lt;&gt;U",$S$3:$S$3002,Calc!$F$2))</f>
        <v/>
      </c>
      <c r="Q2308" s="35" t="str">
        <f aca="false">IF(OR($A2308="",$C2308="U",$S2308&lt;&gt;Calc!$F$2),"",IF(COUNTIFS($E$3:$E2308,$E2308,$C$3:$C2308,"&lt;&gt;U",$S$3:$S2308,Calc!$F$2)=1,1,0))</f>
        <v/>
      </c>
      <c r="R2308" s="35" t="str">
        <f aca="false">IF($Q2308=1,$O2308-ROW()/100000,"")</f>
        <v/>
      </c>
      <c r="S2308" s="37" t="str">
        <f aca="false">IF($A2308="","",INT($A2308))</f>
        <v/>
      </c>
      <c r="T2308" s="35" t="str">
        <f aca="false">IF($A2308="","",IF(COUNTIFS($S$3:$S2308,$S2308)=1,1,0))</f>
        <v/>
      </c>
      <c r="U2308" s="37" t="str">
        <f aca="false">IF($T2308=1,$S2308,"")</f>
        <v/>
      </c>
    </row>
    <row r="2309" customFormat="false" ht="15" hidden="false" customHeight="false" outlineLevel="0" collapsed="false">
      <c r="M2309" s="35" t="str">
        <f aca="false">IF($A2309="","",HOUR($A2309))</f>
        <v/>
      </c>
      <c r="N2309" s="36" t="str">
        <f aca="false">IF($A2309="","",$I2309*$K2309)</f>
        <v/>
      </c>
      <c r="O2309" s="35" t="str">
        <f aca="false">IF(OR($A2309="",$C2309="U",$S2309&lt;&gt;Calc!$F$2),"",SUMIFS($I$3:$I$3002,$E$3:$E$3002,$E2309,$C$3:$C$3002,"&lt;&gt;U",$S$3:$S$3002,Calc!$F$2))</f>
        <v/>
      </c>
      <c r="P2309" s="35" t="str">
        <f aca="false">IF(OR($A2309="",$C2309="U",$S2309&lt;&gt;Calc!$F$2),"",SUMIFS($N$3:$N$3002,$E$3:$E$3002,$E2309,$C$3:$C$3002,"&lt;&gt;U",$S$3:$S$3002,Calc!$F$2))</f>
        <v/>
      </c>
      <c r="Q2309" s="35" t="str">
        <f aca="false">IF(OR($A2309="",$C2309="U",$S2309&lt;&gt;Calc!$F$2),"",IF(COUNTIFS($E$3:$E2309,$E2309,$C$3:$C2309,"&lt;&gt;U",$S$3:$S2309,Calc!$F$2)=1,1,0))</f>
        <v/>
      </c>
      <c r="R2309" s="35" t="str">
        <f aca="false">IF($Q2309=1,$O2309-ROW()/100000,"")</f>
        <v/>
      </c>
      <c r="S2309" s="37" t="str">
        <f aca="false">IF($A2309="","",INT($A2309))</f>
        <v/>
      </c>
      <c r="T2309" s="35" t="str">
        <f aca="false">IF($A2309="","",IF(COUNTIFS($S$3:$S2309,$S2309)=1,1,0))</f>
        <v/>
      </c>
      <c r="U2309" s="37" t="str">
        <f aca="false">IF($T2309=1,$S2309,"")</f>
        <v/>
      </c>
    </row>
    <row r="2310" customFormat="false" ht="15" hidden="false" customHeight="false" outlineLevel="0" collapsed="false">
      <c r="M2310" s="35" t="str">
        <f aca="false">IF($A2310="","",HOUR($A2310))</f>
        <v/>
      </c>
      <c r="N2310" s="36" t="str">
        <f aca="false">IF($A2310="","",$I2310*$K2310)</f>
        <v/>
      </c>
      <c r="O2310" s="35" t="str">
        <f aca="false">IF(OR($A2310="",$C2310="U",$S2310&lt;&gt;Calc!$F$2),"",SUMIFS($I$3:$I$3002,$E$3:$E$3002,$E2310,$C$3:$C$3002,"&lt;&gt;U",$S$3:$S$3002,Calc!$F$2))</f>
        <v/>
      </c>
      <c r="P2310" s="35" t="str">
        <f aca="false">IF(OR($A2310="",$C2310="U",$S2310&lt;&gt;Calc!$F$2),"",SUMIFS($N$3:$N$3002,$E$3:$E$3002,$E2310,$C$3:$C$3002,"&lt;&gt;U",$S$3:$S$3002,Calc!$F$2))</f>
        <v/>
      </c>
      <c r="Q2310" s="35" t="str">
        <f aca="false">IF(OR($A2310="",$C2310="U",$S2310&lt;&gt;Calc!$F$2),"",IF(COUNTIFS($E$3:$E2310,$E2310,$C$3:$C2310,"&lt;&gt;U",$S$3:$S2310,Calc!$F$2)=1,1,0))</f>
        <v/>
      </c>
      <c r="R2310" s="35" t="str">
        <f aca="false">IF($Q2310=1,$O2310-ROW()/100000,"")</f>
        <v/>
      </c>
      <c r="S2310" s="37" t="str">
        <f aca="false">IF($A2310="","",INT($A2310))</f>
        <v/>
      </c>
      <c r="T2310" s="35" t="str">
        <f aca="false">IF($A2310="","",IF(COUNTIFS($S$3:$S2310,$S2310)=1,1,0))</f>
        <v/>
      </c>
      <c r="U2310" s="37" t="str">
        <f aca="false">IF($T2310=1,$S2310,"")</f>
        <v/>
      </c>
    </row>
    <row r="2311" customFormat="false" ht="15" hidden="false" customHeight="false" outlineLevel="0" collapsed="false">
      <c r="M2311" s="35" t="str">
        <f aca="false">IF($A2311="","",HOUR($A2311))</f>
        <v/>
      </c>
      <c r="N2311" s="36" t="str">
        <f aca="false">IF($A2311="","",$I2311*$K2311)</f>
        <v/>
      </c>
      <c r="O2311" s="35" t="str">
        <f aca="false">IF(OR($A2311="",$C2311="U",$S2311&lt;&gt;Calc!$F$2),"",SUMIFS($I$3:$I$3002,$E$3:$E$3002,$E2311,$C$3:$C$3002,"&lt;&gt;U",$S$3:$S$3002,Calc!$F$2))</f>
        <v/>
      </c>
      <c r="P2311" s="35" t="str">
        <f aca="false">IF(OR($A2311="",$C2311="U",$S2311&lt;&gt;Calc!$F$2),"",SUMIFS($N$3:$N$3002,$E$3:$E$3002,$E2311,$C$3:$C$3002,"&lt;&gt;U",$S$3:$S$3002,Calc!$F$2))</f>
        <v/>
      </c>
      <c r="Q2311" s="35" t="str">
        <f aca="false">IF(OR($A2311="",$C2311="U",$S2311&lt;&gt;Calc!$F$2),"",IF(COUNTIFS($E$3:$E2311,$E2311,$C$3:$C2311,"&lt;&gt;U",$S$3:$S2311,Calc!$F$2)=1,1,0))</f>
        <v/>
      </c>
      <c r="R2311" s="35" t="str">
        <f aca="false">IF($Q2311=1,$O2311-ROW()/100000,"")</f>
        <v/>
      </c>
      <c r="S2311" s="37" t="str">
        <f aca="false">IF($A2311="","",INT($A2311))</f>
        <v/>
      </c>
      <c r="T2311" s="35" t="str">
        <f aca="false">IF($A2311="","",IF(COUNTIFS($S$3:$S2311,$S2311)=1,1,0))</f>
        <v/>
      </c>
      <c r="U2311" s="37" t="str">
        <f aca="false">IF($T2311=1,$S2311,"")</f>
        <v/>
      </c>
    </row>
    <row r="2312" customFormat="false" ht="15" hidden="false" customHeight="false" outlineLevel="0" collapsed="false">
      <c r="M2312" s="35" t="str">
        <f aca="false">IF($A2312="","",HOUR($A2312))</f>
        <v/>
      </c>
      <c r="N2312" s="36" t="str">
        <f aca="false">IF($A2312="","",$I2312*$K2312)</f>
        <v/>
      </c>
      <c r="O2312" s="35" t="str">
        <f aca="false">IF(OR($A2312="",$C2312="U",$S2312&lt;&gt;Calc!$F$2),"",SUMIFS($I$3:$I$3002,$E$3:$E$3002,$E2312,$C$3:$C$3002,"&lt;&gt;U",$S$3:$S$3002,Calc!$F$2))</f>
        <v/>
      </c>
      <c r="P2312" s="35" t="str">
        <f aca="false">IF(OR($A2312="",$C2312="U",$S2312&lt;&gt;Calc!$F$2),"",SUMIFS($N$3:$N$3002,$E$3:$E$3002,$E2312,$C$3:$C$3002,"&lt;&gt;U",$S$3:$S$3002,Calc!$F$2))</f>
        <v/>
      </c>
      <c r="Q2312" s="35" t="str">
        <f aca="false">IF(OR($A2312="",$C2312="U",$S2312&lt;&gt;Calc!$F$2),"",IF(COUNTIFS($E$3:$E2312,$E2312,$C$3:$C2312,"&lt;&gt;U",$S$3:$S2312,Calc!$F$2)=1,1,0))</f>
        <v/>
      </c>
      <c r="R2312" s="35" t="str">
        <f aca="false">IF($Q2312=1,$O2312-ROW()/100000,"")</f>
        <v/>
      </c>
      <c r="S2312" s="37" t="str">
        <f aca="false">IF($A2312="","",INT($A2312))</f>
        <v/>
      </c>
      <c r="T2312" s="35" t="str">
        <f aca="false">IF($A2312="","",IF(COUNTIFS($S$3:$S2312,$S2312)=1,1,0))</f>
        <v/>
      </c>
      <c r="U2312" s="37" t="str">
        <f aca="false">IF($T2312=1,$S2312,"")</f>
        <v/>
      </c>
    </row>
    <row r="2313" customFormat="false" ht="15" hidden="false" customHeight="false" outlineLevel="0" collapsed="false">
      <c r="M2313" s="35" t="str">
        <f aca="false">IF($A2313="","",HOUR($A2313))</f>
        <v/>
      </c>
      <c r="N2313" s="36" t="str">
        <f aca="false">IF($A2313="","",$I2313*$K2313)</f>
        <v/>
      </c>
      <c r="O2313" s="35" t="str">
        <f aca="false">IF(OR($A2313="",$C2313="U",$S2313&lt;&gt;Calc!$F$2),"",SUMIFS($I$3:$I$3002,$E$3:$E$3002,$E2313,$C$3:$C$3002,"&lt;&gt;U",$S$3:$S$3002,Calc!$F$2))</f>
        <v/>
      </c>
      <c r="P2313" s="35" t="str">
        <f aca="false">IF(OR($A2313="",$C2313="U",$S2313&lt;&gt;Calc!$F$2),"",SUMIFS($N$3:$N$3002,$E$3:$E$3002,$E2313,$C$3:$C$3002,"&lt;&gt;U",$S$3:$S$3002,Calc!$F$2))</f>
        <v/>
      </c>
      <c r="Q2313" s="35" t="str">
        <f aca="false">IF(OR($A2313="",$C2313="U",$S2313&lt;&gt;Calc!$F$2),"",IF(COUNTIFS($E$3:$E2313,$E2313,$C$3:$C2313,"&lt;&gt;U",$S$3:$S2313,Calc!$F$2)=1,1,0))</f>
        <v/>
      </c>
      <c r="R2313" s="35" t="str">
        <f aca="false">IF($Q2313=1,$O2313-ROW()/100000,"")</f>
        <v/>
      </c>
      <c r="S2313" s="37" t="str">
        <f aca="false">IF($A2313="","",INT($A2313))</f>
        <v/>
      </c>
      <c r="T2313" s="35" t="str">
        <f aca="false">IF($A2313="","",IF(COUNTIFS($S$3:$S2313,$S2313)=1,1,0))</f>
        <v/>
      </c>
      <c r="U2313" s="37" t="str">
        <f aca="false">IF($T2313=1,$S2313,"")</f>
        <v/>
      </c>
    </row>
    <row r="2314" customFormat="false" ht="15" hidden="false" customHeight="false" outlineLevel="0" collapsed="false">
      <c r="M2314" s="35" t="str">
        <f aca="false">IF($A2314="","",HOUR($A2314))</f>
        <v/>
      </c>
      <c r="N2314" s="36" t="str">
        <f aca="false">IF($A2314="","",$I2314*$K2314)</f>
        <v/>
      </c>
      <c r="O2314" s="35" t="str">
        <f aca="false">IF(OR($A2314="",$C2314="U",$S2314&lt;&gt;Calc!$F$2),"",SUMIFS($I$3:$I$3002,$E$3:$E$3002,$E2314,$C$3:$C$3002,"&lt;&gt;U",$S$3:$S$3002,Calc!$F$2))</f>
        <v/>
      </c>
      <c r="P2314" s="35" t="str">
        <f aca="false">IF(OR($A2314="",$C2314="U",$S2314&lt;&gt;Calc!$F$2),"",SUMIFS($N$3:$N$3002,$E$3:$E$3002,$E2314,$C$3:$C$3002,"&lt;&gt;U",$S$3:$S$3002,Calc!$F$2))</f>
        <v/>
      </c>
      <c r="Q2314" s="35" t="str">
        <f aca="false">IF(OR($A2314="",$C2314="U",$S2314&lt;&gt;Calc!$F$2),"",IF(COUNTIFS($E$3:$E2314,$E2314,$C$3:$C2314,"&lt;&gt;U",$S$3:$S2314,Calc!$F$2)=1,1,0))</f>
        <v/>
      </c>
      <c r="R2314" s="35" t="str">
        <f aca="false">IF($Q2314=1,$O2314-ROW()/100000,"")</f>
        <v/>
      </c>
      <c r="S2314" s="37" t="str">
        <f aca="false">IF($A2314="","",INT($A2314))</f>
        <v/>
      </c>
      <c r="T2314" s="35" t="str">
        <f aca="false">IF($A2314="","",IF(COUNTIFS($S$3:$S2314,$S2314)=1,1,0))</f>
        <v/>
      </c>
      <c r="U2314" s="37" t="str">
        <f aca="false">IF($T2314=1,$S2314,"")</f>
        <v/>
      </c>
    </row>
    <row r="2315" customFormat="false" ht="15" hidden="false" customHeight="false" outlineLevel="0" collapsed="false">
      <c r="M2315" s="35" t="str">
        <f aca="false">IF($A2315="","",HOUR($A2315))</f>
        <v/>
      </c>
      <c r="N2315" s="36" t="str">
        <f aca="false">IF($A2315="","",$I2315*$K2315)</f>
        <v/>
      </c>
      <c r="O2315" s="35" t="str">
        <f aca="false">IF(OR($A2315="",$C2315="U",$S2315&lt;&gt;Calc!$F$2),"",SUMIFS($I$3:$I$3002,$E$3:$E$3002,$E2315,$C$3:$C$3002,"&lt;&gt;U",$S$3:$S$3002,Calc!$F$2))</f>
        <v/>
      </c>
      <c r="P2315" s="35" t="str">
        <f aca="false">IF(OR($A2315="",$C2315="U",$S2315&lt;&gt;Calc!$F$2),"",SUMIFS($N$3:$N$3002,$E$3:$E$3002,$E2315,$C$3:$C$3002,"&lt;&gt;U",$S$3:$S$3002,Calc!$F$2))</f>
        <v/>
      </c>
      <c r="Q2315" s="35" t="str">
        <f aca="false">IF(OR($A2315="",$C2315="U",$S2315&lt;&gt;Calc!$F$2),"",IF(COUNTIFS($E$3:$E2315,$E2315,$C$3:$C2315,"&lt;&gt;U",$S$3:$S2315,Calc!$F$2)=1,1,0))</f>
        <v/>
      </c>
      <c r="R2315" s="35" t="str">
        <f aca="false">IF($Q2315=1,$O2315-ROW()/100000,"")</f>
        <v/>
      </c>
      <c r="S2315" s="37" t="str">
        <f aca="false">IF($A2315="","",INT($A2315))</f>
        <v/>
      </c>
      <c r="T2315" s="35" t="str">
        <f aca="false">IF($A2315="","",IF(COUNTIFS($S$3:$S2315,$S2315)=1,1,0))</f>
        <v/>
      </c>
      <c r="U2315" s="37" t="str">
        <f aca="false">IF($T2315=1,$S2315,"")</f>
        <v/>
      </c>
    </row>
    <row r="2316" customFormat="false" ht="15" hidden="false" customHeight="false" outlineLevel="0" collapsed="false">
      <c r="M2316" s="35" t="str">
        <f aca="false">IF($A2316="","",HOUR($A2316))</f>
        <v/>
      </c>
      <c r="N2316" s="36" t="str">
        <f aca="false">IF($A2316="","",$I2316*$K2316)</f>
        <v/>
      </c>
      <c r="O2316" s="35" t="str">
        <f aca="false">IF(OR($A2316="",$C2316="U",$S2316&lt;&gt;Calc!$F$2),"",SUMIFS($I$3:$I$3002,$E$3:$E$3002,$E2316,$C$3:$C$3002,"&lt;&gt;U",$S$3:$S$3002,Calc!$F$2))</f>
        <v/>
      </c>
      <c r="P2316" s="35" t="str">
        <f aca="false">IF(OR($A2316="",$C2316="U",$S2316&lt;&gt;Calc!$F$2),"",SUMIFS($N$3:$N$3002,$E$3:$E$3002,$E2316,$C$3:$C$3002,"&lt;&gt;U",$S$3:$S$3002,Calc!$F$2))</f>
        <v/>
      </c>
      <c r="Q2316" s="35" t="str">
        <f aca="false">IF(OR($A2316="",$C2316="U",$S2316&lt;&gt;Calc!$F$2),"",IF(COUNTIFS($E$3:$E2316,$E2316,$C$3:$C2316,"&lt;&gt;U",$S$3:$S2316,Calc!$F$2)=1,1,0))</f>
        <v/>
      </c>
      <c r="R2316" s="35" t="str">
        <f aca="false">IF($Q2316=1,$O2316-ROW()/100000,"")</f>
        <v/>
      </c>
      <c r="S2316" s="37" t="str">
        <f aca="false">IF($A2316="","",INT($A2316))</f>
        <v/>
      </c>
      <c r="T2316" s="35" t="str">
        <f aca="false">IF($A2316="","",IF(COUNTIFS($S$3:$S2316,$S2316)=1,1,0))</f>
        <v/>
      </c>
      <c r="U2316" s="37" t="str">
        <f aca="false">IF($T2316=1,$S2316,"")</f>
        <v/>
      </c>
    </row>
    <row r="2317" customFormat="false" ht="15" hidden="false" customHeight="false" outlineLevel="0" collapsed="false">
      <c r="M2317" s="35" t="str">
        <f aca="false">IF($A2317="","",HOUR($A2317))</f>
        <v/>
      </c>
      <c r="N2317" s="36" t="str">
        <f aca="false">IF($A2317="","",$I2317*$K2317)</f>
        <v/>
      </c>
      <c r="O2317" s="35" t="str">
        <f aca="false">IF(OR($A2317="",$C2317="U",$S2317&lt;&gt;Calc!$F$2),"",SUMIFS($I$3:$I$3002,$E$3:$E$3002,$E2317,$C$3:$C$3002,"&lt;&gt;U",$S$3:$S$3002,Calc!$F$2))</f>
        <v/>
      </c>
      <c r="P2317" s="35" t="str">
        <f aca="false">IF(OR($A2317="",$C2317="U",$S2317&lt;&gt;Calc!$F$2),"",SUMIFS($N$3:$N$3002,$E$3:$E$3002,$E2317,$C$3:$C$3002,"&lt;&gt;U",$S$3:$S$3002,Calc!$F$2))</f>
        <v/>
      </c>
      <c r="Q2317" s="35" t="str">
        <f aca="false">IF(OR($A2317="",$C2317="U",$S2317&lt;&gt;Calc!$F$2),"",IF(COUNTIFS($E$3:$E2317,$E2317,$C$3:$C2317,"&lt;&gt;U",$S$3:$S2317,Calc!$F$2)=1,1,0))</f>
        <v/>
      </c>
      <c r="R2317" s="35" t="str">
        <f aca="false">IF($Q2317=1,$O2317-ROW()/100000,"")</f>
        <v/>
      </c>
      <c r="S2317" s="37" t="str">
        <f aca="false">IF($A2317="","",INT($A2317))</f>
        <v/>
      </c>
      <c r="T2317" s="35" t="str">
        <f aca="false">IF($A2317="","",IF(COUNTIFS($S$3:$S2317,$S2317)=1,1,0))</f>
        <v/>
      </c>
      <c r="U2317" s="37" t="str">
        <f aca="false">IF($T2317=1,$S2317,"")</f>
        <v/>
      </c>
    </row>
    <row r="2318" customFormat="false" ht="15" hidden="false" customHeight="false" outlineLevel="0" collapsed="false">
      <c r="M2318" s="35" t="str">
        <f aca="false">IF($A2318="","",HOUR($A2318))</f>
        <v/>
      </c>
      <c r="N2318" s="36" t="str">
        <f aca="false">IF($A2318="","",$I2318*$K2318)</f>
        <v/>
      </c>
      <c r="O2318" s="35" t="str">
        <f aca="false">IF(OR($A2318="",$C2318="U",$S2318&lt;&gt;Calc!$F$2),"",SUMIFS($I$3:$I$3002,$E$3:$E$3002,$E2318,$C$3:$C$3002,"&lt;&gt;U",$S$3:$S$3002,Calc!$F$2))</f>
        <v/>
      </c>
      <c r="P2318" s="35" t="str">
        <f aca="false">IF(OR($A2318="",$C2318="U",$S2318&lt;&gt;Calc!$F$2),"",SUMIFS($N$3:$N$3002,$E$3:$E$3002,$E2318,$C$3:$C$3002,"&lt;&gt;U",$S$3:$S$3002,Calc!$F$2))</f>
        <v/>
      </c>
      <c r="Q2318" s="35" t="str">
        <f aca="false">IF(OR($A2318="",$C2318="U",$S2318&lt;&gt;Calc!$F$2),"",IF(COUNTIFS($E$3:$E2318,$E2318,$C$3:$C2318,"&lt;&gt;U",$S$3:$S2318,Calc!$F$2)=1,1,0))</f>
        <v/>
      </c>
      <c r="R2318" s="35" t="str">
        <f aca="false">IF($Q2318=1,$O2318-ROW()/100000,"")</f>
        <v/>
      </c>
      <c r="S2318" s="37" t="str">
        <f aca="false">IF($A2318="","",INT($A2318))</f>
        <v/>
      </c>
      <c r="T2318" s="35" t="str">
        <f aca="false">IF($A2318="","",IF(COUNTIFS($S$3:$S2318,$S2318)=1,1,0))</f>
        <v/>
      </c>
      <c r="U2318" s="37" t="str">
        <f aca="false">IF($T2318=1,$S2318,"")</f>
        <v/>
      </c>
    </row>
    <row r="2319" customFormat="false" ht="15" hidden="false" customHeight="false" outlineLevel="0" collapsed="false">
      <c r="M2319" s="35" t="str">
        <f aca="false">IF($A2319="","",HOUR($A2319))</f>
        <v/>
      </c>
      <c r="N2319" s="36" t="str">
        <f aca="false">IF($A2319="","",$I2319*$K2319)</f>
        <v/>
      </c>
      <c r="O2319" s="35" t="str">
        <f aca="false">IF(OR($A2319="",$C2319="U",$S2319&lt;&gt;Calc!$F$2),"",SUMIFS($I$3:$I$3002,$E$3:$E$3002,$E2319,$C$3:$C$3002,"&lt;&gt;U",$S$3:$S$3002,Calc!$F$2))</f>
        <v/>
      </c>
      <c r="P2319" s="35" t="str">
        <f aca="false">IF(OR($A2319="",$C2319="U",$S2319&lt;&gt;Calc!$F$2),"",SUMIFS($N$3:$N$3002,$E$3:$E$3002,$E2319,$C$3:$C$3002,"&lt;&gt;U",$S$3:$S$3002,Calc!$F$2))</f>
        <v/>
      </c>
      <c r="Q2319" s="35" t="str">
        <f aca="false">IF(OR($A2319="",$C2319="U",$S2319&lt;&gt;Calc!$F$2),"",IF(COUNTIFS($E$3:$E2319,$E2319,$C$3:$C2319,"&lt;&gt;U",$S$3:$S2319,Calc!$F$2)=1,1,0))</f>
        <v/>
      </c>
      <c r="R2319" s="35" t="str">
        <f aca="false">IF($Q2319=1,$O2319-ROW()/100000,"")</f>
        <v/>
      </c>
      <c r="S2319" s="37" t="str">
        <f aca="false">IF($A2319="","",INT($A2319))</f>
        <v/>
      </c>
      <c r="T2319" s="35" t="str">
        <f aca="false">IF($A2319="","",IF(COUNTIFS($S$3:$S2319,$S2319)=1,1,0))</f>
        <v/>
      </c>
      <c r="U2319" s="37" t="str">
        <f aca="false">IF($T2319=1,$S2319,"")</f>
        <v/>
      </c>
    </row>
    <row r="2320" customFormat="false" ht="15" hidden="false" customHeight="false" outlineLevel="0" collapsed="false">
      <c r="M2320" s="35" t="str">
        <f aca="false">IF($A2320="","",HOUR($A2320))</f>
        <v/>
      </c>
      <c r="N2320" s="36" t="str">
        <f aca="false">IF($A2320="","",$I2320*$K2320)</f>
        <v/>
      </c>
      <c r="O2320" s="35" t="str">
        <f aca="false">IF(OR($A2320="",$C2320="U",$S2320&lt;&gt;Calc!$F$2),"",SUMIFS($I$3:$I$3002,$E$3:$E$3002,$E2320,$C$3:$C$3002,"&lt;&gt;U",$S$3:$S$3002,Calc!$F$2))</f>
        <v/>
      </c>
      <c r="P2320" s="35" t="str">
        <f aca="false">IF(OR($A2320="",$C2320="U",$S2320&lt;&gt;Calc!$F$2),"",SUMIFS($N$3:$N$3002,$E$3:$E$3002,$E2320,$C$3:$C$3002,"&lt;&gt;U",$S$3:$S$3002,Calc!$F$2))</f>
        <v/>
      </c>
      <c r="Q2320" s="35" t="str">
        <f aca="false">IF(OR($A2320="",$C2320="U",$S2320&lt;&gt;Calc!$F$2),"",IF(COUNTIFS($E$3:$E2320,$E2320,$C$3:$C2320,"&lt;&gt;U",$S$3:$S2320,Calc!$F$2)=1,1,0))</f>
        <v/>
      </c>
      <c r="R2320" s="35" t="str">
        <f aca="false">IF($Q2320=1,$O2320-ROW()/100000,"")</f>
        <v/>
      </c>
      <c r="S2320" s="37" t="str">
        <f aca="false">IF($A2320="","",INT($A2320))</f>
        <v/>
      </c>
      <c r="T2320" s="35" t="str">
        <f aca="false">IF($A2320="","",IF(COUNTIFS($S$3:$S2320,$S2320)=1,1,0))</f>
        <v/>
      </c>
      <c r="U2320" s="37" t="str">
        <f aca="false">IF($T2320=1,$S2320,"")</f>
        <v/>
      </c>
    </row>
    <row r="2321" customFormat="false" ht="15" hidden="false" customHeight="false" outlineLevel="0" collapsed="false">
      <c r="M2321" s="35" t="str">
        <f aca="false">IF($A2321="","",HOUR($A2321))</f>
        <v/>
      </c>
      <c r="N2321" s="36" t="str">
        <f aca="false">IF($A2321="","",$I2321*$K2321)</f>
        <v/>
      </c>
      <c r="O2321" s="35" t="str">
        <f aca="false">IF(OR($A2321="",$C2321="U",$S2321&lt;&gt;Calc!$F$2),"",SUMIFS($I$3:$I$3002,$E$3:$E$3002,$E2321,$C$3:$C$3002,"&lt;&gt;U",$S$3:$S$3002,Calc!$F$2))</f>
        <v/>
      </c>
      <c r="P2321" s="35" t="str">
        <f aca="false">IF(OR($A2321="",$C2321="U",$S2321&lt;&gt;Calc!$F$2),"",SUMIFS($N$3:$N$3002,$E$3:$E$3002,$E2321,$C$3:$C$3002,"&lt;&gt;U",$S$3:$S$3002,Calc!$F$2))</f>
        <v/>
      </c>
      <c r="Q2321" s="35" t="str">
        <f aca="false">IF(OR($A2321="",$C2321="U",$S2321&lt;&gt;Calc!$F$2),"",IF(COUNTIFS($E$3:$E2321,$E2321,$C$3:$C2321,"&lt;&gt;U",$S$3:$S2321,Calc!$F$2)=1,1,0))</f>
        <v/>
      </c>
      <c r="R2321" s="35" t="str">
        <f aca="false">IF($Q2321=1,$O2321-ROW()/100000,"")</f>
        <v/>
      </c>
      <c r="S2321" s="37" t="str">
        <f aca="false">IF($A2321="","",INT($A2321))</f>
        <v/>
      </c>
      <c r="T2321" s="35" t="str">
        <f aca="false">IF($A2321="","",IF(COUNTIFS($S$3:$S2321,$S2321)=1,1,0))</f>
        <v/>
      </c>
      <c r="U2321" s="37" t="str">
        <f aca="false">IF($T2321=1,$S2321,"")</f>
        <v/>
      </c>
    </row>
    <row r="2322" customFormat="false" ht="15" hidden="false" customHeight="false" outlineLevel="0" collapsed="false">
      <c r="M2322" s="35" t="str">
        <f aca="false">IF($A2322="","",HOUR($A2322))</f>
        <v/>
      </c>
      <c r="N2322" s="36" t="str">
        <f aca="false">IF($A2322="","",$I2322*$K2322)</f>
        <v/>
      </c>
      <c r="O2322" s="35" t="str">
        <f aca="false">IF(OR($A2322="",$C2322="U",$S2322&lt;&gt;Calc!$F$2),"",SUMIFS($I$3:$I$3002,$E$3:$E$3002,$E2322,$C$3:$C$3002,"&lt;&gt;U",$S$3:$S$3002,Calc!$F$2))</f>
        <v/>
      </c>
      <c r="P2322" s="35" t="str">
        <f aca="false">IF(OR($A2322="",$C2322="U",$S2322&lt;&gt;Calc!$F$2),"",SUMIFS($N$3:$N$3002,$E$3:$E$3002,$E2322,$C$3:$C$3002,"&lt;&gt;U",$S$3:$S$3002,Calc!$F$2))</f>
        <v/>
      </c>
      <c r="Q2322" s="35" t="str">
        <f aca="false">IF(OR($A2322="",$C2322="U",$S2322&lt;&gt;Calc!$F$2),"",IF(COUNTIFS($E$3:$E2322,$E2322,$C$3:$C2322,"&lt;&gt;U",$S$3:$S2322,Calc!$F$2)=1,1,0))</f>
        <v/>
      </c>
      <c r="R2322" s="35" t="str">
        <f aca="false">IF($Q2322=1,$O2322-ROW()/100000,"")</f>
        <v/>
      </c>
      <c r="S2322" s="37" t="str">
        <f aca="false">IF($A2322="","",INT($A2322))</f>
        <v/>
      </c>
      <c r="T2322" s="35" t="str">
        <f aca="false">IF($A2322="","",IF(COUNTIFS($S$3:$S2322,$S2322)=1,1,0))</f>
        <v/>
      </c>
      <c r="U2322" s="37" t="str">
        <f aca="false">IF($T2322=1,$S2322,"")</f>
        <v/>
      </c>
    </row>
    <row r="2323" customFormat="false" ht="15" hidden="false" customHeight="false" outlineLevel="0" collapsed="false">
      <c r="M2323" s="35" t="str">
        <f aca="false">IF($A2323="","",HOUR($A2323))</f>
        <v/>
      </c>
      <c r="N2323" s="36" t="str">
        <f aca="false">IF($A2323="","",$I2323*$K2323)</f>
        <v/>
      </c>
      <c r="O2323" s="35" t="str">
        <f aca="false">IF(OR($A2323="",$C2323="U",$S2323&lt;&gt;Calc!$F$2),"",SUMIFS($I$3:$I$3002,$E$3:$E$3002,$E2323,$C$3:$C$3002,"&lt;&gt;U",$S$3:$S$3002,Calc!$F$2))</f>
        <v/>
      </c>
      <c r="P2323" s="35" t="str">
        <f aca="false">IF(OR($A2323="",$C2323="U",$S2323&lt;&gt;Calc!$F$2),"",SUMIFS($N$3:$N$3002,$E$3:$E$3002,$E2323,$C$3:$C$3002,"&lt;&gt;U",$S$3:$S$3002,Calc!$F$2))</f>
        <v/>
      </c>
      <c r="Q2323" s="35" t="str">
        <f aca="false">IF(OR($A2323="",$C2323="U",$S2323&lt;&gt;Calc!$F$2),"",IF(COUNTIFS($E$3:$E2323,$E2323,$C$3:$C2323,"&lt;&gt;U",$S$3:$S2323,Calc!$F$2)=1,1,0))</f>
        <v/>
      </c>
      <c r="R2323" s="35" t="str">
        <f aca="false">IF($Q2323=1,$O2323-ROW()/100000,"")</f>
        <v/>
      </c>
      <c r="S2323" s="37" t="str">
        <f aca="false">IF($A2323="","",INT($A2323))</f>
        <v/>
      </c>
      <c r="T2323" s="35" t="str">
        <f aca="false">IF($A2323="","",IF(COUNTIFS($S$3:$S2323,$S2323)=1,1,0))</f>
        <v/>
      </c>
      <c r="U2323" s="37" t="str">
        <f aca="false">IF($T2323=1,$S2323,"")</f>
        <v/>
      </c>
    </row>
    <row r="2324" customFormat="false" ht="15" hidden="false" customHeight="false" outlineLevel="0" collapsed="false">
      <c r="M2324" s="35" t="str">
        <f aca="false">IF($A2324="","",HOUR($A2324))</f>
        <v/>
      </c>
      <c r="N2324" s="36" t="str">
        <f aca="false">IF($A2324="","",$I2324*$K2324)</f>
        <v/>
      </c>
      <c r="O2324" s="35" t="str">
        <f aca="false">IF(OR($A2324="",$C2324="U",$S2324&lt;&gt;Calc!$F$2),"",SUMIFS($I$3:$I$3002,$E$3:$E$3002,$E2324,$C$3:$C$3002,"&lt;&gt;U",$S$3:$S$3002,Calc!$F$2))</f>
        <v/>
      </c>
      <c r="P2324" s="35" t="str">
        <f aca="false">IF(OR($A2324="",$C2324="U",$S2324&lt;&gt;Calc!$F$2),"",SUMIFS($N$3:$N$3002,$E$3:$E$3002,$E2324,$C$3:$C$3002,"&lt;&gt;U",$S$3:$S$3002,Calc!$F$2))</f>
        <v/>
      </c>
      <c r="Q2324" s="35" t="str">
        <f aca="false">IF(OR($A2324="",$C2324="U",$S2324&lt;&gt;Calc!$F$2),"",IF(COUNTIFS($E$3:$E2324,$E2324,$C$3:$C2324,"&lt;&gt;U",$S$3:$S2324,Calc!$F$2)=1,1,0))</f>
        <v/>
      </c>
      <c r="R2324" s="35" t="str">
        <f aca="false">IF($Q2324=1,$O2324-ROW()/100000,"")</f>
        <v/>
      </c>
      <c r="S2324" s="37" t="str">
        <f aca="false">IF($A2324="","",INT($A2324))</f>
        <v/>
      </c>
      <c r="T2324" s="35" t="str">
        <f aca="false">IF($A2324="","",IF(COUNTIFS($S$3:$S2324,$S2324)=1,1,0))</f>
        <v/>
      </c>
      <c r="U2324" s="37" t="str">
        <f aca="false">IF($T2324=1,$S2324,"")</f>
        <v/>
      </c>
    </row>
    <row r="2325" customFormat="false" ht="15" hidden="false" customHeight="false" outlineLevel="0" collapsed="false">
      <c r="M2325" s="35" t="str">
        <f aca="false">IF($A2325="","",HOUR($A2325))</f>
        <v/>
      </c>
      <c r="N2325" s="36" t="str">
        <f aca="false">IF($A2325="","",$I2325*$K2325)</f>
        <v/>
      </c>
      <c r="O2325" s="35" t="str">
        <f aca="false">IF(OR($A2325="",$C2325="U",$S2325&lt;&gt;Calc!$F$2),"",SUMIFS($I$3:$I$3002,$E$3:$E$3002,$E2325,$C$3:$C$3002,"&lt;&gt;U",$S$3:$S$3002,Calc!$F$2))</f>
        <v/>
      </c>
      <c r="P2325" s="35" t="str">
        <f aca="false">IF(OR($A2325="",$C2325="U",$S2325&lt;&gt;Calc!$F$2),"",SUMIFS($N$3:$N$3002,$E$3:$E$3002,$E2325,$C$3:$C$3002,"&lt;&gt;U",$S$3:$S$3002,Calc!$F$2))</f>
        <v/>
      </c>
      <c r="Q2325" s="35" t="str">
        <f aca="false">IF(OR($A2325="",$C2325="U",$S2325&lt;&gt;Calc!$F$2),"",IF(COUNTIFS($E$3:$E2325,$E2325,$C$3:$C2325,"&lt;&gt;U",$S$3:$S2325,Calc!$F$2)=1,1,0))</f>
        <v/>
      </c>
      <c r="R2325" s="35" t="str">
        <f aca="false">IF($Q2325=1,$O2325-ROW()/100000,"")</f>
        <v/>
      </c>
      <c r="S2325" s="37" t="str">
        <f aca="false">IF($A2325="","",INT($A2325))</f>
        <v/>
      </c>
      <c r="T2325" s="35" t="str">
        <f aca="false">IF($A2325="","",IF(COUNTIFS($S$3:$S2325,$S2325)=1,1,0))</f>
        <v/>
      </c>
      <c r="U2325" s="37" t="str">
        <f aca="false">IF($T2325=1,$S2325,"")</f>
        <v/>
      </c>
    </row>
    <row r="2326" customFormat="false" ht="15" hidden="false" customHeight="false" outlineLevel="0" collapsed="false">
      <c r="M2326" s="35" t="str">
        <f aca="false">IF($A2326="","",HOUR($A2326))</f>
        <v/>
      </c>
      <c r="N2326" s="36" t="str">
        <f aca="false">IF($A2326="","",$I2326*$K2326)</f>
        <v/>
      </c>
      <c r="O2326" s="35" t="str">
        <f aca="false">IF(OR($A2326="",$C2326="U",$S2326&lt;&gt;Calc!$F$2),"",SUMIFS($I$3:$I$3002,$E$3:$E$3002,$E2326,$C$3:$C$3002,"&lt;&gt;U",$S$3:$S$3002,Calc!$F$2))</f>
        <v/>
      </c>
      <c r="P2326" s="35" t="str">
        <f aca="false">IF(OR($A2326="",$C2326="U",$S2326&lt;&gt;Calc!$F$2),"",SUMIFS($N$3:$N$3002,$E$3:$E$3002,$E2326,$C$3:$C$3002,"&lt;&gt;U",$S$3:$S$3002,Calc!$F$2))</f>
        <v/>
      </c>
      <c r="Q2326" s="35" t="str">
        <f aca="false">IF(OR($A2326="",$C2326="U",$S2326&lt;&gt;Calc!$F$2),"",IF(COUNTIFS($E$3:$E2326,$E2326,$C$3:$C2326,"&lt;&gt;U",$S$3:$S2326,Calc!$F$2)=1,1,0))</f>
        <v/>
      </c>
      <c r="R2326" s="35" t="str">
        <f aca="false">IF($Q2326=1,$O2326-ROW()/100000,"")</f>
        <v/>
      </c>
      <c r="S2326" s="37" t="str">
        <f aca="false">IF($A2326="","",INT($A2326))</f>
        <v/>
      </c>
      <c r="T2326" s="35" t="str">
        <f aca="false">IF($A2326="","",IF(COUNTIFS($S$3:$S2326,$S2326)=1,1,0))</f>
        <v/>
      </c>
      <c r="U2326" s="37" t="str">
        <f aca="false">IF($T2326=1,$S2326,"")</f>
        <v/>
      </c>
    </row>
    <row r="2327" customFormat="false" ht="15" hidden="false" customHeight="false" outlineLevel="0" collapsed="false">
      <c r="M2327" s="35" t="str">
        <f aca="false">IF($A2327="","",HOUR($A2327))</f>
        <v/>
      </c>
      <c r="N2327" s="36" t="str">
        <f aca="false">IF($A2327="","",$I2327*$K2327)</f>
        <v/>
      </c>
      <c r="O2327" s="35" t="str">
        <f aca="false">IF(OR($A2327="",$C2327="U",$S2327&lt;&gt;Calc!$F$2),"",SUMIFS($I$3:$I$3002,$E$3:$E$3002,$E2327,$C$3:$C$3002,"&lt;&gt;U",$S$3:$S$3002,Calc!$F$2))</f>
        <v/>
      </c>
      <c r="P2327" s="35" t="str">
        <f aca="false">IF(OR($A2327="",$C2327="U",$S2327&lt;&gt;Calc!$F$2),"",SUMIFS($N$3:$N$3002,$E$3:$E$3002,$E2327,$C$3:$C$3002,"&lt;&gt;U",$S$3:$S$3002,Calc!$F$2))</f>
        <v/>
      </c>
      <c r="Q2327" s="35" t="str">
        <f aca="false">IF(OR($A2327="",$C2327="U",$S2327&lt;&gt;Calc!$F$2),"",IF(COUNTIFS($E$3:$E2327,$E2327,$C$3:$C2327,"&lt;&gt;U",$S$3:$S2327,Calc!$F$2)=1,1,0))</f>
        <v/>
      </c>
      <c r="R2327" s="35" t="str">
        <f aca="false">IF($Q2327=1,$O2327-ROW()/100000,"")</f>
        <v/>
      </c>
      <c r="S2327" s="37" t="str">
        <f aca="false">IF($A2327="","",INT($A2327))</f>
        <v/>
      </c>
      <c r="T2327" s="35" t="str">
        <f aca="false">IF($A2327="","",IF(COUNTIFS($S$3:$S2327,$S2327)=1,1,0))</f>
        <v/>
      </c>
      <c r="U2327" s="37" t="str">
        <f aca="false">IF($T2327=1,$S2327,"")</f>
        <v/>
      </c>
    </row>
    <row r="2328" customFormat="false" ht="15" hidden="false" customHeight="false" outlineLevel="0" collapsed="false">
      <c r="M2328" s="35" t="str">
        <f aca="false">IF($A2328="","",HOUR($A2328))</f>
        <v/>
      </c>
      <c r="N2328" s="36" t="str">
        <f aca="false">IF($A2328="","",$I2328*$K2328)</f>
        <v/>
      </c>
      <c r="O2328" s="35" t="str">
        <f aca="false">IF(OR($A2328="",$C2328="U",$S2328&lt;&gt;Calc!$F$2),"",SUMIFS($I$3:$I$3002,$E$3:$E$3002,$E2328,$C$3:$C$3002,"&lt;&gt;U",$S$3:$S$3002,Calc!$F$2))</f>
        <v/>
      </c>
      <c r="P2328" s="35" t="str">
        <f aca="false">IF(OR($A2328="",$C2328="U",$S2328&lt;&gt;Calc!$F$2),"",SUMIFS($N$3:$N$3002,$E$3:$E$3002,$E2328,$C$3:$C$3002,"&lt;&gt;U",$S$3:$S$3002,Calc!$F$2))</f>
        <v/>
      </c>
      <c r="Q2328" s="35" t="str">
        <f aca="false">IF(OR($A2328="",$C2328="U",$S2328&lt;&gt;Calc!$F$2),"",IF(COUNTIFS($E$3:$E2328,$E2328,$C$3:$C2328,"&lt;&gt;U",$S$3:$S2328,Calc!$F$2)=1,1,0))</f>
        <v/>
      </c>
      <c r="R2328" s="35" t="str">
        <f aca="false">IF($Q2328=1,$O2328-ROW()/100000,"")</f>
        <v/>
      </c>
      <c r="S2328" s="37" t="str">
        <f aca="false">IF($A2328="","",INT($A2328))</f>
        <v/>
      </c>
      <c r="T2328" s="35" t="str">
        <f aca="false">IF($A2328="","",IF(COUNTIFS($S$3:$S2328,$S2328)=1,1,0))</f>
        <v/>
      </c>
      <c r="U2328" s="37" t="str">
        <f aca="false">IF($T2328=1,$S2328,"")</f>
        <v/>
      </c>
    </row>
    <row r="2329" customFormat="false" ht="15" hidden="false" customHeight="false" outlineLevel="0" collapsed="false">
      <c r="M2329" s="35" t="str">
        <f aca="false">IF($A2329="","",HOUR($A2329))</f>
        <v/>
      </c>
      <c r="N2329" s="36" t="str">
        <f aca="false">IF($A2329="","",$I2329*$K2329)</f>
        <v/>
      </c>
      <c r="O2329" s="35" t="str">
        <f aca="false">IF(OR($A2329="",$C2329="U",$S2329&lt;&gt;Calc!$F$2),"",SUMIFS($I$3:$I$3002,$E$3:$E$3002,$E2329,$C$3:$C$3002,"&lt;&gt;U",$S$3:$S$3002,Calc!$F$2))</f>
        <v/>
      </c>
      <c r="P2329" s="35" t="str">
        <f aca="false">IF(OR($A2329="",$C2329="U",$S2329&lt;&gt;Calc!$F$2),"",SUMIFS($N$3:$N$3002,$E$3:$E$3002,$E2329,$C$3:$C$3002,"&lt;&gt;U",$S$3:$S$3002,Calc!$F$2))</f>
        <v/>
      </c>
      <c r="Q2329" s="35" t="str">
        <f aca="false">IF(OR($A2329="",$C2329="U",$S2329&lt;&gt;Calc!$F$2),"",IF(COUNTIFS($E$3:$E2329,$E2329,$C$3:$C2329,"&lt;&gt;U",$S$3:$S2329,Calc!$F$2)=1,1,0))</f>
        <v/>
      </c>
      <c r="R2329" s="35" t="str">
        <f aca="false">IF($Q2329=1,$O2329-ROW()/100000,"")</f>
        <v/>
      </c>
      <c r="S2329" s="37" t="str">
        <f aca="false">IF($A2329="","",INT($A2329))</f>
        <v/>
      </c>
      <c r="T2329" s="35" t="str">
        <f aca="false">IF($A2329="","",IF(COUNTIFS($S$3:$S2329,$S2329)=1,1,0))</f>
        <v/>
      </c>
      <c r="U2329" s="37" t="str">
        <f aca="false">IF($T2329=1,$S2329,"")</f>
        <v/>
      </c>
    </row>
    <row r="2330" customFormat="false" ht="15" hidden="false" customHeight="false" outlineLevel="0" collapsed="false">
      <c r="M2330" s="35" t="str">
        <f aca="false">IF($A2330="","",HOUR($A2330))</f>
        <v/>
      </c>
      <c r="N2330" s="36" t="str">
        <f aca="false">IF($A2330="","",$I2330*$K2330)</f>
        <v/>
      </c>
      <c r="O2330" s="35" t="str">
        <f aca="false">IF(OR($A2330="",$C2330="U",$S2330&lt;&gt;Calc!$F$2),"",SUMIFS($I$3:$I$3002,$E$3:$E$3002,$E2330,$C$3:$C$3002,"&lt;&gt;U",$S$3:$S$3002,Calc!$F$2))</f>
        <v/>
      </c>
      <c r="P2330" s="35" t="str">
        <f aca="false">IF(OR($A2330="",$C2330="U",$S2330&lt;&gt;Calc!$F$2),"",SUMIFS($N$3:$N$3002,$E$3:$E$3002,$E2330,$C$3:$C$3002,"&lt;&gt;U",$S$3:$S$3002,Calc!$F$2))</f>
        <v/>
      </c>
      <c r="Q2330" s="35" t="str">
        <f aca="false">IF(OR($A2330="",$C2330="U",$S2330&lt;&gt;Calc!$F$2),"",IF(COUNTIFS($E$3:$E2330,$E2330,$C$3:$C2330,"&lt;&gt;U",$S$3:$S2330,Calc!$F$2)=1,1,0))</f>
        <v/>
      </c>
      <c r="R2330" s="35" t="str">
        <f aca="false">IF($Q2330=1,$O2330-ROW()/100000,"")</f>
        <v/>
      </c>
      <c r="S2330" s="37" t="str">
        <f aca="false">IF($A2330="","",INT($A2330))</f>
        <v/>
      </c>
      <c r="T2330" s="35" t="str">
        <f aca="false">IF($A2330="","",IF(COUNTIFS($S$3:$S2330,$S2330)=1,1,0))</f>
        <v/>
      </c>
      <c r="U2330" s="37" t="str">
        <f aca="false">IF($T2330=1,$S2330,"")</f>
        <v/>
      </c>
    </row>
    <row r="2331" customFormat="false" ht="15" hidden="false" customHeight="false" outlineLevel="0" collapsed="false">
      <c r="M2331" s="35" t="str">
        <f aca="false">IF($A2331="","",HOUR($A2331))</f>
        <v/>
      </c>
      <c r="N2331" s="36" t="str">
        <f aca="false">IF($A2331="","",$I2331*$K2331)</f>
        <v/>
      </c>
      <c r="O2331" s="35" t="str">
        <f aca="false">IF(OR($A2331="",$C2331="U",$S2331&lt;&gt;Calc!$F$2),"",SUMIFS($I$3:$I$3002,$E$3:$E$3002,$E2331,$C$3:$C$3002,"&lt;&gt;U",$S$3:$S$3002,Calc!$F$2))</f>
        <v/>
      </c>
      <c r="P2331" s="35" t="str">
        <f aca="false">IF(OR($A2331="",$C2331="U",$S2331&lt;&gt;Calc!$F$2),"",SUMIFS($N$3:$N$3002,$E$3:$E$3002,$E2331,$C$3:$C$3002,"&lt;&gt;U",$S$3:$S$3002,Calc!$F$2))</f>
        <v/>
      </c>
      <c r="Q2331" s="35" t="str">
        <f aca="false">IF(OR($A2331="",$C2331="U",$S2331&lt;&gt;Calc!$F$2),"",IF(COUNTIFS($E$3:$E2331,$E2331,$C$3:$C2331,"&lt;&gt;U",$S$3:$S2331,Calc!$F$2)=1,1,0))</f>
        <v/>
      </c>
      <c r="R2331" s="35" t="str">
        <f aca="false">IF($Q2331=1,$O2331-ROW()/100000,"")</f>
        <v/>
      </c>
      <c r="S2331" s="37" t="str">
        <f aca="false">IF($A2331="","",INT($A2331))</f>
        <v/>
      </c>
      <c r="T2331" s="35" t="str">
        <f aca="false">IF($A2331="","",IF(COUNTIFS($S$3:$S2331,$S2331)=1,1,0))</f>
        <v/>
      </c>
      <c r="U2331" s="37" t="str">
        <f aca="false">IF($T2331=1,$S2331,"")</f>
        <v/>
      </c>
    </row>
    <row r="2332" customFormat="false" ht="15" hidden="false" customHeight="false" outlineLevel="0" collapsed="false">
      <c r="M2332" s="35" t="str">
        <f aca="false">IF($A2332="","",HOUR($A2332))</f>
        <v/>
      </c>
      <c r="N2332" s="36" t="str">
        <f aca="false">IF($A2332="","",$I2332*$K2332)</f>
        <v/>
      </c>
      <c r="O2332" s="35" t="str">
        <f aca="false">IF(OR($A2332="",$C2332="U",$S2332&lt;&gt;Calc!$F$2),"",SUMIFS($I$3:$I$3002,$E$3:$E$3002,$E2332,$C$3:$C$3002,"&lt;&gt;U",$S$3:$S$3002,Calc!$F$2))</f>
        <v/>
      </c>
      <c r="P2332" s="35" t="str">
        <f aca="false">IF(OR($A2332="",$C2332="U",$S2332&lt;&gt;Calc!$F$2),"",SUMIFS($N$3:$N$3002,$E$3:$E$3002,$E2332,$C$3:$C$3002,"&lt;&gt;U",$S$3:$S$3002,Calc!$F$2))</f>
        <v/>
      </c>
      <c r="Q2332" s="35" t="str">
        <f aca="false">IF(OR($A2332="",$C2332="U",$S2332&lt;&gt;Calc!$F$2),"",IF(COUNTIFS($E$3:$E2332,$E2332,$C$3:$C2332,"&lt;&gt;U",$S$3:$S2332,Calc!$F$2)=1,1,0))</f>
        <v/>
      </c>
      <c r="R2332" s="35" t="str">
        <f aca="false">IF($Q2332=1,$O2332-ROW()/100000,"")</f>
        <v/>
      </c>
      <c r="S2332" s="37" t="str">
        <f aca="false">IF($A2332="","",INT($A2332))</f>
        <v/>
      </c>
      <c r="T2332" s="35" t="str">
        <f aca="false">IF($A2332="","",IF(COUNTIFS($S$3:$S2332,$S2332)=1,1,0))</f>
        <v/>
      </c>
      <c r="U2332" s="37" t="str">
        <f aca="false">IF($T2332=1,$S2332,"")</f>
        <v/>
      </c>
    </row>
    <row r="2333" customFormat="false" ht="15" hidden="false" customHeight="false" outlineLevel="0" collapsed="false">
      <c r="M2333" s="35" t="str">
        <f aca="false">IF($A2333="","",HOUR($A2333))</f>
        <v/>
      </c>
      <c r="N2333" s="36" t="str">
        <f aca="false">IF($A2333="","",$I2333*$K2333)</f>
        <v/>
      </c>
      <c r="O2333" s="35" t="str">
        <f aca="false">IF(OR($A2333="",$C2333="U",$S2333&lt;&gt;Calc!$F$2),"",SUMIFS($I$3:$I$3002,$E$3:$E$3002,$E2333,$C$3:$C$3002,"&lt;&gt;U",$S$3:$S$3002,Calc!$F$2))</f>
        <v/>
      </c>
      <c r="P2333" s="35" t="str">
        <f aca="false">IF(OR($A2333="",$C2333="U",$S2333&lt;&gt;Calc!$F$2),"",SUMIFS($N$3:$N$3002,$E$3:$E$3002,$E2333,$C$3:$C$3002,"&lt;&gt;U",$S$3:$S$3002,Calc!$F$2))</f>
        <v/>
      </c>
      <c r="Q2333" s="35" t="str">
        <f aca="false">IF(OR($A2333="",$C2333="U",$S2333&lt;&gt;Calc!$F$2),"",IF(COUNTIFS($E$3:$E2333,$E2333,$C$3:$C2333,"&lt;&gt;U",$S$3:$S2333,Calc!$F$2)=1,1,0))</f>
        <v/>
      </c>
      <c r="R2333" s="35" t="str">
        <f aca="false">IF($Q2333=1,$O2333-ROW()/100000,"")</f>
        <v/>
      </c>
      <c r="S2333" s="37" t="str">
        <f aca="false">IF($A2333="","",INT($A2333))</f>
        <v/>
      </c>
      <c r="T2333" s="35" t="str">
        <f aca="false">IF($A2333="","",IF(COUNTIFS($S$3:$S2333,$S2333)=1,1,0))</f>
        <v/>
      </c>
      <c r="U2333" s="37" t="str">
        <f aca="false">IF($T2333=1,$S2333,"")</f>
        <v/>
      </c>
    </row>
    <row r="2334" customFormat="false" ht="15" hidden="false" customHeight="false" outlineLevel="0" collapsed="false">
      <c r="M2334" s="35" t="str">
        <f aca="false">IF($A2334="","",HOUR($A2334))</f>
        <v/>
      </c>
      <c r="N2334" s="36" t="str">
        <f aca="false">IF($A2334="","",$I2334*$K2334)</f>
        <v/>
      </c>
      <c r="O2334" s="35" t="str">
        <f aca="false">IF(OR($A2334="",$C2334="U",$S2334&lt;&gt;Calc!$F$2),"",SUMIFS($I$3:$I$3002,$E$3:$E$3002,$E2334,$C$3:$C$3002,"&lt;&gt;U",$S$3:$S$3002,Calc!$F$2))</f>
        <v/>
      </c>
      <c r="P2334" s="35" t="str">
        <f aca="false">IF(OR($A2334="",$C2334="U",$S2334&lt;&gt;Calc!$F$2),"",SUMIFS($N$3:$N$3002,$E$3:$E$3002,$E2334,$C$3:$C$3002,"&lt;&gt;U",$S$3:$S$3002,Calc!$F$2))</f>
        <v/>
      </c>
      <c r="Q2334" s="35" t="str">
        <f aca="false">IF(OR($A2334="",$C2334="U",$S2334&lt;&gt;Calc!$F$2),"",IF(COUNTIFS($E$3:$E2334,$E2334,$C$3:$C2334,"&lt;&gt;U",$S$3:$S2334,Calc!$F$2)=1,1,0))</f>
        <v/>
      </c>
      <c r="R2334" s="35" t="str">
        <f aca="false">IF($Q2334=1,$O2334-ROW()/100000,"")</f>
        <v/>
      </c>
      <c r="S2334" s="37" t="str">
        <f aca="false">IF($A2334="","",INT($A2334))</f>
        <v/>
      </c>
      <c r="T2334" s="35" t="str">
        <f aca="false">IF($A2334="","",IF(COUNTIFS($S$3:$S2334,$S2334)=1,1,0))</f>
        <v/>
      </c>
      <c r="U2334" s="37" t="str">
        <f aca="false">IF($T2334=1,$S2334,"")</f>
        <v/>
      </c>
    </row>
    <row r="2335" customFormat="false" ht="15" hidden="false" customHeight="false" outlineLevel="0" collapsed="false">
      <c r="M2335" s="35" t="str">
        <f aca="false">IF($A2335="","",HOUR($A2335))</f>
        <v/>
      </c>
      <c r="N2335" s="36" t="str">
        <f aca="false">IF($A2335="","",$I2335*$K2335)</f>
        <v/>
      </c>
      <c r="O2335" s="35" t="str">
        <f aca="false">IF(OR($A2335="",$C2335="U",$S2335&lt;&gt;Calc!$F$2),"",SUMIFS($I$3:$I$3002,$E$3:$E$3002,$E2335,$C$3:$C$3002,"&lt;&gt;U",$S$3:$S$3002,Calc!$F$2))</f>
        <v/>
      </c>
      <c r="P2335" s="35" t="str">
        <f aca="false">IF(OR($A2335="",$C2335="U",$S2335&lt;&gt;Calc!$F$2),"",SUMIFS($N$3:$N$3002,$E$3:$E$3002,$E2335,$C$3:$C$3002,"&lt;&gt;U",$S$3:$S$3002,Calc!$F$2))</f>
        <v/>
      </c>
      <c r="Q2335" s="35" t="str">
        <f aca="false">IF(OR($A2335="",$C2335="U",$S2335&lt;&gt;Calc!$F$2),"",IF(COUNTIFS($E$3:$E2335,$E2335,$C$3:$C2335,"&lt;&gt;U",$S$3:$S2335,Calc!$F$2)=1,1,0))</f>
        <v/>
      </c>
      <c r="R2335" s="35" t="str">
        <f aca="false">IF($Q2335=1,$O2335-ROW()/100000,"")</f>
        <v/>
      </c>
      <c r="S2335" s="37" t="str">
        <f aca="false">IF($A2335="","",INT($A2335))</f>
        <v/>
      </c>
      <c r="T2335" s="35" t="str">
        <f aca="false">IF($A2335="","",IF(COUNTIFS($S$3:$S2335,$S2335)=1,1,0))</f>
        <v/>
      </c>
      <c r="U2335" s="37" t="str">
        <f aca="false">IF($T2335=1,$S2335,"")</f>
        <v/>
      </c>
    </row>
    <row r="2336" customFormat="false" ht="15" hidden="false" customHeight="false" outlineLevel="0" collapsed="false">
      <c r="M2336" s="35" t="str">
        <f aca="false">IF($A2336="","",HOUR($A2336))</f>
        <v/>
      </c>
      <c r="N2336" s="36" t="str">
        <f aca="false">IF($A2336="","",$I2336*$K2336)</f>
        <v/>
      </c>
      <c r="O2336" s="35" t="str">
        <f aca="false">IF(OR($A2336="",$C2336="U",$S2336&lt;&gt;Calc!$F$2),"",SUMIFS($I$3:$I$3002,$E$3:$E$3002,$E2336,$C$3:$C$3002,"&lt;&gt;U",$S$3:$S$3002,Calc!$F$2))</f>
        <v/>
      </c>
      <c r="P2336" s="35" t="str">
        <f aca="false">IF(OR($A2336="",$C2336="U",$S2336&lt;&gt;Calc!$F$2),"",SUMIFS($N$3:$N$3002,$E$3:$E$3002,$E2336,$C$3:$C$3002,"&lt;&gt;U",$S$3:$S$3002,Calc!$F$2))</f>
        <v/>
      </c>
      <c r="Q2336" s="35" t="str">
        <f aca="false">IF(OR($A2336="",$C2336="U",$S2336&lt;&gt;Calc!$F$2),"",IF(COUNTIFS($E$3:$E2336,$E2336,$C$3:$C2336,"&lt;&gt;U",$S$3:$S2336,Calc!$F$2)=1,1,0))</f>
        <v/>
      </c>
      <c r="R2336" s="35" t="str">
        <f aca="false">IF($Q2336=1,$O2336-ROW()/100000,"")</f>
        <v/>
      </c>
      <c r="S2336" s="37" t="str">
        <f aca="false">IF($A2336="","",INT($A2336))</f>
        <v/>
      </c>
      <c r="T2336" s="35" t="str">
        <f aca="false">IF($A2336="","",IF(COUNTIFS($S$3:$S2336,$S2336)=1,1,0))</f>
        <v/>
      </c>
      <c r="U2336" s="37" t="str">
        <f aca="false">IF($T2336=1,$S2336,"")</f>
        <v/>
      </c>
    </row>
    <row r="2337" customFormat="false" ht="15" hidden="false" customHeight="false" outlineLevel="0" collapsed="false">
      <c r="M2337" s="35" t="str">
        <f aca="false">IF($A2337="","",HOUR($A2337))</f>
        <v/>
      </c>
      <c r="N2337" s="36" t="str">
        <f aca="false">IF($A2337="","",$I2337*$K2337)</f>
        <v/>
      </c>
      <c r="O2337" s="35" t="str">
        <f aca="false">IF(OR($A2337="",$C2337="U",$S2337&lt;&gt;Calc!$F$2),"",SUMIFS($I$3:$I$3002,$E$3:$E$3002,$E2337,$C$3:$C$3002,"&lt;&gt;U",$S$3:$S$3002,Calc!$F$2))</f>
        <v/>
      </c>
      <c r="P2337" s="35" t="str">
        <f aca="false">IF(OR($A2337="",$C2337="U",$S2337&lt;&gt;Calc!$F$2),"",SUMIFS($N$3:$N$3002,$E$3:$E$3002,$E2337,$C$3:$C$3002,"&lt;&gt;U",$S$3:$S$3002,Calc!$F$2))</f>
        <v/>
      </c>
      <c r="Q2337" s="35" t="str">
        <f aca="false">IF(OR($A2337="",$C2337="U",$S2337&lt;&gt;Calc!$F$2),"",IF(COUNTIFS($E$3:$E2337,$E2337,$C$3:$C2337,"&lt;&gt;U",$S$3:$S2337,Calc!$F$2)=1,1,0))</f>
        <v/>
      </c>
      <c r="R2337" s="35" t="str">
        <f aca="false">IF($Q2337=1,$O2337-ROW()/100000,"")</f>
        <v/>
      </c>
      <c r="S2337" s="37" t="str">
        <f aca="false">IF($A2337="","",INT($A2337))</f>
        <v/>
      </c>
      <c r="T2337" s="35" t="str">
        <f aca="false">IF($A2337="","",IF(COUNTIFS($S$3:$S2337,$S2337)=1,1,0))</f>
        <v/>
      </c>
      <c r="U2337" s="37" t="str">
        <f aca="false">IF($T2337=1,$S2337,"")</f>
        <v/>
      </c>
    </row>
    <row r="2338" customFormat="false" ht="15" hidden="false" customHeight="false" outlineLevel="0" collapsed="false">
      <c r="M2338" s="35" t="str">
        <f aca="false">IF($A2338="","",HOUR($A2338))</f>
        <v/>
      </c>
      <c r="N2338" s="36" t="str">
        <f aca="false">IF($A2338="","",$I2338*$K2338)</f>
        <v/>
      </c>
      <c r="O2338" s="35" t="str">
        <f aca="false">IF(OR($A2338="",$C2338="U",$S2338&lt;&gt;Calc!$F$2),"",SUMIFS($I$3:$I$3002,$E$3:$E$3002,$E2338,$C$3:$C$3002,"&lt;&gt;U",$S$3:$S$3002,Calc!$F$2))</f>
        <v/>
      </c>
      <c r="P2338" s="35" t="str">
        <f aca="false">IF(OR($A2338="",$C2338="U",$S2338&lt;&gt;Calc!$F$2),"",SUMIFS($N$3:$N$3002,$E$3:$E$3002,$E2338,$C$3:$C$3002,"&lt;&gt;U",$S$3:$S$3002,Calc!$F$2))</f>
        <v/>
      </c>
      <c r="Q2338" s="35" t="str">
        <f aca="false">IF(OR($A2338="",$C2338="U",$S2338&lt;&gt;Calc!$F$2),"",IF(COUNTIFS($E$3:$E2338,$E2338,$C$3:$C2338,"&lt;&gt;U",$S$3:$S2338,Calc!$F$2)=1,1,0))</f>
        <v/>
      </c>
      <c r="R2338" s="35" t="str">
        <f aca="false">IF($Q2338=1,$O2338-ROW()/100000,"")</f>
        <v/>
      </c>
      <c r="S2338" s="37" t="str">
        <f aca="false">IF($A2338="","",INT($A2338))</f>
        <v/>
      </c>
      <c r="T2338" s="35" t="str">
        <f aca="false">IF($A2338="","",IF(COUNTIFS($S$3:$S2338,$S2338)=1,1,0))</f>
        <v/>
      </c>
      <c r="U2338" s="37" t="str">
        <f aca="false">IF($T2338=1,$S2338,"")</f>
        <v/>
      </c>
    </row>
    <row r="2339" customFormat="false" ht="15" hidden="false" customHeight="false" outlineLevel="0" collapsed="false">
      <c r="M2339" s="35" t="str">
        <f aca="false">IF($A2339="","",HOUR($A2339))</f>
        <v/>
      </c>
      <c r="N2339" s="36" t="str">
        <f aca="false">IF($A2339="","",$I2339*$K2339)</f>
        <v/>
      </c>
      <c r="O2339" s="35" t="str">
        <f aca="false">IF(OR($A2339="",$C2339="U",$S2339&lt;&gt;Calc!$F$2),"",SUMIFS($I$3:$I$3002,$E$3:$E$3002,$E2339,$C$3:$C$3002,"&lt;&gt;U",$S$3:$S$3002,Calc!$F$2))</f>
        <v/>
      </c>
      <c r="P2339" s="35" t="str">
        <f aca="false">IF(OR($A2339="",$C2339="U",$S2339&lt;&gt;Calc!$F$2),"",SUMIFS($N$3:$N$3002,$E$3:$E$3002,$E2339,$C$3:$C$3002,"&lt;&gt;U",$S$3:$S$3002,Calc!$F$2))</f>
        <v/>
      </c>
      <c r="Q2339" s="35" t="str">
        <f aca="false">IF(OR($A2339="",$C2339="U",$S2339&lt;&gt;Calc!$F$2),"",IF(COUNTIFS($E$3:$E2339,$E2339,$C$3:$C2339,"&lt;&gt;U",$S$3:$S2339,Calc!$F$2)=1,1,0))</f>
        <v/>
      </c>
      <c r="R2339" s="35" t="str">
        <f aca="false">IF($Q2339=1,$O2339-ROW()/100000,"")</f>
        <v/>
      </c>
      <c r="S2339" s="37" t="str">
        <f aca="false">IF($A2339="","",INT($A2339))</f>
        <v/>
      </c>
      <c r="T2339" s="35" t="str">
        <f aca="false">IF($A2339="","",IF(COUNTIFS($S$3:$S2339,$S2339)=1,1,0))</f>
        <v/>
      </c>
      <c r="U2339" s="37" t="str">
        <f aca="false">IF($T2339=1,$S2339,"")</f>
        <v/>
      </c>
    </row>
    <row r="2340" customFormat="false" ht="15" hidden="false" customHeight="false" outlineLevel="0" collapsed="false">
      <c r="M2340" s="35" t="str">
        <f aca="false">IF($A2340="","",HOUR($A2340))</f>
        <v/>
      </c>
      <c r="N2340" s="36" t="str">
        <f aca="false">IF($A2340="","",$I2340*$K2340)</f>
        <v/>
      </c>
      <c r="O2340" s="35" t="str">
        <f aca="false">IF(OR($A2340="",$C2340="U",$S2340&lt;&gt;Calc!$F$2),"",SUMIFS($I$3:$I$3002,$E$3:$E$3002,$E2340,$C$3:$C$3002,"&lt;&gt;U",$S$3:$S$3002,Calc!$F$2))</f>
        <v/>
      </c>
      <c r="P2340" s="35" t="str">
        <f aca="false">IF(OR($A2340="",$C2340="U",$S2340&lt;&gt;Calc!$F$2),"",SUMIFS($N$3:$N$3002,$E$3:$E$3002,$E2340,$C$3:$C$3002,"&lt;&gt;U",$S$3:$S$3002,Calc!$F$2))</f>
        <v/>
      </c>
      <c r="Q2340" s="35" t="str">
        <f aca="false">IF(OR($A2340="",$C2340="U",$S2340&lt;&gt;Calc!$F$2),"",IF(COUNTIFS($E$3:$E2340,$E2340,$C$3:$C2340,"&lt;&gt;U",$S$3:$S2340,Calc!$F$2)=1,1,0))</f>
        <v/>
      </c>
      <c r="R2340" s="35" t="str">
        <f aca="false">IF($Q2340=1,$O2340-ROW()/100000,"")</f>
        <v/>
      </c>
      <c r="S2340" s="37" t="str">
        <f aca="false">IF($A2340="","",INT($A2340))</f>
        <v/>
      </c>
      <c r="T2340" s="35" t="str">
        <f aca="false">IF($A2340="","",IF(COUNTIFS($S$3:$S2340,$S2340)=1,1,0))</f>
        <v/>
      </c>
      <c r="U2340" s="37" t="str">
        <f aca="false">IF($T2340=1,$S2340,"")</f>
        <v/>
      </c>
    </row>
    <row r="2341" customFormat="false" ht="15" hidden="false" customHeight="false" outlineLevel="0" collapsed="false">
      <c r="M2341" s="35" t="str">
        <f aca="false">IF($A2341="","",HOUR($A2341))</f>
        <v/>
      </c>
      <c r="N2341" s="36" t="str">
        <f aca="false">IF($A2341="","",$I2341*$K2341)</f>
        <v/>
      </c>
      <c r="O2341" s="35" t="str">
        <f aca="false">IF(OR($A2341="",$C2341="U",$S2341&lt;&gt;Calc!$F$2),"",SUMIFS($I$3:$I$3002,$E$3:$E$3002,$E2341,$C$3:$C$3002,"&lt;&gt;U",$S$3:$S$3002,Calc!$F$2))</f>
        <v/>
      </c>
      <c r="P2341" s="35" t="str">
        <f aca="false">IF(OR($A2341="",$C2341="U",$S2341&lt;&gt;Calc!$F$2),"",SUMIFS($N$3:$N$3002,$E$3:$E$3002,$E2341,$C$3:$C$3002,"&lt;&gt;U",$S$3:$S$3002,Calc!$F$2))</f>
        <v/>
      </c>
      <c r="Q2341" s="35" t="str">
        <f aca="false">IF(OR($A2341="",$C2341="U",$S2341&lt;&gt;Calc!$F$2),"",IF(COUNTIFS($E$3:$E2341,$E2341,$C$3:$C2341,"&lt;&gt;U",$S$3:$S2341,Calc!$F$2)=1,1,0))</f>
        <v/>
      </c>
      <c r="R2341" s="35" t="str">
        <f aca="false">IF($Q2341=1,$O2341-ROW()/100000,"")</f>
        <v/>
      </c>
      <c r="S2341" s="37" t="str">
        <f aca="false">IF($A2341="","",INT($A2341))</f>
        <v/>
      </c>
      <c r="T2341" s="35" t="str">
        <f aca="false">IF($A2341="","",IF(COUNTIFS($S$3:$S2341,$S2341)=1,1,0))</f>
        <v/>
      </c>
      <c r="U2341" s="37" t="str">
        <f aca="false">IF($T2341=1,$S2341,"")</f>
        <v/>
      </c>
    </row>
    <row r="2342" customFormat="false" ht="15" hidden="false" customHeight="false" outlineLevel="0" collapsed="false">
      <c r="M2342" s="35" t="str">
        <f aca="false">IF($A2342="","",HOUR($A2342))</f>
        <v/>
      </c>
      <c r="N2342" s="36" t="str">
        <f aca="false">IF($A2342="","",$I2342*$K2342)</f>
        <v/>
      </c>
      <c r="O2342" s="35" t="str">
        <f aca="false">IF(OR($A2342="",$C2342="U",$S2342&lt;&gt;Calc!$F$2),"",SUMIFS($I$3:$I$3002,$E$3:$E$3002,$E2342,$C$3:$C$3002,"&lt;&gt;U",$S$3:$S$3002,Calc!$F$2))</f>
        <v/>
      </c>
      <c r="P2342" s="35" t="str">
        <f aca="false">IF(OR($A2342="",$C2342="U",$S2342&lt;&gt;Calc!$F$2),"",SUMIFS($N$3:$N$3002,$E$3:$E$3002,$E2342,$C$3:$C$3002,"&lt;&gt;U",$S$3:$S$3002,Calc!$F$2))</f>
        <v/>
      </c>
      <c r="Q2342" s="35" t="str">
        <f aca="false">IF(OR($A2342="",$C2342="U",$S2342&lt;&gt;Calc!$F$2),"",IF(COUNTIFS($E$3:$E2342,$E2342,$C$3:$C2342,"&lt;&gt;U",$S$3:$S2342,Calc!$F$2)=1,1,0))</f>
        <v/>
      </c>
      <c r="R2342" s="35" t="str">
        <f aca="false">IF($Q2342=1,$O2342-ROW()/100000,"")</f>
        <v/>
      </c>
      <c r="S2342" s="37" t="str">
        <f aca="false">IF($A2342="","",INT($A2342))</f>
        <v/>
      </c>
      <c r="T2342" s="35" t="str">
        <f aca="false">IF($A2342="","",IF(COUNTIFS($S$3:$S2342,$S2342)=1,1,0))</f>
        <v/>
      </c>
      <c r="U2342" s="37" t="str">
        <f aca="false">IF($T2342=1,$S2342,"")</f>
        <v/>
      </c>
    </row>
    <row r="2343" customFormat="false" ht="15" hidden="false" customHeight="false" outlineLevel="0" collapsed="false">
      <c r="M2343" s="35" t="str">
        <f aca="false">IF($A2343="","",HOUR($A2343))</f>
        <v/>
      </c>
      <c r="N2343" s="36" t="str">
        <f aca="false">IF($A2343="","",$I2343*$K2343)</f>
        <v/>
      </c>
      <c r="O2343" s="35" t="str">
        <f aca="false">IF(OR($A2343="",$C2343="U",$S2343&lt;&gt;Calc!$F$2),"",SUMIFS($I$3:$I$3002,$E$3:$E$3002,$E2343,$C$3:$C$3002,"&lt;&gt;U",$S$3:$S$3002,Calc!$F$2))</f>
        <v/>
      </c>
      <c r="P2343" s="35" t="str">
        <f aca="false">IF(OR($A2343="",$C2343="U",$S2343&lt;&gt;Calc!$F$2),"",SUMIFS($N$3:$N$3002,$E$3:$E$3002,$E2343,$C$3:$C$3002,"&lt;&gt;U",$S$3:$S$3002,Calc!$F$2))</f>
        <v/>
      </c>
      <c r="Q2343" s="35" t="str">
        <f aca="false">IF(OR($A2343="",$C2343="U",$S2343&lt;&gt;Calc!$F$2),"",IF(COUNTIFS($E$3:$E2343,$E2343,$C$3:$C2343,"&lt;&gt;U",$S$3:$S2343,Calc!$F$2)=1,1,0))</f>
        <v/>
      </c>
      <c r="R2343" s="35" t="str">
        <f aca="false">IF($Q2343=1,$O2343-ROW()/100000,"")</f>
        <v/>
      </c>
      <c r="S2343" s="37" t="str">
        <f aca="false">IF($A2343="","",INT($A2343))</f>
        <v/>
      </c>
      <c r="T2343" s="35" t="str">
        <f aca="false">IF($A2343="","",IF(COUNTIFS($S$3:$S2343,$S2343)=1,1,0))</f>
        <v/>
      </c>
      <c r="U2343" s="37" t="str">
        <f aca="false">IF($T2343=1,$S2343,"")</f>
        <v/>
      </c>
    </row>
    <row r="2344" customFormat="false" ht="15" hidden="false" customHeight="false" outlineLevel="0" collapsed="false">
      <c r="M2344" s="35" t="str">
        <f aca="false">IF($A2344="","",HOUR($A2344))</f>
        <v/>
      </c>
      <c r="N2344" s="36" t="str">
        <f aca="false">IF($A2344="","",$I2344*$K2344)</f>
        <v/>
      </c>
      <c r="O2344" s="35" t="str">
        <f aca="false">IF(OR($A2344="",$C2344="U",$S2344&lt;&gt;Calc!$F$2),"",SUMIFS($I$3:$I$3002,$E$3:$E$3002,$E2344,$C$3:$C$3002,"&lt;&gt;U",$S$3:$S$3002,Calc!$F$2))</f>
        <v/>
      </c>
      <c r="P2344" s="35" t="str">
        <f aca="false">IF(OR($A2344="",$C2344="U",$S2344&lt;&gt;Calc!$F$2),"",SUMIFS($N$3:$N$3002,$E$3:$E$3002,$E2344,$C$3:$C$3002,"&lt;&gt;U",$S$3:$S$3002,Calc!$F$2))</f>
        <v/>
      </c>
      <c r="Q2344" s="35" t="str">
        <f aca="false">IF(OR($A2344="",$C2344="U",$S2344&lt;&gt;Calc!$F$2),"",IF(COUNTIFS($E$3:$E2344,$E2344,$C$3:$C2344,"&lt;&gt;U",$S$3:$S2344,Calc!$F$2)=1,1,0))</f>
        <v/>
      </c>
      <c r="R2344" s="35" t="str">
        <f aca="false">IF($Q2344=1,$O2344-ROW()/100000,"")</f>
        <v/>
      </c>
      <c r="S2344" s="37" t="str">
        <f aca="false">IF($A2344="","",INT($A2344))</f>
        <v/>
      </c>
      <c r="T2344" s="35" t="str">
        <f aca="false">IF($A2344="","",IF(COUNTIFS($S$3:$S2344,$S2344)=1,1,0))</f>
        <v/>
      </c>
      <c r="U2344" s="37" t="str">
        <f aca="false">IF($T2344=1,$S2344,"")</f>
        <v/>
      </c>
    </row>
    <row r="2345" customFormat="false" ht="15" hidden="false" customHeight="false" outlineLevel="0" collapsed="false">
      <c r="M2345" s="35" t="str">
        <f aca="false">IF($A2345="","",HOUR($A2345))</f>
        <v/>
      </c>
      <c r="N2345" s="36" t="str">
        <f aca="false">IF($A2345="","",$I2345*$K2345)</f>
        <v/>
      </c>
      <c r="O2345" s="35" t="str">
        <f aca="false">IF(OR($A2345="",$C2345="U",$S2345&lt;&gt;Calc!$F$2),"",SUMIFS($I$3:$I$3002,$E$3:$E$3002,$E2345,$C$3:$C$3002,"&lt;&gt;U",$S$3:$S$3002,Calc!$F$2))</f>
        <v/>
      </c>
      <c r="P2345" s="35" t="str">
        <f aca="false">IF(OR($A2345="",$C2345="U",$S2345&lt;&gt;Calc!$F$2),"",SUMIFS($N$3:$N$3002,$E$3:$E$3002,$E2345,$C$3:$C$3002,"&lt;&gt;U",$S$3:$S$3002,Calc!$F$2))</f>
        <v/>
      </c>
      <c r="Q2345" s="35" t="str">
        <f aca="false">IF(OR($A2345="",$C2345="U",$S2345&lt;&gt;Calc!$F$2),"",IF(COUNTIFS($E$3:$E2345,$E2345,$C$3:$C2345,"&lt;&gt;U",$S$3:$S2345,Calc!$F$2)=1,1,0))</f>
        <v/>
      </c>
      <c r="R2345" s="35" t="str">
        <f aca="false">IF($Q2345=1,$O2345-ROW()/100000,"")</f>
        <v/>
      </c>
      <c r="S2345" s="37" t="str">
        <f aca="false">IF($A2345="","",INT($A2345))</f>
        <v/>
      </c>
      <c r="T2345" s="35" t="str">
        <f aca="false">IF($A2345="","",IF(COUNTIFS($S$3:$S2345,$S2345)=1,1,0))</f>
        <v/>
      </c>
      <c r="U2345" s="37" t="str">
        <f aca="false">IF($T2345=1,$S2345,"")</f>
        <v/>
      </c>
    </row>
    <row r="2346" customFormat="false" ht="15" hidden="false" customHeight="false" outlineLevel="0" collapsed="false">
      <c r="M2346" s="35" t="str">
        <f aca="false">IF($A2346="","",HOUR($A2346))</f>
        <v/>
      </c>
      <c r="N2346" s="36" t="str">
        <f aca="false">IF($A2346="","",$I2346*$K2346)</f>
        <v/>
      </c>
      <c r="O2346" s="35" t="str">
        <f aca="false">IF(OR($A2346="",$C2346="U",$S2346&lt;&gt;Calc!$F$2),"",SUMIFS($I$3:$I$3002,$E$3:$E$3002,$E2346,$C$3:$C$3002,"&lt;&gt;U",$S$3:$S$3002,Calc!$F$2))</f>
        <v/>
      </c>
      <c r="P2346" s="35" t="str">
        <f aca="false">IF(OR($A2346="",$C2346="U",$S2346&lt;&gt;Calc!$F$2),"",SUMIFS($N$3:$N$3002,$E$3:$E$3002,$E2346,$C$3:$C$3002,"&lt;&gt;U",$S$3:$S$3002,Calc!$F$2))</f>
        <v/>
      </c>
      <c r="Q2346" s="35" t="str">
        <f aca="false">IF(OR($A2346="",$C2346="U",$S2346&lt;&gt;Calc!$F$2),"",IF(COUNTIFS($E$3:$E2346,$E2346,$C$3:$C2346,"&lt;&gt;U",$S$3:$S2346,Calc!$F$2)=1,1,0))</f>
        <v/>
      </c>
      <c r="R2346" s="35" t="str">
        <f aca="false">IF($Q2346=1,$O2346-ROW()/100000,"")</f>
        <v/>
      </c>
      <c r="S2346" s="37" t="str">
        <f aca="false">IF($A2346="","",INT($A2346))</f>
        <v/>
      </c>
      <c r="T2346" s="35" t="str">
        <f aca="false">IF($A2346="","",IF(COUNTIFS($S$3:$S2346,$S2346)=1,1,0))</f>
        <v/>
      </c>
      <c r="U2346" s="37" t="str">
        <f aca="false">IF($T2346=1,$S2346,"")</f>
        <v/>
      </c>
    </row>
    <row r="2347" customFormat="false" ht="15" hidden="false" customHeight="false" outlineLevel="0" collapsed="false">
      <c r="M2347" s="35" t="str">
        <f aca="false">IF($A2347="","",HOUR($A2347))</f>
        <v/>
      </c>
      <c r="N2347" s="36" t="str">
        <f aca="false">IF($A2347="","",$I2347*$K2347)</f>
        <v/>
      </c>
      <c r="O2347" s="35" t="str">
        <f aca="false">IF(OR($A2347="",$C2347="U",$S2347&lt;&gt;Calc!$F$2),"",SUMIFS($I$3:$I$3002,$E$3:$E$3002,$E2347,$C$3:$C$3002,"&lt;&gt;U",$S$3:$S$3002,Calc!$F$2))</f>
        <v/>
      </c>
      <c r="P2347" s="35" t="str">
        <f aca="false">IF(OR($A2347="",$C2347="U",$S2347&lt;&gt;Calc!$F$2),"",SUMIFS($N$3:$N$3002,$E$3:$E$3002,$E2347,$C$3:$C$3002,"&lt;&gt;U",$S$3:$S$3002,Calc!$F$2))</f>
        <v/>
      </c>
      <c r="Q2347" s="35" t="str">
        <f aca="false">IF(OR($A2347="",$C2347="U",$S2347&lt;&gt;Calc!$F$2),"",IF(COUNTIFS($E$3:$E2347,$E2347,$C$3:$C2347,"&lt;&gt;U",$S$3:$S2347,Calc!$F$2)=1,1,0))</f>
        <v/>
      </c>
      <c r="R2347" s="35" t="str">
        <f aca="false">IF($Q2347=1,$O2347-ROW()/100000,"")</f>
        <v/>
      </c>
      <c r="S2347" s="37" t="str">
        <f aca="false">IF($A2347="","",INT($A2347))</f>
        <v/>
      </c>
      <c r="T2347" s="35" t="str">
        <f aca="false">IF($A2347="","",IF(COUNTIFS($S$3:$S2347,$S2347)=1,1,0))</f>
        <v/>
      </c>
      <c r="U2347" s="37" t="str">
        <f aca="false">IF($T2347=1,$S2347,"")</f>
        <v/>
      </c>
    </row>
    <row r="2348" customFormat="false" ht="15" hidden="false" customHeight="false" outlineLevel="0" collapsed="false">
      <c r="M2348" s="35" t="str">
        <f aca="false">IF($A2348="","",HOUR($A2348))</f>
        <v/>
      </c>
      <c r="N2348" s="36" t="str">
        <f aca="false">IF($A2348="","",$I2348*$K2348)</f>
        <v/>
      </c>
      <c r="O2348" s="35" t="str">
        <f aca="false">IF(OR($A2348="",$C2348="U",$S2348&lt;&gt;Calc!$F$2),"",SUMIFS($I$3:$I$3002,$E$3:$E$3002,$E2348,$C$3:$C$3002,"&lt;&gt;U",$S$3:$S$3002,Calc!$F$2))</f>
        <v/>
      </c>
      <c r="P2348" s="35" t="str">
        <f aca="false">IF(OR($A2348="",$C2348="U",$S2348&lt;&gt;Calc!$F$2),"",SUMIFS($N$3:$N$3002,$E$3:$E$3002,$E2348,$C$3:$C$3002,"&lt;&gt;U",$S$3:$S$3002,Calc!$F$2))</f>
        <v/>
      </c>
      <c r="Q2348" s="35" t="str">
        <f aca="false">IF(OR($A2348="",$C2348="U",$S2348&lt;&gt;Calc!$F$2),"",IF(COUNTIFS($E$3:$E2348,$E2348,$C$3:$C2348,"&lt;&gt;U",$S$3:$S2348,Calc!$F$2)=1,1,0))</f>
        <v/>
      </c>
      <c r="R2348" s="35" t="str">
        <f aca="false">IF($Q2348=1,$O2348-ROW()/100000,"")</f>
        <v/>
      </c>
      <c r="S2348" s="37" t="str">
        <f aca="false">IF($A2348="","",INT($A2348))</f>
        <v/>
      </c>
      <c r="T2348" s="35" t="str">
        <f aca="false">IF($A2348="","",IF(COUNTIFS($S$3:$S2348,$S2348)=1,1,0))</f>
        <v/>
      </c>
      <c r="U2348" s="37" t="str">
        <f aca="false">IF($T2348=1,$S2348,"")</f>
        <v/>
      </c>
    </row>
    <row r="2349" customFormat="false" ht="15" hidden="false" customHeight="false" outlineLevel="0" collapsed="false">
      <c r="M2349" s="35" t="str">
        <f aca="false">IF($A2349="","",HOUR($A2349))</f>
        <v/>
      </c>
      <c r="N2349" s="36" t="str">
        <f aca="false">IF($A2349="","",$I2349*$K2349)</f>
        <v/>
      </c>
      <c r="O2349" s="35" t="str">
        <f aca="false">IF(OR($A2349="",$C2349="U",$S2349&lt;&gt;Calc!$F$2),"",SUMIFS($I$3:$I$3002,$E$3:$E$3002,$E2349,$C$3:$C$3002,"&lt;&gt;U",$S$3:$S$3002,Calc!$F$2))</f>
        <v/>
      </c>
      <c r="P2349" s="35" t="str">
        <f aca="false">IF(OR($A2349="",$C2349="U",$S2349&lt;&gt;Calc!$F$2),"",SUMIFS($N$3:$N$3002,$E$3:$E$3002,$E2349,$C$3:$C$3002,"&lt;&gt;U",$S$3:$S$3002,Calc!$F$2))</f>
        <v/>
      </c>
      <c r="Q2349" s="35" t="str">
        <f aca="false">IF(OR($A2349="",$C2349="U",$S2349&lt;&gt;Calc!$F$2),"",IF(COUNTIFS($E$3:$E2349,$E2349,$C$3:$C2349,"&lt;&gt;U",$S$3:$S2349,Calc!$F$2)=1,1,0))</f>
        <v/>
      </c>
      <c r="R2349" s="35" t="str">
        <f aca="false">IF($Q2349=1,$O2349-ROW()/100000,"")</f>
        <v/>
      </c>
      <c r="S2349" s="37" t="str">
        <f aca="false">IF($A2349="","",INT($A2349))</f>
        <v/>
      </c>
      <c r="T2349" s="35" t="str">
        <f aca="false">IF($A2349="","",IF(COUNTIFS($S$3:$S2349,$S2349)=1,1,0))</f>
        <v/>
      </c>
      <c r="U2349" s="37" t="str">
        <f aca="false">IF($T2349=1,$S2349,"")</f>
        <v/>
      </c>
    </row>
    <row r="2350" customFormat="false" ht="15" hidden="false" customHeight="false" outlineLevel="0" collapsed="false">
      <c r="M2350" s="35" t="str">
        <f aca="false">IF($A2350="","",HOUR($A2350))</f>
        <v/>
      </c>
      <c r="N2350" s="36" t="str">
        <f aca="false">IF($A2350="","",$I2350*$K2350)</f>
        <v/>
      </c>
      <c r="O2350" s="35" t="str">
        <f aca="false">IF(OR($A2350="",$C2350="U",$S2350&lt;&gt;Calc!$F$2),"",SUMIFS($I$3:$I$3002,$E$3:$E$3002,$E2350,$C$3:$C$3002,"&lt;&gt;U",$S$3:$S$3002,Calc!$F$2))</f>
        <v/>
      </c>
      <c r="P2350" s="35" t="str">
        <f aca="false">IF(OR($A2350="",$C2350="U",$S2350&lt;&gt;Calc!$F$2),"",SUMIFS($N$3:$N$3002,$E$3:$E$3002,$E2350,$C$3:$C$3002,"&lt;&gt;U",$S$3:$S$3002,Calc!$F$2))</f>
        <v/>
      </c>
      <c r="Q2350" s="35" t="str">
        <f aca="false">IF(OR($A2350="",$C2350="U",$S2350&lt;&gt;Calc!$F$2),"",IF(COUNTIFS($E$3:$E2350,$E2350,$C$3:$C2350,"&lt;&gt;U",$S$3:$S2350,Calc!$F$2)=1,1,0))</f>
        <v/>
      </c>
      <c r="R2350" s="35" t="str">
        <f aca="false">IF($Q2350=1,$O2350-ROW()/100000,"")</f>
        <v/>
      </c>
      <c r="S2350" s="37" t="str">
        <f aca="false">IF($A2350="","",INT($A2350))</f>
        <v/>
      </c>
      <c r="T2350" s="35" t="str">
        <f aca="false">IF($A2350="","",IF(COUNTIFS($S$3:$S2350,$S2350)=1,1,0))</f>
        <v/>
      </c>
      <c r="U2350" s="37" t="str">
        <f aca="false">IF($T2350=1,$S2350,"")</f>
        <v/>
      </c>
    </row>
    <row r="2351" customFormat="false" ht="15" hidden="false" customHeight="false" outlineLevel="0" collapsed="false">
      <c r="M2351" s="35" t="str">
        <f aca="false">IF($A2351="","",HOUR($A2351))</f>
        <v/>
      </c>
      <c r="N2351" s="36" t="str">
        <f aca="false">IF($A2351="","",$I2351*$K2351)</f>
        <v/>
      </c>
      <c r="O2351" s="35" t="str">
        <f aca="false">IF(OR($A2351="",$C2351="U",$S2351&lt;&gt;Calc!$F$2),"",SUMIFS($I$3:$I$3002,$E$3:$E$3002,$E2351,$C$3:$C$3002,"&lt;&gt;U",$S$3:$S$3002,Calc!$F$2))</f>
        <v/>
      </c>
      <c r="P2351" s="35" t="str">
        <f aca="false">IF(OR($A2351="",$C2351="U",$S2351&lt;&gt;Calc!$F$2),"",SUMIFS($N$3:$N$3002,$E$3:$E$3002,$E2351,$C$3:$C$3002,"&lt;&gt;U",$S$3:$S$3002,Calc!$F$2))</f>
        <v/>
      </c>
      <c r="Q2351" s="35" t="str">
        <f aca="false">IF(OR($A2351="",$C2351="U",$S2351&lt;&gt;Calc!$F$2),"",IF(COUNTIFS($E$3:$E2351,$E2351,$C$3:$C2351,"&lt;&gt;U",$S$3:$S2351,Calc!$F$2)=1,1,0))</f>
        <v/>
      </c>
      <c r="R2351" s="35" t="str">
        <f aca="false">IF($Q2351=1,$O2351-ROW()/100000,"")</f>
        <v/>
      </c>
      <c r="S2351" s="37" t="str">
        <f aca="false">IF($A2351="","",INT($A2351))</f>
        <v/>
      </c>
      <c r="T2351" s="35" t="str">
        <f aca="false">IF($A2351="","",IF(COUNTIFS($S$3:$S2351,$S2351)=1,1,0))</f>
        <v/>
      </c>
      <c r="U2351" s="37" t="str">
        <f aca="false">IF($T2351=1,$S2351,"")</f>
        <v/>
      </c>
    </row>
    <row r="2352" customFormat="false" ht="15" hidden="false" customHeight="false" outlineLevel="0" collapsed="false">
      <c r="M2352" s="35" t="str">
        <f aca="false">IF($A2352="","",HOUR($A2352))</f>
        <v/>
      </c>
      <c r="N2352" s="36" t="str">
        <f aca="false">IF($A2352="","",$I2352*$K2352)</f>
        <v/>
      </c>
      <c r="O2352" s="35" t="str">
        <f aca="false">IF(OR($A2352="",$C2352="U",$S2352&lt;&gt;Calc!$F$2),"",SUMIFS($I$3:$I$3002,$E$3:$E$3002,$E2352,$C$3:$C$3002,"&lt;&gt;U",$S$3:$S$3002,Calc!$F$2))</f>
        <v/>
      </c>
      <c r="P2352" s="35" t="str">
        <f aca="false">IF(OR($A2352="",$C2352="U",$S2352&lt;&gt;Calc!$F$2),"",SUMIFS($N$3:$N$3002,$E$3:$E$3002,$E2352,$C$3:$C$3002,"&lt;&gt;U",$S$3:$S$3002,Calc!$F$2))</f>
        <v/>
      </c>
      <c r="Q2352" s="35" t="str">
        <f aca="false">IF(OR($A2352="",$C2352="U",$S2352&lt;&gt;Calc!$F$2),"",IF(COUNTIFS($E$3:$E2352,$E2352,$C$3:$C2352,"&lt;&gt;U",$S$3:$S2352,Calc!$F$2)=1,1,0))</f>
        <v/>
      </c>
      <c r="R2352" s="35" t="str">
        <f aca="false">IF($Q2352=1,$O2352-ROW()/100000,"")</f>
        <v/>
      </c>
      <c r="S2352" s="37" t="str">
        <f aca="false">IF($A2352="","",INT($A2352))</f>
        <v/>
      </c>
      <c r="T2352" s="35" t="str">
        <f aca="false">IF($A2352="","",IF(COUNTIFS($S$3:$S2352,$S2352)=1,1,0))</f>
        <v/>
      </c>
      <c r="U2352" s="37" t="str">
        <f aca="false">IF($T2352=1,$S2352,"")</f>
        <v/>
      </c>
    </row>
    <row r="2353" customFormat="false" ht="15" hidden="false" customHeight="false" outlineLevel="0" collapsed="false">
      <c r="M2353" s="35" t="str">
        <f aca="false">IF($A2353="","",HOUR($A2353))</f>
        <v/>
      </c>
      <c r="N2353" s="36" t="str">
        <f aca="false">IF($A2353="","",$I2353*$K2353)</f>
        <v/>
      </c>
      <c r="O2353" s="35" t="str">
        <f aca="false">IF(OR($A2353="",$C2353="U",$S2353&lt;&gt;Calc!$F$2),"",SUMIFS($I$3:$I$3002,$E$3:$E$3002,$E2353,$C$3:$C$3002,"&lt;&gt;U",$S$3:$S$3002,Calc!$F$2))</f>
        <v/>
      </c>
      <c r="P2353" s="35" t="str">
        <f aca="false">IF(OR($A2353="",$C2353="U",$S2353&lt;&gt;Calc!$F$2),"",SUMIFS($N$3:$N$3002,$E$3:$E$3002,$E2353,$C$3:$C$3002,"&lt;&gt;U",$S$3:$S$3002,Calc!$F$2))</f>
        <v/>
      </c>
      <c r="Q2353" s="35" t="str">
        <f aca="false">IF(OR($A2353="",$C2353="U",$S2353&lt;&gt;Calc!$F$2),"",IF(COUNTIFS($E$3:$E2353,$E2353,$C$3:$C2353,"&lt;&gt;U",$S$3:$S2353,Calc!$F$2)=1,1,0))</f>
        <v/>
      </c>
      <c r="R2353" s="35" t="str">
        <f aca="false">IF($Q2353=1,$O2353-ROW()/100000,"")</f>
        <v/>
      </c>
      <c r="S2353" s="37" t="str">
        <f aca="false">IF($A2353="","",INT($A2353))</f>
        <v/>
      </c>
      <c r="T2353" s="35" t="str">
        <f aca="false">IF($A2353="","",IF(COUNTIFS($S$3:$S2353,$S2353)=1,1,0))</f>
        <v/>
      </c>
      <c r="U2353" s="37" t="str">
        <f aca="false">IF($T2353=1,$S2353,"")</f>
        <v/>
      </c>
    </row>
    <row r="2354" customFormat="false" ht="15" hidden="false" customHeight="false" outlineLevel="0" collapsed="false">
      <c r="M2354" s="35" t="str">
        <f aca="false">IF($A2354="","",HOUR($A2354))</f>
        <v/>
      </c>
      <c r="N2354" s="36" t="str">
        <f aca="false">IF($A2354="","",$I2354*$K2354)</f>
        <v/>
      </c>
      <c r="O2354" s="35" t="str">
        <f aca="false">IF(OR($A2354="",$C2354="U",$S2354&lt;&gt;Calc!$F$2),"",SUMIFS($I$3:$I$3002,$E$3:$E$3002,$E2354,$C$3:$C$3002,"&lt;&gt;U",$S$3:$S$3002,Calc!$F$2))</f>
        <v/>
      </c>
      <c r="P2354" s="35" t="str">
        <f aca="false">IF(OR($A2354="",$C2354="U",$S2354&lt;&gt;Calc!$F$2),"",SUMIFS($N$3:$N$3002,$E$3:$E$3002,$E2354,$C$3:$C$3002,"&lt;&gt;U",$S$3:$S$3002,Calc!$F$2))</f>
        <v/>
      </c>
      <c r="Q2354" s="35" t="str">
        <f aca="false">IF(OR($A2354="",$C2354="U",$S2354&lt;&gt;Calc!$F$2),"",IF(COUNTIFS($E$3:$E2354,$E2354,$C$3:$C2354,"&lt;&gt;U",$S$3:$S2354,Calc!$F$2)=1,1,0))</f>
        <v/>
      </c>
      <c r="R2354" s="35" t="str">
        <f aca="false">IF($Q2354=1,$O2354-ROW()/100000,"")</f>
        <v/>
      </c>
      <c r="S2354" s="37" t="str">
        <f aca="false">IF($A2354="","",INT($A2354))</f>
        <v/>
      </c>
      <c r="T2354" s="35" t="str">
        <f aca="false">IF($A2354="","",IF(COUNTIFS($S$3:$S2354,$S2354)=1,1,0))</f>
        <v/>
      </c>
      <c r="U2354" s="37" t="str">
        <f aca="false">IF($T2354=1,$S2354,"")</f>
        <v/>
      </c>
    </row>
    <row r="2355" customFormat="false" ht="15" hidden="false" customHeight="false" outlineLevel="0" collapsed="false">
      <c r="M2355" s="35" t="str">
        <f aca="false">IF($A2355="","",HOUR($A2355))</f>
        <v/>
      </c>
      <c r="N2355" s="36" t="str">
        <f aca="false">IF($A2355="","",$I2355*$K2355)</f>
        <v/>
      </c>
      <c r="O2355" s="35" t="str">
        <f aca="false">IF(OR($A2355="",$C2355="U",$S2355&lt;&gt;Calc!$F$2),"",SUMIFS($I$3:$I$3002,$E$3:$E$3002,$E2355,$C$3:$C$3002,"&lt;&gt;U",$S$3:$S$3002,Calc!$F$2))</f>
        <v/>
      </c>
      <c r="P2355" s="35" t="str">
        <f aca="false">IF(OR($A2355="",$C2355="U",$S2355&lt;&gt;Calc!$F$2),"",SUMIFS($N$3:$N$3002,$E$3:$E$3002,$E2355,$C$3:$C$3002,"&lt;&gt;U",$S$3:$S$3002,Calc!$F$2))</f>
        <v/>
      </c>
      <c r="Q2355" s="35" t="str">
        <f aca="false">IF(OR($A2355="",$C2355="U",$S2355&lt;&gt;Calc!$F$2),"",IF(COUNTIFS($E$3:$E2355,$E2355,$C$3:$C2355,"&lt;&gt;U",$S$3:$S2355,Calc!$F$2)=1,1,0))</f>
        <v/>
      </c>
      <c r="R2355" s="35" t="str">
        <f aca="false">IF($Q2355=1,$O2355-ROW()/100000,"")</f>
        <v/>
      </c>
      <c r="S2355" s="37" t="str">
        <f aca="false">IF($A2355="","",INT($A2355))</f>
        <v/>
      </c>
      <c r="T2355" s="35" t="str">
        <f aca="false">IF($A2355="","",IF(COUNTIFS($S$3:$S2355,$S2355)=1,1,0))</f>
        <v/>
      </c>
      <c r="U2355" s="37" t="str">
        <f aca="false">IF($T2355=1,$S2355,"")</f>
        <v/>
      </c>
    </row>
    <row r="2356" customFormat="false" ht="15" hidden="false" customHeight="false" outlineLevel="0" collapsed="false">
      <c r="M2356" s="35" t="str">
        <f aca="false">IF($A2356="","",HOUR($A2356))</f>
        <v/>
      </c>
      <c r="N2356" s="36" t="str">
        <f aca="false">IF($A2356="","",$I2356*$K2356)</f>
        <v/>
      </c>
      <c r="O2356" s="35" t="str">
        <f aca="false">IF(OR($A2356="",$C2356="U",$S2356&lt;&gt;Calc!$F$2),"",SUMIFS($I$3:$I$3002,$E$3:$E$3002,$E2356,$C$3:$C$3002,"&lt;&gt;U",$S$3:$S$3002,Calc!$F$2))</f>
        <v/>
      </c>
      <c r="P2356" s="35" t="str">
        <f aca="false">IF(OR($A2356="",$C2356="U",$S2356&lt;&gt;Calc!$F$2),"",SUMIFS($N$3:$N$3002,$E$3:$E$3002,$E2356,$C$3:$C$3002,"&lt;&gt;U",$S$3:$S$3002,Calc!$F$2))</f>
        <v/>
      </c>
      <c r="Q2356" s="35" t="str">
        <f aca="false">IF(OR($A2356="",$C2356="U",$S2356&lt;&gt;Calc!$F$2),"",IF(COUNTIFS($E$3:$E2356,$E2356,$C$3:$C2356,"&lt;&gt;U",$S$3:$S2356,Calc!$F$2)=1,1,0))</f>
        <v/>
      </c>
      <c r="R2356" s="35" t="str">
        <f aca="false">IF($Q2356=1,$O2356-ROW()/100000,"")</f>
        <v/>
      </c>
      <c r="S2356" s="37" t="str">
        <f aca="false">IF($A2356="","",INT($A2356))</f>
        <v/>
      </c>
      <c r="T2356" s="35" t="str">
        <f aca="false">IF($A2356="","",IF(COUNTIFS($S$3:$S2356,$S2356)=1,1,0))</f>
        <v/>
      </c>
      <c r="U2356" s="37" t="str">
        <f aca="false">IF($T2356=1,$S2356,"")</f>
        <v/>
      </c>
    </row>
    <row r="2357" customFormat="false" ht="15" hidden="false" customHeight="false" outlineLevel="0" collapsed="false">
      <c r="M2357" s="35" t="str">
        <f aca="false">IF($A2357="","",HOUR($A2357))</f>
        <v/>
      </c>
      <c r="N2357" s="36" t="str">
        <f aca="false">IF($A2357="","",$I2357*$K2357)</f>
        <v/>
      </c>
      <c r="O2357" s="35" t="str">
        <f aca="false">IF(OR($A2357="",$C2357="U",$S2357&lt;&gt;Calc!$F$2),"",SUMIFS($I$3:$I$3002,$E$3:$E$3002,$E2357,$C$3:$C$3002,"&lt;&gt;U",$S$3:$S$3002,Calc!$F$2))</f>
        <v/>
      </c>
      <c r="P2357" s="35" t="str">
        <f aca="false">IF(OR($A2357="",$C2357="U",$S2357&lt;&gt;Calc!$F$2),"",SUMIFS($N$3:$N$3002,$E$3:$E$3002,$E2357,$C$3:$C$3002,"&lt;&gt;U",$S$3:$S$3002,Calc!$F$2))</f>
        <v/>
      </c>
      <c r="Q2357" s="35" t="str">
        <f aca="false">IF(OR($A2357="",$C2357="U",$S2357&lt;&gt;Calc!$F$2),"",IF(COUNTIFS($E$3:$E2357,$E2357,$C$3:$C2357,"&lt;&gt;U",$S$3:$S2357,Calc!$F$2)=1,1,0))</f>
        <v/>
      </c>
      <c r="R2357" s="35" t="str">
        <f aca="false">IF($Q2357=1,$O2357-ROW()/100000,"")</f>
        <v/>
      </c>
      <c r="S2357" s="37" t="str">
        <f aca="false">IF($A2357="","",INT($A2357))</f>
        <v/>
      </c>
      <c r="T2357" s="35" t="str">
        <f aca="false">IF($A2357="","",IF(COUNTIFS($S$3:$S2357,$S2357)=1,1,0))</f>
        <v/>
      </c>
      <c r="U2357" s="37" t="str">
        <f aca="false">IF($T2357=1,$S2357,"")</f>
        <v/>
      </c>
    </row>
    <row r="2358" customFormat="false" ht="15" hidden="false" customHeight="false" outlineLevel="0" collapsed="false">
      <c r="M2358" s="35" t="str">
        <f aca="false">IF($A2358="","",HOUR($A2358))</f>
        <v/>
      </c>
      <c r="N2358" s="36" t="str">
        <f aca="false">IF($A2358="","",$I2358*$K2358)</f>
        <v/>
      </c>
      <c r="O2358" s="35" t="str">
        <f aca="false">IF(OR($A2358="",$C2358="U",$S2358&lt;&gt;Calc!$F$2),"",SUMIFS($I$3:$I$3002,$E$3:$E$3002,$E2358,$C$3:$C$3002,"&lt;&gt;U",$S$3:$S$3002,Calc!$F$2))</f>
        <v/>
      </c>
      <c r="P2358" s="35" t="str">
        <f aca="false">IF(OR($A2358="",$C2358="U",$S2358&lt;&gt;Calc!$F$2),"",SUMIFS($N$3:$N$3002,$E$3:$E$3002,$E2358,$C$3:$C$3002,"&lt;&gt;U",$S$3:$S$3002,Calc!$F$2))</f>
        <v/>
      </c>
      <c r="Q2358" s="35" t="str">
        <f aca="false">IF(OR($A2358="",$C2358="U",$S2358&lt;&gt;Calc!$F$2),"",IF(COUNTIFS($E$3:$E2358,$E2358,$C$3:$C2358,"&lt;&gt;U",$S$3:$S2358,Calc!$F$2)=1,1,0))</f>
        <v/>
      </c>
      <c r="R2358" s="35" t="str">
        <f aca="false">IF($Q2358=1,$O2358-ROW()/100000,"")</f>
        <v/>
      </c>
      <c r="S2358" s="37" t="str">
        <f aca="false">IF($A2358="","",INT($A2358))</f>
        <v/>
      </c>
      <c r="T2358" s="35" t="str">
        <f aca="false">IF($A2358="","",IF(COUNTIFS($S$3:$S2358,$S2358)=1,1,0))</f>
        <v/>
      </c>
      <c r="U2358" s="37" t="str">
        <f aca="false">IF($T2358=1,$S2358,"")</f>
        <v/>
      </c>
    </row>
    <row r="2359" customFormat="false" ht="15" hidden="false" customHeight="false" outlineLevel="0" collapsed="false">
      <c r="M2359" s="35" t="str">
        <f aca="false">IF($A2359="","",HOUR($A2359))</f>
        <v/>
      </c>
      <c r="N2359" s="36" t="str">
        <f aca="false">IF($A2359="","",$I2359*$K2359)</f>
        <v/>
      </c>
      <c r="O2359" s="35" t="str">
        <f aca="false">IF(OR($A2359="",$C2359="U",$S2359&lt;&gt;Calc!$F$2),"",SUMIFS($I$3:$I$3002,$E$3:$E$3002,$E2359,$C$3:$C$3002,"&lt;&gt;U",$S$3:$S$3002,Calc!$F$2))</f>
        <v/>
      </c>
      <c r="P2359" s="35" t="str">
        <f aca="false">IF(OR($A2359="",$C2359="U",$S2359&lt;&gt;Calc!$F$2),"",SUMIFS($N$3:$N$3002,$E$3:$E$3002,$E2359,$C$3:$C$3002,"&lt;&gt;U",$S$3:$S$3002,Calc!$F$2))</f>
        <v/>
      </c>
      <c r="Q2359" s="35" t="str">
        <f aca="false">IF(OR($A2359="",$C2359="U",$S2359&lt;&gt;Calc!$F$2),"",IF(COUNTIFS($E$3:$E2359,$E2359,$C$3:$C2359,"&lt;&gt;U",$S$3:$S2359,Calc!$F$2)=1,1,0))</f>
        <v/>
      </c>
      <c r="R2359" s="35" t="str">
        <f aca="false">IF($Q2359=1,$O2359-ROW()/100000,"")</f>
        <v/>
      </c>
      <c r="S2359" s="37" t="str">
        <f aca="false">IF($A2359="","",INT($A2359))</f>
        <v/>
      </c>
      <c r="T2359" s="35" t="str">
        <f aca="false">IF($A2359="","",IF(COUNTIFS($S$3:$S2359,$S2359)=1,1,0))</f>
        <v/>
      </c>
      <c r="U2359" s="37" t="str">
        <f aca="false">IF($T2359=1,$S2359,"")</f>
        <v/>
      </c>
    </row>
    <row r="2360" customFormat="false" ht="15" hidden="false" customHeight="false" outlineLevel="0" collapsed="false">
      <c r="M2360" s="35" t="str">
        <f aca="false">IF($A2360="","",HOUR($A2360))</f>
        <v/>
      </c>
      <c r="N2360" s="36" t="str">
        <f aca="false">IF($A2360="","",$I2360*$K2360)</f>
        <v/>
      </c>
      <c r="O2360" s="35" t="str">
        <f aca="false">IF(OR($A2360="",$C2360="U",$S2360&lt;&gt;Calc!$F$2),"",SUMIFS($I$3:$I$3002,$E$3:$E$3002,$E2360,$C$3:$C$3002,"&lt;&gt;U",$S$3:$S$3002,Calc!$F$2))</f>
        <v/>
      </c>
      <c r="P2360" s="35" t="str">
        <f aca="false">IF(OR($A2360="",$C2360="U",$S2360&lt;&gt;Calc!$F$2),"",SUMIFS($N$3:$N$3002,$E$3:$E$3002,$E2360,$C$3:$C$3002,"&lt;&gt;U",$S$3:$S$3002,Calc!$F$2))</f>
        <v/>
      </c>
      <c r="Q2360" s="35" t="str">
        <f aca="false">IF(OR($A2360="",$C2360="U",$S2360&lt;&gt;Calc!$F$2),"",IF(COUNTIFS($E$3:$E2360,$E2360,$C$3:$C2360,"&lt;&gt;U",$S$3:$S2360,Calc!$F$2)=1,1,0))</f>
        <v/>
      </c>
      <c r="R2360" s="35" t="str">
        <f aca="false">IF($Q2360=1,$O2360-ROW()/100000,"")</f>
        <v/>
      </c>
      <c r="S2360" s="37" t="str">
        <f aca="false">IF($A2360="","",INT($A2360))</f>
        <v/>
      </c>
      <c r="T2360" s="35" t="str">
        <f aca="false">IF($A2360="","",IF(COUNTIFS($S$3:$S2360,$S2360)=1,1,0))</f>
        <v/>
      </c>
      <c r="U2360" s="37" t="str">
        <f aca="false">IF($T2360=1,$S2360,"")</f>
        <v/>
      </c>
    </row>
    <row r="2361" customFormat="false" ht="15" hidden="false" customHeight="false" outlineLevel="0" collapsed="false">
      <c r="M2361" s="35" t="str">
        <f aca="false">IF($A2361="","",HOUR($A2361))</f>
        <v/>
      </c>
      <c r="N2361" s="36" t="str">
        <f aca="false">IF($A2361="","",$I2361*$K2361)</f>
        <v/>
      </c>
      <c r="O2361" s="35" t="str">
        <f aca="false">IF(OR($A2361="",$C2361="U",$S2361&lt;&gt;Calc!$F$2),"",SUMIFS($I$3:$I$3002,$E$3:$E$3002,$E2361,$C$3:$C$3002,"&lt;&gt;U",$S$3:$S$3002,Calc!$F$2))</f>
        <v/>
      </c>
      <c r="P2361" s="35" t="str">
        <f aca="false">IF(OR($A2361="",$C2361="U",$S2361&lt;&gt;Calc!$F$2),"",SUMIFS($N$3:$N$3002,$E$3:$E$3002,$E2361,$C$3:$C$3002,"&lt;&gt;U",$S$3:$S$3002,Calc!$F$2))</f>
        <v/>
      </c>
      <c r="Q2361" s="35" t="str">
        <f aca="false">IF(OR($A2361="",$C2361="U",$S2361&lt;&gt;Calc!$F$2),"",IF(COUNTIFS($E$3:$E2361,$E2361,$C$3:$C2361,"&lt;&gt;U",$S$3:$S2361,Calc!$F$2)=1,1,0))</f>
        <v/>
      </c>
      <c r="R2361" s="35" t="str">
        <f aca="false">IF($Q2361=1,$O2361-ROW()/100000,"")</f>
        <v/>
      </c>
      <c r="S2361" s="37" t="str">
        <f aca="false">IF($A2361="","",INT($A2361))</f>
        <v/>
      </c>
      <c r="T2361" s="35" t="str">
        <f aca="false">IF($A2361="","",IF(COUNTIFS($S$3:$S2361,$S2361)=1,1,0))</f>
        <v/>
      </c>
      <c r="U2361" s="37" t="str">
        <f aca="false">IF($T2361=1,$S2361,"")</f>
        <v/>
      </c>
    </row>
    <row r="2362" customFormat="false" ht="15" hidden="false" customHeight="false" outlineLevel="0" collapsed="false">
      <c r="M2362" s="35" t="str">
        <f aca="false">IF($A2362="","",HOUR($A2362))</f>
        <v/>
      </c>
      <c r="N2362" s="36" t="str">
        <f aca="false">IF($A2362="","",$I2362*$K2362)</f>
        <v/>
      </c>
      <c r="O2362" s="35" t="str">
        <f aca="false">IF(OR($A2362="",$C2362="U",$S2362&lt;&gt;Calc!$F$2),"",SUMIFS($I$3:$I$3002,$E$3:$E$3002,$E2362,$C$3:$C$3002,"&lt;&gt;U",$S$3:$S$3002,Calc!$F$2))</f>
        <v/>
      </c>
      <c r="P2362" s="35" t="str">
        <f aca="false">IF(OR($A2362="",$C2362="U",$S2362&lt;&gt;Calc!$F$2),"",SUMIFS($N$3:$N$3002,$E$3:$E$3002,$E2362,$C$3:$C$3002,"&lt;&gt;U",$S$3:$S$3002,Calc!$F$2))</f>
        <v/>
      </c>
      <c r="Q2362" s="35" t="str">
        <f aca="false">IF(OR($A2362="",$C2362="U",$S2362&lt;&gt;Calc!$F$2),"",IF(COUNTIFS($E$3:$E2362,$E2362,$C$3:$C2362,"&lt;&gt;U",$S$3:$S2362,Calc!$F$2)=1,1,0))</f>
        <v/>
      </c>
      <c r="R2362" s="35" t="str">
        <f aca="false">IF($Q2362=1,$O2362-ROW()/100000,"")</f>
        <v/>
      </c>
      <c r="S2362" s="37" t="str">
        <f aca="false">IF($A2362="","",INT($A2362))</f>
        <v/>
      </c>
      <c r="T2362" s="35" t="str">
        <f aca="false">IF($A2362="","",IF(COUNTIFS($S$3:$S2362,$S2362)=1,1,0))</f>
        <v/>
      </c>
      <c r="U2362" s="37" t="str">
        <f aca="false">IF($T2362=1,$S2362,"")</f>
        <v/>
      </c>
    </row>
    <row r="2363" customFormat="false" ht="15" hidden="false" customHeight="false" outlineLevel="0" collapsed="false">
      <c r="M2363" s="35" t="str">
        <f aca="false">IF($A2363="","",HOUR($A2363))</f>
        <v/>
      </c>
      <c r="N2363" s="36" t="str">
        <f aca="false">IF($A2363="","",$I2363*$K2363)</f>
        <v/>
      </c>
      <c r="O2363" s="35" t="str">
        <f aca="false">IF(OR($A2363="",$C2363="U",$S2363&lt;&gt;Calc!$F$2),"",SUMIFS($I$3:$I$3002,$E$3:$E$3002,$E2363,$C$3:$C$3002,"&lt;&gt;U",$S$3:$S$3002,Calc!$F$2))</f>
        <v/>
      </c>
      <c r="P2363" s="35" t="str">
        <f aca="false">IF(OR($A2363="",$C2363="U",$S2363&lt;&gt;Calc!$F$2),"",SUMIFS($N$3:$N$3002,$E$3:$E$3002,$E2363,$C$3:$C$3002,"&lt;&gt;U",$S$3:$S$3002,Calc!$F$2))</f>
        <v/>
      </c>
      <c r="Q2363" s="35" t="str">
        <f aca="false">IF(OR($A2363="",$C2363="U",$S2363&lt;&gt;Calc!$F$2),"",IF(COUNTIFS($E$3:$E2363,$E2363,$C$3:$C2363,"&lt;&gt;U",$S$3:$S2363,Calc!$F$2)=1,1,0))</f>
        <v/>
      </c>
      <c r="R2363" s="35" t="str">
        <f aca="false">IF($Q2363=1,$O2363-ROW()/100000,"")</f>
        <v/>
      </c>
      <c r="S2363" s="37" t="str">
        <f aca="false">IF($A2363="","",INT($A2363))</f>
        <v/>
      </c>
      <c r="T2363" s="35" t="str">
        <f aca="false">IF($A2363="","",IF(COUNTIFS($S$3:$S2363,$S2363)=1,1,0))</f>
        <v/>
      </c>
      <c r="U2363" s="37" t="str">
        <f aca="false">IF($T2363=1,$S2363,"")</f>
        <v/>
      </c>
    </row>
    <row r="2364" customFormat="false" ht="15" hidden="false" customHeight="false" outlineLevel="0" collapsed="false">
      <c r="M2364" s="35" t="str">
        <f aca="false">IF($A2364="","",HOUR($A2364))</f>
        <v/>
      </c>
      <c r="N2364" s="36" t="str">
        <f aca="false">IF($A2364="","",$I2364*$K2364)</f>
        <v/>
      </c>
      <c r="O2364" s="35" t="str">
        <f aca="false">IF(OR($A2364="",$C2364="U",$S2364&lt;&gt;Calc!$F$2),"",SUMIFS($I$3:$I$3002,$E$3:$E$3002,$E2364,$C$3:$C$3002,"&lt;&gt;U",$S$3:$S$3002,Calc!$F$2))</f>
        <v/>
      </c>
      <c r="P2364" s="35" t="str">
        <f aca="false">IF(OR($A2364="",$C2364="U",$S2364&lt;&gt;Calc!$F$2),"",SUMIFS($N$3:$N$3002,$E$3:$E$3002,$E2364,$C$3:$C$3002,"&lt;&gt;U",$S$3:$S$3002,Calc!$F$2))</f>
        <v/>
      </c>
      <c r="Q2364" s="35" t="str">
        <f aca="false">IF(OR($A2364="",$C2364="U",$S2364&lt;&gt;Calc!$F$2),"",IF(COUNTIFS($E$3:$E2364,$E2364,$C$3:$C2364,"&lt;&gt;U",$S$3:$S2364,Calc!$F$2)=1,1,0))</f>
        <v/>
      </c>
      <c r="R2364" s="35" t="str">
        <f aca="false">IF($Q2364=1,$O2364-ROW()/100000,"")</f>
        <v/>
      </c>
      <c r="S2364" s="37" t="str">
        <f aca="false">IF($A2364="","",INT($A2364))</f>
        <v/>
      </c>
      <c r="T2364" s="35" t="str">
        <f aca="false">IF($A2364="","",IF(COUNTIFS($S$3:$S2364,$S2364)=1,1,0))</f>
        <v/>
      </c>
      <c r="U2364" s="37" t="str">
        <f aca="false">IF($T2364=1,$S2364,"")</f>
        <v/>
      </c>
    </row>
    <row r="2365" customFormat="false" ht="15" hidden="false" customHeight="false" outlineLevel="0" collapsed="false">
      <c r="M2365" s="35" t="str">
        <f aca="false">IF($A2365="","",HOUR($A2365))</f>
        <v/>
      </c>
      <c r="N2365" s="36" t="str">
        <f aca="false">IF($A2365="","",$I2365*$K2365)</f>
        <v/>
      </c>
      <c r="O2365" s="35" t="str">
        <f aca="false">IF(OR($A2365="",$C2365="U",$S2365&lt;&gt;Calc!$F$2),"",SUMIFS($I$3:$I$3002,$E$3:$E$3002,$E2365,$C$3:$C$3002,"&lt;&gt;U",$S$3:$S$3002,Calc!$F$2))</f>
        <v/>
      </c>
      <c r="P2365" s="35" t="str">
        <f aca="false">IF(OR($A2365="",$C2365="U",$S2365&lt;&gt;Calc!$F$2),"",SUMIFS($N$3:$N$3002,$E$3:$E$3002,$E2365,$C$3:$C$3002,"&lt;&gt;U",$S$3:$S$3002,Calc!$F$2))</f>
        <v/>
      </c>
      <c r="Q2365" s="35" t="str">
        <f aca="false">IF(OR($A2365="",$C2365="U",$S2365&lt;&gt;Calc!$F$2),"",IF(COUNTIFS($E$3:$E2365,$E2365,$C$3:$C2365,"&lt;&gt;U",$S$3:$S2365,Calc!$F$2)=1,1,0))</f>
        <v/>
      </c>
      <c r="R2365" s="35" t="str">
        <f aca="false">IF($Q2365=1,$O2365-ROW()/100000,"")</f>
        <v/>
      </c>
      <c r="S2365" s="37" t="str">
        <f aca="false">IF($A2365="","",INT($A2365))</f>
        <v/>
      </c>
      <c r="T2365" s="35" t="str">
        <f aca="false">IF($A2365="","",IF(COUNTIFS($S$3:$S2365,$S2365)=1,1,0))</f>
        <v/>
      </c>
      <c r="U2365" s="37" t="str">
        <f aca="false">IF($T2365=1,$S2365,"")</f>
        <v/>
      </c>
    </row>
    <row r="2366" customFormat="false" ht="15" hidden="false" customHeight="false" outlineLevel="0" collapsed="false">
      <c r="M2366" s="35" t="str">
        <f aca="false">IF($A2366="","",HOUR($A2366))</f>
        <v/>
      </c>
      <c r="N2366" s="36" t="str">
        <f aca="false">IF($A2366="","",$I2366*$K2366)</f>
        <v/>
      </c>
      <c r="O2366" s="35" t="str">
        <f aca="false">IF(OR($A2366="",$C2366="U",$S2366&lt;&gt;Calc!$F$2),"",SUMIFS($I$3:$I$3002,$E$3:$E$3002,$E2366,$C$3:$C$3002,"&lt;&gt;U",$S$3:$S$3002,Calc!$F$2))</f>
        <v/>
      </c>
      <c r="P2366" s="35" t="str">
        <f aca="false">IF(OR($A2366="",$C2366="U",$S2366&lt;&gt;Calc!$F$2),"",SUMIFS($N$3:$N$3002,$E$3:$E$3002,$E2366,$C$3:$C$3002,"&lt;&gt;U",$S$3:$S$3002,Calc!$F$2))</f>
        <v/>
      </c>
      <c r="Q2366" s="35" t="str">
        <f aca="false">IF(OR($A2366="",$C2366="U",$S2366&lt;&gt;Calc!$F$2),"",IF(COUNTIFS($E$3:$E2366,$E2366,$C$3:$C2366,"&lt;&gt;U",$S$3:$S2366,Calc!$F$2)=1,1,0))</f>
        <v/>
      </c>
      <c r="R2366" s="35" t="str">
        <f aca="false">IF($Q2366=1,$O2366-ROW()/100000,"")</f>
        <v/>
      </c>
      <c r="S2366" s="37" t="str">
        <f aca="false">IF($A2366="","",INT($A2366))</f>
        <v/>
      </c>
      <c r="T2366" s="35" t="str">
        <f aca="false">IF($A2366="","",IF(COUNTIFS($S$3:$S2366,$S2366)=1,1,0))</f>
        <v/>
      </c>
      <c r="U2366" s="37" t="str">
        <f aca="false">IF($T2366=1,$S2366,"")</f>
        <v/>
      </c>
    </row>
    <row r="2367" customFormat="false" ht="15" hidden="false" customHeight="false" outlineLevel="0" collapsed="false">
      <c r="M2367" s="35" t="str">
        <f aca="false">IF($A2367="","",HOUR($A2367))</f>
        <v/>
      </c>
      <c r="N2367" s="36" t="str">
        <f aca="false">IF($A2367="","",$I2367*$K2367)</f>
        <v/>
      </c>
      <c r="O2367" s="35" t="str">
        <f aca="false">IF(OR($A2367="",$C2367="U",$S2367&lt;&gt;Calc!$F$2),"",SUMIFS($I$3:$I$3002,$E$3:$E$3002,$E2367,$C$3:$C$3002,"&lt;&gt;U",$S$3:$S$3002,Calc!$F$2))</f>
        <v/>
      </c>
      <c r="P2367" s="35" t="str">
        <f aca="false">IF(OR($A2367="",$C2367="U",$S2367&lt;&gt;Calc!$F$2),"",SUMIFS($N$3:$N$3002,$E$3:$E$3002,$E2367,$C$3:$C$3002,"&lt;&gt;U",$S$3:$S$3002,Calc!$F$2))</f>
        <v/>
      </c>
      <c r="Q2367" s="35" t="str">
        <f aca="false">IF(OR($A2367="",$C2367="U",$S2367&lt;&gt;Calc!$F$2),"",IF(COUNTIFS($E$3:$E2367,$E2367,$C$3:$C2367,"&lt;&gt;U",$S$3:$S2367,Calc!$F$2)=1,1,0))</f>
        <v/>
      </c>
      <c r="R2367" s="35" t="str">
        <f aca="false">IF($Q2367=1,$O2367-ROW()/100000,"")</f>
        <v/>
      </c>
      <c r="S2367" s="37" t="str">
        <f aca="false">IF($A2367="","",INT($A2367))</f>
        <v/>
      </c>
      <c r="T2367" s="35" t="str">
        <f aca="false">IF($A2367="","",IF(COUNTIFS($S$3:$S2367,$S2367)=1,1,0))</f>
        <v/>
      </c>
      <c r="U2367" s="37" t="str">
        <f aca="false">IF($T2367=1,$S2367,"")</f>
        <v/>
      </c>
    </row>
    <row r="2368" customFormat="false" ht="15" hidden="false" customHeight="false" outlineLevel="0" collapsed="false">
      <c r="M2368" s="35" t="str">
        <f aca="false">IF($A2368="","",HOUR($A2368))</f>
        <v/>
      </c>
      <c r="N2368" s="36" t="str">
        <f aca="false">IF($A2368="","",$I2368*$K2368)</f>
        <v/>
      </c>
      <c r="O2368" s="35" t="str">
        <f aca="false">IF(OR($A2368="",$C2368="U",$S2368&lt;&gt;Calc!$F$2),"",SUMIFS($I$3:$I$3002,$E$3:$E$3002,$E2368,$C$3:$C$3002,"&lt;&gt;U",$S$3:$S$3002,Calc!$F$2))</f>
        <v/>
      </c>
      <c r="P2368" s="35" t="str">
        <f aca="false">IF(OR($A2368="",$C2368="U",$S2368&lt;&gt;Calc!$F$2),"",SUMIFS($N$3:$N$3002,$E$3:$E$3002,$E2368,$C$3:$C$3002,"&lt;&gt;U",$S$3:$S$3002,Calc!$F$2))</f>
        <v/>
      </c>
      <c r="Q2368" s="35" t="str">
        <f aca="false">IF(OR($A2368="",$C2368="U",$S2368&lt;&gt;Calc!$F$2),"",IF(COUNTIFS($E$3:$E2368,$E2368,$C$3:$C2368,"&lt;&gt;U",$S$3:$S2368,Calc!$F$2)=1,1,0))</f>
        <v/>
      </c>
      <c r="R2368" s="35" t="str">
        <f aca="false">IF($Q2368=1,$O2368-ROW()/100000,"")</f>
        <v/>
      </c>
      <c r="S2368" s="37" t="str">
        <f aca="false">IF($A2368="","",INT($A2368))</f>
        <v/>
      </c>
      <c r="T2368" s="35" t="str">
        <f aca="false">IF($A2368="","",IF(COUNTIFS($S$3:$S2368,$S2368)=1,1,0))</f>
        <v/>
      </c>
      <c r="U2368" s="37" t="str">
        <f aca="false">IF($T2368=1,$S2368,"")</f>
        <v/>
      </c>
    </row>
    <row r="2369" customFormat="false" ht="15" hidden="false" customHeight="false" outlineLevel="0" collapsed="false">
      <c r="M2369" s="35" t="str">
        <f aca="false">IF($A2369="","",HOUR($A2369))</f>
        <v/>
      </c>
      <c r="N2369" s="36" t="str">
        <f aca="false">IF($A2369="","",$I2369*$K2369)</f>
        <v/>
      </c>
      <c r="O2369" s="35" t="str">
        <f aca="false">IF(OR($A2369="",$C2369="U",$S2369&lt;&gt;Calc!$F$2),"",SUMIFS($I$3:$I$3002,$E$3:$E$3002,$E2369,$C$3:$C$3002,"&lt;&gt;U",$S$3:$S$3002,Calc!$F$2))</f>
        <v/>
      </c>
      <c r="P2369" s="35" t="str">
        <f aca="false">IF(OR($A2369="",$C2369="U",$S2369&lt;&gt;Calc!$F$2),"",SUMIFS($N$3:$N$3002,$E$3:$E$3002,$E2369,$C$3:$C$3002,"&lt;&gt;U",$S$3:$S$3002,Calc!$F$2))</f>
        <v/>
      </c>
      <c r="Q2369" s="35" t="str">
        <f aca="false">IF(OR($A2369="",$C2369="U",$S2369&lt;&gt;Calc!$F$2),"",IF(COUNTIFS($E$3:$E2369,$E2369,$C$3:$C2369,"&lt;&gt;U",$S$3:$S2369,Calc!$F$2)=1,1,0))</f>
        <v/>
      </c>
      <c r="R2369" s="35" t="str">
        <f aca="false">IF($Q2369=1,$O2369-ROW()/100000,"")</f>
        <v/>
      </c>
      <c r="S2369" s="37" t="str">
        <f aca="false">IF($A2369="","",INT($A2369))</f>
        <v/>
      </c>
      <c r="T2369" s="35" t="str">
        <f aca="false">IF($A2369="","",IF(COUNTIFS($S$3:$S2369,$S2369)=1,1,0))</f>
        <v/>
      </c>
      <c r="U2369" s="37" t="str">
        <f aca="false">IF($T2369=1,$S2369,"")</f>
        <v/>
      </c>
    </row>
    <row r="2370" customFormat="false" ht="15" hidden="false" customHeight="false" outlineLevel="0" collapsed="false">
      <c r="M2370" s="35" t="str">
        <f aca="false">IF($A2370="","",HOUR($A2370))</f>
        <v/>
      </c>
      <c r="N2370" s="36" t="str">
        <f aca="false">IF($A2370="","",$I2370*$K2370)</f>
        <v/>
      </c>
      <c r="O2370" s="35" t="str">
        <f aca="false">IF(OR($A2370="",$C2370="U",$S2370&lt;&gt;Calc!$F$2),"",SUMIFS($I$3:$I$3002,$E$3:$E$3002,$E2370,$C$3:$C$3002,"&lt;&gt;U",$S$3:$S$3002,Calc!$F$2))</f>
        <v/>
      </c>
      <c r="P2370" s="35" t="str">
        <f aca="false">IF(OR($A2370="",$C2370="U",$S2370&lt;&gt;Calc!$F$2),"",SUMIFS($N$3:$N$3002,$E$3:$E$3002,$E2370,$C$3:$C$3002,"&lt;&gt;U",$S$3:$S$3002,Calc!$F$2))</f>
        <v/>
      </c>
      <c r="Q2370" s="35" t="str">
        <f aca="false">IF(OR($A2370="",$C2370="U",$S2370&lt;&gt;Calc!$F$2),"",IF(COUNTIFS($E$3:$E2370,$E2370,$C$3:$C2370,"&lt;&gt;U",$S$3:$S2370,Calc!$F$2)=1,1,0))</f>
        <v/>
      </c>
      <c r="R2370" s="35" t="str">
        <f aca="false">IF($Q2370=1,$O2370-ROW()/100000,"")</f>
        <v/>
      </c>
      <c r="S2370" s="37" t="str">
        <f aca="false">IF($A2370="","",INT($A2370))</f>
        <v/>
      </c>
      <c r="T2370" s="35" t="str">
        <f aca="false">IF($A2370="","",IF(COUNTIFS($S$3:$S2370,$S2370)=1,1,0))</f>
        <v/>
      </c>
      <c r="U2370" s="37" t="str">
        <f aca="false">IF($T2370=1,$S2370,"")</f>
        <v/>
      </c>
    </row>
    <row r="2371" customFormat="false" ht="15" hidden="false" customHeight="false" outlineLevel="0" collapsed="false">
      <c r="M2371" s="35" t="str">
        <f aca="false">IF($A2371="","",HOUR($A2371))</f>
        <v/>
      </c>
      <c r="N2371" s="36" t="str">
        <f aca="false">IF($A2371="","",$I2371*$K2371)</f>
        <v/>
      </c>
      <c r="O2371" s="35" t="str">
        <f aca="false">IF(OR($A2371="",$C2371="U",$S2371&lt;&gt;Calc!$F$2),"",SUMIFS($I$3:$I$3002,$E$3:$E$3002,$E2371,$C$3:$C$3002,"&lt;&gt;U",$S$3:$S$3002,Calc!$F$2))</f>
        <v/>
      </c>
      <c r="P2371" s="35" t="str">
        <f aca="false">IF(OR($A2371="",$C2371="U",$S2371&lt;&gt;Calc!$F$2),"",SUMIFS($N$3:$N$3002,$E$3:$E$3002,$E2371,$C$3:$C$3002,"&lt;&gt;U",$S$3:$S$3002,Calc!$F$2))</f>
        <v/>
      </c>
      <c r="Q2371" s="35" t="str">
        <f aca="false">IF(OR($A2371="",$C2371="U",$S2371&lt;&gt;Calc!$F$2),"",IF(COUNTIFS($E$3:$E2371,$E2371,$C$3:$C2371,"&lt;&gt;U",$S$3:$S2371,Calc!$F$2)=1,1,0))</f>
        <v/>
      </c>
      <c r="R2371" s="35" t="str">
        <f aca="false">IF($Q2371=1,$O2371-ROW()/100000,"")</f>
        <v/>
      </c>
      <c r="S2371" s="37" t="str">
        <f aca="false">IF($A2371="","",INT($A2371))</f>
        <v/>
      </c>
      <c r="T2371" s="35" t="str">
        <f aca="false">IF($A2371="","",IF(COUNTIFS($S$3:$S2371,$S2371)=1,1,0))</f>
        <v/>
      </c>
      <c r="U2371" s="37" t="str">
        <f aca="false">IF($T2371=1,$S2371,"")</f>
        <v/>
      </c>
    </row>
    <row r="2372" customFormat="false" ht="15" hidden="false" customHeight="false" outlineLevel="0" collapsed="false">
      <c r="M2372" s="35" t="str">
        <f aca="false">IF($A2372="","",HOUR($A2372))</f>
        <v/>
      </c>
      <c r="N2372" s="36" t="str">
        <f aca="false">IF($A2372="","",$I2372*$K2372)</f>
        <v/>
      </c>
      <c r="O2372" s="35" t="str">
        <f aca="false">IF(OR($A2372="",$C2372="U",$S2372&lt;&gt;Calc!$F$2),"",SUMIFS($I$3:$I$3002,$E$3:$E$3002,$E2372,$C$3:$C$3002,"&lt;&gt;U",$S$3:$S$3002,Calc!$F$2))</f>
        <v/>
      </c>
      <c r="P2372" s="35" t="str">
        <f aca="false">IF(OR($A2372="",$C2372="U",$S2372&lt;&gt;Calc!$F$2),"",SUMIFS($N$3:$N$3002,$E$3:$E$3002,$E2372,$C$3:$C$3002,"&lt;&gt;U",$S$3:$S$3002,Calc!$F$2))</f>
        <v/>
      </c>
      <c r="Q2372" s="35" t="str">
        <f aca="false">IF(OR($A2372="",$C2372="U",$S2372&lt;&gt;Calc!$F$2),"",IF(COUNTIFS($E$3:$E2372,$E2372,$C$3:$C2372,"&lt;&gt;U",$S$3:$S2372,Calc!$F$2)=1,1,0))</f>
        <v/>
      </c>
      <c r="R2372" s="35" t="str">
        <f aca="false">IF($Q2372=1,$O2372-ROW()/100000,"")</f>
        <v/>
      </c>
      <c r="S2372" s="37" t="str">
        <f aca="false">IF($A2372="","",INT($A2372))</f>
        <v/>
      </c>
      <c r="T2372" s="35" t="str">
        <f aca="false">IF($A2372="","",IF(COUNTIFS($S$3:$S2372,$S2372)=1,1,0))</f>
        <v/>
      </c>
      <c r="U2372" s="37" t="str">
        <f aca="false">IF($T2372=1,$S2372,"")</f>
        <v/>
      </c>
    </row>
    <row r="2373" customFormat="false" ht="15" hidden="false" customHeight="false" outlineLevel="0" collapsed="false">
      <c r="M2373" s="35" t="str">
        <f aca="false">IF($A2373="","",HOUR($A2373))</f>
        <v/>
      </c>
      <c r="N2373" s="36" t="str">
        <f aca="false">IF($A2373="","",$I2373*$K2373)</f>
        <v/>
      </c>
      <c r="O2373" s="35" t="str">
        <f aca="false">IF(OR($A2373="",$C2373="U",$S2373&lt;&gt;Calc!$F$2),"",SUMIFS($I$3:$I$3002,$E$3:$E$3002,$E2373,$C$3:$C$3002,"&lt;&gt;U",$S$3:$S$3002,Calc!$F$2))</f>
        <v/>
      </c>
      <c r="P2373" s="35" t="str">
        <f aca="false">IF(OR($A2373="",$C2373="U",$S2373&lt;&gt;Calc!$F$2),"",SUMIFS($N$3:$N$3002,$E$3:$E$3002,$E2373,$C$3:$C$3002,"&lt;&gt;U",$S$3:$S$3002,Calc!$F$2))</f>
        <v/>
      </c>
      <c r="Q2373" s="35" t="str">
        <f aca="false">IF(OR($A2373="",$C2373="U",$S2373&lt;&gt;Calc!$F$2),"",IF(COUNTIFS($E$3:$E2373,$E2373,$C$3:$C2373,"&lt;&gt;U",$S$3:$S2373,Calc!$F$2)=1,1,0))</f>
        <v/>
      </c>
      <c r="R2373" s="35" t="str">
        <f aca="false">IF($Q2373=1,$O2373-ROW()/100000,"")</f>
        <v/>
      </c>
      <c r="S2373" s="37" t="str">
        <f aca="false">IF($A2373="","",INT($A2373))</f>
        <v/>
      </c>
      <c r="T2373" s="35" t="str">
        <f aca="false">IF($A2373="","",IF(COUNTIFS($S$3:$S2373,$S2373)=1,1,0))</f>
        <v/>
      </c>
      <c r="U2373" s="37" t="str">
        <f aca="false">IF($T2373=1,$S2373,"")</f>
        <v/>
      </c>
    </row>
    <row r="2374" customFormat="false" ht="15" hidden="false" customHeight="false" outlineLevel="0" collapsed="false">
      <c r="M2374" s="35" t="str">
        <f aca="false">IF($A2374="","",HOUR($A2374))</f>
        <v/>
      </c>
      <c r="N2374" s="36" t="str">
        <f aca="false">IF($A2374="","",$I2374*$K2374)</f>
        <v/>
      </c>
      <c r="O2374" s="35" t="str">
        <f aca="false">IF(OR($A2374="",$C2374="U",$S2374&lt;&gt;Calc!$F$2),"",SUMIFS($I$3:$I$3002,$E$3:$E$3002,$E2374,$C$3:$C$3002,"&lt;&gt;U",$S$3:$S$3002,Calc!$F$2))</f>
        <v/>
      </c>
      <c r="P2374" s="35" t="str">
        <f aca="false">IF(OR($A2374="",$C2374="U",$S2374&lt;&gt;Calc!$F$2),"",SUMIFS($N$3:$N$3002,$E$3:$E$3002,$E2374,$C$3:$C$3002,"&lt;&gt;U",$S$3:$S$3002,Calc!$F$2))</f>
        <v/>
      </c>
      <c r="Q2374" s="35" t="str">
        <f aca="false">IF(OR($A2374="",$C2374="U",$S2374&lt;&gt;Calc!$F$2),"",IF(COUNTIFS($E$3:$E2374,$E2374,$C$3:$C2374,"&lt;&gt;U",$S$3:$S2374,Calc!$F$2)=1,1,0))</f>
        <v/>
      </c>
      <c r="R2374" s="35" t="str">
        <f aca="false">IF($Q2374=1,$O2374-ROW()/100000,"")</f>
        <v/>
      </c>
      <c r="S2374" s="37" t="str">
        <f aca="false">IF($A2374="","",INT($A2374))</f>
        <v/>
      </c>
      <c r="T2374" s="35" t="str">
        <f aca="false">IF($A2374="","",IF(COUNTIFS($S$3:$S2374,$S2374)=1,1,0))</f>
        <v/>
      </c>
      <c r="U2374" s="37" t="str">
        <f aca="false">IF($T2374=1,$S2374,"")</f>
        <v/>
      </c>
    </row>
    <row r="2375" customFormat="false" ht="15" hidden="false" customHeight="false" outlineLevel="0" collapsed="false">
      <c r="M2375" s="35" t="str">
        <f aca="false">IF($A2375="","",HOUR($A2375))</f>
        <v/>
      </c>
      <c r="N2375" s="36" t="str">
        <f aca="false">IF($A2375="","",$I2375*$K2375)</f>
        <v/>
      </c>
      <c r="O2375" s="35" t="str">
        <f aca="false">IF(OR($A2375="",$C2375="U",$S2375&lt;&gt;Calc!$F$2),"",SUMIFS($I$3:$I$3002,$E$3:$E$3002,$E2375,$C$3:$C$3002,"&lt;&gt;U",$S$3:$S$3002,Calc!$F$2))</f>
        <v/>
      </c>
      <c r="P2375" s="35" t="str">
        <f aca="false">IF(OR($A2375="",$C2375="U",$S2375&lt;&gt;Calc!$F$2),"",SUMIFS($N$3:$N$3002,$E$3:$E$3002,$E2375,$C$3:$C$3002,"&lt;&gt;U",$S$3:$S$3002,Calc!$F$2))</f>
        <v/>
      </c>
      <c r="Q2375" s="35" t="str">
        <f aca="false">IF(OR($A2375="",$C2375="U",$S2375&lt;&gt;Calc!$F$2),"",IF(COUNTIFS($E$3:$E2375,$E2375,$C$3:$C2375,"&lt;&gt;U",$S$3:$S2375,Calc!$F$2)=1,1,0))</f>
        <v/>
      </c>
      <c r="R2375" s="35" t="str">
        <f aca="false">IF($Q2375=1,$O2375-ROW()/100000,"")</f>
        <v/>
      </c>
      <c r="S2375" s="37" t="str">
        <f aca="false">IF($A2375="","",INT($A2375))</f>
        <v/>
      </c>
      <c r="T2375" s="35" t="str">
        <f aca="false">IF($A2375="","",IF(COUNTIFS($S$3:$S2375,$S2375)=1,1,0))</f>
        <v/>
      </c>
      <c r="U2375" s="37" t="str">
        <f aca="false">IF($T2375=1,$S2375,"")</f>
        <v/>
      </c>
    </row>
    <row r="2376" customFormat="false" ht="15" hidden="false" customHeight="false" outlineLevel="0" collapsed="false">
      <c r="M2376" s="35" t="str">
        <f aca="false">IF($A2376="","",HOUR($A2376))</f>
        <v/>
      </c>
      <c r="N2376" s="36" t="str">
        <f aca="false">IF($A2376="","",$I2376*$K2376)</f>
        <v/>
      </c>
      <c r="O2376" s="35" t="str">
        <f aca="false">IF(OR($A2376="",$C2376="U",$S2376&lt;&gt;Calc!$F$2),"",SUMIFS($I$3:$I$3002,$E$3:$E$3002,$E2376,$C$3:$C$3002,"&lt;&gt;U",$S$3:$S$3002,Calc!$F$2))</f>
        <v/>
      </c>
      <c r="P2376" s="35" t="str">
        <f aca="false">IF(OR($A2376="",$C2376="U",$S2376&lt;&gt;Calc!$F$2),"",SUMIFS($N$3:$N$3002,$E$3:$E$3002,$E2376,$C$3:$C$3002,"&lt;&gt;U",$S$3:$S$3002,Calc!$F$2))</f>
        <v/>
      </c>
      <c r="Q2376" s="35" t="str">
        <f aca="false">IF(OR($A2376="",$C2376="U",$S2376&lt;&gt;Calc!$F$2),"",IF(COUNTIFS($E$3:$E2376,$E2376,$C$3:$C2376,"&lt;&gt;U",$S$3:$S2376,Calc!$F$2)=1,1,0))</f>
        <v/>
      </c>
      <c r="R2376" s="35" t="str">
        <f aca="false">IF($Q2376=1,$O2376-ROW()/100000,"")</f>
        <v/>
      </c>
      <c r="S2376" s="37" t="str">
        <f aca="false">IF($A2376="","",INT($A2376))</f>
        <v/>
      </c>
      <c r="T2376" s="35" t="str">
        <f aca="false">IF($A2376="","",IF(COUNTIFS($S$3:$S2376,$S2376)=1,1,0))</f>
        <v/>
      </c>
      <c r="U2376" s="37" t="str">
        <f aca="false">IF($T2376=1,$S2376,"")</f>
        <v/>
      </c>
    </row>
    <row r="2377" customFormat="false" ht="15" hidden="false" customHeight="false" outlineLevel="0" collapsed="false">
      <c r="M2377" s="35" t="str">
        <f aca="false">IF($A2377="","",HOUR($A2377))</f>
        <v/>
      </c>
      <c r="N2377" s="36" t="str">
        <f aca="false">IF($A2377="","",$I2377*$K2377)</f>
        <v/>
      </c>
      <c r="O2377" s="35" t="str">
        <f aca="false">IF(OR($A2377="",$C2377="U",$S2377&lt;&gt;Calc!$F$2),"",SUMIFS($I$3:$I$3002,$E$3:$E$3002,$E2377,$C$3:$C$3002,"&lt;&gt;U",$S$3:$S$3002,Calc!$F$2))</f>
        <v/>
      </c>
      <c r="P2377" s="35" t="str">
        <f aca="false">IF(OR($A2377="",$C2377="U",$S2377&lt;&gt;Calc!$F$2),"",SUMIFS($N$3:$N$3002,$E$3:$E$3002,$E2377,$C$3:$C$3002,"&lt;&gt;U",$S$3:$S$3002,Calc!$F$2))</f>
        <v/>
      </c>
      <c r="Q2377" s="35" t="str">
        <f aca="false">IF(OR($A2377="",$C2377="U",$S2377&lt;&gt;Calc!$F$2),"",IF(COUNTIFS($E$3:$E2377,$E2377,$C$3:$C2377,"&lt;&gt;U",$S$3:$S2377,Calc!$F$2)=1,1,0))</f>
        <v/>
      </c>
      <c r="R2377" s="35" t="str">
        <f aca="false">IF($Q2377=1,$O2377-ROW()/100000,"")</f>
        <v/>
      </c>
      <c r="S2377" s="37" t="str">
        <f aca="false">IF($A2377="","",INT($A2377))</f>
        <v/>
      </c>
      <c r="T2377" s="35" t="str">
        <f aca="false">IF($A2377="","",IF(COUNTIFS($S$3:$S2377,$S2377)=1,1,0))</f>
        <v/>
      </c>
      <c r="U2377" s="37" t="str">
        <f aca="false">IF($T2377=1,$S2377,"")</f>
        <v/>
      </c>
    </row>
    <row r="2378" customFormat="false" ht="15" hidden="false" customHeight="false" outlineLevel="0" collapsed="false">
      <c r="M2378" s="35" t="str">
        <f aca="false">IF($A2378="","",HOUR($A2378))</f>
        <v/>
      </c>
      <c r="N2378" s="36" t="str">
        <f aca="false">IF($A2378="","",$I2378*$K2378)</f>
        <v/>
      </c>
      <c r="O2378" s="35" t="str">
        <f aca="false">IF(OR($A2378="",$C2378="U",$S2378&lt;&gt;Calc!$F$2),"",SUMIFS($I$3:$I$3002,$E$3:$E$3002,$E2378,$C$3:$C$3002,"&lt;&gt;U",$S$3:$S$3002,Calc!$F$2))</f>
        <v/>
      </c>
      <c r="P2378" s="35" t="str">
        <f aca="false">IF(OR($A2378="",$C2378="U",$S2378&lt;&gt;Calc!$F$2),"",SUMIFS($N$3:$N$3002,$E$3:$E$3002,$E2378,$C$3:$C$3002,"&lt;&gt;U",$S$3:$S$3002,Calc!$F$2))</f>
        <v/>
      </c>
      <c r="Q2378" s="35" t="str">
        <f aca="false">IF(OR($A2378="",$C2378="U",$S2378&lt;&gt;Calc!$F$2),"",IF(COUNTIFS($E$3:$E2378,$E2378,$C$3:$C2378,"&lt;&gt;U",$S$3:$S2378,Calc!$F$2)=1,1,0))</f>
        <v/>
      </c>
      <c r="R2378" s="35" t="str">
        <f aca="false">IF($Q2378=1,$O2378-ROW()/100000,"")</f>
        <v/>
      </c>
      <c r="S2378" s="37" t="str">
        <f aca="false">IF($A2378="","",INT($A2378))</f>
        <v/>
      </c>
      <c r="T2378" s="35" t="str">
        <f aca="false">IF($A2378="","",IF(COUNTIFS($S$3:$S2378,$S2378)=1,1,0))</f>
        <v/>
      </c>
      <c r="U2378" s="37" t="str">
        <f aca="false">IF($T2378=1,$S2378,"")</f>
        <v/>
      </c>
    </row>
    <row r="2379" customFormat="false" ht="15" hidden="false" customHeight="false" outlineLevel="0" collapsed="false">
      <c r="M2379" s="35" t="str">
        <f aca="false">IF($A2379="","",HOUR($A2379))</f>
        <v/>
      </c>
      <c r="N2379" s="36" t="str">
        <f aca="false">IF($A2379="","",$I2379*$K2379)</f>
        <v/>
      </c>
      <c r="O2379" s="35" t="str">
        <f aca="false">IF(OR($A2379="",$C2379="U",$S2379&lt;&gt;Calc!$F$2),"",SUMIFS($I$3:$I$3002,$E$3:$E$3002,$E2379,$C$3:$C$3002,"&lt;&gt;U",$S$3:$S$3002,Calc!$F$2))</f>
        <v/>
      </c>
      <c r="P2379" s="35" t="str">
        <f aca="false">IF(OR($A2379="",$C2379="U",$S2379&lt;&gt;Calc!$F$2),"",SUMIFS($N$3:$N$3002,$E$3:$E$3002,$E2379,$C$3:$C$3002,"&lt;&gt;U",$S$3:$S$3002,Calc!$F$2))</f>
        <v/>
      </c>
      <c r="Q2379" s="35" t="str">
        <f aca="false">IF(OR($A2379="",$C2379="U",$S2379&lt;&gt;Calc!$F$2),"",IF(COUNTIFS($E$3:$E2379,$E2379,$C$3:$C2379,"&lt;&gt;U",$S$3:$S2379,Calc!$F$2)=1,1,0))</f>
        <v/>
      </c>
      <c r="R2379" s="35" t="str">
        <f aca="false">IF($Q2379=1,$O2379-ROW()/100000,"")</f>
        <v/>
      </c>
      <c r="S2379" s="37" t="str">
        <f aca="false">IF($A2379="","",INT($A2379))</f>
        <v/>
      </c>
      <c r="T2379" s="35" t="str">
        <f aca="false">IF($A2379="","",IF(COUNTIFS($S$3:$S2379,$S2379)=1,1,0))</f>
        <v/>
      </c>
      <c r="U2379" s="37" t="str">
        <f aca="false">IF($T2379=1,$S2379,"")</f>
        <v/>
      </c>
    </row>
    <row r="2380" customFormat="false" ht="15" hidden="false" customHeight="false" outlineLevel="0" collapsed="false">
      <c r="M2380" s="35" t="str">
        <f aca="false">IF($A2380="","",HOUR($A2380))</f>
        <v/>
      </c>
      <c r="N2380" s="36" t="str">
        <f aca="false">IF($A2380="","",$I2380*$K2380)</f>
        <v/>
      </c>
      <c r="O2380" s="35" t="str">
        <f aca="false">IF(OR($A2380="",$C2380="U",$S2380&lt;&gt;Calc!$F$2),"",SUMIFS($I$3:$I$3002,$E$3:$E$3002,$E2380,$C$3:$C$3002,"&lt;&gt;U",$S$3:$S$3002,Calc!$F$2))</f>
        <v/>
      </c>
      <c r="P2380" s="35" t="str">
        <f aca="false">IF(OR($A2380="",$C2380="U",$S2380&lt;&gt;Calc!$F$2),"",SUMIFS($N$3:$N$3002,$E$3:$E$3002,$E2380,$C$3:$C$3002,"&lt;&gt;U",$S$3:$S$3002,Calc!$F$2))</f>
        <v/>
      </c>
      <c r="Q2380" s="35" t="str">
        <f aca="false">IF(OR($A2380="",$C2380="U",$S2380&lt;&gt;Calc!$F$2),"",IF(COUNTIFS($E$3:$E2380,$E2380,$C$3:$C2380,"&lt;&gt;U",$S$3:$S2380,Calc!$F$2)=1,1,0))</f>
        <v/>
      </c>
      <c r="R2380" s="35" t="str">
        <f aca="false">IF($Q2380=1,$O2380-ROW()/100000,"")</f>
        <v/>
      </c>
      <c r="S2380" s="37" t="str">
        <f aca="false">IF($A2380="","",INT($A2380))</f>
        <v/>
      </c>
      <c r="T2380" s="35" t="str">
        <f aca="false">IF($A2380="","",IF(COUNTIFS($S$3:$S2380,$S2380)=1,1,0))</f>
        <v/>
      </c>
      <c r="U2380" s="37" t="str">
        <f aca="false">IF($T2380=1,$S2380,"")</f>
        <v/>
      </c>
    </row>
    <row r="2381" customFormat="false" ht="15" hidden="false" customHeight="false" outlineLevel="0" collapsed="false">
      <c r="M2381" s="35" t="str">
        <f aca="false">IF($A2381="","",HOUR($A2381))</f>
        <v/>
      </c>
      <c r="N2381" s="36" t="str">
        <f aca="false">IF($A2381="","",$I2381*$K2381)</f>
        <v/>
      </c>
      <c r="O2381" s="35" t="str">
        <f aca="false">IF(OR($A2381="",$C2381="U",$S2381&lt;&gt;Calc!$F$2),"",SUMIFS($I$3:$I$3002,$E$3:$E$3002,$E2381,$C$3:$C$3002,"&lt;&gt;U",$S$3:$S$3002,Calc!$F$2))</f>
        <v/>
      </c>
      <c r="P2381" s="35" t="str">
        <f aca="false">IF(OR($A2381="",$C2381="U",$S2381&lt;&gt;Calc!$F$2),"",SUMIFS($N$3:$N$3002,$E$3:$E$3002,$E2381,$C$3:$C$3002,"&lt;&gt;U",$S$3:$S$3002,Calc!$F$2))</f>
        <v/>
      </c>
      <c r="Q2381" s="35" t="str">
        <f aca="false">IF(OR($A2381="",$C2381="U",$S2381&lt;&gt;Calc!$F$2),"",IF(COUNTIFS($E$3:$E2381,$E2381,$C$3:$C2381,"&lt;&gt;U",$S$3:$S2381,Calc!$F$2)=1,1,0))</f>
        <v/>
      </c>
      <c r="R2381" s="35" t="str">
        <f aca="false">IF($Q2381=1,$O2381-ROW()/100000,"")</f>
        <v/>
      </c>
      <c r="S2381" s="37" t="str">
        <f aca="false">IF($A2381="","",INT($A2381))</f>
        <v/>
      </c>
      <c r="T2381" s="35" t="str">
        <f aca="false">IF($A2381="","",IF(COUNTIFS($S$3:$S2381,$S2381)=1,1,0))</f>
        <v/>
      </c>
      <c r="U2381" s="37" t="str">
        <f aca="false">IF($T2381=1,$S2381,"")</f>
        <v/>
      </c>
    </row>
    <row r="2382" customFormat="false" ht="15" hidden="false" customHeight="false" outlineLevel="0" collapsed="false">
      <c r="M2382" s="35" t="str">
        <f aca="false">IF($A2382="","",HOUR($A2382))</f>
        <v/>
      </c>
      <c r="N2382" s="36" t="str">
        <f aca="false">IF($A2382="","",$I2382*$K2382)</f>
        <v/>
      </c>
      <c r="O2382" s="35" t="str">
        <f aca="false">IF(OR($A2382="",$C2382="U",$S2382&lt;&gt;Calc!$F$2),"",SUMIFS($I$3:$I$3002,$E$3:$E$3002,$E2382,$C$3:$C$3002,"&lt;&gt;U",$S$3:$S$3002,Calc!$F$2))</f>
        <v/>
      </c>
      <c r="P2382" s="35" t="str">
        <f aca="false">IF(OR($A2382="",$C2382="U",$S2382&lt;&gt;Calc!$F$2),"",SUMIFS($N$3:$N$3002,$E$3:$E$3002,$E2382,$C$3:$C$3002,"&lt;&gt;U",$S$3:$S$3002,Calc!$F$2))</f>
        <v/>
      </c>
      <c r="Q2382" s="35" t="str">
        <f aca="false">IF(OR($A2382="",$C2382="U",$S2382&lt;&gt;Calc!$F$2),"",IF(COUNTIFS($E$3:$E2382,$E2382,$C$3:$C2382,"&lt;&gt;U",$S$3:$S2382,Calc!$F$2)=1,1,0))</f>
        <v/>
      </c>
      <c r="R2382" s="35" t="str">
        <f aca="false">IF($Q2382=1,$O2382-ROW()/100000,"")</f>
        <v/>
      </c>
      <c r="S2382" s="37" t="str">
        <f aca="false">IF($A2382="","",INT($A2382))</f>
        <v/>
      </c>
      <c r="T2382" s="35" t="str">
        <f aca="false">IF($A2382="","",IF(COUNTIFS($S$3:$S2382,$S2382)=1,1,0))</f>
        <v/>
      </c>
      <c r="U2382" s="37" t="str">
        <f aca="false">IF($T2382=1,$S2382,"")</f>
        <v/>
      </c>
    </row>
    <row r="2383" customFormat="false" ht="15" hidden="false" customHeight="false" outlineLevel="0" collapsed="false">
      <c r="M2383" s="35" t="str">
        <f aca="false">IF($A2383="","",HOUR($A2383))</f>
        <v/>
      </c>
      <c r="N2383" s="36" t="str">
        <f aca="false">IF($A2383="","",$I2383*$K2383)</f>
        <v/>
      </c>
      <c r="O2383" s="35" t="str">
        <f aca="false">IF(OR($A2383="",$C2383="U",$S2383&lt;&gt;Calc!$F$2),"",SUMIFS($I$3:$I$3002,$E$3:$E$3002,$E2383,$C$3:$C$3002,"&lt;&gt;U",$S$3:$S$3002,Calc!$F$2))</f>
        <v/>
      </c>
      <c r="P2383" s="35" t="str">
        <f aca="false">IF(OR($A2383="",$C2383="U",$S2383&lt;&gt;Calc!$F$2),"",SUMIFS($N$3:$N$3002,$E$3:$E$3002,$E2383,$C$3:$C$3002,"&lt;&gt;U",$S$3:$S$3002,Calc!$F$2))</f>
        <v/>
      </c>
      <c r="Q2383" s="35" t="str">
        <f aca="false">IF(OR($A2383="",$C2383="U",$S2383&lt;&gt;Calc!$F$2),"",IF(COUNTIFS($E$3:$E2383,$E2383,$C$3:$C2383,"&lt;&gt;U",$S$3:$S2383,Calc!$F$2)=1,1,0))</f>
        <v/>
      </c>
      <c r="R2383" s="35" t="str">
        <f aca="false">IF($Q2383=1,$O2383-ROW()/100000,"")</f>
        <v/>
      </c>
      <c r="S2383" s="37" t="str">
        <f aca="false">IF($A2383="","",INT($A2383))</f>
        <v/>
      </c>
      <c r="T2383" s="35" t="str">
        <f aca="false">IF($A2383="","",IF(COUNTIFS($S$3:$S2383,$S2383)=1,1,0))</f>
        <v/>
      </c>
      <c r="U2383" s="37" t="str">
        <f aca="false">IF($T2383=1,$S2383,"")</f>
        <v/>
      </c>
    </row>
    <row r="2384" customFormat="false" ht="15" hidden="false" customHeight="false" outlineLevel="0" collapsed="false">
      <c r="M2384" s="35" t="str">
        <f aca="false">IF($A2384="","",HOUR($A2384))</f>
        <v/>
      </c>
      <c r="N2384" s="36" t="str">
        <f aca="false">IF($A2384="","",$I2384*$K2384)</f>
        <v/>
      </c>
      <c r="O2384" s="35" t="str">
        <f aca="false">IF(OR($A2384="",$C2384="U",$S2384&lt;&gt;Calc!$F$2),"",SUMIFS($I$3:$I$3002,$E$3:$E$3002,$E2384,$C$3:$C$3002,"&lt;&gt;U",$S$3:$S$3002,Calc!$F$2))</f>
        <v/>
      </c>
      <c r="P2384" s="35" t="str">
        <f aca="false">IF(OR($A2384="",$C2384="U",$S2384&lt;&gt;Calc!$F$2),"",SUMIFS($N$3:$N$3002,$E$3:$E$3002,$E2384,$C$3:$C$3002,"&lt;&gt;U",$S$3:$S$3002,Calc!$F$2))</f>
        <v/>
      </c>
      <c r="Q2384" s="35" t="str">
        <f aca="false">IF(OR($A2384="",$C2384="U",$S2384&lt;&gt;Calc!$F$2),"",IF(COUNTIFS($E$3:$E2384,$E2384,$C$3:$C2384,"&lt;&gt;U",$S$3:$S2384,Calc!$F$2)=1,1,0))</f>
        <v/>
      </c>
      <c r="R2384" s="35" t="str">
        <f aca="false">IF($Q2384=1,$O2384-ROW()/100000,"")</f>
        <v/>
      </c>
      <c r="S2384" s="37" t="str">
        <f aca="false">IF($A2384="","",INT($A2384))</f>
        <v/>
      </c>
      <c r="T2384" s="35" t="str">
        <f aca="false">IF($A2384="","",IF(COUNTIFS($S$3:$S2384,$S2384)=1,1,0))</f>
        <v/>
      </c>
      <c r="U2384" s="37" t="str">
        <f aca="false">IF($T2384=1,$S2384,"")</f>
        <v/>
      </c>
    </row>
    <row r="2385" customFormat="false" ht="15" hidden="false" customHeight="false" outlineLevel="0" collapsed="false">
      <c r="M2385" s="35" t="str">
        <f aca="false">IF($A2385="","",HOUR($A2385))</f>
        <v/>
      </c>
      <c r="N2385" s="36" t="str">
        <f aca="false">IF($A2385="","",$I2385*$K2385)</f>
        <v/>
      </c>
      <c r="O2385" s="35" t="str">
        <f aca="false">IF(OR($A2385="",$C2385="U",$S2385&lt;&gt;Calc!$F$2),"",SUMIFS($I$3:$I$3002,$E$3:$E$3002,$E2385,$C$3:$C$3002,"&lt;&gt;U",$S$3:$S$3002,Calc!$F$2))</f>
        <v/>
      </c>
      <c r="P2385" s="35" t="str">
        <f aca="false">IF(OR($A2385="",$C2385="U",$S2385&lt;&gt;Calc!$F$2),"",SUMIFS($N$3:$N$3002,$E$3:$E$3002,$E2385,$C$3:$C$3002,"&lt;&gt;U",$S$3:$S$3002,Calc!$F$2))</f>
        <v/>
      </c>
      <c r="Q2385" s="35" t="str">
        <f aca="false">IF(OR($A2385="",$C2385="U",$S2385&lt;&gt;Calc!$F$2),"",IF(COUNTIFS($E$3:$E2385,$E2385,$C$3:$C2385,"&lt;&gt;U",$S$3:$S2385,Calc!$F$2)=1,1,0))</f>
        <v/>
      </c>
      <c r="R2385" s="35" t="str">
        <f aca="false">IF($Q2385=1,$O2385-ROW()/100000,"")</f>
        <v/>
      </c>
      <c r="S2385" s="37" t="str">
        <f aca="false">IF($A2385="","",INT($A2385))</f>
        <v/>
      </c>
      <c r="T2385" s="35" t="str">
        <f aca="false">IF($A2385="","",IF(COUNTIFS($S$3:$S2385,$S2385)=1,1,0))</f>
        <v/>
      </c>
      <c r="U2385" s="37" t="str">
        <f aca="false">IF($T2385=1,$S2385,"")</f>
        <v/>
      </c>
    </row>
    <row r="2386" customFormat="false" ht="15" hidden="false" customHeight="false" outlineLevel="0" collapsed="false">
      <c r="M2386" s="35" t="str">
        <f aca="false">IF($A2386="","",HOUR($A2386))</f>
        <v/>
      </c>
      <c r="N2386" s="36" t="str">
        <f aca="false">IF($A2386="","",$I2386*$K2386)</f>
        <v/>
      </c>
      <c r="O2386" s="35" t="str">
        <f aca="false">IF(OR($A2386="",$C2386="U",$S2386&lt;&gt;Calc!$F$2),"",SUMIFS($I$3:$I$3002,$E$3:$E$3002,$E2386,$C$3:$C$3002,"&lt;&gt;U",$S$3:$S$3002,Calc!$F$2))</f>
        <v/>
      </c>
      <c r="P2386" s="35" t="str">
        <f aca="false">IF(OR($A2386="",$C2386="U",$S2386&lt;&gt;Calc!$F$2),"",SUMIFS($N$3:$N$3002,$E$3:$E$3002,$E2386,$C$3:$C$3002,"&lt;&gt;U",$S$3:$S$3002,Calc!$F$2))</f>
        <v/>
      </c>
      <c r="Q2386" s="35" t="str">
        <f aca="false">IF(OR($A2386="",$C2386="U",$S2386&lt;&gt;Calc!$F$2),"",IF(COUNTIFS($E$3:$E2386,$E2386,$C$3:$C2386,"&lt;&gt;U",$S$3:$S2386,Calc!$F$2)=1,1,0))</f>
        <v/>
      </c>
      <c r="R2386" s="35" t="str">
        <f aca="false">IF($Q2386=1,$O2386-ROW()/100000,"")</f>
        <v/>
      </c>
      <c r="S2386" s="37" t="str">
        <f aca="false">IF($A2386="","",INT($A2386))</f>
        <v/>
      </c>
      <c r="T2386" s="35" t="str">
        <f aca="false">IF($A2386="","",IF(COUNTIFS($S$3:$S2386,$S2386)=1,1,0))</f>
        <v/>
      </c>
      <c r="U2386" s="37" t="str">
        <f aca="false">IF($T2386=1,$S2386,"")</f>
        <v/>
      </c>
    </row>
    <row r="2387" customFormat="false" ht="15" hidden="false" customHeight="false" outlineLevel="0" collapsed="false">
      <c r="M2387" s="35" t="str">
        <f aca="false">IF($A2387="","",HOUR($A2387))</f>
        <v/>
      </c>
      <c r="N2387" s="36" t="str">
        <f aca="false">IF($A2387="","",$I2387*$K2387)</f>
        <v/>
      </c>
      <c r="O2387" s="35" t="str">
        <f aca="false">IF(OR($A2387="",$C2387="U",$S2387&lt;&gt;Calc!$F$2),"",SUMIFS($I$3:$I$3002,$E$3:$E$3002,$E2387,$C$3:$C$3002,"&lt;&gt;U",$S$3:$S$3002,Calc!$F$2))</f>
        <v/>
      </c>
      <c r="P2387" s="35" t="str">
        <f aca="false">IF(OR($A2387="",$C2387="U",$S2387&lt;&gt;Calc!$F$2),"",SUMIFS($N$3:$N$3002,$E$3:$E$3002,$E2387,$C$3:$C$3002,"&lt;&gt;U",$S$3:$S$3002,Calc!$F$2))</f>
        <v/>
      </c>
      <c r="Q2387" s="35" t="str">
        <f aca="false">IF(OR($A2387="",$C2387="U",$S2387&lt;&gt;Calc!$F$2),"",IF(COUNTIFS($E$3:$E2387,$E2387,$C$3:$C2387,"&lt;&gt;U",$S$3:$S2387,Calc!$F$2)=1,1,0))</f>
        <v/>
      </c>
      <c r="R2387" s="35" t="str">
        <f aca="false">IF($Q2387=1,$O2387-ROW()/100000,"")</f>
        <v/>
      </c>
      <c r="S2387" s="37" t="str">
        <f aca="false">IF($A2387="","",INT($A2387))</f>
        <v/>
      </c>
      <c r="T2387" s="35" t="str">
        <f aca="false">IF($A2387="","",IF(COUNTIFS($S$3:$S2387,$S2387)=1,1,0))</f>
        <v/>
      </c>
      <c r="U2387" s="37" t="str">
        <f aca="false">IF($T2387=1,$S2387,"")</f>
        <v/>
      </c>
    </row>
    <row r="2388" customFormat="false" ht="15" hidden="false" customHeight="false" outlineLevel="0" collapsed="false">
      <c r="M2388" s="35" t="str">
        <f aca="false">IF($A2388="","",HOUR($A2388))</f>
        <v/>
      </c>
      <c r="N2388" s="36" t="str">
        <f aca="false">IF($A2388="","",$I2388*$K2388)</f>
        <v/>
      </c>
      <c r="O2388" s="35" t="str">
        <f aca="false">IF(OR($A2388="",$C2388="U",$S2388&lt;&gt;Calc!$F$2),"",SUMIFS($I$3:$I$3002,$E$3:$E$3002,$E2388,$C$3:$C$3002,"&lt;&gt;U",$S$3:$S$3002,Calc!$F$2))</f>
        <v/>
      </c>
      <c r="P2388" s="35" t="str">
        <f aca="false">IF(OR($A2388="",$C2388="U",$S2388&lt;&gt;Calc!$F$2),"",SUMIFS($N$3:$N$3002,$E$3:$E$3002,$E2388,$C$3:$C$3002,"&lt;&gt;U",$S$3:$S$3002,Calc!$F$2))</f>
        <v/>
      </c>
      <c r="Q2388" s="35" t="str">
        <f aca="false">IF(OR($A2388="",$C2388="U",$S2388&lt;&gt;Calc!$F$2),"",IF(COUNTIFS($E$3:$E2388,$E2388,$C$3:$C2388,"&lt;&gt;U",$S$3:$S2388,Calc!$F$2)=1,1,0))</f>
        <v/>
      </c>
      <c r="R2388" s="35" t="str">
        <f aca="false">IF($Q2388=1,$O2388-ROW()/100000,"")</f>
        <v/>
      </c>
      <c r="S2388" s="37" t="str">
        <f aca="false">IF($A2388="","",INT($A2388))</f>
        <v/>
      </c>
      <c r="T2388" s="35" t="str">
        <f aca="false">IF($A2388="","",IF(COUNTIFS($S$3:$S2388,$S2388)=1,1,0))</f>
        <v/>
      </c>
      <c r="U2388" s="37" t="str">
        <f aca="false">IF($T2388=1,$S2388,"")</f>
        <v/>
      </c>
    </row>
    <row r="2389" customFormat="false" ht="15" hidden="false" customHeight="false" outlineLevel="0" collapsed="false">
      <c r="M2389" s="35" t="str">
        <f aca="false">IF($A2389="","",HOUR($A2389))</f>
        <v/>
      </c>
      <c r="N2389" s="36" t="str">
        <f aca="false">IF($A2389="","",$I2389*$K2389)</f>
        <v/>
      </c>
      <c r="O2389" s="35" t="str">
        <f aca="false">IF(OR($A2389="",$C2389="U",$S2389&lt;&gt;Calc!$F$2),"",SUMIFS($I$3:$I$3002,$E$3:$E$3002,$E2389,$C$3:$C$3002,"&lt;&gt;U",$S$3:$S$3002,Calc!$F$2))</f>
        <v/>
      </c>
      <c r="P2389" s="35" t="str">
        <f aca="false">IF(OR($A2389="",$C2389="U",$S2389&lt;&gt;Calc!$F$2),"",SUMIFS($N$3:$N$3002,$E$3:$E$3002,$E2389,$C$3:$C$3002,"&lt;&gt;U",$S$3:$S$3002,Calc!$F$2))</f>
        <v/>
      </c>
      <c r="Q2389" s="35" t="str">
        <f aca="false">IF(OR($A2389="",$C2389="U",$S2389&lt;&gt;Calc!$F$2),"",IF(COUNTIFS($E$3:$E2389,$E2389,$C$3:$C2389,"&lt;&gt;U",$S$3:$S2389,Calc!$F$2)=1,1,0))</f>
        <v/>
      </c>
      <c r="R2389" s="35" t="str">
        <f aca="false">IF($Q2389=1,$O2389-ROW()/100000,"")</f>
        <v/>
      </c>
      <c r="S2389" s="37" t="str">
        <f aca="false">IF($A2389="","",INT($A2389))</f>
        <v/>
      </c>
      <c r="T2389" s="35" t="str">
        <f aca="false">IF($A2389="","",IF(COUNTIFS($S$3:$S2389,$S2389)=1,1,0))</f>
        <v/>
      </c>
      <c r="U2389" s="37" t="str">
        <f aca="false">IF($T2389=1,$S2389,"")</f>
        <v/>
      </c>
    </row>
    <row r="2390" customFormat="false" ht="15" hidden="false" customHeight="false" outlineLevel="0" collapsed="false">
      <c r="M2390" s="35" t="str">
        <f aca="false">IF($A2390="","",HOUR($A2390))</f>
        <v/>
      </c>
      <c r="N2390" s="36" t="str">
        <f aca="false">IF($A2390="","",$I2390*$K2390)</f>
        <v/>
      </c>
      <c r="O2390" s="35" t="str">
        <f aca="false">IF(OR($A2390="",$C2390="U",$S2390&lt;&gt;Calc!$F$2),"",SUMIFS($I$3:$I$3002,$E$3:$E$3002,$E2390,$C$3:$C$3002,"&lt;&gt;U",$S$3:$S$3002,Calc!$F$2))</f>
        <v/>
      </c>
      <c r="P2390" s="35" t="str">
        <f aca="false">IF(OR($A2390="",$C2390="U",$S2390&lt;&gt;Calc!$F$2),"",SUMIFS($N$3:$N$3002,$E$3:$E$3002,$E2390,$C$3:$C$3002,"&lt;&gt;U",$S$3:$S$3002,Calc!$F$2))</f>
        <v/>
      </c>
      <c r="Q2390" s="35" t="str">
        <f aca="false">IF(OR($A2390="",$C2390="U",$S2390&lt;&gt;Calc!$F$2),"",IF(COUNTIFS($E$3:$E2390,$E2390,$C$3:$C2390,"&lt;&gt;U",$S$3:$S2390,Calc!$F$2)=1,1,0))</f>
        <v/>
      </c>
      <c r="R2390" s="35" t="str">
        <f aca="false">IF($Q2390=1,$O2390-ROW()/100000,"")</f>
        <v/>
      </c>
      <c r="S2390" s="37" t="str">
        <f aca="false">IF($A2390="","",INT($A2390))</f>
        <v/>
      </c>
      <c r="T2390" s="35" t="str">
        <f aca="false">IF($A2390="","",IF(COUNTIFS($S$3:$S2390,$S2390)=1,1,0))</f>
        <v/>
      </c>
      <c r="U2390" s="37" t="str">
        <f aca="false">IF($T2390=1,$S2390,"")</f>
        <v/>
      </c>
    </row>
    <row r="2391" customFormat="false" ht="15" hidden="false" customHeight="false" outlineLevel="0" collapsed="false">
      <c r="M2391" s="35" t="str">
        <f aca="false">IF($A2391="","",HOUR($A2391))</f>
        <v/>
      </c>
      <c r="N2391" s="36" t="str">
        <f aca="false">IF($A2391="","",$I2391*$K2391)</f>
        <v/>
      </c>
      <c r="O2391" s="35" t="str">
        <f aca="false">IF(OR($A2391="",$C2391="U",$S2391&lt;&gt;Calc!$F$2),"",SUMIFS($I$3:$I$3002,$E$3:$E$3002,$E2391,$C$3:$C$3002,"&lt;&gt;U",$S$3:$S$3002,Calc!$F$2))</f>
        <v/>
      </c>
      <c r="P2391" s="35" t="str">
        <f aca="false">IF(OR($A2391="",$C2391="U",$S2391&lt;&gt;Calc!$F$2),"",SUMIFS($N$3:$N$3002,$E$3:$E$3002,$E2391,$C$3:$C$3002,"&lt;&gt;U",$S$3:$S$3002,Calc!$F$2))</f>
        <v/>
      </c>
      <c r="Q2391" s="35" t="str">
        <f aca="false">IF(OR($A2391="",$C2391="U",$S2391&lt;&gt;Calc!$F$2),"",IF(COUNTIFS($E$3:$E2391,$E2391,$C$3:$C2391,"&lt;&gt;U",$S$3:$S2391,Calc!$F$2)=1,1,0))</f>
        <v/>
      </c>
      <c r="R2391" s="35" t="str">
        <f aca="false">IF($Q2391=1,$O2391-ROW()/100000,"")</f>
        <v/>
      </c>
      <c r="S2391" s="37" t="str">
        <f aca="false">IF($A2391="","",INT($A2391))</f>
        <v/>
      </c>
      <c r="T2391" s="35" t="str">
        <f aca="false">IF($A2391="","",IF(COUNTIFS($S$3:$S2391,$S2391)=1,1,0))</f>
        <v/>
      </c>
      <c r="U2391" s="37" t="str">
        <f aca="false">IF($T2391=1,$S2391,"")</f>
        <v/>
      </c>
    </row>
    <row r="2392" customFormat="false" ht="15" hidden="false" customHeight="false" outlineLevel="0" collapsed="false">
      <c r="M2392" s="35" t="str">
        <f aca="false">IF($A2392="","",HOUR($A2392))</f>
        <v/>
      </c>
      <c r="N2392" s="36" t="str">
        <f aca="false">IF($A2392="","",$I2392*$K2392)</f>
        <v/>
      </c>
      <c r="O2392" s="35" t="str">
        <f aca="false">IF(OR($A2392="",$C2392="U",$S2392&lt;&gt;Calc!$F$2),"",SUMIFS($I$3:$I$3002,$E$3:$E$3002,$E2392,$C$3:$C$3002,"&lt;&gt;U",$S$3:$S$3002,Calc!$F$2))</f>
        <v/>
      </c>
      <c r="P2392" s="35" t="str">
        <f aca="false">IF(OR($A2392="",$C2392="U",$S2392&lt;&gt;Calc!$F$2),"",SUMIFS($N$3:$N$3002,$E$3:$E$3002,$E2392,$C$3:$C$3002,"&lt;&gt;U",$S$3:$S$3002,Calc!$F$2))</f>
        <v/>
      </c>
      <c r="Q2392" s="35" t="str">
        <f aca="false">IF(OR($A2392="",$C2392="U",$S2392&lt;&gt;Calc!$F$2),"",IF(COUNTIFS($E$3:$E2392,$E2392,$C$3:$C2392,"&lt;&gt;U",$S$3:$S2392,Calc!$F$2)=1,1,0))</f>
        <v/>
      </c>
      <c r="R2392" s="35" t="str">
        <f aca="false">IF($Q2392=1,$O2392-ROW()/100000,"")</f>
        <v/>
      </c>
      <c r="S2392" s="37" t="str">
        <f aca="false">IF($A2392="","",INT($A2392))</f>
        <v/>
      </c>
      <c r="T2392" s="35" t="str">
        <f aca="false">IF($A2392="","",IF(COUNTIFS($S$3:$S2392,$S2392)=1,1,0))</f>
        <v/>
      </c>
      <c r="U2392" s="37" t="str">
        <f aca="false">IF($T2392=1,$S2392,"")</f>
        <v/>
      </c>
    </row>
    <row r="2393" customFormat="false" ht="15" hidden="false" customHeight="false" outlineLevel="0" collapsed="false">
      <c r="M2393" s="35" t="str">
        <f aca="false">IF($A2393="","",HOUR($A2393))</f>
        <v/>
      </c>
      <c r="N2393" s="36" t="str">
        <f aca="false">IF($A2393="","",$I2393*$K2393)</f>
        <v/>
      </c>
      <c r="O2393" s="35" t="str">
        <f aca="false">IF(OR($A2393="",$C2393="U",$S2393&lt;&gt;Calc!$F$2),"",SUMIFS($I$3:$I$3002,$E$3:$E$3002,$E2393,$C$3:$C$3002,"&lt;&gt;U",$S$3:$S$3002,Calc!$F$2))</f>
        <v/>
      </c>
      <c r="P2393" s="35" t="str">
        <f aca="false">IF(OR($A2393="",$C2393="U",$S2393&lt;&gt;Calc!$F$2),"",SUMIFS($N$3:$N$3002,$E$3:$E$3002,$E2393,$C$3:$C$3002,"&lt;&gt;U",$S$3:$S$3002,Calc!$F$2))</f>
        <v/>
      </c>
      <c r="Q2393" s="35" t="str">
        <f aca="false">IF(OR($A2393="",$C2393="U",$S2393&lt;&gt;Calc!$F$2),"",IF(COUNTIFS($E$3:$E2393,$E2393,$C$3:$C2393,"&lt;&gt;U",$S$3:$S2393,Calc!$F$2)=1,1,0))</f>
        <v/>
      </c>
      <c r="R2393" s="35" t="str">
        <f aca="false">IF($Q2393=1,$O2393-ROW()/100000,"")</f>
        <v/>
      </c>
      <c r="S2393" s="37" t="str">
        <f aca="false">IF($A2393="","",INT($A2393))</f>
        <v/>
      </c>
      <c r="T2393" s="35" t="str">
        <f aca="false">IF($A2393="","",IF(COUNTIFS($S$3:$S2393,$S2393)=1,1,0))</f>
        <v/>
      </c>
      <c r="U2393" s="37" t="str">
        <f aca="false">IF($T2393=1,$S2393,"")</f>
        <v/>
      </c>
    </row>
    <row r="2394" customFormat="false" ht="15" hidden="false" customHeight="false" outlineLevel="0" collapsed="false">
      <c r="M2394" s="35" t="str">
        <f aca="false">IF($A2394="","",HOUR($A2394))</f>
        <v/>
      </c>
      <c r="N2394" s="36" t="str">
        <f aca="false">IF($A2394="","",$I2394*$K2394)</f>
        <v/>
      </c>
      <c r="O2394" s="35" t="str">
        <f aca="false">IF(OR($A2394="",$C2394="U",$S2394&lt;&gt;Calc!$F$2),"",SUMIFS($I$3:$I$3002,$E$3:$E$3002,$E2394,$C$3:$C$3002,"&lt;&gt;U",$S$3:$S$3002,Calc!$F$2))</f>
        <v/>
      </c>
      <c r="P2394" s="35" t="str">
        <f aca="false">IF(OR($A2394="",$C2394="U",$S2394&lt;&gt;Calc!$F$2),"",SUMIFS($N$3:$N$3002,$E$3:$E$3002,$E2394,$C$3:$C$3002,"&lt;&gt;U",$S$3:$S$3002,Calc!$F$2))</f>
        <v/>
      </c>
      <c r="Q2394" s="35" t="str">
        <f aca="false">IF(OR($A2394="",$C2394="U",$S2394&lt;&gt;Calc!$F$2),"",IF(COUNTIFS($E$3:$E2394,$E2394,$C$3:$C2394,"&lt;&gt;U",$S$3:$S2394,Calc!$F$2)=1,1,0))</f>
        <v/>
      </c>
      <c r="R2394" s="35" t="str">
        <f aca="false">IF($Q2394=1,$O2394-ROW()/100000,"")</f>
        <v/>
      </c>
      <c r="S2394" s="37" t="str">
        <f aca="false">IF($A2394="","",INT($A2394))</f>
        <v/>
      </c>
      <c r="T2394" s="35" t="str">
        <f aca="false">IF($A2394="","",IF(COUNTIFS($S$3:$S2394,$S2394)=1,1,0))</f>
        <v/>
      </c>
      <c r="U2394" s="37" t="str">
        <f aca="false">IF($T2394=1,$S2394,"")</f>
        <v/>
      </c>
    </row>
    <row r="2395" customFormat="false" ht="15" hidden="false" customHeight="false" outlineLevel="0" collapsed="false">
      <c r="M2395" s="35" t="str">
        <f aca="false">IF($A2395="","",HOUR($A2395))</f>
        <v/>
      </c>
      <c r="N2395" s="36" t="str">
        <f aca="false">IF($A2395="","",$I2395*$K2395)</f>
        <v/>
      </c>
      <c r="O2395" s="35" t="str">
        <f aca="false">IF(OR($A2395="",$C2395="U",$S2395&lt;&gt;Calc!$F$2),"",SUMIFS($I$3:$I$3002,$E$3:$E$3002,$E2395,$C$3:$C$3002,"&lt;&gt;U",$S$3:$S$3002,Calc!$F$2))</f>
        <v/>
      </c>
      <c r="P2395" s="35" t="str">
        <f aca="false">IF(OR($A2395="",$C2395="U",$S2395&lt;&gt;Calc!$F$2),"",SUMIFS($N$3:$N$3002,$E$3:$E$3002,$E2395,$C$3:$C$3002,"&lt;&gt;U",$S$3:$S$3002,Calc!$F$2))</f>
        <v/>
      </c>
      <c r="Q2395" s="35" t="str">
        <f aca="false">IF(OR($A2395="",$C2395="U",$S2395&lt;&gt;Calc!$F$2),"",IF(COUNTIFS($E$3:$E2395,$E2395,$C$3:$C2395,"&lt;&gt;U",$S$3:$S2395,Calc!$F$2)=1,1,0))</f>
        <v/>
      </c>
      <c r="R2395" s="35" t="str">
        <f aca="false">IF($Q2395=1,$O2395-ROW()/100000,"")</f>
        <v/>
      </c>
      <c r="S2395" s="37" t="str">
        <f aca="false">IF($A2395="","",INT($A2395))</f>
        <v/>
      </c>
      <c r="T2395" s="35" t="str">
        <f aca="false">IF($A2395="","",IF(COUNTIFS($S$3:$S2395,$S2395)=1,1,0))</f>
        <v/>
      </c>
      <c r="U2395" s="37" t="str">
        <f aca="false">IF($T2395=1,$S2395,"")</f>
        <v/>
      </c>
    </row>
    <row r="2396" customFormat="false" ht="15" hidden="false" customHeight="false" outlineLevel="0" collapsed="false">
      <c r="M2396" s="35" t="str">
        <f aca="false">IF($A2396="","",HOUR($A2396))</f>
        <v/>
      </c>
      <c r="N2396" s="36" t="str">
        <f aca="false">IF($A2396="","",$I2396*$K2396)</f>
        <v/>
      </c>
      <c r="O2396" s="35" t="str">
        <f aca="false">IF(OR($A2396="",$C2396="U",$S2396&lt;&gt;Calc!$F$2),"",SUMIFS($I$3:$I$3002,$E$3:$E$3002,$E2396,$C$3:$C$3002,"&lt;&gt;U",$S$3:$S$3002,Calc!$F$2))</f>
        <v/>
      </c>
      <c r="P2396" s="35" t="str">
        <f aca="false">IF(OR($A2396="",$C2396="U",$S2396&lt;&gt;Calc!$F$2),"",SUMIFS($N$3:$N$3002,$E$3:$E$3002,$E2396,$C$3:$C$3002,"&lt;&gt;U",$S$3:$S$3002,Calc!$F$2))</f>
        <v/>
      </c>
      <c r="Q2396" s="35" t="str">
        <f aca="false">IF(OR($A2396="",$C2396="U",$S2396&lt;&gt;Calc!$F$2),"",IF(COUNTIFS($E$3:$E2396,$E2396,$C$3:$C2396,"&lt;&gt;U",$S$3:$S2396,Calc!$F$2)=1,1,0))</f>
        <v/>
      </c>
      <c r="R2396" s="35" t="str">
        <f aca="false">IF($Q2396=1,$O2396-ROW()/100000,"")</f>
        <v/>
      </c>
      <c r="S2396" s="37" t="str">
        <f aca="false">IF($A2396="","",INT($A2396))</f>
        <v/>
      </c>
      <c r="T2396" s="35" t="str">
        <f aca="false">IF($A2396="","",IF(COUNTIFS($S$3:$S2396,$S2396)=1,1,0))</f>
        <v/>
      </c>
      <c r="U2396" s="37" t="str">
        <f aca="false">IF($T2396=1,$S2396,"")</f>
        <v/>
      </c>
    </row>
    <row r="2397" customFormat="false" ht="15" hidden="false" customHeight="false" outlineLevel="0" collapsed="false">
      <c r="M2397" s="35" t="str">
        <f aca="false">IF($A2397="","",HOUR($A2397))</f>
        <v/>
      </c>
      <c r="N2397" s="36" t="str">
        <f aca="false">IF($A2397="","",$I2397*$K2397)</f>
        <v/>
      </c>
      <c r="O2397" s="35" t="str">
        <f aca="false">IF(OR($A2397="",$C2397="U",$S2397&lt;&gt;Calc!$F$2),"",SUMIFS($I$3:$I$3002,$E$3:$E$3002,$E2397,$C$3:$C$3002,"&lt;&gt;U",$S$3:$S$3002,Calc!$F$2))</f>
        <v/>
      </c>
      <c r="P2397" s="35" t="str">
        <f aca="false">IF(OR($A2397="",$C2397="U",$S2397&lt;&gt;Calc!$F$2),"",SUMIFS($N$3:$N$3002,$E$3:$E$3002,$E2397,$C$3:$C$3002,"&lt;&gt;U",$S$3:$S$3002,Calc!$F$2))</f>
        <v/>
      </c>
      <c r="Q2397" s="35" t="str">
        <f aca="false">IF(OR($A2397="",$C2397="U",$S2397&lt;&gt;Calc!$F$2),"",IF(COUNTIFS($E$3:$E2397,$E2397,$C$3:$C2397,"&lt;&gt;U",$S$3:$S2397,Calc!$F$2)=1,1,0))</f>
        <v/>
      </c>
      <c r="R2397" s="35" t="str">
        <f aca="false">IF($Q2397=1,$O2397-ROW()/100000,"")</f>
        <v/>
      </c>
      <c r="S2397" s="37" t="str">
        <f aca="false">IF($A2397="","",INT($A2397))</f>
        <v/>
      </c>
      <c r="T2397" s="35" t="str">
        <f aca="false">IF($A2397="","",IF(COUNTIFS($S$3:$S2397,$S2397)=1,1,0))</f>
        <v/>
      </c>
      <c r="U2397" s="37" t="str">
        <f aca="false">IF($T2397=1,$S2397,"")</f>
        <v/>
      </c>
    </row>
    <row r="2398" customFormat="false" ht="15" hidden="false" customHeight="false" outlineLevel="0" collapsed="false">
      <c r="M2398" s="35" t="str">
        <f aca="false">IF($A2398="","",HOUR($A2398))</f>
        <v/>
      </c>
      <c r="N2398" s="36" t="str">
        <f aca="false">IF($A2398="","",$I2398*$K2398)</f>
        <v/>
      </c>
      <c r="O2398" s="35" t="str">
        <f aca="false">IF(OR($A2398="",$C2398="U",$S2398&lt;&gt;Calc!$F$2),"",SUMIFS($I$3:$I$3002,$E$3:$E$3002,$E2398,$C$3:$C$3002,"&lt;&gt;U",$S$3:$S$3002,Calc!$F$2))</f>
        <v/>
      </c>
      <c r="P2398" s="35" t="str">
        <f aca="false">IF(OR($A2398="",$C2398="U",$S2398&lt;&gt;Calc!$F$2),"",SUMIFS($N$3:$N$3002,$E$3:$E$3002,$E2398,$C$3:$C$3002,"&lt;&gt;U",$S$3:$S$3002,Calc!$F$2))</f>
        <v/>
      </c>
      <c r="Q2398" s="35" t="str">
        <f aca="false">IF(OR($A2398="",$C2398="U",$S2398&lt;&gt;Calc!$F$2),"",IF(COUNTIFS($E$3:$E2398,$E2398,$C$3:$C2398,"&lt;&gt;U",$S$3:$S2398,Calc!$F$2)=1,1,0))</f>
        <v/>
      </c>
      <c r="R2398" s="35" t="str">
        <f aca="false">IF($Q2398=1,$O2398-ROW()/100000,"")</f>
        <v/>
      </c>
      <c r="S2398" s="37" t="str">
        <f aca="false">IF($A2398="","",INT($A2398))</f>
        <v/>
      </c>
      <c r="T2398" s="35" t="str">
        <f aca="false">IF($A2398="","",IF(COUNTIFS($S$3:$S2398,$S2398)=1,1,0))</f>
        <v/>
      </c>
      <c r="U2398" s="37" t="str">
        <f aca="false">IF($T2398=1,$S2398,"")</f>
        <v/>
      </c>
    </row>
    <row r="2399" customFormat="false" ht="15" hidden="false" customHeight="false" outlineLevel="0" collapsed="false">
      <c r="M2399" s="35" t="str">
        <f aca="false">IF($A2399="","",HOUR($A2399))</f>
        <v/>
      </c>
      <c r="N2399" s="36" t="str">
        <f aca="false">IF($A2399="","",$I2399*$K2399)</f>
        <v/>
      </c>
      <c r="O2399" s="35" t="str">
        <f aca="false">IF(OR($A2399="",$C2399="U",$S2399&lt;&gt;Calc!$F$2),"",SUMIFS($I$3:$I$3002,$E$3:$E$3002,$E2399,$C$3:$C$3002,"&lt;&gt;U",$S$3:$S$3002,Calc!$F$2))</f>
        <v/>
      </c>
      <c r="P2399" s="35" t="str">
        <f aca="false">IF(OR($A2399="",$C2399="U",$S2399&lt;&gt;Calc!$F$2),"",SUMIFS($N$3:$N$3002,$E$3:$E$3002,$E2399,$C$3:$C$3002,"&lt;&gt;U",$S$3:$S$3002,Calc!$F$2))</f>
        <v/>
      </c>
      <c r="Q2399" s="35" t="str">
        <f aca="false">IF(OR($A2399="",$C2399="U",$S2399&lt;&gt;Calc!$F$2),"",IF(COUNTIFS($E$3:$E2399,$E2399,$C$3:$C2399,"&lt;&gt;U",$S$3:$S2399,Calc!$F$2)=1,1,0))</f>
        <v/>
      </c>
      <c r="R2399" s="35" t="str">
        <f aca="false">IF($Q2399=1,$O2399-ROW()/100000,"")</f>
        <v/>
      </c>
      <c r="S2399" s="37" t="str">
        <f aca="false">IF($A2399="","",INT($A2399))</f>
        <v/>
      </c>
      <c r="T2399" s="35" t="str">
        <f aca="false">IF($A2399="","",IF(COUNTIFS($S$3:$S2399,$S2399)=1,1,0))</f>
        <v/>
      </c>
      <c r="U2399" s="37" t="str">
        <f aca="false">IF($T2399=1,$S2399,"")</f>
        <v/>
      </c>
    </row>
    <row r="2400" customFormat="false" ht="15" hidden="false" customHeight="false" outlineLevel="0" collapsed="false">
      <c r="M2400" s="35" t="str">
        <f aca="false">IF($A2400="","",HOUR($A2400))</f>
        <v/>
      </c>
      <c r="N2400" s="36" t="str">
        <f aca="false">IF($A2400="","",$I2400*$K2400)</f>
        <v/>
      </c>
      <c r="O2400" s="35" t="str">
        <f aca="false">IF(OR($A2400="",$C2400="U",$S2400&lt;&gt;Calc!$F$2),"",SUMIFS($I$3:$I$3002,$E$3:$E$3002,$E2400,$C$3:$C$3002,"&lt;&gt;U",$S$3:$S$3002,Calc!$F$2))</f>
        <v/>
      </c>
      <c r="P2400" s="35" t="str">
        <f aca="false">IF(OR($A2400="",$C2400="U",$S2400&lt;&gt;Calc!$F$2),"",SUMIFS($N$3:$N$3002,$E$3:$E$3002,$E2400,$C$3:$C$3002,"&lt;&gt;U",$S$3:$S$3002,Calc!$F$2))</f>
        <v/>
      </c>
      <c r="Q2400" s="35" t="str">
        <f aca="false">IF(OR($A2400="",$C2400="U",$S2400&lt;&gt;Calc!$F$2),"",IF(COUNTIFS($E$3:$E2400,$E2400,$C$3:$C2400,"&lt;&gt;U",$S$3:$S2400,Calc!$F$2)=1,1,0))</f>
        <v/>
      </c>
      <c r="R2400" s="35" t="str">
        <f aca="false">IF($Q2400=1,$O2400-ROW()/100000,"")</f>
        <v/>
      </c>
      <c r="S2400" s="37" t="str">
        <f aca="false">IF($A2400="","",INT($A2400))</f>
        <v/>
      </c>
      <c r="T2400" s="35" t="str">
        <f aca="false">IF($A2400="","",IF(COUNTIFS($S$3:$S2400,$S2400)=1,1,0))</f>
        <v/>
      </c>
      <c r="U2400" s="37" t="str">
        <f aca="false">IF($T2400=1,$S2400,"")</f>
        <v/>
      </c>
    </row>
    <row r="2401" customFormat="false" ht="15" hidden="false" customHeight="false" outlineLevel="0" collapsed="false">
      <c r="M2401" s="35" t="str">
        <f aca="false">IF($A2401="","",HOUR($A2401))</f>
        <v/>
      </c>
      <c r="N2401" s="36" t="str">
        <f aca="false">IF($A2401="","",$I2401*$K2401)</f>
        <v/>
      </c>
      <c r="O2401" s="35" t="str">
        <f aca="false">IF(OR($A2401="",$C2401="U",$S2401&lt;&gt;Calc!$F$2),"",SUMIFS($I$3:$I$3002,$E$3:$E$3002,$E2401,$C$3:$C$3002,"&lt;&gt;U",$S$3:$S$3002,Calc!$F$2))</f>
        <v/>
      </c>
      <c r="P2401" s="35" t="str">
        <f aca="false">IF(OR($A2401="",$C2401="U",$S2401&lt;&gt;Calc!$F$2),"",SUMIFS($N$3:$N$3002,$E$3:$E$3002,$E2401,$C$3:$C$3002,"&lt;&gt;U",$S$3:$S$3002,Calc!$F$2))</f>
        <v/>
      </c>
      <c r="Q2401" s="35" t="str">
        <f aca="false">IF(OR($A2401="",$C2401="U",$S2401&lt;&gt;Calc!$F$2),"",IF(COUNTIFS($E$3:$E2401,$E2401,$C$3:$C2401,"&lt;&gt;U",$S$3:$S2401,Calc!$F$2)=1,1,0))</f>
        <v/>
      </c>
      <c r="R2401" s="35" t="str">
        <f aca="false">IF($Q2401=1,$O2401-ROW()/100000,"")</f>
        <v/>
      </c>
      <c r="S2401" s="37" t="str">
        <f aca="false">IF($A2401="","",INT($A2401))</f>
        <v/>
      </c>
      <c r="T2401" s="35" t="str">
        <f aca="false">IF($A2401="","",IF(COUNTIFS($S$3:$S2401,$S2401)=1,1,0))</f>
        <v/>
      </c>
      <c r="U2401" s="37" t="str">
        <f aca="false">IF($T2401=1,$S2401,"")</f>
        <v/>
      </c>
    </row>
    <row r="2402" customFormat="false" ht="15" hidden="false" customHeight="false" outlineLevel="0" collapsed="false">
      <c r="M2402" s="35" t="str">
        <f aca="false">IF($A2402="","",HOUR($A2402))</f>
        <v/>
      </c>
      <c r="N2402" s="36" t="str">
        <f aca="false">IF($A2402="","",$I2402*$K2402)</f>
        <v/>
      </c>
      <c r="O2402" s="35" t="str">
        <f aca="false">IF(OR($A2402="",$C2402="U",$S2402&lt;&gt;Calc!$F$2),"",SUMIFS($I$3:$I$3002,$E$3:$E$3002,$E2402,$C$3:$C$3002,"&lt;&gt;U",$S$3:$S$3002,Calc!$F$2))</f>
        <v/>
      </c>
      <c r="P2402" s="35" t="str">
        <f aca="false">IF(OR($A2402="",$C2402="U",$S2402&lt;&gt;Calc!$F$2),"",SUMIFS($N$3:$N$3002,$E$3:$E$3002,$E2402,$C$3:$C$3002,"&lt;&gt;U",$S$3:$S$3002,Calc!$F$2))</f>
        <v/>
      </c>
      <c r="Q2402" s="35" t="str">
        <f aca="false">IF(OR($A2402="",$C2402="U",$S2402&lt;&gt;Calc!$F$2),"",IF(COUNTIFS($E$3:$E2402,$E2402,$C$3:$C2402,"&lt;&gt;U",$S$3:$S2402,Calc!$F$2)=1,1,0))</f>
        <v/>
      </c>
      <c r="R2402" s="35" t="str">
        <f aca="false">IF($Q2402=1,$O2402-ROW()/100000,"")</f>
        <v/>
      </c>
      <c r="S2402" s="37" t="str">
        <f aca="false">IF($A2402="","",INT($A2402))</f>
        <v/>
      </c>
      <c r="T2402" s="35" t="str">
        <f aca="false">IF($A2402="","",IF(COUNTIFS($S$3:$S2402,$S2402)=1,1,0))</f>
        <v/>
      </c>
      <c r="U2402" s="37" t="str">
        <f aca="false">IF($T2402=1,$S2402,"")</f>
        <v/>
      </c>
    </row>
    <row r="2403" customFormat="false" ht="15" hidden="false" customHeight="false" outlineLevel="0" collapsed="false">
      <c r="M2403" s="35" t="str">
        <f aca="false">IF($A2403="","",HOUR($A2403))</f>
        <v/>
      </c>
      <c r="N2403" s="36" t="str">
        <f aca="false">IF($A2403="","",$I2403*$K2403)</f>
        <v/>
      </c>
      <c r="O2403" s="35" t="str">
        <f aca="false">IF(OR($A2403="",$C2403="U",$S2403&lt;&gt;Calc!$F$2),"",SUMIFS($I$3:$I$3002,$E$3:$E$3002,$E2403,$C$3:$C$3002,"&lt;&gt;U",$S$3:$S$3002,Calc!$F$2))</f>
        <v/>
      </c>
      <c r="P2403" s="35" t="str">
        <f aca="false">IF(OR($A2403="",$C2403="U",$S2403&lt;&gt;Calc!$F$2),"",SUMIFS($N$3:$N$3002,$E$3:$E$3002,$E2403,$C$3:$C$3002,"&lt;&gt;U",$S$3:$S$3002,Calc!$F$2))</f>
        <v/>
      </c>
      <c r="Q2403" s="35" t="str">
        <f aca="false">IF(OR($A2403="",$C2403="U",$S2403&lt;&gt;Calc!$F$2),"",IF(COUNTIFS($E$3:$E2403,$E2403,$C$3:$C2403,"&lt;&gt;U",$S$3:$S2403,Calc!$F$2)=1,1,0))</f>
        <v/>
      </c>
      <c r="R2403" s="35" t="str">
        <f aca="false">IF($Q2403=1,$O2403-ROW()/100000,"")</f>
        <v/>
      </c>
      <c r="S2403" s="37" t="str">
        <f aca="false">IF($A2403="","",INT($A2403))</f>
        <v/>
      </c>
      <c r="T2403" s="35" t="str">
        <f aca="false">IF($A2403="","",IF(COUNTIFS($S$3:$S2403,$S2403)=1,1,0))</f>
        <v/>
      </c>
      <c r="U2403" s="37" t="str">
        <f aca="false">IF($T2403=1,$S2403,"")</f>
        <v/>
      </c>
    </row>
    <row r="2404" customFormat="false" ht="15" hidden="false" customHeight="false" outlineLevel="0" collapsed="false">
      <c r="M2404" s="35" t="str">
        <f aca="false">IF($A2404="","",HOUR($A2404))</f>
        <v/>
      </c>
      <c r="N2404" s="36" t="str">
        <f aca="false">IF($A2404="","",$I2404*$K2404)</f>
        <v/>
      </c>
      <c r="O2404" s="35" t="str">
        <f aca="false">IF(OR($A2404="",$C2404="U",$S2404&lt;&gt;Calc!$F$2),"",SUMIFS($I$3:$I$3002,$E$3:$E$3002,$E2404,$C$3:$C$3002,"&lt;&gt;U",$S$3:$S$3002,Calc!$F$2))</f>
        <v/>
      </c>
      <c r="P2404" s="35" t="str">
        <f aca="false">IF(OR($A2404="",$C2404="U",$S2404&lt;&gt;Calc!$F$2),"",SUMIFS($N$3:$N$3002,$E$3:$E$3002,$E2404,$C$3:$C$3002,"&lt;&gt;U",$S$3:$S$3002,Calc!$F$2))</f>
        <v/>
      </c>
      <c r="Q2404" s="35" t="str">
        <f aca="false">IF(OR($A2404="",$C2404="U",$S2404&lt;&gt;Calc!$F$2),"",IF(COUNTIFS($E$3:$E2404,$E2404,$C$3:$C2404,"&lt;&gt;U",$S$3:$S2404,Calc!$F$2)=1,1,0))</f>
        <v/>
      </c>
      <c r="R2404" s="35" t="str">
        <f aca="false">IF($Q2404=1,$O2404-ROW()/100000,"")</f>
        <v/>
      </c>
      <c r="S2404" s="37" t="str">
        <f aca="false">IF($A2404="","",INT($A2404))</f>
        <v/>
      </c>
      <c r="T2404" s="35" t="str">
        <f aca="false">IF($A2404="","",IF(COUNTIFS($S$3:$S2404,$S2404)=1,1,0))</f>
        <v/>
      </c>
      <c r="U2404" s="37" t="str">
        <f aca="false">IF($T2404=1,$S2404,"")</f>
        <v/>
      </c>
    </row>
    <row r="2405" customFormat="false" ht="15" hidden="false" customHeight="false" outlineLevel="0" collapsed="false">
      <c r="M2405" s="35" t="str">
        <f aca="false">IF($A2405="","",HOUR($A2405))</f>
        <v/>
      </c>
      <c r="N2405" s="36" t="str">
        <f aca="false">IF($A2405="","",$I2405*$K2405)</f>
        <v/>
      </c>
      <c r="O2405" s="35" t="str">
        <f aca="false">IF(OR($A2405="",$C2405="U",$S2405&lt;&gt;Calc!$F$2),"",SUMIFS($I$3:$I$3002,$E$3:$E$3002,$E2405,$C$3:$C$3002,"&lt;&gt;U",$S$3:$S$3002,Calc!$F$2))</f>
        <v/>
      </c>
      <c r="P2405" s="35" t="str">
        <f aca="false">IF(OR($A2405="",$C2405="U",$S2405&lt;&gt;Calc!$F$2),"",SUMIFS($N$3:$N$3002,$E$3:$E$3002,$E2405,$C$3:$C$3002,"&lt;&gt;U",$S$3:$S$3002,Calc!$F$2))</f>
        <v/>
      </c>
      <c r="Q2405" s="35" t="str">
        <f aca="false">IF(OR($A2405="",$C2405="U",$S2405&lt;&gt;Calc!$F$2),"",IF(COUNTIFS($E$3:$E2405,$E2405,$C$3:$C2405,"&lt;&gt;U",$S$3:$S2405,Calc!$F$2)=1,1,0))</f>
        <v/>
      </c>
      <c r="R2405" s="35" t="str">
        <f aca="false">IF($Q2405=1,$O2405-ROW()/100000,"")</f>
        <v/>
      </c>
      <c r="S2405" s="37" t="str">
        <f aca="false">IF($A2405="","",INT($A2405))</f>
        <v/>
      </c>
      <c r="T2405" s="35" t="str">
        <f aca="false">IF($A2405="","",IF(COUNTIFS($S$3:$S2405,$S2405)=1,1,0))</f>
        <v/>
      </c>
      <c r="U2405" s="37" t="str">
        <f aca="false">IF($T2405=1,$S2405,"")</f>
        <v/>
      </c>
    </row>
    <row r="2406" customFormat="false" ht="15" hidden="false" customHeight="false" outlineLevel="0" collapsed="false">
      <c r="M2406" s="35" t="str">
        <f aca="false">IF($A2406="","",HOUR($A2406))</f>
        <v/>
      </c>
      <c r="N2406" s="36" t="str">
        <f aca="false">IF($A2406="","",$I2406*$K2406)</f>
        <v/>
      </c>
      <c r="O2406" s="35" t="str">
        <f aca="false">IF(OR($A2406="",$C2406="U",$S2406&lt;&gt;Calc!$F$2),"",SUMIFS($I$3:$I$3002,$E$3:$E$3002,$E2406,$C$3:$C$3002,"&lt;&gt;U",$S$3:$S$3002,Calc!$F$2))</f>
        <v/>
      </c>
      <c r="P2406" s="35" t="str">
        <f aca="false">IF(OR($A2406="",$C2406="U",$S2406&lt;&gt;Calc!$F$2),"",SUMIFS($N$3:$N$3002,$E$3:$E$3002,$E2406,$C$3:$C$3002,"&lt;&gt;U",$S$3:$S$3002,Calc!$F$2))</f>
        <v/>
      </c>
      <c r="Q2406" s="35" t="str">
        <f aca="false">IF(OR($A2406="",$C2406="U",$S2406&lt;&gt;Calc!$F$2),"",IF(COUNTIFS($E$3:$E2406,$E2406,$C$3:$C2406,"&lt;&gt;U",$S$3:$S2406,Calc!$F$2)=1,1,0))</f>
        <v/>
      </c>
      <c r="R2406" s="35" t="str">
        <f aca="false">IF($Q2406=1,$O2406-ROW()/100000,"")</f>
        <v/>
      </c>
      <c r="S2406" s="37" t="str">
        <f aca="false">IF($A2406="","",INT($A2406))</f>
        <v/>
      </c>
      <c r="T2406" s="35" t="str">
        <f aca="false">IF($A2406="","",IF(COUNTIFS($S$3:$S2406,$S2406)=1,1,0))</f>
        <v/>
      </c>
      <c r="U2406" s="37" t="str">
        <f aca="false">IF($T2406=1,$S2406,"")</f>
        <v/>
      </c>
    </row>
    <row r="2407" customFormat="false" ht="15" hidden="false" customHeight="false" outlineLevel="0" collapsed="false">
      <c r="M2407" s="35" t="str">
        <f aca="false">IF($A2407="","",HOUR($A2407))</f>
        <v/>
      </c>
      <c r="N2407" s="36" t="str">
        <f aca="false">IF($A2407="","",$I2407*$K2407)</f>
        <v/>
      </c>
      <c r="O2407" s="35" t="str">
        <f aca="false">IF(OR($A2407="",$C2407="U",$S2407&lt;&gt;Calc!$F$2),"",SUMIFS($I$3:$I$3002,$E$3:$E$3002,$E2407,$C$3:$C$3002,"&lt;&gt;U",$S$3:$S$3002,Calc!$F$2))</f>
        <v/>
      </c>
      <c r="P2407" s="35" t="str">
        <f aca="false">IF(OR($A2407="",$C2407="U",$S2407&lt;&gt;Calc!$F$2),"",SUMIFS($N$3:$N$3002,$E$3:$E$3002,$E2407,$C$3:$C$3002,"&lt;&gt;U",$S$3:$S$3002,Calc!$F$2))</f>
        <v/>
      </c>
      <c r="Q2407" s="35" t="str">
        <f aca="false">IF(OR($A2407="",$C2407="U",$S2407&lt;&gt;Calc!$F$2),"",IF(COUNTIFS($E$3:$E2407,$E2407,$C$3:$C2407,"&lt;&gt;U",$S$3:$S2407,Calc!$F$2)=1,1,0))</f>
        <v/>
      </c>
      <c r="R2407" s="35" t="str">
        <f aca="false">IF($Q2407=1,$O2407-ROW()/100000,"")</f>
        <v/>
      </c>
      <c r="S2407" s="37" t="str">
        <f aca="false">IF($A2407="","",INT($A2407))</f>
        <v/>
      </c>
      <c r="T2407" s="35" t="str">
        <f aca="false">IF($A2407="","",IF(COUNTIFS($S$3:$S2407,$S2407)=1,1,0))</f>
        <v/>
      </c>
      <c r="U2407" s="37" t="str">
        <f aca="false">IF($T2407=1,$S2407,"")</f>
        <v/>
      </c>
    </row>
    <row r="2408" customFormat="false" ht="15" hidden="false" customHeight="false" outlineLevel="0" collapsed="false">
      <c r="M2408" s="35" t="str">
        <f aca="false">IF($A2408="","",HOUR($A2408))</f>
        <v/>
      </c>
      <c r="N2408" s="36" t="str">
        <f aca="false">IF($A2408="","",$I2408*$K2408)</f>
        <v/>
      </c>
      <c r="O2408" s="35" t="str">
        <f aca="false">IF(OR($A2408="",$C2408="U",$S2408&lt;&gt;Calc!$F$2),"",SUMIFS($I$3:$I$3002,$E$3:$E$3002,$E2408,$C$3:$C$3002,"&lt;&gt;U",$S$3:$S$3002,Calc!$F$2))</f>
        <v/>
      </c>
      <c r="P2408" s="35" t="str">
        <f aca="false">IF(OR($A2408="",$C2408="U",$S2408&lt;&gt;Calc!$F$2),"",SUMIFS($N$3:$N$3002,$E$3:$E$3002,$E2408,$C$3:$C$3002,"&lt;&gt;U",$S$3:$S$3002,Calc!$F$2))</f>
        <v/>
      </c>
      <c r="Q2408" s="35" t="str">
        <f aca="false">IF(OR($A2408="",$C2408="U",$S2408&lt;&gt;Calc!$F$2),"",IF(COUNTIFS($E$3:$E2408,$E2408,$C$3:$C2408,"&lt;&gt;U",$S$3:$S2408,Calc!$F$2)=1,1,0))</f>
        <v/>
      </c>
      <c r="R2408" s="35" t="str">
        <f aca="false">IF($Q2408=1,$O2408-ROW()/100000,"")</f>
        <v/>
      </c>
      <c r="S2408" s="37" t="str">
        <f aca="false">IF($A2408="","",INT($A2408))</f>
        <v/>
      </c>
      <c r="T2408" s="35" t="str">
        <f aca="false">IF($A2408="","",IF(COUNTIFS($S$3:$S2408,$S2408)=1,1,0))</f>
        <v/>
      </c>
      <c r="U2408" s="37" t="str">
        <f aca="false">IF($T2408=1,$S2408,"")</f>
        <v/>
      </c>
    </row>
    <row r="2409" customFormat="false" ht="15" hidden="false" customHeight="false" outlineLevel="0" collapsed="false">
      <c r="M2409" s="35" t="str">
        <f aca="false">IF($A2409="","",HOUR($A2409))</f>
        <v/>
      </c>
      <c r="N2409" s="36" t="str">
        <f aca="false">IF($A2409="","",$I2409*$K2409)</f>
        <v/>
      </c>
      <c r="O2409" s="35" t="str">
        <f aca="false">IF(OR($A2409="",$C2409="U",$S2409&lt;&gt;Calc!$F$2),"",SUMIFS($I$3:$I$3002,$E$3:$E$3002,$E2409,$C$3:$C$3002,"&lt;&gt;U",$S$3:$S$3002,Calc!$F$2))</f>
        <v/>
      </c>
      <c r="P2409" s="35" t="str">
        <f aca="false">IF(OR($A2409="",$C2409="U",$S2409&lt;&gt;Calc!$F$2),"",SUMIFS($N$3:$N$3002,$E$3:$E$3002,$E2409,$C$3:$C$3002,"&lt;&gt;U",$S$3:$S$3002,Calc!$F$2))</f>
        <v/>
      </c>
      <c r="Q2409" s="35" t="str">
        <f aca="false">IF(OR($A2409="",$C2409="U",$S2409&lt;&gt;Calc!$F$2),"",IF(COUNTIFS($E$3:$E2409,$E2409,$C$3:$C2409,"&lt;&gt;U",$S$3:$S2409,Calc!$F$2)=1,1,0))</f>
        <v/>
      </c>
      <c r="R2409" s="35" t="str">
        <f aca="false">IF($Q2409=1,$O2409-ROW()/100000,"")</f>
        <v/>
      </c>
      <c r="S2409" s="37" t="str">
        <f aca="false">IF($A2409="","",INT($A2409))</f>
        <v/>
      </c>
      <c r="T2409" s="35" t="str">
        <f aca="false">IF($A2409="","",IF(COUNTIFS($S$3:$S2409,$S2409)=1,1,0))</f>
        <v/>
      </c>
      <c r="U2409" s="37" t="str">
        <f aca="false">IF($T2409=1,$S2409,"")</f>
        <v/>
      </c>
    </row>
    <row r="2410" customFormat="false" ht="15" hidden="false" customHeight="false" outlineLevel="0" collapsed="false">
      <c r="M2410" s="35" t="str">
        <f aca="false">IF($A2410="","",HOUR($A2410))</f>
        <v/>
      </c>
      <c r="N2410" s="36" t="str">
        <f aca="false">IF($A2410="","",$I2410*$K2410)</f>
        <v/>
      </c>
      <c r="O2410" s="35" t="str">
        <f aca="false">IF(OR($A2410="",$C2410="U",$S2410&lt;&gt;Calc!$F$2),"",SUMIFS($I$3:$I$3002,$E$3:$E$3002,$E2410,$C$3:$C$3002,"&lt;&gt;U",$S$3:$S$3002,Calc!$F$2))</f>
        <v/>
      </c>
      <c r="P2410" s="35" t="str">
        <f aca="false">IF(OR($A2410="",$C2410="U",$S2410&lt;&gt;Calc!$F$2),"",SUMIFS($N$3:$N$3002,$E$3:$E$3002,$E2410,$C$3:$C$3002,"&lt;&gt;U",$S$3:$S$3002,Calc!$F$2))</f>
        <v/>
      </c>
      <c r="Q2410" s="35" t="str">
        <f aca="false">IF(OR($A2410="",$C2410="U",$S2410&lt;&gt;Calc!$F$2),"",IF(COUNTIFS($E$3:$E2410,$E2410,$C$3:$C2410,"&lt;&gt;U",$S$3:$S2410,Calc!$F$2)=1,1,0))</f>
        <v/>
      </c>
      <c r="R2410" s="35" t="str">
        <f aca="false">IF($Q2410=1,$O2410-ROW()/100000,"")</f>
        <v/>
      </c>
      <c r="S2410" s="37" t="str">
        <f aca="false">IF($A2410="","",INT($A2410))</f>
        <v/>
      </c>
      <c r="T2410" s="35" t="str">
        <f aca="false">IF($A2410="","",IF(COUNTIFS($S$3:$S2410,$S2410)=1,1,0))</f>
        <v/>
      </c>
      <c r="U2410" s="37" t="str">
        <f aca="false">IF($T2410=1,$S2410,"")</f>
        <v/>
      </c>
    </row>
    <row r="2411" customFormat="false" ht="15" hidden="false" customHeight="false" outlineLevel="0" collapsed="false">
      <c r="M2411" s="35" t="str">
        <f aca="false">IF($A2411="","",HOUR($A2411))</f>
        <v/>
      </c>
      <c r="N2411" s="36" t="str">
        <f aca="false">IF($A2411="","",$I2411*$K2411)</f>
        <v/>
      </c>
      <c r="O2411" s="35" t="str">
        <f aca="false">IF(OR($A2411="",$C2411="U",$S2411&lt;&gt;Calc!$F$2),"",SUMIFS($I$3:$I$3002,$E$3:$E$3002,$E2411,$C$3:$C$3002,"&lt;&gt;U",$S$3:$S$3002,Calc!$F$2))</f>
        <v/>
      </c>
      <c r="P2411" s="35" t="str">
        <f aca="false">IF(OR($A2411="",$C2411="U",$S2411&lt;&gt;Calc!$F$2),"",SUMIFS($N$3:$N$3002,$E$3:$E$3002,$E2411,$C$3:$C$3002,"&lt;&gt;U",$S$3:$S$3002,Calc!$F$2))</f>
        <v/>
      </c>
      <c r="Q2411" s="35" t="str">
        <f aca="false">IF(OR($A2411="",$C2411="U",$S2411&lt;&gt;Calc!$F$2),"",IF(COUNTIFS($E$3:$E2411,$E2411,$C$3:$C2411,"&lt;&gt;U",$S$3:$S2411,Calc!$F$2)=1,1,0))</f>
        <v/>
      </c>
      <c r="R2411" s="35" t="str">
        <f aca="false">IF($Q2411=1,$O2411-ROW()/100000,"")</f>
        <v/>
      </c>
      <c r="S2411" s="37" t="str">
        <f aca="false">IF($A2411="","",INT($A2411))</f>
        <v/>
      </c>
      <c r="T2411" s="35" t="str">
        <f aca="false">IF($A2411="","",IF(COUNTIFS($S$3:$S2411,$S2411)=1,1,0))</f>
        <v/>
      </c>
      <c r="U2411" s="37" t="str">
        <f aca="false">IF($T2411=1,$S2411,"")</f>
        <v/>
      </c>
    </row>
    <row r="2412" customFormat="false" ht="15" hidden="false" customHeight="false" outlineLevel="0" collapsed="false">
      <c r="M2412" s="35" t="str">
        <f aca="false">IF($A2412="","",HOUR($A2412))</f>
        <v/>
      </c>
      <c r="N2412" s="36" t="str">
        <f aca="false">IF($A2412="","",$I2412*$K2412)</f>
        <v/>
      </c>
      <c r="O2412" s="35" t="str">
        <f aca="false">IF(OR($A2412="",$C2412="U",$S2412&lt;&gt;Calc!$F$2),"",SUMIFS($I$3:$I$3002,$E$3:$E$3002,$E2412,$C$3:$C$3002,"&lt;&gt;U",$S$3:$S$3002,Calc!$F$2))</f>
        <v/>
      </c>
      <c r="P2412" s="35" t="str">
        <f aca="false">IF(OR($A2412="",$C2412="U",$S2412&lt;&gt;Calc!$F$2),"",SUMIFS($N$3:$N$3002,$E$3:$E$3002,$E2412,$C$3:$C$3002,"&lt;&gt;U",$S$3:$S$3002,Calc!$F$2))</f>
        <v/>
      </c>
      <c r="Q2412" s="35" t="str">
        <f aca="false">IF(OR($A2412="",$C2412="U",$S2412&lt;&gt;Calc!$F$2),"",IF(COUNTIFS($E$3:$E2412,$E2412,$C$3:$C2412,"&lt;&gt;U",$S$3:$S2412,Calc!$F$2)=1,1,0))</f>
        <v/>
      </c>
      <c r="R2412" s="35" t="str">
        <f aca="false">IF($Q2412=1,$O2412-ROW()/100000,"")</f>
        <v/>
      </c>
      <c r="S2412" s="37" t="str">
        <f aca="false">IF($A2412="","",INT($A2412))</f>
        <v/>
      </c>
      <c r="T2412" s="35" t="str">
        <f aca="false">IF($A2412="","",IF(COUNTIFS($S$3:$S2412,$S2412)=1,1,0))</f>
        <v/>
      </c>
      <c r="U2412" s="37" t="str">
        <f aca="false">IF($T2412=1,$S2412,"")</f>
        <v/>
      </c>
    </row>
    <row r="2413" customFormat="false" ht="15" hidden="false" customHeight="false" outlineLevel="0" collapsed="false">
      <c r="M2413" s="35" t="str">
        <f aca="false">IF($A2413="","",HOUR($A2413))</f>
        <v/>
      </c>
      <c r="N2413" s="36" t="str">
        <f aca="false">IF($A2413="","",$I2413*$K2413)</f>
        <v/>
      </c>
      <c r="O2413" s="35" t="str">
        <f aca="false">IF(OR($A2413="",$C2413="U",$S2413&lt;&gt;Calc!$F$2),"",SUMIFS($I$3:$I$3002,$E$3:$E$3002,$E2413,$C$3:$C$3002,"&lt;&gt;U",$S$3:$S$3002,Calc!$F$2))</f>
        <v/>
      </c>
      <c r="P2413" s="35" t="str">
        <f aca="false">IF(OR($A2413="",$C2413="U",$S2413&lt;&gt;Calc!$F$2),"",SUMIFS($N$3:$N$3002,$E$3:$E$3002,$E2413,$C$3:$C$3002,"&lt;&gt;U",$S$3:$S$3002,Calc!$F$2))</f>
        <v/>
      </c>
      <c r="Q2413" s="35" t="str">
        <f aca="false">IF(OR($A2413="",$C2413="U",$S2413&lt;&gt;Calc!$F$2),"",IF(COUNTIFS($E$3:$E2413,$E2413,$C$3:$C2413,"&lt;&gt;U",$S$3:$S2413,Calc!$F$2)=1,1,0))</f>
        <v/>
      </c>
      <c r="R2413" s="35" t="str">
        <f aca="false">IF($Q2413=1,$O2413-ROW()/100000,"")</f>
        <v/>
      </c>
      <c r="S2413" s="37" t="str">
        <f aca="false">IF($A2413="","",INT($A2413))</f>
        <v/>
      </c>
      <c r="T2413" s="35" t="str">
        <f aca="false">IF($A2413="","",IF(COUNTIFS($S$3:$S2413,$S2413)=1,1,0))</f>
        <v/>
      </c>
      <c r="U2413" s="37" t="str">
        <f aca="false">IF($T2413=1,$S2413,"")</f>
        <v/>
      </c>
    </row>
    <row r="2414" customFormat="false" ht="15" hidden="false" customHeight="false" outlineLevel="0" collapsed="false">
      <c r="M2414" s="35" t="str">
        <f aca="false">IF($A2414="","",HOUR($A2414))</f>
        <v/>
      </c>
      <c r="N2414" s="36" t="str">
        <f aca="false">IF($A2414="","",$I2414*$K2414)</f>
        <v/>
      </c>
      <c r="O2414" s="35" t="str">
        <f aca="false">IF(OR($A2414="",$C2414="U",$S2414&lt;&gt;Calc!$F$2),"",SUMIFS($I$3:$I$3002,$E$3:$E$3002,$E2414,$C$3:$C$3002,"&lt;&gt;U",$S$3:$S$3002,Calc!$F$2))</f>
        <v/>
      </c>
      <c r="P2414" s="35" t="str">
        <f aca="false">IF(OR($A2414="",$C2414="U",$S2414&lt;&gt;Calc!$F$2),"",SUMIFS($N$3:$N$3002,$E$3:$E$3002,$E2414,$C$3:$C$3002,"&lt;&gt;U",$S$3:$S$3002,Calc!$F$2))</f>
        <v/>
      </c>
      <c r="Q2414" s="35" t="str">
        <f aca="false">IF(OR($A2414="",$C2414="U",$S2414&lt;&gt;Calc!$F$2),"",IF(COUNTIFS($E$3:$E2414,$E2414,$C$3:$C2414,"&lt;&gt;U",$S$3:$S2414,Calc!$F$2)=1,1,0))</f>
        <v/>
      </c>
      <c r="R2414" s="35" t="str">
        <f aca="false">IF($Q2414=1,$O2414-ROW()/100000,"")</f>
        <v/>
      </c>
      <c r="S2414" s="37" t="str">
        <f aca="false">IF($A2414="","",INT($A2414))</f>
        <v/>
      </c>
      <c r="T2414" s="35" t="str">
        <f aca="false">IF($A2414="","",IF(COUNTIFS($S$3:$S2414,$S2414)=1,1,0))</f>
        <v/>
      </c>
      <c r="U2414" s="37" t="str">
        <f aca="false">IF($T2414=1,$S2414,"")</f>
        <v/>
      </c>
    </row>
    <row r="2415" customFormat="false" ht="15" hidden="false" customHeight="false" outlineLevel="0" collapsed="false">
      <c r="M2415" s="35" t="str">
        <f aca="false">IF($A2415="","",HOUR($A2415))</f>
        <v/>
      </c>
      <c r="N2415" s="36" t="str">
        <f aca="false">IF($A2415="","",$I2415*$K2415)</f>
        <v/>
      </c>
      <c r="O2415" s="35" t="str">
        <f aca="false">IF(OR($A2415="",$C2415="U",$S2415&lt;&gt;Calc!$F$2),"",SUMIFS($I$3:$I$3002,$E$3:$E$3002,$E2415,$C$3:$C$3002,"&lt;&gt;U",$S$3:$S$3002,Calc!$F$2))</f>
        <v/>
      </c>
      <c r="P2415" s="35" t="str">
        <f aca="false">IF(OR($A2415="",$C2415="U",$S2415&lt;&gt;Calc!$F$2),"",SUMIFS($N$3:$N$3002,$E$3:$E$3002,$E2415,$C$3:$C$3002,"&lt;&gt;U",$S$3:$S$3002,Calc!$F$2))</f>
        <v/>
      </c>
      <c r="Q2415" s="35" t="str">
        <f aca="false">IF(OR($A2415="",$C2415="U",$S2415&lt;&gt;Calc!$F$2),"",IF(COUNTIFS($E$3:$E2415,$E2415,$C$3:$C2415,"&lt;&gt;U",$S$3:$S2415,Calc!$F$2)=1,1,0))</f>
        <v/>
      </c>
      <c r="R2415" s="35" t="str">
        <f aca="false">IF($Q2415=1,$O2415-ROW()/100000,"")</f>
        <v/>
      </c>
      <c r="S2415" s="37" t="str">
        <f aca="false">IF($A2415="","",INT($A2415))</f>
        <v/>
      </c>
      <c r="T2415" s="35" t="str">
        <f aca="false">IF($A2415="","",IF(COUNTIFS($S$3:$S2415,$S2415)=1,1,0))</f>
        <v/>
      </c>
      <c r="U2415" s="37" t="str">
        <f aca="false">IF($T2415=1,$S2415,"")</f>
        <v/>
      </c>
    </row>
    <row r="2416" customFormat="false" ht="15" hidden="false" customHeight="false" outlineLevel="0" collapsed="false">
      <c r="M2416" s="35" t="str">
        <f aca="false">IF($A2416="","",HOUR($A2416))</f>
        <v/>
      </c>
      <c r="N2416" s="36" t="str">
        <f aca="false">IF($A2416="","",$I2416*$K2416)</f>
        <v/>
      </c>
      <c r="O2416" s="35" t="str">
        <f aca="false">IF(OR($A2416="",$C2416="U",$S2416&lt;&gt;Calc!$F$2),"",SUMIFS($I$3:$I$3002,$E$3:$E$3002,$E2416,$C$3:$C$3002,"&lt;&gt;U",$S$3:$S$3002,Calc!$F$2))</f>
        <v/>
      </c>
      <c r="P2416" s="35" t="str">
        <f aca="false">IF(OR($A2416="",$C2416="U",$S2416&lt;&gt;Calc!$F$2),"",SUMIFS($N$3:$N$3002,$E$3:$E$3002,$E2416,$C$3:$C$3002,"&lt;&gt;U",$S$3:$S$3002,Calc!$F$2))</f>
        <v/>
      </c>
      <c r="Q2416" s="35" t="str">
        <f aca="false">IF(OR($A2416="",$C2416="U",$S2416&lt;&gt;Calc!$F$2),"",IF(COUNTIFS($E$3:$E2416,$E2416,$C$3:$C2416,"&lt;&gt;U",$S$3:$S2416,Calc!$F$2)=1,1,0))</f>
        <v/>
      </c>
      <c r="R2416" s="35" t="str">
        <f aca="false">IF($Q2416=1,$O2416-ROW()/100000,"")</f>
        <v/>
      </c>
      <c r="S2416" s="37" t="str">
        <f aca="false">IF($A2416="","",INT($A2416))</f>
        <v/>
      </c>
      <c r="T2416" s="35" t="str">
        <f aca="false">IF($A2416="","",IF(COUNTIFS($S$3:$S2416,$S2416)=1,1,0))</f>
        <v/>
      </c>
      <c r="U2416" s="37" t="str">
        <f aca="false">IF($T2416=1,$S2416,"")</f>
        <v/>
      </c>
    </row>
    <row r="2417" customFormat="false" ht="15" hidden="false" customHeight="false" outlineLevel="0" collapsed="false">
      <c r="M2417" s="35" t="str">
        <f aca="false">IF($A2417="","",HOUR($A2417))</f>
        <v/>
      </c>
      <c r="N2417" s="36" t="str">
        <f aca="false">IF($A2417="","",$I2417*$K2417)</f>
        <v/>
      </c>
      <c r="O2417" s="35" t="str">
        <f aca="false">IF(OR($A2417="",$C2417="U",$S2417&lt;&gt;Calc!$F$2),"",SUMIFS($I$3:$I$3002,$E$3:$E$3002,$E2417,$C$3:$C$3002,"&lt;&gt;U",$S$3:$S$3002,Calc!$F$2))</f>
        <v/>
      </c>
      <c r="P2417" s="35" t="str">
        <f aca="false">IF(OR($A2417="",$C2417="U",$S2417&lt;&gt;Calc!$F$2),"",SUMIFS($N$3:$N$3002,$E$3:$E$3002,$E2417,$C$3:$C$3002,"&lt;&gt;U",$S$3:$S$3002,Calc!$F$2))</f>
        <v/>
      </c>
      <c r="Q2417" s="35" t="str">
        <f aca="false">IF(OR($A2417="",$C2417="U",$S2417&lt;&gt;Calc!$F$2),"",IF(COUNTIFS($E$3:$E2417,$E2417,$C$3:$C2417,"&lt;&gt;U",$S$3:$S2417,Calc!$F$2)=1,1,0))</f>
        <v/>
      </c>
      <c r="R2417" s="35" t="str">
        <f aca="false">IF($Q2417=1,$O2417-ROW()/100000,"")</f>
        <v/>
      </c>
      <c r="S2417" s="37" t="str">
        <f aca="false">IF($A2417="","",INT($A2417))</f>
        <v/>
      </c>
      <c r="T2417" s="35" t="str">
        <f aca="false">IF($A2417="","",IF(COUNTIFS($S$3:$S2417,$S2417)=1,1,0))</f>
        <v/>
      </c>
      <c r="U2417" s="37" t="str">
        <f aca="false">IF($T2417=1,$S2417,"")</f>
        <v/>
      </c>
    </row>
    <row r="2418" customFormat="false" ht="15" hidden="false" customHeight="false" outlineLevel="0" collapsed="false">
      <c r="M2418" s="35" t="str">
        <f aca="false">IF($A2418="","",HOUR($A2418))</f>
        <v/>
      </c>
      <c r="N2418" s="36" t="str">
        <f aca="false">IF($A2418="","",$I2418*$K2418)</f>
        <v/>
      </c>
      <c r="O2418" s="35" t="str">
        <f aca="false">IF(OR($A2418="",$C2418="U",$S2418&lt;&gt;Calc!$F$2),"",SUMIFS($I$3:$I$3002,$E$3:$E$3002,$E2418,$C$3:$C$3002,"&lt;&gt;U",$S$3:$S$3002,Calc!$F$2))</f>
        <v/>
      </c>
      <c r="P2418" s="35" t="str">
        <f aca="false">IF(OR($A2418="",$C2418="U",$S2418&lt;&gt;Calc!$F$2),"",SUMIFS($N$3:$N$3002,$E$3:$E$3002,$E2418,$C$3:$C$3002,"&lt;&gt;U",$S$3:$S$3002,Calc!$F$2))</f>
        <v/>
      </c>
      <c r="Q2418" s="35" t="str">
        <f aca="false">IF(OR($A2418="",$C2418="U",$S2418&lt;&gt;Calc!$F$2),"",IF(COUNTIFS($E$3:$E2418,$E2418,$C$3:$C2418,"&lt;&gt;U",$S$3:$S2418,Calc!$F$2)=1,1,0))</f>
        <v/>
      </c>
      <c r="R2418" s="35" t="str">
        <f aca="false">IF($Q2418=1,$O2418-ROW()/100000,"")</f>
        <v/>
      </c>
      <c r="S2418" s="37" t="str">
        <f aca="false">IF($A2418="","",INT($A2418))</f>
        <v/>
      </c>
      <c r="T2418" s="35" t="str">
        <f aca="false">IF($A2418="","",IF(COUNTIFS($S$3:$S2418,$S2418)=1,1,0))</f>
        <v/>
      </c>
      <c r="U2418" s="37" t="str">
        <f aca="false">IF($T2418=1,$S2418,"")</f>
        <v/>
      </c>
    </row>
    <row r="2419" customFormat="false" ht="15" hidden="false" customHeight="false" outlineLevel="0" collapsed="false">
      <c r="M2419" s="35" t="str">
        <f aca="false">IF($A2419="","",HOUR($A2419))</f>
        <v/>
      </c>
      <c r="N2419" s="36" t="str">
        <f aca="false">IF($A2419="","",$I2419*$K2419)</f>
        <v/>
      </c>
      <c r="O2419" s="35" t="str">
        <f aca="false">IF(OR($A2419="",$C2419="U",$S2419&lt;&gt;Calc!$F$2),"",SUMIFS($I$3:$I$3002,$E$3:$E$3002,$E2419,$C$3:$C$3002,"&lt;&gt;U",$S$3:$S$3002,Calc!$F$2))</f>
        <v/>
      </c>
      <c r="P2419" s="35" t="str">
        <f aca="false">IF(OR($A2419="",$C2419="U",$S2419&lt;&gt;Calc!$F$2),"",SUMIFS($N$3:$N$3002,$E$3:$E$3002,$E2419,$C$3:$C$3002,"&lt;&gt;U",$S$3:$S$3002,Calc!$F$2))</f>
        <v/>
      </c>
      <c r="Q2419" s="35" t="str">
        <f aca="false">IF(OR($A2419="",$C2419="U",$S2419&lt;&gt;Calc!$F$2),"",IF(COUNTIFS($E$3:$E2419,$E2419,$C$3:$C2419,"&lt;&gt;U",$S$3:$S2419,Calc!$F$2)=1,1,0))</f>
        <v/>
      </c>
      <c r="R2419" s="35" t="str">
        <f aca="false">IF($Q2419=1,$O2419-ROW()/100000,"")</f>
        <v/>
      </c>
      <c r="S2419" s="37" t="str">
        <f aca="false">IF($A2419="","",INT($A2419))</f>
        <v/>
      </c>
      <c r="T2419" s="35" t="str">
        <f aca="false">IF($A2419="","",IF(COUNTIFS($S$3:$S2419,$S2419)=1,1,0))</f>
        <v/>
      </c>
      <c r="U2419" s="37" t="str">
        <f aca="false">IF($T2419=1,$S2419,"")</f>
        <v/>
      </c>
    </row>
    <row r="2420" customFormat="false" ht="15" hidden="false" customHeight="false" outlineLevel="0" collapsed="false">
      <c r="M2420" s="35" t="str">
        <f aca="false">IF($A2420="","",HOUR($A2420))</f>
        <v/>
      </c>
      <c r="N2420" s="36" t="str">
        <f aca="false">IF($A2420="","",$I2420*$K2420)</f>
        <v/>
      </c>
      <c r="O2420" s="35" t="str">
        <f aca="false">IF(OR($A2420="",$C2420="U",$S2420&lt;&gt;Calc!$F$2),"",SUMIFS($I$3:$I$3002,$E$3:$E$3002,$E2420,$C$3:$C$3002,"&lt;&gt;U",$S$3:$S$3002,Calc!$F$2))</f>
        <v/>
      </c>
      <c r="P2420" s="35" t="str">
        <f aca="false">IF(OR($A2420="",$C2420="U",$S2420&lt;&gt;Calc!$F$2),"",SUMIFS($N$3:$N$3002,$E$3:$E$3002,$E2420,$C$3:$C$3002,"&lt;&gt;U",$S$3:$S$3002,Calc!$F$2))</f>
        <v/>
      </c>
      <c r="Q2420" s="35" t="str">
        <f aca="false">IF(OR($A2420="",$C2420="U",$S2420&lt;&gt;Calc!$F$2),"",IF(COUNTIFS($E$3:$E2420,$E2420,$C$3:$C2420,"&lt;&gt;U",$S$3:$S2420,Calc!$F$2)=1,1,0))</f>
        <v/>
      </c>
      <c r="R2420" s="35" t="str">
        <f aca="false">IF($Q2420=1,$O2420-ROW()/100000,"")</f>
        <v/>
      </c>
      <c r="S2420" s="37" t="str">
        <f aca="false">IF($A2420="","",INT($A2420))</f>
        <v/>
      </c>
      <c r="T2420" s="35" t="str">
        <f aca="false">IF($A2420="","",IF(COUNTIFS($S$3:$S2420,$S2420)=1,1,0))</f>
        <v/>
      </c>
      <c r="U2420" s="37" t="str">
        <f aca="false">IF($T2420=1,$S2420,"")</f>
        <v/>
      </c>
    </row>
    <row r="2421" customFormat="false" ht="15" hidden="false" customHeight="false" outlineLevel="0" collapsed="false">
      <c r="M2421" s="35" t="str">
        <f aca="false">IF($A2421="","",HOUR($A2421))</f>
        <v/>
      </c>
      <c r="N2421" s="36" t="str">
        <f aca="false">IF($A2421="","",$I2421*$K2421)</f>
        <v/>
      </c>
      <c r="O2421" s="35" t="str">
        <f aca="false">IF(OR($A2421="",$C2421="U",$S2421&lt;&gt;Calc!$F$2),"",SUMIFS($I$3:$I$3002,$E$3:$E$3002,$E2421,$C$3:$C$3002,"&lt;&gt;U",$S$3:$S$3002,Calc!$F$2))</f>
        <v/>
      </c>
      <c r="P2421" s="35" t="str">
        <f aca="false">IF(OR($A2421="",$C2421="U",$S2421&lt;&gt;Calc!$F$2),"",SUMIFS($N$3:$N$3002,$E$3:$E$3002,$E2421,$C$3:$C$3002,"&lt;&gt;U",$S$3:$S$3002,Calc!$F$2))</f>
        <v/>
      </c>
      <c r="Q2421" s="35" t="str">
        <f aca="false">IF(OR($A2421="",$C2421="U",$S2421&lt;&gt;Calc!$F$2),"",IF(COUNTIFS($E$3:$E2421,$E2421,$C$3:$C2421,"&lt;&gt;U",$S$3:$S2421,Calc!$F$2)=1,1,0))</f>
        <v/>
      </c>
      <c r="R2421" s="35" t="str">
        <f aca="false">IF($Q2421=1,$O2421-ROW()/100000,"")</f>
        <v/>
      </c>
      <c r="S2421" s="37" t="str">
        <f aca="false">IF($A2421="","",INT($A2421))</f>
        <v/>
      </c>
      <c r="T2421" s="35" t="str">
        <f aca="false">IF($A2421="","",IF(COUNTIFS($S$3:$S2421,$S2421)=1,1,0))</f>
        <v/>
      </c>
      <c r="U2421" s="37" t="str">
        <f aca="false">IF($T2421=1,$S2421,"")</f>
        <v/>
      </c>
    </row>
    <row r="2422" customFormat="false" ht="15" hidden="false" customHeight="false" outlineLevel="0" collapsed="false">
      <c r="M2422" s="35" t="str">
        <f aca="false">IF($A2422="","",HOUR($A2422))</f>
        <v/>
      </c>
      <c r="N2422" s="36" t="str">
        <f aca="false">IF($A2422="","",$I2422*$K2422)</f>
        <v/>
      </c>
      <c r="O2422" s="35" t="str">
        <f aca="false">IF(OR($A2422="",$C2422="U",$S2422&lt;&gt;Calc!$F$2),"",SUMIFS($I$3:$I$3002,$E$3:$E$3002,$E2422,$C$3:$C$3002,"&lt;&gt;U",$S$3:$S$3002,Calc!$F$2))</f>
        <v/>
      </c>
      <c r="P2422" s="35" t="str">
        <f aca="false">IF(OR($A2422="",$C2422="U",$S2422&lt;&gt;Calc!$F$2),"",SUMIFS($N$3:$N$3002,$E$3:$E$3002,$E2422,$C$3:$C$3002,"&lt;&gt;U",$S$3:$S$3002,Calc!$F$2))</f>
        <v/>
      </c>
      <c r="Q2422" s="35" t="str">
        <f aca="false">IF(OR($A2422="",$C2422="U",$S2422&lt;&gt;Calc!$F$2),"",IF(COUNTIFS($E$3:$E2422,$E2422,$C$3:$C2422,"&lt;&gt;U",$S$3:$S2422,Calc!$F$2)=1,1,0))</f>
        <v/>
      </c>
      <c r="R2422" s="35" t="str">
        <f aca="false">IF($Q2422=1,$O2422-ROW()/100000,"")</f>
        <v/>
      </c>
      <c r="S2422" s="37" t="str">
        <f aca="false">IF($A2422="","",INT($A2422))</f>
        <v/>
      </c>
      <c r="T2422" s="35" t="str">
        <f aca="false">IF($A2422="","",IF(COUNTIFS($S$3:$S2422,$S2422)=1,1,0))</f>
        <v/>
      </c>
      <c r="U2422" s="37" t="str">
        <f aca="false">IF($T2422=1,$S2422,"")</f>
        <v/>
      </c>
    </row>
    <row r="2423" customFormat="false" ht="15" hidden="false" customHeight="false" outlineLevel="0" collapsed="false">
      <c r="M2423" s="35" t="str">
        <f aca="false">IF($A2423="","",HOUR($A2423))</f>
        <v/>
      </c>
      <c r="N2423" s="36" t="str">
        <f aca="false">IF($A2423="","",$I2423*$K2423)</f>
        <v/>
      </c>
      <c r="O2423" s="35" t="str">
        <f aca="false">IF(OR($A2423="",$C2423="U",$S2423&lt;&gt;Calc!$F$2),"",SUMIFS($I$3:$I$3002,$E$3:$E$3002,$E2423,$C$3:$C$3002,"&lt;&gt;U",$S$3:$S$3002,Calc!$F$2))</f>
        <v/>
      </c>
      <c r="P2423" s="35" t="str">
        <f aca="false">IF(OR($A2423="",$C2423="U",$S2423&lt;&gt;Calc!$F$2),"",SUMIFS($N$3:$N$3002,$E$3:$E$3002,$E2423,$C$3:$C$3002,"&lt;&gt;U",$S$3:$S$3002,Calc!$F$2))</f>
        <v/>
      </c>
      <c r="Q2423" s="35" t="str">
        <f aca="false">IF(OR($A2423="",$C2423="U",$S2423&lt;&gt;Calc!$F$2),"",IF(COUNTIFS($E$3:$E2423,$E2423,$C$3:$C2423,"&lt;&gt;U",$S$3:$S2423,Calc!$F$2)=1,1,0))</f>
        <v/>
      </c>
      <c r="R2423" s="35" t="str">
        <f aca="false">IF($Q2423=1,$O2423-ROW()/100000,"")</f>
        <v/>
      </c>
      <c r="S2423" s="37" t="str">
        <f aca="false">IF($A2423="","",INT($A2423))</f>
        <v/>
      </c>
      <c r="T2423" s="35" t="str">
        <f aca="false">IF($A2423="","",IF(COUNTIFS($S$3:$S2423,$S2423)=1,1,0))</f>
        <v/>
      </c>
      <c r="U2423" s="37" t="str">
        <f aca="false">IF($T2423=1,$S2423,"")</f>
        <v/>
      </c>
    </row>
    <row r="2424" customFormat="false" ht="15" hidden="false" customHeight="false" outlineLevel="0" collapsed="false">
      <c r="M2424" s="35" t="str">
        <f aca="false">IF($A2424="","",HOUR($A2424))</f>
        <v/>
      </c>
      <c r="N2424" s="36" t="str">
        <f aca="false">IF($A2424="","",$I2424*$K2424)</f>
        <v/>
      </c>
      <c r="O2424" s="35" t="str">
        <f aca="false">IF(OR($A2424="",$C2424="U",$S2424&lt;&gt;Calc!$F$2),"",SUMIFS($I$3:$I$3002,$E$3:$E$3002,$E2424,$C$3:$C$3002,"&lt;&gt;U",$S$3:$S$3002,Calc!$F$2))</f>
        <v/>
      </c>
      <c r="P2424" s="35" t="str">
        <f aca="false">IF(OR($A2424="",$C2424="U",$S2424&lt;&gt;Calc!$F$2),"",SUMIFS($N$3:$N$3002,$E$3:$E$3002,$E2424,$C$3:$C$3002,"&lt;&gt;U",$S$3:$S$3002,Calc!$F$2))</f>
        <v/>
      </c>
      <c r="Q2424" s="35" t="str">
        <f aca="false">IF(OR($A2424="",$C2424="U",$S2424&lt;&gt;Calc!$F$2),"",IF(COUNTIFS($E$3:$E2424,$E2424,$C$3:$C2424,"&lt;&gt;U",$S$3:$S2424,Calc!$F$2)=1,1,0))</f>
        <v/>
      </c>
      <c r="R2424" s="35" t="str">
        <f aca="false">IF($Q2424=1,$O2424-ROW()/100000,"")</f>
        <v/>
      </c>
      <c r="S2424" s="37" t="str">
        <f aca="false">IF($A2424="","",INT($A2424))</f>
        <v/>
      </c>
      <c r="T2424" s="35" t="str">
        <f aca="false">IF($A2424="","",IF(COUNTIFS($S$3:$S2424,$S2424)=1,1,0))</f>
        <v/>
      </c>
      <c r="U2424" s="37" t="str">
        <f aca="false">IF($T2424=1,$S2424,"")</f>
        <v/>
      </c>
    </row>
    <row r="2425" customFormat="false" ht="15" hidden="false" customHeight="false" outlineLevel="0" collapsed="false">
      <c r="M2425" s="35" t="str">
        <f aca="false">IF($A2425="","",HOUR($A2425))</f>
        <v/>
      </c>
      <c r="N2425" s="36" t="str">
        <f aca="false">IF($A2425="","",$I2425*$K2425)</f>
        <v/>
      </c>
      <c r="O2425" s="35" t="str">
        <f aca="false">IF(OR($A2425="",$C2425="U",$S2425&lt;&gt;Calc!$F$2),"",SUMIFS($I$3:$I$3002,$E$3:$E$3002,$E2425,$C$3:$C$3002,"&lt;&gt;U",$S$3:$S$3002,Calc!$F$2))</f>
        <v/>
      </c>
      <c r="P2425" s="35" t="str">
        <f aca="false">IF(OR($A2425="",$C2425="U",$S2425&lt;&gt;Calc!$F$2),"",SUMIFS($N$3:$N$3002,$E$3:$E$3002,$E2425,$C$3:$C$3002,"&lt;&gt;U",$S$3:$S$3002,Calc!$F$2))</f>
        <v/>
      </c>
      <c r="Q2425" s="35" t="str">
        <f aca="false">IF(OR($A2425="",$C2425="U",$S2425&lt;&gt;Calc!$F$2),"",IF(COUNTIFS($E$3:$E2425,$E2425,$C$3:$C2425,"&lt;&gt;U",$S$3:$S2425,Calc!$F$2)=1,1,0))</f>
        <v/>
      </c>
      <c r="R2425" s="35" t="str">
        <f aca="false">IF($Q2425=1,$O2425-ROW()/100000,"")</f>
        <v/>
      </c>
      <c r="S2425" s="37" t="str">
        <f aca="false">IF($A2425="","",INT($A2425))</f>
        <v/>
      </c>
      <c r="T2425" s="35" t="str">
        <f aca="false">IF($A2425="","",IF(COUNTIFS($S$3:$S2425,$S2425)=1,1,0))</f>
        <v/>
      </c>
      <c r="U2425" s="37" t="str">
        <f aca="false">IF($T2425=1,$S2425,"")</f>
        <v/>
      </c>
    </row>
    <row r="2426" customFormat="false" ht="15" hidden="false" customHeight="false" outlineLevel="0" collapsed="false">
      <c r="M2426" s="35" t="str">
        <f aca="false">IF($A2426="","",HOUR($A2426))</f>
        <v/>
      </c>
      <c r="N2426" s="36" t="str">
        <f aca="false">IF($A2426="","",$I2426*$K2426)</f>
        <v/>
      </c>
      <c r="O2426" s="35" t="str">
        <f aca="false">IF(OR($A2426="",$C2426="U",$S2426&lt;&gt;Calc!$F$2),"",SUMIFS($I$3:$I$3002,$E$3:$E$3002,$E2426,$C$3:$C$3002,"&lt;&gt;U",$S$3:$S$3002,Calc!$F$2))</f>
        <v/>
      </c>
      <c r="P2426" s="35" t="str">
        <f aca="false">IF(OR($A2426="",$C2426="U",$S2426&lt;&gt;Calc!$F$2),"",SUMIFS($N$3:$N$3002,$E$3:$E$3002,$E2426,$C$3:$C$3002,"&lt;&gt;U",$S$3:$S$3002,Calc!$F$2))</f>
        <v/>
      </c>
      <c r="Q2426" s="35" t="str">
        <f aca="false">IF(OR($A2426="",$C2426="U",$S2426&lt;&gt;Calc!$F$2),"",IF(COUNTIFS($E$3:$E2426,$E2426,$C$3:$C2426,"&lt;&gt;U",$S$3:$S2426,Calc!$F$2)=1,1,0))</f>
        <v/>
      </c>
      <c r="R2426" s="35" t="str">
        <f aca="false">IF($Q2426=1,$O2426-ROW()/100000,"")</f>
        <v/>
      </c>
      <c r="S2426" s="37" t="str">
        <f aca="false">IF($A2426="","",INT($A2426))</f>
        <v/>
      </c>
      <c r="T2426" s="35" t="str">
        <f aca="false">IF($A2426="","",IF(COUNTIFS($S$3:$S2426,$S2426)=1,1,0))</f>
        <v/>
      </c>
      <c r="U2426" s="37" t="str">
        <f aca="false">IF($T2426=1,$S2426,"")</f>
        <v/>
      </c>
    </row>
    <row r="2427" customFormat="false" ht="15" hidden="false" customHeight="false" outlineLevel="0" collapsed="false">
      <c r="M2427" s="35" t="str">
        <f aca="false">IF($A2427="","",HOUR($A2427))</f>
        <v/>
      </c>
      <c r="N2427" s="36" t="str">
        <f aca="false">IF($A2427="","",$I2427*$K2427)</f>
        <v/>
      </c>
      <c r="O2427" s="35" t="str">
        <f aca="false">IF(OR($A2427="",$C2427="U",$S2427&lt;&gt;Calc!$F$2),"",SUMIFS($I$3:$I$3002,$E$3:$E$3002,$E2427,$C$3:$C$3002,"&lt;&gt;U",$S$3:$S$3002,Calc!$F$2))</f>
        <v/>
      </c>
      <c r="P2427" s="35" t="str">
        <f aca="false">IF(OR($A2427="",$C2427="U",$S2427&lt;&gt;Calc!$F$2),"",SUMIFS($N$3:$N$3002,$E$3:$E$3002,$E2427,$C$3:$C$3002,"&lt;&gt;U",$S$3:$S$3002,Calc!$F$2))</f>
        <v/>
      </c>
      <c r="Q2427" s="35" t="str">
        <f aca="false">IF(OR($A2427="",$C2427="U",$S2427&lt;&gt;Calc!$F$2),"",IF(COUNTIFS($E$3:$E2427,$E2427,$C$3:$C2427,"&lt;&gt;U",$S$3:$S2427,Calc!$F$2)=1,1,0))</f>
        <v/>
      </c>
      <c r="R2427" s="35" t="str">
        <f aca="false">IF($Q2427=1,$O2427-ROW()/100000,"")</f>
        <v/>
      </c>
      <c r="S2427" s="37" t="str">
        <f aca="false">IF($A2427="","",INT($A2427))</f>
        <v/>
      </c>
      <c r="T2427" s="35" t="str">
        <f aca="false">IF($A2427="","",IF(COUNTIFS($S$3:$S2427,$S2427)=1,1,0))</f>
        <v/>
      </c>
      <c r="U2427" s="37" t="str">
        <f aca="false">IF($T2427=1,$S2427,"")</f>
        <v/>
      </c>
    </row>
    <row r="2428" customFormat="false" ht="15" hidden="false" customHeight="false" outlineLevel="0" collapsed="false">
      <c r="M2428" s="35" t="str">
        <f aca="false">IF($A2428="","",HOUR($A2428))</f>
        <v/>
      </c>
      <c r="N2428" s="36" t="str">
        <f aca="false">IF($A2428="","",$I2428*$K2428)</f>
        <v/>
      </c>
      <c r="O2428" s="35" t="str">
        <f aca="false">IF(OR($A2428="",$C2428="U",$S2428&lt;&gt;Calc!$F$2),"",SUMIFS($I$3:$I$3002,$E$3:$E$3002,$E2428,$C$3:$C$3002,"&lt;&gt;U",$S$3:$S$3002,Calc!$F$2))</f>
        <v/>
      </c>
      <c r="P2428" s="35" t="str">
        <f aca="false">IF(OR($A2428="",$C2428="U",$S2428&lt;&gt;Calc!$F$2),"",SUMIFS($N$3:$N$3002,$E$3:$E$3002,$E2428,$C$3:$C$3002,"&lt;&gt;U",$S$3:$S$3002,Calc!$F$2))</f>
        <v/>
      </c>
      <c r="Q2428" s="35" t="str">
        <f aca="false">IF(OR($A2428="",$C2428="U",$S2428&lt;&gt;Calc!$F$2),"",IF(COUNTIFS($E$3:$E2428,$E2428,$C$3:$C2428,"&lt;&gt;U",$S$3:$S2428,Calc!$F$2)=1,1,0))</f>
        <v/>
      </c>
      <c r="R2428" s="35" t="str">
        <f aca="false">IF($Q2428=1,$O2428-ROW()/100000,"")</f>
        <v/>
      </c>
      <c r="S2428" s="37" t="str">
        <f aca="false">IF($A2428="","",INT($A2428))</f>
        <v/>
      </c>
      <c r="T2428" s="35" t="str">
        <f aca="false">IF($A2428="","",IF(COUNTIFS($S$3:$S2428,$S2428)=1,1,0))</f>
        <v/>
      </c>
      <c r="U2428" s="37" t="str">
        <f aca="false">IF($T2428=1,$S2428,"")</f>
        <v/>
      </c>
    </row>
    <row r="2429" customFormat="false" ht="15" hidden="false" customHeight="false" outlineLevel="0" collapsed="false">
      <c r="M2429" s="35" t="str">
        <f aca="false">IF($A2429="","",HOUR($A2429))</f>
        <v/>
      </c>
      <c r="N2429" s="36" t="str">
        <f aca="false">IF($A2429="","",$I2429*$K2429)</f>
        <v/>
      </c>
      <c r="O2429" s="35" t="str">
        <f aca="false">IF(OR($A2429="",$C2429="U",$S2429&lt;&gt;Calc!$F$2),"",SUMIFS($I$3:$I$3002,$E$3:$E$3002,$E2429,$C$3:$C$3002,"&lt;&gt;U",$S$3:$S$3002,Calc!$F$2))</f>
        <v/>
      </c>
      <c r="P2429" s="35" t="str">
        <f aca="false">IF(OR($A2429="",$C2429="U",$S2429&lt;&gt;Calc!$F$2),"",SUMIFS($N$3:$N$3002,$E$3:$E$3002,$E2429,$C$3:$C$3002,"&lt;&gt;U",$S$3:$S$3002,Calc!$F$2))</f>
        <v/>
      </c>
      <c r="Q2429" s="35" t="str">
        <f aca="false">IF(OR($A2429="",$C2429="U",$S2429&lt;&gt;Calc!$F$2),"",IF(COUNTIFS($E$3:$E2429,$E2429,$C$3:$C2429,"&lt;&gt;U",$S$3:$S2429,Calc!$F$2)=1,1,0))</f>
        <v/>
      </c>
      <c r="R2429" s="35" t="str">
        <f aca="false">IF($Q2429=1,$O2429-ROW()/100000,"")</f>
        <v/>
      </c>
      <c r="S2429" s="37" t="str">
        <f aca="false">IF($A2429="","",INT($A2429))</f>
        <v/>
      </c>
      <c r="T2429" s="35" t="str">
        <f aca="false">IF($A2429="","",IF(COUNTIFS($S$3:$S2429,$S2429)=1,1,0))</f>
        <v/>
      </c>
      <c r="U2429" s="37" t="str">
        <f aca="false">IF($T2429=1,$S2429,"")</f>
        <v/>
      </c>
    </row>
    <row r="2430" customFormat="false" ht="15" hidden="false" customHeight="false" outlineLevel="0" collapsed="false">
      <c r="M2430" s="35" t="str">
        <f aca="false">IF($A2430="","",HOUR($A2430))</f>
        <v/>
      </c>
      <c r="N2430" s="36" t="str">
        <f aca="false">IF($A2430="","",$I2430*$K2430)</f>
        <v/>
      </c>
      <c r="O2430" s="35" t="str">
        <f aca="false">IF(OR($A2430="",$C2430="U",$S2430&lt;&gt;Calc!$F$2),"",SUMIFS($I$3:$I$3002,$E$3:$E$3002,$E2430,$C$3:$C$3002,"&lt;&gt;U",$S$3:$S$3002,Calc!$F$2))</f>
        <v/>
      </c>
      <c r="P2430" s="35" t="str">
        <f aca="false">IF(OR($A2430="",$C2430="U",$S2430&lt;&gt;Calc!$F$2),"",SUMIFS($N$3:$N$3002,$E$3:$E$3002,$E2430,$C$3:$C$3002,"&lt;&gt;U",$S$3:$S$3002,Calc!$F$2))</f>
        <v/>
      </c>
      <c r="Q2430" s="35" t="str">
        <f aca="false">IF(OR($A2430="",$C2430="U",$S2430&lt;&gt;Calc!$F$2),"",IF(COUNTIFS($E$3:$E2430,$E2430,$C$3:$C2430,"&lt;&gt;U",$S$3:$S2430,Calc!$F$2)=1,1,0))</f>
        <v/>
      </c>
      <c r="R2430" s="35" t="str">
        <f aca="false">IF($Q2430=1,$O2430-ROW()/100000,"")</f>
        <v/>
      </c>
      <c r="S2430" s="37" t="str">
        <f aca="false">IF($A2430="","",INT($A2430))</f>
        <v/>
      </c>
      <c r="T2430" s="35" t="str">
        <f aca="false">IF($A2430="","",IF(COUNTIFS($S$3:$S2430,$S2430)=1,1,0))</f>
        <v/>
      </c>
      <c r="U2430" s="37" t="str">
        <f aca="false">IF($T2430=1,$S2430,"")</f>
        <v/>
      </c>
    </row>
    <row r="2431" customFormat="false" ht="15" hidden="false" customHeight="false" outlineLevel="0" collapsed="false">
      <c r="M2431" s="35" t="str">
        <f aca="false">IF($A2431="","",HOUR($A2431))</f>
        <v/>
      </c>
      <c r="N2431" s="36" t="str">
        <f aca="false">IF($A2431="","",$I2431*$K2431)</f>
        <v/>
      </c>
      <c r="O2431" s="35" t="str">
        <f aca="false">IF(OR($A2431="",$C2431="U",$S2431&lt;&gt;Calc!$F$2),"",SUMIFS($I$3:$I$3002,$E$3:$E$3002,$E2431,$C$3:$C$3002,"&lt;&gt;U",$S$3:$S$3002,Calc!$F$2))</f>
        <v/>
      </c>
      <c r="P2431" s="35" t="str">
        <f aca="false">IF(OR($A2431="",$C2431="U",$S2431&lt;&gt;Calc!$F$2),"",SUMIFS($N$3:$N$3002,$E$3:$E$3002,$E2431,$C$3:$C$3002,"&lt;&gt;U",$S$3:$S$3002,Calc!$F$2))</f>
        <v/>
      </c>
      <c r="Q2431" s="35" t="str">
        <f aca="false">IF(OR($A2431="",$C2431="U",$S2431&lt;&gt;Calc!$F$2),"",IF(COUNTIFS($E$3:$E2431,$E2431,$C$3:$C2431,"&lt;&gt;U",$S$3:$S2431,Calc!$F$2)=1,1,0))</f>
        <v/>
      </c>
      <c r="R2431" s="35" t="str">
        <f aca="false">IF($Q2431=1,$O2431-ROW()/100000,"")</f>
        <v/>
      </c>
      <c r="S2431" s="37" t="str">
        <f aca="false">IF($A2431="","",INT($A2431))</f>
        <v/>
      </c>
      <c r="T2431" s="35" t="str">
        <f aca="false">IF($A2431="","",IF(COUNTIFS($S$3:$S2431,$S2431)=1,1,0))</f>
        <v/>
      </c>
      <c r="U2431" s="37" t="str">
        <f aca="false">IF($T2431=1,$S2431,"")</f>
        <v/>
      </c>
    </row>
    <row r="2432" customFormat="false" ht="15" hidden="false" customHeight="false" outlineLevel="0" collapsed="false">
      <c r="M2432" s="35" t="str">
        <f aca="false">IF($A2432="","",HOUR($A2432))</f>
        <v/>
      </c>
      <c r="N2432" s="36" t="str">
        <f aca="false">IF($A2432="","",$I2432*$K2432)</f>
        <v/>
      </c>
      <c r="O2432" s="35" t="str">
        <f aca="false">IF(OR($A2432="",$C2432="U",$S2432&lt;&gt;Calc!$F$2),"",SUMIFS($I$3:$I$3002,$E$3:$E$3002,$E2432,$C$3:$C$3002,"&lt;&gt;U",$S$3:$S$3002,Calc!$F$2))</f>
        <v/>
      </c>
      <c r="P2432" s="35" t="str">
        <f aca="false">IF(OR($A2432="",$C2432="U",$S2432&lt;&gt;Calc!$F$2),"",SUMIFS($N$3:$N$3002,$E$3:$E$3002,$E2432,$C$3:$C$3002,"&lt;&gt;U",$S$3:$S$3002,Calc!$F$2))</f>
        <v/>
      </c>
      <c r="Q2432" s="35" t="str">
        <f aca="false">IF(OR($A2432="",$C2432="U",$S2432&lt;&gt;Calc!$F$2),"",IF(COUNTIFS($E$3:$E2432,$E2432,$C$3:$C2432,"&lt;&gt;U",$S$3:$S2432,Calc!$F$2)=1,1,0))</f>
        <v/>
      </c>
      <c r="R2432" s="35" t="str">
        <f aca="false">IF($Q2432=1,$O2432-ROW()/100000,"")</f>
        <v/>
      </c>
      <c r="S2432" s="37" t="str">
        <f aca="false">IF($A2432="","",INT($A2432))</f>
        <v/>
      </c>
      <c r="T2432" s="35" t="str">
        <f aca="false">IF($A2432="","",IF(COUNTIFS($S$3:$S2432,$S2432)=1,1,0))</f>
        <v/>
      </c>
      <c r="U2432" s="37" t="str">
        <f aca="false">IF($T2432=1,$S2432,"")</f>
        <v/>
      </c>
    </row>
    <row r="2433" customFormat="false" ht="15" hidden="false" customHeight="false" outlineLevel="0" collapsed="false">
      <c r="M2433" s="35" t="str">
        <f aca="false">IF($A2433="","",HOUR($A2433))</f>
        <v/>
      </c>
      <c r="N2433" s="36" t="str">
        <f aca="false">IF($A2433="","",$I2433*$K2433)</f>
        <v/>
      </c>
      <c r="O2433" s="35" t="str">
        <f aca="false">IF(OR($A2433="",$C2433="U",$S2433&lt;&gt;Calc!$F$2),"",SUMIFS($I$3:$I$3002,$E$3:$E$3002,$E2433,$C$3:$C$3002,"&lt;&gt;U",$S$3:$S$3002,Calc!$F$2))</f>
        <v/>
      </c>
      <c r="P2433" s="35" t="str">
        <f aca="false">IF(OR($A2433="",$C2433="U",$S2433&lt;&gt;Calc!$F$2),"",SUMIFS($N$3:$N$3002,$E$3:$E$3002,$E2433,$C$3:$C$3002,"&lt;&gt;U",$S$3:$S$3002,Calc!$F$2))</f>
        <v/>
      </c>
      <c r="Q2433" s="35" t="str">
        <f aca="false">IF(OR($A2433="",$C2433="U",$S2433&lt;&gt;Calc!$F$2),"",IF(COUNTIFS($E$3:$E2433,$E2433,$C$3:$C2433,"&lt;&gt;U",$S$3:$S2433,Calc!$F$2)=1,1,0))</f>
        <v/>
      </c>
      <c r="R2433" s="35" t="str">
        <f aca="false">IF($Q2433=1,$O2433-ROW()/100000,"")</f>
        <v/>
      </c>
      <c r="S2433" s="37" t="str">
        <f aca="false">IF($A2433="","",INT($A2433))</f>
        <v/>
      </c>
      <c r="T2433" s="35" t="str">
        <f aca="false">IF($A2433="","",IF(COUNTIFS($S$3:$S2433,$S2433)=1,1,0))</f>
        <v/>
      </c>
      <c r="U2433" s="37" t="str">
        <f aca="false">IF($T2433=1,$S2433,"")</f>
        <v/>
      </c>
    </row>
    <row r="2434" customFormat="false" ht="15" hidden="false" customHeight="false" outlineLevel="0" collapsed="false">
      <c r="M2434" s="35" t="str">
        <f aca="false">IF($A2434="","",HOUR($A2434))</f>
        <v/>
      </c>
      <c r="N2434" s="36" t="str">
        <f aca="false">IF($A2434="","",$I2434*$K2434)</f>
        <v/>
      </c>
      <c r="O2434" s="35" t="str">
        <f aca="false">IF(OR($A2434="",$C2434="U",$S2434&lt;&gt;Calc!$F$2),"",SUMIFS($I$3:$I$3002,$E$3:$E$3002,$E2434,$C$3:$C$3002,"&lt;&gt;U",$S$3:$S$3002,Calc!$F$2))</f>
        <v/>
      </c>
      <c r="P2434" s="35" t="str">
        <f aca="false">IF(OR($A2434="",$C2434="U",$S2434&lt;&gt;Calc!$F$2),"",SUMIFS($N$3:$N$3002,$E$3:$E$3002,$E2434,$C$3:$C$3002,"&lt;&gt;U",$S$3:$S$3002,Calc!$F$2))</f>
        <v/>
      </c>
      <c r="Q2434" s="35" t="str">
        <f aca="false">IF(OR($A2434="",$C2434="U",$S2434&lt;&gt;Calc!$F$2),"",IF(COUNTIFS($E$3:$E2434,$E2434,$C$3:$C2434,"&lt;&gt;U",$S$3:$S2434,Calc!$F$2)=1,1,0))</f>
        <v/>
      </c>
      <c r="R2434" s="35" t="str">
        <f aca="false">IF($Q2434=1,$O2434-ROW()/100000,"")</f>
        <v/>
      </c>
      <c r="S2434" s="37" t="str">
        <f aca="false">IF($A2434="","",INT($A2434))</f>
        <v/>
      </c>
      <c r="T2434" s="35" t="str">
        <f aca="false">IF($A2434="","",IF(COUNTIFS($S$3:$S2434,$S2434)=1,1,0))</f>
        <v/>
      </c>
      <c r="U2434" s="37" t="str">
        <f aca="false">IF($T2434=1,$S2434,"")</f>
        <v/>
      </c>
    </row>
    <row r="2435" customFormat="false" ht="15" hidden="false" customHeight="false" outlineLevel="0" collapsed="false">
      <c r="M2435" s="35" t="str">
        <f aca="false">IF($A2435="","",HOUR($A2435))</f>
        <v/>
      </c>
      <c r="N2435" s="36" t="str">
        <f aca="false">IF($A2435="","",$I2435*$K2435)</f>
        <v/>
      </c>
      <c r="O2435" s="35" t="str">
        <f aca="false">IF(OR($A2435="",$C2435="U",$S2435&lt;&gt;Calc!$F$2),"",SUMIFS($I$3:$I$3002,$E$3:$E$3002,$E2435,$C$3:$C$3002,"&lt;&gt;U",$S$3:$S$3002,Calc!$F$2))</f>
        <v/>
      </c>
      <c r="P2435" s="35" t="str">
        <f aca="false">IF(OR($A2435="",$C2435="U",$S2435&lt;&gt;Calc!$F$2),"",SUMIFS($N$3:$N$3002,$E$3:$E$3002,$E2435,$C$3:$C$3002,"&lt;&gt;U",$S$3:$S$3002,Calc!$F$2))</f>
        <v/>
      </c>
      <c r="Q2435" s="35" t="str">
        <f aca="false">IF(OR($A2435="",$C2435="U",$S2435&lt;&gt;Calc!$F$2),"",IF(COUNTIFS($E$3:$E2435,$E2435,$C$3:$C2435,"&lt;&gt;U",$S$3:$S2435,Calc!$F$2)=1,1,0))</f>
        <v/>
      </c>
      <c r="R2435" s="35" t="str">
        <f aca="false">IF($Q2435=1,$O2435-ROW()/100000,"")</f>
        <v/>
      </c>
      <c r="S2435" s="37" t="str">
        <f aca="false">IF($A2435="","",INT($A2435))</f>
        <v/>
      </c>
      <c r="T2435" s="35" t="str">
        <f aca="false">IF($A2435="","",IF(COUNTIFS($S$3:$S2435,$S2435)=1,1,0))</f>
        <v/>
      </c>
      <c r="U2435" s="37" t="str">
        <f aca="false">IF($T2435=1,$S2435,"")</f>
        <v/>
      </c>
    </row>
    <row r="2436" customFormat="false" ht="15" hidden="false" customHeight="false" outlineLevel="0" collapsed="false">
      <c r="M2436" s="35" t="str">
        <f aca="false">IF($A2436="","",HOUR($A2436))</f>
        <v/>
      </c>
      <c r="N2436" s="36" t="str">
        <f aca="false">IF($A2436="","",$I2436*$K2436)</f>
        <v/>
      </c>
      <c r="O2436" s="35" t="str">
        <f aca="false">IF(OR($A2436="",$C2436="U",$S2436&lt;&gt;Calc!$F$2),"",SUMIFS($I$3:$I$3002,$E$3:$E$3002,$E2436,$C$3:$C$3002,"&lt;&gt;U",$S$3:$S$3002,Calc!$F$2))</f>
        <v/>
      </c>
      <c r="P2436" s="35" t="str">
        <f aca="false">IF(OR($A2436="",$C2436="U",$S2436&lt;&gt;Calc!$F$2),"",SUMIFS($N$3:$N$3002,$E$3:$E$3002,$E2436,$C$3:$C$3002,"&lt;&gt;U",$S$3:$S$3002,Calc!$F$2))</f>
        <v/>
      </c>
      <c r="Q2436" s="35" t="str">
        <f aca="false">IF(OR($A2436="",$C2436="U",$S2436&lt;&gt;Calc!$F$2),"",IF(COUNTIFS($E$3:$E2436,$E2436,$C$3:$C2436,"&lt;&gt;U",$S$3:$S2436,Calc!$F$2)=1,1,0))</f>
        <v/>
      </c>
      <c r="R2436" s="35" t="str">
        <f aca="false">IF($Q2436=1,$O2436-ROW()/100000,"")</f>
        <v/>
      </c>
      <c r="S2436" s="37" t="str">
        <f aca="false">IF($A2436="","",INT($A2436))</f>
        <v/>
      </c>
      <c r="T2436" s="35" t="str">
        <f aca="false">IF($A2436="","",IF(COUNTIFS($S$3:$S2436,$S2436)=1,1,0))</f>
        <v/>
      </c>
      <c r="U2436" s="37" t="str">
        <f aca="false">IF($T2436=1,$S2436,"")</f>
        <v/>
      </c>
    </row>
    <row r="2437" customFormat="false" ht="15" hidden="false" customHeight="false" outlineLevel="0" collapsed="false">
      <c r="M2437" s="35" t="str">
        <f aca="false">IF($A2437="","",HOUR($A2437))</f>
        <v/>
      </c>
      <c r="N2437" s="36" t="str">
        <f aca="false">IF($A2437="","",$I2437*$K2437)</f>
        <v/>
      </c>
      <c r="O2437" s="35" t="str">
        <f aca="false">IF(OR($A2437="",$C2437="U",$S2437&lt;&gt;Calc!$F$2),"",SUMIFS($I$3:$I$3002,$E$3:$E$3002,$E2437,$C$3:$C$3002,"&lt;&gt;U",$S$3:$S$3002,Calc!$F$2))</f>
        <v/>
      </c>
      <c r="P2437" s="35" t="str">
        <f aca="false">IF(OR($A2437="",$C2437="U",$S2437&lt;&gt;Calc!$F$2),"",SUMIFS($N$3:$N$3002,$E$3:$E$3002,$E2437,$C$3:$C$3002,"&lt;&gt;U",$S$3:$S$3002,Calc!$F$2))</f>
        <v/>
      </c>
      <c r="Q2437" s="35" t="str">
        <f aca="false">IF(OR($A2437="",$C2437="U",$S2437&lt;&gt;Calc!$F$2),"",IF(COUNTIFS($E$3:$E2437,$E2437,$C$3:$C2437,"&lt;&gt;U",$S$3:$S2437,Calc!$F$2)=1,1,0))</f>
        <v/>
      </c>
      <c r="R2437" s="35" t="str">
        <f aca="false">IF($Q2437=1,$O2437-ROW()/100000,"")</f>
        <v/>
      </c>
      <c r="S2437" s="37" t="str">
        <f aca="false">IF($A2437="","",INT($A2437))</f>
        <v/>
      </c>
      <c r="T2437" s="35" t="str">
        <f aca="false">IF($A2437="","",IF(COUNTIFS($S$3:$S2437,$S2437)=1,1,0))</f>
        <v/>
      </c>
      <c r="U2437" s="37" t="str">
        <f aca="false">IF($T2437=1,$S2437,"")</f>
        <v/>
      </c>
    </row>
    <row r="2438" customFormat="false" ht="15" hidden="false" customHeight="false" outlineLevel="0" collapsed="false">
      <c r="M2438" s="35" t="str">
        <f aca="false">IF($A2438="","",HOUR($A2438))</f>
        <v/>
      </c>
      <c r="N2438" s="36" t="str">
        <f aca="false">IF($A2438="","",$I2438*$K2438)</f>
        <v/>
      </c>
      <c r="O2438" s="35" t="str">
        <f aca="false">IF(OR($A2438="",$C2438="U",$S2438&lt;&gt;Calc!$F$2),"",SUMIFS($I$3:$I$3002,$E$3:$E$3002,$E2438,$C$3:$C$3002,"&lt;&gt;U",$S$3:$S$3002,Calc!$F$2))</f>
        <v/>
      </c>
      <c r="P2438" s="35" t="str">
        <f aca="false">IF(OR($A2438="",$C2438="U",$S2438&lt;&gt;Calc!$F$2),"",SUMIFS($N$3:$N$3002,$E$3:$E$3002,$E2438,$C$3:$C$3002,"&lt;&gt;U",$S$3:$S$3002,Calc!$F$2))</f>
        <v/>
      </c>
      <c r="Q2438" s="35" t="str">
        <f aca="false">IF(OR($A2438="",$C2438="U",$S2438&lt;&gt;Calc!$F$2),"",IF(COUNTIFS($E$3:$E2438,$E2438,$C$3:$C2438,"&lt;&gt;U",$S$3:$S2438,Calc!$F$2)=1,1,0))</f>
        <v/>
      </c>
      <c r="R2438" s="35" t="str">
        <f aca="false">IF($Q2438=1,$O2438-ROW()/100000,"")</f>
        <v/>
      </c>
      <c r="S2438" s="37" t="str">
        <f aca="false">IF($A2438="","",INT($A2438))</f>
        <v/>
      </c>
      <c r="T2438" s="35" t="str">
        <f aca="false">IF($A2438="","",IF(COUNTIFS($S$3:$S2438,$S2438)=1,1,0))</f>
        <v/>
      </c>
      <c r="U2438" s="37" t="str">
        <f aca="false">IF($T2438=1,$S2438,"")</f>
        <v/>
      </c>
    </row>
    <row r="2439" customFormat="false" ht="15" hidden="false" customHeight="false" outlineLevel="0" collapsed="false">
      <c r="M2439" s="35" t="str">
        <f aca="false">IF($A2439="","",HOUR($A2439))</f>
        <v/>
      </c>
      <c r="N2439" s="36" t="str">
        <f aca="false">IF($A2439="","",$I2439*$K2439)</f>
        <v/>
      </c>
      <c r="O2439" s="35" t="str">
        <f aca="false">IF(OR($A2439="",$C2439="U",$S2439&lt;&gt;Calc!$F$2),"",SUMIFS($I$3:$I$3002,$E$3:$E$3002,$E2439,$C$3:$C$3002,"&lt;&gt;U",$S$3:$S$3002,Calc!$F$2))</f>
        <v/>
      </c>
      <c r="P2439" s="35" t="str">
        <f aca="false">IF(OR($A2439="",$C2439="U",$S2439&lt;&gt;Calc!$F$2),"",SUMIFS($N$3:$N$3002,$E$3:$E$3002,$E2439,$C$3:$C$3002,"&lt;&gt;U",$S$3:$S$3002,Calc!$F$2))</f>
        <v/>
      </c>
      <c r="Q2439" s="35" t="str">
        <f aca="false">IF(OR($A2439="",$C2439="U",$S2439&lt;&gt;Calc!$F$2),"",IF(COUNTIFS($E$3:$E2439,$E2439,$C$3:$C2439,"&lt;&gt;U",$S$3:$S2439,Calc!$F$2)=1,1,0))</f>
        <v/>
      </c>
      <c r="R2439" s="35" t="str">
        <f aca="false">IF($Q2439=1,$O2439-ROW()/100000,"")</f>
        <v/>
      </c>
      <c r="S2439" s="37" t="str">
        <f aca="false">IF($A2439="","",INT($A2439))</f>
        <v/>
      </c>
      <c r="T2439" s="35" t="str">
        <f aca="false">IF($A2439="","",IF(COUNTIFS($S$3:$S2439,$S2439)=1,1,0))</f>
        <v/>
      </c>
      <c r="U2439" s="37" t="str">
        <f aca="false">IF($T2439=1,$S2439,"")</f>
        <v/>
      </c>
    </row>
    <row r="2440" customFormat="false" ht="15" hidden="false" customHeight="false" outlineLevel="0" collapsed="false">
      <c r="M2440" s="35" t="str">
        <f aca="false">IF($A2440="","",HOUR($A2440))</f>
        <v/>
      </c>
      <c r="N2440" s="36" t="str">
        <f aca="false">IF($A2440="","",$I2440*$K2440)</f>
        <v/>
      </c>
      <c r="O2440" s="35" t="str">
        <f aca="false">IF(OR($A2440="",$C2440="U",$S2440&lt;&gt;Calc!$F$2),"",SUMIFS($I$3:$I$3002,$E$3:$E$3002,$E2440,$C$3:$C$3002,"&lt;&gt;U",$S$3:$S$3002,Calc!$F$2))</f>
        <v/>
      </c>
      <c r="P2440" s="35" t="str">
        <f aca="false">IF(OR($A2440="",$C2440="U",$S2440&lt;&gt;Calc!$F$2),"",SUMIFS($N$3:$N$3002,$E$3:$E$3002,$E2440,$C$3:$C$3002,"&lt;&gt;U",$S$3:$S$3002,Calc!$F$2))</f>
        <v/>
      </c>
      <c r="Q2440" s="35" t="str">
        <f aca="false">IF(OR($A2440="",$C2440="U",$S2440&lt;&gt;Calc!$F$2),"",IF(COUNTIFS($E$3:$E2440,$E2440,$C$3:$C2440,"&lt;&gt;U",$S$3:$S2440,Calc!$F$2)=1,1,0))</f>
        <v/>
      </c>
      <c r="R2440" s="35" t="str">
        <f aca="false">IF($Q2440=1,$O2440-ROW()/100000,"")</f>
        <v/>
      </c>
      <c r="S2440" s="37" t="str">
        <f aca="false">IF($A2440="","",INT($A2440))</f>
        <v/>
      </c>
      <c r="T2440" s="35" t="str">
        <f aca="false">IF($A2440="","",IF(COUNTIFS($S$3:$S2440,$S2440)=1,1,0))</f>
        <v/>
      </c>
      <c r="U2440" s="37" t="str">
        <f aca="false">IF($T2440=1,$S2440,"")</f>
        <v/>
      </c>
    </row>
    <row r="2441" customFormat="false" ht="15" hidden="false" customHeight="false" outlineLevel="0" collapsed="false">
      <c r="M2441" s="35" t="str">
        <f aca="false">IF($A2441="","",HOUR($A2441))</f>
        <v/>
      </c>
      <c r="N2441" s="36" t="str">
        <f aca="false">IF($A2441="","",$I2441*$K2441)</f>
        <v/>
      </c>
      <c r="O2441" s="35" t="str">
        <f aca="false">IF(OR($A2441="",$C2441="U",$S2441&lt;&gt;Calc!$F$2),"",SUMIFS($I$3:$I$3002,$E$3:$E$3002,$E2441,$C$3:$C$3002,"&lt;&gt;U",$S$3:$S$3002,Calc!$F$2))</f>
        <v/>
      </c>
      <c r="P2441" s="35" t="str">
        <f aca="false">IF(OR($A2441="",$C2441="U",$S2441&lt;&gt;Calc!$F$2),"",SUMIFS($N$3:$N$3002,$E$3:$E$3002,$E2441,$C$3:$C$3002,"&lt;&gt;U",$S$3:$S$3002,Calc!$F$2))</f>
        <v/>
      </c>
      <c r="Q2441" s="35" t="str">
        <f aca="false">IF(OR($A2441="",$C2441="U",$S2441&lt;&gt;Calc!$F$2),"",IF(COUNTIFS($E$3:$E2441,$E2441,$C$3:$C2441,"&lt;&gt;U",$S$3:$S2441,Calc!$F$2)=1,1,0))</f>
        <v/>
      </c>
      <c r="R2441" s="35" t="str">
        <f aca="false">IF($Q2441=1,$O2441-ROW()/100000,"")</f>
        <v/>
      </c>
      <c r="S2441" s="37" t="str">
        <f aca="false">IF($A2441="","",INT($A2441))</f>
        <v/>
      </c>
      <c r="T2441" s="35" t="str">
        <f aca="false">IF($A2441="","",IF(COUNTIFS($S$3:$S2441,$S2441)=1,1,0))</f>
        <v/>
      </c>
      <c r="U2441" s="37" t="str">
        <f aca="false">IF($T2441=1,$S2441,"")</f>
        <v/>
      </c>
    </row>
    <row r="2442" customFormat="false" ht="15" hidden="false" customHeight="false" outlineLevel="0" collapsed="false">
      <c r="M2442" s="35" t="str">
        <f aca="false">IF($A2442="","",HOUR($A2442))</f>
        <v/>
      </c>
      <c r="N2442" s="36" t="str">
        <f aca="false">IF($A2442="","",$I2442*$K2442)</f>
        <v/>
      </c>
      <c r="O2442" s="35" t="str">
        <f aca="false">IF(OR($A2442="",$C2442="U",$S2442&lt;&gt;Calc!$F$2),"",SUMIFS($I$3:$I$3002,$E$3:$E$3002,$E2442,$C$3:$C$3002,"&lt;&gt;U",$S$3:$S$3002,Calc!$F$2))</f>
        <v/>
      </c>
      <c r="P2442" s="35" t="str">
        <f aca="false">IF(OR($A2442="",$C2442="U",$S2442&lt;&gt;Calc!$F$2),"",SUMIFS($N$3:$N$3002,$E$3:$E$3002,$E2442,$C$3:$C$3002,"&lt;&gt;U",$S$3:$S$3002,Calc!$F$2))</f>
        <v/>
      </c>
      <c r="Q2442" s="35" t="str">
        <f aca="false">IF(OR($A2442="",$C2442="U",$S2442&lt;&gt;Calc!$F$2),"",IF(COUNTIFS($E$3:$E2442,$E2442,$C$3:$C2442,"&lt;&gt;U",$S$3:$S2442,Calc!$F$2)=1,1,0))</f>
        <v/>
      </c>
      <c r="R2442" s="35" t="str">
        <f aca="false">IF($Q2442=1,$O2442-ROW()/100000,"")</f>
        <v/>
      </c>
      <c r="S2442" s="37" t="str">
        <f aca="false">IF($A2442="","",INT($A2442))</f>
        <v/>
      </c>
      <c r="T2442" s="35" t="str">
        <f aca="false">IF($A2442="","",IF(COUNTIFS($S$3:$S2442,$S2442)=1,1,0))</f>
        <v/>
      </c>
      <c r="U2442" s="37" t="str">
        <f aca="false">IF($T2442=1,$S2442,"")</f>
        <v/>
      </c>
    </row>
    <row r="2443" customFormat="false" ht="15" hidden="false" customHeight="false" outlineLevel="0" collapsed="false">
      <c r="M2443" s="35" t="str">
        <f aca="false">IF($A2443="","",HOUR($A2443))</f>
        <v/>
      </c>
      <c r="N2443" s="36" t="str">
        <f aca="false">IF($A2443="","",$I2443*$K2443)</f>
        <v/>
      </c>
      <c r="O2443" s="35" t="str">
        <f aca="false">IF(OR($A2443="",$C2443="U",$S2443&lt;&gt;Calc!$F$2),"",SUMIFS($I$3:$I$3002,$E$3:$E$3002,$E2443,$C$3:$C$3002,"&lt;&gt;U",$S$3:$S$3002,Calc!$F$2))</f>
        <v/>
      </c>
      <c r="P2443" s="35" t="str">
        <f aca="false">IF(OR($A2443="",$C2443="U",$S2443&lt;&gt;Calc!$F$2),"",SUMIFS($N$3:$N$3002,$E$3:$E$3002,$E2443,$C$3:$C$3002,"&lt;&gt;U",$S$3:$S$3002,Calc!$F$2))</f>
        <v/>
      </c>
      <c r="Q2443" s="35" t="str">
        <f aca="false">IF(OR($A2443="",$C2443="U",$S2443&lt;&gt;Calc!$F$2),"",IF(COUNTIFS($E$3:$E2443,$E2443,$C$3:$C2443,"&lt;&gt;U",$S$3:$S2443,Calc!$F$2)=1,1,0))</f>
        <v/>
      </c>
      <c r="R2443" s="35" t="str">
        <f aca="false">IF($Q2443=1,$O2443-ROW()/100000,"")</f>
        <v/>
      </c>
      <c r="S2443" s="37" t="str">
        <f aca="false">IF($A2443="","",INT($A2443))</f>
        <v/>
      </c>
      <c r="T2443" s="35" t="str">
        <f aca="false">IF($A2443="","",IF(COUNTIFS($S$3:$S2443,$S2443)=1,1,0))</f>
        <v/>
      </c>
      <c r="U2443" s="37" t="str">
        <f aca="false">IF($T2443=1,$S2443,"")</f>
        <v/>
      </c>
    </row>
    <row r="2444" customFormat="false" ht="15" hidden="false" customHeight="false" outlineLevel="0" collapsed="false">
      <c r="M2444" s="35" t="str">
        <f aca="false">IF($A2444="","",HOUR($A2444))</f>
        <v/>
      </c>
      <c r="N2444" s="36" t="str">
        <f aca="false">IF($A2444="","",$I2444*$K2444)</f>
        <v/>
      </c>
      <c r="O2444" s="35" t="str">
        <f aca="false">IF(OR($A2444="",$C2444="U",$S2444&lt;&gt;Calc!$F$2),"",SUMIFS($I$3:$I$3002,$E$3:$E$3002,$E2444,$C$3:$C$3002,"&lt;&gt;U",$S$3:$S$3002,Calc!$F$2))</f>
        <v/>
      </c>
      <c r="P2444" s="35" t="str">
        <f aca="false">IF(OR($A2444="",$C2444="U",$S2444&lt;&gt;Calc!$F$2),"",SUMIFS($N$3:$N$3002,$E$3:$E$3002,$E2444,$C$3:$C$3002,"&lt;&gt;U",$S$3:$S$3002,Calc!$F$2))</f>
        <v/>
      </c>
      <c r="Q2444" s="35" t="str">
        <f aca="false">IF(OR($A2444="",$C2444="U",$S2444&lt;&gt;Calc!$F$2),"",IF(COUNTIFS($E$3:$E2444,$E2444,$C$3:$C2444,"&lt;&gt;U",$S$3:$S2444,Calc!$F$2)=1,1,0))</f>
        <v/>
      </c>
      <c r="R2444" s="35" t="str">
        <f aca="false">IF($Q2444=1,$O2444-ROW()/100000,"")</f>
        <v/>
      </c>
      <c r="S2444" s="37" t="str">
        <f aca="false">IF($A2444="","",INT($A2444))</f>
        <v/>
      </c>
      <c r="T2444" s="35" t="str">
        <f aca="false">IF($A2444="","",IF(COUNTIFS($S$3:$S2444,$S2444)=1,1,0))</f>
        <v/>
      </c>
      <c r="U2444" s="37" t="str">
        <f aca="false">IF($T2444=1,$S2444,"")</f>
        <v/>
      </c>
    </row>
    <row r="2445" customFormat="false" ht="15" hidden="false" customHeight="false" outlineLevel="0" collapsed="false">
      <c r="M2445" s="35" t="str">
        <f aca="false">IF($A2445="","",HOUR($A2445))</f>
        <v/>
      </c>
      <c r="N2445" s="36" t="str">
        <f aca="false">IF($A2445="","",$I2445*$K2445)</f>
        <v/>
      </c>
      <c r="O2445" s="35" t="str">
        <f aca="false">IF(OR($A2445="",$C2445="U",$S2445&lt;&gt;Calc!$F$2),"",SUMIFS($I$3:$I$3002,$E$3:$E$3002,$E2445,$C$3:$C$3002,"&lt;&gt;U",$S$3:$S$3002,Calc!$F$2))</f>
        <v/>
      </c>
      <c r="P2445" s="35" t="str">
        <f aca="false">IF(OR($A2445="",$C2445="U",$S2445&lt;&gt;Calc!$F$2),"",SUMIFS($N$3:$N$3002,$E$3:$E$3002,$E2445,$C$3:$C$3002,"&lt;&gt;U",$S$3:$S$3002,Calc!$F$2))</f>
        <v/>
      </c>
      <c r="Q2445" s="35" t="str">
        <f aca="false">IF(OR($A2445="",$C2445="U",$S2445&lt;&gt;Calc!$F$2),"",IF(COUNTIFS($E$3:$E2445,$E2445,$C$3:$C2445,"&lt;&gt;U",$S$3:$S2445,Calc!$F$2)=1,1,0))</f>
        <v/>
      </c>
      <c r="R2445" s="35" t="str">
        <f aca="false">IF($Q2445=1,$O2445-ROW()/100000,"")</f>
        <v/>
      </c>
      <c r="S2445" s="37" t="str">
        <f aca="false">IF($A2445="","",INT($A2445))</f>
        <v/>
      </c>
      <c r="T2445" s="35" t="str">
        <f aca="false">IF($A2445="","",IF(COUNTIFS($S$3:$S2445,$S2445)=1,1,0))</f>
        <v/>
      </c>
      <c r="U2445" s="37" t="str">
        <f aca="false">IF($T2445=1,$S2445,"")</f>
        <v/>
      </c>
    </row>
    <row r="2446" customFormat="false" ht="15" hidden="false" customHeight="false" outlineLevel="0" collapsed="false">
      <c r="M2446" s="35" t="str">
        <f aca="false">IF($A2446="","",HOUR($A2446))</f>
        <v/>
      </c>
      <c r="N2446" s="36" t="str">
        <f aca="false">IF($A2446="","",$I2446*$K2446)</f>
        <v/>
      </c>
      <c r="O2446" s="35" t="str">
        <f aca="false">IF(OR($A2446="",$C2446="U",$S2446&lt;&gt;Calc!$F$2),"",SUMIFS($I$3:$I$3002,$E$3:$E$3002,$E2446,$C$3:$C$3002,"&lt;&gt;U",$S$3:$S$3002,Calc!$F$2))</f>
        <v/>
      </c>
      <c r="P2446" s="35" t="str">
        <f aca="false">IF(OR($A2446="",$C2446="U",$S2446&lt;&gt;Calc!$F$2),"",SUMIFS($N$3:$N$3002,$E$3:$E$3002,$E2446,$C$3:$C$3002,"&lt;&gt;U",$S$3:$S$3002,Calc!$F$2))</f>
        <v/>
      </c>
      <c r="Q2446" s="35" t="str">
        <f aca="false">IF(OR($A2446="",$C2446="U",$S2446&lt;&gt;Calc!$F$2),"",IF(COUNTIFS($E$3:$E2446,$E2446,$C$3:$C2446,"&lt;&gt;U",$S$3:$S2446,Calc!$F$2)=1,1,0))</f>
        <v/>
      </c>
      <c r="R2446" s="35" t="str">
        <f aca="false">IF($Q2446=1,$O2446-ROW()/100000,"")</f>
        <v/>
      </c>
      <c r="S2446" s="37" t="str">
        <f aca="false">IF($A2446="","",INT($A2446))</f>
        <v/>
      </c>
      <c r="T2446" s="35" t="str">
        <f aca="false">IF($A2446="","",IF(COUNTIFS($S$3:$S2446,$S2446)=1,1,0))</f>
        <v/>
      </c>
      <c r="U2446" s="37" t="str">
        <f aca="false">IF($T2446=1,$S2446,"")</f>
        <v/>
      </c>
    </row>
    <row r="2447" customFormat="false" ht="15" hidden="false" customHeight="false" outlineLevel="0" collapsed="false">
      <c r="M2447" s="35" t="str">
        <f aca="false">IF($A2447="","",HOUR($A2447))</f>
        <v/>
      </c>
      <c r="N2447" s="36" t="str">
        <f aca="false">IF($A2447="","",$I2447*$K2447)</f>
        <v/>
      </c>
      <c r="O2447" s="35" t="str">
        <f aca="false">IF(OR($A2447="",$C2447="U",$S2447&lt;&gt;Calc!$F$2),"",SUMIFS($I$3:$I$3002,$E$3:$E$3002,$E2447,$C$3:$C$3002,"&lt;&gt;U",$S$3:$S$3002,Calc!$F$2))</f>
        <v/>
      </c>
      <c r="P2447" s="35" t="str">
        <f aca="false">IF(OR($A2447="",$C2447="U",$S2447&lt;&gt;Calc!$F$2),"",SUMIFS($N$3:$N$3002,$E$3:$E$3002,$E2447,$C$3:$C$3002,"&lt;&gt;U",$S$3:$S$3002,Calc!$F$2))</f>
        <v/>
      </c>
      <c r="Q2447" s="35" t="str">
        <f aca="false">IF(OR($A2447="",$C2447="U",$S2447&lt;&gt;Calc!$F$2),"",IF(COUNTIFS($E$3:$E2447,$E2447,$C$3:$C2447,"&lt;&gt;U",$S$3:$S2447,Calc!$F$2)=1,1,0))</f>
        <v/>
      </c>
      <c r="R2447" s="35" t="str">
        <f aca="false">IF($Q2447=1,$O2447-ROW()/100000,"")</f>
        <v/>
      </c>
      <c r="S2447" s="37" t="str">
        <f aca="false">IF($A2447="","",INT($A2447))</f>
        <v/>
      </c>
      <c r="T2447" s="35" t="str">
        <f aca="false">IF($A2447="","",IF(COUNTIFS($S$3:$S2447,$S2447)=1,1,0))</f>
        <v/>
      </c>
      <c r="U2447" s="37" t="str">
        <f aca="false">IF($T2447=1,$S2447,"")</f>
        <v/>
      </c>
    </row>
    <row r="2448" customFormat="false" ht="15" hidden="false" customHeight="false" outlineLevel="0" collapsed="false">
      <c r="M2448" s="35" t="str">
        <f aca="false">IF($A2448="","",HOUR($A2448))</f>
        <v/>
      </c>
      <c r="N2448" s="36" t="str">
        <f aca="false">IF($A2448="","",$I2448*$K2448)</f>
        <v/>
      </c>
      <c r="O2448" s="35" t="str">
        <f aca="false">IF(OR($A2448="",$C2448="U",$S2448&lt;&gt;Calc!$F$2),"",SUMIFS($I$3:$I$3002,$E$3:$E$3002,$E2448,$C$3:$C$3002,"&lt;&gt;U",$S$3:$S$3002,Calc!$F$2))</f>
        <v/>
      </c>
      <c r="P2448" s="35" t="str">
        <f aca="false">IF(OR($A2448="",$C2448="U",$S2448&lt;&gt;Calc!$F$2),"",SUMIFS($N$3:$N$3002,$E$3:$E$3002,$E2448,$C$3:$C$3002,"&lt;&gt;U",$S$3:$S$3002,Calc!$F$2))</f>
        <v/>
      </c>
      <c r="Q2448" s="35" t="str">
        <f aca="false">IF(OR($A2448="",$C2448="U",$S2448&lt;&gt;Calc!$F$2),"",IF(COUNTIFS($E$3:$E2448,$E2448,$C$3:$C2448,"&lt;&gt;U",$S$3:$S2448,Calc!$F$2)=1,1,0))</f>
        <v/>
      </c>
      <c r="R2448" s="35" t="str">
        <f aca="false">IF($Q2448=1,$O2448-ROW()/100000,"")</f>
        <v/>
      </c>
      <c r="S2448" s="37" t="str">
        <f aca="false">IF($A2448="","",INT($A2448))</f>
        <v/>
      </c>
      <c r="T2448" s="35" t="str">
        <f aca="false">IF($A2448="","",IF(COUNTIFS($S$3:$S2448,$S2448)=1,1,0))</f>
        <v/>
      </c>
      <c r="U2448" s="37" t="str">
        <f aca="false">IF($T2448=1,$S2448,"")</f>
        <v/>
      </c>
    </row>
    <row r="2449" customFormat="false" ht="15" hidden="false" customHeight="false" outlineLevel="0" collapsed="false">
      <c r="M2449" s="35" t="str">
        <f aca="false">IF($A2449="","",HOUR($A2449))</f>
        <v/>
      </c>
      <c r="N2449" s="36" t="str">
        <f aca="false">IF($A2449="","",$I2449*$K2449)</f>
        <v/>
      </c>
      <c r="O2449" s="35" t="str">
        <f aca="false">IF(OR($A2449="",$C2449="U",$S2449&lt;&gt;Calc!$F$2),"",SUMIFS($I$3:$I$3002,$E$3:$E$3002,$E2449,$C$3:$C$3002,"&lt;&gt;U",$S$3:$S$3002,Calc!$F$2))</f>
        <v/>
      </c>
      <c r="P2449" s="35" t="str">
        <f aca="false">IF(OR($A2449="",$C2449="U",$S2449&lt;&gt;Calc!$F$2),"",SUMIFS($N$3:$N$3002,$E$3:$E$3002,$E2449,$C$3:$C$3002,"&lt;&gt;U",$S$3:$S$3002,Calc!$F$2))</f>
        <v/>
      </c>
      <c r="Q2449" s="35" t="str">
        <f aca="false">IF(OR($A2449="",$C2449="U",$S2449&lt;&gt;Calc!$F$2),"",IF(COUNTIFS($E$3:$E2449,$E2449,$C$3:$C2449,"&lt;&gt;U",$S$3:$S2449,Calc!$F$2)=1,1,0))</f>
        <v/>
      </c>
      <c r="R2449" s="35" t="str">
        <f aca="false">IF($Q2449=1,$O2449-ROW()/100000,"")</f>
        <v/>
      </c>
      <c r="S2449" s="37" t="str">
        <f aca="false">IF($A2449="","",INT($A2449))</f>
        <v/>
      </c>
      <c r="T2449" s="35" t="str">
        <f aca="false">IF($A2449="","",IF(COUNTIFS($S$3:$S2449,$S2449)=1,1,0))</f>
        <v/>
      </c>
      <c r="U2449" s="37" t="str">
        <f aca="false">IF($T2449=1,$S2449,"")</f>
        <v/>
      </c>
    </row>
    <row r="2450" customFormat="false" ht="15" hidden="false" customHeight="false" outlineLevel="0" collapsed="false">
      <c r="M2450" s="35" t="str">
        <f aca="false">IF($A2450="","",HOUR($A2450))</f>
        <v/>
      </c>
      <c r="N2450" s="36" t="str">
        <f aca="false">IF($A2450="","",$I2450*$K2450)</f>
        <v/>
      </c>
      <c r="O2450" s="35" t="str">
        <f aca="false">IF(OR($A2450="",$C2450="U",$S2450&lt;&gt;Calc!$F$2),"",SUMIFS($I$3:$I$3002,$E$3:$E$3002,$E2450,$C$3:$C$3002,"&lt;&gt;U",$S$3:$S$3002,Calc!$F$2))</f>
        <v/>
      </c>
      <c r="P2450" s="35" t="str">
        <f aca="false">IF(OR($A2450="",$C2450="U",$S2450&lt;&gt;Calc!$F$2),"",SUMIFS($N$3:$N$3002,$E$3:$E$3002,$E2450,$C$3:$C$3002,"&lt;&gt;U",$S$3:$S$3002,Calc!$F$2))</f>
        <v/>
      </c>
      <c r="Q2450" s="35" t="str">
        <f aca="false">IF(OR($A2450="",$C2450="U",$S2450&lt;&gt;Calc!$F$2),"",IF(COUNTIFS($E$3:$E2450,$E2450,$C$3:$C2450,"&lt;&gt;U",$S$3:$S2450,Calc!$F$2)=1,1,0))</f>
        <v/>
      </c>
      <c r="R2450" s="35" t="str">
        <f aca="false">IF($Q2450=1,$O2450-ROW()/100000,"")</f>
        <v/>
      </c>
      <c r="S2450" s="37" t="str">
        <f aca="false">IF($A2450="","",INT($A2450))</f>
        <v/>
      </c>
      <c r="T2450" s="35" t="str">
        <f aca="false">IF($A2450="","",IF(COUNTIFS($S$3:$S2450,$S2450)=1,1,0))</f>
        <v/>
      </c>
      <c r="U2450" s="37" t="str">
        <f aca="false">IF($T2450=1,$S2450,"")</f>
        <v/>
      </c>
    </row>
    <row r="2451" customFormat="false" ht="15" hidden="false" customHeight="false" outlineLevel="0" collapsed="false">
      <c r="M2451" s="35" t="str">
        <f aca="false">IF($A2451="","",HOUR($A2451))</f>
        <v/>
      </c>
      <c r="N2451" s="36" t="str">
        <f aca="false">IF($A2451="","",$I2451*$K2451)</f>
        <v/>
      </c>
      <c r="O2451" s="35" t="str">
        <f aca="false">IF(OR($A2451="",$C2451="U",$S2451&lt;&gt;Calc!$F$2),"",SUMIFS($I$3:$I$3002,$E$3:$E$3002,$E2451,$C$3:$C$3002,"&lt;&gt;U",$S$3:$S$3002,Calc!$F$2))</f>
        <v/>
      </c>
      <c r="P2451" s="35" t="str">
        <f aca="false">IF(OR($A2451="",$C2451="U",$S2451&lt;&gt;Calc!$F$2),"",SUMIFS($N$3:$N$3002,$E$3:$E$3002,$E2451,$C$3:$C$3002,"&lt;&gt;U",$S$3:$S$3002,Calc!$F$2))</f>
        <v/>
      </c>
      <c r="Q2451" s="35" t="str">
        <f aca="false">IF(OR($A2451="",$C2451="U",$S2451&lt;&gt;Calc!$F$2),"",IF(COUNTIFS($E$3:$E2451,$E2451,$C$3:$C2451,"&lt;&gt;U",$S$3:$S2451,Calc!$F$2)=1,1,0))</f>
        <v/>
      </c>
      <c r="R2451" s="35" t="str">
        <f aca="false">IF($Q2451=1,$O2451-ROW()/100000,"")</f>
        <v/>
      </c>
      <c r="S2451" s="37" t="str">
        <f aca="false">IF($A2451="","",INT($A2451))</f>
        <v/>
      </c>
      <c r="T2451" s="35" t="str">
        <f aca="false">IF($A2451="","",IF(COUNTIFS($S$3:$S2451,$S2451)=1,1,0))</f>
        <v/>
      </c>
      <c r="U2451" s="37" t="str">
        <f aca="false">IF($T2451=1,$S2451,"")</f>
        <v/>
      </c>
    </row>
    <row r="2452" customFormat="false" ht="15" hidden="false" customHeight="false" outlineLevel="0" collapsed="false">
      <c r="M2452" s="35" t="str">
        <f aca="false">IF($A2452="","",HOUR($A2452))</f>
        <v/>
      </c>
      <c r="N2452" s="36" t="str">
        <f aca="false">IF($A2452="","",$I2452*$K2452)</f>
        <v/>
      </c>
      <c r="O2452" s="35" t="str">
        <f aca="false">IF(OR($A2452="",$C2452="U",$S2452&lt;&gt;Calc!$F$2),"",SUMIFS($I$3:$I$3002,$E$3:$E$3002,$E2452,$C$3:$C$3002,"&lt;&gt;U",$S$3:$S$3002,Calc!$F$2))</f>
        <v/>
      </c>
      <c r="P2452" s="35" t="str">
        <f aca="false">IF(OR($A2452="",$C2452="U",$S2452&lt;&gt;Calc!$F$2),"",SUMIFS($N$3:$N$3002,$E$3:$E$3002,$E2452,$C$3:$C$3002,"&lt;&gt;U",$S$3:$S$3002,Calc!$F$2))</f>
        <v/>
      </c>
      <c r="Q2452" s="35" t="str">
        <f aca="false">IF(OR($A2452="",$C2452="U",$S2452&lt;&gt;Calc!$F$2),"",IF(COUNTIFS($E$3:$E2452,$E2452,$C$3:$C2452,"&lt;&gt;U",$S$3:$S2452,Calc!$F$2)=1,1,0))</f>
        <v/>
      </c>
      <c r="R2452" s="35" t="str">
        <f aca="false">IF($Q2452=1,$O2452-ROW()/100000,"")</f>
        <v/>
      </c>
      <c r="S2452" s="37" t="str">
        <f aca="false">IF($A2452="","",INT($A2452))</f>
        <v/>
      </c>
      <c r="T2452" s="35" t="str">
        <f aca="false">IF($A2452="","",IF(COUNTIFS($S$3:$S2452,$S2452)=1,1,0))</f>
        <v/>
      </c>
      <c r="U2452" s="37" t="str">
        <f aca="false">IF($T2452=1,$S2452,"")</f>
        <v/>
      </c>
    </row>
    <row r="2453" customFormat="false" ht="15" hidden="false" customHeight="false" outlineLevel="0" collapsed="false">
      <c r="M2453" s="35" t="str">
        <f aca="false">IF($A2453="","",HOUR($A2453))</f>
        <v/>
      </c>
      <c r="N2453" s="36" t="str">
        <f aca="false">IF($A2453="","",$I2453*$K2453)</f>
        <v/>
      </c>
      <c r="O2453" s="35" t="str">
        <f aca="false">IF(OR($A2453="",$C2453="U",$S2453&lt;&gt;Calc!$F$2),"",SUMIFS($I$3:$I$3002,$E$3:$E$3002,$E2453,$C$3:$C$3002,"&lt;&gt;U",$S$3:$S$3002,Calc!$F$2))</f>
        <v/>
      </c>
      <c r="P2453" s="35" t="str">
        <f aca="false">IF(OR($A2453="",$C2453="U",$S2453&lt;&gt;Calc!$F$2),"",SUMIFS($N$3:$N$3002,$E$3:$E$3002,$E2453,$C$3:$C$3002,"&lt;&gt;U",$S$3:$S$3002,Calc!$F$2))</f>
        <v/>
      </c>
      <c r="Q2453" s="35" t="str">
        <f aca="false">IF(OR($A2453="",$C2453="U",$S2453&lt;&gt;Calc!$F$2),"",IF(COUNTIFS($E$3:$E2453,$E2453,$C$3:$C2453,"&lt;&gt;U",$S$3:$S2453,Calc!$F$2)=1,1,0))</f>
        <v/>
      </c>
      <c r="R2453" s="35" t="str">
        <f aca="false">IF($Q2453=1,$O2453-ROW()/100000,"")</f>
        <v/>
      </c>
      <c r="S2453" s="37" t="str">
        <f aca="false">IF($A2453="","",INT($A2453))</f>
        <v/>
      </c>
      <c r="T2453" s="35" t="str">
        <f aca="false">IF($A2453="","",IF(COUNTIFS($S$3:$S2453,$S2453)=1,1,0))</f>
        <v/>
      </c>
      <c r="U2453" s="37" t="str">
        <f aca="false">IF($T2453=1,$S2453,"")</f>
        <v/>
      </c>
    </row>
    <row r="2454" customFormat="false" ht="15" hidden="false" customHeight="false" outlineLevel="0" collapsed="false">
      <c r="M2454" s="35" t="str">
        <f aca="false">IF($A2454="","",HOUR($A2454))</f>
        <v/>
      </c>
      <c r="N2454" s="36" t="str">
        <f aca="false">IF($A2454="","",$I2454*$K2454)</f>
        <v/>
      </c>
      <c r="O2454" s="35" t="str">
        <f aca="false">IF(OR($A2454="",$C2454="U",$S2454&lt;&gt;Calc!$F$2),"",SUMIFS($I$3:$I$3002,$E$3:$E$3002,$E2454,$C$3:$C$3002,"&lt;&gt;U",$S$3:$S$3002,Calc!$F$2))</f>
        <v/>
      </c>
      <c r="P2454" s="35" t="str">
        <f aca="false">IF(OR($A2454="",$C2454="U",$S2454&lt;&gt;Calc!$F$2),"",SUMIFS($N$3:$N$3002,$E$3:$E$3002,$E2454,$C$3:$C$3002,"&lt;&gt;U",$S$3:$S$3002,Calc!$F$2))</f>
        <v/>
      </c>
      <c r="Q2454" s="35" t="str">
        <f aca="false">IF(OR($A2454="",$C2454="U",$S2454&lt;&gt;Calc!$F$2),"",IF(COUNTIFS($E$3:$E2454,$E2454,$C$3:$C2454,"&lt;&gt;U",$S$3:$S2454,Calc!$F$2)=1,1,0))</f>
        <v/>
      </c>
      <c r="R2454" s="35" t="str">
        <f aca="false">IF($Q2454=1,$O2454-ROW()/100000,"")</f>
        <v/>
      </c>
      <c r="S2454" s="37" t="str">
        <f aca="false">IF($A2454="","",INT($A2454))</f>
        <v/>
      </c>
      <c r="T2454" s="35" t="str">
        <f aca="false">IF($A2454="","",IF(COUNTIFS($S$3:$S2454,$S2454)=1,1,0))</f>
        <v/>
      </c>
      <c r="U2454" s="37" t="str">
        <f aca="false">IF($T2454=1,$S2454,"")</f>
        <v/>
      </c>
    </row>
    <row r="2455" customFormat="false" ht="15" hidden="false" customHeight="false" outlineLevel="0" collapsed="false">
      <c r="M2455" s="35" t="str">
        <f aca="false">IF($A2455="","",HOUR($A2455))</f>
        <v/>
      </c>
      <c r="N2455" s="36" t="str">
        <f aca="false">IF($A2455="","",$I2455*$K2455)</f>
        <v/>
      </c>
      <c r="O2455" s="35" t="str">
        <f aca="false">IF(OR($A2455="",$C2455="U",$S2455&lt;&gt;Calc!$F$2),"",SUMIFS($I$3:$I$3002,$E$3:$E$3002,$E2455,$C$3:$C$3002,"&lt;&gt;U",$S$3:$S$3002,Calc!$F$2))</f>
        <v/>
      </c>
      <c r="P2455" s="35" t="str">
        <f aca="false">IF(OR($A2455="",$C2455="U",$S2455&lt;&gt;Calc!$F$2),"",SUMIFS($N$3:$N$3002,$E$3:$E$3002,$E2455,$C$3:$C$3002,"&lt;&gt;U",$S$3:$S$3002,Calc!$F$2))</f>
        <v/>
      </c>
      <c r="Q2455" s="35" t="str">
        <f aca="false">IF(OR($A2455="",$C2455="U",$S2455&lt;&gt;Calc!$F$2),"",IF(COUNTIFS($E$3:$E2455,$E2455,$C$3:$C2455,"&lt;&gt;U",$S$3:$S2455,Calc!$F$2)=1,1,0))</f>
        <v/>
      </c>
      <c r="R2455" s="35" t="str">
        <f aca="false">IF($Q2455=1,$O2455-ROW()/100000,"")</f>
        <v/>
      </c>
      <c r="S2455" s="37" t="str">
        <f aca="false">IF($A2455="","",INT($A2455))</f>
        <v/>
      </c>
      <c r="T2455" s="35" t="str">
        <f aca="false">IF($A2455="","",IF(COUNTIFS($S$3:$S2455,$S2455)=1,1,0))</f>
        <v/>
      </c>
      <c r="U2455" s="37" t="str">
        <f aca="false">IF($T2455=1,$S2455,"")</f>
        <v/>
      </c>
    </row>
    <row r="2456" customFormat="false" ht="15" hidden="false" customHeight="false" outlineLevel="0" collapsed="false">
      <c r="M2456" s="35" t="str">
        <f aca="false">IF($A2456="","",HOUR($A2456))</f>
        <v/>
      </c>
      <c r="N2456" s="36" t="str">
        <f aca="false">IF($A2456="","",$I2456*$K2456)</f>
        <v/>
      </c>
      <c r="O2456" s="35" t="str">
        <f aca="false">IF(OR($A2456="",$C2456="U",$S2456&lt;&gt;Calc!$F$2),"",SUMIFS($I$3:$I$3002,$E$3:$E$3002,$E2456,$C$3:$C$3002,"&lt;&gt;U",$S$3:$S$3002,Calc!$F$2))</f>
        <v/>
      </c>
      <c r="P2456" s="35" t="str">
        <f aca="false">IF(OR($A2456="",$C2456="U",$S2456&lt;&gt;Calc!$F$2),"",SUMIFS($N$3:$N$3002,$E$3:$E$3002,$E2456,$C$3:$C$3002,"&lt;&gt;U",$S$3:$S$3002,Calc!$F$2))</f>
        <v/>
      </c>
      <c r="Q2456" s="35" t="str">
        <f aca="false">IF(OR($A2456="",$C2456="U",$S2456&lt;&gt;Calc!$F$2),"",IF(COUNTIFS($E$3:$E2456,$E2456,$C$3:$C2456,"&lt;&gt;U",$S$3:$S2456,Calc!$F$2)=1,1,0))</f>
        <v/>
      </c>
      <c r="R2456" s="35" t="str">
        <f aca="false">IF($Q2456=1,$O2456-ROW()/100000,"")</f>
        <v/>
      </c>
      <c r="S2456" s="37" t="str">
        <f aca="false">IF($A2456="","",INT($A2456))</f>
        <v/>
      </c>
      <c r="T2456" s="35" t="str">
        <f aca="false">IF($A2456="","",IF(COUNTIFS($S$3:$S2456,$S2456)=1,1,0))</f>
        <v/>
      </c>
      <c r="U2456" s="37" t="str">
        <f aca="false">IF($T2456=1,$S2456,"")</f>
        <v/>
      </c>
    </row>
    <row r="2457" customFormat="false" ht="15" hidden="false" customHeight="false" outlineLevel="0" collapsed="false">
      <c r="M2457" s="35" t="str">
        <f aca="false">IF($A2457="","",HOUR($A2457))</f>
        <v/>
      </c>
      <c r="N2457" s="36" t="str">
        <f aca="false">IF($A2457="","",$I2457*$K2457)</f>
        <v/>
      </c>
      <c r="O2457" s="35" t="str">
        <f aca="false">IF(OR($A2457="",$C2457="U",$S2457&lt;&gt;Calc!$F$2),"",SUMIFS($I$3:$I$3002,$E$3:$E$3002,$E2457,$C$3:$C$3002,"&lt;&gt;U",$S$3:$S$3002,Calc!$F$2))</f>
        <v/>
      </c>
      <c r="P2457" s="35" t="str">
        <f aca="false">IF(OR($A2457="",$C2457="U",$S2457&lt;&gt;Calc!$F$2),"",SUMIFS($N$3:$N$3002,$E$3:$E$3002,$E2457,$C$3:$C$3002,"&lt;&gt;U",$S$3:$S$3002,Calc!$F$2))</f>
        <v/>
      </c>
      <c r="Q2457" s="35" t="str">
        <f aca="false">IF(OR($A2457="",$C2457="U",$S2457&lt;&gt;Calc!$F$2),"",IF(COUNTIFS($E$3:$E2457,$E2457,$C$3:$C2457,"&lt;&gt;U",$S$3:$S2457,Calc!$F$2)=1,1,0))</f>
        <v/>
      </c>
      <c r="R2457" s="35" t="str">
        <f aca="false">IF($Q2457=1,$O2457-ROW()/100000,"")</f>
        <v/>
      </c>
      <c r="S2457" s="37" t="str">
        <f aca="false">IF($A2457="","",INT($A2457))</f>
        <v/>
      </c>
      <c r="T2457" s="35" t="str">
        <f aca="false">IF($A2457="","",IF(COUNTIFS($S$3:$S2457,$S2457)=1,1,0))</f>
        <v/>
      </c>
      <c r="U2457" s="37" t="str">
        <f aca="false">IF($T2457=1,$S2457,"")</f>
        <v/>
      </c>
    </row>
    <row r="2458" customFormat="false" ht="15" hidden="false" customHeight="false" outlineLevel="0" collapsed="false">
      <c r="M2458" s="35" t="str">
        <f aca="false">IF($A2458="","",HOUR($A2458))</f>
        <v/>
      </c>
      <c r="N2458" s="36" t="str">
        <f aca="false">IF($A2458="","",$I2458*$K2458)</f>
        <v/>
      </c>
      <c r="O2458" s="35" t="str">
        <f aca="false">IF(OR($A2458="",$C2458="U",$S2458&lt;&gt;Calc!$F$2),"",SUMIFS($I$3:$I$3002,$E$3:$E$3002,$E2458,$C$3:$C$3002,"&lt;&gt;U",$S$3:$S$3002,Calc!$F$2))</f>
        <v/>
      </c>
      <c r="P2458" s="35" t="str">
        <f aca="false">IF(OR($A2458="",$C2458="U",$S2458&lt;&gt;Calc!$F$2),"",SUMIFS($N$3:$N$3002,$E$3:$E$3002,$E2458,$C$3:$C$3002,"&lt;&gt;U",$S$3:$S$3002,Calc!$F$2))</f>
        <v/>
      </c>
      <c r="Q2458" s="35" t="str">
        <f aca="false">IF(OR($A2458="",$C2458="U",$S2458&lt;&gt;Calc!$F$2),"",IF(COUNTIFS($E$3:$E2458,$E2458,$C$3:$C2458,"&lt;&gt;U",$S$3:$S2458,Calc!$F$2)=1,1,0))</f>
        <v/>
      </c>
      <c r="R2458" s="35" t="str">
        <f aca="false">IF($Q2458=1,$O2458-ROW()/100000,"")</f>
        <v/>
      </c>
      <c r="S2458" s="37" t="str">
        <f aca="false">IF($A2458="","",INT($A2458))</f>
        <v/>
      </c>
      <c r="T2458" s="35" t="str">
        <f aca="false">IF($A2458="","",IF(COUNTIFS($S$3:$S2458,$S2458)=1,1,0))</f>
        <v/>
      </c>
      <c r="U2458" s="37" t="str">
        <f aca="false">IF($T2458=1,$S2458,"")</f>
        <v/>
      </c>
    </row>
    <row r="2459" customFormat="false" ht="15" hidden="false" customHeight="false" outlineLevel="0" collapsed="false">
      <c r="M2459" s="35" t="str">
        <f aca="false">IF($A2459="","",HOUR($A2459))</f>
        <v/>
      </c>
      <c r="N2459" s="36" t="str">
        <f aca="false">IF($A2459="","",$I2459*$K2459)</f>
        <v/>
      </c>
      <c r="O2459" s="35" t="str">
        <f aca="false">IF(OR($A2459="",$C2459="U",$S2459&lt;&gt;Calc!$F$2),"",SUMIFS($I$3:$I$3002,$E$3:$E$3002,$E2459,$C$3:$C$3002,"&lt;&gt;U",$S$3:$S$3002,Calc!$F$2))</f>
        <v/>
      </c>
      <c r="P2459" s="35" t="str">
        <f aca="false">IF(OR($A2459="",$C2459="U",$S2459&lt;&gt;Calc!$F$2),"",SUMIFS($N$3:$N$3002,$E$3:$E$3002,$E2459,$C$3:$C$3002,"&lt;&gt;U",$S$3:$S$3002,Calc!$F$2))</f>
        <v/>
      </c>
      <c r="Q2459" s="35" t="str">
        <f aca="false">IF(OR($A2459="",$C2459="U",$S2459&lt;&gt;Calc!$F$2),"",IF(COUNTIFS($E$3:$E2459,$E2459,$C$3:$C2459,"&lt;&gt;U",$S$3:$S2459,Calc!$F$2)=1,1,0))</f>
        <v/>
      </c>
      <c r="R2459" s="35" t="str">
        <f aca="false">IF($Q2459=1,$O2459-ROW()/100000,"")</f>
        <v/>
      </c>
      <c r="S2459" s="37" t="str">
        <f aca="false">IF($A2459="","",INT($A2459))</f>
        <v/>
      </c>
      <c r="T2459" s="35" t="str">
        <f aca="false">IF($A2459="","",IF(COUNTIFS($S$3:$S2459,$S2459)=1,1,0))</f>
        <v/>
      </c>
      <c r="U2459" s="37" t="str">
        <f aca="false">IF($T2459=1,$S2459,"")</f>
        <v/>
      </c>
    </row>
    <row r="2460" customFormat="false" ht="15" hidden="false" customHeight="false" outlineLevel="0" collapsed="false">
      <c r="M2460" s="35" t="str">
        <f aca="false">IF($A2460="","",HOUR($A2460))</f>
        <v/>
      </c>
      <c r="N2460" s="36" t="str">
        <f aca="false">IF($A2460="","",$I2460*$K2460)</f>
        <v/>
      </c>
      <c r="O2460" s="35" t="str">
        <f aca="false">IF(OR($A2460="",$C2460="U",$S2460&lt;&gt;Calc!$F$2),"",SUMIFS($I$3:$I$3002,$E$3:$E$3002,$E2460,$C$3:$C$3002,"&lt;&gt;U",$S$3:$S$3002,Calc!$F$2))</f>
        <v/>
      </c>
      <c r="P2460" s="35" t="str">
        <f aca="false">IF(OR($A2460="",$C2460="U",$S2460&lt;&gt;Calc!$F$2),"",SUMIFS($N$3:$N$3002,$E$3:$E$3002,$E2460,$C$3:$C$3002,"&lt;&gt;U",$S$3:$S$3002,Calc!$F$2))</f>
        <v/>
      </c>
      <c r="Q2460" s="35" t="str">
        <f aca="false">IF(OR($A2460="",$C2460="U",$S2460&lt;&gt;Calc!$F$2),"",IF(COUNTIFS($E$3:$E2460,$E2460,$C$3:$C2460,"&lt;&gt;U",$S$3:$S2460,Calc!$F$2)=1,1,0))</f>
        <v/>
      </c>
      <c r="R2460" s="35" t="str">
        <f aca="false">IF($Q2460=1,$O2460-ROW()/100000,"")</f>
        <v/>
      </c>
      <c r="S2460" s="37" t="str">
        <f aca="false">IF($A2460="","",INT($A2460))</f>
        <v/>
      </c>
      <c r="T2460" s="35" t="str">
        <f aca="false">IF($A2460="","",IF(COUNTIFS($S$3:$S2460,$S2460)=1,1,0))</f>
        <v/>
      </c>
      <c r="U2460" s="37" t="str">
        <f aca="false">IF($T2460=1,$S2460,"")</f>
        <v/>
      </c>
    </row>
    <row r="2461" customFormat="false" ht="15" hidden="false" customHeight="false" outlineLevel="0" collapsed="false">
      <c r="M2461" s="35" t="str">
        <f aca="false">IF($A2461="","",HOUR($A2461))</f>
        <v/>
      </c>
      <c r="N2461" s="36" t="str">
        <f aca="false">IF($A2461="","",$I2461*$K2461)</f>
        <v/>
      </c>
      <c r="O2461" s="35" t="str">
        <f aca="false">IF(OR($A2461="",$C2461="U",$S2461&lt;&gt;Calc!$F$2),"",SUMIFS($I$3:$I$3002,$E$3:$E$3002,$E2461,$C$3:$C$3002,"&lt;&gt;U",$S$3:$S$3002,Calc!$F$2))</f>
        <v/>
      </c>
      <c r="P2461" s="35" t="str">
        <f aca="false">IF(OR($A2461="",$C2461="U",$S2461&lt;&gt;Calc!$F$2),"",SUMIFS($N$3:$N$3002,$E$3:$E$3002,$E2461,$C$3:$C$3002,"&lt;&gt;U",$S$3:$S$3002,Calc!$F$2))</f>
        <v/>
      </c>
      <c r="Q2461" s="35" t="str">
        <f aca="false">IF(OR($A2461="",$C2461="U",$S2461&lt;&gt;Calc!$F$2),"",IF(COUNTIFS($E$3:$E2461,$E2461,$C$3:$C2461,"&lt;&gt;U",$S$3:$S2461,Calc!$F$2)=1,1,0))</f>
        <v/>
      </c>
      <c r="R2461" s="35" t="str">
        <f aca="false">IF($Q2461=1,$O2461-ROW()/100000,"")</f>
        <v/>
      </c>
      <c r="S2461" s="37" t="str">
        <f aca="false">IF($A2461="","",INT($A2461))</f>
        <v/>
      </c>
      <c r="T2461" s="35" t="str">
        <f aca="false">IF($A2461="","",IF(COUNTIFS($S$3:$S2461,$S2461)=1,1,0))</f>
        <v/>
      </c>
      <c r="U2461" s="37" t="str">
        <f aca="false">IF($T2461=1,$S2461,"")</f>
        <v/>
      </c>
    </row>
    <row r="2462" customFormat="false" ht="15" hidden="false" customHeight="false" outlineLevel="0" collapsed="false">
      <c r="M2462" s="35" t="str">
        <f aca="false">IF($A2462="","",HOUR($A2462))</f>
        <v/>
      </c>
      <c r="N2462" s="36" t="str">
        <f aca="false">IF($A2462="","",$I2462*$K2462)</f>
        <v/>
      </c>
      <c r="O2462" s="35" t="str">
        <f aca="false">IF(OR($A2462="",$C2462="U",$S2462&lt;&gt;Calc!$F$2),"",SUMIFS($I$3:$I$3002,$E$3:$E$3002,$E2462,$C$3:$C$3002,"&lt;&gt;U",$S$3:$S$3002,Calc!$F$2))</f>
        <v/>
      </c>
      <c r="P2462" s="35" t="str">
        <f aca="false">IF(OR($A2462="",$C2462="U",$S2462&lt;&gt;Calc!$F$2),"",SUMIFS($N$3:$N$3002,$E$3:$E$3002,$E2462,$C$3:$C$3002,"&lt;&gt;U",$S$3:$S$3002,Calc!$F$2))</f>
        <v/>
      </c>
      <c r="Q2462" s="35" t="str">
        <f aca="false">IF(OR($A2462="",$C2462="U",$S2462&lt;&gt;Calc!$F$2),"",IF(COUNTIFS($E$3:$E2462,$E2462,$C$3:$C2462,"&lt;&gt;U",$S$3:$S2462,Calc!$F$2)=1,1,0))</f>
        <v/>
      </c>
      <c r="R2462" s="35" t="str">
        <f aca="false">IF($Q2462=1,$O2462-ROW()/100000,"")</f>
        <v/>
      </c>
      <c r="S2462" s="37" t="str">
        <f aca="false">IF($A2462="","",INT($A2462))</f>
        <v/>
      </c>
      <c r="T2462" s="35" t="str">
        <f aca="false">IF($A2462="","",IF(COUNTIFS($S$3:$S2462,$S2462)=1,1,0))</f>
        <v/>
      </c>
      <c r="U2462" s="37" t="str">
        <f aca="false">IF($T2462=1,$S2462,"")</f>
        <v/>
      </c>
    </row>
    <row r="2463" customFormat="false" ht="15" hidden="false" customHeight="false" outlineLevel="0" collapsed="false">
      <c r="M2463" s="35" t="str">
        <f aca="false">IF($A2463="","",HOUR($A2463))</f>
        <v/>
      </c>
      <c r="N2463" s="36" t="str">
        <f aca="false">IF($A2463="","",$I2463*$K2463)</f>
        <v/>
      </c>
      <c r="O2463" s="35" t="str">
        <f aca="false">IF(OR($A2463="",$C2463="U",$S2463&lt;&gt;Calc!$F$2),"",SUMIFS($I$3:$I$3002,$E$3:$E$3002,$E2463,$C$3:$C$3002,"&lt;&gt;U",$S$3:$S$3002,Calc!$F$2))</f>
        <v/>
      </c>
      <c r="P2463" s="35" t="str">
        <f aca="false">IF(OR($A2463="",$C2463="U",$S2463&lt;&gt;Calc!$F$2),"",SUMIFS($N$3:$N$3002,$E$3:$E$3002,$E2463,$C$3:$C$3002,"&lt;&gt;U",$S$3:$S$3002,Calc!$F$2))</f>
        <v/>
      </c>
      <c r="Q2463" s="35" t="str">
        <f aca="false">IF(OR($A2463="",$C2463="U",$S2463&lt;&gt;Calc!$F$2),"",IF(COUNTIFS($E$3:$E2463,$E2463,$C$3:$C2463,"&lt;&gt;U",$S$3:$S2463,Calc!$F$2)=1,1,0))</f>
        <v/>
      </c>
      <c r="R2463" s="35" t="str">
        <f aca="false">IF($Q2463=1,$O2463-ROW()/100000,"")</f>
        <v/>
      </c>
      <c r="S2463" s="37" t="str">
        <f aca="false">IF($A2463="","",INT($A2463))</f>
        <v/>
      </c>
      <c r="T2463" s="35" t="str">
        <f aca="false">IF($A2463="","",IF(COUNTIFS($S$3:$S2463,$S2463)=1,1,0))</f>
        <v/>
      </c>
      <c r="U2463" s="37" t="str">
        <f aca="false">IF($T2463=1,$S2463,"")</f>
        <v/>
      </c>
    </row>
    <row r="2464" customFormat="false" ht="15" hidden="false" customHeight="false" outlineLevel="0" collapsed="false">
      <c r="M2464" s="35" t="str">
        <f aca="false">IF($A2464="","",HOUR($A2464))</f>
        <v/>
      </c>
      <c r="N2464" s="36" t="str">
        <f aca="false">IF($A2464="","",$I2464*$K2464)</f>
        <v/>
      </c>
      <c r="O2464" s="35" t="str">
        <f aca="false">IF(OR($A2464="",$C2464="U",$S2464&lt;&gt;Calc!$F$2),"",SUMIFS($I$3:$I$3002,$E$3:$E$3002,$E2464,$C$3:$C$3002,"&lt;&gt;U",$S$3:$S$3002,Calc!$F$2))</f>
        <v/>
      </c>
      <c r="P2464" s="35" t="str">
        <f aca="false">IF(OR($A2464="",$C2464="U",$S2464&lt;&gt;Calc!$F$2),"",SUMIFS($N$3:$N$3002,$E$3:$E$3002,$E2464,$C$3:$C$3002,"&lt;&gt;U",$S$3:$S$3002,Calc!$F$2))</f>
        <v/>
      </c>
      <c r="Q2464" s="35" t="str">
        <f aca="false">IF(OR($A2464="",$C2464="U",$S2464&lt;&gt;Calc!$F$2),"",IF(COUNTIFS($E$3:$E2464,$E2464,$C$3:$C2464,"&lt;&gt;U",$S$3:$S2464,Calc!$F$2)=1,1,0))</f>
        <v/>
      </c>
      <c r="R2464" s="35" t="str">
        <f aca="false">IF($Q2464=1,$O2464-ROW()/100000,"")</f>
        <v/>
      </c>
      <c r="S2464" s="37" t="str">
        <f aca="false">IF($A2464="","",INT($A2464))</f>
        <v/>
      </c>
      <c r="T2464" s="35" t="str">
        <f aca="false">IF($A2464="","",IF(COUNTIFS($S$3:$S2464,$S2464)=1,1,0))</f>
        <v/>
      </c>
      <c r="U2464" s="37" t="str">
        <f aca="false">IF($T2464=1,$S2464,"")</f>
        <v/>
      </c>
    </row>
    <row r="2465" customFormat="false" ht="15" hidden="false" customHeight="false" outlineLevel="0" collapsed="false">
      <c r="M2465" s="35" t="str">
        <f aca="false">IF($A2465="","",HOUR($A2465))</f>
        <v/>
      </c>
      <c r="N2465" s="36" t="str">
        <f aca="false">IF($A2465="","",$I2465*$K2465)</f>
        <v/>
      </c>
      <c r="O2465" s="35" t="str">
        <f aca="false">IF(OR($A2465="",$C2465="U",$S2465&lt;&gt;Calc!$F$2),"",SUMIFS($I$3:$I$3002,$E$3:$E$3002,$E2465,$C$3:$C$3002,"&lt;&gt;U",$S$3:$S$3002,Calc!$F$2))</f>
        <v/>
      </c>
      <c r="P2465" s="35" t="str">
        <f aca="false">IF(OR($A2465="",$C2465="U",$S2465&lt;&gt;Calc!$F$2),"",SUMIFS($N$3:$N$3002,$E$3:$E$3002,$E2465,$C$3:$C$3002,"&lt;&gt;U",$S$3:$S$3002,Calc!$F$2))</f>
        <v/>
      </c>
      <c r="Q2465" s="35" t="str">
        <f aca="false">IF(OR($A2465="",$C2465="U",$S2465&lt;&gt;Calc!$F$2),"",IF(COUNTIFS($E$3:$E2465,$E2465,$C$3:$C2465,"&lt;&gt;U",$S$3:$S2465,Calc!$F$2)=1,1,0))</f>
        <v/>
      </c>
      <c r="R2465" s="35" t="str">
        <f aca="false">IF($Q2465=1,$O2465-ROW()/100000,"")</f>
        <v/>
      </c>
      <c r="S2465" s="37" t="str">
        <f aca="false">IF($A2465="","",INT($A2465))</f>
        <v/>
      </c>
      <c r="T2465" s="35" t="str">
        <f aca="false">IF($A2465="","",IF(COUNTIFS($S$3:$S2465,$S2465)=1,1,0))</f>
        <v/>
      </c>
      <c r="U2465" s="37" t="str">
        <f aca="false">IF($T2465=1,$S2465,"")</f>
        <v/>
      </c>
    </row>
    <row r="2466" customFormat="false" ht="15" hidden="false" customHeight="false" outlineLevel="0" collapsed="false">
      <c r="M2466" s="35" t="str">
        <f aca="false">IF($A2466="","",HOUR($A2466))</f>
        <v/>
      </c>
      <c r="N2466" s="36" t="str">
        <f aca="false">IF($A2466="","",$I2466*$K2466)</f>
        <v/>
      </c>
      <c r="O2466" s="35" t="str">
        <f aca="false">IF(OR($A2466="",$C2466="U",$S2466&lt;&gt;Calc!$F$2),"",SUMIFS($I$3:$I$3002,$E$3:$E$3002,$E2466,$C$3:$C$3002,"&lt;&gt;U",$S$3:$S$3002,Calc!$F$2))</f>
        <v/>
      </c>
      <c r="P2466" s="35" t="str">
        <f aca="false">IF(OR($A2466="",$C2466="U",$S2466&lt;&gt;Calc!$F$2),"",SUMIFS($N$3:$N$3002,$E$3:$E$3002,$E2466,$C$3:$C$3002,"&lt;&gt;U",$S$3:$S$3002,Calc!$F$2))</f>
        <v/>
      </c>
      <c r="Q2466" s="35" t="str">
        <f aca="false">IF(OR($A2466="",$C2466="U",$S2466&lt;&gt;Calc!$F$2),"",IF(COUNTIFS($E$3:$E2466,$E2466,$C$3:$C2466,"&lt;&gt;U",$S$3:$S2466,Calc!$F$2)=1,1,0))</f>
        <v/>
      </c>
      <c r="R2466" s="35" t="str">
        <f aca="false">IF($Q2466=1,$O2466-ROW()/100000,"")</f>
        <v/>
      </c>
      <c r="S2466" s="37" t="str">
        <f aca="false">IF($A2466="","",INT($A2466))</f>
        <v/>
      </c>
      <c r="T2466" s="35" t="str">
        <f aca="false">IF($A2466="","",IF(COUNTIFS($S$3:$S2466,$S2466)=1,1,0))</f>
        <v/>
      </c>
      <c r="U2466" s="37" t="str">
        <f aca="false">IF($T2466=1,$S2466,"")</f>
        <v/>
      </c>
    </row>
    <row r="2467" customFormat="false" ht="15" hidden="false" customHeight="false" outlineLevel="0" collapsed="false">
      <c r="M2467" s="35" t="str">
        <f aca="false">IF($A2467="","",HOUR($A2467))</f>
        <v/>
      </c>
      <c r="N2467" s="36" t="str">
        <f aca="false">IF($A2467="","",$I2467*$K2467)</f>
        <v/>
      </c>
      <c r="O2467" s="35" t="str">
        <f aca="false">IF(OR($A2467="",$C2467="U",$S2467&lt;&gt;Calc!$F$2),"",SUMIFS($I$3:$I$3002,$E$3:$E$3002,$E2467,$C$3:$C$3002,"&lt;&gt;U",$S$3:$S$3002,Calc!$F$2))</f>
        <v/>
      </c>
      <c r="P2467" s="35" t="str">
        <f aca="false">IF(OR($A2467="",$C2467="U",$S2467&lt;&gt;Calc!$F$2),"",SUMIFS($N$3:$N$3002,$E$3:$E$3002,$E2467,$C$3:$C$3002,"&lt;&gt;U",$S$3:$S$3002,Calc!$F$2))</f>
        <v/>
      </c>
      <c r="Q2467" s="35" t="str">
        <f aca="false">IF(OR($A2467="",$C2467="U",$S2467&lt;&gt;Calc!$F$2),"",IF(COUNTIFS($E$3:$E2467,$E2467,$C$3:$C2467,"&lt;&gt;U",$S$3:$S2467,Calc!$F$2)=1,1,0))</f>
        <v/>
      </c>
      <c r="R2467" s="35" t="str">
        <f aca="false">IF($Q2467=1,$O2467-ROW()/100000,"")</f>
        <v/>
      </c>
      <c r="S2467" s="37" t="str">
        <f aca="false">IF($A2467="","",INT($A2467))</f>
        <v/>
      </c>
      <c r="T2467" s="35" t="str">
        <f aca="false">IF($A2467="","",IF(COUNTIFS($S$3:$S2467,$S2467)=1,1,0))</f>
        <v/>
      </c>
      <c r="U2467" s="37" t="str">
        <f aca="false">IF($T2467=1,$S2467,"")</f>
        <v/>
      </c>
    </row>
    <row r="2468" customFormat="false" ht="15" hidden="false" customHeight="false" outlineLevel="0" collapsed="false">
      <c r="M2468" s="35" t="str">
        <f aca="false">IF($A2468="","",HOUR($A2468))</f>
        <v/>
      </c>
      <c r="N2468" s="36" t="str">
        <f aca="false">IF($A2468="","",$I2468*$K2468)</f>
        <v/>
      </c>
      <c r="O2468" s="35" t="str">
        <f aca="false">IF(OR($A2468="",$C2468="U",$S2468&lt;&gt;Calc!$F$2),"",SUMIFS($I$3:$I$3002,$E$3:$E$3002,$E2468,$C$3:$C$3002,"&lt;&gt;U",$S$3:$S$3002,Calc!$F$2))</f>
        <v/>
      </c>
      <c r="P2468" s="35" t="str">
        <f aca="false">IF(OR($A2468="",$C2468="U",$S2468&lt;&gt;Calc!$F$2),"",SUMIFS($N$3:$N$3002,$E$3:$E$3002,$E2468,$C$3:$C$3002,"&lt;&gt;U",$S$3:$S$3002,Calc!$F$2))</f>
        <v/>
      </c>
      <c r="Q2468" s="35" t="str">
        <f aca="false">IF(OR($A2468="",$C2468="U",$S2468&lt;&gt;Calc!$F$2),"",IF(COUNTIFS($E$3:$E2468,$E2468,$C$3:$C2468,"&lt;&gt;U",$S$3:$S2468,Calc!$F$2)=1,1,0))</f>
        <v/>
      </c>
      <c r="R2468" s="35" t="str">
        <f aca="false">IF($Q2468=1,$O2468-ROW()/100000,"")</f>
        <v/>
      </c>
      <c r="S2468" s="37" t="str">
        <f aca="false">IF($A2468="","",INT($A2468))</f>
        <v/>
      </c>
      <c r="T2468" s="35" t="str">
        <f aca="false">IF($A2468="","",IF(COUNTIFS($S$3:$S2468,$S2468)=1,1,0))</f>
        <v/>
      </c>
      <c r="U2468" s="37" t="str">
        <f aca="false">IF($T2468=1,$S2468,"")</f>
        <v/>
      </c>
    </row>
    <row r="2469" customFormat="false" ht="15" hidden="false" customHeight="false" outlineLevel="0" collapsed="false">
      <c r="M2469" s="35" t="str">
        <f aca="false">IF($A2469="","",HOUR($A2469))</f>
        <v/>
      </c>
      <c r="N2469" s="36" t="str">
        <f aca="false">IF($A2469="","",$I2469*$K2469)</f>
        <v/>
      </c>
      <c r="O2469" s="35" t="str">
        <f aca="false">IF(OR($A2469="",$C2469="U",$S2469&lt;&gt;Calc!$F$2),"",SUMIFS($I$3:$I$3002,$E$3:$E$3002,$E2469,$C$3:$C$3002,"&lt;&gt;U",$S$3:$S$3002,Calc!$F$2))</f>
        <v/>
      </c>
      <c r="P2469" s="35" t="str">
        <f aca="false">IF(OR($A2469="",$C2469="U",$S2469&lt;&gt;Calc!$F$2),"",SUMIFS($N$3:$N$3002,$E$3:$E$3002,$E2469,$C$3:$C$3002,"&lt;&gt;U",$S$3:$S$3002,Calc!$F$2))</f>
        <v/>
      </c>
      <c r="Q2469" s="35" t="str">
        <f aca="false">IF(OR($A2469="",$C2469="U",$S2469&lt;&gt;Calc!$F$2),"",IF(COUNTIFS($E$3:$E2469,$E2469,$C$3:$C2469,"&lt;&gt;U",$S$3:$S2469,Calc!$F$2)=1,1,0))</f>
        <v/>
      </c>
      <c r="R2469" s="35" t="str">
        <f aca="false">IF($Q2469=1,$O2469-ROW()/100000,"")</f>
        <v/>
      </c>
      <c r="S2469" s="37" t="str">
        <f aca="false">IF($A2469="","",INT($A2469))</f>
        <v/>
      </c>
      <c r="T2469" s="35" t="str">
        <f aca="false">IF($A2469="","",IF(COUNTIFS($S$3:$S2469,$S2469)=1,1,0))</f>
        <v/>
      </c>
      <c r="U2469" s="37" t="str">
        <f aca="false">IF($T2469=1,$S2469,"")</f>
        <v/>
      </c>
    </row>
    <row r="2470" customFormat="false" ht="15" hidden="false" customHeight="false" outlineLevel="0" collapsed="false">
      <c r="M2470" s="35" t="str">
        <f aca="false">IF($A2470="","",HOUR($A2470))</f>
        <v/>
      </c>
      <c r="N2470" s="36" t="str">
        <f aca="false">IF($A2470="","",$I2470*$K2470)</f>
        <v/>
      </c>
      <c r="O2470" s="35" t="str">
        <f aca="false">IF(OR($A2470="",$C2470="U",$S2470&lt;&gt;Calc!$F$2),"",SUMIFS($I$3:$I$3002,$E$3:$E$3002,$E2470,$C$3:$C$3002,"&lt;&gt;U",$S$3:$S$3002,Calc!$F$2))</f>
        <v/>
      </c>
      <c r="P2470" s="35" t="str">
        <f aca="false">IF(OR($A2470="",$C2470="U",$S2470&lt;&gt;Calc!$F$2),"",SUMIFS($N$3:$N$3002,$E$3:$E$3002,$E2470,$C$3:$C$3002,"&lt;&gt;U",$S$3:$S$3002,Calc!$F$2))</f>
        <v/>
      </c>
      <c r="Q2470" s="35" t="str">
        <f aca="false">IF(OR($A2470="",$C2470="U",$S2470&lt;&gt;Calc!$F$2),"",IF(COUNTIFS($E$3:$E2470,$E2470,$C$3:$C2470,"&lt;&gt;U",$S$3:$S2470,Calc!$F$2)=1,1,0))</f>
        <v/>
      </c>
      <c r="R2470" s="35" t="str">
        <f aca="false">IF($Q2470=1,$O2470-ROW()/100000,"")</f>
        <v/>
      </c>
      <c r="S2470" s="37" t="str">
        <f aca="false">IF($A2470="","",INT($A2470))</f>
        <v/>
      </c>
      <c r="T2470" s="35" t="str">
        <f aca="false">IF($A2470="","",IF(COUNTIFS($S$3:$S2470,$S2470)=1,1,0))</f>
        <v/>
      </c>
      <c r="U2470" s="37" t="str">
        <f aca="false">IF($T2470=1,$S2470,"")</f>
        <v/>
      </c>
    </row>
    <row r="2471" customFormat="false" ht="15" hidden="false" customHeight="false" outlineLevel="0" collapsed="false">
      <c r="M2471" s="35" t="str">
        <f aca="false">IF($A2471="","",HOUR($A2471))</f>
        <v/>
      </c>
      <c r="N2471" s="36" t="str">
        <f aca="false">IF($A2471="","",$I2471*$K2471)</f>
        <v/>
      </c>
      <c r="O2471" s="35" t="str">
        <f aca="false">IF(OR($A2471="",$C2471="U",$S2471&lt;&gt;Calc!$F$2),"",SUMIFS($I$3:$I$3002,$E$3:$E$3002,$E2471,$C$3:$C$3002,"&lt;&gt;U",$S$3:$S$3002,Calc!$F$2))</f>
        <v/>
      </c>
      <c r="P2471" s="35" t="str">
        <f aca="false">IF(OR($A2471="",$C2471="U",$S2471&lt;&gt;Calc!$F$2),"",SUMIFS($N$3:$N$3002,$E$3:$E$3002,$E2471,$C$3:$C$3002,"&lt;&gt;U",$S$3:$S$3002,Calc!$F$2))</f>
        <v/>
      </c>
      <c r="Q2471" s="35" t="str">
        <f aca="false">IF(OR($A2471="",$C2471="U",$S2471&lt;&gt;Calc!$F$2),"",IF(COUNTIFS($E$3:$E2471,$E2471,$C$3:$C2471,"&lt;&gt;U",$S$3:$S2471,Calc!$F$2)=1,1,0))</f>
        <v/>
      </c>
      <c r="R2471" s="35" t="str">
        <f aca="false">IF($Q2471=1,$O2471-ROW()/100000,"")</f>
        <v/>
      </c>
      <c r="S2471" s="37" t="str">
        <f aca="false">IF($A2471="","",INT($A2471))</f>
        <v/>
      </c>
      <c r="T2471" s="35" t="str">
        <f aca="false">IF($A2471="","",IF(COUNTIFS($S$3:$S2471,$S2471)=1,1,0))</f>
        <v/>
      </c>
      <c r="U2471" s="37" t="str">
        <f aca="false">IF($T2471=1,$S2471,"")</f>
        <v/>
      </c>
    </row>
    <row r="2472" customFormat="false" ht="15" hidden="false" customHeight="false" outlineLevel="0" collapsed="false">
      <c r="M2472" s="35" t="str">
        <f aca="false">IF($A2472="","",HOUR($A2472))</f>
        <v/>
      </c>
      <c r="N2472" s="36" t="str">
        <f aca="false">IF($A2472="","",$I2472*$K2472)</f>
        <v/>
      </c>
      <c r="O2472" s="35" t="str">
        <f aca="false">IF(OR($A2472="",$C2472="U",$S2472&lt;&gt;Calc!$F$2),"",SUMIFS($I$3:$I$3002,$E$3:$E$3002,$E2472,$C$3:$C$3002,"&lt;&gt;U",$S$3:$S$3002,Calc!$F$2))</f>
        <v/>
      </c>
      <c r="P2472" s="35" t="str">
        <f aca="false">IF(OR($A2472="",$C2472="U",$S2472&lt;&gt;Calc!$F$2),"",SUMIFS($N$3:$N$3002,$E$3:$E$3002,$E2472,$C$3:$C$3002,"&lt;&gt;U",$S$3:$S$3002,Calc!$F$2))</f>
        <v/>
      </c>
      <c r="Q2472" s="35" t="str">
        <f aca="false">IF(OR($A2472="",$C2472="U",$S2472&lt;&gt;Calc!$F$2),"",IF(COUNTIFS($E$3:$E2472,$E2472,$C$3:$C2472,"&lt;&gt;U",$S$3:$S2472,Calc!$F$2)=1,1,0))</f>
        <v/>
      </c>
      <c r="R2472" s="35" t="str">
        <f aca="false">IF($Q2472=1,$O2472-ROW()/100000,"")</f>
        <v/>
      </c>
      <c r="S2472" s="37" t="str">
        <f aca="false">IF($A2472="","",INT($A2472))</f>
        <v/>
      </c>
      <c r="T2472" s="35" t="str">
        <f aca="false">IF($A2472="","",IF(COUNTIFS($S$3:$S2472,$S2472)=1,1,0))</f>
        <v/>
      </c>
      <c r="U2472" s="37" t="str">
        <f aca="false">IF($T2472=1,$S2472,"")</f>
        <v/>
      </c>
    </row>
    <row r="2473" customFormat="false" ht="15" hidden="false" customHeight="false" outlineLevel="0" collapsed="false">
      <c r="M2473" s="35" t="str">
        <f aca="false">IF($A2473="","",HOUR($A2473))</f>
        <v/>
      </c>
      <c r="N2473" s="36" t="str">
        <f aca="false">IF($A2473="","",$I2473*$K2473)</f>
        <v/>
      </c>
      <c r="O2473" s="35" t="str">
        <f aca="false">IF(OR($A2473="",$C2473="U",$S2473&lt;&gt;Calc!$F$2),"",SUMIFS($I$3:$I$3002,$E$3:$E$3002,$E2473,$C$3:$C$3002,"&lt;&gt;U",$S$3:$S$3002,Calc!$F$2))</f>
        <v/>
      </c>
      <c r="P2473" s="35" t="str">
        <f aca="false">IF(OR($A2473="",$C2473="U",$S2473&lt;&gt;Calc!$F$2),"",SUMIFS($N$3:$N$3002,$E$3:$E$3002,$E2473,$C$3:$C$3002,"&lt;&gt;U",$S$3:$S$3002,Calc!$F$2))</f>
        <v/>
      </c>
      <c r="Q2473" s="35" t="str">
        <f aca="false">IF(OR($A2473="",$C2473="U",$S2473&lt;&gt;Calc!$F$2),"",IF(COUNTIFS($E$3:$E2473,$E2473,$C$3:$C2473,"&lt;&gt;U",$S$3:$S2473,Calc!$F$2)=1,1,0))</f>
        <v/>
      </c>
      <c r="R2473" s="35" t="str">
        <f aca="false">IF($Q2473=1,$O2473-ROW()/100000,"")</f>
        <v/>
      </c>
      <c r="S2473" s="37" t="str">
        <f aca="false">IF($A2473="","",INT($A2473))</f>
        <v/>
      </c>
      <c r="T2473" s="35" t="str">
        <f aca="false">IF($A2473="","",IF(COUNTIFS($S$3:$S2473,$S2473)=1,1,0))</f>
        <v/>
      </c>
      <c r="U2473" s="37" t="str">
        <f aca="false">IF($T2473=1,$S2473,"")</f>
        <v/>
      </c>
    </row>
    <row r="2474" customFormat="false" ht="15" hidden="false" customHeight="false" outlineLevel="0" collapsed="false">
      <c r="M2474" s="35" t="str">
        <f aca="false">IF($A2474="","",HOUR($A2474))</f>
        <v/>
      </c>
      <c r="N2474" s="36" t="str">
        <f aca="false">IF($A2474="","",$I2474*$K2474)</f>
        <v/>
      </c>
      <c r="O2474" s="35" t="str">
        <f aca="false">IF(OR($A2474="",$C2474="U",$S2474&lt;&gt;Calc!$F$2),"",SUMIFS($I$3:$I$3002,$E$3:$E$3002,$E2474,$C$3:$C$3002,"&lt;&gt;U",$S$3:$S$3002,Calc!$F$2))</f>
        <v/>
      </c>
      <c r="P2474" s="35" t="str">
        <f aca="false">IF(OR($A2474="",$C2474="U",$S2474&lt;&gt;Calc!$F$2),"",SUMIFS($N$3:$N$3002,$E$3:$E$3002,$E2474,$C$3:$C$3002,"&lt;&gt;U",$S$3:$S$3002,Calc!$F$2))</f>
        <v/>
      </c>
      <c r="Q2474" s="35" t="str">
        <f aca="false">IF(OR($A2474="",$C2474="U",$S2474&lt;&gt;Calc!$F$2),"",IF(COUNTIFS($E$3:$E2474,$E2474,$C$3:$C2474,"&lt;&gt;U",$S$3:$S2474,Calc!$F$2)=1,1,0))</f>
        <v/>
      </c>
      <c r="R2474" s="35" t="str">
        <f aca="false">IF($Q2474=1,$O2474-ROW()/100000,"")</f>
        <v/>
      </c>
      <c r="S2474" s="37" t="str">
        <f aca="false">IF($A2474="","",INT($A2474))</f>
        <v/>
      </c>
      <c r="T2474" s="35" t="str">
        <f aca="false">IF($A2474="","",IF(COUNTIFS($S$3:$S2474,$S2474)=1,1,0))</f>
        <v/>
      </c>
      <c r="U2474" s="37" t="str">
        <f aca="false">IF($T2474=1,$S2474,"")</f>
        <v/>
      </c>
    </row>
    <row r="2475" customFormat="false" ht="15" hidden="false" customHeight="false" outlineLevel="0" collapsed="false">
      <c r="M2475" s="35" t="str">
        <f aca="false">IF($A2475="","",HOUR($A2475))</f>
        <v/>
      </c>
      <c r="N2475" s="36" t="str">
        <f aca="false">IF($A2475="","",$I2475*$K2475)</f>
        <v/>
      </c>
      <c r="O2475" s="35" t="str">
        <f aca="false">IF(OR($A2475="",$C2475="U",$S2475&lt;&gt;Calc!$F$2),"",SUMIFS($I$3:$I$3002,$E$3:$E$3002,$E2475,$C$3:$C$3002,"&lt;&gt;U",$S$3:$S$3002,Calc!$F$2))</f>
        <v/>
      </c>
      <c r="P2475" s="35" t="str">
        <f aca="false">IF(OR($A2475="",$C2475="U",$S2475&lt;&gt;Calc!$F$2),"",SUMIFS($N$3:$N$3002,$E$3:$E$3002,$E2475,$C$3:$C$3002,"&lt;&gt;U",$S$3:$S$3002,Calc!$F$2))</f>
        <v/>
      </c>
      <c r="Q2475" s="35" t="str">
        <f aca="false">IF(OR($A2475="",$C2475="U",$S2475&lt;&gt;Calc!$F$2),"",IF(COUNTIFS($E$3:$E2475,$E2475,$C$3:$C2475,"&lt;&gt;U",$S$3:$S2475,Calc!$F$2)=1,1,0))</f>
        <v/>
      </c>
      <c r="R2475" s="35" t="str">
        <f aca="false">IF($Q2475=1,$O2475-ROW()/100000,"")</f>
        <v/>
      </c>
      <c r="S2475" s="37" t="str">
        <f aca="false">IF($A2475="","",INT($A2475))</f>
        <v/>
      </c>
      <c r="T2475" s="35" t="str">
        <f aca="false">IF($A2475="","",IF(COUNTIFS($S$3:$S2475,$S2475)=1,1,0))</f>
        <v/>
      </c>
      <c r="U2475" s="37" t="str">
        <f aca="false">IF($T2475=1,$S2475,"")</f>
        <v/>
      </c>
    </row>
    <row r="2476" customFormat="false" ht="15" hidden="false" customHeight="false" outlineLevel="0" collapsed="false">
      <c r="M2476" s="35" t="str">
        <f aca="false">IF($A2476="","",HOUR($A2476))</f>
        <v/>
      </c>
      <c r="N2476" s="36" t="str">
        <f aca="false">IF($A2476="","",$I2476*$K2476)</f>
        <v/>
      </c>
      <c r="O2476" s="35" t="str">
        <f aca="false">IF(OR($A2476="",$C2476="U",$S2476&lt;&gt;Calc!$F$2),"",SUMIFS($I$3:$I$3002,$E$3:$E$3002,$E2476,$C$3:$C$3002,"&lt;&gt;U",$S$3:$S$3002,Calc!$F$2))</f>
        <v/>
      </c>
      <c r="P2476" s="35" t="str">
        <f aca="false">IF(OR($A2476="",$C2476="U",$S2476&lt;&gt;Calc!$F$2),"",SUMIFS($N$3:$N$3002,$E$3:$E$3002,$E2476,$C$3:$C$3002,"&lt;&gt;U",$S$3:$S$3002,Calc!$F$2))</f>
        <v/>
      </c>
      <c r="Q2476" s="35" t="str">
        <f aca="false">IF(OR($A2476="",$C2476="U",$S2476&lt;&gt;Calc!$F$2),"",IF(COUNTIFS($E$3:$E2476,$E2476,$C$3:$C2476,"&lt;&gt;U",$S$3:$S2476,Calc!$F$2)=1,1,0))</f>
        <v/>
      </c>
      <c r="R2476" s="35" t="str">
        <f aca="false">IF($Q2476=1,$O2476-ROW()/100000,"")</f>
        <v/>
      </c>
      <c r="S2476" s="37" t="str">
        <f aca="false">IF($A2476="","",INT($A2476))</f>
        <v/>
      </c>
      <c r="T2476" s="35" t="str">
        <f aca="false">IF($A2476="","",IF(COUNTIFS($S$3:$S2476,$S2476)=1,1,0))</f>
        <v/>
      </c>
      <c r="U2476" s="37" t="str">
        <f aca="false">IF($T2476=1,$S2476,"")</f>
        <v/>
      </c>
    </row>
    <row r="2477" customFormat="false" ht="15" hidden="false" customHeight="false" outlineLevel="0" collapsed="false">
      <c r="M2477" s="35" t="str">
        <f aca="false">IF($A2477="","",HOUR($A2477))</f>
        <v/>
      </c>
      <c r="N2477" s="36" t="str">
        <f aca="false">IF($A2477="","",$I2477*$K2477)</f>
        <v/>
      </c>
      <c r="O2477" s="35" t="str">
        <f aca="false">IF(OR($A2477="",$C2477="U",$S2477&lt;&gt;Calc!$F$2),"",SUMIFS($I$3:$I$3002,$E$3:$E$3002,$E2477,$C$3:$C$3002,"&lt;&gt;U",$S$3:$S$3002,Calc!$F$2))</f>
        <v/>
      </c>
      <c r="P2477" s="35" t="str">
        <f aca="false">IF(OR($A2477="",$C2477="U",$S2477&lt;&gt;Calc!$F$2),"",SUMIFS($N$3:$N$3002,$E$3:$E$3002,$E2477,$C$3:$C$3002,"&lt;&gt;U",$S$3:$S$3002,Calc!$F$2))</f>
        <v/>
      </c>
      <c r="Q2477" s="35" t="str">
        <f aca="false">IF(OR($A2477="",$C2477="U",$S2477&lt;&gt;Calc!$F$2),"",IF(COUNTIFS($E$3:$E2477,$E2477,$C$3:$C2477,"&lt;&gt;U",$S$3:$S2477,Calc!$F$2)=1,1,0))</f>
        <v/>
      </c>
      <c r="R2477" s="35" t="str">
        <f aca="false">IF($Q2477=1,$O2477-ROW()/100000,"")</f>
        <v/>
      </c>
      <c r="S2477" s="37" t="str">
        <f aca="false">IF($A2477="","",INT($A2477))</f>
        <v/>
      </c>
      <c r="T2477" s="35" t="str">
        <f aca="false">IF($A2477="","",IF(COUNTIFS($S$3:$S2477,$S2477)=1,1,0))</f>
        <v/>
      </c>
      <c r="U2477" s="37" t="str">
        <f aca="false">IF($T2477=1,$S2477,"")</f>
        <v/>
      </c>
    </row>
    <row r="2478" customFormat="false" ht="15" hidden="false" customHeight="false" outlineLevel="0" collapsed="false">
      <c r="M2478" s="35" t="str">
        <f aca="false">IF($A2478="","",HOUR($A2478))</f>
        <v/>
      </c>
      <c r="N2478" s="36" t="str">
        <f aca="false">IF($A2478="","",$I2478*$K2478)</f>
        <v/>
      </c>
      <c r="O2478" s="35" t="str">
        <f aca="false">IF(OR($A2478="",$C2478="U",$S2478&lt;&gt;Calc!$F$2),"",SUMIFS($I$3:$I$3002,$E$3:$E$3002,$E2478,$C$3:$C$3002,"&lt;&gt;U",$S$3:$S$3002,Calc!$F$2))</f>
        <v/>
      </c>
      <c r="P2478" s="35" t="str">
        <f aca="false">IF(OR($A2478="",$C2478="U",$S2478&lt;&gt;Calc!$F$2),"",SUMIFS($N$3:$N$3002,$E$3:$E$3002,$E2478,$C$3:$C$3002,"&lt;&gt;U",$S$3:$S$3002,Calc!$F$2))</f>
        <v/>
      </c>
      <c r="Q2478" s="35" t="str">
        <f aca="false">IF(OR($A2478="",$C2478="U",$S2478&lt;&gt;Calc!$F$2),"",IF(COUNTIFS($E$3:$E2478,$E2478,$C$3:$C2478,"&lt;&gt;U",$S$3:$S2478,Calc!$F$2)=1,1,0))</f>
        <v/>
      </c>
      <c r="R2478" s="35" t="str">
        <f aca="false">IF($Q2478=1,$O2478-ROW()/100000,"")</f>
        <v/>
      </c>
      <c r="S2478" s="37" t="str">
        <f aca="false">IF($A2478="","",INT($A2478))</f>
        <v/>
      </c>
      <c r="T2478" s="35" t="str">
        <f aca="false">IF($A2478="","",IF(COUNTIFS($S$3:$S2478,$S2478)=1,1,0))</f>
        <v/>
      </c>
      <c r="U2478" s="37" t="str">
        <f aca="false">IF($T2478=1,$S2478,"")</f>
        <v/>
      </c>
    </row>
    <row r="2479" customFormat="false" ht="15" hidden="false" customHeight="false" outlineLevel="0" collapsed="false">
      <c r="M2479" s="35" t="str">
        <f aca="false">IF($A2479="","",HOUR($A2479))</f>
        <v/>
      </c>
      <c r="N2479" s="36" t="str">
        <f aca="false">IF($A2479="","",$I2479*$K2479)</f>
        <v/>
      </c>
      <c r="O2479" s="35" t="str">
        <f aca="false">IF(OR($A2479="",$C2479="U",$S2479&lt;&gt;Calc!$F$2),"",SUMIFS($I$3:$I$3002,$E$3:$E$3002,$E2479,$C$3:$C$3002,"&lt;&gt;U",$S$3:$S$3002,Calc!$F$2))</f>
        <v/>
      </c>
      <c r="P2479" s="35" t="str">
        <f aca="false">IF(OR($A2479="",$C2479="U",$S2479&lt;&gt;Calc!$F$2),"",SUMIFS($N$3:$N$3002,$E$3:$E$3002,$E2479,$C$3:$C$3002,"&lt;&gt;U",$S$3:$S$3002,Calc!$F$2))</f>
        <v/>
      </c>
      <c r="Q2479" s="35" t="str">
        <f aca="false">IF(OR($A2479="",$C2479="U",$S2479&lt;&gt;Calc!$F$2),"",IF(COUNTIFS($E$3:$E2479,$E2479,$C$3:$C2479,"&lt;&gt;U",$S$3:$S2479,Calc!$F$2)=1,1,0))</f>
        <v/>
      </c>
      <c r="R2479" s="35" t="str">
        <f aca="false">IF($Q2479=1,$O2479-ROW()/100000,"")</f>
        <v/>
      </c>
      <c r="S2479" s="37" t="str">
        <f aca="false">IF($A2479="","",INT($A2479))</f>
        <v/>
      </c>
      <c r="T2479" s="35" t="str">
        <f aca="false">IF($A2479="","",IF(COUNTIFS($S$3:$S2479,$S2479)=1,1,0))</f>
        <v/>
      </c>
      <c r="U2479" s="37" t="str">
        <f aca="false">IF($T2479=1,$S2479,"")</f>
        <v/>
      </c>
    </row>
    <row r="2480" customFormat="false" ht="15" hidden="false" customHeight="false" outlineLevel="0" collapsed="false">
      <c r="M2480" s="35" t="str">
        <f aca="false">IF($A2480="","",HOUR($A2480))</f>
        <v/>
      </c>
      <c r="N2480" s="36" t="str">
        <f aca="false">IF($A2480="","",$I2480*$K2480)</f>
        <v/>
      </c>
      <c r="O2480" s="35" t="str">
        <f aca="false">IF(OR($A2480="",$C2480="U",$S2480&lt;&gt;Calc!$F$2),"",SUMIFS($I$3:$I$3002,$E$3:$E$3002,$E2480,$C$3:$C$3002,"&lt;&gt;U",$S$3:$S$3002,Calc!$F$2))</f>
        <v/>
      </c>
      <c r="P2480" s="35" t="str">
        <f aca="false">IF(OR($A2480="",$C2480="U",$S2480&lt;&gt;Calc!$F$2),"",SUMIFS($N$3:$N$3002,$E$3:$E$3002,$E2480,$C$3:$C$3002,"&lt;&gt;U",$S$3:$S$3002,Calc!$F$2))</f>
        <v/>
      </c>
      <c r="Q2480" s="35" t="str">
        <f aca="false">IF(OR($A2480="",$C2480="U",$S2480&lt;&gt;Calc!$F$2),"",IF(COUNTIFS($E$3:$E2480,$E2480,$C$3:$C2480,"&lt;&gt;U",$S$3:$S2480,Calc!$F$2)=1,1,0))</f>
        <v/>
      </c>
      <c r="R2480" s="35" t="str">
        <f aca="false">IF($Q2480=1,$O2480-ROW()/100000,"")</f>
        <v/>
      </c>
      <c r="S2480" s="37" t="str">
        <f aca="false">IF($A2480="","",INT($A2480))</f>
        <v/>
      </c>
      <c r="T2480" s="35" t="str">
        <f aca="false">IF($A2480="","",IF(COUNTIFS($S$3:$S2480,$S2480)=1,1,0))</f>
        <v/>
      </c>
      <c r="U2480" s="37" t="str">
        <f aca="false">IF($T2480=1,$S2480,"")</f>
        <v/>
      </c>
    </row>
    <row r="2481" customFormat="false" ht="15" hidden="false" customHeight="false" outlineLevel="0" collapsed="false">
      <c r="M2481" s="35" t="str">
        <f aca="false">IF($A2481="","",HOUR($A2481))</f>
        <v/>
      </c>
      <c r="N2481" s="36" t="str">
        <f aca="false">IF($A2481="","",$I2481*$K2481)</f>
        <v/>
      </c>
      <c r="O2481" s="35" t="str">
        <f aca="false">IF(OR($A2481="",$C2481="U",$S2481&lt;&gt;Calc!$F$2),"",SUMIFS($I$3:$I$3002,$E$3:$E$3002,$E2481,$C$3:$C$3002,"&lt;&gt;U",$S$3:$S$3002,Calc!$F$2))</f>
        <v/>
      </c>
      <c r="P2481" s="35" t="str">
        <f aca="false">IF(OR($A2481="",$C2481="U",$S2481&lt;&gt;Calc!$F$2),"",SUMIFS($N$3:$N$3002,$E$3:$E$3002,$E2481,$C$3:$C$3002,"&lt;&gt;U",$S$3:$S$3002,Calc!$F$2))</f>
        <v/>
      </c>
      <c r="Q2481" s="35" t="str">
        <f aca="false">IF(OR($A2481="",$C2481="U",$S2481&lt;&gt;Calc!$F$2),"",IF(COUNTIFS($E$3:$E2481,$E2481,$C$3:$C2481,"&lt;&gt;U",$S$3:$S2481,Calc!$F$2)=1,1,0))</f>
        <v/>
      </c>
      <c r="R2481" s="35" t="str">
        <f aca="false">IF($Q2481=1,$O2481-ROW()/100000,"")</f>
        <v/>
      </c>
      <c r="S2481" s="37" t="str">
        <f aca="false">IF($A2481="","",INT($A2481))</f>
        <v/>
      </c>
      <c r="T2481" s="35" t="str">
        <f aca="false">IF($A2481="","",IF(COUNTIFS($S$3:$S2481,$S2481)=1,1,0))</f>
        <v/>
      </c>
      <c r="U2481" s="37" t="str">
        <f aca="false">IF($T2481=1,$S2481,"")</f>
        <v/>
      </c>
    </row>
    <row r="2482" customFormat="false" ht="15" hidden="false" customHeight="false" outlineLevel="0" collapsed="false">
      <c r="M2482" s="35" t="str">
        <f aca="false">IF($A2482="","",HOUR($A2482))</f>
        <v/>
      </c>
      <c r="N2482" s="36" t="str">
        <f aca="false">IF($A2482="","",$I2482*$K2482)</f>
        <v/>
      </c>
      <c r="O2482" s="35" t="str">
        <f aca="false">IF(OR($A2482="",$C2482="U",$S2482&lt;&gt;Calc!$F$2),"",SUMIFS($I$3:$I$3002,$E$3:$E$3002,$E2482,$C$3:$C$3002,"&lt;&gt;U",$S$3:$S$3002,Calc!$F$2))</f>
        <v/>
      </c>
      <c r="P2482" s="35" t="str">
        <f aca="false">IF(OR($A2482="",$C2482="U",$S2482&lt;&gt;Calc!$F$2),"",SUMIFS($N$3:$N$3002,$E$3:$E$3002,$E2482,$C$3:$C$3002,"&lt;&gt;U",$S$3:$S$3002,Calc!$F$2))</f>
        <v/>
      </c>
      <c r="Q2482" s="35" t="str">
        <f aca="false">IF(OR($A2482="",$C2482="U",$S2482&lt;&gt;Calc!$F$2),"",IF(COUNTIFS($E$3:$E2482,$E2482,$C$3:$C2482,"&lt;&gt;U",$S$3:$S2482,Calc!$F$2)=1,1,0))</f>
        <v/>
      </c>
      <c r="R2482" s="35" t="str">
        <f aca="false">IF($Q2482=1,$O2482-ROW()/100000,"")</f>
        <v/>
      </c>
      <c r="S2482" s="37" t="str">
        <f aca="false">IF($A2482="","",INT($A2482))</f>
        <v/>
      </c>
      <c r="T2482" s="35" t="str">
        <f aca="false">IF($A2482="","",IF(COUNTIFS($S$3:$S2482,$S2482)=1,1,0))</f>
        <v/>
      </c>
      <c r="U2482" s="37" t="str">
        <f aca="false">IF($T2482=1,$S2482,"")</f>
        <v/>
      </c>
    </row>
    <row r="2483" customFormat="false" ht="15" hidden="false" customHeight="false" outlineLevel="0" collapsed="false">
      <c r="M2483" s="35" t="str">
        <f aca="false">IF($A2483="","",HOUR($A2483))</f>
        <v/>
      </c>
      <c r="N2483" s="36" t="str">
        <f aca="false">IF($A2483="","",$I2483*$K2483)</f>
        <v/>
      </c>
      <c r="O2483" s="35" t="str">
        <f aca="false">IF(OR($A2483="",$C2483="U",$S2483&lt;&gt;Calc!$F$2),"",SUMIFS($I$3:$I$3002,$E$3:$E$3002,$E2483,$C$3:$C$3002,"&lt;&gt;U",$S$3:$S$3002,Calc!$F$2))</f>
        <v/>
      </c>
      <c r="P2483" s="35" t="str">
        <f aca="false">IF(OR($A2483="",$C2483="U",$S2483&lt;&gt;Calc!$F$2),"",SUMIFS($N$3:$N$3002,$E$3:$E$3002,$E2483,$C$3:$C$3002,"&lt;&gt;U",$S$3:$S$3002,Calc!$F$2))</f>
        <v/>
      </c>
      <c r="Q2483" s="35" t="str">
        <f aca="false">IF(OR($A2483="",$C2483="U",$S2483&lt;&gt;Calc!$F$2),"",IF(COUNTIFS($E$3:$E2483,$E2483,$C$3:$C2483,"&lt;&gt;U",$S$3:$S2483,Calc!$F$2)=1,1,0))</f>
        <v/>
      </c>
      <c r="R2483" s="35" t="str">
        <f aca="false">IF($Q2483=1,$O2483-ROW()/100000,"")</f>
        <v/>
      </c>
      <c r="S2483" s="37" t="str">
        <f aca="false">IF($A2483="","",INT($A2483))</f>
        <v/>
      </c>
      <c r="T2483" s="35" t="str">
        <f aca="false">IF($A2483="","",IF(COUNTIFS($S$3:$S2483,$S2483)=1,1,0))</f>
        <v/>
      </c>
      <c r="U2483" s="37" t="str">
        <f aca="false">IF($T2483=1,$S2483,"")</f>
        <v/>
      </c>
    </row>
    <row r="2484" customFormat="false" ht="15" hidden="false" customHeight="false" outlineLevel="0" collapsed="false">
      <c r="M2484" s="35" t="str">
        <f aca="false">IF($A2484="","",HOUR($A2484))</f>
        <v/>
      </c>
      <c r="N2484" s="36" t="str">
        <f aca="false">IF($A2484="","",$I2484*$K2484)</f>
        <v/>
      </c>
      <c r="O2484" s="35" t="str">
        <f aca="false">IF(OR($A2484="",$C2484="U",$S2484&lt;&gt;Calc!$F$2),"",SUMIFS($I$3:$I$3002,$E$3:$E$3002,$E2484,$C$3:$C$3002,"&lt;&gt;U",$S$3:$S$3002,Calc!$F$2))</f>
        <v/>
      </c>
      <c r="P2484" s="35" t="str">
        <f aca="false">IF(OR($A2484="",$C2484="U",$S2484&lt;&gt;Calc!$F$2),"",SUMIFS($N$3:$N$3002,$E$3:$E$3002,$E2484,$C$3:$C$3002,"&lt;&gt;U",$S$3:$S$3002,Calc!$F$2))</f>
        <v/>
      </c>
      <c r="Q2484" s="35" t="str">
        <f aca="false">IF(OR($A2484="",$C2484="U",$S2484&lt;&gt;Calc!$F$2),"",IF(COUNTIFS($E$3:$E2484,$E2484,$C$3:$C2484,"&lt;&gt;U",$S$3:$S2484,Calc!$F$2)=1,1,0))</f>
        <v/>
      </c>
      <c r="R2484" s="35" t="str">
        <f aca="false">IF($Q2484=1,$O2484-ROW()/100000,"")</f>
        <v/>
      </c>
      <c r="S2484" s="37" t="str">
        <f aca="false">IF($A2484="","",INT($A2484))</f>
        <v/>
      </c>
      <c r="T2484" s="35" t="str">
        <f aca="false">IF($A2484="","",IF(COUNTIFS($S$3:$S2484,$S2484)=1,1,0))</f>
        <v/>
      </c>
      <c r="U2484" s="37" t="str">
        <f aca="false">IF($T2484=1,$S2484,"")</f>
        <v/>
      </c>
    </row>
    <row r="2485" customFormat="false" ht="15" hidden="false" customHeight="false" outlineLevel="0" collapsed="false">
      <c r="M2485" s="35" t="str">
        <f aca="false">IF($A2485="","",HOUR($A2485))</f>
        <v/>
      </c>
      <c r="N2485" s="36" t="str">
        <f aca="false">IF($A2485="","",$I2485*$K2485)</f>
        <v/>
      </c>
      <c r="O2485" s="35" t="str">
        <f aca="false">IF(OR($A2485="",$C2485="U",$S2485&lt;&gt;Calc!$F$2),"",SUMIFS($I$3:$I$3002,$E$3:$E$3002,$E2485,$C$3:$C$3002,"&lt;&gt;U",$S$3:$S$3002,Calc!$F$2))</f>
        <v/>
      </c>
      <c r="P2485" s="35" t="str">
        <f aca="false">IF(OR($A2485="",$C2485="U",$S2485&lt;&gt;Calc!$F$2),"",SUMIFS($N$3:$N$3002,$E$3:$E$3002,$E2485,$C$3:$C$3002,"&lt;&gt;U",$S$3:$S$3002,Calc!$F$2))</f>
        <v/>
      </c>
      <c r="Q2485" s="35" t="str">
        <f aca="false">IF(OR($A2485="",$C2485="U",$S2485&lt;&gt;Calc!$F$2),"",IF(COUNTIFS($E$3:$E2485,$E2485,$C$3:$C2485,"&lt;&gt;U",$S$3:$S2485,Calc!$F$2)=1,1,0))</f>
        <v/>
      </c>
      <c r="R2485" s="35" t="str">
        <f aca="false">IF($Q2485=1,$O2485-ROW()/100000,"")</f>
        <v/>
      </c>
      <c r="S2485" s="37" t="str">
        <f aca="false">IF($A2485="","",INT($A2485))</f>
        <v/>
      </c>
      <c r="T2485" s="35" t="str">
        <f aca="false">IF($A2485="","",IF(COUNTIFS($S$3:$S2485,$S2485)=1,1,0))</f>
        <v/>
      </c>
      <c r="U2485" s="37" t="str">
        <f aca="false">IF($T2485=1,$S2485,"")</f>
        <v/>
      </c>
    </row>
    <row r="2486" customFormat="false" ht="15" hidden="false" customHeight="false" outlineLevel="0" collapsed="false">
      <c r="M2486" s="35" t="str">
        <f aca="false">IF($A2486="","",HOUR($A2486))</f>
        <v/>
      </c>
      <c r="N2486" s="36" t="str">
        <f aca="false">IF($A2486="","",$I2486*$K2486)</f>
        <v/>
      </c>
      <c r="O2486" s="35" t="str">
        <f aca="false">IF(OR($A2486="",$C2486="U",$S2486&lt;&gt;Calc!$F$2),"",SUMIFS($I$3:$I$3002,$E$3:$E$3002,$E2486,$C$3:$C$3002,"&lt;&gt;U",$S$3:$S$3002,Calc!$F$2))</f>
        <v/>
      </c>
      <c r="P2486" s="35" t="str">
        <f aca="false">IF(OR($A2486="",$C2486="U",$S2486&lt;&gt;Calc!$F$2),"",SUMIFS($N$3:$N$3002,$E$3:$E$3002,$E2486,$C$3:$C$3002,"&lt;&gt;U",$S$3:$S$3002,Calc!$F$2))</f>
        <v/>
      </c>
      <c r="Q2486" s="35" t="str">
        <f aca="false">IF(OR($A2486="",$C2486="U",$S2486&lt;&gt;Calc!$F$2),"",IF(COUNTIFS($E$3:$E2486,$E2486,$C$3:$C2486,"&lt;&gt;U",$S$3:$S2486,Calc!$F$2)=1,1,0))</f>
        <v/>
      </c>
      <c r="R2486" s="35" t="str">
        <f aca="false">IF($Q2486=1,$O2486-ROW()/100000,"")</f>
        <v/>
      </c>
      <c r="S2486" s="37" t="str">
        <f aca="false">IF($A2486="","",INT($A2486))</f>
        <v/>
      </c>
      <c r="T2486" s="35" t="str">
        <f aca="false">IF($A2486="","",IF(COUNTIFS($S$3:$S2486,$S2486)=1,1,0))</f>
        <v/>
      </c>
      <c r="U2486" s="37" t="str">
        <f aca="false">IF($T2486=1,$S2486,"")</f>
        <v/>
      </c>
    </row>
    <row r="2487" customFormat="false" ht="15" hidden="false" customHeight="false" outlineLevel="0" collapsed="false">
      <c r="M2487" s="35" t="str">
        <f aca="false">IF($A2487="","",HOUR($A2487))</f>
        <v/>
      </c>
      <c r="N2487" s="36" t="str">
        <f aca="false">IF($A2487="","",$I2487*$K2487)</f>
        <v/>
      </c>
      <c r="O2487" s="35" t="str">
        <f aca="false">IF(OR($A2487="",$C2487="U",$S2487&lt;&gt;Calc!$F$2),"",SUMIFS($I$3:$I$3002,$E$3:$E$3002,$E2487,$C$3:$C$3002,"&lt;&gt;U",$S$3:$S$3002,Calc!$F$2))</f>
        <v/>
      </c>
      <c r="P2487" s="35" t="str">
        <f aca="false">IF(OR($A2487="",$C2487="U",$S2487&lt;&gt;Calc!$F$2),"",SUMIFS($N$3:$N$3002,$E$3:$E$3002,$E2487,$C$3:$C$3002,"&lt;&gt;U",$S$3:$S$3002,Calc!$F$2))</f>
        <v/>
      </c>
      <c r="Q2487" s="35" t="str">
        <f aca="false">IF(OR($A2487="",$C2487="U",$S2487&lt;&gt;Calc!$F$2),"",IF(COUNTIFS($E$3:$E2487,$E2487,$C$3:$C2487,"&lt;&gt;U",$S$3:$S2487,Calc!$F$2)=1,1,0))</f>
        <v/>
      </c>
      <c r="R2487" s="35" t="str">
        <f aca="false">IF($Q2487=1,$O2487-ROW()/100000,"")</f>
        <v/>
      </c>
      <c r="S2487" s="37" t="str">
        <f aca="false">IF($A2487="","",INT($A2487))</f>
        <v/>
      </c>
      <c r="T2487" s="35" t="str">
        <f aca="false">IF($A2487="","",IF(COUNTIFS($S$3:$S2487,$S2487)=1,1,0))</f>
        <v/>
      </c>
      <c r="U2487" s="37" t="str">
        <f aca="false">IF($T2487=1,$S2487,"")</f>
        <v/>
      </c>
    </row>
    <row r="2488" customFormat="false" ht="15" hidden="false" customHeight="false" outlineLevel="0" collapsed="false">
      <c r="M2488" s="35" t="str">
        <f aca="false">IF($A2488="","",HOUR($A2488))</f>
        <v/>
      </c>
      <c r="N2488" s="36" t="str">
        <f aca="false">IF($A2488="","",$I2488*$K2488)</f>
        <v/>
      </c>
      <c r="O2488" s="35" t="str">
        <f aca="false">IF(OR($A2488="",$C2488="U",$S2488&lt;&gt;Calc!$F$2),"",SUMIFS($I$3:$I$3002,$E$3:$E$3002,$E2488,$C$3:$C$3002,"&lt;&gt;U",$S$3:$S$3002,Calc!$F$2))</f>
        <v/>
      </c>
      <c r="P2488" s="35" t="str">
        <f aca="false">IF(OR($A2488="",$C2488="U",$S2488&lt;&gt;Calc!$F$2),"",SUMIFS($N$3:$N$3002,$E$3:$E$3002,$E2488,$C$3:$C$3002,"&lt;&gt;U",$S$3:$S$3002,Calc!$F$2))</f>
        <v/>
      </c>
      <c r="Q2488" s="35" t="str">
        <f aca="false">IF(OR($A2488="",$C2488="U",$S2488&lt;&gt;Calc!$F$2),"",IF(COUNTIFS($E$3:$E2488,$E2488,$C$3:$C2488,"&lt;&gt;U",$S$3:$S2488,Calc!$F$2)=1,1,0))</f>
        <v/>
      </c>
      <c r="R2488" s="35" t="str">
        <f aca="false">IF($Q2488=1,$O2488-ROW()/100000,"")</f>
        <v/>
      </c>
      <c r="S2488" s="37" t="str">
        <f aca="false">IF($A2488="","",INT($A2488))</f>
        <v/>
      </c>
      <c r="T2488" s="35" t="str">
        <f aca="false">IF($A2488="","",IF(COUNTIFS($S$3:$S2488,$S2488)=1,1,0))</f>
        <v/>
      </c>
      <c r="U2488" s="37" t="str">
        <f aca="false">IF($T2488=1,$S2488,"")</f>
        <v/>
      </c>
    </row>
    <row r="2489" customFormat="false" ht="15" hidden="false" customHeight="false" outlineLevel="0" collapsed="false">
      <c r="M2489" s="35" t="str">
        <f aca="false">IF($A2489="","",HOUR($A2489))</f>
        <v/>
      </c>
      <c r="N2489" s="36" t="str">
        <f aca="false">IF($A2489="","",$I2489*$K2489)</f>
        <v/>
      </c>
      <c r="O2489" s="35" t="str">
        <f aca="false">IF(OR($A2489="",$C2489="U",$S2489&lt;&gt;Calc!$F$2),"",SUMIFS($I$3:$I$3002,$E$3:$E$3002,$E2489,$C$3:$C$3002,"&lt;&gt;U",$S$3:$S$3002,Calc!$F$2))</f>
        <v/>
      </c>
      <c r="P2489" s="35" t="str">
        <f aca="false">IF(OR($A2489="",$C2489="U",$S2489&lt;&gt;Calc!$F$2),"",SUMIFS($N$3:$N$3002,$E$3:$E$3002,$E2489,$C$3:$C$3002,"&lt;&gt;U",$S$3:$S$3002,Calc!$F$2))</f>
        <v/>
      </c>
      <c r="Q2489" s="35" t="str">
        <f aca="false">IF(OR($A2489="",$C2489="U",$S2489&lt;&gt;Calc!$F$2),"",IF(COUNTIFS($E$3:$E2489,$E2489,$C$3:$C2489,"&lt;&gt;U",$S$3:$S2489,Calc!$F$2)=1,1,0))</f>
        <v/>
      </c>
      <c r="R2489" s="35" t="str">
        <f aca="false">IF($Q2489=1,$O2489-ROW()/100000,"")</f>
        <v/>
      </c>
      <c r="S2489" s="37" t="str">
        <f aca="false">IF($A2489="","",INT($A2489))</f>
        <v/>
      </c>
      <c r="T2489" s="35" t="str">
        <f aca="false">IF($A2489="","",IF(COUNTIFS($S$3:$S2489,$S2489)=1,1,0))</f>
        <v/>
      </c>
      <c r="U2489" s="37" t="str">
        <f aca="false">IF($T2489=1,$S2489,"")</f>
        <v/>
      </c>
    </row>
    <row r="2490" customFormat="false" ht="15" hidden="false" customHeight="false" outlineLevel="0" collapsed="false">
      <c r="M2490" s="35" t="str">
        <f aca="false">IF($A2490="","",HOUR($A2490))</f>
        <v/>
      </c>
      <c r="N2490" s="36" t="str">
        <f aca="false">IF($A2490="","",$I2490*$K2490)</f>
        <v/>
      </c>
      <c r="O2490" s="35" t="str">
        <f aca="false">IF(OR($A2490="",$C2490="U",$S2490&lt;&gt;Calc!$F$2),"",SUMIFS($I$3:$I$3002,$E$3:$E$3002,$E2490,$C$3:$C$3002,"&lt;&gt;U",$S$3:$S$3002,Calc!$F$2))</f>
        <v/>
      </c>
      <c r="P2490" s="35" t="str">
        <f aca="false">IF(OR($A2490="",$C2490="U",$S2490&lt;&gt;Calc!$F$2),"",SUMIFS($N$3:$N$3002,$E$3:$E$3002,$E2490,$C$3:$C$3002,"&lt;&gt;U",$S$3:$S$3002,Calc!$F$2))</f>
        <v/>
      </c>
      <c r="Q2490" s="35" t="str">
        <f aca="false">IF(OR($A2490="",$C2490="U",$S2490&lt;&gt;Calc!$F$2),"",IF(COUNTIFS($E$3:$E2490,$E2490,$C$3:$C2490,"&lt;&gt;U",$S$3:$S2490,Calc!$F$2)=1,1,0))</f>
        <v/>
      </c>
      <c r="R2490" s="35" t="str">
        <f aca="false">IF($Q2490=1,$O2490-ROW()/100000,"")</f>
        <v/>
      </c>
      <c r="S2490" s="37" t="str">
        <f aca="false">IF($A2490="","",INT($A2490))</f>
        <v/>
      </c>
      <c r="T2490" s="35" t="str">
        <f aca="false">IF($A2490="","",IF(COUNTIFS($S$3:$S2490,$S2490)=1,1,0))</f>
        <v/>
      </c>
      <c r="U2490" s="37" t="str">
        <f aca="false">IF($T2490=1,$S2490,"")</f>
        <v/>
      </c>
    </row>
    <row r="2491" customFormat="false" ht="15" hidden="false" customHeight="false" outlineLevel="0" collapsed="false">
      <c r="M2491" s="35" t="str">
        <f aca="false">IF($A2491="","",HOUR($A2491))</f>
        <v/>
      </c>
      <c r="N2491" s="36" t="str">
        <f aca="false">IF($A2491="","",$I2491*$K2491)</f>
        <v/>
      </c>
      <c r="O2491" s="35" t="str">
        <f aca="false">IF(OR($A2491="",$C2491="U",$S2491&lt;&gt;Calc!$F$2),"",SUMIFS($I$3:$I$3002,$E$3:$E$3002,$E2491,$C$3:$C$3002,"&lt;&gt;U",$S$3:$S$3002,Calc!$F$2))</f>
        <v/>
      </c>
      <c r="P2491" s="35" t="str">
        <f aca="false">IF(OR($A2491="",$C2491="U",$S2491&lt;&gt;Calc!$F$2),"",SUMIFS($N$3:$N$3002,$E$3:$E$3002,$E2491,$C$3:$C$3002,"&lt;&gt;U",$S$3:$S$3002,Calc!$F$2))</f>
        <v/>
      </c>
      <c r="Q2491" s="35" t="str">
        <f aca="false">IF(OR($A2491="",$C2491="U",$S2491&lt;&gt;Calc!$F$2),"",IF(COUNTIFS($E$3:$E2491,$E2491,$C$3:$C2491,"&lt;&gt;U",$S$3:$S2491,Calc!$F$2)=1,1,0))</f>
        <v/>
      </c>
      <c r="R2491" s="35" t="str">
        <f aca="false">IF($Q2491=1,$O2491-ROW()/100000,"")</f>
        <v/>
      </c>
      <c r="S2491" s="37" t="str">
        <f aca="false">IF($A2491="","",INT($A2491))</f>
        <v/>
      </c>
      <c r="T2491" s="35" t="str">
        <f aca="false">IF($A2491="","",IF(COUNTIFS($S$3:$S2491,$S2491)=1,1,0))</f>
        <v/>
      </c>
      <c r="U2491" s="37" t="str">
        <f aca="false">IF($T2491=1,$S2491,"")</f>
        <v/>
      </c>
    </row>
    <row r="2492" customFormat="false" ht="15" hidden="false" customHeight="false" outlineLevel="0" collapsed="false">
      <c r="M2492" s="35" t="str">
        <f aca="false">IF($A2492="","",HOUR($A2492))</f>
        <v/>
      </c>
      <c r="N2492" s="36" t="str">
        <f aca="false">IF($A2492="","",$I2492*$K2492)</f>
        <v/>
      </c>
      <c r="O2492" s="35" t="str">
        <f aca="false">IF(OR($A2492="",$C2492="U",$S2492&lt;&gt;Calc!$F$2),"",SUMIFS($I$3:$I$3002,$E$3:$E$3002,$E2492,$C$3:$C$3002,"&lt;&gt;U",$S$3:$S$3002,Calc!$F$2))</f>
        <v/>
      </c>
      <c r="P2492" s="35" t="str">
        <f aca="false">IF(OR($A2492="",$C2492="U",$S2492&lt;&gt;Calc!$F$2),"",SUMIFS($N$3:$N$3002,$E$3:$E$3002,$E2492,$C$3:$C$3002,"&lt;&gt;U",$S$3:$S$3002,Calc!$F$2))</f>
        <v/>
      </c>
      <c r="Q2492" s="35" t="str">
        <f aca="false">IF(OR($A2492="",$C2492="U",$S2492&lt;&gt;Calc!$F$2),"",IF(COUNTIFS($E$3:$E2492,$E2492,$C$3:$C2492,"&lt;&gt;U",$S$3:$S2492,Calc!$F$2)=1,1,0))</f>
        <v/>
      </c>
      <c r="R2492" s="35" t="str">
        <f aca="false">IF($Q2492=1,$O2492-ROW()/100000,"")</f>
        <v/>
      </c>
      <c r="S2492" s="37" t="str">
        <f aca="false">IF($A2492="","",INT($A2492))</f>
        <v/>
      </c>
      <c r="T2492" s="35" t="str">
        <f aca="false">IF($A2492="","",IF(COUNTIFS($S$3:$S2492,$S2492)=1,1,0))</f>
        <v/>
      </c>
      <c r="U2492" s="37" t="str">
        <f aca="false">IF($T2492=1,$S2492,"")</f>
        <v/>
      </c>
    </row>
    <row r="2493" customFormat="false" ht="15" hidden="false" customHeight="false" outlineLevel="0" collapsed="false">
      <c r="M2493" s="35" t="str">
        <f aca="false">IF($A2493="","",HOUR($A2493))</f>
        <v/>
      </c>
      <c r="N2493" s="36" t="str">
        <f aca="false">IF($A2493="","",$I2493*$K2493)</f>
        <v/>
      </c>
      <c r="O2493" s="35" t="str">
        <f aca="false">IF(OR($A2493="",$C2493="U",$S2493&lt;&gt;Calc!$F$2),"",SUMIFS($I$3:$I$3002,$E$3:$E$3002,$E2493,$C$3:$C$3002,"&lt;&gt;U",$S$3:$S$3002,Calc!$F$2))</f>
        <v/>
      </c>
      <c r="P2493" s="35" t="str">
        <f aca="false">IF(OR($A2493="",$C2493="U",$S2493&lt;&gt;Calc!$F$2),"",SUMIFS($N$3:$N$3002,$E$3:$E$3002,$E2493,$C$3:$C$3002,"&lt;&gt;U",$S$3:$S$3002,Calc!$F$2))</f>
        <v/>
      </c>
      <c r="Q2493" s="35" t="str">
        <f aca="false">IF(OR($A2493="",$C2493="U",$S2493&lt;&gt;Calc!$F$2),"",IF(COUNTIFS($E$3:$E2493,$E2493,$C$3:$C2493,"&lt;&gt;U",$S$3:$S2493,Calc!$F$2)=1,1,0))</f>
        <v/>
      </c>
      <c r="R2493" s="35" t="str">
        <f aca="false">IF($Q2493=1,$O2493-ROW()/100000,"")</f>
        <v/>
      </c>
      <c r="S2493" s="37" t="str">
        <f aca="false">IF($A2493="","",INT($A2493))</f>
        <v/>
      </c>
      <c r="T2493" s="35" t="str">
        <f aca="false">IF($A2493="","",IF(COUNTIFS($S$3:$S2493,$S2493)=1,1,0))</f>
        <v/>
      </c>
      <c r="U2493" s="37" t="str">
        <f aca="false">IF($T2493=1,$S2493,"")</f>
        <v/>
      </c>
    </row>
    <row r="2494" customFormat="false" ht="15" hidden="false" customHeight="false" outlineLevel="0" collapsed="false">
      <c r="M2494" s="35" t="str">
        <f aca="false">IF($A2494="","",HOUR($A2494))</f>
        <v/>
      </c>
      <c r="N2494" s="36" t="str">
        <f aca="false">IF($A2494="","",$I2494*$K2494)</f>
        <v/>
      </c>
      <c r="O2494" s="35" t="str">
        <f aca="false">IF(OR($A2494="",$C2494="U",$S2494&lt;&gt;Calc!$F$2),"",SUMIFS($I$3:$I$3002,$E$3:$E$3002,$E2494,$C$3:$C$3002,"&lt;&gt;U",$S$3:$S$3002,Calc!$F$2))</f>
        <v/>
      </c>
      <c r="P2494" s="35" t="str">
        <f aca="false">IF(OR($A2494="",$C2494="U",$S2494&lt;&gt;Calc!$F$2),"",SUMIFS($N$3:$N$3002,$E$3:$E$3002,$E2494,$C$3:$C$3002,"&lt;&gt;U",$S$3:$S$3002,Calc!$F$2))</f>
        <v/>
      </c>
      <c r="Q2494" s="35" t="str">
        <f aca="false">IF(OR($A2494="",$C2494="U",$S2494&lt;&gt;Calc!$F$2),"",IF(COUNTIFS($E$3:$E2494,$E2494,$C$3:$C2494,"&lt;&gt;U",$S$3:$S2494,Calc!$F$2)=1,1,0))</f>
        <v/>
      </c>
      <c r="R2494" s="35" t="str">
        <f aca="false">IF($Q2494=1,$O2494-ROW()/100000,"")</f>
        <v/>
      </c>
      <c r="S2494" s="37" t="str">
        <f aca="false">IF($A2494="","",INT($A2494))</f>
        <v/>
      </c>
      <c r="T2494" s="35" t="str">
        <f aca="false">IF($A2494="","",IF(COUNTIFS($S$3:$S2494,$S2494)=1,1,0))</f>
        <v/>
      </c>
      <c r="U2494" s="37" t="str">
        <f aca="false">IF($T2494=1,$S2494,"")</f>
        <v/>
      </c>
    </row>
    <row r="2495" customFormat="false" ht="15" hidden="false" customHeight="false" outlineLevel="0" collapsed="false">
      <c r="M2495" s="35" t="str">
        <f aca="false">IF($A2495="","",HOUR($A2495))</f>
        <v/>
      </c>
      <c r="N2495" s="36" t="str">
        <f aca="false">IF($A2495="","",$I2495*$K2495)</f>
        <v/>
      </c>
      <c r="O2495" s="35" t="str">
        <f aca="false">IF(OR($A2495="",$C2495="U",$S2495&lt;&gt;Calc!$F$2),"",SUMIFS($I$3:$I$3002,$E$3:$E$3002,$E2495,$C$3:$C$3002,"&lt;&gt;U",$S$3:$S$3002,Calc!$F$2))</f>
        <v/>
      </c>
      <c r="P2495" s="35" t="str">
        <f aca="false">IF(OR($A2495="",$C2495="U",$S2495&lt;&gt;Calc!$F$2),"",SUMIFS($N$3:$N$3002,$E$3:$E$3002,$E2495,$C$3:$C$3002,"&lt;&gt;U",$S$3:$S$3002,Calc!$F$2))</f>
        <v/>
      </c>
      <c r="Q2495" s="35" t="str">
        <f aca="false">IF(OR($A2495="",$C2495="U",$S2495&lt;&gt;Calc!$F$2),"",IF(COUNTIFS($E$3:$E2495,$E2495,$C$3:$C2495,"&lt;&gt;U",$S$3:$S2495,Calc!$F$2)=1,1,0))</f>
        <v/>
      </c>
      <c r="R2495" s="35" t="str">
        <f aca="false">IF($Q2495=1,$O2495-ROW()/100000,"")</f>
        <v/>
      </c>
      <c r="S2495" s="37" t="str">
        <f aca="false">IF($A2495="","",INT($A2495))</f>
        <v/>
      </c>
      <c r="T2495" s="35" t="str">
        <f aca="false">IF($A2495="","",IF(COUNTIFS($S$3:$S2495,$S2495)=1,1,0))</f>
        <v/>
      </c>
      <c r="U2495" s="37" t="str">
        <f aca="false">IF($T2495=1,$S2495,"")</f>
        <v/>
      </c>
    </row>
    <row r="2496" customFormat="false" ht="15" hidden="false" customHeight="false" outlineLevel="0" collapsed="false">
      <c r="M2496" s="35" t="str">
        <f aca="false">IF($A2496="","",HOUR($A2496))</f>
        <v/>
      </c>
      <c r="N2496" s="36" t="str">
        <f aca="false">IF($A2496="","",$I2496*$K2496)</f>
        <v/>
      </c>
      <c r="O2496" s="35" t="str">
        <f aca="false">IF(OR($A2496="",$C2496="U",$S2496&lt;&gt;Calc!$F$2),"",SUMIFS($I$3:$I$3002,$E$3:$E$3002,$E2496,$C$3:$C$3002,"&lt;&gt;U",$S$3:$S$3002,Calc!$F$2))</f>
        <v/>
      </c>
      <c r="P2496" s="35" t="str">
        <f aca="false">IF(OR($A2496="",$C2496="U",$S2496&lt;&gt;Calc!$F$2),"",SUMIFS($N$3:$N$3002,$E$3:$E$3002,$E2496,$C$3:$C$3002,"&lt;&gt;U",$S$3:$S$3002,Calc!$F$2))</f>
        <v/>
      </c>
      <c r="Q2496" s="35" t="str">
        <f aca="false">IF(OR($A2496="",$C2496="U",$S2496&lt;&gt;Calc!$F$2),"",IF(COUNTIFS($E$3:$E2496,$E2496,$C$3:$C2496,"&lt;&gt;U",$S$3:$S2496,Calc!$F$2)=1,1,0))</f>
        <v/>
      </c>
      <c r="R2496" s="35" t="str">
        <f aca="false">IF($Q2496=1,$O2496-ROW()/100000,"")</f>
        <v/>
      </c>
      <c r="S2496" s="37" t="str">
        <f aca="false">IF($A2496="","",INT($A2496))</f>
        <v/>
      </c>
      <c r="T2496" s="35" t="str">
        <f aca="false">IF($A2496="","",IF(COUNTIFS($S$3:$S2496,$S2496)=1,1,0))</f>
        <v/>
      </c>
      <c r="U2496" s="37" t="str">
        <f aca="false">IF($T2496=1,$S2496,"")</f>
        <v/>
      </c>
    </row>
    <row r="2497" customFormat="false" ht="15" hidden="false" customHeight="false" outlineLevel="0" collapsed="false">
      <c r="M2497" s="35" t="str">
        <f aca="false">IF($A2497="","",HOUR($A2497))</f>
        <v/>
      </c>
      <c r="N2497" s="36" t="str">
        <f aca="false">IF($A2497="","",$I2497*$K2497)</f>
        <v/>
      </c>
      <c r="O2497" s="35" t="str">
        <f aca="false">IF(OR($A2497="",$C2497="U",$S2497&lt;&gt;Calc!$F$2),"",SUMIFS($I$3:$I$3002,$E$3:$E$3002,$E2497,$C$3:$C$3002,"&lt;&gt;U",$S$3:$S$3002,Calc!$F$2))</f>
        <v/>
      </c>
      <c r="P2497" s="35" t="str">
        <f aca="false">IF(OR($A2497="",$C2497="U",$S2497&lt;&gt;Calc!$F$2),"",SUMIFS($N$3:$N$3002,$E$3:$E$3002,$E2497,$C$3:$C$3002,"&lt;&gt;U",$S$3:$S$3002,Calc!$F$2))</f>
        <v/>
      </c>
      <c r="Q2497" s="35" t="str">
        <f aca="false">IF(OR($A2497="",$C2497="U",$S2497&lt;&gt;Calc!$F$2),"",IF(COUNTIFS($E$3:$E2497,$E2497,$C$3:$C2497,"&lt;&gt;U",$S$3:$S2497,Calc!$F$2)=1,1,0))</f>
        <v/>
      </c>
      <c r="R2497" s="35" t="str">
        <f aca="false">IF($Q2497=1,$O2497-ROW()/100000,"")</f>
        <v/>
      </c>
      <c r="S2497" s="37" t="str">
        <f aca="false">IF($A2497="","",INT($A2497))</f>
        <v/>
      </c>
      <c r="T2497" s="35" t="str">
        <f aca="false">IF($A2497="","",IF(COUNTIFS($S$3:$S2497,$S2497)=1,1,0))</f>
        <v/>
      </c>
      <c r="U2497" s="37" t="str">
        <f aca="false">IF($T2497=1,$S2497,"")</f>
        <v/>
      </c>
    </row>
    <row r="2498" customFormat="false" ht="15" hidden="false" customHeight="false" outlineLevel="0" collapsed="false">
      <c r="M2498" s="35" t="str">
        <f aca="false">IF($A2498="","",HOUR($A2498))</f>
        <v/>
      </c>
      <c r="N2498" s="36" t="str">
        <f aca="false">IF($A2498="","",$I2498*$K2498)</f>
        <v/>
      </c>
      <c r="O2498" s="35" t="str">
        <f aca="false">IF(OR($A2498="",$C2498="U",$S2498&lt;&gt;Calc!$F$2),"",SUMIFS($I$3:$I$3002,$E$3:$E$3002,$E2498,$C$3:$C$3002,"&lt;&gt;U",$S$3:$S$3002,Calc!$F$2))</f>
        <v/>
      </c>
      <c r="P2498" s="35" t="str">
        <f aca="false">IF(OR($A2498="",$C2498="U",$S2498&lt;&gt;Calc!$F$2),"",SUMIFS($N$3:$N$3002,$E$3:$E$3002,$E2498,$C$3:$C$3002,"&lt;&gt;U",$S$3:$S$3002,Calc!$F$2))</f>
        <v/>
      </c>
      <c r="Q2498" s="35" t="str">
        <f aca="false">IF(OR($A2498="",$C2498="U",$S2498&lt;&gt;Calc!$F$2),"",IF(COUNTIFS($E$3:$E2498,$E2498,$C$3:$C2498,"&lt;&gt;U",$S$3:$S2498,Calc!$F$2)=1,1,0))</f>
        <v/>
      </c>
      <c r="R2498" s="35" t="str">
        <f aca="false">IF($Q2498=1,$O2498-ROW()/100000,"")</f>
        <v/>
      </c>
      <c r="S2498" s="37" t="str">
        <f aca="false">IF($A2498="","",INT($A2498))</f>
        <v/>
      </c>
      <c r="T2498" s="35" t="str">
        <f aca="false">IF($A2498="","",IF(COUNTIFS($S$3:$S2498,$S2498)=1,1,0))</f>
        <v/>
      </c>
      <c r="U2498" s="37" t="str">
        <f aca="false">IF($T2498=1,$S2498,"")</f>
        <v/>
      </c>
    </row>
    <row r="2499" customFormat="false" ht="15" hidden="false" customHeight="false" outlineLevel="0" collapsed="false">
      <c r="M2499" s="35" t="str">
        <f aca="false">IF($A2499="","",HOUR($A2499))</f>
        <v/>
      </c>
      <c r="N2499" s="36" t="str">
        <f aca="false">IF($A2499="","",$I2499*$K2499)</f>
        <v/>
      </c>
      <c r="O2499" s="35" t="str">
        <f aca="false">IF(OR($A2499="",$C2499="U",$S2499&lt;&gt;Calc!$F$2),"",SUMIFS($I$3:$I$3002,$E$3:$E$3002,$E2499,$C$3:$C$3002,"&lt;&gt;U",$S$3:$S$3002,Calc!$F$2))</f>
        <v/>
      </c>
      <c r="P2499" s="35" t="str">
        <f aca="false">IF(OR($A2499="",$C2499="U",$S2499&lt;&gt;Calc!$F$2),"",SUMIFS($N$3:$N$3002,$E$3:$E$3002,$E2499,$C$3:$C$3002,"&lt;&gt;U",$S$3:$S$3002,Calc!$F$2))</f>
        <v/>
      </c>
      <c r="Q2499" s="35" t="str">
        <f aca="false">IF(OR($A2499="",$C2499="U",$S2499&lt;&gt;Calc!$F$2),"",IF(COUNTIFS($E$3:$E2499,$E2499,$C$3:$C2499,"&lt;&gt;U",$S$3:$S2499,Calc!$F$2)=1,1,0))</f>
        <v/>
      </c>
      <c r="R2499" s="35" t="str">
        <f aca="false">IF($Q2499=1,$O2499-ROW()/100000,"")</f>
        <v/>
      </c>
      <c r="S2499" s="37" t="str">
        <f aca="false">IF($A2499="","",INT($A2499))</f>
        <v/>
      </c>
      <c r="T2499" s="35" t="str">
        <f aca="false">IF($A2499="","",IF(COUNTIFS($S$3:$S2499,$S2499)=1,1,0))</f>
        <v/>
      </c>
      <c r="U2499" s="37" t="str">
        <f aca="false">IF($T2499=1,$S2499,"")</f>
        <v/>
      </c>
    </row>
    <row r="2500" customFormat="false" ht="15" hidden="false" customHeight="false" outlineLevel="0" collapsed="false">
      <c r="M2500" s="35" t="str">
        <f aca="false">IF($A2500="","",HOUR($A2500))</f>
        <v/>
      </c>
      <c r="N2500" s="36" t="str">
        <f aca="false">IF($A2500="","",$I2500*$K2500)</f>
        <v/>
      </c>
      <c r="O2500" s="35" t="str">
        <f aca="false">IF(OR($A2500="",$C2500="U",$S2500&lt;&gt;Calc!$F$2),"",SUMIFS($I$3:$I$3002,$E$3:$E$3002,$E2500,$C$3:$C$3002,"&lt;&gt;U",$S$3:$S$3002,Calc!$F$2))</f>
        <v/>
      </c>
      <c r="P2500" s="35" t="str">
        <f aca="false">IF(OR($A2500="",$C2500="U",$S2500&lt;&gt;Calc!$F$2),"",SUMIFS($N$3:$N$3002,$E$3:$E$3002,$E2500,$C$3:$C$3002,"&lt;&gt;U",$S$3:$S$3002,Calc!$F$2))</f>
        <v/>
      </c>
      <c r="Q2500" s="35" t="str">
        <f aca="false">IF(OR($A2500="",$C2500="U",$S2500&lt;&gt;Calc!$F$2),"",IF(COUNTIFS($E$3:$E2500,$E2500,$C$3:$C2500,"&lt;&gt;U",$S$3:$S2500,Calc!$F$2)=1,1,0))</f>
        <v/>
      </c>
      <c r="R2500" s="35" t="str">
        <f aca="false">IF($Q2500=1,$O2500-ROW()/100000,"")</f>
        <v/>
      </c>
      <c r="S2500" s="37" t="str">
        <f aca="false">IF($A2500="","",INT($A2500))</f>
        <v/>
      </c>
      <c r="T2500" s="35" t="str">
        <f aca="false">IF($A2500="","",IF(COUNTIFS($S$3:$S2500,$S2500)=1,1,0))</f>
        <v/>
      </c>
      <c r="U2500" s="37" t="str">
        <f aca="false">IF($T2500=1,$S2500,"")</f>
        <v/>
      </c>
    </row>
    <row r="2501" customFormat="false" ht="15" hidden="false" customHeight="false" outlineLevel="0" collapsed="false">
      <c r="M2501" s="35" t="str">
        <f aca="false">IF($A2501="","",HOUR($A2501))</f>
        <v/>
      </c>
      <c r="N2501" s="36" t="str">
        <f aca="false">IF($A2501="","",$I2501*$K2501)</f>
        <v/>
      </c>
      <c r="O2501" s="35" t="str">
        <f aca="false">IF(OR($A2501="",$C2501="U",$S2501&lt;&gt;Calc!$F$2),"",SUMIFS($I$3:$I$3002,$E$3:$E$3002,$E2501,$C$3:$C$3002,"&lt;&gt;U",$S$3:$S$3002,Calc!$F$2))</f>
        <v/>
      </c>
      <c r="P2501" s="35" t="str">
        <f aca="false">IF(OR($A2501="",$C2501="U",$S2501&lt;&gt;Calc!$F$2),"",SUMIFS($N$3:$N$3002,$E$3:$E$3002,$E2501,$C$3:$C$3002,"&lt;&gt;U",$S$3:$S$3002,Calc!$F$2))</f>
        <v/>
      </c>
      <c r="Q2501" s="35" t="str">
        <f aca="false">IF(OR($A2501="",$C2501="U",$S2501&lt;&gt;Calc!$F$2),"",IF(COUNTIFS($E$3:$E2501,$E2501,$C$3:$C2501,"&lt;&gt;U",$S$3:$S2501,Calc!$F$2)=1,1,0))</f>
        <v/>
      </c>
      <c r="R2501" s="35" t="str">
        <f aca="false">IF($Q2501=1,$O2501-ROW()/100000,"")</f>
        <v/>
      </c>
      <c r="S2501" s="37" t="str">
        <f aca="false">IF($A2501="","",INT($A2501))</f>
        <v/>
      </c>
      <c r="T2501" s="35" t="str">
        <f aca="false">IF($A2501="","",IF(COUNTIFS($S$3:$S2501,$S2501)=1,1,0))</f>
        <v/>
      </c>
      <c r="U2501" s="37" t="str">
        <f aca="false">IF($T2501=1,$S2501,"")</f>
        <v/>
      </c>
    </row>
    <row r="2502" customFormat="false" ht="15" hidden="false" customHeight="false" outlineLevel="0" collapsed="false">
      <c r="M2502" s="35" t="str">
        <f aca="false">IF($A2502="","",HOUR($A2502))</f>
        <v/>
      </c>
      <c r="N2502" s="36" t="str">
        <f aca="false">IF($A2502="","",$I2502*$K2502)</f>
        <v/>
      </c>
      <c r="O2502" s="35" t="str">
        <f aca="false">IF(OR($A2502="",$C2502="U",$S2502&lt;&gt;Calc!$F$2),"",SUMIFS($I$3:$I$3002,$E$3:$E$3002,$E2502,$C$3:$C$3002,"&lt;&gt;U",$S$3:$S$3002,Calc!$F$2))</f>
        <v/>
      </c>
      <c r="P2502" s="35" t="str">
        <f aca="false">IF(OR($A2502="",$C2502="U",$S2502&lt;&gt;Calc!$F$2),"",SUMIFS($N$3:$N$3002,$E$3:$E$3002,$E2502,$C$3:$C$3002,"&lt;&gt;U",$S$3:$S$3002,Calc!$F$2))</f>
        <v/>
      </c>
      <c r="Q2502" s="35" t="str">
        <f aca="false">IF(OR($A2502="",$C2502="U",$S2502&lt;&gt;Calc!$F$2),"",IF(COUNTIFS($E$3:$E2502,$E2502,$C$3:$C2502,"&lt;&gt;U",$S$3:$S2502,Calc!$F$2)=1,1,0))</f>
        <v/>
      </c>
      <c r="R2502" s="35" t="str">
        <f aca="false">IF($Q2502=1,$O2502-ROW()/100000,"")</f>
        <v/>
      </c>
      <c r="S2502" s="37" t="str">
        <f aca="false">IF($A2502="","",INT($A2502))</f>
        <v/>
      </c>
      <c r="T2502" s="35" t="str">
        <f aca="false">IF($A2502="","",IF(COUNTIFS($S$3:$S2502,$S2502)=1,1,0))</f>
        <v/>
      </c>
      <c r="U2502" s="37" t="str">
        <f aca="false">IF($T2502=1,$S2502,"")</f>
        <v/>
      </c>
    </row>
    <row r="2503" customFormat="false" ht="15" hidden="false" customHeight="false" outlineLevel="0" collapsed="false">
      <c r="M2503" s="35" t="str">
        <f aca="false">IF($A2503="","",HOUR($A2503))</f>
        <v/>
      </c>
      <c r="N2503" s="36" t="str">
        <f aca="false">IF($A2503="","",$I2503*$K2503)</f>
        <v/>
      </c>
      <c r="O2503" s="35" t="str">
        <f aca="false">IF(OR($A2503="",$C2503="U",$S2503&lt;&gt;Calc!$F$2),"",SUMIFS($I$3:$I$3002,$E$3:$E$3002,$E2503,$C$3:$C$3002,"&lt;&gt;U",$S$3:$S$3002,Calc!$F$2))</f>
        <v/>
      </c>
      <c r="P2503" s="35" t="str">
        <f aca="false">IF(OR($A2503="",$C2503="U",$S2503&lt;&gt;Calc!$F$2),"",SUMIFS($N$3:$N$3002,$E$3:$E$3002,$E2503,$C$3:$C$3002,"&lt;&gt;U",$S$3:$S$3002,Calc!$F$2))</f>
        <v/>
      </c>
      <c r="Q2503" s="35" t="str">
        <f aca="false">IF(OR($A2503="",$C2503="U",$S2503&lt;&gt;Calc!$F$2),"",IF(COUNTIFS($E$3:$E2503,$E2503,$C$3:$C2503,"&lt;&gt;U",$S$3:$S2503,Calc!$F$2)=1,1,0))</f>
        <v/>
      </c>
      <c r="R2503" s="35" t="str">
        <f aca="false">IF($Q2503=1,$O2503-ROW()/100000,"")</f>
        <v/>
      </c>
      <c r="S2503" s="37" t="str">
        <f aca="false">IF($A2503="","",INT($A2503))</f>
        <v/>
      </c>
      <c r="T2503" s="35" t="str">
        <f aca="false">IF($A2503="","",IF(COUNTIFS($S$3:$S2503,$S2503)=1,1,0))</f>
        <v/>
      </c>
      <c r="U2503" s="37" t="str">
        <f aca="false">IF($T2503=1,$S2503,"")</f>
        <v/>
      </c>
    </row>
    <row r="2504" customFormat="false" ht="15" hidden="false" customHeight="false" outlineLevel="0" collapsed="false">
      <c r="M2504" s="35" t="str">
        <f aca="false">IF($A2504="","",HOUR($A2504))</f>
        <v/>
      </c>
      <c r="N2504" s="36" t="str">
        <f aca="false">IF($A2504="","",$I2504*$K2504)</f>
        <v/>
      </c>
      <c r="O2504" s="35" t="str">
        <f aca="false">IF(OR($A2504="",$C2504="U",$S2504&lt;&gt;Calc!$F$2),"",SUMIFS($I$3:$I$3002,$E$3:$E$3002,$E2504,$C$3:$C$3002,"&lt;&gt;U",$S$3:$S$3002,Calc!$F$2))</f>
        <v/>
      </c>
      <c r="P2504" s="35" t="str">
        <f aca="false">IF(OR($A2504="",$C2504="U",$S2504&lt;&gt;Calc!$F$2),"",SUMIFS($N$3:$N$3002,$E$3:$E$3002,$E2504,$C$3:$C$3002,"&lt;&gt;U",$S$3:$S$3002,Calc!$F$2))</f>
        <v/>
      </c>
      <c r="Q2504" s="35" t="str">
        <f aca="false">IF(OR($A2504="",$C2504="U",$S2504&lt;&gt;Calc!$F$2),"",IF(COUNTIFS($E$3:$E2504,$E2504,$C$3:$C2504,"&lt;&gt;U",$S$3:$S2504,Calc!$F$2)=1,1,0))</f>
        <v/>
      </c>
      <c r="R2504" s="35" t="str">
        <f aca="false">IF($Q2504=1,$O2504-ROW()/100000,"")</f>
        <v/>
      </c>
      <c r="S2504" s="37" t="str">
        <f aca="false">IF($A2504="","",INT($A2504))</f>
        <v/>
      </c>
      <c r="T2504" s="35" t="str">
        <f aca="false">IF($A2504="","",IF(COUNTIFS($S$3:$S2504,$S2504)=1,1,0))</f>
        <v/>
      </c>
      <c r="U2504" s="37" t="str">
        <f aca="false">IF($T2504=1,$S2504,"")</f>
        <v/>
      </c>
    </row>
    <row r="2505" customFormat="false" ht="15" hidden="false" customHeight="false" outlineLevel="0" collapsed="false">
      <c r="M2505" s="35" t="str">
        <f aca="false">IF($A2505="","",HOUR($A2505))</f>
        <v/>
      </c>
      <c r="N2505" s="36" t="str">
        <f aca="false">IF($A2505="","",$I2505*$K2505)</f>
        <v/>
      </c>
      <c r="O2505" s="35" t="str">
        <f aca="false">IF(OR($A2505="",$C2505="U",$S2505&lt;&gt;Calc!$F$2),"",SUMIFS($I$3:$I$3002,$E$3:$E$3002,$E2505,$C$3:$C$3002,"&lt;&gt;U",$S$3:$S$3002,Calc!$F$2))</f>
        <v/>
      </c>
      <c r="P2505" s="35" t="str">
        <f aca="false">IF(OR($A2505="",$C2505="U",$S2505&lt;&gt;Calc!$F$2),"",SUMIFS($N$3:$N$3002,$E$3:$E$3002,$E2505,$C$3:$C$3002,"&lt;&gt;U",$S$3:$S$3002,Calc!$F$2))</f>
        <v/>
      </c>
      <c r="Q2505" s="35" t="str">
        <f aca="false">IF(OR($A2505="",$C2505="U",$S2505&lt;&gt;Calc!$F$2),"",IF(COUNTIFS($E$3:$E2505,$E2505,$C$3:$C2505,"&lt;&gt;U",$S$3:$S2505,Calc!$F$2)=1,1,0))</f>
        <v/>
      </c>
      <c r="R2505" s="35" t="str">
        <f aca="false">IF($Q2505=1,$O2505-ROW()/100000,"")</f>
        <v/>
      </c>
      <c r="S2505" s="37" t="str">
        <f aca="false">IF($A2505="","",INT($A2505))</f>
        <v/>
      </c>
      <c r="T2505" s="35" t="str">
        <f aca="false">IF($A2505="","",IF(COUNTIFS($S$3:$S2505,$S2505)=1,1,0))</f>
        <v/>
      </c>
      <c r="U2505" s="37" t="str">
        <f aca="false">IF($T2505=1,$S2505,"")</f>
        <v/>
      </c>
    </row>
    <row r="2506" customFormat="false" ht="15" hidden="false" customHeight="false" outlineLevel="0" collapsed="false">
      <c r="M2506" s="35" t="str">
        <f aca="false">IF($A2506="","",HOUR($A2506))</f>
        <v/>
      </c>
      <c r="N2506" s="36" t="str">
        <f aca="false">IF($A2506="","",$I2506*$K2506)</f>
        <v/>
      </c>
      <c r="O2506" s="35" t="str">
        <f aca="false">IF(OR($A2506="",$C2506="U",$S2506&lt;&gt;Calc!$F$2),"",SUMIFS($I$3:$I$3002,$E$3:$E$3002,$E2506,$C$3:$C$3002,"&lt;&gt;U",$S$3:$S$3002,Calc!$F$2))</f>
        <v/>
      </c>
      <c r="P2506" s="35" t="str">
        <f aca="false">IF(OR($A2506="",$C2506="U",$S2506&lt;&gt;Calc!$F$2),"",SUMIFS($N$3:$N$3002,$E$3:$E$3002,$E2506,$C$3:$C$3002,"&lt;&gt;U",$S$3:$S$3002,Calc!$F$2))</f>
        <v/>
      </c>
      <c r="Q2506" s="35" t="str">
        <f aca="false">IF(OR($A2506="",$C2506="U",$S2506&lt;&gt;Calc!$F$2),"",IF(COUNTIFS($E$3:$E2506,$E2506,$C$3:$C2506,"&lt;&gt;U",$S$3:$S2506,Calc!$F$2)=1,1,0))</f>
        <v/>
      </c>
      <c r="R2506" s="35" t="str">
        <f aca="false">IF($Q2506=1,$O2506-ROW()/100000,"")</f>
        <v/>
      </c>
      <c r="S2506" s="37" t="str">
        <f aca="false">IF($A2506="","",INT($A2506))</f>
        <v/>
      </c>
      <c r="T2506" s="35" t="str">
        <f aca="false">IF($A2506="","",IF(COUNTIFS($S$3:$S2506,$S2506)=1,1,0))</f>
        <v/>
      </c>
      <c r="U2506" s="37" t="str">
        <f aca="false">IF($T2506=1,$S2506,"")</f>
        <v/>
      </c>
    </row>
    <row r="2507" customFormat="false" ht="15" hidden="false" customHeight="false" outlineLevel="0" collapsed="false">
      <c r="M2507" s="35" t="str">
        <f aca="false">IF($A2507="","",HOUR($A2507))</f>
        <v/>
      </c>
      <c r="N2507" s="36" t="str">
        <f aca="false">IF($A2507="","",$I2507*$K2507)</f>
        <v/>
      </c>
      <c r="O2507" s="35" t="str">
        <f aca="false">IF(OR($A2507="",$C2507="U",$S2507&lt;&gt;Calc!$F$2),"",SUMIFS($I$3:$I$3002,$E$3:$E$3002,$E2507,$C$3:$C$3002,"&lt;&gt;U",$S$3:$S$3002,Calc!$F$2))</f>
        <v/>
      </c>
      <c r="P2507" s="35" t="str">
        <f aca="false">IF(OR($A2507="",$C2507="U",$S2507&lt;&gt;Calc!$F$2),"",SUMIFS($N$3:$N$3002,$E$3:$E$3002,$E2507,$C$3:$C$3002,"&lt;&gt;U",$S$3:$S$3002,Calc!$F$2))</f>
        <v/>
      </c>
      <c r="Q2507" s="35" t="str">
        <f aca="false">IF(OR($A2507="",$C2507="U",$S2507&lt;&gt;Calc!$F$2),"",IF(COUNTIFS($E$3:$E2507,$E2507,$C$3:$C2507,"&lt;&gt;U",$S$3:$S2507,Calc!$F$2)=1,1,0))</f>
        <v/>
      </c>
      <c r="R2507" s="35" t="str">
        <f aca="false">IF($Q2507=1,$O2507-ROW()/100000,"")</f>
        <v/>
      </c>
      <c r="S2507" s="37" t="str">
        <f aca="false">IF($A2507="","",INT($A2507))</f>
        <v/>
      </c>
      <c r="T2507" s="35" t="str">
        <f aca="false">IF($A2507="","",IF(COUNTIFS($S$3:$S2507,$S2507)=1,1,0))</f>
        <v/>
      </c>
      <c r="U2507" s="37" t="str">
        <f aca="false">IF($T2507=1,$S2507,"")</f>
        <v/>
      </c>
    </row>
    <row r="2508" customFormat="false" ht="15" hidden="false" customHeight="false" outlineLevel="0" collapsed="false">
      <c r="M2508" s="35" t="str">
        <f aca="false">IF($A2508="","",HOUR($A2508))</f>
        <v/>
      </c>
      <c r="N2508" s="36" t="str">
        <f aca="false">IF($A2508="","",$I2508*$K2508)</f>
        <v/>
      </c>
      <c r="O2508" s="35" t="str">
        <f aca="false">IF(OR($A2508="",$C2508="U",$S2508&lt;&gt;Calc!$F$2),"",SUMIFS($I$3:$I$3002,$E$3:$E$3002,$E2508,$C$3:$C$3002,"&lt;&gt;U",$S$3:$S$3002,Calc!$F$2))</f>
        <v/>
      </c>
      <c r="P2508" s="35" t="str">
        <f aca="false">IF(OR($A2508="",$C2508="U",$S2508&lt;&gt;Calc!$F$2),"",SUMIFS($N$3:$N$3002,$E$3:$E$3002,$E2508,$C$3:$C$3002,"&lt;&gt;U",$S$3:$S$3002,Calc!$F$2))</f>
        <v/>
      </c>
      <c r="Q2508" s="35" t="str">
        <f aca="false">IF(OR($A2508="",$C2508="U",$S2508&lt;&gt;Calc!$F$2),"",IF(COUNTIFS($E$3:$E2508,$E2508,$C$3:$C2508,"&lt;&gt;U",$S$3:$S2508,Calc!$F$2)=1,1,0))</f>
        <v/>
      </c>
      <c r="R2508" s="35" t="str">
        <f aca="false">IF($Q2508=1,$O2508-ROW()/100000,"")</f>
        <v/>
      </c>
      <c r="S2508" s="37" t="str">
        <f aca="false">IF($A2508="","",INT($A2508))</f>
        <v/>
      </c>
      <c r="T2508" s="35" t="str">
        <f aca="false">IF($A2508="","",IF(COUNTIFS($S$3:$S2508,$S2508)=1,1,0))</f>
        <v/>
      </c>
      <c r="U2508" s="37" t="str">
        <f aca="false">IF($T2508=1,$S2508,"")</f>
        <v/>
      </c>
    </row>
    <row r="2509" customFormat="false" ht="15" hidden="false" customHeight="false" outlineLevel="0" collapsed="false">
      <c r="M2509" s="35" t="str">
        <f aca="false">IF($A2509="","",HOUR($A2509))</f>
        <v/>
      </c>
      <c r="N2509" s="36" t="str">
        <f aca="false">IF($A2509="","",$I2509*$K2509)</f>
        <v/>
      </c>
      <c r="O2509" s="35" t="str">
        <f aca="false">IF(OR($A2509="",$C2509="U",$S2509&lt;&gt;Calc!$F$2),"",SUMIFS($I$3:$I$3002,$E$3:$E$3002,$E2509,$C$3:$C$3002,"&lt;&gt;U",$S$3:$S$3002,Calc!$F$2))</f>
        <v/>
      </c>
      <c r="P2509" s="35" t="str">
        <f aca="false">IF(OR($A2509="",$C2509="U",$S2509&lt;&gt;Calc!$F$2),"",SUMIFS($N$3:$N$3002,$E$3:$E$3002,$E2509,$C$3:$C$3002,"&lt;&gt;U",$S$3:$S$3002,Calc!$F$2))</f>
        <v/>
      </c>
      <c r="Q2509" s="35" t="str">
        <f aca="false">IF(OR($A2509="",$C2509="U",$S2509&lt;&gt;Calc!$F$2),"",IF(COUNTIFS($E$3:$E2509,$E2509,$C$3:$C2509,"&lt;&gt;U",$S$3:$S2509,Calc!$F$2)=1,1,0))</f>
        <v/>
      </c>
      <c r="R2509" s="35" t="str">
        <f aca="false">IF($Q2509=1,$O2509-ROW()/100000,"")</f>
        <v/>
      </c>
      <c r="S2509" s="37" t="str">
        <f aca="false">IF($A2509="","",INT($A2509))</f>
        <v/>
      </c>
      <c r="T2509" s="35" t="str">
        <f aca="false">IF($A2509="","",IF(COUNTIFS($S$3:$S2509,$S2509)=1,1,0))</f>
        <v/>
      </c>
      <c r="U2509" s="37" t="str">
        <f aca="false">IF($T2509=1,$S2509,"")</f>
        <v/>
      </c>
    </row>
    <row r="2510" customFormat="false" ht="15" hidden="false" customHeight="false" outlineLevel="0" collapsed="false">
      <c r="M2510" s="35" t="str">
        <f aca="false">IF($A2510="","",HOUR($A2510))</f>
        <v/>
      </c>
      <c r="N2510" s="36" t="str">
        <f aca="false">IF($A2510="","",$I2510*$K2510)</f>
        <v/>
      </c>
      <c r="O2510" s="35" t="str">
        <f aca="false">IF(OR($A2510="",$C2510="U",$S2510&lt;&gt;Calc!$F$2),"",SUMIFS($I$3:$I$3002,$E$3:$E$3002,$E2510,$C$3:$C$3002,"&lt;&gt;U",$S$3:$S$3002,Calc!$F$2))</f>
        <v/>
      </c>
      <c r="P2510" s="35" t="str">
        <f aca="false">IF(OR($A2510="",$C2510="U",$S2510&lt;&gt;Calc!$F$2),"",SUMIFS($N$3:$N$3002,$E$3:$E$3002,$E2510,$C$3:$C$3002,"&lt;&gt;U",$S$3:$S$3002,Calc!$F$2))</f>
        <v/>
      </c>
      <c r="Q2510" s="35" t="str">
        <f aca="false">IF(OR($A2510="",$C2510="U",$S2510&lt;&gt;Calc!$F$2),"",IF(COUNTIFS($E$3:$E2510,$E2510,$C$3:$C2510,"&lt;&gt;U",$S$3:$S2510,Calc!$F$2)=1,1,0))</f>
        <v/>
      </c>
      <c r="R2510" s="35" t="str">
        <f aca="false">IF($Q2510=1,$O2510-ROW()/100000,"")</f>
        <v/>
      </c>
      <c r="S2510" s="37" t="str">
        <f aca="false">IF($A2510="","",INT($A2510))</f>
        <v/>
      </c>
      <c r="T2510" s="35" t="str">
        <f aca="false">IF($A2510="","",IF(COUNTIFS($S$3:$S2510,$S2510)=1,1,0))</f>
        <v/>
      </c>
      <c r="U2510" s="37" t="str">
        <f aca="false">IF($T2510=1,$S2510,"")</f>
        <v/>
      </c>
    </row>
    <row r="2511" customFormat="false" ht="15" hidden="false" customHeight="false" outlineLevel="0" collapsed="false">
      <c r="M2511" s="35" t="str">
        <f aca="false">IF($A2511="","",HOUR($A2511))</f>
        <v/>
      </c>
      <c r="N2511" s="36" t="str">
        <f aca="false">IF($A2511="","",$I2511*$K2511)</f>
        <v/>
      </c>
      <c r="O2511" s="35" t="str">
        <f aca="false">IF(OR($A2511="",$C2511="U",$S2511&lt;&gt;Calc!$F$2),"",SUMIFS($I$3:$I$3002,$E$3:$E$3002,$E2511,$C$3:$C$3002,"&lt;&gt;U",$S$3:$S$3002,Calc!$F$2))</f>
        <v/>
      </c>
      <c r="P2511" s="35" t="str">
        <f aca="false">IF(OR($A2511="",$C2511="U",$S2511&lt;&gt;Calc!$F$2),"",SUMIFS($N$3:$N$3002,$E$3:$E$3002,$E2511,$C$3:$C$3002,"&lt;&gt;U",$S$3:$S$3002,Calc!$F$2))</f>
        <v/>
      </c>
      <c r="Q2511" s="35" t="str">
        <f aca="false">IF(OR($A2511="",$C2511="U",$S2511&lt;&gt;Calc!$F$2),"",IF(COUNTIFS($E$3:$E2511,$E2511,$C$3:$C2511,"&lt;&gt;U",$S$3:$S2511,Calc!$F$2)=1,1,0))</f>
        <v/>
      </c>
      <c r="R2511" s="35" t="str">
        <f aca="false">IF($Q2511=1,$O2511-ROW()/100000,"")</f>
        <v/>
      </c>
      <c r="S2511" s="37" t="str">
        <f aca="false">IF($A2511="","",INT($A2511))</f>
        <v/>
      </c>
      <c r="T2511" s="35" t="str">
        <f aca="false">IF($A2511="","",IF(COUNTIFS($S$3:$S2511,$S2511)=1,1,0))</f>
        <v/>
      </c>
      <c r="U2511" s="37" t="str">
        <f aca="false">IF($T2511=1,$S2511,"")</f>
        <v/>
      </c>
    </row>
    <row r="2512" customFormat="false" ht="15" hidden="false" customHeight="false" outlineLevel="0" collapsed="false">
      <c r="M2512" s="35" t="str">
        <f aca="false">IF($A2512="","",HOUR($A2512))</f>
        <v/>
      </c>
      <c r="N2512" s="36" t="str">
        <f aca="false">IF($A2512="","",$I2512*$K2512)</f>
        <v/>
      </c>
      <c r="O2512" s="35" t="str">
        <f aca="false">IF(OR($A2512="",$C2512="U",$S2512&lt;&gt;Calc!$F$2),"",SUMIFS($I$3:$I$3002,$E$3:$E$3002,$E2512,$C$3:$C$3002,"&lt;&gt;U",$S$3:$S$3002,Calc!$F$2))</f>
        <v/>
      </c>
      <c r="P2512" s="35" t="str">
        <f aca="false">IF(OR($A2512="",$C2512="U",$S2512&lt;&gt;Calc!$F$2),"",SUMIFS($N$3:$N$3002,$E$3:$E$3002,$E2512,$C$3:$C$3002,"&lt;&gt;U",$S$3:$S$3002,Calc!$F$2))</f>
        <v/>
      </c>
      <c r="Q2512" s="35" t="str">
        <f aca="false">IF(OR($A2512="",$C2512="U",$S2512&lt;&gt;Calc!$F$2),"",IF(COUNTIFS($E$3:$E2512,$E2512,$C$3:$C2512,"&lt;&gt;U",$S$3:$S2512,Calc!$F$2)=1,1,0))</f>
        <v/>
      </c>
      <c r="R2512" s="35" t="str">
        <f aca="false">IF($Q2512=1,$O2512-ROW()/100000,"")</f>
        <v/>
      </c>
      <c r="S2512" s="37" t="str">
        <f aca="false">IF($A2512="","",INT($A2512))</f>
        <v/>
      </c>
      <c r="T2512" s="35" t="str">
        <f aca="false">IF($A2512="","",IF(COUNTIFS($S$3:$S2512,$S2512)=1,1,0))</f>
        <v/>
      </c>
      <c r="U2512" s="37" t="str">
        <f aca="false">IF($T2512=1,$S2512,"")</f>
        <v/>
      </c>
    </row>
    <row r="2513" customFormat="false" ht="15" hidden="false" customHeight="false" outlineLevel="0" collapsed="false">
      <c r="M2513" s="35" t="str">
        <f aca="false">IF($A2513="","",HOUR($A2513))</f>
        <v/>
      </c>
      <c r="N2513" s="36" t="str">
        <f aca="false">IF($A2513="","",$I2513*$K2513)</f>
        <v/>
      </c>
      <c r="O2513" s="35" t="str">
        <f aca="false">IF(OR($A2513="",$C2513="U",$S2513&lt;&gt;Calc!$F$2),"",SUMIFS($I$3:$I$3002,$E$3:$E$3002,$E2513,$C$3:$C$3002,"&lt;&gt;U",$S$3:$S$3002,Calc!$F$2))</f>
        <v/>
      </c>
      <c r="P2513" s="35" t="str">
        <f aca="false">IF(OR($A2513="",$C2513="U",$S2513&lt;&gt;Calc!$F$2),"",SUMIFS($N$3:$N$3002,$E$3:$E$3002,$E2513,$C$3:$C$3002,"&lt;&gt;U",$S$3:$S$3002,Calc!$F$2))</f>
        <v/>
      </c>
      <c r="Q2513" s="35" t="str">
        <f aca="false">IF(OR($A2513="",$C2513="U",$S2513&lt;&gt;Calc!$F$2),"",IF(COUNTIFS($E$3:$E2513,$E2513,$C$3:$C2513,"&lt;&gt;U",$S$3:$S2513,Calc!$F$2)=1,1,0))</f>
        <v/>
      </c>
      <c r="R2513" s="35" t="str">
        <f aca="false">IF($Q2513=1,$O2513-ROW()/100000,"")</f>
        <v/>
      </c>
      <c r="S2513" s="37" t="str">
        <f aca="false">IF($A2513="","",INT($A2513))</f>
        <v/>
      </c>
      <c r="T2513" s="35" t="str">
        <f aca="false">IF($A2513="","",IF(COUNTIFS($S$3:$S2513,$S2513)=1,1,0))</f>
        <v/>
      </c>
      <c r="U2513" s="37" t="str">
        <f aca="false">IF($T2513=1,$S2513,"")</f>
        <v/>
      </c>
    </row>
    <row r="2514" customFormat="false" ht="15" hidden="false" customHeight="false" outlineLevel="0" collapsed="false">
      <c r="M2514" s="35" t="str">
        <f aca="false">IF($A2514="","",HOUR($A2514))</f>
        <v/>
      </c>
      <c r="N2514" s="36" t="str">
        <f aca="false">IF($A2514="","",$I2514*$K2514)</f>
        <v/>
      </c>
      <c r="O2514" s="35" t="str">
        <f aca="false">IF(OR($A2514="",$C2514="U",$S2514&lt;&gt;Calc!$F$2),"",SUMIFS($I$3:$I$3002,$E$3:$E$3002,$E2514,$C$3:$C$3002,"&lt;&gt;U",$S$3:$S$3002,Calc!$F$2))</f>
        <v/>
      </c>
      <c r="P2514" s="35" t="str">
        <f aca="false">IF(OR($A2514="",$C2514="U",$S2514&lt;&gt;Calc!$F$2),"",SUMIFS($N$3:$N$3002,$E$3:$E$3002,$E2514,$C$3:$C$3002,"&lt;&gt;U",$S$3:$S$3002,Calc!$F$2))</f>
        <v/>
      </c>
      <c r="Q2514" s="35" t="str">
        <f aca="false">IF(OR($A2514="",$C2514="U",$S2514&lt;&gt;Calc!$F$2),"",IF(COUNTIFS($E$3:$E2514,$E2514,$C$3:$C2514,"&lt;&gt;U",$S$3:$S2514,Calc!$F$2)=1,1,0))</f>
        <v/>
      </c>
      <c r="R2514" s="35" t="str">
        <f aca="false">IF($Q2514=1,$O2514-ROW()/100000,"")</f>
        <v/>
      </c>
      <c r="S2514" s="37" t="str">
        <f aca="false">IF($A2514="","",INT($A2514))</f>
        <v/>
      </c>
      <c r="T2514" s="35" t="str">
        <f aca="false">IF($A2514="","",IF(COUNTIFS($S$3:$S2514,$S2514)=1,1,0))</f>
        <v/>
      </c>
      <c r="U2514" s="37" t="str">
        <f aca="false">IF($T2514=1,$S2514,"")</f>
        <v/>
      </c>
    </row>
    <row r="2515" customFormat="false" ht="15" hidden="false" customHeight="false" outlineLevel="0" collapsed="false">
      <c r="M2515" s="35" t="str">
        <f aca="false">IF($A2515="","",HOUR($A2515))</f>
        <v/>
      </c>
      <c r="N2515" s="36" t="str">
        <f aca="false">IF($A2515="","",$I2515*$K2515)</f>
        <v/>
      </c>
      <c r="O2515" s="35" t="str">
        <f aca="false">IF(OR($A2515="",$C2515="U",$S2515&lt;&gt;Calc!$F$2),"",SUMIFS($I$3:$I$3002,$E$3:$E$3002,$E2515,$C$3:$C$3002,"&lt;&gt;U",$S$3:$S$3002,Calc!$F$2))</f>
        <v/>
      </c>
      <c r="P2515" s="35" t="str">
        <f aca="false">IF(OR($A2515="",$C2515="U",$S2515&lt;&gt;Calc!$F$2),"",SUMIFS($N$3:$N$3002,$E$3:$E$3002,$E2515,$C$3:$C$3002,"&lt;&gt;U",$S$3:$S$3002,Calc!$F$2))</f>
        <v/>
      </c>
      <c r="Q2515" s="35" t="str">
        <f aca="false">IF(OR($A2515="",$C2515="U",$S2515&lt;&gt;Calc!$F$2),"",IF(COUNTIFS($E$3:$E2515,$E2515,$C$3:$C2515,"&lt;&gt;U",$S$3:$S2515,Calc!$F$2)=1,1,0))</f>
        <v/>
      </c>
      <c r="R2515" s="35" t="str">
        <f aca="false">IF($Q2515=1,$O2515-ROW()/100000,"")</f>
        <v/>
      </c>
      <c r="S2515" s="37" t="str">
        <f aca="false">IF($A2515="","",INT($A2515))</f>
        <v/>
      </c>
      <c r="T2515" s="35" t="str">
        <f aca="false">IF($A2515="","",IF(COUNTIFS($S$3:$S2515,$S2515)=1,1,0))</f>
        <v/>
      </c>
      <c r="U2515" s="37" t="str">
        <f aca="false">IF($T2515=1,$S2515,"")</f>
        <v/>
      </c>
    </row>
    <row r="2516" customFormat="false" ht="15" hidden="false" customHeight="false" outlineLevel="0" collapsed="false">
      <c r="M2516" s="35" t="str">
        <f aca="false">IF($A2516="","",HOUR($A2516))</f>
        <v/>
      </c>
      <c r="N2516" s="36" t="str">
        <f aca="false">IF($A2516="","",$I2516*$K2516)</f>
        <v/>
      </c>
      <c r="O2516" s="35" t="str">
        <f aca="false">IF(OR($A2516="",$C2516="U",$S2516&lt;&gt;Calc!$F$2),"",SUMIFS($I$3:$I$3002,$E$3:$E$3002,$E2516,$C$3:$C$3002,"&lt;&gt;U",$S$3:$S$3002,Calc!$F$2))</f>
        <v/>
      </c>
      <c r="P2516" s="35" t="str">
        <f aca="false">IF(OR($A2516="",$C2516="U",$S2516&lt;&gt;Calc!$F$2),"",SUMIFS($N$3:$N$3002,$E$3:$E$3002,$E2516,$C$3:$C$3002,"&lt;&gt;U",$S$3:$S$3002,Calc!$F$2))</f>
        <v/>
      </c>
      <c r="Q2516" s="35" t="str">
        <f aca="false">IF(OR($A2516="",$C2516="U",$S2516&lt;&gt;Calc!$F$2),"",IF(COUNTIFS($E$3:$E2516,$E2516,$C$3:$C2516,"&lt;&gt;U",$S$3:$S2516,Calc!$F$2)=1,1,0))</f>
        <v/>
      </c>
      <c r="R2516" s="35" t="str">
        <f aca="false">IF($Q2516=1,$O2516-ROW()/100000,"")</f>
        <v/>
      </c>
      <c r="S2516" s="37" t="str">
        <f aca="false">IF($A2516="","",INT($A2516))</f>
        <v/>
      </c>
      <c r="T2516" s="35" t="str">
        <f aca="false">IF($A2516="","",IF(COUNTIFS($S$3:$S2516,$S2516)=1,1,0))</f>
        <v/>
      </c>
      <c r="U2516" s="37" t="str">
        <f aca="false">IF($T2516=1,$S2516,"")</f>
        <v/>
      </c>
    </row>
    <row r="2517" customFormat="false" ht="15" hidden="false" customHeight="false" outlineLevel="0" collapsed="false">
      <c r="M2517" s="35" t="str">
        <f aca="false">IF($A2517="","",HOUR($A2517))</f>
        <v/>
      </c>
      <c r="N2517" s="36" t="str">
        <f aca="false">IF($A2517="","",$I2517*$K2517)</f>
        <v/>
      </c>
      <c r="O2517" s="35" t="str">
        <f aca="false">IF(OR($A2517="",$C2517="U",$S2517&lt;&gt;Calc!$F$2),"",SUMIFS($I$3:$I$3002,$E$3:$E$3002,$E2517,$C$3:$C$3002,"&lt;&gt;U",$S$3:$S$3002,Calc!$F$2))</f>
        <v/>
      </c>
      <c r="P2517" s="35" t="str">
        <f aca="false">IF(OR($A2517="",$C2517="U",$S2517&lt;&gt;Calc!$F$2),"",SUMIFS($N$3:$N$3002,$E$3:$E$3002,$E2517,$C$3:$C$3002,"&lt;&gt;U",$S$3:$S$3002,Calc!$F$2))</f>
        <v/>
      </c>
      <c r="Q2517" s="35" t="str">
        <f aca="false">IF(OR($A2517="",$C2517="U",$S2517&lt;&gt;Calc!$F$2),"",IF(COUNTIFS($E$3:$E2517,$E2517,$C$3:$C2517,"&lt;&gt;U",$S$3:$S2517,Calc!$F$2)=1,1,0))</f>
        <v/>
      </c>
      <c r="R2517" s="35" t="str">
        <f aca="false">IF($Q2517=1,$O2517-ROW()/100000,"")</f>
        <v/>
      </c>
      <c r="S2517" s="37" t="str">
        <f aca="false">IF($A2517="","",INT($A2517))</f>
        <v/>
      </c>
      <c r="T2517" s="35" t="str">
        <f aca="false">IF($A2517="","",IF(COUNTIFS($S$3:$S2517,$S2517)=1,1,0))</f>
        <v/>
      </c>
      <c r="U2517" s="37" t="str">
        <f aca="false">IF($T2517=1,$S2517,"")</f>
        <v/>
      </c>
    </row>
    <row r="2518" customFormat="false" ht="15" hidden="false" customHeight="false" outlineLevel="0" collapsed="false">
      <c r="M2518" s="35" t="str">
        <f aca="false">IF($A2518="","",HOUR($A2518))</f>
        <v/>
      </c>
      <c r="N2518" s="36" t="str">
        <f aca="false">IF($A2518="","",$I2518*$K2518)</f>
        <v/>
      </c>
      <c r="O2518" s="35" t="str">
        <f aca="false">IF(OR($A2518="",$C2518="U",$S2518&lt;&gt;Calc!$F$2),"",SUMIFS($I$3:$I$3002,$E$3:$E$3002,$E2518,$C$3:$C$3002,"&lt;&gt;U",$S$3:$S$3002,Calc!$F$2))</f>
        <v/>
      </c>
      <c r="P2518" s="35" t="str">
        <f aca="false">IF(OR($A2518="",$C2518="U",$S2518&lt;&gt;Calc!$F$2),"",SUMIFS($N$3:$N$3002,$E$3:$E$3002,$E2518,$C$3:$C$3002,"&lt;&gt;U",$S$3:$S$3002,Calc!$F$2))</f>
        <v/>
      </c>
      <c r="Q2518" s="35" t="str">
        <f aca="false">IF(OR($A2518="",$C2518="U",$S2518&lt;&gt;Calc!$F$2),"",IF(COUNTIFS($E$3:$E2518,$E2518,$C$3:$C2518,"&lt;&gt;U",$S$3:$S2518,Calc!$F$2)=1,1,0))</f>
        <v/>
      </c>
      <c r="R2518" s="35" t="str">
        <f aca="false">IF($Q2518=1,$O2518-ROW()/100000,"")</f>
        <v/>
      </c>
      <c r="S2518" s="37" t="str">
        <f aca="false">IF($A2518="","",INT($A2518))</f>
        <v/>
      </c>
      <c r="T2518" s="35" t="str">
        <f aca="false">IF($A2518="","",IF(COUNTIFS($S$3:$S2518,$S2518)=1,1,0))</f>
        <v/>
      </c>
      <c r="U2518" s="37" t="str">
        <f aca="false">IF($T2518=1,$S2518,"")</f>
        <v/>
      </c>
    </row>
    <row r="2519" customFormat="false" ht="15" hidden="false" customHeight="false" outlineLevel="0" collapsed="false">
      <c r="M2519" s="35" t="str">
        <f aca="false">IF($A2519="","",HOUR($A2519))</f>
        <v/>
      </c>
      <c r="N2519" s="36" t="str">
        <f aca="false">IF($A2519="","",$I2519*$K2519)</f>
        <v/>
      </c>
      <c r="O2519" s="35" t="str">
        <f aca="false">IF(OR($A2519="",$C2519="U",$S2519&lt;&gt;Calc!$F$2),"",SUMIFS($I$3:$I$3002,$E$3:$E$3002,$E2519,$C$3:$C$3002,"&lt;&gt;U",$S$3:$S$3002,Calc!$F$2))</f>
        <v/>
      </c>
      <c r="P2519" s="35" t="str">
        <f aca="false">IF(OR($A2519="",$C2519="U",$S2519&lt;&gt;Calc!$F$2),"",SUMIFS($N$3:$N$3002,$E$3:$E$3002,$E2519,$C$3:$C$3002,"&lt;&gt;U",$S$3:$S$3002,Calc!$F$2))</f>
        <v/>
      </c>
      <c r="Q2519" s="35" t="str">
        <f aca="false">IF(OR($A2519="",$C2519="U",$S2519&lt;&gt;Calc!$F$2),"",IF(COUNTIFS($E$3:$E2519,$E2519,$C$3:$C2519,"&lt;&gt;U",$S$3:$S2519,Calc!$F$2)=1,1,0))</f>
        <v/>
      </c>
      <c r="R2519" s="35" t="str">
        <f aca="false">IF($Q2519=1,$O2519-ROW()/100000,"")</f>
        <v/>
      </c>
      <c r="S2519" s="37" t="str">
        <f aca="false">IF($A2519="","",INT($A2519))</f>
        <v/>
      </c>
      <c r="T2519" s="35" t="str">
        <f aca="false">IF($A2519="","",IF(COUNTIFS($S$3:$S2519,$S2519)=1,1,0))</f>
        <v/>
      </c>
      <c r="U2519" s="37" t="str">
        <f aca="false">IF($T2519=1,$S2519,"")</f>
        <v/>
      </c>
    </row>
    <row r="2520" customFormat="false" ht="15" hidden="false" customHeight="false" outlineLevel="0" collapsed="false">
      <c r="M2520" s="35" t="str">
        <f aca="false">IF($A2520="","",HOUR($A2520))</f>
        <v/>
      </c>
      <c r="N2520" s="36" t="str">
        <f aca="false">IF($A2520="","",$I2520*$K2520)</f>
        <v/>
      </c>
      <c r="O2520" s="35" t="str">
        <f aca="false">IF(OR($A2520="",$C2520="U",$S2520&lt;&gt;Calc!$F$2),"",SUMIFS($I$3:$I$3002,$E$3:$E$3002,$E2520,$C$3:$C$3002,"&lt;&gt;U",$S$3:$S$3002,Calc!$F$2))</f>
        <v/>
      </c>
      <c r="P2520" s="35" t="str">
        <f aca="false">IF(OR($A2520="",$C2520="U",$S2520&lt;&gt;Calc!$F$2),"",SUMIFS($N$3:$N$3002,$E$3:$E$3002,$E2520,$C$3:$C$3002,"&lt;&gt;U",$S$3:$S$3002,Calc!$F$2))</f>
        <v/>
      </c>
      <c r="Q2520" s="35" t="str">
        <f aca="false">IF(OR($A2520="",$C2520="U",$S2520&lt;&gt;Calc!$F$2),"",IF(COUNTIFS($E$3:$E2520,$E2520,$C$3:$C2520,"&lt;&gt;U",$S$3:$S2520,Calc!$F$2)=1,1,0))</f>
        <v/>
      </c>
      <c r="R2520" s="35" t="str">
        <f aca="false">IF($Q2520=1,$O2520-ROW()/100000,"")</f>
        <v/>
      </c>
      <c r="S2520" s="37" t="str">
        <f aca="false">IF($A2520="","",INT($A2520))</f>
        <v/>
      </c>
      <c r="T2520" s="35" t="str">
        <f aca="false">IF($A2520="","",IF(COUNTIFS($S$3:$S2520,$S2520)=1,1,0))</f>
        <v/>
      </c>
      <c r="U2520" s="37" t="str">
        <f aca="false">IF($T2520=1,$S2520,"")</f>
        <v/>
      </c>
    </row>
    <row r="2521" customFormat="false" ht="15" hidden="false" customHeight="false" outlineLevel="0" collapsed="false">
      <c r="M2521" s="35" t="str">
        <f aca="false">IF($A2521="","",HOUR($A2521))</f>
        <v/>
      </c>
      <c r="N2521" s="36" t="str">
        <f aca="false">IF($A2521="","",$I2521*$K2521)</f>
        <v/>
      </c>
      <c r="O2521" s="35" t="str">
        <f aca="false">IF(OR($A2521="",$C2521="U",$S2521&lt;&gt;Calc!$F$2),"",SUMIFS($I$3:$I$3002,$E$3:$E$3002,$E2521,$C$3:$C$3002,"&lt;&gt;U",$S$3:$S$3002,Calc!$F$2))</f>
        <v/>
      </c>
      <c r="P2521" s="35" t="str">
        <f aca="false">IF(OR($A2521="",$C2521="U",$S2521&lt;&gt;Calc!$F$2),"",SUMIFS($N$3:$N$3002,$E$3:$E$3002,$E2521,$C$3:$C$3002,"&lt;&gt;U",$S$3:$S$3002,Calc!$F$2))</f>
        <v/>
      </c>
      <c r="Q2521" s="35" t="str">
        <f aca="false">IF(OR($A2521="",$C2521="U",$S2521&lt;&gt;Calc!$F$2),"",IF(COUNTIFS($E$3:$E2521,$E2521,$C$3:$C2521,"&lt;&gt;U",$S$3:$S2521,Calc!$F$2)=1,1,0))</f>
        <v/>
      </c>
      <c r="R2521" s="35" t="str">
        <f aca="false">IF($Q2521=1,$O2521-ROW()/100000,"")</f>
        <v/>
      </c>
      <c r="S2521" s="37" t="str">
        <f aca="false">IF($A2521="","",INT($A2521))</f>
        <v/>
      </c>
      <c r="T2521" s="35" t="str">
        <f aca="false">IF($A2521="","",IF(COUNTIFS($S$3:$S2521,$S2521)=1,1,0))</f>
        <v/>
      </c>
      <c r="U2521" s="37" t="str">
        <f aca="false">IF($T2521=1,$S2521,"")</f>
        <v/>
      </c>
    </row>
    <row r="2522" customFormat="false" ht="15" hidden="false" customHeight="false" outlineLevel="0" collapsed="false">
      <c r="M2522" s="35" t="str">
        <f aca="false">IF($A2522="","",HOUR($A2522))</f>
        <v/>
      </c>
      <c r="N2522" s="36" t="str">
        <f aca="false">IF($A2522="","",$I2522*$K2522)</f>
        <v/>
      </c>
      <c r="O2522" s="35" t="str">
        <f aca="false">IF(OR($A2522="",$C2522="U",$S2522&lt;&gt;Calc!$F$2),"",SUMIFS($I$3:$I$3002,$E$3:$E$3002,$E2522,$C$3:$C$3002,"&lt;&gt;U",$S$3:$S$3002,Calc!$F$2))</f>
        <v/>
      </c>
      <c r="P2522" s="35" t="str">
        <f aca="false">IF(OR($A2522="",$C2522="U",$S2522&lt;&gt;Calc!$F$2),"",SUMIFS($N$3:$N$3002,$E$3:$E$3002,$E2522,$C$3:$C$3002,"&lt;&gt;U",$S$3:$S$3002,Calc!$F$2))</f>
        <v/>
      </c>
      <c r="Q2522" s="35" t="str">
        <f aca="false">IF(OR($A2522="",$C2522="U",$S2522&lt;&gt;Calc!$F$2),"",IF(COUNTIFS($E$3:$E2522,$E2522,$C$3:$C2522,"&lt;&gt;U",$S$3:$S2522,Calc!$F$2)=1,1,0))</f>
        <v/>
      </c>
      <c r="R2522" s="35" t="str">
        <f aca="false">IF($Q2522=1,$O2522-ROW()/100000,"")</f>
        <v/>
      </c>
      <c r="S2522" s="37" t="str">
        <f aca="false">IF($A2522="","",INT($A2522))</f>
        <v/>
      </c>
      <c r="T2522" s="35" t="str">
        <f aca="false">IF($A2522="","",IF(COUNTIFS($S$3:$S2522,$S2522)=1,1,0))</f>
        <v/>
      </c>
      <c r="U2522" s="37" t="str">
        <f aca="false">IF($T2522=1,$S2522,"")</f>
        <v/>
      </c>
    </row>
    <row r="2523" customFormat="false" ht="15" hidden="false" customHeight="false" outlineLevel="0" collapsed="false">
      <c r="M2523" s="35" t="str">
        <f aca="false">IF($A2523="","",HOUR($A2523))</f>
        <v/>
      </c>
      <c r="N2523" s="36" t="str">
        <f aca="false">IF($A2523="","",$I2523*$K2523)</f>
        <v/>
      </c>
      <c r="O2523" s="35" t="str">
        <f aca="false">IF(OR($A2523="",$C2523="U",$S2523&lt;&gt;Calc!$F$2),"",SUMIFS($I$3:$I$3002,$E$3:$E$3002,$E2523,$C$3:$C$3002,"&lt;&gt;U",$S$3:$S$3002,Calc!$F$2))</f>
        <v/>
      </c>
      <c r="P2523" s="35" t="str">
        <f aca="false">IF(OR($A2523="",$C2523="U",$S2523&lt;&gt;Calc!$F$2),"",SUMIFS($N$3:$N$3002,$E$3:$E$3002,$E2523,$C$3:$C$3002,"&lt;&gt;U",$S$3:$S$3002,Calc!$F$2))</f>
        <v/>
      </c>
      <c r="Q2523" s="35" t="str">
        <f aca="false">IF(OR($A2523="",$C2523="U",$S2523&lt;&gt;Calc!$F$2),"",IF(COUNTIFS($E$3:$E2523,$E2523,$C$3:$C2523,"&lt;&gt;U",$S$3:$S2523,Calc!$F$2)=1,1,0))</f>
        <v/>
      </c>
      <c r="R2523" s="35" t="str">
        <f aca="false">IF($Q2523=1,$O2523-ROW()/100000,"")</f>
        <v/>
      </c>
      <c r="S2523" s="37" t="str">
        <f aca="false">IF($A2523="","",INT($A2523))</f>
        <v/>
      </c>
      <c r="T2523" s="35" t="str">
        <f aca="false">IF($A2523="","",IF(COUNTIFS($S$3:$S2523,$S2523)=1,1,0))</f>
        <v/>
      </c>
      <c r="U2523" s="37" t="str">
        <f aca="false">IF($T2523=1,$S2523,"")</f>
        <v/>
      </c>
    </row>
    <row r="2524" customFormat="false" ht="15" hidden="false" customHeight="false" outlineLevel="0" collapsed="false">
      <c r="M2524" s="35" t="str">
        <f aca="false">IF($A2524="","",HOUR($A2524))</f>
        <v/>
      </c>
      <c r="N2524" s="36" t="str">
        <f aca="false">IF($A2524="","",$I2524*$K2524)</f>
        <v/>
      </c>
      <c r="O2524" s="35" t="str">
        <f aca="false">IF(OR($A2524="",$C2524="U",$S2524&lt;&gt;Calc!$F$2),"",SUMIFS($I$3:$I$3002,$E$3:$E$3002,$E2524,$C$3:$C$3002,"&lt;&gt;U",$S$3:$S$3002,Calc!$F$2))</f>
        <v/>
      </c>
      <c r="P2524" s="35" t="str">
        <f aca="false">IF(OR($A2524="",$C2524="U",$S2524&lt;&gt;Calc!$F$2),"",SUMIFS($N$3:$N$3002,$E$3:$E$3002,$E2524,$C$3:$C$3002,"&lt;&gt;U",$S$3:$S$3002,Calc!$F$2))</f>
        <v/>
      </c>
      <c r="Q2524" s="35" t="str">
        <f aca="false">IF(OR($A2524="",$C2524="U",$S2524&lt;&gt;Calc!$F$2),"",IF(COUNTIFS($E$3:$E2524,$E2524,$C$3:$C2524,"&lt;&gt;U",$S$3:$S2524,Calc!$F$2)=1,1,0))</f>
        <v/>
      </c>
      <c r="R2524" s="35" t="str">
        <f aca="false">IF($Q2524=1,$O2524-ROW()/100000,"")</f>
        <v/>
      </c>
      <c r="S2524" s="37" t="str">
        <f aca="false">IF($A2524="","",INT($A2524))</f>
        <v/>
      </c>
      <c r="T2524" s="35" t="str">
        <f aca="false">IF($A2524="","",IF(COUNTIFS($S$3:$S2524,$S2524)=1,1,0))</f>
        <v/>
      </c>
      <c r="U2524" s="37" t="str">
        <f aca="false">IF($T2524=1,$S2524,"")</f>
        <v/>
      </c>
    </row>
    <row r="2525" customFormat="false" ht="15" hidden="false" customHeight="false" outlineLevel="0" collapsed="false">
      <c r="M2525" s="35" t="str">
        <f aca="false">IF($A2525="","",HOUR($A2525))</f>
        <v/>
      </c>
      <c r="N2525" s="36" t="str">
        <f aca="false">IF($A2525="","",$I2525*$K2525)</f>
        <v/>
      </c>
      <c r="O2525" s="35" t="str">
        <f aca="false">IF(OR($A2525="",$C2525="U",$S2525&lt;&gt;Calc!$F$2),"",SUMIFS($I$3:$I$3002,$E$3:$E$3002,$E2525,$C$3:$C$3002,"&lt;&gt;U",$S$3:$S$3002,Calc!$F$2))</f>
        <v/>
      </c>
      <c r="P2525" s="35" t="str">
        <f aca="false">IF(OR($A2525="",$C2525="U",$S2525&lt;&gt;Calc!$F$2),"",SUMIFS($N$3:$N$3002,$E$3:$E$3002,$E2525,$C$3:$C$3002,"&lt;&gt;U",$S$3:$S$3002,Calc!$F$2))</f>
        <v/>
      </c>
      <c r="Q2525" s="35" t="str">
        <f aca="false">IF(OR($A2525="",$C2525="U",$S2525&lt;&gt;Calc!$F$2),"",IF(COUNTIFS($E$3:$E2525,$E2525,$C$3:$C2525,"&lt;&gt;U",$S$3:$S2525,Calc!$F$2)=1,1,0))</f>
        <v/>
      </c>
      <c r="R2525" s="35" t="str">
        <f aca="false">IF($Q2525=1,$O2525-ROW()/100000,"")</f>
        <v/>
      </c>
      <c r="S2525" s="37" t="str">
        <f aca="false">IF($A2525="","",INT($A2525))</f>
        <v/>
      </c>
      <c r="T2525" s="35" t="str">
        <f aca="false">IF($A2525="","",IF(COUNTIFS($S$3:$S2525,$S2525)=1,1,0))</f>
        <v/>
      </c>
      <c r="U2525" s="37" t="str">
        <f aca="false">IF($T2525=1,$S2525,"")</f>
        <v/>
      </c>
    </row>
    <row r="2526" customFormat="false" ht="15" hidden="false" customHeight="false" outlineLevel="0" collapsed="false">
      <c r="M2526" s="35" t="str">
        <f aca="false">IF($A2526="","",HOUR($A2526))</f>
        <v/>
      </c>
      <c r="N2526" s="36" t="str">
        <f aca="false">IF($A2526="","",$I2526*$K2526)</f>
        <v/>
      </c>
      <c r="O2526" s="35" t="str">
        <f aca="false">IF(OR($A2526="",$C2526="U",$S2526&lt;&gt;Calc!$F$2),"",SUMIFS($I$3:$I$3002,$E$3:$E$3002,$E2526,$C$3:$C$3002,"&lt;&gt;U",$S$3:$S$3002,Calc!$F$2))</f>
        <v/>
      </c>
      <c r="P2526" s="35" t="str">
        <f aca="false">IF(OR($A2526="",$C2526="U",$S2526&lt;&gt;Calc!$F$2),"",SUMIFS($N$3:$N$3002,$E$3:$E$3002,$E2526,$C$3:$C$3002,"&lt;&gt;U",$S$3:$S$3002,Calc!$F$2))</f>
        <v/>
      </c>
      <c r="Q2526" s="35" t="str">
        <f aca="false">IF(OR($A2526="",$C2526="U",$S2526&lt;&gt;Calc!$F$2),"",IF(COUNTIFS($E$3:$E2526,$E2526,$C$3:$C2526,"&lt;&gt;U",$S$3:$S2526,Calc!$F$2)=1,1,0))</f>
        <v/>
      </c>
      <c r="R2526" s="35" t="str">
        <f aca="false">IF($Q2526=1,$O2526-ROW()/100000,"")</f>
        <v/>
      </c>
      <c r="S2526" s="37" t="str">
        <f aca="false">IF($A2526="","",INT($A2526))</f>
        <v/>
      </c>
      <c r="T2526" s="35" t="str">
        <f aca="false">IF($A2526="","",IF(COUNTIFS($S$3:$S2526,$S2526)=1,1,0))</f>
        <v/>
      </c>
      <c r="U2526" s="37" t="str">
        <f aca="false">IF($T2526=1,$S2526,"")</f>
        <v/>
      </c>
    </row>
    <row r="2527" customFormat="false" ht="15" hidden="false" customHeight="false" outlineLevel="0" collapsed="false">
      <c r="M2527" s="35" t="str">
        <f aca="false">IF($A2527="","",HOUR($A2527))</f>
        <v/>
      </c>
      <c r="N2527" s="36" t="str">
        <f aca="false">IF($A2527="","",$I2527*$K2527)</f>
        <v/>
      </c>
      <c r="O2527" s="35" t="str">
        <f aca="false">IF(OR($A2527="",$C2527="U",$S2527&lt;&gt;Calc!$F$2),"",SUMIFS($I$3:$I$3002,$E$3:$E$3002,$E2527,$C$3:$C$3002,"&lt;&gt;U",$S$3:$S$3002,Calc!$F$2))</f>
        <v/>
      </c>
      <c r="P2527" s="35" t="str">
        <f aca="false">IF(OR($A2527="",$C2527="U",$S2527&lt;&gt;Calc!$F$2),"",SUMIFS($N$3:$N$3002,$E$3:$E$3002,$E2527,$C$3:$C$3002,"&lt;&gt;U",$S$3:$S$3002,Calc!$F$2))</f>
        <v/>
      </c>
      <c r="Q2527" s="35" t="str">
        <f aca="false">IF(OR($A2527="",$C2527="U",$S2527&lt;&gt;Calc!$F$2),"",IF(COUNTIFS($E$3:$E2527,$E2527,$C$3:$C2527,"&lt;&gt;U",$S$3:$S2527,Calc!$F$2)=1,1,0))</f>
        <v/>
      </c>
      <c r="R2527" s="35" t="str">
        <f aca="false">IF($Q2527=1,$O2527-ROW()/100000,"")</f>
        <v/>
      </c>
      <c r="S2527" s="37" t="str">
        <f aca="false">IF($A2527="","",INT($A2527))</f>
        <v/>
      </c>
      <c r="T2527" s="35" t="str">
        <f aca="false">IF($A2527="","",IF(COUNTIFS($S$3:$S2527,$S2527)=1,1,0))</f>
        <v/>
      </c>
      <c r="U2527" s="37" t="str">
        <f aca="false">IF($T2527=1,$S2527,"")</f>
        <v/>
      </c>
    </row>
    <row r="2528" customFormat="false" ht="15" hidden="false" customHeight="false" outlineLevel="0" collapsed="false">
      <c r="M2528" s="35" t="str">
        <f aca="false">IF($A2528="","",HOUR($A2528))</f>
        <v/>
      </c>
      <c r="N2528" s="36" t="str">
        <f aca="false">IF($A2528="","",$I2528*$K2528)</f>
        <v/>
      </c>
      <c r="O2528" s="35" t="str">
        <f aca="false">IF(OR($A2528="",$C2528="U",$S2528&lt;&gt;Calc!$F$2),"",SUMIFS($I$3:$I$3002,$E$3:$E$3002,$E2528,$C$3:$C$3002,"&lt;&gt;U",$S$3:$S$3002,Calc!$F$2))</f>
        <v/>
      </c>
      <c r="P2528" s="35" t="str">
        <f aca="false">IF(OR($A2528="",$C2528="U",$S2528&lt;&gt;Calc!$F$2),"",SUMIFS($N$3:$N$3002,$E$3:$E$3002,$E2528,$C$3:$C$3002,"&lt;&gt;U",$S$3:$S$3002,Calc!$F$2))</f>
        <v/>
      </c>
      <c r="Q2528" s="35" t="str">
        <f aca="false">IF(OR($A2528="",$C2528="U",$S2528&lt;&gt;Calc!$F$2),"",IF(COUNTIFS($E$3:$E2528,$E2528,$C$3:$C2528,"&lt;&gt;U",$S$3:$S2528,Calc!$F$2)=1,1,0))</f>
        <v/>
      </c>
      <c r="R2528" s="35" t="str">
        <f aca="false">IF($Q2528=1,$O2528-ROW()/100000,"")</f>
        <v/>
      </c>
      <c r="S2528" s="37" t="str">
        <f aca="false">IF($A2528="","",INT($A2528))</f>
        <v/>
      </c>
      <c r="T2528" s="35" t="str">
        <f aca="false">IF($A2528="","",IF(COUNTIFS($S$3:$S2528,$S2528)=1,1,0))</f>
        <v/>
      </c>
      <c r="U2528" s="37" t="str">
        <f aca="false">IF($T2528=1,$S2528,"")</f>
        <v/>
      </c>
    </row>
    <row r="2529" customFormat="false" ht="15" hidden="false" customHeight="false" outlineLevel="0" collapsed="false">
      <c r="M2529" s="35" t="str">
        <f aca="false">IF($A2529="","",HOUR($A2529))</f>
        <v/>
      </c>
      <c r="N2529" s="36" t="str">
        <f aca="false">IF($A2529="","",$I2529*$K2529)</f>
        <v/>
      </c>
      <c r="O2529" s="35" t="str">
        <f aca="false">IF(OR($A2529="",$C2529="U",$S2529&lt;&gt;Calc!$F$2),"",SUMIFS($I$3:$I$3002,$E$3:$E$3002,$E2529,$C$3:$C$3002,"&lt;&gt;U",$S$3:$S$3002,Calc!$F$2))</f>
        <v/>
      </c>
      <c r="P2529" s="35" t="str">
        <f aca="false">IF(OR($A2529="",$C2529="U",$S2529&lt;&gt;Calc!$F$2),"",SUMIFS($N$3:$N$3002,$E$3:$E$3002,$E2529,$C$3:$C$3002,"&lt;&gt;U",$S$3:$S$3002,Calc!$F$2))</f>
        <v/>
      </c>
      <c r="Q2529" s="35" t="str">
        <f aca="false">IF(OR($A2529="",$C2529="U",$S2529&lt;&gt;Calc!$F$2),"",IF(COUNTIFS($E$3:$E2529,$E2529,$C$3:$C2529,"&lt;&gt;U",$S$3:$S2529,Calc!$F$2)=1,1,0))</f>
        <v/>
      </c>
      <c r="R2529" s="35" t="str">
        <f aca="false">IF($Q2529=1,$O2529-ROW()/100000,"")</f>
        <v/>
      </c>
      <c r="S2529" s="37" t="str">
        <f aca="false">IF($A2529="","",INT($A2529))</f>
        <v/>
      </c>
      <c r="T2529" s="35" t="str">
        <f aca="false">IF($A2529="","",IF(COUNTIFS($S$3:$S2529,$S2529)=1,1,0))</f>
        <v/>
      </c>
      <c r="U2529" s="37" t="str">
        <f aca="false">IF($T2529=1,$S2529,"")</f>
        <v/>
      </c>
    </row>
    <row r="2530" customFormat="false" ht="15" hidden="false" customHeight="false" outlineLevel="0" collapsed="false">
      <c r="M2530" s="35" t="str">
        <f aca="false">IF($A2530="","",HOUR($A2530))</f>
        <v/>
      </c>
      <c r="N2530" s="36" t="str">
        <f aca="false">IF($A2530="","",$I2530*$K2530)</f>
        <v/>
      </c>
      <c r="O2530" s="35" t="str">
        <f aca="false">IF(OR($A2530="",$C2530="U",$S2530&lt;&gt;Calc!$F$2),"",SUMIFS($I$3:$I$3002,$E$3:$E$3002,$E2530,$C$3:$C$3002,"&lt;&gt;U",$S$3:$S$3002,Calc!$F$2))</f>
        <v/>
      </c>
      <c r="P2530" s="35" t="str">
        <f aca="false">IF(OR($A2530="",$C2530="U",$S2530&lt;&gt;Calc!$F$2),"",SUMIFS($N$3:$N$3002,$E$3:$E$3002,$E2530,$C$3:$C$3002,"&lt;&gt;U",$S$3:$S$3002,Calc!$F$2))</f>
        <v/>
      </c>
      <c r="Q2530" s="35" t="str">
        <f aca="false">IF(OR($A2530="",$C2530="U",$S2530&lt;&gt;Calc!$F$2),"",IF(COUNTIFS($E$3:$E2530,$E2530,$C$3:$C2530,"&lt;&gt;U",$S$3:$S2530,Calc!$F$2)=1,1,0))</f>
        <v/>
      </c>
      <c r="R2530" s="35" t="str">
        <f aca="false">IF($Q2530=1,$O2530-ROW()/100000,"")</f>
        <v/>
      </c>
      <c r="S2530" s="37" t="str">
        <f aca="false">IF($A2530="","",INT($A2530))</f>
        <v/>
      </c>
      <c r="T2530" s="35" t="str">
        <f aca="false">IF($A2530="","",IF(COUNTIFS($S$3:$S2530,$S2530)=1,1,0))</f>
        <v/>
      </c>
      <c r="U2530" s="37" t="str">
        <f aca="false">IF($T2530=1,$S2530,"")</f>
        <v/>
      </c>
    </row>
    <row r="2531" customFormat="false" ht="15" hidden="false" customHeight="false" outlineLevel="0" collapsed="false">
      <c r="M2531" s="35" t="str">
        <f aca="false">IF($A2531="","",HOUR($A2531))</f>
        <v/>
      </c>
      <c r="N2531" s="36" t="str">
        <f aca="false">IF($A2531="","",$I2531*$K2531)</f>
        <v/>
      </c>
      <c r="O2531" s="35" t="str">
        <f aca="false">IF(OR($A2531="",$C2531="U",$S2531&lt;&gt;Calc!$F$2),"",SUMIFS($I$3:$I$3002,$E$3:$E$3002,$E2531,$C$3:$C$3002,"&lt;&gt;U",$S$3:$S$3002,Calc!$F$2))</f>
        <v/>
      </c>
      <c r="P2531" s="35" t="str">
        <f aca="false">IF(OR($A2531="",$C2531="U",$S2531&lt;&gt;Calc!$F$2),"",SUMIFS($N$3:$N$3002,$E$3:$E$3002,$E2531,$C$3:$C$3002,"&lt;&gt;U",$S$3:$S$3002,Calc!$F$2))</f>
        <v/>
      </c>
      <c r="Q2531" s="35" t="str">
        <f aca="false">IF(OR($A2531="",$C2531="U",$S2531&lt;&gt;Calc!$F$2),"",IF(COUNTIFS($E$3:$E2531,$E2531,$C$3:$C2531,"&lt;&gt;U",$S$3:$S2531,Calc!$F$2)=1,1,0))</f>
        <v/>
      </c>
      <c r="R2531" s="35" t="str">
        <f aca="false">IF($Q2531=1,$O2531-ROW()/100000,"")</f>
        <v/>
      </c>
      <c r="S2531" s="37" t="str">
        <f aca="false">IF($A2531="","",INT($A2531))</f>
        <v/>
      </c>
      <c r="T2531" s="35" t="str">
        <f aca="false">IF($A2531="","",IF(COUNTIFS($S$3:$S2531,$S2531)=1,1,0))</f>
        <v/>
      </c>
      <c r="U2531" s="37" t="str">
        <f aca="false">IF($T2531=1,$S2531,"")</f>
        <v/>
      </c>
    </row>
    <row r="2532" customFormat="false" ht="15" hidden="false" customHeight="false" outlineLevel="0" collapsed="false">
      <c r="M2532" s="35" t="str">
        <f aca="false">IF($A2532="","",HOUR($A2532))</f>
        <v/>
      </c>
      <c r="N2532" s="36" t="str">
        <f aca="false">IF($A2532="","",$I2532*$K2532)</f>
        <v/>
      </c>
      <c r="O2532" s="35" t="str">
        <f aca="false">IF(OR($A2532="",$C2532="U",$S2532&lt;&gt;Calc!$F$2),"",SUMIFS($I$3:$I$3002,$E$3:$E$3002,$E2532,$C$3:$C$3002,"&lt;&gt;U",$S$3:$S$3002,Calc!$F$2))</f>
        <v/>
      </c>
      <c r="P2532" s="35" t="str">
        <f aca="false">IF(OR($A2532="",$C2532="U",$S2532&lt;&gt;Calc!$F$2),"",SUMIFS($N$3:$N$3002,$E$3:$E$3002,$E2532,$C$3:$C$3002,"&lt;&gt;U",$S$3:$S$3002,Calc!$F$2))</f>
        <v/>
      </c>
      <c r="Q2532" s="35" t="str">
        <f aca="false">IF(OR($A2532="",$C2532="U",$S2532&lt;&gt;Calc!$F$2),"",IF(COUNTIFS($E$3:$E2532,$E2532,$C$3:$C2532,"&lt;&gt;U",$S$3:$S2532,Calc!$F$2)=1,1,0))</f>
        <v/>
      </c>
      <c r="R2532" s="35" t="str">
        <f aca="false">IF($Q2532=1,$O2532-ROW()/100000,"")</f>
        <v/>
      </c>
      <c r="S2532" s="37" t="str">
        <f aca="false">IF($A2532="","",INT($A2532))</f>
        <v/>
      </c>
      <c r="T2532" s="35" t="str">
        <f aca="false">IF($A2532="","",IF(COUNTIFS($S$3:$S2532,$S2532)=1,1,0))</f>
        <v/>
      </c>
      <c r="U2532" s="37" t="str">
        <f aca="false">IF($T2532=1,$S2532,"")</f>
        <v/>
      </c>
    </row>
    <row r="2533" customFormat="false" ht="15" hidden="false" customHeight="false" outlineLevel="0" collapsed="false">
      <c r="M2533" s="35" t="str">
        <f aca="false">IF($A2533="","",HOUR($A2533))</f>
        <v/>
      </c>
      <c r="N2533" s="36" t="str">
        <f aca="false">IF($A2533="","",$I2533*$K2533)</f>
        <v/>
      </c>
      <c r="O2533" s="35" t="str">
        <f aca="false">IF(OR($A2533="",$C2533="U",$S2533&lt;&gt;Calc!$F$2),"",SUMIFS($I$3:$I$3002,$E$3:$E$3002,$E2533,$C$3:$C$3002,"&lt;&gt;U",$S$3:$S$3002,Calc!$F$2))</f>
        <v/>
      </c>
      <c r="P2533" s="35" t="str">
        <f aca="false">IF(OR($A2533="",$C2533="U",$S2533&lt;&gt;Calc!$F$2),"",SUMIFS($N$3:$N$3002,$E$3:$E$3002,$E2533,$C$3:$C$3002,"&lt;&gt;U",$S$3:$S$3002,Calc!$F$2))</f>
        <v/>
      </c>
      <c r="Q2533" s="35" t="str">
        <f aca="false">IF(OR($A2533="",$C2533="U",$S2533&lt;&gt;Calc!$F$2),"",IF(COUNTIFS($E$3:$E2533,$E2533,$C$3:$C2533,"&lt;&gt;U",$S$3:$S2533,Calc!$F$2)=1,1,0))</f>
        <v/>
      </c>
      <c r="R2533" s="35" t="str">
        <f aca="false">IF($Q2533=1,$O2533-ROW()/100000,"")</f>
        <v/>
      </c>
      <c r="S2533" s="37" t="str">
        <f aca="false">IF($A2533="","",INT($A2533))</f>
        <v/>
      </c>
      <c r="T2533" s="35" t="str">
        <f aca="false">IF($A2533="","",IF(COUNTIFS($S$3:$S2533,$S2533)=1,1,0))</f>
        <v/>
      </c>
      <c r="U2533" s="37" t="str">
        <f aca="false">IF($T2533=1,$S2533,"")</f>
        <v/>
      </c>
    </row>
    <row r="2534" customFormat="false" ht="15" hidden="false" customHeight="false" outlineLevel="0" collapsed="false">
      <c r="M2534" s="35" t="str">
        <f aca="false">IF($A2534="","",HOUR($A2534))</f>
        <v/>
      </c>
      <c r="N2534" s="36" t="str">
        <f aca="false">IF($A2534="","",$I2534*$K2534)</f>
        <v/>
      </c>
      <c r="O2534" s="35" t="str">
        <f aca="false">IF(OR($A2534="",$C2534="U",$S2534&lt;&gt;Calc!$F$2),"",SUMIFS($I$3:$I$3002,$E$3:$E$3002,$E2534,$C$3:$C$3002,"&lt;&gt;U",$S$3:$S$3002,Calc!$F$2))</f>
        <v/>
      </c>
      <c r="P2534" s="35" t="str">
        <f aca="false">IF(OR($A2534="",$C2534="U",$S2534&lt;&gt;Calc!$F$2),"",SUMIFS($N$3:$N$3002,$E$3:$E$3002,$E2534,$C$3:$C$3002,"&lt;&gt;U",$S$3:$S$3002,Calc!$F$2))</f>
        <v/>
      </c>
      <c r="Q2534" s="35" t="str">
        <f aca="false">IF(OR($A2534="",$C2534="U",$S2534&lt;&gt;Calc!$F$2),"",IF(COUNTIFS($E$3:$E2534,$E2534,$C$3:$C2534,"&lt;&gt;U",$S$3:$S2534,Calc!$F$2)=1,1,0))</f>
        <v/>
      </c>
      <c r="R2534" s="35" t="str">
        <f aca="false">IF($Q2534=1,$O2534-ROW()/100000,"")</f>
        <v/>
      </c>
      <c r="S2534" s="37" t="str">
        <f aca="false">IF($A2534="","",INT($A2534))</f>
        <v/>
      </c>
      <c r="T2534" s="35" t="str">
        <f aca="false">IF($A2534="","",IF(COUNTIFS($S$3:$S2534,$S2534)=1,1,0))</f>
        <v/>
      </c>
      <c r="U2534" s="37" t="str">
        <f aca="false">IF($T2534=1,$S2534,"")</f>
        <v/>
      </c>
    </row>
    <row r="2535" customFormat="false" ht="15" hidden="false" customHeight="false" outlineLevel="0" collapsed="false">
      <c r="M2535" s="35" t="str">
        <f aca="false">IF($A2535="","",HOUR($A2535))</f>
        <v/>
      </c>
      <c r="N2535" s="36" t="str">
        <f aca="false">IF($A2535="","",$I2535*$K2535)</f>
        <v/>
      </c>
      <c r="O2535" s="35" t="str">
        <f aca="false">IF(OR($A2535="",$C2535="U",$S2535&lt;&gt;Calc!$F$2),"",SUMIFS($I$3:$I$3002,$E$3:$E$3002,$E2535,$C$3:$C$3002,"&lt;&gt;U",$S$3:$S$3002,Calc!$F$2))</f>
        <v/>
      </c>
      <c r="P2535" s="35" t="str">
        <f aca="false">IF(OR($A2535="",$C2535="U",$S2535&lt;&gt;Calc!$F$2),"",SUMIFS($N$3:$N$3002,$E$3:$E$3002,$E2535,$C$3:$C$3002,"&lt;&gt;U",$S$3:$S$3002,Calc!$F$2))</f>
        <v/>
      </c>
      <c r="Q2535" s="35" t="str">
        <f aca="false">IF(OR($A2535="",$C2535="U",$S2535&lt;&gt;Calc!$F$2),"",IF(COUNTIFS($E$3:$E2535,$E2535,$C$3:$C2535,"&lt;&gt;U",$S$3:$S2535,Calc!$F$2)=1,1,0))</f>
        <v/>
      </c>
      <c r="R2535" s="35" t="str">
        <f aca="false">IF($Q2535=1,$O2535-ROW()/100000,"")</f>
        <v/>
      </c>
      <c r="S2535" s="37" t="str">
        <f aca="false">IF($A2535="","",INT($A2535))</f>
        <v/>
      </c>
      <c r="T2535" s="35" t="str">
        <f aca="false">IF($A2535="","",IF(COUNTIFS($S$3:$S2535,$S2535)=1,1,0))</f>
        <v/>
      </c>
      <c r="U2535" s="37" t="str">
        <f aca="false">IF($T2535=1,$S2535,"")</f>
        <v/>
      </c>
    </row>
    <row r="2536" customFormat="false" ht="15" hidden="false" customHeight="false" outlineLevel="0" collapsed="false">
      <c r="M2536" s="35" t="str">
        <f aca="false">IF($A2536="","",HOUR($A2536))</f>
        <v/>
      </c>
      <c r="N2536" s="36" t="str">
        <f aca="false">IF($A2536="","",$I2536*$K2536)</f>
        <v/>
      </c>
      <c r="O2536" s="35" t="str">
        <f aca="false">IF(OR($A2536="",$C2536="U",$S2536&lt;&gt;Calc!$F$2),"",SUMIFS($I$3:$I$3002,$E$3:$E$3002,$E2536,$C$3:$C$3002,"&lt;&gt;U",$S$3:$S$3002,Calc!$F$2))</f>
        <v/>
      </c>
      <c r="P2536" s="35" t="str">
        <f aca="false">IF(OR($A2536="",$C2536="U",$S2536&lt;&gt;Calc!$F$2),"",SUMIFS($N$3:$N$3002,$E$3:$E$3002,$E2536,$C$3:$C$3002,"&lt;&gt;U",$S$3:$S$3002,Calc!$F$2))</f>
        <v/>
      </c>
      <c r="Q2536" s="35" t="str">
        <f aca="false">IF(OR($A2536="",$C2536="U",$S2536&lt;&gt;Calc!$F$2),"",IF(COUNTIFS($E$3:$E2536,$E2536,$C$3:$C2536,"&lt;&gt;U",$S$3:$S2536,Calc!$F$2)=1,1,0))</f>
        <v/>
      </c>
      <c r="R2536" s="35" t="str">
        <f aca="false">IF($Q2536=1,$O2536-ROW()/100000,"")</f>
        <v/>
      </c>
      <c r="S2536" s="37" t="str">
        <f aca="false">IF($A2536="","",INT($A2536))</f>
        <v/>
      </c>
      <c r="T2536" s="35" t="str">
        <f aca="false">IF($A2536="","",IF(COUNTIFS($S$3:$S2536,$S2536)=1,1,0))</f>
        <v/>
      </c>
      <c r="U2536" s="37" t="str">
        <f aca="false">IF($T2536=1,$S2536,"")</f>
        <v/>
      </c>
    </row>
    <row r="2537" customFormat="false" ht="15" hidden="false" customHeight="false" outlineLevel="0" collapsed="false">
      <c r="M2537" s="35" t="str">
        <f aca="false">IF($A2537="","",HOUR($A2537))</f>
        <v/>
      </c>
      <c r="N2537" s="36" t="str">
        <f aca="false">IF($A2537="","",$I2537*$K2537)</f>
        <v/>
      </c>
      <c r="O2537" s="35" t="str">
        <f aca="false">IF(OR($A2537="",$C2537="U",$S2537&lt;&gt;Calc!$F$2),"",SUMIFS($I$3:$I$3002,$E$3:$E$3002,$E2537,$C$3:$C$3002,"&lt;&gt;U",$S$3:$S$3002,Calc!$F$2))</f>
        <v/>
      </c>
      <c r="P2537" s="35" t="str">
        <f aca="false">IF(OR($A2537="",$C2537="U",$S2537&lt;&gt;Calc!$F$2),"",SUMIFS($N$3:$N$3002,$E$3:$E$3002,$E2537,$C$3:$C$3002,"&lt;&gt;U",$S$3:$S$3002,Calc!$F$2))</f>
        <v/>
      </c>
      <c r="Q2537" s="35" t="str">
        <f aca="false">IF(OR($A2537="",$C2537="U",$S2537&lt;&gt;Calc!$F$2),"",IF(COUNTIFS($E$3:$E2537,$E2537,$C$3:$C2537,"&lt;&gt;U",$S$3:$S2537,Calc!$F$2)=1,1,0))</f>
        <v/>
      </c>
      <c r="R2537" s="35" t="str">
        <f aca="false">IF($Q2537=1,$O2537-ROW()/100000,"")</f>
        <v/>
      </c>
      <c r="S2537" s="37" t="str">
        <f aca="false">IF($A2537="","",INT($A2537))</f>
        <v/>
      </c>
      <c r="T2537" s="35" t="str">
        <f aca="false">IF($A2537="","",IF(COUNTIFS($S$3:$S2537,$S2537)=1,1,0))</f>
        <v/>
      </c>
      <c r="U2537" s="37" t="str">
        <f aca="false">IF($T2537=1,$S2537,"")</f>
        <v/>
      </c>
    </row>
    <row r="2538" customFormat="false" ht="15" hidden="false" customHeight="false" outlineLevel="0" collapsed="false">
      <c r="M2538" s="35" t="str">
        <f aca="false">IF($A2538="","",HOUR($A2538))</f>
        <v/>
      </c>
      <c r="N2538" s="36" t="str">
        <f aca="false">IF($A2538="","",$I2538*$K2538)</f>
        <v/>
      </c>
      <c r="O2538" s="35" t="str">
        <f aca="false">IF(OR($A2538="",$C2538="U",$S2538&lt;&gt;Calc!$F$2),"",SUMIFS($I$3:$I$3002,$E$3:$E$3002,$E2538,$C$3:$C$3002,"&lt;&gt;U",$S$3:$S$3002,Calc!$F$2))</f>
        <v/>
      </c>
      <c r="P2538" s="35" t="str">
        <f aca="false">IF(OR($A2538="",$C2538="U",$S2538&lt;&gt;Calc!$F$2),"",SUMIFS($N$3:$N$3002,$E$3:$E$3002,$E2538,$C$3:$C$3002,"&lt;&gt;U",$S$3:$S$3002,Calc!$F$2))</f>
        <v/>
      </c>
      <c r="Q2538" s="35" t="str">
        <f aca="false">IF(OR($A2538="",$C2538="U",$S2538&lt;&gt;Calc!$F$2),"",IF(COUNTIFS($E$3:$E2538,$E2538,$C$3:$C2538,"&lt;&gt;U",$S$3:$S2538,Calc!$F$2)=1,1,0))</f>
        <v/>
      </c>
      <c r="R2538" s="35" t="str">
        <f aca="false">IF($Q2538=1,$O2538-ROW()/100000,"")</f>
        <v/>
      </c>
      <c r="S2538" s="37" t="str">
        <f aca="false">IF($A2538="","",INT($A2538))</f>
        <v/>
      </c>
      <c r="T2538" s="35" t="str">
        <f aca="false">IF($A2538="","",IF(COUNTIFS($S$3:$S2538,$S2538)=1,1,0))</f>
        <v/>
      </c>
      <c r="U2538" s="37" t="str">
        <f aca="false">IF($T2538=1,$S2538,"")</f>
        <v/>
      </c>
    </row>
    <row r="2539" customFormat="false" ht="15" hidden="false" customHeight="false" outlineLevel="0" collapsed="false">
      <c r="M2539" s="35" t="str">
        <f aca="false">IF($A2539="","",HOUR($A2539))</f>
        <v/>
      </c>
      <c r="N2539" s="36" t="str">
        <f aca="false">IF($A2539="","",$I2539*$K2539)</f>
        <v/>
      </c>
      <c r="O2539" s="35" t="str">
        <f aca="false">IF(OR($A2539="",$C2539="U",$S2539&lt;&gt;Calc!$F$2),"",SUMIFS($I$3:$I$3002,$E$3:$E$3002,$E2539,$C$3:$C$3002,"&lt;&gt;U",$S$3:$S$3002,Calc!$F$2))</f>
        <v/>
      </c>
      <c r="P2539" s="35" t="str">
        <f aca="false">IF(OR($A2539="",$C2539="U",$S2539&lt;&gt;Calc!$F$2),"",SUMIFS($N$3:$N$3002,$E$3:$E$3002,$E2539,$C$3:$C$3002,"&lt;&gt;U",$S$3:$S$3002,Calc!$F$2))</f>
        <v/>
      </c>
      <c r="Q2539" s="35" t="str">
        <f aca="false">IF(OR($A2539="",$C2539="U",$S2539&lt;&gt;Calc!$F$2),"",IF(COUNTIFS($E$3:$E2539,$E2539,$C$3:$C2539,"&lt;&gt;U",$S$3:$S2539,Calc!$F$2)=1,1,0))</f>
        <v/>
      </c>
      <c r="R2539" s="35" t="str">
        <f aca="false">IF($Q2539=1,$O2539-ROW()/100000,"")</f>
        <v/>
      </c>
      <c r="S2539" s="37" t="str">
        <f aca="false">IF($A2539="","",INT($A2539))</f>
        <v/>
      </c>
      <c r="T2539" s="35" t="str">
        <f aca="false">IF($A2539="","",IF(COUNTIFS($S$3:$S2539,$S2539)=1,1,0))</f>
        <v/>
      </c>
      <c r="U2539" s="37" t="str">
        <f aca="false">IF($T2539=1,$S2539,"")</f>
        <v/>
      </c>
    </row>
    <row r="2540" customFormat="false" ht="15" hidden="false" customHeight="false" outlineLevel="0" collapsed="false">
      <c r="M2540" s="35" t="str">
        <f aca="false">IF($A2540="","",HOUR($A2540))</f>
        <v/>
      </c>
      <c r="N2540" s="36" t="str">
        <f aca="false">IF($A2540="","",$I2540*$K2540)</f>
        <v/>
      </c>
      <c r="O2540" s="35" t="str">
        <f aca="false">IF(OR($A2540="",$C2540="U",$S2540&lt;&gt;Calc!$F$2),"",SUMIFS($I$3:$I$3002,$E$3:$E$3002,$E2540,$C$3:$C$3002,"&lt;&gt;U",$S$3:$S$3002,Calc!$F$2))</f>
        <v/>
      </c>
      <c r="P2540" s="35" t="str">
        <f aca="false">IF(OR($A2540="",$C2540="U",$S2540&lt;&gt;Calc!$F$2),"",SUMIFS($N$3:$N$3002,$E$3:$E$3002,$E2540,$C$3:$C$3002,"&lt;&gt;U",$S$3:$S$3002,Calc!$F$2))</f>
        <v/>
      </c>
      <c r="Q2540" s="35" t="str">
        <f aca="false">IF(OR($A2540="",$C2540="U",$S2540&lt;&gt;Calc!$F$2),"",IF(COUNTIFS($E$3:$E2540,$E2540,$C$3:$C2540,"&lt;&gt;U",$S$3:$S2540,Calc!$F$2)=1,1,0))</f>
        <v/>
      </c>
      <c r="R2540" s="35" t="str">
        <f aca="false">IF($Q2540=1,$O2540-ROW()/100000,"")</f>
        <v/>
      </c>
      <c r="S2540" s="37" t="str">
        <f aca="false">IF($A2540="","",INT($A2540))</f>
        <v/>
      </c>
      <c r="T2540" s="35" t="str">
        <f aca="false">IF($A2540="","",IF(COUNTIFS($S$3:$S2540,$S2540)=1,1,0))</f>
        <v/>
      </c>
      <c r="U2540" s="37" t="str">
        <f aca="false">IF($T2540=1,$S2540,"")</f>
        <v/>
      </c>
    </row>
    <row r="2541" customFormat="false" ht="15" hidden="false" customHeight="false" outlineLevel="0" collapsed="false">
      <c r="M2541" s="35" t="str">
        <f aca="false">IF($A2541="","",HOUR($A2541))</f>
        <v/>
      </c>
      <c r="N2541" s="36" t="str">
        <f aca="false">IF($A2541="","",$I2541*$K2541)</f>
        <v/>
      </c>
      <c r="O2541" s="35" t="str">
        <f aca="false">IF(OR($A2541="",$C2541="U",$S2541&lt;&gt;Calc!$F$2),"",SUMIFS($I$3:$I$3002,$E$3:$E$3002,$E2541,$C$3:$C$3002,"&lt;&gt;U",$S$3:$S$3002,Calc!$F$2))</f>
        <v/>
      </c>
      <c r="P2541" s="35" t="str">
        <f aca="false">IF(OR($A2541="",$C2541="U",$S2541&lt;&gt;Calc!$F$2),"",SUMIFS($N$3:$N$3002,$E$3:$E$3002,$E2541,$C$3:$C$3002,"&lt;&gt;U",$S$3:$S$3002,Calc!$F$2))</f>
        <v/>
      </c>
      <c r="Q2541" s="35" t="str">
        <f aca="false">IF(OR($A2541="",$C2541="U",$S2541&lt;&gt;Calc!$F$2),"",IF(COUNTIFS($E$3:$E2541,$E2541,$C$3:$C2541,"&lt;&gt;U",$S$3:$S2541,Calc!$F$2)=1,1,0))</f>
        <v/>
      </c>
      <c r="R2541" s="35" t="str">
        <f aca="false">IF($Q2541=1,$O2541-ROW()/100000,"")</f>
        <v/>
      </c>
      <c r="S2541" s="37" t="str">
        <f aca="false">IF($A2541="","",INT($A2541))</f>
        <v/>
      </c>
      <c r="T2541" s="35" t="str">
        <f aca="false">IF($A2541="","",IF(COUNTIFS($S$3:$S2541,$S2541)=1,1,0))</f>
        <v/>
      </c>
      <c r="U2541" s="37" t="str">
        <f aca="false">IF($T2541=1,$S2541,"")</f>
        <v/>
      </c>
    </row>
    <row r="2542" customFormat="false" ht="15" hidden="false" customHeight="false" outlineLevel="0" collapsed="false">
      <c r="M2542" s="35" t="str">
        <f aca="false">IF($A2542="","",HOUR($A2542))</f>
        <v/>
      </c>
      <c r="N2542" s="36" t="str">
        <f aca="false">IF($A2542="","",$I2542*$K2542)</f>
        <v/>
      </c>
      <c r="O2542" s="35" t="str">
        <f aca="false">IF(OR($A2542="",$C2542="U",$S2542&lt;&gt;Calc!$F$2),"",SUMIFS($I$3:$I$3002,$E$3:$E$3002,$E2542,$C$3:$C$3002,"&lt;&gt;U",$S$3:$S$3002,Calc!$F$2))</f>
        <v/>
      </c>
      <c r="P2542" s="35" t="str">
        <f aca="false">IF(OR($A2542="",$C2542="U",$S2542&lt;&gt;Calc!$F$2),"",SUMIFS($N$3:$N$3002,$E$3:$E$3002,$E2542,$C$3:$C$3002,"&lt;&gt;U",$S$3:$S$3002,Calc!$F$2))</f>
        <v/>
      </c>
      <c r="Q2542" s="35" t="str">
        <f aca="false">IF(OR($A2542="",$C2542="U",$S2542&lt;&gt;Calc!$F$2),"",IF(COUNTIFS($E$3:$E2542,$E2542,$C$3:$C2542,"&lt;&gt;U",$S$3:$S2542,Calc!$F$2)=1,1,0))</f>
        <v/>
      </c>
      <c r="R2542" s="35" t="str">
        <f aca="false">IF($Q2542=1,$O2542-ROW()/100000,"")</f>
        <v/>
      </c>
      <c r="S2542" s="37" t="str">
        <f aca="false">IF($A2542="","",INT($A2542))</f>
        <v/>
      </c>
      <c r="T2542" s="35" t="str">
        <f aca="false">IF($A2542="","",IF(COUNTIFS($S$3:$S2542,$S2542)=1,1,0))</f>
        <v/>
      </c>
      <c r="U2542" s="37" t="str">
        <f aca="false">IF($T2542=1,$S2542,"")</f>
        <v/>
      </c>
    </row>
    <row r="2543" customFormat="false" ht="15" hidden="false" customHeight="false" outlineLevel="0" collapsed="false">
      <c r="M2543" s="35" t="str">
        <f aca="false">IF($A2543="","",HOUR($A2543))</f>
        <v/>
      </c>
      <c r="N2543" s="36" t="str">
        <f aca="false">IF($A2543="","",$I2543*$K2543)</f>
        <v/>
      </c>
      <c r="O2543" s="35" t="str">
        <f aca="false">IF(OR($A2543="",$C2543="U",$S2543&lt;&gt;Calc!$F$2),"",SUMIFS($I$3:$I$3002,$E$3:$E$3002,$E2543,$C$3:$C$3002,"&lt;&gt;U",$S$3:$S$3002,Calc!$F$2))</f>
        <v/>
      </c>
      <c r="P2543" s="35" t="str">
        <f aca="false">IF(OR($A2543="",$C2543="U",$S2543&lt;&gt;Calc!$F$2),"",SUMIFS($N$3:$N$3002,$E$3:$E$3002,$E2543,$C$3:$C$3002,"&lt;&gt;U",$S$3:$S$3002,Calc!$F$2))</f>
        <v/>
      </c>
      <c r="Q2543" s="35" t="str">
        <f aca="false">IF(OR($A2543="",$C2543="U",$S2543&lt;&gt;Calc!$F$2),"",IF(COUNTIFS($E$3:$E2543,$E2543,$C$3:$C2543,"&lt;&gt;U",$S$3:$S2543,Calc!$F$2)=1,1,0))</f>
        <v/>
      </c>
      <c r="R2543" s="35" t="str">
        <f aca="false">IF($Q2543=1,$O2543-ROW()/100000,"")</f>
        <v/>
      </c>
      <c r="S2543" s="37" t="str">
        <f aca="false">IF($A2543="","",INT($A2543))</f>
        <v/>
      </c>
      <c r="T2543" s="35" t="str">
        <f aca="false">IF($A2543="","",IF(COUNTIFS($S$3:$S2543,$S2543)=1,1,0))</f>
        <v/>
      </c>
      <c r="U2543" s="37" t="str">
        <f aca="false">IF($T2543=1,$S2543,"")</f>
        <v/>
      </c>
    </row>
    <row r="2544" customFormat="false" ht="15" hidden="false" customHeight="false" outlineLevel="0" collapsed="false">
      <c r="M2544" s="35" t="str">
        <f aca="false">IF($A2544="","",HOUR($A2544))</f>
        <v/>
      </c>
      <c r="N2544" s="36" t="str">
        <f aca="false">IF($A2544="","",$I2544*$K2544)</f>
        <v/>
      </c>
      <c r="O2544" s="35" t="str">
        <f aca="false">IF(OR($A2544="",$C2544="U",$S2544&lt;&gt;Calc!$F$2),"",SUMIFS($I$3:$I$3002,$E$3:$E$3002,$E2544,$C$3:$C$3002,"&lt;&gt;U",$S$3:$S$3002,Calc!$F$2))</f>
        <v/>
      </c>
      <c r="P2544" s="35" t="str">
        <f aca="false">IF(OR($A2544="",$C2544="U",$S2544&lt;&gt;Calc!$F$2),"",SUMIFS($N$3:$N$3002,$E$3:$E$3002,$E2544,$C$3:$C$3002,"&lt;&gt;U",$S$3:$S$3002,Calc!$F$2))</f>
        <v/>
      </c>
      <c r="Q2544" s="35" t="str">
        <f aca="false">IF(OR($A2544="",$C2544="U",$S2544&lt;&gt;Calc!$F$2),"",IF(COUNTIFS($E$3:$E2544,$E2544,$C$3:$C2544,"&lt;&gt;U",$S$3:$S2544,Calc!$F$2)=1,1,0))</f>
        <v/>
      </c>
      <c r="R2544" s="35" t="str">
        <f aca="false">IF($Q2544=1,$O2544-ROW()/100000,"")</f>
        <v/>
      </c>
      <c r="S2544" s="37" t="str">
        <f aca="false">IF($A2544="","",INT($A2544))</f>
        <v/>
      </c>
      <c r="T2544" s="35" t="str">
        <f aca="false">IF($A2544="","",IF(COUNTIFS($S$3:$S2544,$S2544)=1,1,0))</f>
        <v/>
      </c>
      <c r="U2544" s="37" t="str">
        <f aca="false">IF($T2544=1,$S2544,"")</f>
        <v/>
      </c>
    </row>
    <row r="2545" customFormat="false" ht="15" hidden="false" customHeight="false" outlineLevel="0" collapsed="false">
      <c r="M2545" s="35" t="str">
        <f aca="false">IF($A2545="","",HOUR($A2545))</f>
        <v/>
      </c>
      <c r="N2545" s="36" t="str">
        <f aca="false">IF($A2545="","",$I2545*$K2545)</f>
        <v/>
      </c>
      <c r="O2545" s="35" t="str">
        <f aca="false">IF(OR($A2545="",$C2545="U",$S2545&lt;&gt;Calc!$F$2),"",SUMIFS($I$3:$I$3002,$E$3:$E$3002,$E2545,$C$3:$C$3002,"&lt;&gt;U",$S$3:$S$3002,Calc!$F$2))</f>
        <v/>
      </c>
      <c r="P2545" s="35" t="str">
        <f aca="false">IF(OR($A2545="",$C2545="U",$S2545&lt;&gt;Calc!$F$2),"",SUMIFS($N$3:$N$3002,$E$3:$E$3002,$E2545,$C$3:$C$3002,"&lt;&gt;U",$S$3:$S$3002,Calc!$F$2))</f>
        <v/>
      </c>
      <c r="Q2545" s="35" t="str">
        <f aca="false">IF(OR($A2545="",$C2545="U",$S2545&lt;&gt;Calc!$F$2),"",IF(COUNTIFS($E$3:$E2545,$E2545,$C$3:$C2545,"&lt;&gt;U",$S$3:$S2545,Calc!$F$2)=1,1,0))</f>
        <v/>
      </c>
      <c r="R2545" s="35" t="str">
        <f aca="false">IF($Q2545=1,$O2545-ROW()/100000,"")</f>
        <v/>
      </c>
      <c r="S2545" s="37" t="str">
        <f aca="false">IF($A2545="","",INT($A2545))</f>
        <v/>
      </c>
      <c r="T2545" s="35" t="str">
        <f aca="false">IF($A2545="","",IF(COUNTIFS($S$3:$S2545,$S2545)=1,1,0))</f>
        <v/>
      </c>
      <c r="U2545" s="37" t="str">
        <f aca="false">IF($T2545=1,$S2545,"")</f>
        <v/>
      </c>
    </row>
    <row r="2546" customFormat="false" ht="15" hidden="false" customHeight="false" outlineLevel="0" collapsed="false">
      <c r="M2546" s="35" t="str">
        <f aca="false">IF($A2546="","",HOUR($A2546))</f>
        <v/>
      </c>
      <c r="N2546" s="36" t="str">
        <f aca="false">IF($A2546="","",$I2546*$K2546)</f>
        <v/>
      </c>
      <c r="O2546" s="35" t="str">
        <f aca="false">IF(OR($A2546="",$C2546="U",$S2546&lt;&gt;Calc!$F$2),"",SUMIFS($I$3:$I$3002,$E$3:$E$3002,$E2546,$C$3:$C$3002,"&lt;&gt;U",$S$3:$S$3002,Calc!$F$2))</f>
        <v/>
      </c>
      <c r="P2546" s="35" t="str">
        <f aca="false">IF(OR($A2546="",$C2546="U",$S2546&lt;&gt;Calc!$F$2),"",SUMIFS($N$3:$N$3002,$E$3:$E$3002,$E2546,$C$3:$C$3002,"&lt;&gt;U",$S$3:$S$3002,Calc!$F$2))</f>
        <v/>
      </c>
      <c r="Q2546" s="35" t="str">
        <f aca="false">IF(OR($A2546="",$C2546="U",$S2546&lt;&gt;Calc!$F$2),"",IF(COUNTIFS($E$3:$E2546,$E2546,$C$3:$C2546,"&lt;&gt;U",$S$3:$S2546,Calc!$F$2)=1,1,0))</f>
        <v/>
      </c>
      <c r="R2546" s="35" t="str">
        <f aca="false">IF($Q2546=1,$O2546-ROW()/100000,"")</f>
        <v/>
      </c>
      <c r="S2546" s="37" t="str">
        <f aca="false">IF($A2546="","",INT($A2546))</f>
        <v/>
      </c>
      <c r="T2546" s="35" t="str">
        <f aca="false">IF($A2546="","",IF(COUNTIFS($S$3:$S2546,$S2546)=1,1,0))</f>
        <v/>
      </c>
      <c r="U2546" s="37" t="str">
        <f aca="false">IF($T2546=1,$S2546,"")</f>
        <v/>
      </c>
    </row>
    <row r="2547" customFormat="false" ht="15" hidden="false" customHeight="false" outlineLevel="0" collapsed="false">
      <c r="M2547" s="35" t="str">
        <f aca="false">IF($A2547="","",HOUR($A2547))</f>
        <v/>
      </c>
      <c r="N2547" s="36" t="str">
        <f aca="false">IF($A2547="","",$I2547*$K2547)</f>
        <v/>
      </c>
      <c r="O2547" s="35" t="str">
        <f aca="false">IF(OR($A2547="",$C2547="U",$S2547&lt;&gt;Calc!$F$2),"",SUMIFS($I$3:$I$3002,$E$3:$E$3002,$E2547,$C$3:$C$3002,"&lt;&gt;U",$S$3:$S$3002,Calc!$F$2))</f>
        <v/>
      </c>
      <c r="P2547" s="35" t="str">
        <f aca="false">IF(OR($A2547="",$C2547="U",$S2547&lt;&gt;Calc!$F$2),"",SUMIFS($N$3:$N$3002,$E$3:$E$3002,$E2547,$C$3:$C$3002,"&lt;&gt;U",$S$3:$S$3002,Calc!$F$2))</f>
        <v/>
      </c>
      <c r="Q2547" s="35" t="str">
        <f aca="false">IF(OR($A2547="",$C2547="U",$S2547&lt;&gt;Calc!$F$2),"",IF(COUNTIFS($E$3:$E2547,$E2547,$C$3:$C2547,"&lt;&gt;U",$S$3:$S2547,Calc!$F$2)=1,1,0))</f>
        <v/>
      </c>
      <c r="R2547" s="35" t="str">
        <f aca="false">IF($Q2547=1,$O2547-ROW()/100000,"")</f>
        <v/>
      </c>
      <c r="S2547" s="37" t="str">
        <f aca="false">IF($A2547="","",INT($A2547))</f>
        <v/>
      </c>
      <c r="T2547" s="35" t="str">
        <f aca="false">IF($A2547="","",IF(COUNTIFS($S$3:$S2547,$S2547)=1,1,0))</f>
        <v/>
      </c>
      <c r="U2547" s="37" t="str">
        <f aca="false">IF($T2547=1,$S2547,"")</f>
        <v/>
      </c>
    </row>
    <row r="2548" customFormat="false" ht="15" hidden="false" customHeight="false" outlineLevel="0" collapsed="false">
      <c r="M2548" s="35" t="str">
        <f aca="false">IF($A2548="","",HOUR($A2548))</f>
        <v/>
      </c>
      <c r="N2548" s="36" t="str">
        <f aca="false">IF($A2548="","",$I2548*$K2548)</f>
        <v/>
      </c>
      <c r="O2548" s="35" t="str">
        <f aca="false">IF(OR($A2548="",$C2548="U",$S2548&lt;&gt;Calc!$F$2),"",SUMIFS($I$3:$I$3002,$E$3:$E$3002,$E2548,$C$3:$C$3002,"&lt;&gt;U",$S$3:$S$3002,Calc!$F$2))</f>
        <v/>
      </c>
      <c r="P2548" s="35" t="str">
        <f aca="false">IF(OR($A2548="",$C2548="U",$S2548&lt;&gt;Calc!$F$2),"",SUMIFS($N$3:$N$3002,$E$3:$E$3002,$E2548,$C$3:$C$3002,"&lt;&gt;U",$S$3:$S$3002,Calc!$F$2))</f>
        <v/>
      </c>
      <c r="Q2548" s="35" t="str">
        <f aca="false">IF(OR($A2548="",$C2548="U",$S2548&lt;&gt;Calc!$F$2),"",IF(COUNTIFS($E$3:$E2548,$E2548,$C$3:$C2548,"&lt;&gt;U",$S$3:$S2548,Calc!$F$2)=1,1,0))</f>
        <v/>
      </c>
      <c r="R2548" s="35" t="str">
        <f aca="false">IF($Q2548=1,$O2548-ROW()/100000,"")</f>
        <v/>
      </c>
      <c r="S2548" s="37" t="str">
        <f aca="false">IF($A2548="","",INT($A2548))</f>
        <v/>
      </c>
      <c r="T2548" s="35" t="str">
        <f aca="false">IF($A2548="","",IF(COUNTIFS($S$3:$S2548,$S2548)=1,1,0))</f>
        <v/>
      </c>
      <c r="U2548" s="37" t="str">
        <f aca="false">IF($T2548=1,$S2548,"")</f>
        <v/>
      </c>
    </row>
    <row r="2549" customFormat="false" ht="15" hidden="false" customHeight="false" outlineLevel="0" collapsed="false">
      <c r="M2549" s="35" t="str">
        <f aca="false">IF($A2549="","",HOUR($A2549))</f>
        <v/>
      </c>
      <c r="N2549" s="36" t="str">
        <f aca="false">IF($A2549="","",$I2549*$K2549)</f>
        <v/>
      </c>
      <c r="O2549" s="35" t="str">
        <f aca="false">IF(OR($A2549="",$C2549="U",$S2549&lt;&gt;Calc!$F$2),"",SUMIFS($I$3:$I$3002,$E$3:$E$3002,$E2549,$C$3:$C$3002,"&lt;&gt;U",$S$3:$S$3002,Calc!$F$2))</f>
        <v/>
      </c>
      <c r="P2549" s="35" t="str">
        <f aca="false">IF(OR($A2549="",$C2549="U",$S2549&lt;&gt;Calc!$F$2),"",SUMIFS($N$3:$N$3002,$E$3:$E$3002,$E2549,$C$3:$C$3002,"&lt;&gt;U",$S$3:$S$3002,Calc!$F$2))</f>
        <v/>
      </c>
      <c r="Q2549" s="35" t="str">
        <f aca="false">IF(OR($A2549="",$C2549="U",$S2549&lt;&gt;Calc!$F$2),"",IF(COUNTIFS($E$3:$E2549,$E2549,$C$3:$C2549,"&lt;&gt;U",$S$3:$S2549,Calc!$F$2)=1,1,0))</f>
        <v/>
      </c>
      <c r="R2549" s="35" t="str">
        <f aca="false">IF($Q2549=1,$O2549-ROW()/100000,"")</f>
        <v/>
      </c>
      <c r="S2549" s="37" t="str">
        <f aca="false">IF($A2549="","",INT($A2549))</f>
        <v/>
      </c>
      <c r="T2549" s="35" t="str">
        <f aca="false">IF($A2549="","",IF(COUNTIFS($S$3:$S2549,$S2549)=1,1,0))</f>
        <v/>
      </c>
      <c r="U2549" s="37" t="str">
        <f aca="false">IF($T2549=1,$S2549,"")</f>
        <v/>
      </c>
    </row>
    <row r="2550" customFormat="false" ht="15" hidden="false" customHeight="false" outlineLevel="0" collapsed="false">
      <c r="M2550" s="35" t="str">
        <f aca="false">IF($A2550="","",HOUR($A2550))</f>
        <v/>
      </c>
      <c r="N2550" s="36" t="str">
        <f aca="false">IF($A2550="","",$I2550*$K2550)</f>
        <v/>
      </c>
      <c r="O2550" s="35" t="str">
        <f aca="false">IF(OR($A2550="",$C2550="U",$S2550&lt;&gt;Calc!$F$2),"",SUMIFS($I$3:$I$3002,$E$3:$E$3002,$E2550,$C$3:$C$3002,"&lt;&gt;U",$S$3:$S$3002,Calc!$F$2))</f>
        <v/>
      </c>
      <c r="P2550" s="35" t="str">
        <f aca="false">IF(OR($A2550="",$C2550="U",$S2550&lt;&gt;Calc!$F$2),"",SUMIFS($N$3:$N$3002,$E$3:$E$3002,$E2550,$C$3:$C$3002,"&lt;&gt;U",$S$3:$S$3002,Calc!$F$2))</f>
        <v/>
      </c>
      <c r="Q2550" s="35" t="str">
        <f aca="false">IF(OR($A2550="",$C2550="U",$S2550&lt;&gt;Calc!$F$2),"",IF(COUNTIFS($E$3:$E2550,$E2550,$C$3:$C2550,"&lt;&gt;U",$S$3:$S2550,Calc!$F$2)=1,1,0))</f>
        <v/>
      </c>
      <c r="R2550" s="35" t="str">
        <f aca="false">IF($Q2550=1,$O2550-ROW()/100000,"")</f>
        <v/>
      </c>
      <c r="S2550" s="37" t="str">
        <f aca="false">IF($A2550="","",INT($A2550))</f>
        <v/>
      </c>
      <c r="T2550" s="35" t="str">
        <f aca="false">IF($A2550="","",IF(COUNTIFS($S$3:$S2550,$S2550)=1,1,0))</f>
        <v/>
      </c>
      <c r="U2550" s="37" t="str">
        <f aca="false">IF($T2550=1,$S2550,"")</f>
        <v/>
      </c>
    </row>
    <row r="2551" customFormat="false" ht="15" hidden="false" customHeight="false" outlineLevel="0" collapsed="false">
      <c r="M2551" s="35" t="str">
        <f aca="false">IF($A2551="","",HOUR($A2551))</f>
        <v/>
      </c>
      <c r="N2551" s="36" t="str">
        <f aca="false">IF($A2551="","",$I2551*$K2551)</f>
        <v/>
      </c>
      <c r="O2551" s="35" t="str">
        <f aca="false">IF(OR($A2551="",$C2551="U",$S2551&lt;&gt;Calc!$F$2),"",SUMIFS($I$3:$I$3002,$E$3:$E$3002,$E2551,$C$3:$C$3002,"&lt;&gt;U",$S$3:$S$3002,Calc!$F$2))</f>
        <v/>
      </c>
      <c r="P2551" s="35" t="str">
        <f aca="false">IF(OR($A2551="",$C2551="U",$S2551&lt;&gt;Calc!$F$2),"",SUMIFS($N$3:$N$3002,$E$3:$E$3002,$E2551,$C$3:$C$3002,"&lt;&gt;U",$S$3:$S$3002,Calc!$F$2))</f>
        <v/>
      </c>
      <c r="Q2551" s="35" t="str">
        <f aca="false">IF(OR($A2551="",$C2551="U",$S2551&lt;&gt;Calc!$F$2),"",IF(COUNTIFS($E$3:$E2551,$E2551,$C$3:$C2551,"&lt;&gt;U",$S$3:$S2551,Calc!$F$2)=1,1,0))</f>
        <v/>
      </c>
      <c r="R2551" s="35" t="str">
        <f aca="false">IF($Q2551=1,$O2551-ROW()/100000,"")</f>
        <v/>
      </c>
      <c r="S2551" s="37" t="str">
        <f aca="false">IF($A2551="","",INT($A2551))</f>
        <v/>
      </c>
      <c r="T2551" s="35" t="str">
        <f aca="false">IF($A2551="","",IF(COUNTIFS($S$3:$S2551,$S2551)=1,1,0))</f>
        <v/>
      </c>
      <c r="U2551" s="37" t="str">
        <f aca="false">IF($T2551=1,$S2551,"")</f>
        <v/>
      </c>
    </row>
    <row r="2552" customFormat="false" ht="15" hidden="false" customHeight="false" outlineLevel="0" collapsed="false">
      <c r="M2552" s="35" t="str">
        <f aca="false">IF($A2552="","",HOUR($A2552))</f>
        <v/>
      </c>
      <c r="N2552" s="36" t="str">
        <f aca="false">IF($A2552="","",$I2552*$K2552)</f>
        <v/>
      </c>
      <c r="O2552" s="35" t="str">
        <f aca="false">IF(OR($A2552="",$C2552="U",$S2552&lt;&gt;Calc!$F$2),"",SUMIFS($I$3:$I$3002,$E$3:$E$3002,$E2552,$C$3:$C$3002,"&lt;&gt;U",$S$3:$S$3002,Calc!$F$2))</f>
        <v/>
      </c>
      <c r="P2552" s="35" t="str">
        <f aca="false">IF(OR($A2552="",$C2552="U",$S2552&lt;&gt;Calc!$F$2),"",SUMIFS($N$3:$N$3002,$E$3:$E$3002,$E2552,$C$3:$C$3002,"&lt;&gt;U",$S$3:$S$3002,Calc!$F$2))</f>
        <v/>
      </c>
      <c r="Q2552" s="35" t="str">
        <f aca="false">IF(OR($A2552="",$C2552="U",$S2552&lt;&gt;Calc!$F$2),"",IF(COUNTIFS($E$3:$E2552,$E2552,$C$3:$C2552,"&lt;&gt;U",$S$3:$S2552,Calc!$F$2)=1,1,0))</f>
        <v/>
      </c>
      <c r="R2552" s="35" t="str">
        <f aca="false">IF($Q2552=1,$O2552-ROW()/100000,"")</f>
        <v/>
      </c>
      <c r="S2552" s="37" t="str">
        <f aca="false">IF($A2552="","",INT($A2552))</f>
        <v/>
      </c>
      <c r="T2552" s="35" t="str">
        <f aca="false">IF($A2552="","",IF(COUNTIFS($S$3:$S2552,$S2552)=1,1,0))</f>
        <v/>
      </c>
      <c r="U2552" s="37" t="str">
        <f aca="false">IF($T2552=1,$S2552,"")</f>
        <v/>
      </c>
    </row>
    <row r="2553" customFormat="false" ht="15" hidden="false" customHeight="false" outlineLevel="0" collapsed="false">
      <c r="M2553" s="35" t="str">
        <f aca="false">IF($A2553="","",HOUR($A2553))</f>
        <v/>
      </c>
      <c r="N2553" s="36" t="str">
        <f aca="false">IF($A2553="","",$I2553*$K2553)</f>
        <v/>
      </c>
      <c r="O2553" s="35" t="str">
        <f aca="false">IF(OR($A2553="",$C2553="U",$S2553&lt;&gt;Calc!$F$2),"",SUMIFS($I$3:$I$3002,$E$3:$E$3002,$E2553,$C$3:$C$3002,"&lt;&gt;U",$S$3:$S$3002,Calc!$F$2))</f>
        <v/>
      </c>
      <c r="P2553" s="35" t="str">
        <f aca="false">IF(OR($A2553="",$C2553="U",$S2553&lt;&gt;Calc!$F$2),"",SUMIFS($N$3:$N$3002,$E$3:$E$3002,$E2553,$C$3:$C$3002,"&lt;&gt;U",$S$3:$S$3002,Calc!$F$2))</f>
        <v/>
      </c>
      <c r="Q2553" s="35" t="str">
        <f aca="false">IF(OR($A2553="",$C2553="U",$S2553&lt;&gt;Calc!$F$2),"",IF(COUNTIFS($E$3:$E2553,$E2553,$C$3:$C2553,"&lt;&gt;U",$S$3:$S2553,Calc!$F$2)=1,1,0))</f>
        <v/>
      </c>
      <c r="R2553" s="35" t="str">
        <f aca="false">IF($Q2553=1,$O2553-ROW()/100000,"")</f>
        <v/>
      </c>
      <c r="S2553" s="37" t="str">
        <f aca="false">IF($A2553="","",INT($A2553))</f>
        <v/>
      </c>
      <c r="T2553" s="35" t="str">
        <f aca="false">IF($A2553="","",IF(COUNTIFS($S$3:$S2553,$S2553)=1,1,0))</f>
        <v/>
      </c>
      <c r="U2553" s="37" t="str">
        <f aca="false">IF($T2553=1,$S2553,"")</f>
        <v/>
      </c>
    </row>
    <row r="2554" customFormat="false" ht="15" hidden="false" customHeight="false" outlineLevel="0" collapsed="false">
      <c r="M2554" s="35" t="str">
        <f aca="false">IF($A2554="","",HOUR($A2554))</f>
        <v/>
      </c>
      <c r="N2554" s="36" t="str">
        <f aca="false">IF($A2554="","",$I2554*$K2554)</f>
        <v/>
      </c>
      <c r="O2554" s="35" t="str">
        <f aca="false">IF(OR($A2554="",$C2554="U",$S2554&lt;&gt;Calc!$F$2),"",SUMIFS($I$3:$I$3002,$E$3:$E$3002,$E2554,$C$3:$C$3002,"&lt;&gt;U",$S$3:$S$3002,Calc!$F$2))</f>
        <v/>
      </c>
      <c r="P2554" s="35" t="str">
        <f aca="false">IF(OR($A2554="",$C2554="U",$S2554&lt;&gt;Calc!$F$2),"",SUMIFS($N$3:$N$3002,$E$3:$E$3002,$E2554,$C$3:$C$3002,"&lt;&gt;U",$S$3:$S$3002,Calc!$F$2))</f>
        <v/>
      </c>
      <c r="Q2554" s="35" t="str">
        <f aca="false">IF(OR($A2554="",$C2554="U",$S2554&lt;&gt;Calc!$F$2),"",IF(COUNTIFS($E$3:$E2554,$E2554,$C$3:$C2554,"&lt;&gt;U",$S$3:$S2554,Calc!$F$2)=1,1,0))</f>
        <v/>
      </c>
      <c r="R2554" s="35" t="str">
        <f aca="false">IF($Q2554=1,$O2554-ROW()/100000,"")</f>
        <v/>
      </c>
      <c r="S2554" s="37" t="str">
        <f aca="false">IF($A2554="","",INT($A2554))</f>
        <v/>
      </c>
      <c r="T2554" s="35" t="str">
        <f aca="false">IF($A2554="","",IF(COUNTIFS($S$3:$S2554,$S2554)=1,1,0))</f>
        <v/>
      </c>
      <c r="U2554" s="37" t="str">
        <f aca="false">IF($T2554=1,$S2554,"")</f>
        <v/>
      </c>
    </row>
    <row r="2555" customFormat="false" ht="15" hidden="false" customHeight="false" outlineLevel="0" collapsed="false">
      <c r="M2555" s="35" t="str">
        <f aca="false">IF($A2555="","",HOUR($A2555))</f>
        <v/>
      </c>
      <c r="N2555" s="36" t="str">
        <f aca="false">IF($A2555="","",$I2555*$K2555)</f>
        <v/>
      </c>
      <c r="O2555" s="35" t="str">
        <f aca="false">IF(OR($A2555="",$C2555="U",$S2555&lt;&gt;Calc!$F$2),"",SUMIFS($I$3:$I$3002,$E$3:$E$3002,$E2555,$C$3:$C$3002,"&lt;&gt;U",$S$3:$S$3002,Calc!$F$2))</f>
        <v/>
      </c>
      <c r="P2555" s="35" t="str">
        <f aca="false">IF(OR($A2555="",$C2555="U",$S2555&lt;&gt;Calc!$F$2),"",SUMIFS($N$3:$N$3002,$E$3:$E$3002,$E2555,$C$3:$C$3002,"&lt;&gt;U",$S$3:$S$3002,Calc!$F$2))</f>
        <v/>
      </c>
      <c r="Q2555" s="35" t="str">
        <f aca="false">IF(OR($A2555="",$C2555="U",$S2555&lt;&gt;Calc!$F$2),"",IF(COUNTIFS($E$3:$E2555,$E2555,$C$3:$C2555,"&lt;&gt;U",$S$3:$S2555,Calc!$F$2)=1,1,0))</f>
        <v/>
      </c>
      <c r="R2555" s="35" t="str">
        <f aca="false">IF($Q2555=1,$O2555-ROW()/100000,"")</f>
        <v/>
      </c>
      <c r="S2555" s="37" t="str">
        <f aca="false">IF($A2555="","",INT($A2555))</f>
        <v/>
      </c>
      <c r="T2555" s="35" t="str">
        <f aca="false">IF($A2555="","",IF(COUNTIFS($S$3:$S2555,$S2555)=1,1,0))</f>
        <v/>
      </c>
      <c r="U2555" s="37" t="str">
        <f aca="false">IF($T2555=1,$S2555,"")</f>
        <v/>
      </c>
    </row>
    <row r="2556" customFormat="false" ht="15" hidden="false" customHeight="false" outlineLevel="0" collapsed="false">
      <c r="M2556" s="35" t="str">
        <f aca="false">IF($A2556="","",HOUR($A2556))</f>
        <v/>
      </c>
      <c r="N2556" s="36" t="str">
        <f aca="false">IF($A2556="","",$I2556*$K2556)</f>
        <v/>
      </c>
      <c r="O2556" s="35" t="str">
        <f aca="false">IF(OR($A2556="",$C2556="U",$S2556&lt;&gt;Calc!$F$2),"",SUMIFS($I$3:$I$3002,$E$3:$E$3002,$E2556,$C$3:$C$3002,"&lt;&gt;U",$S$3:$S$3002,Calc!$F$2))</f>
        <v/>
      </c>
      <c r="P2556" s="35" t="str">
        <f aca="false">IF(OR($A2556="",$C2556="U",$S2556&lt;&gt;Calc!$F$2),"",SUMIFS($N$3:$N$3002,$E$3:$E$3002,$E2556,$C$3:$C$3002,"&lt;&gt;U",$S$3:$S$3002,Calc!$F$2))</f>
        <v/>
      </c>
      <c r="Q2556" s="35" t="str">
        <f aca="false">IF(OR($A2556="",$C2556="U",$S2556&lt;&gt;Calc!$F$2),"",IF(COUNTIFS($E$3:$E2556,$E2556,$C$3:$C2556,"&lt;&gt;U",$S$3:$S2556,Calc!$F$2)=1,1,0))</f>
        <v/>
      </c>
      <c r="R2556" s="35" t="str">
        <f aca="false">IF($Q2556=1,$O2556-ROW()/100000,"")</f>
        <v/>
      </c>
      <c r="S2556" s="37" t="str">
        <f aca="false">IF($A2556="","",INT($A2556))</f>
        <v/>
      </c>
      <c r="T2556" s="35" t="str">
        <f aca="false">IF($A2556="","",IF(COUNTIFS($S$3:$S2556,$S2556)=1,1,0))</f>
        <v/>
      </c>
      <c r="U2556" s="37" t="str">
        <f aca="false">IF($T2556=1,$S2556,"")</f>
        <v/>
      </c>
    </row>
    <row r="2557" customFormat="false" ht="15" hidden="false" customHeight="false" outlineLevel="0" collapsed="false">
      <c r="M2557" s="35" t="str">
        <f aca="false">IF($A2557="","",HOUR($A2557))</f>
        <v/>
      </c>
      <c r="N2557" s="36" t="str">
        <f aca="false">IF($A2557="","",$I2557*$K2557)</f>
        <v/>
      </c>
      <c r="O2557" s="35" t="str">
        <f aca="false">IF(OR($A2557="",$C2557="U",$S2557&lt;&gt;Calc!$F$2),"",SUMIFS($I$3:$I$3002,$E$3:$E$3002,$E2557,$C$3:$C$3002,"&lt;&gt;U",$S$3:$S$3002,Calc!$F$2))</f>
        <v/>
      </c>
      <c r="P2557" s="35" t="str">
        <f aca="false">IF(OR($A2557="",$C2557="U",$S2557&lt;&gt;Calc!$F$2),"",SUMIFS($N$3:$N$3002,$E$3:$E$3002,$E2557,$C$3:$C$3002,"&lt;&gt;U",$S$3:$S$3002,Calc!$F$2))</f>
        <v/>
      </c>
      <c r="Q2557" s="35" t="str">
        <f aca="false">IF(OR($A2557="",$C2557="U",$S2557&lt;&gt;Calc!$F$2),"",IF(COUNTIFS($E$3:$E2557,$E2557,$C$3:$C2557,"&lt;&gt;U",$S$3:$S2557,Calc!$F$2)=1,1,0))</f>
        <v/>
      </c>
      <c r="R2557" s="35" t="str">
        <f aca="false">IF($Q2557=1,$O2557-ROW()/100000,"")</f>
        <v/>
      </c>
      <c r="S2557" s="37" t="str">
        <f aca="false">IF($A2557="","",INT($A2557))</f>
        <v/>
      </c>
      <c r="T2557" s="35" t="str">
        <f aca="false">IF($A2557="","",IF(COUNTIFS($S$3:$S2557,$S2557)=1,1,0))</f>
        <v/>
      </c>
      <c r="U2557" s="37" t="str">
        <f aca="false">IF($T2557=1,$S2557,"")</f>
        <v/>
      </c>
    </row>
    <row r="2558" customFormat="false" ht="15" hidden="false" customHeight="false" outlineLevel="0" collapsed="false">
      <c r="M2558" s="35" t="str">
        <f aca="false">IF($A2558="","",HOUR($A2558))</f>
        <v/>
      </c>
      <c r="N2558" s="36" t="str">
        <f aca="false">IF($A2558="","",$I2558*$K2558)</f>
        <v/>
      </c>
      <c r="O2558" s="35" t="str">
        <f aca="false">IF(OR($A2558="",$C2558="U",$S2558&lt;&gt;Calc!$F$2),"",SUMIFS($I$3:$I$3002,$E$3:$E$3002,$E2558,$C$3:$C$3002,"&lt;&gt;U",$S$3:$S$3002,Calc!$F$2))</f>
        <v/>
      </c>
      <c r="P2558" s="35" t="str">
        <f aca="false">IF(OR($A2558="",$C2558="U",$S2558&lt;&gt;Calc!$F$2),"",SUMIFS($N$3:$N$3002,$E$3:$E$3002,$E2558,$C$3:$C$3002,"&lt;&gt;U",$S$3:$S$3002,Calc!$F$2))</f>
        <v/>
      </c>
      <c r="Q2558" s="35" t="str">
        <f aca="false">IF(OR($A2558="",$C2558="U",$S2558&lt;&gt;Calc!$F$2),"",IF(COUNTIFS($E$3:$E2558,$E2558,$C$3:$C2558,"&lt;&gt;U",$S$3:$S2558,Calc!$F$2)=1,1,0))</f>
        <v/>
      </c>
      <c r="R2558" s="35" t="str">
        <f aca="false">IF($Q2558=1,$O2558-ROW()/100000,"")</f>
        <v/>
      </c>
      <c r="S2558" s="37" t="str">
        <f aca="false">IF($A2558="","",INT($A2558))</f>
        <v/>
      </c>
      <c r="T2558" s="35" t="str">
        <f aca="false">IF($A2558="","",IF(COUNTIFS($S$3:$S2558,$S2558)=1,1,0))</f>
        <v/>
      </c>
      <c r="U2558" s="37" t="str">
        <f aca="false">IF($T2558=1,$S2558,"")</f>
        <v/>
      </c>
    </row>
    <row r="2559" customFormat="false" ht="15" hidden="false" customHeight="false" outlineLevel="0" collapsed="false">
      <c r="M2559" s="35" t="str">
        <f aca="false">IF($A2559="","",HOUR($A2559))</f>
        <v/>
      </c>
      <c r="N2559" s="36" t="str">
        <f aca="false">IF($A2559="","",$I2559*$K2559)</f>
        <v/>
      </c>
      <c r="O2559" s="35" t="str">
        <f aca="false">IF(OR($A2559="",$C2559="U",$S2559&lt;&gt;Calc!$F$2),"",SUMIFS($I$3:$I$3002,$E$3:$E$3002,$E2559,$C$3:$C$3002,"&lt;&gt;U",$S$3:$S$3002,Calc!$F$2))</f>
        <v/>
      </c>
      <c r="P2559" s="35" t="str">
        <f aca="false">IF(OR($A2559="",$C2559="U",$S2559&lt;&gt;Calc!$F$2),"",SUMIFS($N$3:$N$3002,$E$3:$E$3002,$E2559,$C$3:$C$3002,"&lt;&gt;U",$S$3:$S$3002,Calc!$F$2))</f>
        <v/>
      </c>
      <c r="Q2559" s="35" t="str">
        <f aca="false">IF(OR($A2559="",$C2559="U",$S2559&lt;&gt;Calc!$F$2),"",IF(COUNTIFS($E$3:$E2559,$E2559,$C$3:$C2559,"&lt;&gt;U",$S$3:$S2559,Calc!$F$2)=1,1,0))</f>
        <v/>
      </c>
      <c r="R2559" s="35" t="str">
        <f aca="false">IF($Q2559=1,$O2559-ROW()/100000,"")</f>
        <v/>
      </c>
      <c r="S2559" s="37" t="str">
        <f aca="false">IF($A2559="","",INT($A2559))</f>
        <v/>
      </c>
      <c r="T2559" s="35" t="str">
        <f aca="false">IF($A2559="","",IF(COUNTIFS($S$3:$S2559,$S2559)=1,1,0))</f>
        <v/>
      </c>
      <c r="U2559" s="37" t="str">
        <f aca="false">IF($T2559=1,$S2559,"")</f>
        <v/>
      </c>
    </row>
    <row r="2560" customFormat="false" ht="15" hidden="false" customHeight="false" outlineLevel="0" collapsed="false">
      <c r="M2560" s="35" t="str">
        <f aca="false">IF($A2560="","",HOUR($A2560))</f>
        <v/>
      </c>
      <c r="N2560" s="36" t="str">
        <f aca="false">IF($A2560="","",$I2560*$K2560)</f>
        <v/>
      </c>
      <c r="O2560" s="35" t="str">
        <f aca="false">IF(OR($A2560="",$C2560="U",$S2560&lt;&gt;Calc!$F$2),"",SUMIFS($I$3:$I$3002,$E$3:$E$3002,$E2560,$C$3:$C$3002,"&lt;&gt;U",$S$3:$S$3002,Calc!$F$2))</f>
        <v/>
      </c>
      <c r="P2560" s="35" t="str">
        <f aca="false">IF(OR($A2560="",$C2560="U",$S2560&lt;&gt;Calc!$F$2),"",SUMIFS($N$3:$N$3002,$E$3:$E$3002,$E2560,$C$3:$C$3002,"&lt;&gt;U",$S$3:$S$3002,Calc!$F$2))</f>
        <v/>
      </c>
      <c r="Q2560" s="35" t="str">
        <f aca="false">IF(OR($A2560="",$C2560="U",$S2560&lt;&gt;Calc!$F$2),"",IF(COUNTIFS($E$3:$E2560,$E2560,$C$3:$C2560,"&lt;&gt;U",$S$3:$S2560,Calc!$F$2)=1,1,0))</f>
        <v/>
      </c>
      <c r="R2560" s="35" t="str">
        <f aca="false">IF($Q2560=1,$O2560-ROW()/100000,"")</f>
        <v/>
      </c>
      <c r="S2560" s="37" t="str">
        <f aca="false">IF($A2560="","",INT($A2560))</f>
        <v/>
      </c>
      <c r="T2560" s="35" t="str">
        <f aca="false">IF($A2560="","",IF(COUNTIFS($S$3:$S2560,$S2560)=1,1,0))</f>
        <v/>
      </c>
      <c r="U2560" s="37" t="str">
        <f aca="false">IF($T2560=1,$S2560,"")</f>
        <v/>
      </c>
    </row>
    <row r="2561" customFormat="false" ht="15" hidden="false" customHeight="false" outlineLevel="0" collapsed="false">
      <c r="M2561" s="35" t="str">
        <f aca="false">IF($A2561="","",HOUR($A2561))</f>
        <v/>
      </c>
      <c r="N2561" s="36" t="str">
        <f aca="false">IF($A2561="","",$I2561*$K2561)</f>
        <v/>
      </c>
      <c r="O2561" s="35" t="str">
        <f aca="false">IF(OR($A2561="",$C2561="U",$S2561&lt;&gt;Calc!$F$2),"",SUMIFS($I$3:$I$3002,$E$3:$E$3002,$E2561,$C$3:$C$3002,"&lt;&gt;U",$S$3:$S$3002,Calc!$F$2))</f>
        <v/>
      </c>
      <c r="P2561" s="35" t="str">
        <f aca="false">IF(OR($A2561="",$C2561="U",$S2561&lt;&gt;Calc!$F$2),"",SUMIFS($N$3:$N$3002,$E$3:$E$3002,$E2561,$C$3:$C$3002,"&lt;&gt;U",$S$3:$S$3002,Calc!$F$2))</f>
        <v/>
      </c>
      <c r="Q2561" s="35" t="str">
        <f aca="false">IF(OR($A2561="",$C2561="U",$S2561&lt;&gt;Calc!$F$2),"",IF(COUNTIFS($E$3:$E2561,$E2561,$C$3:$C2561,"&lt;&gt;U",$S$3:$S2561,Calc!$F$2)=1,1,0))</f>
        <v/>
      </c>
      <c r="R2561" s="35" t="str">
        <f aca="false">IF($Q2561=1,$O2561-ROW()/100000,"")</f>
        <v/>
      </c>
      <c r="S2561" s="37" t="str">
        <f aca="false">IF($A2561="","",INT($A2561))</f>
        <v/>
      </c>
      <c r="T2561" s="35" t="str">
        <f aca="false">IF($A2561="","",IF(COUNTIFS($S$3:$S2561,$S2561)=1,1,0))</f>
        <v/>
      </c>
      <c r="U2561" s="37" t="str">
        <f aca="false">IF($T2561=1,$S2561,"")</f>
        <v/>
      </c>
    </row>
    <row r="2562" customFormat="false" ht="15" hidden="false" customHeight="false" outlineLevel="0" collapsed="false">
      <c r="M2562" s="35" t="str">
        <f aca="false">IF($A2562="","",HOUR($A2562))</f>
        <v/>
      </c>
      <c r="N2562" s="36" t="str">
        <f aca="false">IF($A2562="","",$I2562*$K2562)</f>
        <v/>
      </c>
      <c r="O2562" s="35" t="str">
        <f aca="false">IF(OR($A2562="",$C2562="U",$S2562&lt;&gt;Calc!$F$2),"",SUMIFS($I$3:$I$3002,$E$3:$E$3002,$E2562,$C$3:$C$3002,"&lt;&gt;U",$S$3:$S$3002,Calc!$F$2))</f>
        <v/>
      </c>
      <c r="P2562" s="35" t="str">
        <f aca="false">IF(OR($A2562="",$C2562="U",$S2562&lt;&gt;Calc!$F$2),"",SUMIFS($N$3:$N$3002,$E$3:$E$3002,$E2562,$C$3:$C$3002,"&lt;&gt;U",$S$3:$S$3002,Calc!$F$2))</f>
        <v/>
      </c>
      <c r="Q2562" s="35" t="str">
        <f aca="false">IF(OR($A2562="",$C2562="U",$S2562&lt;&gt;Calc!$F$2),"",IF(COUNTIFS($E$3:$E2562,$E2562,$C$3:$C2562,"&lt;&gt;U",$S$3:$S2562,Calc!$F$2)=1,1,0))</f>
        <v/>
      </c>
      <c r="R2562" s="35" t="str">
        <f aca="false">IF($Q2562=1,$O2562-ROW()/100000,"")</f>
        <v/>
      </c>
      <c r="S2562" s="37" t="str">
        <f aca="false">IF($A2562="","",INT($A2562))</f>
        <v/>
      </c>
      <c r="T2562" s="35" t="str">
        <f aca="false">IF($A2562="","",IF(COUNTIFS($S$3:$S2562,$S2562)=1,1,0))</f>
        <v/>
      </c>
      <c r="U2562" s="37" t="str">
        <f aca="false">IF($T2562=1,$S2562,"")</f>
        <v/>
      </c>
    </row>
    <row r="2563" customFormat="false" ht="15" hidden="false" customHeight="false" outlineLevel="0" collapsed="false">
      <c r="M2563" s="35" t="str">
        <f aca="false">IF($A2563="","",HOUR($A2563))</f>
        <v/>
      </c>
      <c r="N2563" s="36" t="str">
        <f aca="false">IF($A2563="","",$I2563*$K2563)</f>
        <v/>
      </c>
      <c r="O2563" s="35" t="str">
        <f aca="false">IF(OR($A2563="",$C2563="U",$S2563&lt;&gt;Calc!$F$2),"",SUMIFS($I$3:$I$3002,$E$3:$E$3002,$E2563,$C$3:$C$3002,"&lt;&gt;U",$S$3:$S$3002,Calc!$F$2))</f>
        <v/>
      </c>
      <c r="P2563" s="35" t="str">
        <f aca="false">IF(OR($A2563="",$C2563="U",$S2563&lt;&gt;Calc!$F$2),"",SUMIFS($N$3:$N$3002,$E$3:$E$3002,$E2563,$C$3:$C$3002,"&lt;&gt;U",$S$3:$S$3002,Calc!$F$2))</f>
        <v/>
      </c>
      <c r="Q2563" s="35" t="str">
        <f aca="false">IF(OR($A2563="",$C2563="U",$S2563&lt;&gt;Calc!$F$2),"",IF(COUNTIFS($E$3:$E2563,$E2563,$C$3:$C2563,"&lt;&gt;U",$S$3:$S2563,Calc!$F$2)=1,1,0))</f>
        <v/>
      </c>
      <c r="R2563" s="35" t="str">
        <f aca="false">IF($Q2563=1,$O2563-ROW()/100000,"")</f>
        <v/>
      </c>
      <c r="S2563" s="37" t="str">
        <f aca="false">IF($A2563="","",INT($A2563))</f>
        <v/>
      </c>
      <c r="T2563" s="35" t="str">
        <f aca="false">IF($A2563="","",IF(COUNTIFS($S$3:$S2563,$S2563)=1,1,0))</f>
        <v/>
      </c>
      <c r="U2563" s="37" t="str">
        <f aca="false">IF($T2563=1,$S2563,"")</f>
        <v/>
      </c>
    </row>
    <row r="2564" customFormat="false" ht="15" hidden="false" customHeight="false" outlineLevel="0" collapsed="false">
      <c r="M2564" s="35" t="str">
        <f aca="false">IF($A2564="","",HOUR($A2564))</f>
        <v/>
      </c>
      <c r="N2564" s="36" t="str">
        <f aca="false">IF($A2564="","",$I2564*$K2564)</f>
        <v/>
      </c>
      <c r="O2564" s="35" t="str">
        <f aca="false">IF(OR($A2564="",$C2564="U",$S2564&lt;&gt;Calc!$F$2),"",SUMIFS($I$3:$I$3002,$E$3:$E$3002,$E2564,$C$3:$C$3002,"&lt;&gt;U",$S$3:$S$3002,Calc!$F$2))</f>
        <v/>
      </c>
      <c r="P2564" s="35" t="str">
        <f aca="false">IF(OR($A2564="",$C2564="U",$S2564&lt;&gt;Calc!$F$2),"",SUMIFS($N$3:$N$3002,$E$3:$E$3002,$E2564,$C$3:$C$3002,"&lt;&gt;U",$S$3:$S$3002,Calc!$F$2))</f>
        <v/>
      </c>
      <c r="Q2564" s="35" t="str">
        <f aca="false">IF(OR($A2564="",$C2564="U",$S2564&lt;&gt;Calc!$F$2),"",IF(COUNTIFS($E$3:$E2564,$E2564,$C$3:$C2564,"&lt;&gt;U",$S$3:$S2564,Calc!$F$2)=1,1,0))</f>
        <v/>
      </c>
      <c r="R2564" s="35" t="str">
        <f aca="false">IF($Q2564=1,$O2564-ROW()/100000,"")</f>
        <v/>
      </c>
      <c r="S2564" s="37" t="str">
        <f aca="false">IF($A2564="","",INT($A2564))</f>
        <v/>
      </c>
      <c r="T2564" s="35" t="str">
        <f aca="false">IF($A2564="","",IF(COUNTIFS($S$3:$S2564,$S2564)=1,1,0))</f>
        <v/>
      </c>
      <c r="U2564" s="37" t="str">
        <f aca="false">IF($T2564=1,$S2564,"")</f>
        <v/>
      </c>
    </row>
    <row r="2565" customFormat="false" ht="15" hidden="false" customHeight="false" outlineLevel="0" collapsed="false">
      <c r="M2565" s="35" t="str">
        <f aca="false">IF($A2565="","",HOUR($A2565))</f>
        <v/>
      </c>
      <c r="N2565" s="36" t="str">
        <f aca="false">IF($A2565="","",$I2565*$K2565)</f>
        <v/>
      </c>
      <c r="O2565" s="35" t="str">
        <f aca="false">IF(OR($A2565="",$C2565="U",$S2565&lt;&gt;Calc!$F$2),"",SUMIFS($I$3:$I$3002,$E$3:$E$3002,$E2565,$C$3:$C$3002,"&lt;&gt;U",$S$3:$S$3002,Calc!$F$2))</f>
        <v/>
      </c>
      <c r="P2565" s="35" t="str">
        <f aca="false">IF(OR($A2565="",$C2565="U",$S2565&lt;&gt;Calc!$F$2),"",SUMIFS($N$3:$N$3002,$E$3:$E$3002,$E2565,$C$3:$C$3002,"&lt;&gt;U",$S$3:$S$3002,Calc!$F$2))</f>
        <v/>
      </c>
      <c r="Q2565" s="35" t="str">
        <f aca="false">IF(OR($A2565="",$C2565="U",$S2565&lt;&gt;Calc!$F$2),"",IF(COUNTIFS($E$3:$E2565,$E2565,$C$3:$C2565,"&lt;&gt;U",$S$3:$S2565,Calc!$F$2)=1,1,0))</f>
        <v/>
      </c>
      <c r="R2565" s="35" t="str">
        <f aca="false">IF($Q2565=1,$O2565-ROW()/100000,"")</f>
        <v/>
      </c>
      <c r="S2565" s="37" t="str">
        <f aca="false">IF($A2565="","",INT($A2565))</f>
        <v/>
      </c>
      <c r="T2565" s="35" t="str">
        <f aca="false">IF($A2565="","",IF(COUNTIFS($S$3:$S2565,$S2565)=1,1,0))</f>
        <v/>
      </c>
      <c r="U2565" s="37" t="str">
        <f aca="false">IF($T2565=1,$S2565,"")</f>
        <v/>
      </c>
    </row>
    <row r="2566" customFormat="false" ht="15" hidden="false" customHeight="false" outlineLevel="0" collapsed="false">
      <c r="M2566" s="35" t="str">
        <f aca="false">IF($A2566="","",HOUR($A2566))</f>
        <v/>
      </c>
      <c r="N2566" s="36" t="str">
        <f aca="false">IF($A2566="","",$I2566*$K2566)</f>
        <v/>
      </c>
      <c r="O2566" s="35" t="str">
        <f aca="false">IF(OR($A2566="",$C2566="U",$S2566&lt;&gt;Calc!$F$2),"",SUMIFS($I$3:$I$3002,$E$3:$E$3002,$E2566,$C$3:$C$3002,"&lt;&gt;U",$S$3:$S$3002,Calc!$F$2))</f>
        <v/>
      </c>
      <c r="P2566" s="35" t="str">
        <f aca="false">IF(OR($A2566="",$C2566="U",$S2566&lt;&gt;Calc!$F$2),"",SUMIFS($N$3:$N$3002,$E$3:$E$3002,$E2566,$C$3:$C$3002,"&lt;&gt;U",$S$3:$S$3002,Calc!$F$2))</f>
        <v/>
      </c>
      <c r="Q2566" s="35" t="str">
        <f aca="false">IF(OR($A2566="",$C2566="U",$S2566&lt;&gt;Calc!$F$2),"",IF(COUNTIFS($E$3:$E2566,$E2566,$C$3:$C2566,"&lt;&gt;U",$S$3:$S2566,Calc!$F$2)=1,1,0))</f>
        <v/>
      </c>
      <c r="R2566" s="35" t="str">
        <f aca="false">IF($Q2566=1,$O2566-ROW()/100000,"")</f>
        <v/>
      </c>
      <c r="S2566" s="37" t="str">
        <f aca="false">IF($A2566="","",INT($A2566))</f>
        <v/>
      </c>
      <c r="T2566" s="35" t="str">
        <f aca="false">IF($A2566="","",IF(COUNTIFS($S$3:$S2566,$S2566)=1,1,0))</f>
        <v/>
      </c>
      <c r="U2566" s="37" t="str">
        <f aca="false">IF($T2566=1,$S2566,"")</f>
        <v/>
      </c>
    </row>
    <row r="2567" customFormat="false" ht="15" hidden="false" customHeight="false" outlineLevel="0" collapsed="false">
      <c r="M2567" s="35" t="str">
        <f aca="false">IF($A2567="","",HOUR($A2567))</f>
        <v/>
      </c>
      <c r="N2567" s="36" t="str">
        <f aca="false">IF($A2567="","",$I2567*$K2567)</f>
        <v/>
      </c>
      <c r="O2567" s="35" t="str">
        <f aca="false">IF(OR($A2567="",$C2567="U",$S2567&lt;&gt;Calc!$F$2),"",SUMIFS($I$3:$I$3002,$E$3:$E$3002,$E2567,$C$3:$C$3002,"&lt;&gt;U",$S$3:$S$3002,Calc!$F$2))</f>
        <v/>
      </c>
      <c r="P2567" s="35" t="str">
        <f aca="false">IF(OR($A2567="",$C2567="U",$S2567&lt;&gt;Calc!$F$2),"",SUMIFS($N$3:$N$3002,$E$3:$E$3002,$E2567,$C$3:$C$3002,"&lt;&gt;U",$S$3:$S$3002,Calc!$F$2))</f>
        <v/>
      </c>
      <c r="Q2567" s="35" t="str">
        <f aca="false">IF(OR($A2567="",$C2567="U",$S2567&lt;&gt;Calc!$F$2),"",IF(COUNTIFS($E$3:$E2567,$E2567,$C$3:$C2567,"&lt;&gt;U",$S$3:$S2567,Calc!$F$2)=1,1,0))</f>
        <v/>
      </c>
      <c r="R2567" s="35" t="str">
        <f aca="false">IF($Q2567=1,$O2567-ROW()/100000,"")</f>
        <v/>
      </c>
      <c r="S2567" s="37" t="str">
        <f aca="false">IF($A2567="","",INT($A2567))</f>
        <v/>
      </c>
      <c r="T2567" s="35" t="str">
        <f aca="false">IF($A2567="","",IF(COUNTIFS($S$3:$S2567,$S2567)=1,1,0))</f>
        <v/>
      </c>
      <c r="U2567" s="37" t="str">
        <f aca="false">IF($T2567=1,$S2567,"")</f>
        <v/>
      </c>
    </row>
    <row r="2568" customFormat="false" ht="15" hidden="false" customHeight="false" outlineLevel="0" collapsed="false">
      <c r="M2568" s="35" t="str">
        <f aca="false">IF($A2568="","",HOUR($A2568))</f>
        <v/>
      </c>
      <c r="N2568" s="36" t="str">
        <f aca="false">IF($A2568="","",$I2568*$K2568)</f>
        <v/>
      </c>
      <c r="O2568" s="35" t="str">
        <f aca="false">IF(OR($A2568="",$C2568="U",$S2568&lt;&gt;Calc!$F$2),"",SUMIFS($I$3:$I$3002,$E$3:$E$3002,$E2568,$C$3:$C$3002,"&lt;&gt;U",$S$3:$S$3002,Calc!$F$2))</f>
        <v/>
      </c>
      <c r="P2568" s="35" t="str">
        <f aca="false">IF(OR($A2568="",$C2568="U",$S2568&lt;&gt;Calc!$F$2),"",SUMIFS($N$3:$N$3002,$E$3:$E$3002,$E2568,$C$3:$C$3002,"&lt;&gt;U",$S$3:$S$3002,Calc!$F$2))</f>
        <v/>
      </c>
      <c r="Q2568" s="35" t="str">
        <f aca="false">IF(OR($A2568="",$C2568="U",$S2568&lt;&gt;Calc!$F$2),"",IF(COUNTIFS($E$3:$E2568,$E2568,$C$3:$C2568,"&lt;&gt;U",$S$3:$S2568,Calc!$F$2)=1,1,0))</f>
        <v/>
      </c>
      <c r="R2568" s="35" t="str">
        <f aca="false">IF($Q2568=1,$O2568-ROW()/100000,"")</f>
        <v/>
      </c>
      <c r="S2568" s="37" t="str">
        <f aca="false">IF($A2568="","",INT($A2568))</f>
        <v/>
      </c>
      <c r="T2568" s="35" t="str">
        <f aca="false">IF($A2568="","",IF(COUNTIFS($S$3:$S2568,$S2568)=1,1,0))</f>
        <v/>
      </c>
      <c r="U2568" s="37" t="str">
        <f aca="false">IF($T2568=1,$S2568,"")</f>
        <v/>
      </c>
    </row>
    <row r="2569" customFormat="false" ht="15" hidden="false" customHeight="false" outlineLevel="0" collapsed="false">
      <c r="M2569" s="35" t="str">
        <f aca="false">IF($A2569="","",HOUR($A2569))</f>
        <v/>
      </c>
      <c r="N2569" s="36" t="str">
        <f aca="false">IF($A2569="","",$I2569*$K2569)</f>
        <v/>
      </c>
      <c r="O2569" s="35" t="str">
        <f aca="false">IF(OR($A2569="",$C2569="U",$S2569&lt;&gt;Calc!$F$2),"",SUMIFS($I$3:$I$3002,$E$3:$E$3002,$E2569,$C$3:$C$3002,"&lt;&gt;U",$S$3:$S$3002,Calc!$F$2))</f>
        <v/>
      </c>
      <c r="P2569" s="35" t="str">
        <f aca="false">IF(OR($A2569="",$C2569="U",$S2569&lt;&gt;Calc!$F$2),"",SUMIFS($N$3:$N$3002,$E$3:$E$3002,$E2569,$C$3:$C$3002,"&lt;&gt;U",$S$3:$S$3002,Calc!$F$2))</f>
        <v/>
      </c>
      <c r="Q2569" s="35" t="str">
        <f aca="false">IF(OR($A2569="",$C2569="U",$S2569&lt;&gt;Calc!$F$2),"",IF(COUNTIFS($E$3:$E2569,$E2569,$C$3:$C2569,"&lt;&gt;U",$S$3:$S2569,Calc!$F$2)=1,1,0))</f>
        <v/>
      </c>
      <c r="R2569" s="35" t="str">
        <f aca="false">IF($Q2569=1,$O2569-ROW()/100000,"")</f>
        <v/>
      </c>
      <c r="S2569" s="37" t="str">
        <f aca="false">IF($A2569="","",INT($A2569))</f>
        <v/>
      </c>
      <c r="T2569" s="35" t="str">
        <f aca="false">IF($A2569="","",IF(COUNTIFS($S$3:$S2569,$S2569)=1,1,0))</f>
        <v/>
      </c>
      <c r="U2569" s="37" t="str">
        <f aca="false">IF($T2569=1,$S2569,"")</f>
        <v/>
      </c>
    </row>
    <row r="2570" customFormat="false" ht="15" hidden="false" customHeight="false" outlineLevel="0" collapsed="false">
      <c r="M2570" s="35" t="str">
        <f aca="false">IF($A2570="","",HOUR($A2570))</f>
        <v/>
      </c>
      <c r="N2570" s="36" t="str">
        <f aca="false">IF($A2570="","",$I2570*$K2570)</f>
        <v/>
      </c>
      <c r="O2570" s="35" t="str">
        <f aca="false">IF(OR($A2570="",$C2570="U",$S2570&lt;&gt;Calc!$F$2),"",SUMIFS($I$3:$I$3002,$E$3:$E$3002,$E2570,$C$3:$C$3002,"&lt;&gt;U",$S$3:$S$3002,Calc!$F$2))</f>
        <v/>
      </c>
      <c r="P2570" s="35" t="str">
        <f aca="false">IF(OR($A2570="",$C2570="U",$S2570&lt;&gt;Calc!$F$2),"",SUMIFS($N$3:$N$3002,$E$3:$E$3002,$E2570,$C$3:$C$3002,"&lt;&gt;U",$S$3:$S$3002,Calc!$F$2))</f>
        <v/>
      </c>
      <c r="Q2570" s="35" t="str">
        <f aca="false">IF(OR($A2570="",$C2570="U",$S2570&lt;&gt;Calc!$F$2),"",IF(COUNTIFS($E$3:$E2570,$E2570,$C$3:$C2570,"&lt;&gt;U",$S$3:$S2570,Calc!$F$2)=1,1,0))</f>
        <v/>
      </c>
      <c r="R2570" s="35" t="str">
        <f aca="false">IF($Q2570=1,$O2570-ROW()/100000,"")</f>
        <v/>
      </c>
      <c r="S2570" s="37" t="str">
        <f aca="false">IF($A2570="","",INT($A2570))</f>
        <v/>
      </c>
      <c r="T2570" s="35" t="str">
        <f aca="false">IF($A2570="","",IF(COUNTIFS($S$3:$S2570,$S2570)=1,1,0))</f>
        <v/>
      </c>
      <c r="U2570" s="37" t="str">
        <f aca="false">IF($T2570=1,$S2570,"")</f>
        <v/>
      </c>
    </row>
    <row r="2571" customFormat="false" ht="15" hidden="false" customHeight="false" outlineLevel="0" collapsed="false">
      <c r="M2571" s="35" t="str">
        <f aca="false">IF($A2571="","",HOUR($A2571))</f>
        <v/>
      </c>
      <c r="N2571" s="36" t="str">
        <f aca="false">IF($A2571="","",$I2571*$K2571)</f>
        <v/>
      </c>
      <c r="O2571" s="35" t="str">
        <f aca="false">IF(OR($A2571="",$C2571="U",$S2571&lt;&gt;Calc!$F$2),"",SUMIFS($I$3:$I$3002,$E$3:$E$3002,$E2571,$C$3:$C$3002,"&lt;&gt;U",$S$3:$S$3002,Calc!$F$2))</f>
        <v/>
      </c>
      <c r="P2571" s="35" t="str">
        <f aca="false">IF(OR($A2571="",$C2571="U",$S2571&lt;&gt;Calc!$F$2),"",SUMIFS($N$3:$N$3002,$E$3:$E$3002,$E2571,$C$3:$C$3002,"&lt;&gt;U",$S$3:$S$3002,Calc!$F$2))</f>
        <v/>
      </c>
      <c r="Q2571" s="35" t="str">
        <f aca="false">IF(OR($A2571="",$C2571="U",$S2571&lt;&gt;Calc!$F$2),"",IF(COUNTIFS($E$3:$E2571,$E2571,$C$3:$C2571,"&lt;&gt;U",$S$3:$S2571,Calc!$F$2)=1,1,0))</f>
        <v/>
      </c>
      <c r="R2571" s="35" t="str">
        <f aca="false">IF($Q2571=1,$O2571-ROW()/100000,"")</f>
        <v/>
      </c>
      <c r="S2571" s="37" t="str">
        <f aca="false">IF($A2571="","",INT($A2571))</f>
        <v/>
      </c>
      <c r="T2571" s="35" t="str">
        <f aca="false">IF($A2571="","",IF(COUNTIFS($S$3:$S2571,$S2571)=1,1,0))</f>
        <v/>
      </c>
      <c r="U2571" s="37" t="str">
        <f aca="false">IF($T2571=1,$S2571,"")</f>
        <v/>
      </c>
    </row>
    <row r="2572" customFormat="false" ht="15" hidden="false" customHeight="false" outlineLevel="0" collapsed="false">
      <c r="M2572" s="35" t="str">
        <f aca="false">IF($A2572="","",HOUR($A2572))</f>
        <v/>
      </c>
      <c r="N2572" s="36" t="str">
        <f aca="false">IF($A2572="","",$I2572*$K2572)</f>
        <v/>
      </c>
      <c r="O2572" s="35" t="str">
        <f aca="false">IF(OR($A2572="",$C2572="U",$S2572&lt;&gt;Calc!$F$2),"",SUMIFS($I$3:$I$3002,$E$3:$E$3002,$E2572,$C$3:$C$3002,"&lt;&gt;U",$S$3:$S$3002,Calc!$F$2))</f>
        <v/>
      </c>
      <c r="P2572" s="35" t="str">
        <f aca="false">IF(OR($A2572="",$C2572="U",$S2572&lt;&gt;Calc!$F$2),"",SUMIFS($N$3:$N$3002,$E$3:$E$3002,$E2572,$C$3:$C$3002,"&lt;&gt;U",$S$3:$S$3002,Calc!$F$2))</f>
        <v/>
      </c>
      <c r="Q2572" s="35" t="str">
        <f aca="false">IF(OR($A2572="",$C2572="U",$S2572&lt;&gt;Calc!$F$2),"",IF(COUNTIFS($E$3:$E2572,$E2572,$C$3:$C2572,"&lt;&gt;U",$S$3:$S2572,Calc!$F$2)=1,1,0))</f>
        <v/>
      </c>
      <c r="R2572" s="35" t="str">
        <f aca="false">IF($Q2572=1,$O2572-ROW()/100000,"")</f>
        <v/>
      </c>
      <c r="S2572" s="37" t="str">
        <f aca="false">IF($A2572="","",INT($A2572))</f>
        <v/>
      </c>
      <c r="T2572" s="35" t="str">
        <f aca="false">IF($A2572="","",IF(COUNTIFS($S$3:$S2572,$S2572)=1,1,0))</f>
        <v/>
      </c>
      <c r="U2572" s="37" t="str">
        <f aca="false">IF($T2572=1,$S2572,"")</f>
        <v/>
      </c>
    </row>
    <row r="2573" customFormat="false" ht="15" hidden="false" customHeight="false" outlineLevel="0" collapsed="false">
      <c r="M2573" s="35" t="str">
        <f aca="false">IF($A2573="","",HOUR($A2573))</f>
        <v/>
      </c>
      <c r="N2573" s="36" t="str">
        <f aca="false">IF($A2573="","",$I2573*$K2573)</f>
        <v/>
      </c>
      <c r="O2573" s="35" t="str">
        <f aca="false">IF(OR($A2573="",$C2573="U",$S2573&lt;&gt;Calc!$F$2),"",SUMIFS($I$3:$I$3002,$E$3:$E$3002,$E2573,$C$3:$C$3002,"&lt;&gt;U",$S$3:$S$3002,Calc!$F$2))</f>
        <v/>
      </c>
      <c r="P2573" s="35" t="str">
        <f aca="false">IF(OR($A2573="",$C2573="U",$S2573&lt;&gt;Calc!$F$2),"",SUMIFS($N$3:$N$3002,$E$3:$E$3002,$E2573,$C$3:$C$3002,"&lt;&gt;U",$S$3:$S$3002,Calc!$F$2))</f>
        <v/>
      </c>
      <c r="Q2573" s="35" t="str">
        <f aca="false">IF(OR($A2573="",$C2573="U",$S2573&lt;&gt;Calc!$F$2),"",IF(COUNTIFS($E$3:$E2573,$E2573,$C$3:$C2573,"&lt;&gt;U",$S$3:$S2573,Calc!$F$2)=1,1,0))</f>
        <v/>
      </c>
      <c r="R2573" s="35" t="str">
        <f aca="false">IF($Q2573=1,$O2573-ROW()/100000,"")</f>
        <v/>
      </c>
      <c r="S2573" s="37" t="str">
        <f aca="false">IF($A2573="","",INT($A2573))</f>
        <v/>
      </c>
      <c r="T2573" s="35" t="str">
        <f aca="false">IF($A2573="","",IF(COUNTIFS($S$3:$S2573,$S2573)=1,1,0))</f>
        <v/>
      </c>
      <c r="U2573" s="37" t="str">
        <f aca="false">IF($T2573=1,$S2573,"")</f>
        <v/>
      </c>
    </row>
    <row r="2574" customFormat="false" ht="15" hidden="false" customHeight="false" outlineLevel="0" collapsed="false">
      <c r="M2574" s="35" t="str">
        <f aca="false">IF($A2574="","",HOUR($A2574))</f>
        <v/>
      </c>
      <c r="N2574" s="36" t="str">
        <f aca="false">IF($A2574="","",$I2574*$K2574)</f>
        <v/>
      </c>
      <c r="O2574" s="35" t="str">
        <f aca="false">IF(OR($A2574="",$C2574="U",$S2574&lt;&gt;Calc!$F$2),"",SUMIFS($I$3:$I$3002,$E$3:$E$3002,$E2574,$C$3:$C$3002,"&lt;&gt;U",$S$3:$S$3002,Calc!$F$2))</f>
        <v/>
      </c>
      <c r="P2574" s="35" t="str">
        <f aca="false">IF(OR($A2574="",$C2574="U",$S2574&lt;&gt;Calc!$F$2),"",SUMIFS($N$3:$N$3002,$E$3:$E$3002,$E2574,$C$3:$C$3002,"&lt;&gt;U",$S$3:$S$3002,Calc!$F$2))</f>
        <v/>
      </c>
      <c r="Q2574" s="35" t="str">
        <f aca="false">IF(OR($A2574="",$C2574="U",$S2574&lt;&gt;Calc!$F$2),"",IF(COUNTIFS($E$3:$E2574,$E2574,$C$3:$C2574,"&lt;&gt;U",$S$3:$S2574,Calc!$F$2)=1,1,0))</f>
        <v/>
      </c>
      <c r="R2574" s="35" t="str">
        <f aca="false">IF($Q2574=1,$O2574-ROW()/100000,"")</f>
        <v/>
      </c>
      <c r="S2574" s="37" t="str">
        <f aca="false">IF($A2574="","",INT($A2574))</f>
        <v/>
      </c>
      <c r="T2574" s="35" t="str">
        <f aca="false">IF($A2574="","",IF(COUNTIFS($S$3:$S2574,$S2574)=1,1,0))</f>
        <v/>
      </c>
      <c r="U2574" s="37" t="str">
        <f aca="false">IF($T2574=1,$S2574,"")</f>
        <v/>
      </c>
    </row>
    <row r="2575" customFormat="false" ht="15" hidden="false" customHeight="false" outlineLevel="0" collapsed="false">
      <c r="M2575" s="35" t="str">
        <f aca="false">IF($A2575="","",HOUR($A2575))</f>
        <v/>
      </c>
      <c r="N2575" s="36" t="str">
        <f aca="false">IF($A2575="","",$I2575*$K2575)</f>
        <v/>
      </c>
      <c r="O2575" s="35" t="str">
        <f aca="false">IF(OR($A2575="",$C2575="U",$S2575&lt;&gt;Calc!$F$2),"",SUMIFS($I$3:$I$3002,$E$3:$E$3002,$E2575,$C$3:$C$3002,"&lt;&gt;U",$S$3:$S$3002,Calc!$F$2))</f>
        <v/>
      </c>
      <c r="P2575" s="35" t="str">
        <f aca="false">IF(OR($A2575="",$C2575="U",$S2575&lt;&gt;Calc!$F$2),"",SUMIFS($N$3:$N$3002,$E$3:$E$3002,$E2575,$C$3:$C$3002,"&lt;&gt;U",$S$3:$S$3002,Calc!$F$2))</f>
        <v/>
      </c>
      <c r="Q2575" s="35" t="str">
        <f aca="false">IF(OR($A2575="",$C2575="U",$S2575&lt;&gt;Calc!$F$2),"",IF(COUNTIFS($E$3:$E2575,$E2575,$C$3:$C2575,"&lt;&gt;U",$S$3:$S2575,Calc!$F$2)=1,1,0))</f>
        <v/>
      </c>
      <c r="R2575" s="35" t="str">
        <f aca="false">IF($Q2575=1,$O2575-ROW()/100000,"")</f>
        <v/>
      </c>
      <c r="S2575" s="37" t="str">
        <f aca="false">IF($A2575="","",INT($A2575))</f>
        <v/>
      </c>
      <c r="T2575" s="35" t="str">
        <f aca="false">IF($A2575="","",IF(COUNTIFS($S$3:$S2575,$S2575)=1,1,0))</f>
        <v/>
      </c>
      <c r="U2575" s="37" t="str">
        <f aca="false">IF($T2575=1,$S2575,"")</f>
        <v/>
      </c>
    </row>
    <row r="2576" customFormat="false" ht="15" hidden="false" customHeight="false" outlineLevel="0" collapsed="false">
      <c r="M2576" s="35" t="str">
        <f aca="false">IF($A2576="","",HOUR($A2576))</f>
        <v/>
      </c>
      <c r="N2576" s="36" t="str">
        <f aca="false">IF($A2576="","",$I2576*$K2576)</f>
        <v/>
      </c>
      <c r="O2576" s="35" t="str">
        <f aca="false">IF(OR($A2576="",$C2576="U",$S2576&lt;&gt;Calc!$F$2),"",SUMIFS($I$3:$I$3002,$E$3:$E$3002,$E2576,$C$3:$C$3002,"&lt;&gt;U",$S$3:$S$3002,Calc!$F$2))</f>
        <v/>
      </c>
      <c r="P2576" s="35" t="str">
        <f aca="false">IF(OR($A2576="",$C2576="U",$S2576&lt;&gt;Calc!$F$2),"",SUMIFS($N$3:$N$3002,$E$3:$E$3002,$E2576,$C$3:$C$3002,"&lt;&gt;U",$S$3:$S$3002,Calc!$F$2))</f>
        <v/>
      </c>
      <c r="Q2576" s="35" t="str">
        <f aca="false">IF(OR($A2576="",$C2576="U",$S2576&lt;&gt;Calc!$F$2),"",IF(COUNTIFS($E$3:$E2576,$E2576,$C$3:$C2576,"&lt;&gt;U",$S$3:$S2576,Calc!$F$2)=1,1,0))</f>
        <v/>
      </c>
      <c r="R2576" s="35" t="str">
        <f aca="false">IF($Q2576=1,$O2576-ROW()/100000,"")</f>
        <v/>
      </c>
      <c r="S2576" s="37" t="str">
        <f aca="false">IF($A2576="","",INT($A2576))</f>
        <v/>
      </c>
      <c r="T2576" s="35" t="str">
        <f aca="false">IF($A2576="","",IF(COUNTIFS($S$3:$S2576,$S2576)=1,1,0))</f>
        <v/>
      </c>
      <c r="U2576" s="37" t="str">
        <f aca="false">IF($T2576=1,$S2576,"")</f>
        <v/>
      </c>
    </row>
    <row r="2577" customFormat="false" ht="15" hidden="false" customHeight="false" outlineLevel="0" collapsed="false">
      <c r="M2577" s="35" t="str">
        <f aca="false">IF($A2577="","",HOUR($A2577))</f>
        <v/>
      </c>
      <c r="N2577" s="36" t="str">
        <f aca="false">IF($A2577="","",$I2577*$K2577)</f>
        <v/>
      </c>
      <c r="O2577" s="35" t="str">
        <f aca="false">IF(OR($A2577="",$C2577="U",$S2577&lt;&gt;Calc!$F$2),"",SUMIFS($I$3:$I$3002,$E$3:$E$3002,$E2577,$C$3:$C$3002,"&lt;&gt;U",$S$3:$S$3002,Calc!$F$2))</f>
        <v/>
      </c>
      <c r="P2577" s="35" t="str">
        <f aca="false">IF(OR($A2577="",$C2577="U",$S2577&lt;&gt;Calc!$F$2),"",SUMIFS($N$3:$N$3002,$E$3:$E$3002,$E2577,$C$3:$C$3002,"&lt;&gt;U",$S$3:$S$3002,Calc!$F$2))</f>
        <v/>
      </c>
      <c r="Q2577" s="35" t="str">
        <f aca="false">IF(OR($A2577="",$C2577="U",$S2577&lt;&gt;Calc!$F$2),"",IF(COUNTIFS($E$3:$E2577,$E2577,$C$3:$C2577,"&lt;&gt;U",$S$3:$S2577,Calc!$F$2)=1,1,0))</f>
        <v/>
      </c>
      <c r="R2577" s="35" t="str">
        <f aca="false">IF($Q2577=1,$O2577-ROW()/100000,"")</f>
        <v/>
      </c>
      <c r="S2577" s="37" t="str">
        <f aca="false">IF($A2577="","",INT($A2577))</f>
        <v/>
      </c>
      <c r="T2577" s="35" t="str">
        <f aca="false">IF($A2577="","",IF(COUNTIFS($S$3:$S2577,$S2577)=1,1,0))</f>
        <v/>
      </c>
      <c r="U2577" s="37" t="str">
        <f aca="false">IF($T2577=1,$S2577,"")</f>
        <v/>
      </c>
    </row>
    <row r="2578" customFormat="false" ht="15" hidden="false" customHeight="false" outlineLevel="0" collapsed="false">
      <c r="M2578" s="35" t="str">
        <f aca="false">IF($A2578="","",HOUR($A2578))</f>
        <v/>
      </c>
      <c r="N2578" s="36" t="str">
        <f aca="false">IF($A2578="","",$I2578*$K2578)</f>
        <v/>
      </c>
      <c r="O2578" s="35" t="str">
        <f aca="false">IF(OR($A2578="",$C2578="U",$S2578&lt;&gt;Calc!$F$2),"",SUMIFS($I$3:$I$3002,$E$3:$E$3002,$E2578,$C$3:$C$3002,"&lt;&gt;U",$S$3:$S$3002,Calc!$F$2))</f>
        <v/>
      </c>
      <c r="P2578" s="35" t="str">
        <f aca="false">IF(OR($A2578="",$C2578="U",$S2578&lt;&gt;Calc!$F$2),"",SUMIFS($N$3:$N$3002,$E$3:$E$3002,$E2578,$C$3:$C$3002,"&lt;&gt;U",$S$3:$S$3002,Calc!$F$2))</f>
        <v/>
      </c>
      <c r="Q2578" s="35" t="str">
        <f aca="false">IF(OR($A2578="",$C2578="U",$S2578&lt;&gt;Calc!$F$2),"",IF(COUNTIFS($E$3:$E2578,$E2578,$C$3:$C2578,"&lt;&gt;U",$S$3:$S2578,Calc!$F$2)=1,1,0))</f>
        <v/>
      </c>
      <c r="R2578" s="35" t="str">
        <f aca="false">IF($Q2578=1,$O2578-ROW()/100000,"")</f>
        <v/>
      </c>
      <c r="S2578" s="37" t="str">
        <f aca="false">IF($A2578="","",INT($A2578))</f>
        <v/>
      </c>
      <c r="T2578" s="35" t="str">
        <f aca="false">IF($A2578="","",IF(COUNTIFS($S$3:$S2578,$S2578)=1,1,0))</f>
        <v/>
      </c>
      <c r="U2578" s="37" t="str">
        <f aca="false">IF($T2578=1,$S2578,"")</f>
        <v/>
      </c>
    </row>
    <row r="2579" customFormat="false" ht="15" hidden="false" customHeight="false" outlineLevel="0" collapsed="false">
      <c r="M2579" s="35" t="str">
        <f aca="false">IF($A2579="","",HOUR($A2579))</f>
        <v/>
      </c>
      <c r="N2579" s="36" t="str">
        <f aca="false">IF($A2579="","",$I2579*$K2579)</f>
        <v/>
      </c>
      <c r="O2579" s="35" t="str">
        <f aca="false">IF(OR($A2579="",$C2579="U",$S2579&lt;&gt;Calc!$F$2),"",SUMIFS($I$3:$I$3002,$E$3:$E$3002,$E2579,$C$3:$C$3002,"&lt;&gt;U",$S$3:$S$3002,Calc!$F$2))</f>
        <v/>
      </c>
      <c r="P2579" s="35" t="str">
        <f aca="false">IF(OR($A2579="",$C2579="U",$S2579&lt;&gt;Calc!$F$2),"",SUMIFS($N$3:$N$3002,$E$3:$E$3002,$E2579,$C$3:$C$3002,"&lt;&gt;U",$S$3:$S$3002,Calc!$F$2))</f>
        <v/>
      </c>
      <c r="Q2579" s="35" t="str">
        <f aca="false">IF(OR($A2579="",$C2579="U",$S2579&lt;&gt;Calc!$F$2),"",IF(COUNTIFS($E$3:$E2579,$E2579,$C$3:$C2579,"&lt;&gt;U",$S$3:$S2579,Calc!$F$2)=1,1,0))</f>
        <v/>
      </c>
      <c r="R2579" s="35" t="str">
        <f aca="false">IF($Q2579=1,$O2579-ROW()/100000,"")</f>
        <v/>
      </c>
      <c r="S2579" s="37" t="str">
        <f aca="false">IF($A2579="","",INT($A2579))</f>
        <v/>
      </c>
      <c r="T2579" s="35" t="str">
        <f aca="false">IF($A2579="","",IF(COUNTIFS($S$3:$S2579,$S2579)=1,1,0))</f>
        <v/>
      </c>
      <c r="U2579" s="37" t="str">
        <f aca="false">IF($T2579=1,$S2579,"")</f>
        <v/>
      </c>
    </row>
    <row r="2580" customFormat="false" ht="15" hidden="false" customHeight="false" outlineLevel="0" collapsed="false">
      <c r="M2580" s="35" t="str">
        <f aca="false">IF($A2580="","",HOUR($A2580))</f>
        <v/>
      </c>
      <c r="N2580" s="36" t="str">
        <f aca="false">IF($A2580="","",$I2580*$K2580)</f>
        <v/>
      </c>
      <c r="O2580" s="35" t="str">
        <f aca="false">IF(OR($A2580="",$C2580="U",$S2580&lt;&gt;Calc!$F$2),"",SUMIFS($I$3:$I$3002,$E$3:$E$3002,$E2580,$C$3:$C$3002,"&lt;&gt;U",$S$3:$S$3002,Calc!$F$2))</f>
        <v/>
      </c>
      <c r="P2580" s="35" t="str">
        <f aca="false">IF(OR($A2580="",$C2580="U",$S2580&lt;&gt;Calc!$F$2),"",SUMIFS($N$3:$N$3002,$E$3:$E$3002,$E2580,$C$3:$C$3002,"&lt;&gt;U",$S$3:$S$3002,Calc!$F$2))</f>
        <v/>
      </c>
      <c r="Q2580" s="35" t="str">
        <f aca="false">IF(OR($A2580="",$C2580="U",$S2580&lt;&gt;Calc!$F$2),"",IF(COUNTIFS($E$3:$E2580,$E2580,$C$3:$C2580,"&lt;&gt;U",$S$3:$S2580,Calc!$F$2)=1,1,0))</f>
        <v/>
      </c>
      <c r="R2580" s="35" t="str">
        <f aca="false">IF($Q2580=1,$O2580-ROW()/100000,"")</f>
        <v/>
      </c>
      <c r="S2580" s="37" t="str">
        <f aca="false">IF($A2580="","",INT($A2580))</f>
        <v/>
      </c>
      <c r="T2580" s="35" t="str">
        <f aca="false">IF($A2580="","",IF(COUNTIFS($S$3:$S2580,$S2580)=1,1,0))</f>
        <v/>
      </c>
      <c r="U2580" s="37" t="str">
        <f aca="false">IF($T2580=1,$S2580,"")</f>
        <v/>
      </c>
    </row>
    <row r="2581" customFormat="false" ht="15" hidden="false" customHeight="false" outlineLevel="0" collapsed="false">
      <c r="M2581" s="35" t="str">
        <f aca="false">IF($A2581="","",HOUR($A2581))</f>
        <v/>
      </c>
      <c r="N2581" s="36" t="str">
        <f aca="false">IF($A2581="","",$I2581*$K2581)</f>
        <v/>
      </c>
      <c r="O2581" s="35" t="str">
        <f aca="false">IF(OR($A2581="",$C2581="U",$S2581&lt;&gt;Calc!$F$2),"",SUMIFS($I$3:$I$3002,$E$3:$E$3002,$E2581,$C$3:$C$3002,"&lt;&gt;U",$S$3:$S$3002,Calc!$F$2))</f>
        <v/>
      </c>
      <c r="P2581" s="35" t="str">
        <f aca="false">IF(OR($A2581="",$C2581="U",$S2581&lt;&gt;Calc!$F$2),"",SUMIFS($N$3:$N$3002,$E$3:$E$3002,$E2581,$C$3:$C$3002,"&lt;&gt;U",$S$3:$S$3002,Calc!$F$2))</f>
        <v/>
      </c>
      <c r="Q2581" s="35" t="str">
        <f aca="false">IF(OR($A2581="",$C2581="U",$S2581&lt;&gt;Calc!$F$2),"",IF(COUNTIFS($E$3:$E2581,$E2581,$C$3:$C2581,"&lt;&gt;U",$S$3:$S2581,Calc!$F$2)=1,1,0))</f>
        <v/>
      </c>
      <c r="R2581" s="35" t="str">
        <f aca="false">IF($Q2581=1,$O2581-ROW()/100000,"")</f>
        <v/>
      </c>
      <c r="S2581" s="37" t="str">
        <f aca="false">IF($A2581="","",INT($A2581))</f>
        <v/>
      </c>
      <c r="T2581" s="35" t="str">
        <f aca="false">IF($A2581="","",IF(COUNTIFS($S$3:$S2581,$S2581)=1,1,0))</f>
        <v/>
      </c>
      <c r="U2581" s="37" t="str">
        <f aca="false">IF($T2581=1,$S2581,"")</f>
        <v/>
      </c>
    </row>
    <row r="2582" customFormat="false" ht="15" hidden="false" customHeight="false" outlineLevel="0" collapsed="false">
      <c r="M2582" s="35" t="str">
        <f aca="false">IF($A2582="","",HOUR($A2582))</f>
        <v/>
      </c>
      <c r="N2582" s="36" t="str">
        <f aca="false">IF($A2582="","",$I2582*$K2582)</f>
        <v/>
      </c>
      <c r="O2582" s="35" t="str">
        <f aca="false">IF(OR($A2582="",$C2582="U",$S2582&lt;&gt;Calc!$F$2),"",SUMIFS($I$3:$I$3002,$E$3:$E$3002,$E2582,$C$3:$C$3002,"&lt;&gt;U",$S$3:$S$3002,Calc!$F$2))</f>
        <v/>
      </c>
      <c r="P2582" s="35" t="str">
        <f aca="false">IF(OR($A2582="",$C2582="U",$S2582&lt;&gt;Calc!$F$2),"",SUMIFS($N$3:$N$3002,$E$3:$E$3002,$E2582,$C$3:$C$3002,"&lt;&gt;U",$S$3:$S$3002,Calc!$F$2))</f>
        <v/>
      </c>
      <c r="Q2582" s="35" t="str">
        <f aca="false">IF(OR($A2582="",$C2582="U",$S2582&lt;&gt;Calc!$F$2),"",IF(COUNTIFS($E$3:$E2582,$E2582,$C$3:$C2582,"&lt;&gt;U",$S$3:$S2582,Calc!$F$2)=1,1,0))</f>
        <v/>
      </c>
      <c r="R2582" s="35" t="str">
        <f aca="false">IF($Q2582=1,$O2582-ROW()/100000,"")</f>
        <v/>
      </c>
      <c r="S2582" s="37" t="str">
        <f aca="false">IF($A2582="","",INT($A2582))</f>
        <v/>
      </c>
      <c r="T2582" s="35" t="str">
        <f aca="false">IF($A2582="","",IF(COUNTIFS($S$3:$S2582,$S2582)=1,1,0))</f>
        <v/>
      </c>
      <c r="U2582" s="37" t="str">
        <f aca="false">IF($T2582=1,$S2582,"")</f>
        <v/>
      </c>
    </row>
    <row r="2583" customFormat="false" ht="15" hidden="false" customHeight="false" outlineLevel="0" collapsed="false">
      <c r="M2583" s="35" t="str">
        <f aca="false">IF($A2583="","",HOUR($A2583))</f>
        <v/>
      </c>
      <c r="N2583" s="36" t="str">
        <f aca="false">IF($A2583="","",$I2583*$K2583)</f>
        <v/>
      </c>
      <c r="O2583" s="35" t="str">
        <f aca="false">IF(OR($A2583="",$C2583="U",$S2583&lt;&gt;Calc!$F$2),"",SUMIFS($I$3:$I$3002,$E$3:$E$3002,$E2583,$C$3:$C$3002,"&lt;&gt;U",$S$3:$S$3002,Calc!$F$2))</f>
        <v/>
      </c>
      <c r="P2583" s="35" t="str">
        <f aca="false">IF(OR($A2583="",$C2583="U",$S2583&lt;&gt;Calc!$F$2),"",SUMIFS($N$3:$N$3002,$E$3:$E$3002,$E2583,$C$3:$C$3002,"&lt;&gt;U",$S$3:$S$3002,Calc!$F$2))</f>
        <v/>
      </c>
      <c r="Q2583" s="35" t="str">
        <f aca="false">IF(OR($A2583="",$C2583="U",$S2583&lt;&gt;Calc!$F$2),"",IF(COUNTIFS($E$3:$E2583,$E2583,$C$3:$C2583,"&lt;&gt;U",$S$3:$S2583,Calc!$F$2)=1,1,0))</f>
        <v/>
      </c>
      <c r="R2583" s="35" t="str">
        <f aca="false">IF($Q2583=1,$O2583-ROW()/100000,"")</f>
        <v/>
      </c>
      <c r="S2583" s="37" t="str">
        <f aca="false">IF($A2583="","",INT($A2583))</f>
        <v/>
      </c>
      <c r="T2583" s="35" t="str">
        <f aca="false">IF($A2583="","",IF(COUNTIFS($S$3:$S2583,$S2583)=1,1,0))</f>
        <v/>
      </c>
      <c r="U2583" s="37" t="str">
        <f aca="false">IF($T2583=1,$S2583,"")</f>
        <v/>
      </c>
    </row>
    <row r="2584" customFormat="false" ht="15" hidden="false" customHeight="false" outlineLevel="0" collapsed="false">
      <c r="M2584" s="35" t="str">
        <f aca="false">IF($A2584="","",HOUR($A2584))</f>
        <v/>
      </c>
      <c r="N2584" s="36" t="str">
        <f aca="false">IF($A2584="","",$I2584*$K2584)</f>
        <v/>
      </c>
      <c r="O2584" s="35" t="str">
        <f aca="false">IF(OR($A2584="",$C2584="U",$S2584&lt;&gt;Calc!$F$2),"",SUMIFS($I$3:$I$3002,$E$3:$E$3002,$E2584,$C$3:$C$3002,"&lt;&gt;U",$S$3:$S$3002,Calc!$F$2))</f>
        <v/>
      </c>
      <c r="P2584" s="35" t="str">
        <f aca="false">IF(OR($A2584="",$C2584="U",$S2584&lt;&gt;Calc!$F$2),"",SUMIFS($N$3:$N$3002,$E$3:$E$3002,$E2584,$C$3:$C$3002,"&lt;&gt;U",$S$3:$S$3002,Calc!$F$2))</f>
        <v/>
      </c>
      <c r="Q2584" s="35" t="str">
        <f aca="false">IF(OR($A2584="",$C2584="U",$S2584&lt;&gt;Calc!$F$2),"",IF(COUNTIFS($E$3:$E2584,$E2584,$C$3:$C2584,"&lt;&gt;U",$S$3:$S2584,Calc!$F$2)=1,1,0))</f>
        <v/>
      </c>
      <c r="R2584" s="35" t="str">
        <f aca="false">IF($Q2584=1,$O2584-ROW()/100000,"")</f>
        <v/>
      </c>
      <c r="S2584" s="37" t="str">
        <f aca="false">IF($A2584="","",INT($A2584))</f>
        <v/>
      </c>
      <c r="T2584" s="35" t="str">
        <f aca="false">IF($A2584="","",IF(COUNTIFS($S$3:$S2584,$S2584)=1,1,0))</f>
        <v/>
      </c>
      <c r="U2584" s="37" t="str">
        <f aca="false">IF($T2584=1,$S2584,"")</f>
        <v/>
      </c>
    </row>
    <row r="2585" customFormat="false" ht="15" hidden="false" customHeight="false" outlineLevel="0" collapsed="false">
      <c r="M2585" s="35" t="str">
        <f aca="false">IF($A2585="","",HOUR($A2585))</f>
        <v/>
      </c>
      <c r="N2585" s="36" t="str">
        <f aca="false">IF($A2585="","",$I2585*$K2585)</f>
        <v/>
      </c>
      <c r="O2585" s="35" t="str">
        <f aca="false">IF(OR($A2585="",$C2585="U",$S2585&lt;&gt;Calc!$F$2),"",SUMIFS($I$3:$I$3002,$E$3:$E$3002,$E2585,$C$3:$C$3002,"&lt;&gt;U",$S$3:$S$3002,Calc!$F$2))</f>
        <v/>
      </c>
      <c r="P2585" s="35" t="str">
        <f aca="false">IF(OR($A2585="",$C2585="U",$S2585&lt;&gt;Calc!$F$2),"",SUMIFS($N$3:$N$3002,$E$3:$E$3002,$E2585,$C$3:$C$3002,"&lt;&gt;U",$S$3:$S$3002,Calc!$F$2))</f>
        <v/>
      </c>
      <c r="Q2585" s="35" t="str">
        <f aca="false">IF(OR($A2585="",$C2585="U",$S2585&lt;&gt;Calc!$F$2),"",IF(COUNTIFS($E$3:$E2585,$E2585,$C$3:$C2585,"&lt;&gt;U",$S$3:$S2585,Calc!$F$2)=1,1,0))</f>
        <v/>
      </c>
      <c r="R2585" s="35" t="str">
        <f aca="false">IF($Q2585=1,$O2585-ROW()/100000,"")</f>
        <v/>
      </c>
      <c r="S2585" s="37" t="str">
        <f aca="false">IF($A2585="","",INT($A2585))</f>
        <v/>
      </c>
      <c r="T2585" s="35" t="str">
        <f aca="false">IF($A2585="","",IF(COUNTIFS($S$3:$S2585,$S2585)=1,1,0))</f>
        <v/>
      </c>
      <c r="U2585" s="37" t="str">
        <f aca="false">IF($T2585=1,$S2585,"")</f>
        <v/>
      </c>
    </row>
    <row r="2586" customFormat="false" ht="15" hidden="false" customHeight="false" outlineLevel="0" collapsed="false">
      <c r="M2586" s="35" t="str">
        <f aca="false">IF($A2586="","",HOUR($A2586))</f>
        <v/>
      </c>
      <c r="N2586" s="36" t="str">
        <f aca="false">IF($A2586="","",$I2586*$K2586)</f>
        <v/>
      </c>
      <c r="O2586" s="35" t="str">
        <f aca="false">IF(OR($A2586="",$C2586="U",$S2586&lt;&gt;Calc!$F$2),"",SUMIFS($I$3:$I$3002,$E$3:$E$3002,$E2586,$C$3:$C$3002,"&lt;&gt;U",$S$3:$S$3002,Calc!$F$2))</f>
        <v/>
      </c>
      <c r="P2586" s="35" t="str">
        <f aca="false">IF(OR($A2586="",$C2586="U",$S2586&lt;&gt;Calc!$F$2),"",SUMIFS($N$3:$N$3002,$E$3:$E$3002,$E2586,$C$3:$C$3002,"&lt;&gt;U",$S$3:$S$3002,Calc!$F$2))</f>
        <v/>
      </c>
      <c r="Q2586" s="35" t="str">
        <f aca="false">IF(OR($A2586="",$C2586="U",$S2586&lt;&gt;Calc!$F$2),"",IF(COUNTIFS($E$3:$E2586,$E2586,$C$3:$C2586,"&lt;&gt;U",$S$3:$S2586,Calc!$F$2)=1,1,0))</f>
        <v/>
      </c>
      <c r="R2586" s="35" t="str">
        <f aca="false">IF($Q2586=1,$O2586-ROW()/100000,"")</f>
        <v/>
      </c>
      <c r="S2586" s="37" t="str">
        <f aca="false">IF($A2586="","",INT($A2586))</f>
        <v/>
      </c>
      <c r="T2586" s="35" t="str">
        <f aca="false">IF($A2586="","",IF(COUNTIFS($S$3:$S2586,$S2586)=1,1,0))</f>
        <v/>
      </c>
      <c r="U2586" s="37" t="str">
        <f aca="false">IF($T2586=1,$S2586,"")</f>
        <v/>
      </c>
    </row>
    <row r="2587" customFormat="false" ht="15" hidden="false" customHeight="false" outlineLevel="0" collapsed="false">
      <c r="M2587" s="35" t="str">
        <f aca="false">IF($A2587="","",HOUR($A2587))</f>
        <v/>
      </c>
      <c r="N2587" s="36" t="str">
        <f aca="false">IF($A2587="","",$I2587*$K2587)</f>
        <v/>
      </c>
      <c r="O2587" s="35" t="str">
        <f aca="false">IF(OR($A2587="",$C2587="U",$S2587&lt;&gt;Calc!$F$2),"",SUMIFS($I$3:$I$3002,$E$3:$E$3002,$E2587,$C$3:$C$3002,"&lt;&gt;U",$S$3:$S$3002,Calc!$F$2))</f>
        <v/>
      </c>
      <c r="P2587" s="35" t="str">
        <f aca="false">IF(OR($A2587="",$C2587="U",$S2587&lt;&gt;Calc!$F$2),"",SUMIFS($N$3:$N$3002,$E$3:$E$3002,$E2587,$C$3:$C$3002,"&lt;&gt;U",$S$3:$S$3002,Calc!$F$2))</f>
        <v/>
      </c>
      <c r="Q2587" s="35" t="str">
        <f aca="false">IF(OR($A2587="",$C2587="U",$S2587&lt;&gt;Calc!$F$2),"",IF(COUNTIFS($E$3:$E2587,$E2587,$C$3:$C2587,"&lt;&gt;U",$S$3:$S2587,Calc!$F$2)=1,1,0))</f>
        <v/>
      </c>
      <c r="R2587" s="35" t="str">
        <f aca="false">IF($Q2587=1,$O2587-ROW()/100000,"")</f>
        <v/>
      </c>
      <c r="S2587" s="37" t="str">
        <f aca="false">IF($A2587="","",INT($A2587))</f>
        <v/>
      </c>
      <c r="T2587" s="35" t="str">
        <f aca="false">IF($A2587="","",IF(COUNTIFS($S$3:$S2587,$S2587)=1,1,0))</f>
        <v/>
      </c>
      <c r="U2587" s="37" t="str">
        <f aca="false">IF($T2587=1,$S2587,"")</f>
        <v/>
      </c>
    </row>
    <row r="2588" customFormat="false" ht="15" hidden="false" customHeight="false" outlineLevel="0" collapsed="false">
      <c r="M2588" s="35" t="str">
        <f aca="false">IF($A2588="","",HOUR($A2588))</f>
        <v/>
      </c>
      <c r="N2588" s="36" t="str">
        <f aca="false">IF($A2588="","",$I2588*$K2588)</f>
        <v/>
      </c>
      <c r="O2588" s="35" t="str">
        <f aca="false">IF(OR($A2588="",$C2588="U",$S2588&lt;&gt;Calc!$F$2),"",SUMIFS($I$3:$I$3002,$E$3:$E$3002,$E2588,$C$3:$C$3002,"&lt;&gt;U",$S$3:$S$3002,Calc!$F$2))</f>
        <v/>
      </c>
      <c r="P2588" s="35" t="str">
        <f aca="false">IF(OR($A2588="",$C2588="U",$S2588&lt;&gt;Calc!$F$2),"",SUMIFS($N$3:$N$3002,$E$3:$E$3002,$E2588,$C$3:$C$3002,"&lt;&gt;U",$S$3:$S$3002,Calc!$F$2))</f>
        <v/>
      </c>
      <c r="Q2588" s="35" t="str">
        <f aca="false">IF(OR($A2588="",$C2588="U",$S2588&lt;&gt;Calc!$F$2),"",IF(COUNTIFS($E$3:$E2588,$E2588,$C$3:$C2588,"&lt;&gt;U",$S$3:$S2588,Calc!$F$2)=1,1,0))</f>
        <v/>
      </c>
      <c r="R2588" s="35" t="str">
        <f aca="false">IF($Q2588=1,$O2588-ROW()/100000,"")</f>
        <v/>
      </c>
      <c r="S2588" s="37" t="str">
        <f aca="false">IF($A2588="","",INT($A2588))</f>
        <v/>
      </c>
      <c r="T2588" s="35" t="str">
        <f aca="false">IF($A2588="","",IF(COUNTIFS($S$3:$S2588,$S2588)=1,1,0))</f>
        <v/>
      </c>
      <c r="U2588" s="37" t="str">
        <f aca="false">IF($T2588=1,$S2588,"")</f>
        <v/>
      </c>
    </row>
    <row r="2589" customFormat="false" ht="15" hidden="false" customHeight="false" outlineLevel="0" collapsed="false">
      <c r="M2589" s="35" t="str">
        <f aca="false">IF($A2589="","",HOUR($A2589))</f>
        <v/>
      </c>
      <c r="N2589" s="36" t="str">
        <f aca="false">IF($A2589="","",$I2589*$K2589)</f>
        <v/>
      </c>
      <c r="O2589" s="35" t="str">
        <f aca="false">IF(OR($A2589="",$C2589="U",$S2589&lt;&gt;Calc!$F$2),"",SUMIFS($I$3:$I$3002,$E$3:$E$3002,$E2589,$C$3:$C$3002,"&lt;&gt;U",$S$3:$S$3002,Calc!$F$2))</f>
        <v/>
      </c>
      <c r="P2589" s="35" t="str">
        <f aca="false">IF(OR($A2589="",$C2589="U",$S2589&lt;&gt;Calc!$F$2),"",SUMIFS($N$3:$N$3002,$E$3:$E$3002,$E2589,$C$3:$C$3002,"&lt;&gt;U",$S$3:$S$3002,Calc!$F$2))</f>
        <v/>
      </c>
      <c r="Q2589" s="35" t="str">
        <f aca="false">IF(OR($A2589="",$C2589="U",$S2589&lt;&gt;Calc!$F$2),"",IF(COUNTIFS($E$3:$E2589,$E2589,$C$3:$C2589,"&lt;&gt;U",$S$3:$S2589,Calc!$F$2)=1,1,0))</f>
        <v/>
      </c>
      <c r="R2589" s="35" t="str">
        <f aca="false">IF($Q2589=1,$O2589-ROW()/100000,"")</f>
        <v/>
      </c>
      <c r="S2589" s="37" t="str">
        <f aca="false">IF($A2589="","",INT($A2589))</f>
        <v/>
      </c>
      <c r="T2589" s="35" t="str">
        <f aca="false">IF($A2589="","",IF(COUNTIFS($S$3:$S2589,$S2589)=1,1,0))</f>
        <v/>
      </c>
      <c r="U2589" s="37" t="str">
        <f aca="false">IF($T2589=1,$S2589,"")</f>
        <v/>
      </c>
    </row>
    <row r="2590" customFormat="false" ht="15" hidden="false" customHeight="false" outlineLevel="0" collapsed="false">
      <c r="M2590" s="35" t="str">
        <f aca="false">IF($A2590="","",HOUR($A2590))</f>
        <v/>
      </c>
      <c r="N2590" s="36" t="str">
        <f aca="false">IF($A2590="","",$I2590*$K2590)</f>
        <v/>
      </c>
      <c r="O2590" s="35" t="str">
        <f aca="false">IF(OR($A2590="",$C2590="U",$S2590&lt;&gt;Calc!$F$2),"",SUMIFS($I$3:$I$3002,$E$3:$E$3002,$E2590,$C$3:$C$3002,"&lt;&gt;U",$S$3:$S$3002,Calc!$F$2))</f>
        <v/>
      </c>
      <c r="P2590" s="35" t="str">
        <f aca="false">IF(OR($A2590="",$C2590="U",$S2590&lt;&gt;Calc!$F$2),"",SUMIFS($N$3:$N$3002,$E$3:$E$3002,$E2590,$C$3:$C$3002,"&lt;&gt;U",$S$3:$S$3002,Calc!$F$2))</f>
        <v/>
      </c>
      <c r="Q2590" s="35" t="str">
        <f aca="false">IF(OR($A2590="",$C2590="U",$S2590&lt;&gt;Calc!$F$2),"",IF(COUNTIFS($E$3:$E2590,$E2590,$C$3:$C2590,"&lt;&gt;U",$S$3:$S2590,Calc!$F$2)=1,1,0))</f>
        <v/>
      </c>
      <c r="R2590" s="35" t="str">
        <f aca="false">IF($Q2590=1,$O2590-ROW()/100000,"")</f>
        <v/>
      </c>
      <c r="S2590" s="37" t="str">
        <f aca="false">IF($A2590="","",INT($A2590))</f>
        <v/>
      </c>
      <c r="T2590" s="35" t="str">
        <f aca="false">IF($A2590="","",IF(COUNTIFS($S$3:$S2590,$S2590)=1,1,0))</f>
        <v/>
      </c>
      <c r="U2590" s="37" t="str">
        <f aca="false">IF($T2590=1,$S2590,"")</f>
        <v/>
      </c>
    </row>
    <row r="2591" customFormat="false" ht="15" hidden="false" customHeight="false" outlineLevel="0" collapsed="false">
      <c r="M2591" s="35" t="str">
        <f aca="false">IF($A2591="","",HOUR($A2591))</f>
        <v/>
      </c>
      <c r="N2591" s="36" t="str">
        <f aca="false">IF($A2591="","",$I2591*$K2591)</f>
        <v/>
      </c>
      <c r="O2591" s="35" t="str">
        <f aca="false">IF(OR($A2591="",$C2591="U",$S2591&lt;&gt;Calc!$F$2),"",SUMIFS($I$3:$I$3002,$E$3:$E$3002,$E2591,$C$3:$C$3002,"&lt;&gt;U",$S$3:$S$3002,Calc!$F$2))</f>
        <v/>
      </c>
      <c r="P2591" s="35" t="str">
        <f aca="false">IF(OR($A2591="",$C2591="U",$S2591&lt;&gt;Calc!$F$2),"",SUMIFS($N$3:$N$3002,$E$3:$E$3002,$E2591,$C$3:$C$3002,"&lt;&gt;U",$S$3:$S$3002,Calc!$F$2))</f>
        <v/>
      </c>
      <c r="Q2591" s="35" t="str">
        <f aca="false">IF(OR($A2591="",$C2591="U",$S2591&lt;&gt;Calc!$F$2),"",IF(COUNTIFS($E$3:$E2591,$E2591,$C$3:$C2591,"&lt;&gt;U",$S$3:$S2591,Calc!$F$2)=1,1,0))</f>
        <v/>
      </c>
      <c r="R2591" s="35" t="str">
        <f aca="false">IF($Q2591=1,$O2591-ROW()/100000,"")</f>
        <v/>
      </c>
      <c r="S2591" s="37" t="str">
        <f aca="false">IF($A2591="","",INT($A2591))</f>
        <v/>
      </c>
      <c r="T2591" s="35" t="str">
        <f aca="false">IF($A2591="","",IF(COUNTIFS($S$3:$S2591,$S2591)=1,1,0))</f>
        <v/>
      </c>
      <c r="U2591" s="37" t="str">
        <f aca="false">IF($T2591=1,$S2591,"")</f>
        <v/>
      </c>
    </row>
    <row r="2592" customFormat="false" ht="15" hidden="false" customHeight="false" outlineLevel="0" collapsed="false">
      <c r="M2592" s="35" t="str">
        <f aca="false">IF($A2592="","",HOUR($A2592))</f>
        <v/>
      </c>
      <c r="N2592" s="36" t="str">
        <f aca="false">IF($A2592="","",$I2592*$K2592)</f>
        <v/>
      </c>
      <c r="O2592" s="35" t="str">
        <f aca="false">IF(OR($A2592="",$C2592="U",$S2592&lt;&gt;Calc!$F$2),"",SUMIFS($I$3:$I$3002,$E$3:$E$3002,$E2592,$C$3:$C$3002,"&lt;&gt;U",$S$3:$S$3002,Calc!$F$2))</f>
        <v/>
      </c>
      <c r="P2592" s="35" t="str">
        <f aca="false">IF(OR($A2592="",$C2592="U",$S2592&lt;&gt;Calc!$F$2),"",SUMIFS($N$3:$N$3002,$E$3:$E$3002,$E2592,$C$3:$C$3002,"&lt;&gt;U",$S$3:$S$3002,Calc!$F$2))</f>
        <v/>
      </c>
      <c r="Q2592" s="35" t="str">
        <f aca="false">IF(OR($A2592="",$C2592="U",$S2592&lt;&gt;Calc!$F$2),"",IF(COUNTIFS($E$3:$E2592,$E2592,$C$3:$C2592,"&lt;&gt;U",$S$3:$S2592,Calc!$F$2)=1,1,0))</f>
        <v/>
      </c>
      <c r="R2592" s="35" t="str">
        <f aca="false">IF($Q2592=1,$O2592-ROW()/100000,"")</f>
        <v/>
      </c>
      <c r="S2592" s="37" t="str">
        <f aca="false">IF($A2592="","",INT($A2592))</f>
        <v/>
      </c>
      <c r="T2592" s="35" t="str">
        <f aca="false">IF($A2592="","",IF(COUNTIFS($S$3:$S2592,$S2592)=1,1,0))</f>
        <v/>
      </c>
      <c r="U2592" s="37" t="str">
        <f aca="false">IF($T2592=1,$S2592,"")</f>
        <v/>
      </c>
    </row>
    <row r="2593" customFormat="false" ht="15" hidden="false" customHeight="false" outlineLevel="0" collapsed="false">
      <c r="M2593" s="35" t="str">
        <f aca="false">IF($A2593="","",HOUR($A2593))</f>
        <v/>
      </c>
      <c r="N2593" s="36" t="str">
        <f aca="false">IF($A2593="","",$I2593*$K2593)</f>
        <v/>
      </c>
      <c r="O2593" s="35" t="str">
        <f aca="false">IF(OR($A2593="",$C2593="U",$S2593&lt;&gt;Calc!$F$2),"",SUMIFS($I$3:$I$3002,$E$3:$E$3002,$E2593,$C$3:$C$3002,"&lt;&gt;U",$S$3:$S$3002,Calc!$F$2))</f>
        <v/>
      </c>
      <c r="P2593" s="35" t="str">
        <f aca="false">IF(OR($A2593="",$C2593="U",$S2593&lt;&gt;Calc!$F$2),"",SUMIFS($N$3:$N$3002,$E$3:$E$3002,$E2593,$C$3:$C$3002,"&lt;&gt;U",$S$3:$S$3002,Calc!$F$2))</f>
        <v/>
      </c>
      <c r="Q2593" s="35" t="str">
        <f aca="false">IF(OR($A2593="",$C2593="U",$S2593&lt;&gt;Calc!$F$2),"",IF(COUNTIFS($E$3:$E2593,$E2593,$C$3:$C2593,"&lt;&gt;U",$S$3:$S2593,Calc!$F$2)=1,1,0))</f>
        <v/>
      </c>
      <c r="R2593" s="35" t="str">
        <f aca="false">IF($Q2593=1,$O2593-ROW()/100000,"")</f>
        <v/>
      </c>
      <c r="S2593" s="37" t="str">
        <f aca="false">IF($A2593="","",INT($A2593))</f>
        <v/>
      </c>
      <c r="T2593" s="35" t="str">
        <f aca="false">IF($A2593="","",IF(COUNTIFS($S$3:$S2593,$S2593)=1,1,0))</f>
        <v/>
      </c>
      <c r="U2593" s="37" t="str">
        <f aca="false">IF($T2593=1,$S2593,"")</f>
        <v/>
      </c>
    </row>
    <row r="2594" customFormat="false" ht="15" hidden="false" customHeight="false" outlineLevel="0" collapsed="false">
      <c r="M2594" s="35" t="str">
        <f aca="false">IF($A2594="","",HOUR($A2594))</f>
        <v/>
      </c>
      <c r="N2594" s="36" t="str">
        <f aca="false">IF($A2594="","",$I2594*$K2594)</f>
        <v/>
      </c>
      <c r="O2594" s="35" t="str">
        <f aca="false">IF(OR($A2594="",$C2594="U",$S2594&lt;&gt;Calc!$F$2),"",SUMIFS($I$3:$I$3002,$E$3:$E$3002,$E2594,$C$3:$C$3002,"&lt;&gt;U",$S$3:$S$3002,Calc!$F$2))</f>
        <v/>
      </c>
      <c r="P2594" s="35" t="str">
        <f aca="false">IF(OR($A2594="",$C2594="U",$S2594&lt;&gt;Calc!$F$2),"",SUMIFS($N$3:$N$3002,$E$3:$E$3002,$E2594,$C$3:$C$3002,"&lt;&gt;U",$S$3:$S$3002,Calc!$F$2))</f>
        <v/>
      </c>
      <c r="Q2594" s="35" t="str">
        <f aca="false">IF(OR($A2594="",$C2594="U",$S2594&lt;&gt;Calc!$F$2),"",IF(COUNTIFS($E$3:$E2594,$E2594,$C$3:$C2594,"&lt;&gt;U",$S$3:$S2594,Calc!$F$2)=1,1,0))</f>
        <v/>
      </c>
      <c r="R2594" s="35" t="str">
        <f aca="false">IF($Q2594=1,$O2594-ROW()/100000,"")</f>
        <v/>
      </c>
      <c r="S2594" s="37" t="str">
        <f aca="false">IF($A2594="","",INT($A2594))</f>
        <v/>
      </c>
      <c r="T2594" s="35" t="str">
        <f aca="false">IF($A2594="","",IF(COUNTIFS($S$3:$S2594,$S2594)=1,1,0))</f>
        <v/>
      </c>
      <c r="U2594" s="37" t="str">
        <f aca="false">IF($T2594=1,$S2594,"")</f>
        <v/>
      </c>
    </row>
    <row r="2595" customFormat="false" ht="15" hidden="false" customHeight="false" outlineLevel="0" collapsed="false">
      <c r="M2595" s="35" t="str">
        <f aca="false">IF($A2595="","",HOUR($A2595))</f>
        <v/>
      </c>
      <c r="N2595" s="36" t="str">
        <f aca="false">IF($A2595="","",$I2595*$K2595)</f>
        <v/>
      </c>
      <c r="O2595" s="35" t="str">
        <f aca="false">IF(OR($A2595="",$C2595="U",$S2595&lt;&gt;Calc!$F$2),"",SUMIFS($I$3:$I$3002,$E$3:$E$3002,$E2595,$C$3:$C$3002,"&lt;&gt;U",$S$3:$S$3002,Calc!$F$2))</f>
        <v/>
      </c>
      <c r="P2595" s="35" t="str">
        <f aca="false">IF(OR($A2595="",$C2595="U",$S2595&lt;&gt;Calc!$F$2),"",SUMIFS($N$3:$N$3002,$E$3:$E$3002,$E2595,$C$3:$C$3002,"&lt;&gt;U",$S$3:$S$3002,Calc!$F$2))</f>
        <v/>
      </c>
      <c r="Q2595" s="35" t="str">
        <f aca="false">IF(OR($A2595="",$C2595="U",$S2595&lt;&gt;Calc!$F$2),"",IF(COUNTIFS($E$3:$E2595,$E2595,$C$3:$C2595,"&lt;&gt;U",$S$3:$S2595,Calc!$F$2)=1,1,0))</f>
        <v/>
      </c>
      <c r="R2595" s="35" t="str">
        <f aca="false">IF($Q2595=1,$O2595-ROW()/100000,"")</f>
        <v/>
      </c>
      <c r="S2595" s="37" t="str">
        <f aca="false">IF($A2595="","",INT($A2595))</f>
        <v/>
      </c>
      <c r="T2595" s="35" t="str">
        <f aca="false">IF($A2595="","",IF(COUNTIFS($S$3:$S2595,$S2595)=1,1,0))</f>
        <v/>
      </c>
      <c r="U2595" s="37" t="str">
        <f aca="false">IF($T2595=1,$S2595,"")</f>
        <v/>
      </c>
    </row>
    <row r="2596" customFormat="false" ht="15" hidden="false" customHeight="false" outlineLevel="0" collapsed="false">
      <c r="M2596" s="35" t="str">
        <f aca="false">IF($A2596="","",HOUR($A2596))</f>
        <v/>
      </c>
      <c r="N2596" s="36" t="str">
        <f aca="false">IF($A2596="","",$I2596*$K2596)</f>
        <v/>
      </c>
      <c r="O2596" s="35" t="str">
        <f aca="false">IF(OR($A2596="",$C2596="U",$S2596&lt;&gt;Calc!$F$2),"",SUMIFS($I$3:$I$3002,$E$3:$E$3002,$E2596,$C$3:$C$3002,"&lt;&gt;U",$S$3:$S$3002,Calc!$F$2))</f>
        <v/>
      </c>
      <c r="P2596" s="35" t="str">
        <f aca="false">IF(OR($A2596="",$C2596="U",$S2596&lt;&gt;Calc!$F$2),"",SUMIFS($N$3:$N$3002,$E$3:$E$3002,$E2596,$C$3:$C$3002,"&lt;&gt;U",$S$3:$S$3002,Calc!$F$2))</f>
        <v/>
      </c>
      <c r="Q2596" s="35" t="str">
        <f aca="false">IF(OR($A2596="",$C2596="U",$S2596&lt;&gt;Calc!$F$2),"",IF(COUNTIFS($E$3:$E2596,$E2596,$C$3:$C2596,"&lt;&gt;U",$S$3:$S2596,Calc!$F$2)=1,1,0))</f>
        <v/>
      </c>
      <c r="R2596" s="35" t="str">
        <f aca="false">IF($Q2596=1,$O2596-ROW()/100000,"")</f>
        <v/>
      </c>
      <c r="S2596" s="37" t="str">
        <f aca="false">IF($A2596="","",INT($A2596))</f>
        <v/>
      </c>
      <c r="T2596" s="35" t="str">
        <f aca="false">IF($A2596="","",IF(COUNTIFS($S$3:$S2596,$S2596)=1,1,0))</f>
        <v/>
      </c>
      <c r="U2596" s="37" t="str">
        <f aca="false">IF($T2596=1,$S2596,"")</f>
        <v/>
      </c>
    </row>
    <row r="2597" customFormat="false" ht="15" hidden="false" customHeight="false" outlineLevel="0" collapsed="false">
      <c r="M2597" s="35" t="str">
        <f aca="false">IF($A2597="","",HOUR($A2597))</f>
        <v/>
      </c>
      <c r="N2597" s="36" t="str">
        <f aca="false">IF($A2597="","",$I2597*$K2597)</f>
        <v/>
      </c>
      <c r="O2597" s="35" t="str">
        <f aca="false">IF(OR($A2597="",$C2597="U",$S2597&lt;&gt;Calc!$F$2),"",SUMIFS($I$3:$I$3002,$E$3:$E$3002,$E2597,$C$3:$C$3002,"&lt;&gt;U",$S$3:$S$3002,Calc!$F$2))</f>
        <v/>
      </c>
      <c r="P2597" s="35" t="str">
        <f aca="false">IF(OR($A2597="",$C2597="U",$S2597&lt;&gt;Calc!$F$2),"",SUMIFS($N$3:$N$3002,$E$3:$E$3002,$E2597,$C$3:$C$3002,"&lt;&gt;U",$S$3:$S$3002,Calc!$F$2))</f>
        <v/>
      </c>
      <c r="Q2597" s="35" t="str">
        <f aca="false">IF(OR($A2597="",$C2597="U",$S2597&lt;&gt;Calc!$F$2),"",IF(COUNTIFS($E$3:$E2597,$E2597,$C$3:$C2597,"&lt;&gt;U",$S$3:$S2597,Calc!$F$2)=1,1,0))</f>
        <v/>
      </c>
      <c r="R2597" s="35" t="str">
        <f aca="false">IF($Q2597=1,$O2597-ROW()/100000,"")</f>
        <v/>
      </c>
      <c r="S2597" s="37" t="str">
        <f aca="false">IF($A2597="","",INT($A2597))</f>
        <v/>
      </c>
      <c r="T2597" s="35" t="str">
        <f aca="false">IF($A2597="","",IF(COUNTIFS($S$3:$S2597,$S2597)=1,1,0))</f>
        <v/>
      </c>
      <c r="U2597" s="37" t="str">
        <f aca="false">IF($T2597=1,$S2597,"")</f>
        <v/>
      </c>
    </row>
    <row r="2598" customFormat="false" ht="15" hidden="false" customHeight="false" outlineLevel="0" collapsed="false">
      <c r="M2598" s="35" t="str">
        <f aca="false">IF($A2598="","",HOUR($A2598))</f>
        <v/>
      </c>
      <c r="N2598" s="36" t="str">
        <f aca="false">IF($A2598="","",$I2598*$K2598)</f>
        <v/>
      </c>
      <c r="O2598" s="35" t="str">
        <f aca="false">IF(OR($A2598="",$C2598="U",$S2598&lt;&gt;Calc!$F$2),"",SUMIFS($I$3:$I$3002,$E$3:$E$3002,$E2598,$C$3:$C$3002,"&lt;&gt;U",$S$3:$S$3002,Calc!$F$2))</f>
        <v/>
      </c>
      <c r="P2598" s="35" t="str">
        <f aca="false">IF(OR($A2598="",$C2598="U",$S2598&lt;&gt;Calc!$F$2),"",SUMIFS($N$3:$N$3002,$E$3:$E$3002,$E2598,$C$3:$C$3002,"&lt;&gt;U",$S$3:$S$3002,Calc!$F$2))</f>
        <v/>
      </c>
      <c r="Q2598" s="35" t="str">
        <f aca="false">IF(OR($A2598="",$C2598="U",$S2598&lt;&gt;Calc!$F$2),"",IF(COUNTIFS($E$3:$E2598,$E2598,$C$3:$C2598,"&lt;&gt;U",$S$3:$S2598,Calc!$F$2)=1,1,0))</f>
        <v/>
      </c>
      <c r="R2598" s="35" t="str">
        <f aca="false">IF($Q2598=1,$O2598-ROW()/100000,"")</f>
        <v/>
      </c>
      <c r="S2598" s="37" t="str">
        <f aca="false">IF($A2598="","",INT($A2598))</f>
        <v/>
      </c>
      <c r="T2598" s="35" t="str">
        <f aca="false">IF($A2598="","",IF(COUNTIFS($S$3:$S2598,$S2598)=1,1,0))</f>
        <v/>
      </c>
      <c r="U2598" s="37" t="str">
        <f aca="false">IF($T2598=1,$S2598,"")</f>
        <v/>
      </c>
    </row>
    <row r="2599" customFormat="false" ht="15" hidden="false" customHeight="false" outlineLevel="0" collapsed="false">
      <c r="M2599" s="35" t="str">
        <f aca="false">IF($A2599="","",HOUR($A2599))</f>
        <v/>
      </c>
      <c r="N2599" s="36" t="str">
        <f aca="false">IF($A2599="","",$I2599*$K2599)</f>
        <v/>
      </c>
      <c r="O2599" s="35" t="str">
        <f aca="false">IF(OR($A2599="",$C2599="U",$S2599&lt;&gt;Calc!$F$2),"",SUMIFS($I$3:$I$3002,$E$3:$E$3002,$E2599,$C$3:$C$3002,"&lt;&gt;U",$S$3:$S$3002,Calc!$F$2))</f>
        <v/>
      </c>
      <c r="P2599" s="35" t="str">
        <f aca="false">IF(OR($A2599="",$C2599="U",$S2599&lt;&gt;Calc!$F$2),"",SUMIFS($N$3:$N$3002,$E$3:$E$3002,$E2599,$C$3:$C$3002,"&lt;&gt;U",$S$3:$S$3002,Calc!$F$2))</f>
        <v/>
      </c>
      <c r="Q2599" s="35" t="str">
        <f aca="false">IF(OR($A2599="",$C2599="U",$S2599&lt;&gt;Calc!$F$2),"",IF(COUNTIFS($E$3:$E2599,$E2599,$C$3:$C2599,"&lt;&gt;U",$S$3:$S2599,Calc!$F$2)=1,1,0))</f>
        <v/>
      </c>
      <c r="R2599" s="35" t="str">
        <f aca="false">IF($Q2599=1,$O2599-ROW()/100000,"")</f>
        <v/>
      </c>
      <c r="S2599" s="37" t="str">
        <f aca="false">IF($A2599="","",INT($A2599))</f>
        <v/>
      </c>
      <c r="T2599" s="35" t="str">
        <f aca="false">IF($A2599="","",IF(COUNTIFS($S$3:$S2599,$S2599)=1,1,0))</f>
        <v/>
      </c>
      <c r="U2599" s="37" t="str">
        <f aca="false">IF($T2599=1,$S2599,"")</f>
        <v/>
      </c>
    </row>
    <row r="2600" customFormat="false" ht="15" hidden="false" customHeight="false" outlineLevel="0" collapsed="false">
      <c r="M2600" s="35" t="str">
        <f aca="false">IF($A2600="","",HOUR($A2600))</f>
        <v/>
      </c>
      <c r="N2600" s="36" t="str">
        <f aca="false">IF($A2600="","",$I2600*$K2600)</f>
        <v/>
      </c>
      <c r="O2600" s="35" t="str">
        <f aca="false">IF(OR($A2600="",$C2600="U",$S2600&lt;&gt;Calc!$F$2),"",SUMIFS($I$3:$I$3002,$E$3:$E$3002,$E2600,$C$3:$C$3002,"&lt;&gt;U",$S$3:$S$3002,Calc!$F$2))</f>
        <v/>
      </c>
      <c r="P2600" s="35" t="str">
        <f aca="false">IF(OR($A2600="",$C2600="U",$S2600&lt;&gt;Calc!$F$2),"",SUMIFS($N$3:$N$3002,$E$3:$E$3002,$E2600,$C$3:$C$3002,"&lt;&gt;U",$S$3:$S$3002,Calc!$F$2))</f>
        <v/>
      </c>
      <c r="Q2600" s="35" t="str">
        <f aca="false">IF(OR($A2600="",$C2600="U",$S2600&lt;&gt;Calc!$F$2),"",IF(COUNTIFS($E$3:$E2600,$E2600,$C$3:$C2600,"&lt;&gt;U",$S$3:$S2600,Calc!$F$2)=1,1,0))</f>
        <v/>
      </c>
      <c r="R2600" s="35" t="str">
        <f aca="false">IF($Q2600=1,$O2600-ROW()/100000,"")</f>
        <v/>
      </c>
      <c r="S2600" s="37" t="str">
        <f aca="false">IF($A2600="","",INT($A2600))</f>
        <v/>
      </c>
      <c r="T2600" s="35" t="str">
        <f aca="false">IF($A2600="","",IF(COUNTIFS($S$3:$S2600,$S2600)=1,1,0))</f>
        <v/>
      </c>
      <c r="U2600" s="37" t="str">
        <f aca="false">IF($T2600=1,$S2600,"")</f>
        <v/>
      </c>
    </row>
    <row r="2601" customFormat="false" ht="15" hidden="false" customHeight="false" outlineLevel="0" collapsed="false">
      <c r="M2601" s="35" t="str">
        <f aca="false">IF($A2601="","",HOUR($A2601))</f>
        <v/>
      </c>
      <c r="N2601" s="36" t="str">
        <f aca="false">IF($A2601="","",$I2601*$K2601)</f>
        <v/>
      </c>
      <c r="O2601" s="35" t="str">
        <f aca="false">IF(OR($A2601="",$C2601="U",$S2601&lt;&gt;Calc!$F$2),"",SUMIFS($I$3:$I$3002,$E$3:$E$3002,$E2601,$C$3:$C$3002,"&lt;&gt;U",$S$3:$S$3002,Calc!$F$2))</f>
        <v/>
      </c>
      <c r="P2601" s="35" t="str">
        <f aca="false">IF(OR($A2601="",$C2601="U",$S2601&lt;&gt;Calc!$F$2),"",SUMIFS($N$3:$N$3002,$E$3:$E$3002,$E2601,$C$3:$C$3002,"&lt;&gt;U",$S$3:$S$3002,Calc!$F$2))</f>
        <v/>
      </c>
      <c r="Q2601" s="35" t="str">
        <f aca="false">IF(OR($A2601="",$C2601="U",$S2601&lt;&gt;Calc!$F$2),"",IF(COUNTIFS($E$3:$E2601,$E2601,$C$3:$C2601,"&lt;&gt;U",$S$3:$S2601,Calc!$F$2)=1,1,0))</f>
        <v/>
      </c>
      <c r="R2601" s="35" t="str">
        <f aca="false">IF($Q2601=1,$O2601-ROW()/100000,"")</f>
        <v/>
      </c>
      <c r="S2601" s="37" t="str">
        <f aca="false">IF($A2601="","",INT($A2601))</f>
        <v/>
      </c>
      <c r="T2601" s="35" t="str">
        <f aca="false">IF($A2601="","",IF(COUNTIFS($S$3:$S2601,$S2601)=1,1,0))</f>
        <v/>
      </c>
      <c r="U2601" s="37" t="str">
        <f aca="false">IF($T2601=1,$S2601,"")</f>
        <v/>
      </c>
    </row>
    <row r="2602" customFormat="false" ht="15" hidden="false" customHeight="false" outlineLevel="0" collapsed="false">
      <c r="M2602" s="35" t="str">
        <f aca="false">IF($A2602="","",HOUR($A2602))</f>
        <v/>
      </c>
      <c r="N2602" s="36" t="str">
        <f aca="false">IF($A2602="","",$I2602*$K2602)</f>
        <v/>
      </c>
      <c r="O2602" s="35" t="str">
        <f aca="false">IF(OR($A2602="",$C2602="U",$S2602&lt;&gt;Calc!$F$2),"",SUMIFS($I$3:$I$3002,$E$3:$E$3002,$E2602,$C$3:$C$3002,"&lt;&gt;U",$S$3:$S$3002,Calc!$F$2))</f>
        <v/>
      </c>
      <c r="P2602" s="35" t="str">
        <f aca="false">IF(OR($A2602="",$C2602="U",$S2602&lt;&gt;Calc!$F$2),"",SUMIFS($N$3:$N$3002,$E$3:$E$3002,$E2602,$C$3:$C$3002,"&lt;&gt;U",$S$3:$S$3002,Calc!$F$2))</f>
        <v/>
      </c>
      <c r="Q2602" s="35" t="str">
        <f aca="false">IF(OR($A2602="",$C2602="U",$S2602&lt;&gt;Calc!$F$2),"",IF(COUNTIFS($E$3:$E2602,$E2602,$C$3:$C2602,"&lt;&gt;U",$S$3:$S2602,Calc!$F$2)=1,1,0))</f>
        <v/>
      </c>
      <c r="R2602" s="35" t="str">
        <f aca="false">IF($Q2602=1,$O2602-ROW()/100000,"")</f>
        <v/>
      </c>
      <c r="S2602" s="37" t="str">
        <f aca="false">IF($A2602="","",INT($A2602))</f>
        <v/>
      </c>
      <c r="T2602" s="35" t="str">
        <f aca="false">IF($A2602="","",IF(COUNTIFS($S$3:$S2602,$S2602)=1,1,0))</f>
        <v/>
      </c>
      <c r="U2602" s="37" t="str">
        <f aca="false">IF($T2602=1,$S2602,"")</f>
        <v/>
      </c>
    </row>
    <row r="2603" customFormat="false" ht="15" hidden="false" customHeight="false" outlineLevel="0" collapsed="false">
      <c r="M2603" s="35" t="str">
        <f aca="false">IF($A2603="","",HOUR($A2603))</f>
        <v/>
      </c>
      <c r="N2603" s="36" t="str">
        <f aca="false">IF($A2603="","",$I2603*$K2603)</f>
        <v/>
      </c>
      <c r="O2603" s="35" t="str">
        <f aca="false">IF(OR($A2603="",$C2603="U",$S2603&lt;&gt;Calc!$F$2),"",SUMIFS($I$3:$I$3002,$E$3:$E$3002,$E2603,$C$3:$C$3002,"&lt;&gt;U",$S$3:$S$3002,Calc!$F$2))</f>
        <v/>
      </c>
      <c r="P2603" s="35" t="str">
        <f aca="false">IF(OR($A2603="",$C2603="U",$S2603&lt;&gt;Calc!$F$2),"",SUMIFS($N$3:$N$3002,$E$3:$E$3002,$E2603,$C$3:$C$3002,"&lt;&gt;U",$S$3:$S$3002,Calc!$F$2))</f>
        <v/>
      </c>
      <c r="Q2603" s="35" t="str">
        <f aca="false">IF(OR($A2603="",$C2603="U",$S2603&lt;&gt;Calc!$F$2),"",IF(COUNTIFS($E$3:$E2603,$E2603,$C$3:$C2603,"&lt;&gt;U",$S$3:$S2603,Calc!$F$2)=1,1,0))</f>
        <v/>
      </c>
      <c r="R2603" s="35" t="str">
        <f aca="false">IF($Q2603=1,$O2603-ROW()/100000,"")</f>
        <v/>
      </c>
      <c r="S2603" s="37" t="str">
        <f aca="false">IF($A2603="","",INT($A2603))</f>
        <v/>
      </c>
      <c r="T2603" s="35" t="str">
        <f aca="false">IF($A2603="","",IF(COUNTIFS($S$3:$S2603,$S2603)=1,1,0))</f>
        <v/>
      </c>
      <c r="U2603" s="37" t="str">
        <f aca="false">IF($T2603=1,$S2603,"")</f>
        <v/>
      </c>
    </row>
    <row r="2604" customFormat="false" ht="15" hidden="false" customHeight="false" outlineLevel="0" collapsed="false">
      <c r="M2604" s="35" t="str">
        <f aca="false">IF($A2604="","",HOUR($A2604))</f>
        <v/>
      </c>
      <c r="N2604" s="36" t="str">
        <f aca="false">IF($A2604="","",$I2604*$K2604)</f>
        <v/>
      </c>
      <c r="O2604" s="35" t="str">
        <f aca="false">IF(OR($A2604="",$C2604="U",$S2604&lt;&gt;Calc!$F$2),"",SUMIFS($I$3:$I$3002,$E$3:$E$3002,$E2604,$C$3:$C$3002,"&lt;&gt;U",$S$3:$S$3002,Calc!$F$2))</f>
        <v/>
      </c>
      <c r="P2604" s="35" t="str">
        <f aca="false">IF(OR($A2604="",$C2604="U",$S2604&lt;&gt;Calc!$F$2),"",SUMIFS($N$3:$N$3002,$E$3:$E$3002,$E2604,$C$3:$C$3002,"&lt;&gt;U",$S$3:$S$3002,Calc!$F$2))</f>
        <v/>
      </c>
      <c r="Q2604" s="35" t="str">
        <f aca="false">IF(OR($A2604="",$C2604="U",$S2604&lt;&gt;Calc!$F$2),"",IF(COUNTIFS($E$3:$E2604,$E2604,$C$3:$C2604,"&lt;&gt;U",$S$3:$S2604,Calc!$F$2)=1,1,0))</f>
        <v/>
      </c>
      <c r="R2604" s="35" t="str">
        <f aca="false">IF($Q2604=1,$O2604-ROW()/100000,"")</f>
        <v/>
      </c>
      <c r="S2604" s="37" t="str">
        <f aca="false">IF($A2604="","",INT($A2604))</f>
        <v/>
      </c>
      <c r="T2604" s="35" t="str">
        <f aca="false">IF($A2604="","",IF(COUNTIFS($S$3:$S2604,$S2604)=1,1,0))</f>
        <v/>
      </c>
      <c r="U2604" s="37" t="str">
        <f aca="false">IF($T2604=1,$S2604,"")</f>
        <v/>
      </c>
    </row>
    <row r="2605" customFormat="false" ht="15" hidden="false" customHeight="false" outlineLevel="0" collapsed="false">
      <c r="M2605" s="35" t="str">
        <f aca="false">IF($A2605="","",HOUR($A2605))</f>
        <v/>
      </c>
      <c r="N2605" s="36" t="str">
        <f aca="false">IF($A2605="","",$I2605*$K2605)</f>
        <v/>
      </c>
      <c r="O2605" s="35" t="str">
        <f aca="false">IF(OR($A2605="",$C2605="U",$S2605&lt;&gt;Calc!$F$2),"",SUMIFS($I$3:$I$3002,$E$3:$E$3002,$E2605,$C$3:$C$3002,"&lt;&gt;U",$S$3:$S$3002,Calc!$F$2))</f>
        <v/>
      </c>
      <c r="P2605" s="35" t="str">
        <f aca="false">IF(OR($A2605="",$C2605="U",$S2605&lt;&gt;Calc!$F$2),"",SUMIFS($N$3:$N$3002,$E$3:$E$3002,$E2605,$C$3:$C$3002,"&lt;&gt;U",$S$3:$S$3002,Calc!$F$2))</f>
        <v/>
      </c>
      <c r="Q2605" s="35" t="str">
        <f aca="false">IF(OR($A2605="",$C2605="U",$S2605&lt;&gt;Calc!$F$2),"",IF(COUNTIFS($E$3:$E2605,$E2605,$C$3:$C2605,"&lt;&gt;U",$S$3:$S2605,Calc!$F$2)=1,1,0))</f>
        <v/>
      </c>
      <c r="R2605" s="35" t="str">
        <f aca="false">IF($Q2605=1,$O2605-ROW()/100000,"")</f>
        <v/>
      </c>
      <c r="S2605" s="37" t="str">
        <f aca="false">IF($A2605="","",INT($A2605))</f>
        <v/>
      </c>
      <c r="T2605" s="35" t="str">
        <f aca="false">IF($A2605="","",IF(COUNTIFS($S$3:$S2605,$S2605)=1,1,0))</f>
        <v/>
      </c>
      <c r="U2605" s="37" t="str">
        <f aca="false">IF($T2605=1,$S2605,"")</f>
        <v/>
      </c>
    </row>
    <row r="2606" customFormat="false" ht="15" hidden="false" customHeight="false" outlineLevel="0" collapsed="false">
      <c r="M2606" s="35" t="str">
        <f aca="false">IF($A2606="","",HOUR($A2606))</f>
        <v/>
      </c>
      <c r="N2606" s="36" t="str">
        <f aca="false">IF($A2606="","",$I2606*$K2606)</f>
        <v/>
      </c>
      <c r="O2606" s="35" t="str">
        <f aca="false">IF(OR($A2606="",$C2606="U",$S2606&lt;&gt;Calc!$F$2),"",SUMIFS($I$3:$I$3002,$E$3:$E$3002,$E2606,$C$3:$C$3002,"&lt;&gt;U",$S$3:$S$3002,Calc!$F$2))</f>
        <v/>
      </c>
      <c r="P2606" s="35" t="str">
        <f aca="false">IF(OR($A2606="",$C2606="U",$S2606&lt;&gt;Calc!$F$2),"",SUMIFS($N$3:$N$3002,$E$3:$E$3002,$E2606,$C$3:$C$3002,"&lt;&gt;U",$S$3:$S$3002,Calc!$F$2))</f>
        <v/>
      </c>
      <c r="Q2606" s="35" t="str">
        <f aca="false">IF(OR($A2606="",$C2606="U",$S2606&lt;&gt;Calc!$F$2),"",IF(COUNTIFS($E$3:$E2606,$E2606,$C$3:$C2606,"&lt;&gt;U",$S$3:$S2606,Calc!$F$2)=1,1,0))</f>
        <v/>
      </c>
      <c r="R2606" s="35" t="str">
        <f aca="false">IF($Q2606=1,$O2606-ROW()/100000,"")</f>
        <v/>
      </c>
      <c r="S2606" s="37" t="str">
        <f aca="false">IF($A2606="","",INT($A2606))</f>
        <v/>
      </c>
      <c r="T2606" s="35" t="str">
        <f aca="false">IF($A2606="","",IF(COUNTIFS($S$3:$S2606,$S2606)=1,1,0))</f>
        <v/>
      </c>
      <c r="U2606" s="37" t="str">
        <f aca="false">IF($T2606=1,$S2606,"")</f>
        <v/>
      </c>
    </row>
    <row r="2607" customFormat="false" ht="15" hidden="false" customHeight="false" outlineLevel="0" collapsed="false">
      <c r="M2607" s="35" t="str">
        <f aca="false">IF($A2607="","",HOUR($A2607))</f>
        <v/>
      </c>
      <c r="N2607" s="36" t="str">
        <f aca="false">IF($A2607="","",$I2607*$K2607)</f>
        <v/>
      </c>
      <c r="O2607" s="35" t="str">
        <f aca="false">IF(OR($A2607="",$C2607="U",$S2607&lt;&gt;Calc!$F$2),"",SUMIFS($I$3:$I$3002,$E$3:$E$3002,$E2607,$C$3:$C$3002,"&lt;&gt;U",$S$3:$S$3002,Calc!$F$2))</f>
        <v/>
      </c>
      <c r="P2607" s="35" t="str">
        <f aca="false">IF(OR($A2607="",$C2607="U",$S2607&lt;&gt;Calc!$F$2),"",SUMIFS($N$3:$N$3002,$E$3:$E$3002,$E2607,$C$3:$C$3002,"&lt;&gt;U",$S$3:$S$3002,Calc!$F$2))</f>
        <v/>
      </c>
      <c r="Q2607" s="35" t="str">
        <f aca="false">IF(OR($A2607="",$C2607="U",$S2607&lt;&gt;Calc!$F$2),"",IF(COUNTIFS($E$3:$E2607,$E2607,$C$3:$C2607,"&lt;&gt;U",$S$3:$S2607,Calc!$F$2)=1,1,0))</f>
        <v/>
      </c>
      <c r="R2607" s="35" t="str">
        <f aca="false">IF($Q2607=1,$O2607-ROW()/100000,"")</f>
        <v/>
      </c>
      <c r="S2607" s="37" t="str">
        <f aca="false">IF($A2607="","",INT($A2607))</f>
        <v/>
      </c>
      <c r="T2607" s="35" t="str">
        <f aca="false">IF($A2607="","",IF(COUNTIFS($S$3:$S2607,$S2607)=1,1,0))</f>
        <v/>
      </c>
      <c r="U2607" s="37" t="str">
        <f aca="false">IF($T2607=1,$S2607,"")</f>
        <v/>
      </c>
    </row>
    <row r="2608" customFormat="false" ht="15" hidden="false" customHeight="false" outlineLevel="0" collapsed="false">
      <c r="M2608" s="35" t="str">
        <f aca="false">IF($A2608="","",HOUR($A2608))</f>
        <v/>
      </c>
      <c r="N2608" s="36" t="str">
        <f aca="false">IF($A2608="","",$I2608*$K2608)</f>
        <v/>
      </c>
      <c r="O2608" s="35" t="str">
        <f aca="false">IF(OR($A2608="",$C2608="U",$S2608&lt;&gt;Calc!$F$2),"",SUMIFS($I$3:$I$3002,$E$3:$E$3002,$E2608,$C$3:$C$3002,"&lt;&gt;U",$S$3:$S$3002,Calc!$F$2))</f>
        <v/>
      </c>
      <c r="P2608" s="35" t="str">
        <f aca="false">IF(OR($A2608="",$C2608="U",$S2608&lt;&gt;Calc!$F$2),"",SUMIFS($N$3:$N$3002,$E$3:$E$3002,$E2608,$C$3:$C$3002,"&lt;&gt;U",$S$3:$S$3002,Calc!$F$2))</f>
        <v/>
      </c>
      <c r="Q2608" s="35" t="str">
        <f aca="false">IF(OR($A2608="",$C2608="U",$S2608&lt;&gt;Calc!$F$2),"",IF(COUNTIFS($E$3:$E2608,$E2608,$C$3:$C2608,"&lt;&gt;U",$S$3:$S2608,Calc!$F$2)=1,1,0))</f>
        <v/>
      </c>
      <c r="R2608" s="35" t="str">
        <f aca="false">IF($Q2608=1,$O2608-ROW()/100000,"")</f>
        <v/>
      </c>
      <c r="S2608" s="37" t="str">
        <f aca="false">IF($A2608="","",INT($A2608))</f>
        <v/>
      </c>
      <c r="T2608" s="35" t="str">
        <f aca="false">IF($A2608="","",IF(COUNTIFS($S$3:$S2608,$S2608)=1,1,0))</f>
        <v/>
      </c>
      <c r="U2608" s="37" t="str">
        <f aca="false">IF($T2608=1,$S2608,"")</f>
        <v/>
      </c>
    </row>
    <row r="2609" customFormat="false" ht="15" hidden="false" customHeight="false" outlineLevel="0" collapsed="false">
      <c r="M2609" s="35" t="str">
        <f aca="false">IF($A2609="","",HOUR($A2609))</f>
        <v/>
      </c>
      <c r="N2609" s="36" t="str">
        <f aca="false">IF($A2609="","",$I2609*$K2609)</f>
        <v/>
      </c>
      <c r="O2609" s="35" t="str">
        <f aca="false">IF(OR($A2609="",$C2609="U",$S2609&lt;&gt;Calc!$F$2),"",SUMIFS($I$3:$I$3002,$E$3:$E$3002,$E2609,$C$3:$C$3002,"&lt;&gt;U",$S$3:$S$3002,Calc!$F$2))</f>
        <v/>
      </c>
      <c r="P2609" s="35" t="str">
        <f aca="false">IF(OR($A2609="",$C2609="U",$S2609&lt;&gt;Calc!$F$2),"",SUMIFS($N$3:$N$3002,$E$3:$E$3002,$E2609,$C$3:$C$3002,"&lt;&gt;U",$S$3:$S$3002,Calc!$F$2))</f>
        <v/>
      </c>
      <c r="Q2609" s="35" t="str">
        <f aca="false">IF(OR($A2609="",$C2609="U",$S2609&lt;&gt;Calc!$F$2),"",IF(COUNTIFS($E$3:$E2609,$E2609,$C$3:$C2609,"&lt;&gt;U",$S$3:$S2609,Calc!$F$2)=1,1,0))</f>
        <v/>
      </c>
      <c r="R2609" s="35" t="str">
        <f aca="false">IF($Q2609=1,$O2609-ROW()/100000,"")</f>
        <v/>
      </c>
      <c r="S2609" s="37" t="str">
        <f aca="false">IF($A2609="","",INT($A2609))</f>
        <v/>
      </c>
      <c r="T2609" s="35" t="str">
        <f aca="false">IF($A2609="","",IF(COUNTIFS($S$3:$S2609,$S2609)=1,1,0))</f>
        <v/>
      </c>
      <c r="U2609" s="37" t="str">
        <f aca="false">IF($T2609=1,$S2609,"")</f>
        <v/>
      </c>
    </row>
    <row r="2610" customFormat="false" ht="15" hidden="false" customHeight="false" outlineLevel="0" collapsed="false">
      <c r="M2610" s="35" t="str">
        <f aca="false">IF($A2610="","",HOUR($A2610))</f>
        <v/>
      </c>
      <c r="N2610" s="36" t="str">
        <f aca="false">IF($A2610="","",$I2610*$K2610)</f>
        <v/>
      </c>
      <c r="O2610" s="35" t="str">
        <f aca="false">IF(OR($A2610="",$C2610="U",$S2610&lt;&gt;Calc!$F$2),"",SUMIFS($I$3:$I$3002,$E$3:$E$3002,$E2610,$C$3:$C$3002,"&lt;&gt;U",$S$3:$S$3002,Calc!$F$2))</f>
        <v/>
      </c>
      <c r="P2610" s="35" t="str">
        <f aca="false">IF(OR($A2610="",$C2610="U",$S2610&lt;&gt;Calc!$F$2),"",SUMIFS($N$3:$N$3002,$E$3:$E$3002,$E2610,$C$3:$C$3002,"&lt;&gt;U",$S$3:$S$3002,Calc!$F$2))</f>
        <v/>
      </c>
      <c r="Q2610" s="35" t="str">
        <f aca="false">IF(OR($A2610="",$C2610="U",$S2610&lt;&gt;Calc!$F$2),"",IF(COUNTIFS($E$3:$E2610,$E2610,$C$3:$C2610,"&lt;&gt;U",$S$3:$S2610,Calc!$F$2)=1,1,0))</f>
        <v/>
      </c>
      <c r="R2610" s="35" t="str">
        <f aca="false">IF($Q2610=1,$O2610-ROW()/100000,"")</f>
        <v/>
      </c>
      <c r="S2610" s="37" t="str">
        <f aca="false">IF($A2610="","",INT($A2610))</f>
        <v/>
      </c>
      <c r="T2610" s="35" t="str">
        <f aca="false">IF($A2610="","",IF(COUNTIFS($S$3:$S2610,$S2610)=1,1,0))</f>
        <v/>
      </c>
      <c r="U2610" s="37" t="str">
        <f aca="false">IF($T2610=1,$S2610,"")</f>
        <v/>
      </c>
    </row>
    <row r="2611" customFormat="false" ht="15" hidden="false" customHeight="false" outlineLevel="0" collapsed="false">
      <c r="M2611" s="35" t="str">
        <f aca="false">IF($A2611="","",HOUR($A2611))</f>
        <v/>
      </c>
      <c r="N2611" s="36" t="str">
        <f aca="false">IF($A2611="","",$I2611*$K2611)</f>
        <v/>
      </c>
      <c r="O2611" s="35" t="str">
        <f aca="false">IF(OR($A2611="",$C2611="U",$S2611&lt;&gt;Calc!$F$2),"",SUMIFS($I$3:$I$3002,$E$3:$E$3002,$E2611,$C$3:$C$3002,"&lt;&gt;U",$S$3:$S$3002,Calc!$F$2))</f>
        <v/>
      </c>
      <c r="P2611" s="35" t="str">
        <f aca="false">IF(OR($A2611="",$C2611="U",$S2611&lt;&gt;Calc!$F$2),"",SUMIFS($N$3:$N$3002,$E$3:$E$3002,$E2611,$C$3:$C$3002,"&lt;&gt;U",$S$3:$S$3002,Calc!$F$2))</f>
        <v/>
      </c>
      <c r="Q2611" s="35" t="str">
        <f aca="false">IF(OR($A2611="",$C2611="U",$S2611&lt;&gt;Calc!$F$2),"",IF(COUNTIFS($E$3:$E2611,$E2611,$C$3:$C2611,"&lt;&gt;U",$S$3:$S2611,Calc!$F$2)=1,1,0))</f>
        <v/>
      </c>
      <c r="R2611" s="35" t="str">
        <f aca="false">IF($Q2611=1,$O2611-ROW()/100000,"")</f>
        <v/>
      </c>
      <c r="S2611" s="37" t="str">
        <f aca="false">IF($A2611="","",INT($A2611))</f>
        <v/>
      </c>
      <c r="T2611" s="35" t="str">
        <f aca="false">IF($A2611="","",IF(COUNTIFS($S$3:$S2611,$S2611)=1,1,0))</f>
        <v/>
      </c>
      <c r="U2611" s="37" t="str">
        <f aca="false">IF($T2611=1,$S2611,"")</f>
        <v/>
      </c>
    </row>
    <row r="2612" customFormat="false" ht="15" hidden="false" customHeight="false" outlineLevel="0" collapsed="false">
      <c r="M2612" s="35" t="str">
        <f aca="false">IF($A2612="","",HOUR($A2612))</f>
        <v/>
      </c>
      <c r="N2612" s="36" t="str">
        <f aca="false">IF($A2612="","",$I2612*$K2612)</f>
        <v/>
      </c>
      <c r="O2612" s="35" t="str">
        <f aca="false">IF(OR($A2612="",$C2612="U",$S2612&lt;&gt;Calc!$F$2),"",SUMIFS($I$3:$I$3002,$E$3:$E$3002,$E2612,$C$3:$C$3002,"&lt;&gt;U",$S$3:$S$3002,Calc!$F$2))</f>
        <v/>
      </c>
      <c r="P2612" s="35" t="str">
        <f aca="false">IF(OR($A2612="",$C2612="U",$S2612&lt;&gt;Calc!$F$2),"",SUMIFS($N$3:$N$3002,$E$3:$E$3002,$E2612,$C$3:$C$3002,"&lt;&gt;U",$S$3:$S$3002,Calc!$F$2))</f>
        <v/>
      </c>
      <c r="Q2612" s="35" t="str">
        <f aca="false">IF(OR($A2612="",$C2612="U",$S2612&lt;&gt;Calc!$F$2),"",IF(COUNTIFS($E$3:$E2612,$E2612,$C$3:$C2612,"&lt;&gt;U",$S$3:$S2612,Calc!$F$2)=1,1,0))</f>
        <v/>
      </c>
      <c r="R2612" s="35" t="str">
        <f aca="false">IF($Q2612=1,$O2612-ROW()/100000,"")</f>
        <v/>
      </c>
      <c r="S2612" s="37" t="str">
        <f aca="false">IF($A2612="","",INT($A2612))</f>
        <v/>
      </c>
      <c r="T2612" s="35" t="str">
        <f aca="false">IF($A2612="","",IF(COUNTIFS($S$3:$S2612,$S2612)=1,1,0))</f>
        <v/>
      </c>
      <c r="U2612" s="37" t="str">
        <f aca="false">IF($T2612=1,$S2612,"")</f>
        <v/>
      </c>
    </row>
    <row r="2613" customFormat="false" ht="15" hidden="false" customHeight="false" outlineLevel="0" collapsed="false">
      <c r="M2613" s="35" t="str">
        <f aca="false">IF($A2613="","",HOUR($A2613))</f>
        <v/>
      </c>
      <c r="N2613" s="36" t="str">
        <f aca="false">IF($A2613="","",$I2613*$K2613)</f>
        <v/>
      </c>
      <c r="O2613" s="35" t="str">
        <f aca="false">IF(OR($A2613="",$C2613="U",$S2613&lt;&gt;Calc!$F$2),"",SUMIFS($I$3:$I$3002,$E$3:$E$3002,$E2613,$C$3:$C$3002,"&lt;&gt;U",$S$3:$S$3002,Calc!$F$2))</f>
        <v/>
      </c>
      <c r="P2613" s="35" t="str">
        <f aca="false">IF(OR($A2613="",$C2613="U",$S2613&lt;&gt;Calc!$F$2),"",SUMIFS($N$3:$N$3002,$E$3:$E$3002,$E2613,$C$3:$C$3002,"&lt;&gt;U",$S$3:$S$3002,Calc!$F$2))</f>
        <v/>
      </c>
      <c r="Q2613" s="35" t="str">
        <f aca="false">IF(OR($A2613="",$C2613="U",$S2613&lt;&gt;Calc!$F$2),"",IF(COUNTIFS($E$3:$E2613,$E2613,$C$3:$C2613,"&lt;&gt;U",$S$3:$S2613,Calc!$F$2)=1,1,0))</f>
        <v/>
      </c>
      <c r="R2613" s="35" t="str">
        <f aca="false">IF($Q2613=1,$O2613-ROW()/100000,"")</f>
        <v/>
      </c>
      <c r="S2613" s="37" t="str">
        <f aca="false">IF($A2613="","",INT($A2613))</f>
        <v/>
      </c>
      <c r="T2613" s="35" t="str">
        <f aca="false">IF($A2613="","",IF(COUNTIFS($S$3:$S2613,$S2613)=1,1,0))</f>
        <v/>
      </c>
      <c r="U2613" s="37" t="str">
        <f aca="false">IF($T2613=1,$S2613,"")</f>
        <v/>
      </c>
    </row>
    <row r="2614" customFormat="false" ht="15" hidden="false" customHeight="false" outlineLevel="0" collapsed="false">
      <c r="M2614" s="35" t="str">
        <f aca="false">IF($A2614="","",HOUR($A2614))</f>
        <v/>
      </c>
      <c r="N2614" s="36" t="str">
        <f aca="false">IF($A2614="","",$I2614*$K2614)</f>
        <v/>
      </c>
      <c r="O2614" s="35" t="str">
        <f aca="false">IF(OR($A2614="",$C2614="U",$S2614&lt;&gt;Calc!$F$2),"",SUMIFS($I$3:$I$3002,$E$3:$E$3002,$E2614,$C$3:$C$3002,"&lt;&gt;U",$S$3:$S$3002,Calc!$F$2))</f>
        <v/>
      </c>
      <c r="P2614" s="35" t="str">
        <f aca="false">IF(OR($A2614="",$C2614="U",$S2614&lt;&gt;Calc!$F$2),"",SUMIFS($N$3:$N$3002,$E$3:$E$3002,$E2614,$C$3:$C$3002,"&lt;&gt;U",$S$3:$S$3002,Calc!$F$2))</f>
        <v/>
      </c>
      <c r="Q2614" s="35" t="str">
        <f aca="false">IF(OR($A2614="",$C2614="U",$S2614&lt;&gt;Calc!$F$2),"",IF(COUNTIFS($E$3:$E2614,$E2614,$C$3:$C2614,"&lt;&gt;U",$S$3:$S2614,Calc!$F$2)=1,1,0))</f>
        <v/>
      </c>
      <c r="R2614" s="35" t="str">
        <f aca="false">IF($Q2614=1,$O2614-ROW()/100000,"")</f>
        <v/>
      </c>
      <c r="S2614" s="37" t="str">
        <f aca="false">IF($A2614="","",INT($A2614))</f>
        <v/>
      </c>
      <c r="T2614" s="35" t="str">
        <f aca="false">IF($A2614="","",IF(COUNTIFS($S$3:$S2614,$S2614)=1,1,0))</f>
        <v/>
      </c>
      <c r="U2614" s="37" t="str">
        <f aca="false">IF($T2614=1,$S2614,"")</f>
        <v/>
      </c>
    </row>
    <row r="2615" customFormat="false" ht="15" hidden="false" customHeight="false" outlineLevel="0" collapsed="false">
      <c r="M2615" s="35" t="str">
        <f aca="false">IF($A2615="","",HOUR($A2615))</f>
        <v/>
      </c>
      <c r="N2615" s="36" t="str">
        <f aca="false">IF($A2615="","",$I2615*$K2615)</f>
        <v/>
      </c>
      <c r="O2615" s="35" t="str">
        <f aca="false">IF(OR($A2615="",$C2615="U",$S2615&lt;&gt;Calc!$F$2),"",SUMIFS($I$3:$I$3002,$E$3:$E$3002,$E2615,$C$3:$C$3002,"&lt;&gt;U",$S$3:$S$3002,Calc!$F$2))</f>
        <v/>
      </c>
      <c r="P2615" s="35" t="str">
        <f aca="false">IF(OR($A2615="",$C2615="U",$S2615&lt;&gt;Calc!$F$2),"",SUMIFS($N$3:$N$3002,$E$3:$E$3002,$E2615,$C$3:$C$3002,"&lt;&gt;U",$S$3:$S$3002,Calc!$F$2))</f>
        <v/>
      </c>
      <c r="Q2615" s="35" t="str">
        <f aca="false">IF(OR($A2615="",$C2615="U",$S2615&lt;&gt;Calc!$F$2),"",IF(COUNTIFS($E$3:$E2615,$E2615,$C$3:$C2615,"&lt;&gt;U",$S$3:$S2615,Calc!$F$2)=1,1,0))</f>
        <v/>
      </c>
      <c r="R2615" s="35" t="str">
        <f aca="false">IF($Q2615=1,$O2615-ROW()/100000,"")</f>
        <v/>
      </c>
      <c r="S2615" s="37" t="str">
        <f aca="false">IF($A2615="","",INT($A2615))</f>
        <v/>
      </c>
      <c r="T2615" s="35" t="str">
        <f aca="false">IF($A2615="","",IF(COUNTIFS($S$3:$S2615,$S2615)=1,1,0))</f>
        <v/>
      </c>
      <c r="U2615" s="37" t="str">
        <f aca="false">IF($T2615=1,$S2615,"")</f>
        <v/>
      </c>
    </row>
    <row r="2616" customFormat="false" ht="15" hidden="false" customHeight="false" outlineLevel="0" collapsed="false">
      <c r="M2616" s="35" t="str">
        <f aca="false">IF($A2616="","",HOUR($A2616))</f>
        <v/>
      </c>
      <c r="N2616" s="36" t="str">
        <f aca="false">IF($A2616="","",$I2616*$K2616)</f>
        <v/>
      </c>
      <c r="O2616" s="35" t="str">
        <f aca="false">IF(OR($A2616="",$C2616="U",$S2616&lt;&gt;Calc!$F$2),"",SUMIFS($I$3:$I$3002,$E$3:$E$3002,$E2616,$C$3:$C$3002,"&lt;&gt;U",$S$3:$S$3002,Calc!$F$2))</f>
        <v/>
      </c>
      <c r="P2616" s="35" t="str">
        <f aca="false">IF(OR($A2616="",$C2616="U",$S2616&lt;&gt;Calc!$F$2),"",SUMIFS($N$3:$N$3002,$E$3:$E$3002,$E2616,$C$3:$C$3002,"&lt;&gt;U",$S$3:$S$3002,Calc!$F$2))</f>
        <v/>
      </c>
      <c r="Q2616" s="35" t="str">
        <f aca="false">IF(OR($A2616="",$C2616="U",$S2616&lt;&gt;Calc!$F$2),"",IF(COUNTIFS($E$3:$E2616,$E2616,$C$3:$C2616,"&lt;&gt;U",$S$3:$S2616,Calc!$F$2)=1,1,0))</f>
        <v/>
      </c>
      <c r="R2616" s="35" t="str">
        <f aca="false">IF($Q2616=1,$O2616-ROW()/100000,"")</f>
        <v/>
      </c>
      <c r="S2616" s="37" t="str">
        <f aca="false">IF($A2616="","",INT($A2616))</f>
        <v/>
      </c>
      <c r="T2616" s="35" t="str">
        <f aca="false">IF($A2616="","",IF(COUNTIFS($S$3:$S2616,$S2616)=1,1,0))</f>
        <v/>
      </c>
      <c r="U2616" s="37" t="str">
        <f aca="false">IF($T2616=1,$S2616,"")</f>
        <v/>
      </c>
    </row>
    <row r="2617" customFormat="false" ht="15" hidden="false" customHeight="false" outlineLevel="0" collapsed="false">
      <c r="M2617" s="35" t="str">
        <f aca="false">IF($A2617="","",HOUR($A2617))</f>
        <v/>
      </c>
      <c r="N2617" s="36" t="str">
        <f aca="false">IF($A2617="","",$I2617*$K2617)</f>
        <v/>
      </c>
      <c r="O2617" s="35" t="str">
        <f aca="false">IF(OR($A2617="",$C2617="U",$S2617&lt;&gt;Calc!$F$2),"",SUMIFS($I$3:$I$3002,$E$3:$E$3002,$E2617,$C$3:$C$3002,"&lt;&gt;U",$S$3:$S$3002,Calc!$F$2))</f>
        <v/>
      </c>
      <c r="P2617" s="35" t="str">
        <f aca="false">IF(OR($A2617="",$C2617="U",$S2617&lt;&gt;Calc!$F$2),"",SUMIFS($N$3:$N$3002,$E$3:$E$3002,$E2617,$C$3:$C$3002,"&lt;&gt;U",$S$3:$S$3002,Calc!$F$2))</f>
        <v/>
      </c>
      <c r="Q2617" s="35" t="str">
        <f aca="false">IF(OR($A2617="",$C2617="U",$S2617&lt;&gt;Calc!$F$2),"",IF(COUNTIFS($E$3:$E2617,$E2617,$C$3:$C2617,"&lt;&gt;U",$S$3:$S2617,Calc!$F$2)=1,1,0))</f>
        <v/>
      </c>
      <c r="R2617" s="35" t="str">
        <f aca="false">IF($Q2617=1,$O2617-ROW()/100000,"")</f>
        <v/>
      </c>
      <c r="S2617" s="37" t="str">
        <f aca="false">IF($A2617="","",INT($A2617))</f>
        <v/>
      </c>
      <c r="T2617" s="35" t="str">
        <f aca="false">IF($A2617="","",IF(COUNTIFS($S$3:$S2617,$S2617)=1,1,0))</f>
        <v/>
      </c>
      <c r="U2617" s="37" t="str">
        <f aca="false">IF($T2617=1,$S2617,"")</f>
        <v/>
      </c>
    </row>
    <row r="2618" customFormat="false" ht="15" hidden="false" customHeight="false" outlineLevel="0" collapsed="false">
      <c r="M2618" s="35" t="str">
        <f aca="false">IF($A2618="","",HOUR($A2618))</f>
        <v/>
      </c>
      <c r="N2618" s="36" t="str">
        <f aca="false">IF($A2618="","",$I2618*$K2618)</f>
        <v/>
      </c>
      <c r="O2618" s="35" t="str">
        <f aca="false">IF(OR($A2618="",$C2618="U",$S2618&lt;&gt;Calc!$F$2),"",SUMIFS($I$3:$I$3002,$E$3:$E$3002,$E2618,$C$3:$C$3002,"&lt;&gt;U",$S$3:$S$3002,Calc!$F$2))</f>
        <v/>
      </c>
      <c r="P2618" s="35" t="str">
        <f aca="false">IF(OR($A2618="",$C2618="U",$S2618&lt;&gt;Calc!$F$2),"",SUMIFS($N$3:$N$3002,$E$3:$E$3002,$E2618,$C$3:$C$3002,"&lt;&gt;U",$S$3:$S$3002,Calc!$F$2))</f>
        <v/>
      </c>
      <c r="Q2618" s="35" t="str">
        <f aca="false">IF(OR($A2618="",$C2618="U",$S2618&lt;&gt;Calc!$F$2),"",IF(COUNTIFS($E$3:$E2618,$E2618,$C$3:$C2618,"&lt;&gt;U",$S$3:$S2618,Calc!$F$2)=1,1,0))</f>
        <v/>
      </c>
      <c r="R2618" s="35" t="str">
        <f aca="false">IF($Q2618=1,$O2618-ROW()/100000,"")</f>
        <v/>
      </c>
      <c r="S2618" s="37" t="str">
        <f aca="false">IF($A2618="","",INT($A2618))</f>
        <v/>
      </c>
      <c r="T2618" s="35" t="str">
        <f aca="false">IF($A2618="","",IF(COUNTIFS($S$3:$S2618,$S2618)=1,1,0))</f>
        <v/>
      </c>
      <c r="U2618" s="37" t="str">
        <f aca="false">IF($T2618=1,$S2618,"")</f>
        <v/>
      </c>
    </row>
    <row r="2619" customFormat="false" ht="15" hidden="false" customHeight="false" outlineLevel="0" collapsed="false">
      <c r="M2619" s="35" t="str">
        <f aca="false">IF($A2619="","",HOUR($A2619))</f>
        <v/>
      </c>
      <c r="N2619" s="36" t="str">
        <f aca="false">IF($A2619="","",$I2619*$K2619)</f>
        <v/>
      </c>
      <c r="O2619" s="35" t="str">
        <f aca="false">IF(OR($A2619="",$C2619="U",$S2619&lt;&gt;Calc!$F$2),"",SUMIFS($I$3:$I$3002,$E$3:$E$3002,$E2619,$C$3:$C$3002,"&lt;&gt;U",$S$3:$S$3002,Calc!$F$2))</f>
        <v/>
      </c>
      <c r="P2619" s="35" t="str">
        <f aca="false">IF(OR($A2619="",$C2619="U",$S2619&lt;&gt;Calc!$F$2),"",SUMIFS($N$3:$N$3002,$E$3:$E$3002,$E2619,$C$3:$C$3002,"&lt;&gt;U",$S$3:$S$3002,Calc!$F$2))</f>
        <v/>
      </c>
      <c r="Q2619" s="35" t="str">
        <f aca="false">IF(OR($A2619="",$C2619="U",$S2619&lt;&gt;Calc!$F$2),"",IF(COUNTIFS($E$3:$E2619,$E2619,$C$3:$C2619,"&lt;&gt;U",$S$3:$S2619,Calc!$F$2)=1,1,0))</f>
        <v/>
      </c>
      <c r="R2619" s="35" t="str">
        <f aca="false">IF($Q2619=1,$O2619-ROW()/100000,"")</f>
        <v/>
      </c>
      <c r="S2619" s="37" t="str">
        <f aca="false">IF($A2619="","",INT($A2619))</f>
        <v/>
      </c>
      <c r="T2619" s="35" t="str">
        <f aca="false">IF($A2619="","",IF(COUNTIFS($S$3:$S2619,$S2619)=1,1,0))</f>
        <v/>
      </c>
      <c r="U2619" s="37" t="str">
        <f aca="false">IF($T2619=1,$S2619,"")</f>
        <v/>
      </c>
    </row>
    <row r="2620" customFormat="false" ht="15" hidden="false" customHeight="false" outlineLevel="0" collapsed="false">
      <c r="M2620" s="35" t="str">
        <f aca="false">IF($A2620="","",HOUR($A2620))</f>
        <v/>
      </c>
      <c r="N2620" s="36" t="str">
        <f aca="false">IF($A2620="","",$I2620*$K2620)</f>
        <v/>
      </c>
      <c r="O2620" s="35" t="str">
        <f aca="false">IF(OR($A2620="",$C2620="U",$S2620&lt;&gt;Calc!$F$2),"",SUMIFS($I$3:$I$3002,$E$3:$E$3002,$E2620,$C$3:$C$3002,"&lt;&gt;U",$S$3:$S$3002,Calc!$F$2))</f>
        <v/>
      </c>
      <c r="P2620" s="35" t="str">
        <f aca="false">IF(OR($A2620="",$C2620="U",$S2620&lt;&gt;Calc!$F$2),"",SUMIFS($N$3:$N$3002,$E$3:$E$3002,$E2620,$C$3:$C$3002,"&lt;&gt;U",$S$3:$S$3002,Calc!$F$2))</f>
        <v/>
      </c>
      <c r="Q2620" s="35" t="str">
        <f aca="false">IF(OR($A2620="",$C2620="U",$S2620&lt;&gt;Calc!$F$2),"",IF(COUNTIFS($E$3:$E2620,$E2620,$C$3:$C2620,"&lt;&gt;U",$S$3:$S2620,Calc!$F$2)=1,1,0))</f>
        <v/>
      </c>
      <c r="R2620" s="35" t="str">
        <f aca="false">IF($Q2620=1,$O2620-ROW()/100000,"")</f>
        <v/>
      </c>
      <c r="S2620" s="37" t="str">
        <f aca="false">IF($A2620="","",INT($A2620))</f>
        <v/>
      </c>
      <c r="T2620" s="35" t="str">
        <f aca="false">IF($A2620="","",IF(COUNTIFS($S$3:$S2620,$S2620)=1,1,0))</f>
        <v/>
      </c>
      <c r="U2620" s="37" t="str">
        <f aca="false">IF($T2620=1,$S2620,"")</f>
        <v/>
      </c>
    </row>
    <row r="2621" customFormat="false" ht="15" hidden="false" customHeight="false" outlineLevel="0" collapsed="false">
      <c r="M2621" s="35" t="str">
        <f aca="false">IF($A2621="","",HOUR($A2621))</f>
        <v/>
      </c>
      <c r="N2621" s="36" t="str">
        <f aca="false">IF($A2621="","",$I2621*$K2621)</f>
        <v/>
      </c>
      <c r="O2621" s="35" t="str">
        <f aca="false">IF(OR($A2621="",$C2621="U",$S2621&lt;&gt;Calc!$F$2),"",SUMIFS($I$3:$I$3002,$E$3:$E$3002,$E2621,$C$3:$C$3002,"&lt;&gt;U",$S$3:$S$3002,Calc!$F$2))</f>
        <v/>
      </c>
      <c r="P2621" s="35" t="str">
        <f aca="false">IF(OR($A2621="",$C2621="U",$S2621&lt;&gt;Calc!$F$2),"",SUMIFS($N$3:$N$3002,$E$3:$E$3002,$E2621,$C$3:$C$3002,"&lt;&gt;U",$S$3:$S$3002,Calc!$F$2))</f>
        <v/>
      </c>
      <c r="Q2621" s="35" t="str">
        <f aca="false">IF(OR($A2621="",$C2621="U",$S2621&lt;&gt;Calc!$F$2),"",IF(COUNTIFS($E$3:$E2621,$E2621,$C$3:$C2621,"&lt;&gt;U",$S$3:$S2621,Calc!$F$2)=1,1,0))</f>
        <v/>
      </c>
      <c r="R2621" s="35" t="str">
        <f aca="false">IF($Q2621=1,$O2621-ROW()/100000,"")</f>
        <v/>
      </c>
      <c r="S2621" s="37" t="str">
        <f aca="false">IF($A2621="","",INT($A2621))</f>
        <v/>
      </c>
      <c r="T2621" s="35" t="str">
        <f aca="false">IF($A2621="","",IF(COUNTIFS($S$3:$S2621,$S2621)=1,1,0))</f>
        <v/>
      </c>
      <c r="U2621" s="37" t="str">
        <f aca="false">IF($T2621=1,$S2621,"")</f>
        <v/>
      </c>
    </row>
    <row r="2622" customFormat="false" ht="15" hidden="false" customHeight="false" outlineLevel="0" collapsed="false">
      <c r="M2622" s="35" t="str">
        <f aca="false">IF($A2622="","",HOUR($A2622))</f>
        <v/>
      </c>
      <c r="N2622" s="36" t="str">
        <f aca="false">IF($A2622="","",$I2622*$K2622)</f>
        <v/>
      </c>
      <c r="O2622" s="35" t="str">
        <f aca="false">IF(OR($A2622="",$C2622="U",$S2622&lt;&gt;Calc!$F$2),"",SUMIFS($I$3:$I$3002,$E$3:$E$3002,$E2622,$C$3:$C$3002,"&lt;&gt;U",$S$3:$S$3002,Calc!$F$2))</f>
        <v/>
      </c>
      <c r="P2622" s="35" t="str">
        <f aca="false">IF(OR($A2622="",$C2622="U",$S2622&lt;&gt;Calc!$F$2),"",SUMIFS($N$3:$N$3002,$E$3:$E$3002,$E2622,$C$3:$C$3002,"&lt;&gt;U",$S$3:$S$3002,Calc!$F$2))</f>
        <v/>
      </c>
      <c r="Q2622" s="35" t="str">
        <f aca="false">IF(OR($A2622="",$C2622="U",$S2622&lt;&gt;Calc!$F$2),"",IF(COUNTIFS($E$3:$E2622,$E2622,$C$3:$C2622,"&lt;&gt;U",$S$3:$S2622,Calc!$F$2)=1,1,0))</f>
        <v/>
      </c>
      <c r="R2622" s="35" t="str">
        <f aca="false">IF($Q2622=1,$O2622-ROW()/100000,"")</f>
        <v/>
      </c>
      <c r="S2622" s="37" t="str">
        <f aca="false">IF($A2622="","",INT($A2622))</f>
        <v/>
      </c>
      <c r="T2622" s="35" t="str">
        <f aca="false">IF($A2622="","",IF(COUNTIFS($S$3:$S2622,$S2622)=1,1,0))</f>
        <v/>
      </c>
      <c r="U2622" s="37" t="str">
        <f aca="false">IF($T2622=1,$S2622,"")</f>
        <v/>
      </c>
    </row>
    <row r="2623" customFormat="false" ht="15" hidden="false" customHeight="false" outlineLevel="0" collapsed="false">
      <c r="M2623" s="35" t="str">
        <f aca="false">IF($A2623="","",HOUR($A2623))</f>
        <v/>
      </c>
      <c r="N2623" s="36" t="str">
        <f aca="false">IF($A2623="","",$I2623*$K2623)</f>
        <v/>
      </c>
      <c r="O2623" s="35" t="str">
        <f aca="false">IF(OR($A2623="",$C2623="U",$S2623&lt;&gt;Calc!$F$2),"",SUMIFS($I$3:$I$3002,$E$3:$E$3002,$E2623,$C$3:$C$3002,"&lt;&gt;U",$S$3:$S$3002,Calc!$F$2))</f>
        <v/>
      </c>
      <c r="P2623" s="35" t="str">
        <f aca="false">IF(OR($A2623="",$C2623="U",$S2623&lt;&gt;Calc!$F$2),"",SUMIFS($N$3:$N$3002,$E$3:$E$3002,$E2623,$C$3:$C$3002,"&lt;&gt;U",$S$3:$S$3002,Calc!$F$2))</f>
        <v/>
      </c>
      <c r="Q2623" s="35" t="str">
        <f aca="false">IF(OR($A2623="",$C2623="U",$S2623&lt;&gt;Calc!$F$2),"",IF(COUNTIFS($E$3:$E2623,$E2623,$C$3:$C2623,"&lt;&gt;U",$S$3:$S2623,Calc!$F$2)=1,1,0))</f>
        <v/>
      </c>
      <c r="R2623" s="35" t="str">
        <f aca="false">IF($Q2623=1,$O2623-ROW()/100000,"")</f>
        <v/>
      </c>
      <c r="S2623" s="37" t="str">
        <f aca="false">IF($A2623="","",INT($A2623))</f>
        <v/>
      </c>
      <c r="T2623" s="35" t="str">
        <f aca="false">IF($A2623="","",IF(COUNTIFS($S$3:$S2623,$S2623)=1,1,0))</f>
        <v/>
      </c>
      <c r="U2623" s="37" t="str">
        <f aca="false">IF($T2623=1,$S2623,"")</f>
        <v/>
      </c>
    </row>
    <row r="2624" customFormat="false" ht="15" hidden="false" customHeight="false" outlineLevel="0" collapsed="false">
      <c r="M2624" s="35" t="str">
        <f aca="false">IF($A2624="","",HOUR($A2624))</f>
        <v/>
      </c>
      <c r="N2624" s="36" t="str">
        <f aca="false">IF($A2624="","",$I2624*$K2624)</f>
        <v/>
      </c>
      <c r="O2624" s="35" t="str">
        <f aca="false">IF(OR($A2624="",$C2624="U",$S2624&lt;&gt;Calc!$F$2),"",SUMIFS($I$3:$I$3002,$E$3:$E$3002,$E2624,$C$3:$C$3002,"&lt;&gt;U",$S$3:$S$3002,Calc!$F$2))</f>
        <v/>
      </c>
      <c r="P2624" s="35" t="str">
        <f aca="false">IF(OR($A2624="",$C2624="U",$S2624&lt;&gt;Calc!$F$2),"",SUMIFS($N$3:$N$3002,$E$3:$E$3002,$E2624,$C$3:$C$3002,"&lt;&gt;U",$S$3:$S$3002,Calc!$F$2))</f>
        <v/>
      </c>
      <c r="Q2624" s="35" t="str">
        <f aca="false">IF(OR($A2624="",$C2624="U",$S2624&lt;&gt;Calc!$F$2),"",IF(COUNTIFS($E$3:$E2624,$E2624,$C$3:$C2624,"&lt;&gt;U",$S$3:$S2624,Calc!$F$2)=1,1,0))</f>
        <v/>
      </c>
      <c r="R2624" s="35" t="str">
        <f aca="false">IF($Q2624=1,$O2624-ROW()/100000,"")</f>
        <v/>
      </c>
      <c r="S2624" s="37" t="str">
        <f aca="false">IF($A2624="","",INT($A2624))</f>
        <v/>
      </c>
      <c r="T2624" s="35" t="str">
        <f aca="false">IF($A2624="","",IF(COUNTIFS($S$3:$S2624,$S2624)=1,1,0))</f>
        <v/>
      </c>
      <c r="U2624" s="37" t="str">
        <f aca="false">IF($T2624=1,$S2624,"")</f>
        <v/>
      </c>
    </row>
    <row r="2625" customFormat="false" ht="15" hidden="false" customHeight="false" outlineLevel="0" collapsed="false">
      <c r="M2625" s="35" t="str">
        <f aca="false">IF($A2625="","",HOUR($A2625))</f>
        <v/>
      </c>
      <c r="N2625" s="36" t="str">
        <f aca="false">IF($A2625="","",$I2625*$K2625)</f>
        <v/>
      </c>
      <c r="O2625" s="35" t="str">
        <f aca="false">IF(OR($A2625="",$C2625="U",$S2625&lt;&gt;Calc!$F$2),"",SUMIFS($I$3:$I$3002,$E$3:$E$3002,$E2625,$C$3:$C$3002,"&lt;&gt;U",$S$3:$S$3002,Calc!$F$2))</f>
        <v/>
      </c>
      <c r="P2625" s="35" t="str">
        <f aca="false">IF(OR($A2625="",$C2625="U",$S2625&lt;&gt;Calc!$F$2),"",SUMIFS($N$3:$N$3002,$E$3:$E$3002,$E2625,$C$3:$C$3002,"&lt;&gt;U",$S$3:$S$3002,Calc!$F$2))</f>
        <v/>
      </c>
      <c r="Q2625" s="35" t="str">
        <f aca="false">IF(OR($A2625="",$C2625="U",$S2625&lt;&gt;Calc!$F$2),"",IF(COUNTIFS($E$3:$E2625,$E2625,$C$3:$C2625,"&lt;&gt;U",$S$3:$S2625,Calc!$F$2)=1,1,0))</f>
        <v/>
      </c>
      <c r="R2625" s="35" t="str">
        <f aca="false">IF($Q2625=1,$O2625-ROW()/100000,"")</f>
        <v/>
      </c>
      <c r="S2625" s="37" t="str">
        <f aca="false">IF($A2625="","",INT($A2625))</f>
        <v/>
      </c>
      <c r="T2625" s="35" t="str">
        <f aca="false">IF($A2625="","",IF(COUNTIFS($S$3:$S2625,$S2625)=1,1,0))</f>
        <v/>
      </c>
      <c r="U2625" s="37" t="str">
        <f aca="false">IF($T2625=1,$S2625,"")</f>
        <v/>
      </c>
    </row>
    <row r="2626" customFormat="false" ht="15" hidden="false" customHeight="false" outlineLevel="0" collapsed="false">
      <c r="M2626" s="35" t="str">
        <f aca="false">IF($A2626="","",HOUR($A2626))</f>
        <v/>
      </c>
      <c r="N2626" s="36" t="str">
        <f aca="false">IF($A2626="","",$I2626*$K2626)</f>
        <v/>
      </c>
      <c r="O2626" s="35" t="str">
        <f aca="false">IF(OR($A2626="",$C2626="U",$S2626&lt;&gt;Calc!$F$2),"",SUMIFS($I$3:$I$3002,$E$3:$E$3002,$E2626,$C$3:$C$3002,"&lt;&gt;U",$S$3:$S$3002,Calc!$F$2))</f>
        <v/>
      </c>
      <c r="P2626" s="35" t="str">
        <f aca="false">IF(OR($A2626="",$C2626="U",$S2626&lt;&gt;Calc!$F$2),"",SUMIFS($N$3:$N$3002,$E$3:$E$3002,$E2626,$C$3:$C$3002,"&lt;&gt;U",$S$3:$S$3002,Calc!$F$2))</f>
        <v/>
      </c>
      <c r="Q2626" s="35" t="str">
        <f aca="false">IF(OR($A2626="",$C2626="U",$S2626&lt;&gt;Calc!$F$2),"",IF(COUNTIFS($E$3:$E2626,$E2626,$C$3:$C2626,"&lt;&gt;U",$S$3:$S2626,Calc!$F$2)=1,1,0))</f>
        <v/>
      </c>
      <c r="R2626" s="35" t="str">
        <f aca="false">IF($Q2626=1,$O2626-ROW()/100000,"")</f>
        <v/>
      </c>
      <c r="S2626" s="37" t="str">
        <f aca="false">IF($A2626="","",INT($A2626))</f>
        <v/>
      </c>
      <c r="T2626" s="35" t="str">
        <f aca="false">IF($A2626="","",IF(COUNTIFS($S$3:$S2626,$S2626)=1,1,0))</f>
        <v/>
      </c>
      <c r="U2626" s="37" t="str">
        <f aca="false">IF($T2626=1,$S2626,"")</f>
        <v/>
      </c>
    </row>
    <row r="2627" customFormat="false" ht="15" hidden="false" customHeight="false" outlineLevel="0" collapsed="false">
      <c r="M2627" s="35" t="str">
        <f aca="false">IF($A2627="","",HOUR($A2627))</f>
        <v/>
      </c>
      <c r="N2627" s="36" t="str">
        <f aca="false">IF($A2627="","",$I2627*$K2627)</f>
        <v/>
      </c>
      <c r="O2627" s="35" t="str">
        <f aca="false">IF(OR($A2627="",$C2627="U",$S2627&lt;&gt;Calc!$F$2),"",SUMIFS($I$3:$I$3002,$E$3:$E$3002,$E2627,$C$3:$C$3002,"&lt;&gt;U",$S$3:$S$3002,Calc!$F$2))</f>
        <v/>
      </c>
      <c r="P2627" s="35" t="str">
        <f aca="false">IF(OR($A2627="",$C2627="U",$S2627&lt;&gt;Calc!$F$2),"",SUMIFS($N$3:$N$3002,$E$3:$E$3002,$E2627,$C$3:$C$3002,"&lt;&gt;U",$S$3:$S$3002,Calc!$F$2))</f>
        <v/>
      </c>
      <c r="Q2627" s="35" t="str">
        <f aca="false">IF(OR($A2627="",$C2627="U",$S2627&lt;&gt;Calc!$F$2),"",IF(COUNTIFS($E$3:$E2627,$E2627,$C$3:$C2627,"&lt;&gt;U",$S$3:$S2627,Calc!$F$2)=1,1,0))</f>
        <v/>
      </c>
      <c r="R2627" s="35" t="str">
        <f aca="false">IF($Q2627=1,$O2627-ROW()/100000,"")</f>
        <v/>
      </c>
      <c r="S2627" s="37" t="str">
        <f aca="false">IF($A2627="","",INT($A2627))</f>
        <v/>
      </c>
      <c r="T2627" s="35" t="str">
        <f aca="false">IF($A2627="","",IF(COUNTIFS($S$3:$S2627,$S2627)=1,1,0))</f>
        <v/>
      </c>
      <c r="U2627" s="37" t="str">
        <f aca="false">IF($T2627=1,$S2627,"")</f>
        <v/>
      </c>
    </row>
    <row r="2628" customFormat="false" ht="15" hidden="false" customHeight="false" outlineLevel="0" collapsed="false">
      <c r="M2628" s="35" t="str">
        <f aca="false">IF($A2628="","",HOUR($A2628))</f>
        <v/>
      </c>
      <c r="N2628" s="36" t="str">
        <f aca="false">IF($A2628="","",$I2628*$K2628)</f>
        <v/>
      </c>
      <c r="O2628" s="35" t="str">
        <f aca="false">IF(OR($A2628="",$C2628="U",$S2628&lt;&gt;Calc!$F$2),"",SUMIFS($I$3:$I$3002,$E$3:$E$3002,$E2628,$C$3:$C$3002,"&lt;&gt;U",$S$3:$S$3002,Calc!$F$2))</f>
        <v/>
      </c>
      <c r="P2628" s="35" t="str">
        <f aca="false">IF(OR($A2628="",$C2628="U",$S2628&lt;&gt;Calc!$F$2),"",SUMIFS($N$3:$N$3002,$E$3:$E$3002,$E2628,$C$3:$C$3002,"&lt;&gt;U",$S$3:$S$3002,Calc!$F$2))</f>
        <v/>
      </c>
      <c r="Q2628" s="35" t="str">
        <f aca="false">IF(OR($A2628="",$C2628="U",$S2628&lt;&gt;Calc!$F$2),"",IF(COUNTIFS($E$3:$E2628,$E2628,$C$3:$C2628,"&lt;&gt;U",$S$3:$S2628,Calc!$F$2)=1,1,0))</f>
        <v/>
      </c>
      <c r="R2628" s="35" t="str">
        <f aca="false">IF($Q2628=1,$O2628-ROW()/100000,"")</f>
        <v/>
      </c>
      <c r="S2628" s="37" t="str">
        <f aca="false">IF($A2628="","",INT($A2628))</f>
        <v/>
      </c>
      <c r="T2628" s="35" t="str">
        <f aca="false">IF($A2628="","",IF(COUNTIFS($S$3:$S2628,$S2628)=1,1,0))</f>
        <v/>
      </c>
      <c r="U2628" s="37" t="str">
        <f aca="false">IF($T2628=1,$S2628,"")</f>
        <v/>
      </c>
    </row>
    <row r="2629" customFormat="false" ht="15" hidden="false" customHeight="false" outlineLevel="0" collapsed="false">
      <c r="M2629" s="35" t="str">
        <f aca="false">IF($A2629="","",HOUR($A2629))</f>
        <v/>
      </c>
      <c r="N2629" s="36" t="str">
        <f aca="false">IF($A2629="","",$I2629*$K2629)</f>
        <v/>
      </c>
      <c r="O2629" s="35" t="str">
        <f aca="false">IF(OR($A2629="",$C2629="U",$S2629&lt;&gt;Calc!$F$2),"",SUMIFS($I$3:$I$3002,$E$3:$E$3002,$E2629,$C$3:$C$3002,"&lt;&gt;U",$S$3:$S$3002,Calc!$F$2))</f>
        <v/>
      </c>
      <c r="P2629" s="35" t="str">
        <f aca="false">IF(OR($A2629="",$C2629="U",$S2629&lt;&gt;Calc!$F$2),"",SUMIFS($N$3:$N$3002,$E$3:$E$3002,$E2629,$C$3:$C$3002,"&lt;&gt;U",$S$3:$S$3002,Calc!$F$2))</f>
        <v/>
      </c>
      <c r="Q2629" s="35" t="str">
        <f aca="false">IF(OR($A2629="",$C2629="U",$S2629&lt;&gt;Calc!$F$2),"",IF(COUNTIFS($E$3:$E2629,$E2629,$C$3:$C2629,"&lt;&gt;U",$S$3:$S2629,Calc!$F$2)=1,1,0))</f>
        <v/>
      </c>
      <c r="R2629" s="35" t="str">
        <f aca="false">IF($Q2629=1,$O2629-ROW()/100000,"")</f>
        <v/>
      </c>
      <c r="S2629" s="37" t="str">
        <f aca="false">IF($A2629="","",INT($A2629))</f>
        <v/>
      </c>
      <c r="T2629" s="35" t="str">
        <f aca="false">IF($A2629="","",IF(COUNTIFS($S$3:$S2629,$S2629)=1,1,0))</f>
        <v/>
      </c>
      <c r="U2629" s="37" t="str">
        <f aca="false">IF($T2629=1,$S2629,"")</f>
        <v/>
      </c>
    </row>
    <row r="2630" customFormat="false" ht="15" hidden="false" customHeight="false" outlineLevel="0" collapsed="false">
      <c r="M2630" s="35" t="str">
        <f aca="false">IF($A2630="","",HOUR($A2630))</f>
        <v/>
      </c>
      <c r="N2630" s="36" t="str">
        <f aca="false">IF($A2630="","",$I2630*$K2630)</f>
        <v/>
      </c>
      <c r="O2630" s="35" t="str">
        <f aca="false">IF(OR($A2630="",$C2630="U",$S2630&lt;&gt;Calc!$F$2),"",SUMIFS($I$3:$I$3002,$E$3:$E$3002,$E2630,$C$3:$C$3002,"&lt;&gt;U",$S$3:$S$3002,Calc!$F$2))</f>
        <v/>
      </c>
      <c r="P2630" s="35" t="str">
        <f aca="false">IF(OR($A2630="",$C2630="U",$S2630&lt;&gt;Calc!$F$2),"",SUMIFS($N$3:$N$3002,$E$3:$E$3002,$E2630,$C$3:$C$3002,"&lt;&gt;U",$S$3:$S$3002,Calc!$F$2))</f>
        <v/>
      </c>
      <c r="Q2630" s="35" t="str">
        <f aca="false">IF(OR($A2630="",$C2630="U",$S2630&lt;&gt;Calc!$F$2),"",IF(COUNTIFS($E$3:$E2630,$E2630,$C$3:$C2630,"&lt;&gt;U",$S$3:$S2630,Calc!$F$2)=1,1,0))</f>
        <v/>
      </c>
      <c r="R2630" s="35" t="str">
        <f aca="false">IF($Q2630=1,$O2630-ROW()/100000,"")</f>
        <v/>
      </c>
      <c r="S2630" s="37" t="str">
        <f aca="false">IF($A2630="","",INT($A2630))</f>
        <v/>
      </c>
      <c r="T2630" s="35" t="str">
        <f aca="false">IF($A2630="","",IF(COUNTIFS($S$3:$S2630,$S2630)=1,1,0))</f>
        <v/>
      </c>
      <c r="U2630" s="37" t="str">
        <f aca="false">IF($T2630=1,$S2630,"")</f>
        <v/>
      </c>
    </row>
    <row r="2631" customFormat="false" ht="15" hidden="false" customHeight="false" outlineLevel="0" collapsed="false">
      <c r="M2631" s="35" t="str">
        <f aca="false">IF($A2631="","",HOUR($A2631))</f>
        <v/>
      </c>
      <c r="N2631" s="36" t="str">
        <f aca="false">IF($A2631="","",$I2631*$K2631)</f>
        <v/>
      </c>
      <c r="O2631" s="35" t="str">
        <f aca="false">IF(OR($A2631="",$C2631="U",$S2631&lt;&gt;Calc!$F$2),"",SUMIFS($I$3:$I$3002,$E$3:$E$3002,$E2631,$C$3:$C$3002,"&lt;&gt;U",$S$3:$S$3002,Calc!$F$2))</f>
        <v/>
      </c>
      <c r="P2631" s="35" t="str">
        <f aca="false">IF(OR($A2631="",$C2631="U",$S2631&lt;&gt;Calc!$F$2),"",SUMIFS($N$3:$N$3002,$E$3:$E$3002,$E2631,$C$3:$C$3002,"&lt;&gt;U",$S$3:$S$3002,Calc!$F$2))</f>
        <v/>
      </c>
      <c r="Q2631" s="35" t="str">
        <f aca="false">IF(OR($A2631="",$C2631="U",$S2631&lt;&gt;Calc!$F$2),"",IF(COUNTIFS($E$3:$E2631,$E2631,$C$3:$C2631,"&lt;&gt;U",$S$3:$S2631,Calc!$F$2)=1,1,0))</f>
        <v/>
      </c>
      <c r="R2631" s="35" t="str">
        <f aca="false">IF($Q2631=1,$O2631-ROW()/100000,"")</f>
        <v/>
      </c>
      <c r="S2631" s="37" t="str">
        <f aca="false">IF($A2631="","",INT($A2631))</f>
        <v/>
      </c>
      <c r="T2631" s="35" t="str">
        <f aca="false">IF($A2631="","",IF(COUNTIFS($S$3:$S2631,$S2631)=1,1,0))</f>
        <v/>
      </c>
      <c r="U2631" s="37" t="str">
        <f aca="false">IF($T2631=1,$S2631,"")</f>
        <v/>
      </c>
    </row>
    <row r="2632" customFormat="false" ht="15" hidden="false" customHeight="false" outlineLevel="0" collapsed="false">
      <c r="M2632" s="35" t="str">
        <f aca="false">IF($A2632="","",HOUR($A2632))</f>
        <v/>
      </c>
      <c r="N2632" s="36" t="str">
        <f aca="false">IF($A2632="","",$I2632*$K2632)</f>
        <v/>
      </c>
      <c r="O2632" s="35" t="str">
        <f aca="false">IF(OR($A2632="",$C2632="U",$S2632&lt;&gt;Calc!$F$2),"",SUMIFS($I$3:$I$3002,$E$3:$E$3002,$E2632,$C$3:$C$3002,"&lt;&gt;U",$S$3:$S$3002,Calc!$F$2))</f>
        <v/>
      </c>
      <c r="P2632" s="35" t="str">
        <f aca="false">IF(OR($A2632="",$C2632="U",$S2632&lt;&gt;Calc!$F$2),"",SUMIFS($N$3:$N$3002,$E$3:$E$3002,$E2632,$C$3:$C$3002,"&lt;&gt;U",$S$3:$S$3002,Calc!$F$2))</f>
        <v/>
      </c>
      <c r="Q2632" s="35" t="str">
        <f aca="false">IF(OR($A2632="",$C2632="U",$S2632&lt;&gt;Calc!$F$2),"",IF(COUNTIFS($E$3:$E2632,$E2632,$C$3:$C2632,"&lt;&gt;U",$S$3:$S2632,Calc!$F$2)=1,1,0))</f>
        <v/>
      </c>
      <c r="R2632" s="35" t="str">
        <f aca="false">IF($Q2632=1,$O2632-ROW()/100000,"")</f>
        <v/>
      </c>
      <c r="S2632" s="37" t="str">
        <f aca="false">IF($A2632="","",INT($A2632))</f>
        <v/>
      </c>
      <c r="T2632" s="35" t="str">
        <f aca="false">IF($A2632="","",IF(COUNTIFS($S$3:$S2632,$S2632)=1,1,0))</f>
        <v/>
      </c>
      <c r="U2632" s="37" t="str">
        <f aca="false">IF($T2632=1,$S2632,"")</f>
        <v/>
      </c>
    </row>
    <row r="2633" customFormat="false" ht="15" hidden="false" customHeight="false" outlineLevel="0" collapsed="false">
      <c r="M2633" s="35" t="str">
        <f aca="false">IF($A2633="","",HOUR($A2633))</f>
        <v/>
      </c>
      <c r="N2633" s="36" t="str">
        <f aca="false">IF($A2633="","",$I2633*$K2633)</f>
        <v/>
      </c>
      <c r="O2633" s="35" t="str">
        <f aca="false">IF(OR($A2633="",$C2633="U",$S2633&lt;&gt;Calc!$F$2),"",SUMIFS($I$3:$I$3002,$E$3:$E$3002,$E2633,$C$3:$C$3002,"&lt;&gt;U",$S$3:$S$3002,Calc!$F$2))</f>
        <v/>
      </c>
      <c r="P2633" s="35" t="str">
        <f aca="false">IF(OR($A2633="",$C2633="U",$S2633&lt;&gt;Calc!$F$2),"",SUMIFS($N$3:$N$3002,$E$3:$E$3002,$E2633,$C$3:$C$3002,"&lt;&gt;U",$S$3:$S$3002,Calc!$F$2))</f>
        <v/>
      </c>
      <c r="Q2633" s="35" t="str">
        <f aca="false">IF(OR($A2633="",$C2633="U",$S2633&lt;&gt;Calc!$F$2),"",IF(COUNTIFS($E$3:$E2633,$E2633,$C$3:$C2633,"&lt;&gt;U",$S$3:$S2633,Calc!$F$2)=1,1,0))</f>
        <v/>
      </c>
      <c r="R2633" s="35" t="str">
        <f aca="false">IF($Q2633=1,$O2633-ROW()/100000,"")</f>
        <v/>
      </c>
      <c r="S2633" s="37" t="str">
        <f aca="false">IF($A2633="","",INT($A2633))</f>
        <v/>
      </c>
      <c r="T2633" s="35" t="str">
        <f aca="false">IF($A2633="","",IF(COUNTIFS($S$3:$S2633,$S2633)=1,1,0))</f>
        <v/>
      </c>
      <c r="U2633" s="37" t="str">
        <f aca="false">IF($T2633=1,$S2633,"")</f>
        <v/>
      </c>
    </row>
    <row r="2634" customFormat="false" ht="15" hidden="false" customHeight="false" outlineLevel="0" collapsed="false">
      <c r="M2634" s="35" t="str">
        <f aca="false">IF($A2634="","",HOUR($A2634))</f>
        <v/>
      </c>
      <c r="N2634" s="36" t="str">
        <f aca="false">IF($A2634="","",$I2634*$K2634)</f>
        <v/>
      </c>
      <c r="O2634" s="35" t="str">
        <f aca="false">IF(OR($A2634="",$C2634="U",$S2634&lt;&gt;Calc!$F$2),"",SUMIFS($I$3:$I$3002,$E$3:$E$3002,$E2634,$C$3:$C$3002,"&lt;&gt;U",$S$3:$S$3002,Calc!$F$2))</f>
        <v/>
      </c>
      <c r="P2634" s="35" t="str">
        <f aca="false">IF(OR($A2634="",$C2634="U",$S2634&lt;&gt;Calc!$F$2),"",SUMIFS($N$3:$N$3002,$E$3:$E$3002,$E2634,$C$3:$C$3002,"&lt;&gt;U",$S$3:$S$3002,Calc!$F$2))</f>
        <v/>
      </c>
      <c r="Q2634" s="35" t="str">
        <f aca="false">IF(OR($A2634="",$C2634="U",$S2634&lt;&gt;Calc!$F$2),"",IF(COUNTIFS($E$3:$E2634,$E2634,$C$3:$C2634,"&lt;&gt;U",$S$3:$S2634,Calc!$F$2)=1,1,0))</f>
        <v/>
      </c>
      <c r="R2634" s="35" t="str">
        <f aca="false">IF($Q2634=1,$O2634-ROW()/100000,"")</f>
        <v/>
      </c>
      <c r="S2634" s="37" t="str">
        <f aca="false">IF($A2634="","",INT($A2634))</f>
        <v/>
      </c>
      <c r="T2634" s="35" t="str">
        <f aca="false">IF($A2634="","",IF(COUNTIFS($S$3:$S2634,$S2634)=1,1,0))</f>
        <v/>
      </c>
      <c r="U2634" s="37" t="str">
        <f aca="false">IF($T2634=1,$S2634,"")</f>
        <v/>
      </c>
    </row>
    <row r="2635" customFormat="false" ht="15" hidden="false" customHeight="false" outlineLevel="0" collapsed="false">
      <c r="M2635" s="35" t="str">
        <f aca="false">IF($A2635="","",HOUR($A2635))</f>
        <v/>
      </c>
      <c r="N2635" s="36" t="str">
        <f aca="false">IF($A2635="","",$I2635*$K2635)</f>
        <v/>
      </c>
      <c r="O2635" s="35" t="str">
        <f aca="false">IF(OR($A2635="",$C2635="U",$S2635&lt;&gt;Calc!$F$2),"",SUMIFS($I$3:$I$3002,$E$3:$E$3002,$E2635,$C$3:$C$3002,"&lt;&gt;U",$S$3:$S$3002,Calc!$F$2))</f>
        <v/>
      </c>
      <c r="P2635" s="35" t="str">
        <f aca="false">IF(OR($A2635="",$C2635="U",$S2635&lt;&gt;Calc!$F$2),"",SUMIFS($N$3:$N$3002,$E$3:$E$3002,$E2635,$C$3:$C$3002,"&lt;&gt;U",$S$3:$S$3002,Calc!$F$2))</f>
        <v/>
      </c>
      <c r="Q2635" s="35" t="str">
        <f aca="false">IF(OR($A2635="",$C2635="U",$S2635&lt;&gt;Calc!$F$2),"",IF(COUNTIFS($E$3:$E2635,$E2635,$C$3:$C2635,"&lt;&gt;U",$S$3:$S2635,Calc!$F$2)=1,1,0))</f>
        <v/>
      </c>
      <c r="R2635" s="35" t="str">
        <f aca="false">IF($Q2635=1,$O2635-ROW()/100000,"")</f>
        <v/>
      </c>
      <c r="S2635" s="37" t="str">
        <f aca="false">IF($A2635="","",INT($A2635))</f>
        <v/>
      </c>
      <c r="T2635" s="35" t="str">
        <f aca="false">IF($A2635="","",IF(COUNTIFS($S$3:$S2635,$S2635)=1,1,0))</f>
        <v/>
      </c>
      <c r="U2635" s="37" t="str">
        <f aca="false">IF($T2635=1,$S2635,"")</f>
        <v/>
      </c>
    </row>
    <row r="2636" customFormat="false" ht="15" hidden="false" customHeight="false" outlineLevel="0" collapsed="false">
      <c r="M2636" s="35" t="str">
        <f aca="false">IF($A2636="","",HOUR($A2636))</f>
        <v/>
      </c>
      <c r="N2636" s="36" t="str">
        <f aca="false">IF($A2636="","",$I2636*$K2636)</f>
        <v/>
      </c>
      <c r="O2636" s="35" t="str">
        <f aca="false">IF(OR($A2636="",$C2636="U",$S2636&lt;&gt;Calc!$F$2),"",SUMIFS($I$3:$I$3002,$E$3:$E$3002,$E2636,$C$3:$C$3002,"&lt;&gt;U",$S$3:$S$3002,Calc!$F$2))</f>
        <v/>
      </c>
      <c r="P2636" s="35" t="str">
        <f aca="false">IF(OR($A2636="",$C2636="U",$S2636&lt;&gt;Calc!$F$2),"",SUMIFS($N$3:$N$3002,$E$3:$E$3002,$E2636,$C$3:$C$3002,"&lt;&gt;U",$S$3:$S$3002,Calc!$F$2))</f>
        <v/>
      </c>
      <c r="Q2636" s="35" t="str">
        <f aca="false">IF(OR($A2636="",$C2636="U",$S2636&lt;&gt;Calc!$F$2),"",IF(COUNTIFS($E$3:$E2636,$E2636,$C$3:$C2636,"&lt;&gt;U",$S$3:$S2636,Calc!$F$2)=1,1,0))</f>
        <v/>
      </c>
      <c r="R2636" s="35" t="str">
        <f aca="false">IF($Q2636=1,$O2636-ROW()/100000,"")</f>
        <v/>
      </c>
      <c r="S2636" s="37" t="str">
        <f aca="false">IF($A2636="","",INT($A2636))</f>
        <v/>
      </c>
      <c r="T2636" s="35" t="str">
        <f aca="false">IF($A2636="","",IF(COUNTIFS($S$3:$S2636,$S2636)=1,1,0))</f>
        <v/>
      </c>
      <c r="U2636" s="37" t="str">
        <f aca="false">IF($T2636=1,$S2636,"")</f>
        <v/>
      </c>
    </row>
    <row r="2637" customFormat="false" ht="15" hidden="false" customHeight="false" outlineLevel="0" collapsed="false">
      <c r="M2637" s="35" t="str">
        <f aca="false">IF($A2637="","",HOUR($A2637))</f>
        <v/>
      </c>
      <c r="N2637" s="36" t="str">
        <f aca="false">IF($A2637="","",$I2637*$K2637)</f>
        <v/>
      </c>
      <c r="O2637" s="35" t="str">
        <f aca="false">IF(OR($A2637="",$C2637="U",$S2637&lt;&gt;Calc!$F$2),"",SUMIFS($I$3:$I$3002,$E$3:$E$3002,$E2637,$C$3:$C$3002,"&lt;&gt;U",$S$3:$S$3002,Calc!$F$2))</f>
        <v/>
      </c>
      <c r="P2637" s="35" t="str">
        <f aca="false">IF(OR($A2637="",$C2637="U",$S2637&lt;&gt;Calc!$F$2),"",SUMIFS($N$3:$N$3002,$E$3:$E$3002,$E2637,$C$3:$C$3002,"&lt;&gt;U",$S$3:$S$3002,Calc!$F$2))</f>
        <v/>
      </c>
      <c r="Q2637" s="35" t="str">
        <f aca="false">IF(OR($A2637="",$C2637="U",$S2637&lt;&gt;Calc!$F$2),"",IF(COUNTIFS($E$3:$E2637,$E2637,$C$3:$C2637,"&lt;&gt;U",$S$3:$S2637,Calc!$F$2)=1,1,0))</f>
        <v/>
      </c>
      <c r="R2637" s="35" t="str">
        <f aca="false">IF($Q2637=1,$O2637-ROW()/100000,"")</f>
        <v/>
      </c>
      <c r="S2637" s="37" t="str">
        <f aca="false">IF($A2637="","",INT($A2637))</f>
        <v/>
      </c>
      <c r="T2637" s="35" t="str">
        <f aca="false">IF($A2637="","",IF(COUNTIFS($S$3:$S2637,$S2637)=1,1,0))</f>
        <v/>
      </c>
      <c r="U2637" s="37" t="str">
        <f aca="false">IF($T2637=1,$S2637,"")</f>
        <v/>
      </c>
    </row>
    <row r="2638" customFormat="false" ht="15" hidden="false" customHeight="false" outlineLevel="0" collapsed="false">
      <c r="M2638" s="35" t="str">
        <f aca="false">IF($A2638="","",HOUR($A2638))</f>
        <v/>
      </c>
      <c r="N2638" s="36" t="str">
        <f aca="false">IF($A2638="","",$I2638*$K2638)</f>
        <v/>
      </c>
      <c r="O2638" s="35" t="str">
        <f aca="false">IF(OR($A2638="",$C2638="U",$S2638&lt;&gt;Calc!$F$2),"",SUMIFS($I$3:$I$3002,$E$3:$E$3002,$E2638,$C$3:$C$3002,"&lt;&gt;U",$S$3:$S$3002,Calc!$F$2))</f>
        <v/>
      </c>
      <c r="P2638" s="35" t="str">
        <f aca="false">IF(OR($A2638="",$C2638="U",$S2638&lt;&gt;Calc!$F$2),"",SUMIFS($N$3:$N$3002,$E$3:$E$3002,$E2638,$C$3:$C$3002,"&lt;&gt;U",$S$3:$S$3002,Calc!$F$2))</f>
        <v/>
      </c>
      <c r="Q2638" s="35" t="str">
        <f aca="false">IF(OR($A2638="",$C2638="U",$S2638&lt;&gt;Calc!$F$2),"",IF(COUNTIFS($E$3:$E2638,$E2638,$C$3:$C2638,"&lt;&gt;U",$S$3:$S2638,Calc!$F$2)=1,1,0))</f>
        <v/>
      </c>
      <c r="R2638" s="35" t="str">
        <f aca="false">IF($Q2638=1,$O2638-ROW()/100000,"")</f>
        <v/>
      </c>
      <c r="S2638" s="37" t="str">
        <f aca="false">IF($A2638="","",INT($A2638))</f>
        <v/>
      </c>
      <c r="T2638" s="35" t="str">
        <f aca="false">IF($A2638="","",IF(COUNTIFS($S$3:$S2638,$S2638)=1,1,0))</f>
        <v/>
      </c>
      <c r="U2638" s="37" t="str">
        <f aca="false">IF($T2638=1,$S2638,"")</f>
        <v/>
      </c>
    </row>
    <row r="2639" customFormat="false" ht="15" hidden="false" customHeight="false" outlineLevel="0" collapsed="false">
      <c r="M2639" s="35" t="str">
        <f aca="false">IF($A2639="","",HOUR($A2639))</f>
        <v/>
      </c>
      <c r="N2639" s="36" t="str">
        <f aca="false">IF($A2639="","",$I2639*$K2639)</f>
        <v/>
      </c>
      <c r="O2639" s="35" t="str">
        <f aca="false">IF(OR($A2639="",$C2639="U",$S2639&lt;&gt;Calc!$F$2),"",SUMIFS($I$3:$I$3002,$E$3:$E$3002,$E2639,$C$3:$C$3002,"&lt;&gt;U",$S$3:$S$3002,Calc!$F$2))</f>
        <v/>
      </c>
      <c r="P2639" s="35" t="str">
        <f aca="false">IF(OR($A2639="",$C2639="U",$S2639&lt;&gt;Calc!$F$2),"",SUMIFS($N$3:$N$3002,$E$3:$E$3002,$E2639,$C$3:$C$3002,"&lt;&gt;U",$S$3:$S$3002,Calc!$F$2))</f>
        <v/>
      </c>
      <c r="Q2639" s="35" t="str">
        <f aca="false">IF(OR($A2639="",$C2639="U",$S2639&lt;&gt;Calc!$F$2),"",IF(COUNTIFS($E$3:$E2639,$E2639,$C$3:$C2639,"&lt;&gt;U",$S$3:$S2639,Calc!$F$2)=1,1,0))</f>
        <v/>
      </c>
      <c r="R2639" s="35" t="str">
        <f aca="false">IF($Q2639=1,$O2639-ROW()/100000,"")</f>
        <v/>
      </c>
      <c r="S2639" s="37" t="str">
        <f aca="false">IF($A2639="","",INT($A2639))</f>
        <v/>
      </c>
      <c r="T2639" s="35" t="str">
        <f aca="false">IF($A2639="","",IF(COUNTIFS($S$3:$S2639,$S2639)=1,1,0))</f>
        <v/>
      </c>
      <c r="U2639" s="37" t="str">
        <f aca="false">IF($T2639=1,$S2639,"")</f>
        <v/>
      </c>
    </row>
    <row r="2640" customFormat="false" ht="15" hidden="false" customHeight="false" outlineLevel="0" collapsed="false">
      <c r="M2640" s="35" t="str">
        <f aca="false">IF($A2640="","",HOUR($A2640))</f>
        <v/>
      </c>
      <c r="N2640" s="36" t="str">
        <f aca="false">IF($A2640="","",$I2640*$K2640)</f>
        <v/>
      </c>
      <c r="O2640" s="35" t="str">
        <f aca="false">IF(OR($A2640="",$C2640="U",$S2640&lt;&gt;Calc!$F$2),"",SUMIFS($I$3:$I$3002,$E$3:$E$3002,$E2640,$C$3:$C$3002,"&lt;&gt;U",$S$3:$S$3002,Calc!$F$2))</f>
        <v/>
      </c>
      <c r="P2640" s="35" t="str">
        <f aca="false">IF(OR($A2640="",$C2640="U",$S2640&lt;&gt;Calc!$F$2),"",SUMIFS($N$3:$N$3002,$E$3:$E$3002,$E2640,$C$3:$C$3002,"&lt;&gt;U",$S$3:$S$3002,Calc!$F$2))</f>
        <v/>
      </c>
      <c r="Q2640" s="35" t="str">
        <f aca="false">IF(OR($A2640="",$C2640="U",$S2640&lt;&gt;Calc!$F$2),"",IF(COUNTIFS($E$3:$E2640,$E2640,$C$3:$C2640,"&lt;&gt;U",$S$3:$S2640,Calc!$F$2)=1,1,0))</f>
        <v/>
      </c>
      <c r="R2640" s="35" t="str">
        <f aca="false">IF($Q2640=1,$O2640-ROW()/100000,"")</f>
        <v/>
      </c>
      <c r="S2640" s="37" t="str">
        <f aca="false">IF($A2640="","",INT($A2640))</f>
        <v/>
      </c>
      <c r="T2640" s="35" t="str">
        <f aca="false">IF($A2640="","",IF(COUNTIFS($S$3:$S2640,$S2640)=1,1,0))</f>
        <v/>
      </c>
      <c r="U2640" s="37" t="str">
        <f aca="false">IF($T2640=1,$S2640,"")</f>
        <v/>
      </c>
    </row>
    <row r="2641" customFormat="false" ht="15" hidden="false" customHeight="false" outlineLevel="0" collapsed="false">
      <c r="M2641" s="35" t="str">
        <f aca="false">IF($A2641="","",HOUR($A2641))</f>
        <v/>
      </c>
      <c r="N2641" s="36" t="str">
        <f aca="false">IF($A2641="","",$I2641*$K2641)</f>
        <v/>
      </c>
      <c r="O2641" s="35" t="str">
        <f aca="false">IF(OR($A2641="",$C2641="U",$S2641&lt;&gt;Calc!$F$2),"",SUMIFS($I$3:$I$3002,$E$3:$E$3002,$E2641,$C$3:$C$3002,"&lt;&gt;U",$S$3:$S$3002,Calc!$F$2))</f>
        <v/>
      </c>
      <c r="P2641" s="35" t="str">
        <f aca="false">IF(OR($A2641="",$C2641="U",$S2641&lt;&gt;Calc!$F$2),"",SUMIFS($N$3:$N$3002,$E$3:$E$3002,$E2641,$C$3:$C$3002,"&lt;&gt;U",$S$3:$S$3002,Calc!$F$2))</f>
        <v/>
      </c>
      <c r="Q2641" s="35" t="str">
        <f aca="false">IF(OR($A2641="",$C2641="U",$S2641&lt;&gt;Calc!$F$2),"",IF(COUNTIFS($E$3:$E2641,$E2641,$C$3:$C2641,"&lt;&gt;U",$S$3:$S2641,Calc!$F$2)=1,1,0))</f>
        <v/>
      </c>
      <c r="R2641" s="35" t="str">
        <f aca="false">IF($Q2641=1,$O2641-ROW()/100000,"")</f>
        <v/>
      </c>
      <c r="S2641" s="37" t="str">
        <f aca="false">IF($A2641="","",INT($A2641))</f>
        <v/>
      </c>
      <c r="T2641" s="35" t="str">
        <f aca="false">IF($A2641="","",IF(COUNTIFS($S$3:$S2641,$S2641)=1,1,0))</f>
        <v/>
      </c>
      <c r="U2641" s="37" t="str">
        <f aca="false">IF($T2641=1,$S2641,"")</f>
        <v/>
      </c>
    </row>
    <row r="2642" customFormat="false" ht="15" hidden="false" customHeight="false" outlineLevel="0" collapsed="false">
      <c r="M2642" s="35" t="str">
        <f aca="false">IF($A2642="","",HOUR($A2642))</f>
        <v/>
      </c>
      <c r="N2642" s="36" t="str">
        <f aca="false">IF($A2642="","",$I2642*$K2642)</f>
        <v/>
      </c>
      <c r="O2642" s="35" t="str">
        <f aca="false">IF(OR($A2642="",$C2642="U",$S2642&lt;&gt;Calc!$F$2),"",SUMIFS($I$3:$I$3002,$E$3:$E$3002,$E2642,$C$3:$C$3002,"&lt;&gt;U",$S$3:$S$3002,Calc!$F$2))</f>
        <v/>
      </c>
      <c r="P2642" s="35" t="str">
        <f aca="false">IF(OR($A2642="",$C2642="U",$S2642&lt;&gt;Calc!$F$2),"",SUMIFS($N$3:$N$3002,$E$3:$E$3002,$E2642,$C$3:$C$3002,"&lt;&gt;U",$S$3:$S$3002,Calc!$F$2))</f>
        <v/>
      </c>
      <c r="Q2642" s="35" t="str">
        <f aca="false">IF(OR($A2642="",$C2642="U",$S2642&lt;&gt;Calc!$F$2),"",IF(COUNTIFS($E$3:$E2642,$E2642,$C$3:$C2642,"&lt;&gt;U",$S$3:$S2642,Calc!$F$2)=1,1,0))</f>
        <v/>
      </c>
      <c r="R2642" s="35" t="str">
        <f aca="false">IF($Q2642=1,$O2642-ROW()/100000,"")</f>
        <v/>
      </c>
      <c r="S2642" s="37" t="str">
        <f aca="false">IF($A2642="","",INT($A2642))</f>
        <v/>
      </c>
      <c r="T2642" s="35" t="str">
        <f aca="false">IF($A2642="","",IF(COUNTIFS($S$3:$S2642,$S2642)=1,1,0))</f>
        <v/>
      </c>
      <c r="U2642" s="37" t="str">
        <f aca="false">IF($T2642=1,$S2642,"")</f>
        <v/>
      </c>
    </row>
    <row r="2643" customFormat="false" ht="15" hidden="false" customHeight="false" outlineLevel="0" collapsed="false">
      <c r="M2643" s="35" t="str">
        <f aca="false">IF($A2643="","",HOUR($A2643))</f>
        <v/>
      </c>
      <c r="N2643" s="36" t="str">
        <f aca="false">IF($A2643="","",$I2643*$K2643)</f>
        <v/>
      </c>
      <c r="O2643" s="35" t="str">
        <f aca="false">IF(OR($A2643="",$C2643="U",$S2643&lt;&gt;Calc!$F$2),"",SUMIFS($I$3:$I$3002,$E$3:$E$3002,$E2643,$C$3:$C$3002,"&lt;&gt;U",$S$3:$S$3002,Calc!$F$2))</f>
        <v/>
      </c>
      <c r="P2643" s="35" t="str">
        <f aca="false">IF(OR($A2643="",$C2643="U",$S2643&lt;&gt;Calc!$F$2),"",SUMIFS($N$3:$N$3002,$E$3:$E$3002,$E2643,$C$3:$C$3002,"&lt;&gt;U",$S$3:$S$3002,Calc!$F$2))</f>
        <v/>
      </c>
      <c r="Q2643" s="35" t="str">
        <f aca="false">IF(OR($A2643="",$C2643="U",$S2643&lt;&gt;Calc!$F$2),"",IF(COUNTIFS($E$3:$E2643,$E2643,$C$3:$C2643,"&lt;&gt;U",$S$3:$S2643,Calc!$F$2)=1,1,0))</f>
        <v/>
      </c>
      <c r="R2643" s="35" t="str">
        <f aca="false">IF($Q2643=1,$O2643-ROW()/100000,"")</f>
        <v/>
      </c>
      <c r="S2643" s="37" t="str">
        <f aca="false">IF($A2643="","",INT($A2643))</f>
        <v/>
      </c>
      <c r="T2643" s="35" t="str">
        <f aca="false">IF($A2643="","",IF(COUNTIFS($S$3:$S2643,$S2643)=1,1,0))</f>
        <v/>
      </c>
      <c r="U2643" s="37" t="str">
        <f aca="false">IF($T2643=1,$S2643,"")</f>
        <v/>
      </c>
    </row>
    <row r="2644" customFormat="false" ht="15" hidden="false" customHeight="false" outlineLevel="0" collapsed="false">
      <c r="M2644" s="35" t="str">
        <f aca="false">IF($A2644="","",HOUR($A2644))</f>
        <v/>
      </c>
      <c r="N2644" s="36" t="str">
        <f aca="false">IF($A2644="","",$I2644*$K2644)</f>
        <v/>
      </c>
      <c r="O2644" s="35" t="str">
        <f aca="false">IF(OR($A2644="",$C2644="U",$S2644&lt;&gt;Calc!$F$2),"",SUMIFS($I$3:$I$3002,$E$3:$E$3002,$E2644,$C$3:$C$3002,"&lt;&gt;U",$S$3:$S$3002,Calc!$F$2))</f>
        <v/>
      </c>
      <c r="P2644" s="35" t="str">
        <f aca="false">IF(OR($A2644="",$C2644="U",$S2644&lt;&gt;Calc!$F$2),"",SUMIFS($N$3:$N$3002,$E$3:$E$3002,$E2644,$C$3:$C$3002,"&lt;&gt;U",$S$3:$S$3002,Calc!$F$2))</f>
        <v/>
      </c>
      <c r="Q2644" s="35" t="str">
        <f aca="false">IF(OR($A2644="",$C2644="U",$S2644&lt;&gt;Calc!$F$2),"",IF(COUNTIFS($E$3:$E2644,$E2644,$C$3:$C2644,"&lt;&gt;U",$S$3:$S2644,Calc!$F$2)=1,1,0))</f>
        <v/>
      </c>
      <c r="R2644" s="35" t="str">
        <f aca="false">IF($Q2644=1,$O2644-ROW()/100000,"")</f>
        <v/>
      </c>
      <c r="S2644" s="37" t="str">
        <f aca="false">IF($A2644="","",INT($A2644))</f>
        <v/>
      </c>
      <c r="T2644" s="35" t="str">
        <f aca="false">IF($A2644="","",IF(COUNTIFS($S$3:$S2644,$S2644)=1,1,0))</f>
        <v/>
      </c>
      <c r="U2644" s="37" t="str">
        <f aca="false">IF($T2644=1,$S2644,"")</f>
        <v/>
      </c>
    </row>
    <row r="2645" customFormat="false" ht="15" hidden="false" customHeight="false" outlineLevel="0" collapsed="false">
      <c r="M2645" s="35" t="str">
        <f aca="false">IF($A2645="","",HOUR($A2645))</f>
        <v/>
      </c>
      <c r="N2645" s="36" t="str">
        <f aca="false">IF($A2645="","",$I2645*$K2645)</f>
        <v/>
      </c>
      <c r="O2645" s="35" t="str">
        <f aca="false">IF(OR($A2645="",$C2645="U",$S2645&lt;&gt;Calc!$F$2),"",SUMIFS($I$3:$I$3002,$E$3:$E$3002,$E2645,$C$3:$C$3002,"&lt;&gt;U",$S$3:$S$3002,Calc!$F$2))</f>
        <v/>
      </c>
      <c r="P2645" s="35" t="str">
        <f aca="false">IF(OR($A2645="",$C2645="U",$S2645&lt;&gt;Calc!$F$2),"",SUMIFS($N$3:$N$3002,$E$3:$E$3002,$E2645,$C$3:$C$3002,"&lt;&gt;U",$S$3:$S$3002,Calc!$F$2))</f>
        <v/>
      </c>
      <c r="Q2645" s="35" t="str">
        <f aca="false">IF(OR($A2645="",$C2645="U",$S2645&lt;&gt;Calc!$F$2),"",IF(COUNTIFS($E$3:$E2645,$E2645,$C$3:$C2645,"&lt;&gt;U",$S$3:$S2645,Calc!$F$2)=1,1,0))</f>
        <v/>
      </c>
      <c r="R2645" s="35" t="str">
        <f aca="false">IF($Q2645=1,$O2645-ROW()/100000,"")</f>
        <v/>
      </c>
      <c r="S2645" s="37" t="str">
        <f aca="false">IF($A2645="","",INT($A2645))</f>
        <v/>
      </c>
      <c r="T2645" s="35" t="str">
        <f aca="false">IF($A2645="","",IF(COUNTIFS($S$3:$S2645,$S2645)=1,1,0))</f>
        <v/>
      </c>
      <c r="U2645" s="37" t="str">
        <f aca="false">IF($T2645=1,$S2645,"")</f>
        <v/>
      </c>
    </row>
    <row r="2646" customFormat="false" ht="15" hidden="false" customHeight="false" outlineLevel="0" collapsed="false">
      <c r="M2646" s="35" t="str">
        <f aca="false">IF($A2646="","",HOUR($A2646))</f>
        <v/>
      </c>
      <c r="N2646" s="36" t="str">
        <f aca="false">IF($A2646="","",$I2646*$K2646)</f>
        <v/>
      </c>
      <c r="O2646" s="35" t="str">
        <f aca="false">IF(OR($A2646="",$C2646="U",$S2646&lt;&gt;Calc!$F$2),"",SUMIFS($I$3:$I$3002,$E$3:$E$3002,$E2646,$C$3:$C$3002,"&lt;&gt;U",$S$3:$S$3002,Calc!$F$2))</f>
        <v/>
      </c>
      <c r="P2646" s="35" t="str">
        <f aca="false">IF(OR($A2646="",$C2646="U",$S2646&lt;&gt;Calc!$F$2),"",SUMIFS($N$3:$N$3002,$E$3:$E$3002,$E2646,$C$3:$C$3002,"&lt;&gt;U",$S$3:$S$3002,Calc!$F$2))</f>
        <v/>
      </c>
      <c r="Q2646" s="35" t="str">
        <f aca="false">IF(OR($A2646="",$C2646="U",$S2646&lt;&gt;Calc!$F$2),"",IF(COUNTIFS($E$3:$E2646,$E2646,$C$3:$C2646,"&lt;&gt;U",$S$3:$S2646,Calc!$F$2)=1,1,0))</f>
        <v/>
      </c>
      <c r="R2646" s="35" t="str">
        <f aca="false">IF($Q2646=1,$O2646-ROW()/100000,"")</f>
        <v/>
      </c>
      <c r="S2646" s="37" t="str">
        <f aca="false">IF($A2646="","",INT($A2646))</f>
        <v/>
      </c>
      <c r="T2646" s="35" t="str">
        <f aca="false">IF($A2646="","",IF(COUNTIFS($S$3:$S2646,$S2646)=1,1,0))</f>
        <v/>
      </c>
      <c r="U2646" s="37" t="str">
        <f aca="false">IF($T2646=1,$S2646,"")</f>
        <v/>
      </c>
    </row>
    <row r="2647" customFormat="false" ht="15" hidden="false" customHeight="false" outlineLevel="0" collapsed="false">
      <c r="M2647" s="35" t="str">
        <f aca="false">IF($A2647="","",HOUR($A2647))</f>
        <v/>
      </c>
      <c r="N2647" s="36" t="str">
        <f aca="false">IF($A2647="","",$I2647*$K2647)</f>
        <v/>
      </c>
      <c r="O2647" s="35" t="str">
        <f aca="false">IF(OR($A2647="",$C2647="U",$S2647&lt;&gt;Calc!$F$2),"",SUMIFS($I$3:$I$3002,$E$3:$E$3002,$E2647,$C$3:$C$3002,"&lt;&gt;U",$S$3:$S$3002,Calc!$F$2))</f>
        <v/>
      </c>
      <c r="P2647" s="35" t="str">
        <f aca="false">IF(OR($A2647="",$C2647="U",$S2647&lt;&gt;Calc!$F$2),"",SUMIFS($N$3:$N$3002,$E$3:$E$3002,$E2647,$C$3:$C$3002,"&lt;&gt;U",$S$3:$S$3002,Calc!$F$2))</f>
        <v/>
      </c>
      <c r="Q2647" s="35" t="str">
        <f aca="false">IF(OR($A2647="",$C2647="U",$S2647&lt;&gt;Calc!$F$2),"",IF(COUNTIFS($E$3:$E2647,$E2647,$C$3:$C2647,"&lt;&gt;U",$S$3:$S2647,Calc!$F$2)=1,1,0))</f>
        <v/>
      </c>
      <c r="R2647" s="35" t="str">
        <f aca="false">IF($Q2647=1,$O2647-ROW()/100000,"")</f>
        <v/>
      </c>
      <c r="S2647" s="37" t="str">
        <f aca="false">IF($A2647="","",INT($A2647))</f>
        <v/>
      </c>
      <c r="T2647" s="35" t="str">
        <f aca="false">IF($A2647="","",IF(COUNTIFS($S$3:$S2647,$S2647)=1,1,0))</f>
        <v/>
      </c>
      <c r="U2647" s="37" t="str">
        <f aca="false">IF($T2647=1,$S2647,"")</f>
        <v/>
      </c>
    </row>
    <row r="2648" customFormat="false" ht="15" hidden="false" customHeight="false" outlineLevel="0" collapsed="false">
      <c r="M2648" s="35" t="str">
        <f aca="false">IF($A2648="","",HOUR($A2648))</f>
        <v/>
      </c>
      <c r="N2648" s="36" t="str">
        <f aca="false">IF($A2648="","",$I2648*$K2648)</f>
        <v/>
      </c>
      <c r="O2648" s="35" t="str">
        <f aca="false">IF(OR($A2648="",$C2648="U",$S2648&lt;&gt;Calc!$F$2),"",SUMIFS($I$3:$I$3002,$E$3:$E$3002,$E2648,$C$3:$C$3002,"&lt;&gt;U",$S$3:$S$3002,Calc!$F$2))</f>
        <v/>
      </c>
      <c r="P2648" s="35" t="str">
        <f aca="false">IF(OR($A2648="",$C2648="U",$S2648&lt;&gt;Calc!$F$2),"",SUMIFS($N$3:$N$3002,$E$3:$E$3002,$E2648,$C$3:$C$3002,"&lt;&gt;U",$S$3:$S$3002,Calc!$F$2))</f>
        <v/>
      </c>
      <c r="Q2648" s="35" t="str">
        <f aca="false">IF(OR($A2648="",$C2648="U",$S2648&lt;&gt;Calc!$F$2),"",IF(COUNTIFS($E$3:$E2648,$E2648,$C$3:$C2648,"&lt;&gt;U",$S$3:$S2648,Calc!$F$2)=1,1,0))</f>
        <v/>
      </c>
      <c r="R2648" s="35" t="str">
        <f aca="false">IF($Q2648=1,$O2648-ROW()/100000,"")</f>
        <v/>
      </c>
      <c r="S2648" s="37" t="str">
        <f aca="false">IF($A2648="","",INT($A2648))</f>
        <v/>
      </c>
      <c r="T2648" s="35" t="str">
        <f aca="false">IF($A2648="","",IF(COUNTIFS($S$3:$S2648,$S2648)=1,1,0))</f>
        <v/>
      </c>
      <c r="U2648" s="37" t="str">
        <f aca="false">IF($T2648=1,$S2648,"")</f>
        <v/>
      </c>
    </row>
    <row r="2649" customFormat="false" ht="15" hidden="false" customHeight="false" outlineLevel="0" collapsed="false">
      <c r="M2649" s="35" t="str">
        <f aca="false">IF($A2649="","",HOUR($A2649))</f>
        <v/>
      </c>
      <c r="N2649" s="36" t="str">
        <f aca="false">IF($A2649="","",$I2649*$K2649)</f>
        <v/>
      </c>
      <c r="O2649" s="35" t="str">
        <f aca="false">IF(OR($A2649="",$C2649="U",$S2649&lt;&gt;Calc!$F$2),"",SUMIFS($I$3:$I$3002,$E$3:$E$3002,$E2649,$C$3:$C$3002,"&lt;&gt;U",$S$3:$S$3002,Calc!$F$2))</f>
        <v/>
      </c>
      <c r="P2649" s="35" t="str">
        <f aca="false">IF(OR($A2649="",$C2649="U",$S2649&lt;&gt;Calc!$F$2),"",SUMIFS($N$3:$N$3002,$E$3:$E$3002,$E2649,$C$3:$C$3002,"&lt;&gt;U",$S$3:$S$3002,Calc!$F$2))</f>
        <v/>
      </c>
      <c r="Q2649" s="35" t="str">
        <f aca="false">IF(OR($A2649="",$C2649="U",$S2649&lt;&gt;Calc!$F$2),"",IF(COUNTIFS($E$3:$E2649,$E2649,$C$3:$C2649,"&lt;&gt;U",$S$3:$S2649,Calc!$F$2)=1,1,0))</f>
        <v/>
      </c>
      <c r="R2649" s="35" t="str">
        <f aca="false">IF($Q2649=1,$O2649-ROW()/100000,"")</f>
        <v/>
      </c>
      <c r="S2649" s="37" t="str">
        <f aca="false">IF($A2649="","",INT($A2649))</f>
        <v/>
      </c>
      <c r="T2649" s="35" t="str">
        <f aca="false">IF($A2649="","",IF(COUNTIFS($S$3:$S2649,$S2649)=1,1,0))</f>
        <v/>
      </c>
      <c r="U2649" s="37" t="str">
        <f aca="false">IF($T2649=1,$S2649,"")</f>
        <v/>
      </c>
    </row>
    <row r="2650" customFormat="false" ht="15" hidden="false" customHeight="false" outlineLevel="0" collapsed="false">
      <c r="M2650" s="35" t="str">
        <f aca="false">IF($A2650="","",HOUR($A2650))</f>
        <v/>
      </c>
      <c r="N2650" s="36" t="str">
        <f aca="false">IF($A2650="","",$I2650*$K2650)</f>
        <v/>
      </c>
      <c r="O2650" s="35" t="str">
        <f aca="false">IF(OR($A2650="",$C2650="U",$S2650&lt;&gt;Calc!$F$2),"",SUMIFS($I$3:$I$3002,$E$3:$E$3002,$E2650,$C$3:$C$3002,"&lt;&gt;U",$S$3:$S$3002,Calc!$F$2))</f>
        <v/>
      </c>
      <c r="P2650" s="35" t="str">
        <f aca="false">IF(OR($A2650="",$C2650="U",$S2650&lt;&gt;Calc!$F$2),"",SUMIFS($N$3:$N$3002,$E$3:$E$3002,$E2650,$C$3:$C$3002,"&lt;&gt;U",$S$3:$S$3002,Calc!$F$2))</f>
        <v/>
      </c>
      <c r="Q2650" s="35" t="str">
        <f aca="false">IF(OR($A2650="",$C2650="U",$S2650&lt;&gt;Calc!$F$2),"",IF(COUNTIFS($E$3:$E2650,$E2650,$C$3:$C2650,"&lt;&gt;U",$S$3:$S2650,Calc!$F$2)=1,1,0))</f>
        <v/>
      </c>
      <c r="R2650" s="35" t="str">
        <f aca="false">IF($Q2650=1,$O2650-ROW()/100000,"")</f>
        <v/>
      </c>
      <c r="S2650" s="37" t="str">
        <f aca="false">IF($A2650="","",INT($A2650))</f>
        <v/>
      </c>
      <c r="T2650" s="35" t="str">
        <f aca="false">IF($A2650="","",IF(COUNTIFS($S$3:$S2650,$S2650)=1,1,0))</f>
        <v/>
      </c>
      <c r="U2650" s="37" t="str">
        <f aca="false">IF($T2650=1,$S2650,"")</f>
        <v/>
      </c>
    </row>
    <row r="2651" customFormat="false" ht="15" hidden="false" customHeight="false" outlineLevel="0" collapsed="false">
      <c r="M2651" s="35" t="str">
        <f aca="false">IF($A2651="","",HOUR($A2651))</f>
        <v/>
      </c>
      <c r="N2651" s="36" t="str">
        <f aca="false">IF($A2651="","",$I2651*$K2651)</f>
        <v/>
      </c>
      <c r="O2651" s="35" t="str">
        <f aca="false">IF(OR($A2651="",$C2651="U",$S2651&lt;&gt;Calc!$F$2),"",SUMIFS($I$3:$I$3002,$E$3:$E$3002,$E2651,$C$3:$C$3002,"&lt;&gt;U",$S$3:$S$3002,Calc!$F$2))</f>
        <v/>
      </c>
      <c r="P2651" s="35" t="str">
        <f aca="false">IF(OR($A2651="",$C2651="U",$S2651&lt;&gt;Calc!$F$2),"",SUMIFS($N$3:$N$3002,$E$3:$E$3002,$E2651,$C$3:$C$3002,"&lt;&gt;U",$S$3:$S$3002,Calc!$F$2))</f>
        <v/>
      </c>
      <c r="Q2651" s="35" t="str">
        <f aca="false">IF(OR($A2651="",$C2651="U",$S2651&lt;&gt;Calc!$F$2),"",IF(COUNTIFS($E$3:$E2651,$E2651,$C$3:$C2651,"&lt;&gt;U",$S$3:$S2651,Calc!$F$2)=1,1,0))</f>
        <v/>
      </c>
      <c r="R2651" s="35" t="str">
        <f aca="false">IF($Q2651=1,$O2651-ROW()/100000,"")</f>
        <v/>
      </c>
      <c r="S2651" s="37" t="str">
        <f aca="false">IF($A2651="","",INT($A2651))</f>
        <v/>
      </c>
      <c r="T2651" s="35" t="str">
        <f aca="false">IF($A2651="","",IF(COUNTIFS($S$3:$S2651,$S2651)=1,1,0))</f>
        <v/>
      </c>
      <c r="U2651" s="37" t="str">
        <f aca="false">IF($T2651=1,$S2651,"")</f>
        <v/>
      </c>
    </row>
    <row r="2652" customFormat="false" ht="15" hidden="false" customHeight="false" outlineLevel="0" collapsed="false">
      <c r="M2652" s="35" t="str">
        <f aca="false">IF($A2652="","",HOUR($A2652))</f>
        <v/>
      </c>
      <c r="N2652" s="36" t="str">
        <f aca="false">IF($A2652="","",$I2652*$K2652)</f>
        <v/>
      </c>
      <c r="O2652" s="35" t="str">
        <f aca="false">IF(OR($A2652="",$C2652="U",$S2652&lt;&gt;Calc!$F$2),"",SUMIFS($I$3:$I$3002,$E$3:$E$3002,$E2652,$C$3:$C$3002,"&lt;&gt;U",$S$3:$S$3002,Calc!$F$2))</f>
        <v/>
      </c>
      <c r="P2652" s="35" t="str">
        <f aca="false">IF(OR($A2652="",$C2652="U",$S2652&lt;&gt;Calc!$F$2),"",SUMIFS($N$3:$N$3002,$E$3:$E$3002,$E2652,$C$3:$C$3002,"&lt;&gt;U",$S$3:$S$3002,Calc!$F$2))</f>
        <v/>
      </c>
      <c r="Q2652" s="35" t="str">
        <f aca="false">IF(OR($A2652="",$C2652="U",$S2652&lt;&gt;Calc!$F$2),"",IF(COUNTIFS($E$3:$E2652,$E2652,$C$3:$C2652,"&lt;&gt;U",$S$3:$S2652,Calc!$F$2)=1,1,0))</f>
        <v/>
      </c>
      <c r="R2652" s="35" t="str">
        <f aca="false">IF($Q2652=1,$O2652-ROW()/100000,"")</f>
        <v/>
      </c>
      <c r="S2652" s="37" t="str">
        <f aca="false">IF($A2652="","",INT($A2652))</f>
        <v/>
      </c>
      <c r="T2652" s="35" t="str">
        <f aca="false">IF($A2652="","",IF(COUNTIFS($S$3:$S2652,$S2652)=1,1,0))</f>
        <v/>
      </c>
      <c r="U2652" s="37" t="str">
        <f aca="false">IF($T2652=1,$S2652,"")</f>
        <v/>
      </c>
    </row>
    <row r="2653" customFormat="false" ht="15" hidden="false" customHeight="false" outlineLevel="0" collapsed="false">
      <c r="M2653" s="35" t="str">
        <f aca="false">IF($A2653="","",HOUR($A2653))</f>
        <v/>
      </c>
      <c r="N2653" s="36" t="str">
        <f aca="false">IF($A2653="","",$I2653*$K2653)</f>
        <v/>
      </c>
      <c r="O2653" s="35" t="str">
        <f aca="false">IF(OR($A2653="",$C2653="U",$S2653&lt;&gt;Calc!$F$2),"",SUMIFS($I$3:$I$3002,$E$3:$E$3002,$E2653,$C$3:$C$3002,"&lt;&gt;U",$S$3:$S$3002,Calc!$F$2))</f>
        <v/>
      </c>
      <c r="P2653" s="35" t="str">
        <f aca="false">IF(OR($A2653="",$C2653="U",$S2653&lt;&gt;Calc!$F$2),"",SUMIFS($N$3:$N$3002,$E$3:$E$3002,$E2653,$C$3:$C$3002,"&lt;&gt;U",$S$3:$S$3002,Calc!$F$2))</f>
        <v/>
      </c>
      <c r="Q2653" s="35" t="str">
        <f aca="false">IF(OR($A2653="",$C2653="U",$S2653&lt;&gt;Calc!$F$2),"",IF(COUNTIFS($E$3:$E2653,$E2653,$C$3:$C2653,"&lt;&gt;U",$S$3:$S2653,Calc!$F$2)=1,1,0))</f>
        <v/>
      </c>
      <c r="R2653" s="35" t="str">
        <f aca="false">IF($Q2653=1,$O2653-ROW()/100000,"")</f>
        <v/>
      </c>
      <c r="S2653" s="37" t="str">
        <f aca="false">IF($A2653="","",INT($A2653))</f>
        <v/>
      </c>
      <c r="T2653" s="35" t="str">
        <f aca="false">IF($A2653="","",IF(COUNTIFS($S$3:$S2653,$S2653)=1,1,0))</f>
        <v/>
      </c>
      <c r="U2653" s="37" t="str">
        <f aca="false">IF($T2653=1,$S2653,"")</f>
        <v/>
      </c>
    </row>
    <row r="2654" customFormat="false" ht="15" hidden="false" customHeight="false" outlineLevel="0" collapsed="false">
      <c r="M2654" s="35" t="str">
        <f aca="false">IF($A2654="","",HOUR($A2654))</f>
        <v/>
      </c>
      <c r="N2654" s="36" t="str">
        <f aca="false">IF($A2654="","",$I2654*$K2654)</f>
        <v/>
      </c>
      <c r="O2654" s="35" t="str">
        <f aca="false">IF(OR($A2654="",$C2654="U",$S2654&lt;&gt;Calc!$F$2),"",SUMIFS($I$3:$I$3002,$E$3:$E$3002,$E2654,$C$3:$C$3002,"&lt;&gt;U",$S$3:$S$3002,Calc!$F$2))</f>
        <v/>
      </c>
      <c r="P2654" s="35" t="str">
        <f aca="false">IF(OR($A2654="",$C2654="U",$S2654&lt;&gt;Calc!$F$2),"",SUMIFS($N$3:$N$3002,$E$3:$E$3002,$E2654,$C$3:$C$3002,"&lt;&gt;U",$S$3:$S$3002,Calc!$F$2))</f>
        <v/>
      </c>
      <c r="Q2654" s="35" t="str">
        <f aca="false">IF(OR($A2654="",$C2654="U",$S2654&lt;&gt;Calc!$F$2),"",IF(COUNTIFS($E$3:$E2654,$E2654,$C$3:$C2654,"&lt;&gt;U",$S$3:$S2654,Calc!$F$2)=1,1,0))</f>
        <v/>
      </c>
      <c r="R2654" s="35" t="str">
        <f aca="false">IF($Q2654=1,$O2654-ROW()/100000,"")</f>
        <v/>
      </c>
      <c r="S2654" s="37" t="str">
        <f aca="false">IF($A2654="","",INT($A2654))</f>
        <v/>
      </c>
      <c r="T2654" s="35" t="str">
        <f aca="false">IF($A2654="","",IF(COUNTIFS($S$3:$S2654,$S2654)=1,1,0))</f>
        <v/>
      </c>
      <c r="U2654" s="37" t="str">
        <f aca="false">IF($T2654=1,$S2654,"")</f>
        <v/>
      </c>
    </row>
    <row r="2655" customFormat="false" ht="15" hidden="false" customHeight="false" outlineLevel="0" collapsed="false">
      <c r="M2655" s="35" t="str">
        <f aca="false">IF($A2655="","",HOUR($A2655))</f>
        <v/>
      </c>
      <c r="N2655" s="36" t="str">
        <f aca="false">IF($A2655="","",$I2655*$K2655)</f>
        <v/>
      </c>
      <c r="O2655" s="35" t="str">
        <f aca="false">IF(OR($A2655="",$C2655="U",$S2655&lt;&gt;Calc!$F$2),"",SUMIFS($I$3:$I$3002,$E$3:$E$3002,$E2655,$C$3:$C$3002,"&lt;&gt;U",$S$3:$S$3002,Calc!$F$2))</f>
        <v/>
      </c>
      <c r="P2655" s="35" t="str">
        <f aca="false">IF(OR($A2655="",$C2655="U",$S2655&lt;&gt;Calc!$F$2),"",SUMIFS($N$3:$N$3002,$E$3:$E$3002,$E2655,$C$3:$C$3002,"&lt;&gt;U",$S$3:$S$3002,Calc!$F$2))</f>
        <v/>
      </c>
      <c r="Q2655" s="35" t="str">
        <f aca="false">IF(OR($A2655="",$C2655="U",$S2655&lt;&gt;Calc!$F$2),"",IF(COUNTIFS($E$3:$E2655,$E2655,$C$3:$C2655,"&lt;&gt;U",$S$3:$S2655,Calc!$F$2)=1,1,0))</f>
        <v/>
      </c>
      <c r="R2655" s="35" t="str">
        <f aca="false">IF($Q2655=1,$O2655-ROW()/100000,"")</f>
        <v/>
      </c>
      <c r="S2655" s="37" t="str">
        <f aca="false">IF($A2655="","",INT($A2655))</f>
        <v/>
      </c>
      <c r="T2655" s="35" t="str">
        <f aca="false">IF($A2655="","",IF(COUNTIFS($S$3:$S2655,$S2655)=1,1,0))</f>
        <v/>
      </c>
      <c r="U2655" s="37" t="str">
        <f aca="false">IF($T2655=1,$S2655,"")</f>
        <v/>
      </c>
    </row>
    <row r="2656" customFormat="false" ht="15" hidden="false" customHeight="false" outlineLevel="0" collapsed="false">
      <c r="M2656" s="35" t="str">
        <f aca="false">IF($A2656="","",HOUR($A2656))</f>
        <v/>
      </c>
      <c r="N2656" s="36" t="str">
        <f aca="false">IF($A2656="","",$I2656*$K2656)</f>
        <v/>
      </c>
      <c r="O2656" s="35" t="str">
        <f aca="false">IF(OR($A2656="",$C2656="U",$S2656&lt;&gt;Calc!$F$2),"",SUMIFS($I$3:$I$3002,$E$3:$E$3002,$E2656,$C$3:$C$3002,"&lt;&gt;U",$S$3:$S$3002,Calc!$F$2))</f>
        <v/>
      </c>
      <c r="P2656" s="35" t="str">
        <f aca="false">IF(OR($A2656="",$C2656="U",$S2656&lt;&gt;Calc!$F$2),"",SUMIFS($N$3:$N$3002,$E$3:$E$3002,$E2656,$C$3:$C$3002,"&lt;&gt;U",$S$3:$S$3002,Calc!$F$2))</f>
        <v/>
      </c>
      <c r="Q2656" s="35" t="str">
        <f aca="false">IF(OR($A2656="",$C2656="U",$S2656&lt;&gt;Calc!$F$2),"",IF(COUNTIFS($E$3:$E2656,$E2656,$C$3:$C2656,"&lt;&gt;U",$S$3:$S2656,Calc!$F$2)=1,1,0))</f>
        <v/>
      </c>
      <c r="R2656" s="35" t="str">
        <f aca="false">IF($Q2656=1,$O2656-ROW()/100000,"")</f>
        <v/>
      </c>
      <c r="S2656" s="37" t="str">
        <f aca="false">IF($A2656="","",INT($A2656))</f>
        <v/>
      </c>
      <c r="T2656" s="35" t="str">
        <f aca="false">IF($A2656="","",IF(COUNTIFS($S$3:$S2656,$S2656)=1,1,0))</f>
        <v/>
      </c>
      <c r="U2656" s="37" t="str">
        <f aca="false">IF($T2656=1,$S2656,"")</f>
        <v/>
      </c>
    </row>
    <row r="2657" customFormat="false" ht="15" hidden="false" customHeight="false" outlineLevel="0" collapsed="false">
      <c r="M2657" s="35" t="str">
        <f aca="false">IF($A2657="","",HOUR($A2657))</f>
        <v/>
      </c>
      <c r="N2657" s="36" t="str">
        <f aca="false">IF($A2657="","",$I2657*$K2657)</f>
        <v/>
      </c>
      <c r="O2657" s="35" t="str">
        <f aca="false">IF(OR($A2657="",$C2657="U",$S2657&lt;&gt;Calc!$F$2),"",SUMIFS($I$3:$I$3002,$E$3:$E$3002,$E2657,$C$3:$C$3002,"&lt;&gt;U",$S$3:$S$3002,Calc!$F$2))</f>
        <v/>
      </c>
      <c r="P2657" s="35" t="str">
        <f aca="false">IF(OR($A2657="",$C2657="U",$S2657&lt;&gt;Calc!$F$2),"",SUMIFS($N$3:$N$3002,$E$3:$E$3002,$E2657,$C$3:$C$3002,"&lt;&gt;U",$S$3:$S$3002,Calc!$F$2))</f>
        <v/>
      </c>
      <c r="Q2657" s="35" t="str">
        <f aca="false">IF(OR($A2657="",$C2657="U",$S2657&lt;&gt;Calc!$F$2),"",IF(COUNTIFS($E$3:$E2657,$E2657,$C$3:$C2657,"&lt;&gt;U",$S$3:$S2657,Calc!$F$2)=1,1,0))</f>
        <v/>
      </c>
      <c r="R2657" s="35" t="str">
        <f aca="false">IF($Q2657=1,$O2657-ROW()/100000,"")</f>
        <v/>
      </c>
      <c r="S2657" s="37" t="str">
        <f aca="false">IF($A2657="","",INT($A2657))</f>
        <v/>
      </c>
      <c r="T2657" s="35" t="str">
        <f aca="false">IF($A2657="","",IF(COUNTIFS($S$3:$S2657,$S2657)=1,1,0))</f>
        <v/>
      </c>
      <c r="U2657" s="37" t="str">
        <f aca="false">IF($T2657=1,$S2657,"")</f>
        <v/>
      </c>
    </row>
    <row r="2658" customFormat="false" ht="15" hidden="false" customHeight="false" outlineLevel="0" collapsed="false">
      <c r="M2658" s="35" t="str">
        <f aca="false">IF($A2658="","",HOUR($A2658))</f>
        <v/>
      </c>
      <c r="N2658" s="36" t="str">
        <f aca="false">IF($A2658="","",$I2658*$K2658)</f>
        <v/>
      </c>
      <c r="O2658" s="35" t="str">
        <f aca="false">IF(OR($A2658="",$C2658="U",$S2658&lt;&gt;Calc!$F$2),"",SUMIFS($I$3:$I$3002,$E$3:$E$3002,$E2658,$C$3:$C$3002,"&lt;&gt;U",$S$3:$S$3002,Calc!$F$2))</f>
        <v/>
      </c>
      <c r="P2658" s="35" t="str">
        <f aca="false">IF(OR($A2658="",$C2658="U",$S2658&lt;&gt;Calc!$F$2),"",SUMIFS($N$3:$N$3002,$E$3:$E$3002,$E2658,$C$3:$C$3002,"&lt;&gt;U",$S$3:$S$3002,Calc!$F$2))</f>
        <v/>
      </c>
      <c r="Q2658" s="35" t="str">
        <f aca="false">IF(OR($A2658="",$C2658="U",$S2658&lt;&gt;Calc!$F$2),"",IF(COUNTIFS($E$3:$E2658,$E2658,$C$3:$C2658,"&lt;&gt;U",$S$3:$S2658,Calc!$F$2)=1,1,0))</f>
        <v/>
      </c>
      <c r="R2658" s="35" t="str">
        <f aca="false">IF($Q2658=1,$O2658-ROW()/100000,"")</f>
        <v/>
      </c>
      <c r="S2658" s="37" t="str">
        <f aca="false">IF($A2658="","",INT($A2658))</f>
        <v/>
      </c>
      <c r="T2658" s="35" t="str">
        <f aca="false">IF($A2658="","",IF(COUNTIFS($S$3:$S2658,$S2658)=1,1,0))</f>
        <v/>
      </c>
      <c r="U2658" s="37" t="str">
        <f aca="false">IF($T2658=1,$S2658,"")</f>
        <v/>
      </c>
    </row>
    <row r="2659" customFormat="false" ht="15" hidden="false" customHeight="false" outlineLevel="0" collapsed="false">
      <c r="M2659" s="35" t="str">
        <f aca="false">IF($A2659="","",HOUR($A2659))</f>
        <v/>
      </c>
      <c r="N2659" s="36" t="str">
        <f aca="false">IF($A2659="","",$I2659*$K2659)</f>
        <v/>
      </c>
      <c r="O2659" s="35" t="str">
        <f aca="false">IF(OR($A2659="",$C2659="U",$S2659&lt;&gt;Calc!$F$2),"",SUMIFS($I$3:$I$3002,$E$3:$E$3002,$E2659,$C$3:$C$3002,"&lt;&gt;U",$S$3:$S$3002,Calc!$F$2))</f>
        <v/>
      </c>
      <c r="P2659" s="35" t="str">
        <f aca="false">IF(OR($A2659="",$C2659="U",$S2659&lt;&gt;Calc!$F$2),"",SUMIFS($N$3:$N$3002,$E$3:$E$3002,$E2659,$C$3:$C$3002,"&lt;&gt;U",$S$3:$S$3002,Calc!$F$2))</f>
        <v/>
      </c>
      <c r="Q2659" s="35" t="str">
        <f aca="false">IF(OR($A2659="",$C2659="U",$S2659&lt;&gt;Calc!$F$2),"",IF(COUNTIFS($E$3:$E2659,$E2659,$C$3:$C2659,"&lt;&gt;U",$S$3:$S2659,Calc!$F$2)=1,1,0))</f>
        <v/>
      </c>
      <c r="R2659" s="35" t="str">
        <f aca="false">IF($Q2659=1,$O2659-ROW()/100000,"")</f>
        <v/>
      </c>
      <c r="S2659" s="37" t="str">
        <f aca="false">IF($A2659="","",INT($A2659))</f>
        <v/>
      </c>
      <c r="T2659" s="35" t="str">
        <f aca="false">IF($A2659="","",IF(COUNTIFS($S$3:$S2659,$S2659)=1,1,0))</f>
        <v/>
      </c>
      <c r="U2659" s="37" t="str">
        <f aca="false">IF($T2659=1,$S2659,"")</f>
        <v/>
      </c>
    </row>
    <row r="2660" customFormat="false" ht="15" hidden="false" customHeight="false" outlineLevel="0" collapsed="false">
      <c r="M2660" s="35" t="str">
        <f aca="false">IF($A2660="","",HOUR($A2660))</f>
        <v/>
      </c>
      <c r="N2660" s="36" t="str">
        <f aca="false">IF($A2660="","",$I2660*$K2660)</f>
        <v/>
      </c>
      <c r="O2660" s="35" t="str">
        <f aca="false">IF(OR($A2660="",$C2660="U",$S2660&lt;&gt;Calc!$F$2),"",SUMIFS($I$3:$I$3002,$E$3:$E$3002,$E2660,$C$3:$C$3002,"&lt;&gt;U",$S$3:$S$3002,Calc!$F$2))</f>
        <v/>
      </c>
      <c r="P2660" s="35" t="str">
        <f aca="false">IF(OR($A2660="",$C2660="U",$S2660&lt;&gt;Calc!$F$2),"",SUMIFS($N$3:$N$3002,$E$3:$E$3002,$E2660,$C$3:$C$3002,"&lt;&gt;U",$S$3:$S$3002,Calc!$F$2))</f>
        <v/>
      </c>
      <c r="Q2660" s="35" t="str">
        <f aca="false">IF(OR($A2660="",$C2660="U",$S2660&lt;&gt;Calc!$F$2),"",IF(COUNTIFS($E$3:$E2660,$E2660,$C$3:$C2660,"&lt;&gt;U",$S$3:$S2660,Calc!$F$2)=1,1,0))</f>
        <v/>
      </c>
      <c r="R2660" s="35" t="str">
        <f aca="false">IF($Q2660=1,$O2660-ROW()/100000,"")</f>
        <v/>
      </c>
      <c r="S2660" s="37" t="str">
        <f aca="false">IF($A2660="","",INT($A2660))</f>
        <v/>
      </c>
      <c r="T2660" s="35" t="str">
        <f aca="false">IF($A2660="","",IF(COUNTIFS($S$3:$S2660,$S2660)=1,1,0))</f>
        <v/>
      </c>
      <c r="U2660" s="37" t="str">
        <f aca="false">IF($T2660=1,$S2660,"")</f>
        <v/>
      </c>
    </row>
    <row r="2661" customFormat="false" ht="15" hidden="false" customHeight="false" outlineLevel="0" collapsed="false">
      <c r="M2661" s="35" t="str">
        <f aca="false">IF($A2661="","",HOUR($A2661))</f>
        <v/>
      </c>
      <c r="N2661" s="36" t="str">
        <f aca="false">IF($A2661="","",$I2661*$K2661)</f>
        <v/>
      </c>
      <c r="O2661" s="35" t="str">
        <f aca="false">IF(OR($A2661="",$C2661="U",$S2661&lt;&gt;Calc!$F$2),"",SUMIFS($I$3:$I$3002,$E$3:$E$3002,$E2661,$C$3:$C$3002,"&lt;&gt;U",$S$3:$S$3002,Calc!$F$2))</f>
        <v/>
      </c>
      <c r="P2661" s="35" t="str">
        <f aca="false">IF(OR($A2661="",$C2661="U",$S2661&lt;&gt;Calc!$F$2),"",SUMIFS($N$3:$N$3002,$E$3:$E$3002,$E2661,$C$3:$C$3002,"&lt;&gt;U",$S$3:$S$3002,Calc!$F$2))</f>
        <v/>
      </c>
      <c r="Q2661" s="35" t="str">
        <f aca="false">IF(OR($A2661="",$C2661="U",$S2661&lt;&gt;Calc!$F$2),"",IF(COUNTIFS($E$3:$E2661,$E2661,$C$3:$C2661,"&lt;&gt;U",$S$3:$S2661,Calc!$F$2)=1,1,0))</f>
        <v/>
      </c>
      <c r="R2661" s="35" t="str">
        <f aca="false">IF($Q2661=1,$O2661-ROW()/100000,"")</f>
        <v/>
      </c>
      <c r="S2661" s="37" t="str">
        <f aca="false">IF($A2661="","",INT($A2661))</f>
        <v/>
      </c>
      <c r="T2661" s="35" t="str">
        <f aca="false">IF($A2661="","",IF(COUNTIFS($S$3:$S2661,$S2661)=1,1,0))</f>
        <v/>
      </c>
      <c r="U2661" s="37" t="str">
        <f aca="false">IF($T2661=1,$S2661,"")</f>
        <v/>
      </c>
    </row>
    <row r="2662" customFormat="false" ht="15" hidden="false" customHeight="false" outlineLevel="0" collapsed="false">
      <c r="M2662" s="35" t="str">
        <f aca="false">IF($A2662="","",HOUR($A2662))</f>
        <v/>
      </c>
      <c r="N2662" s="36" t="str">
        <f aca="false">IF($A2662="","",$I2662*$K2662)</f>
        <v/>
      </c>
      <c r="O2662" s="35" t="str">
        <f aca="false">IF(OR($A2662="",$C2662="U",$S2662&lt;&gt;Calc!$F$2),"",SUMIFS($I$3:$I$3002,$E$3:$E$3002,$E2662,$C$3:$C$3002,"&lt;&gt;U",$S$3:$S$3002,Calc!$F$2))</f>
        <v/>
      </c>
      <c r="P2662" s="35" t="str">
        <f aca="false">IF(OR($A2662="",$C2662="U",$S2662&lt;&gt;Calc!$F$2),"",SUMIFS($N$3:$N$3002,$E$3:$E$3002,$E2662,$C$3:$C$3002,"&lt;&gt;U",$S$3:$S$3002,Calc!$F$2))</f>
        <v/>
      </c>
      <c r="Q2662" s="35" t="str">
        <f aca="false">IF(OR($A2662="",$C2662="U",$S2662&lt;&gt;Calc!$F$2),"",IF(COUNTIFS($E$3:$E2662,$E2662,$C$3:$C2662,"&lt;&gt;U",$S$3:$S2662,Calc!$F$2)=1,1,0))</f>
        <v/>
      </c>
      <c r="R2662" s="35" t="str">
        <f aca="false">IF($Q2662=1,$O2662-ROW()/100000,"")</f>
        <v/>
      </c>
      <c r="S2662" s="37" t="str">
        <f aca="false">IF($A2662="","",INT($A2662))</f>
        <v/>
      </c>
      <c r="T2662" s="35" t="str">
        <f aca="false">IF($A2662="","",IF(COUNTIFS($S$3:$S2662,$S2662)=1,1,0))</f>
        <v/>
      </c>
      <c r="U2662" s="37" t="str">
        <f aca="false">IF($T2662=1,$S2662,"")</f>
        <v/>
      </c>
    </row>
    <row r="2663" customFormat="false" ht="15" hidden="false" customHeight="false" outlineLevel="0" collapsed="false">
      <c r="M2663" s="35" t="str">
        <f aca="false">IF($A2663="","",HOUR($A2663))</f>
        <v/>
      </c>
      <c r="N2663" s="36" t="str">
        <f aca="false">IF($A2663="","",$I2663*$K2663)</f>
        <v/>
      </c>
      <c r="O2663" s="35" t="str">
        <f aca="false">IF(OR($A2663="",$C2663="U",$S2663&lt;&gt;Calc!$F$2),"",SUMIFS($I$3:$I$3002,$E$3:$E$3002,$E2663,$C$3:$C$3002,"&lt;&gt;U",$S$3:$S$3002,Calc!$F$2))</f>
        <v/>
      </c>
      <c r="P2663" s="35" t="str">
        <f aca="false">IF(OR($A2663="",$C2663="U",$S2663&lt;&gt;Calc!$F$2),"",SUMIFS($N$3:$N$3002,$E$3:$E$3002,$E2663,$C$3:$C$3002,"&lt;&gt;U",$S$3:$S$3002,Calc!$F$2))</f>
        <v/>
      </c>
      <c r="Q2663" s="35" t="str">
        <f aca="false">IF(OR($A2663="",$C2663="U",$S2663&lt;&gt;Calc!$F$2),"",IF(COUNTIFS($E$3:$E2663,$E2663,$C$3:$C2663,"&lt;&gt;U",$S$3:$S2663,Calc!$F$2)=1,1,0))</f>
        <v/>
      </c>
      <c r="R2663" s="35" t="str">
        <f aca="false">IF($Q2663=1,$O2663-ROW()/100000,"")</f>
        <v/>
      </c>
      <c r="S2663" s="37" t="str">
        <f aca="false">IF($A2663="","",INT($A2663))</f>
        <v/>
      </c>
      <c r="T2663" s="35" t="str">
        <f aca="false">IF($A2663="","",IF(COUNTIFS($S$3:$S2663,$S2663)=1,1,0))</f>
        <v/>
      </c>
      <c r="U2663" s="37" t="str">
        <f aca="false">IF($T2663=1,$S2663,"")</f>
        <v/>
      </c>
    </row>
    <row r="2664" customFormat="false" ht="15" hidden="false" customHeight="false" outlineLevel="0" collapsed="false">
      <c r="M2664" s="35" t="str">
        <f aca="false">IF($A2664="","",HOUR($A2664))</f>
        <v/>
      </c>
      <c r="N2664" s="36" t="str">
        <f aca="false">IF($A2664="","",$I2664*$K2664)</f>
        <v/>
      </c>
      <c r="O2664" s="35" t="str">
        <f aca="false">IF(OR($A2664="",$C2664="U",$S2664&lt;&gt;Calc!$F$2),"",SUMIFS($I$3:$I$3002,$E$3:$E$3002,$E2664,$C$3:$C$3002,"&lt;&gt;U",$S$3:$S$3002,Calc!$F$2))</f>
        <v/>
      </c>
      <c r="P2664" s="35" t="str">
        <f aca="false">IF(OR($A2664="",$C2664="U",$S2664&lt;&gt;Calc!$F$2),"",SUMIFS($N$3:$N$3002,$E$3:$E$3002,$E2664,$C$3:$C$3002,"&lt;&gt;U",$S$3:$S$3002,Calc!$F$2))</f>
        <v/>
      </c>
      <c r="Q2664" s="35" t="str">
        <f aca="false">IF(OR($A2664="",$C2664="U",$S2664&lt;&gt;Calc!$F$2),"",IF(COUNTIFS($E$3:$E2664,$E2664,$C$3:$C2664,"&lt;&gt;U",$S$3:$S2664,Calc!$F$2)=1,1,0))</f>
        <v/>
      </c>
      <c r="R2664" s="35" t="str">
        <f aca="false">IF($Q2664=1,$O2664-ROW()/100000,"")</f>
        <v/>
      </c>
      <c r="S2664" s="37" t="str">
        <f aca="false">IF($A2664="","",INT($A2664))</f>
        <v/>
      </c>
      <c r="T2664" s="35" t="str">
        <f aca="false">IF($A2664="","",IF(COUNTIFS($S$3:$S2664,$S2664)=1,1,0))</f>
        <v/>
      </c>
      <c r="U2664" s="37" t="str">
        <f aca="false">IF($T2664=1,$S2664,"")</f>
        <v/>
      </c>
    </row>
    <row r="2665" customFormat="false" ht="15" hidden="false" customHeight="false" outlineLevel="0" collapsed="false">
      <c r="M2665" s="35" t="str">
        <f aca="false">IF($A2665="","",HOUR($A2665))</f>
        <v/>
      </c>
      <c r="N2665" s="36" t="str">
        <f aca="false">IF($A2665="","",$I2665*$K2665)</f>
        <v/>
      </c>
      <c r="O2665" s="35" t="str">
        <f aca="false">IF(OR($A2665="",$C2665="U",$S2665&lt;&gt;Calc!$F$2),"",SUMIFS($I$3:$I$3002,$E$3:$E$3002,$E2665,$C$3:$C$3002,"&lt;&gt;U",$S$3:$S$3002,Calc!$F$2))</f>
        <v/>
      </c>
      <c r="P2665" s="35" t="str">
        <f aca="false">IF(OR($A2665="",$C2665="U",$S2665&lt;&gt;Calc!$F$2),"",SUMIFS($N$3:$N$3002,$E$3:$E$3002,$E2665,$C$3:$C$3002,"&lt;&gt;U",$S$3:$S$3002,Calc!$F$2))</f>
        <v/>
      </c>
      <c r="Q2665" s="35" t="str">
        <f aca="false">IF(OR($A2665="",$C2665="U",$S2665&lt;&gt;Calc!$F$2),"",IF(COUNTIFS($E$3:$E2665,$E2665,$C$3:$C2665,"&lt;&gt;U",$S$3:$S2665,Calc!$F$2)=1,1,0))</f>
        <v/>
      </c>
      <c r="R2665" s="35" t="str">
        <f aca="false">IF($Q2665=1,$O2665-ROW()/100000,"")</f>
        <v/>
      </c>
      <c r="S2665" s="37" t="str">
        <f aca="false">IF($A2665="","",INT($A2665))</f>
        <v/>
      </c>
      <c r="T2665" s="35" t="str">
        <f aca="false">IF($A2665="","",IF(COUNTIFS($S$3:$S2665,$S2665)=1,1,0))</f>
        <v/>
      </c>
      <c r="U2665" s="37" t="str">
        <f aca="false">IF($T2665=1,$S2665,"")</f>
        <v/>
      </c>
    </row>
    <row r="2666" customFormat="false" ht="15" hidden="false" customHeight="false" outlineLevel="0" collapsed="false">
      <c r="M2666" s="35" t="str">
        <f aca="false">IF($A2666="","",HOUR($A2666))</f>
        <v/>
      </c>
      <c r="N2666" s="36" t="str">
        <f aca="false">IF($A2666="","",$I2666*$K2666)</f>
        <v/>
      </c>
      <c r="O2666" s="35" t="str">
        <f aca="false">IF(OR($A2666="",$C2666="U",$S2666&lt;&gt;Calc!$F$2),"",SUMIFS($I$3:$I$3002,$E$3:$E$3002,$E2666,$C$3:$C$3002,"&lt;&gt;U",$S$3:$S$3002,Calc!$F$2))</f>
        <v/>
      </c>
      <c r="P2666" s="35" t="str">
        <f aca="false">IF(OR($A2666="",$C2666="U",$S2666&lt;&gt;Calc!$F$2),"",SUMIFS($N$3:$N$3002,$E$3:$E$3002,$E2666,$C$3:$C$3002,"&lt;&gt;U",$S$3:$S$3002,Calc!$F$2))</f>
        <v/>
      </c>
      <c r="Q2666" s="35" t="str">
        <f aca="false">IF(OR($A2666="",$C2666="U",$S2666&lt;&gt;Calc!$F$2),"",IF(COUNTIFS($E$3:$E2666,$E2666,$C$3:$C2666,"&lt;&gt;U",$S$3:$S2666,Calc!$F$2)=1,1,0))</f>
        <v/>
      </c>
      <c r="R2666" s="35" t="str">
        <f aca="false">IF($Q2666=1,$O2666-ROW()/100000,"")</f>
        <v/>
      </c>
      <c r="S2666" s="37" t="str">
        <f aca="false">IF($A2666="","",INT($A2666))</f>
        <v/>
      </c>
      <c r="T2666" s="35" t="str">
        <f aca="false">IF($A2666="","",IF(COUNTIFS($S$3:$S2666,$S2666)=1,1,0))</f>
        <v/>
      </c>
      <c r="U2666" s="37" t="str">
        <f aca="false">IF($T2666=1,$S2666,"")</f>
        <v/>
      </c>
    </row>
    <row r="2667" customFormat="false" ht="15" hidden="false" customHeight="false" outlineLevel="0" collapsed="false">
      <c r="M2667" s="35" t="str">
        <f aca="false">IF($A2667="","",HOUR($A2667))</f>
        <v/>
      </c>
      <c r="N2667" s="36" t="str">
        <f aca="false">IF($A2667="","",$I2667*$K2667)</f>
        <v/>
      </c>
      <c r="O2667" s="35" t="str">
        <f aca="false">IF(OR($A2667="",$C2667="U",$S2667&lt;&gt;Calc!$F$2),"",SUMIFS($I$3:$I$3002,$E$3:$E$3002,$E2667,$C$3:$C$3002,"&lt;&gt;U",$S$3:$S$3002,Calc!$F$2))</f>
        <v/>
      </c>
      <c r="P2667" s="35" t="str">
        <f aca="false">IF(OR($A2667="",$C2667="U",$S2667&lt;&gt;Calc!$F$2),"",SUMIFS($N$3:$N$3002,$E$3:$E$3002,$E2667,$C$3:$C$3002,"&lt;&gt;U",$S$3:$S$3002,Calc!$F$2))</f>
        <v/>
      </c>
      <c r="Q2667" s="35" t="str">
        <f aca="false">IF(OR($A2667="",$C2667="U",$S2667&lt;&gt;Calc!$F$2),"",IF(COUNTIFS($E$3:$E2667,$E2667,$C$3:$C2667,"&lt;&gt;U",$S$3:$S2667,Calc!$F$2)=1,1,0))</f>
        <v/>
      </c>
      <c r="R2667" s="35" t="str">
        <f aca="false">IF($Q2667=1,$O2667-ROW()/100000,"")</f>
        <v/>
      </c>
      <c r="S2667" s="37" t="str">
        <f aca="false">IF($A2667="","",INT($A2667))</f>
        <v/>
      </c>
      <c r="T2667" s="35" t="str">
        <f aca="false">IF($A2667="","",IF(COUNTIFS($S$3:$S2667,$S2667)=1,1,0))</f>
        <v/>
      </c>
      <c r="U2667" s="37" t="str">
        <f aca="false">IF($T2667=1,$S2667,"")</f>
        <v/>
      </c>
    </row>
    <row r="2668" customFormat="false" ht="15" hidden="false" customHeight="false" outlineLevel="0" collapsed="false">
      <c r="M2668" s="35" t="str">
        <f aca="false">IF($A2668="","",HOUR($A2668))</f>
        <v/>
      </c>
      <c r="N2668" s="36" t="str">
        <f aca="false">IF($A2668="","",$I2668*$K2668)</f>
        <v/>
      </c>
      <c r="O2668" s="35" t="str">
        <f aca="false">IF(OR($A2668="",$C2668="U",$S2668&lt;&gt;Calc!$F$2),"",SUMIFS($I$3:$I$3002,$E$3:$E$3002,$E2668,$C$3:$C$3002,"&lt;&gt;U",$S$3:$S$3002,Calc!$F$2))</f>
        <v/>
      </c>
      <c r="P2668" s="35" t="str">
        <f aca="false">IF(OR($A2668="",$C2668="U",$S2668&lt;&gt;Calc!$F$2),"",SUMIFS($N$3:$N$3002,$E$3:$E$3002,$E2668,$C$3:$C$3002,"&lt;&gt;U",$S$3:$S$3002,Calc!$F$2))</f>
        <v/>
      </c>
      <c r="Q2668" s="35" t="str">
        <f aca="false">IF(OR($A2668="",$C2668="U",$S2668&lt;&gt;Calc!$F$2),"",IF(COUNTIFS($E$3:$E2668,$E2668,$C$3:$C2668,"&lt;&gt;U",$S$3:$S2668,Calc!$F$2)=1,1,0))</f>
        <v/>
      </c>
      <c r="R2668" s="35" t="str">
        <f aca="false">IF($Q2668=1,$O2668-ROW()/100000,"")</f>
        <v/>
      </c>
      <c r="S2668" s="37" t="str">
        <f aca="false">IF($A2668="","",INT($A2668))</f>
        <v/>
      </c>
      <c r="T2668" s="35" t="str">
        <f aca="false">IF($A2668="","",IF(COUNTIFS($S$3:$S2668,$S2668)=1,1,0))</f>
        <v/>
      </c>
      <c r="U2668" s="37" t="str">
        <f aca="false">IF($T2668=1,$S2668,"")</f>
        <v/>
      </c>
    </row>
    <row r="2669" customFormat="false" ht="15" hidden="false" customHeight="false" outlineLevel="0" collapsed="false">
      <c r="M2669" s="35" t="str">
        <f aca="false">IF($A2669="","",HOUR($A2669))</f>
        <v/>
      </c>
      <c r="N2669" s="36" t="str">
        <f aca="false">IF($A2669="","",$I2669*$K2669)</f>
        <v/>
      </c>
      <c r="O2669" s="35" t="str">
        <f aca="false">IF(OR($A2669="",$C2669="U",$S2669&lt;&gt;Calc!$F$2),"",SUMIFS($I$3:$I$3002,$E$3:$E$3002,$E2669,$C$3:$C$3002,"&lt;&gt;U",$S$3:$S$3002,Calc!$F$2))</f>
        <v/>
      </c>
      <c r="P2669" s="35" t="str">
        <f aca="false">IF(OR($A2669="",$C2669="U",$S2669&lt;&gt;Calc!$F$2),"",SUMIFS($N$3:$N$3002,$E$3:$E$3002,$E2669,$C$3:$C$3002,"&lt;&gt;U",$S$3:$S$3002,Calc!$F$2))</f>
        <v/>
      </c>
      <c r="Q2669" s="35" t="str">
        <f aca="false">IF(OR($A2669="",$C2669="U",$S2669&lt;&gt;Calc!$F$2),"",IF(COUNTIFS($E$3:$E2669,$E2669,$C$3:$C2669,"&lt;&gt;U",$S$3:$S2669,Calc!$F$2)=1,1,0))</f>
        <v/>
      </c>
      <c r="R2669" s="35" t="str">
        <f aca="false">IF($Q2669=1,$O2669-ROW()/100000,"")</f>
        <v/>
      </c>
      <c r="S2669" s="37" t="str">
        <f aca="false">IF($A2669="","",INT($A2669))</f>
        <v/>
      </c>
      <c r="T2669" s="35" t="str">
        <f aca="false">IF($A2669="","",IF(COUNTIFS($S$3:$S2669,$S2669)=1,1,0))</f>
        <v/>
      </c>
      <c r="U2669" s="37" t="str">
        <f aca="false">IF($T2669=1,$S2669,"")</f>
        <v/>
      </c>
    </row>
    <row r="2670" customFormat="false" ht="15" hidden="false" customHeight="false" outlineLevel="0" collapsed="false">
      <c r="M2670" s="35" t="str">
        <f aca="false">IF($A2670="","",HOUR($A2670))</f>
        <v/>
      </c>
      <c r="N2670" s="36" t="str">
        <f aca="false">IF($A2670="","",$I2670*$K2670)</f>
        <v/>
      </c>
      <c r="O2670" s="35" t="str">
        <f aca="false">IF(OR($A2670="",$C2670="U",$S2670&lt;&gt;Calc!$F$2),"",SUMIFS($I$3:$I$3002,$E$3:$E$3002,$E2670,$C$3:$C$3002,"&lt;&gt;U",$S$3:$S$3002,Calc!$F$2))</f>
        <v/>
      </c>
      <c r="P2670" s="35" t="str">
        <f aca="false">IF(OR($A2670="",$C2670="U",$S2670&lt;&gt;Calc!$F$2),"",SUMIFS($N$3:$N$3002,$E$3:$E$3002,$E2670,$C$3:$C$3002,"&lt;&gt;U",$S$3:$S$3002,Calc!$F$2))</f>
        <v/>
      </c>
      <c r="Q2670" s="35" t="str">
        <f aca="false">IF(OR($A2670="",$C2670="U",$S2670&lt;&gt;Calc!$F$2),"",IF(COUNTIFS($E$3:$E2670,$E2670,$C$3:$C2670,"&lt;&gt;U",$S$3:$S2670,Calc!$F$2)=1,1,0))</f>
        <v/>
      </c>
      <c r="R2670" s="35" t="str">
        <f aca="false">IF($Q2670=1,$O2670-ROW()/100000,"")</f>
        <v/>
      </c>
      <c r="S2670" s="37" t="str">
        <f aca="false">IF($A2670="","",INT($A2670))</f>
        <v/>
      </c>
      <c r="T2670" s="35" t="str">
        <f aca="false">IF($A2670="","",IF(COUNTIFS($S$3:$S2670,$S2670)=1,1,0))</f>
        <v/>
      </c>
      <c r="U2670" s="37" t="str">
        <f aca="false">IF($T2670=1,$S2670,"")</f>
        <v/>
      </c>
    </row>
    <row r="2671" customFormat="false" ht="15" hidden="false" customHeight="false" outlineLevel="0" collapsed="false">
      <c r="M2671" s="35" t="str">
        <f aca="false">IF($A2671="","",HOUR($A2671))</f>
        <v/>
      </c>
      <c r="N2671" s="36" t="str">
        <f aca="false">IF($A2671="","",$I2671*$K2671)</f>
        <v/>
      </c>
      <c r="O2671" s="35" t="str">
        <f aca="false">IF(OR($A2671="",$C2671="U",$S2671&lt;&gt;Calc!$F$2),"",SUMIFS($I$3:$I$3002,$E$3:$E$3002,$E2671,$C$3:$C$3002,"&lt;&gt;U",$S$3:$S$3002,Calc!$F$2))</f>
        <v/>
      </c>
      <c r="P2671" s="35" t="str">
        <f aca="false">IF(OR($A2671="",$C2671="U",$S2671&lt;&gt;Calc!$F$2),"",SUMIFS($N$3:$N$3002,$E$3:$E$3002,$E2671,$C$3:$C$3002,"&lt;&gt;U",$S$3:$S$3002,Calc!$F$2))</f>
        <v/>
      </c>
      <c r="Q2671" s="35" t="str">
        <f aca="false">IF(OR($A2671="",$C2671="U",$S2671&lt;&gt;Calc!$F$2),"",IF(COUNTIFS($E$3:$E2671,$E2671,$C$3:$C2671,"&lt;&gt;U",$S$3:$S2671,Calc!$F$2)=1,1,0))</f>
        <v/>
      </c>
      <c r="R2671" s="35" t="str">
        <f aca="false">IF($Q2671=1,$O2671-ROW()/100000,"")</f>
        <v/>
      </c>
      <c r="S2671" s="37" t="str">
        <f aca="false">IF($A2671="","",INT($A2671))</f>
        <v/>
      </c>
      <c r="T2671" s="35" t="str">
        <f aca="false">IF($A2671="","",IF(COUNTIFS($S$3:$S2671,$S2671)=1,1,0))</f>
        <v/>
      </c>
      <c r="U2671" s="37" t="str">
        <f aca="false">IF($T2671=1,$S2671,"")</f>
        <v/>
      </c>
    </row>
    <row r="2672" customFormat="false" ht="15" hidden="false" customHeight="false" outlineLevel="0" collapsed="false">
      <c r="M2672" s="35" t="str">
        <f aca="false">IF($A2672="","",HOUR($A2672))</f>
        <v/>
      </c>
      <c r="N2672" s="36" t="str">
        <f aca="false">IF($A2672="","",$I2672*$K2672)</f>
        <v/>
      </c>
      <c r="O2672" s="35" t="str">
        <f aca="false">IF(OR($A2672="",$C2672="U",$S2672&lt;&gt;Calc!$F$2),"",SUMIFS($I$3:$I$3002,$E$3:$E$3002,$E2672,$C$3:$C$3002,"&lt;&gt;U",$S$3:$S$3002,Calc!$F$2))</f>
        <v/>
      </c>
      <c r="P2672" s="35" t="str">
        <f aca="false">IF(OR($A2672="",$C2672="U",$S2672&lt;&gt;Calc!$F$2),"",SUMIFS($N$3:$N$3002,$E$3:$E$3002,$E2672,$C$3:$C$3002,"&lt;&gt;U",$S$3:$S$3002,Calc!$F$2))</f>
        <v/>
      </c>
      <c r="Q2672" s="35" t="str">
        <f aca="false">IF(OR($A2672="",$C2672="U",$S2672&lt;&gt;Calc!$F$2),"",IF(COUNTIFS($E$3:$E2672,$E2672,$C$3:$C2672,"&lt;&gt;U",$S$3:$S2672,Calc!$F$2)=1,1,0))</f>
        <v/>
      </c>
      <c r="R2672" s="35" t="str">
        <f aca="false">IF($Q2672=1,$O2672-ROW()/100000,"")</f>
        <v/>
      </c>
      <c r="S2672" s="37" t="str">
        <f aca="false">IF($A2672="","",INT($A2672))</f>
        <v/>
      </c>
      <c r="T2672" s="35" t="str">
        <f aca="false">IF($A2672="","",IF(COUNTIFS($S$3:$S2672,$S2672)=1,1,0))</f>
        <v/>
      </c>
      <c r="U2672" s="37" t="str">
        <f aca="false">IF($T2672=1,$S2672,"")</f>
        <v/>
      </c>
    </row>
    <row r="2673" customFormat="false" ht="15" hidden="false" customHeight="false" outlineLevel="0" collapsed="false">
      <c r="M2673" s="35" t="str">
        <f aca="false">IF($A2673="","",HOUR($A2673))</f>
        <v/>
      </c>
      <c r="N2673" s="36" t="str">
        <f aca="false">IF($A2673="","",$I2673*$K2673)</f>
        <v/>
      </c>
      <c r="O2673" s="35" t="str">
        <f aca="false">IF(OR($A2673="",$C2673="U",$S2673&lt;&gt;Calc!$F$2),"",SUMIFS($I$3:$I$3002,$E$3:$E$3002,$E2673,$C$3:$C$3002,"&lt;&gt;U",$S$3:$S$3002,Calc!$F$2))</f>
        <v/>
      </c>
      <c r="P2673" s="35" t="str">
        <f aca="false">IF(OR($A2673="",$C2673="U",$S2673&lt;&gt;Calc!$F$2),"",SUMIFS($N$3:$N$3002,$E$3:$E$3002,$E2673,$C$3:$C$3002,"&lt;&gt;U",$S$3:$S$3002,Calc!$F$2))</f>
        <v/>
      </c>
      <c r="Q2673" s="35" t="str">
        <f aca="false">IF(OR($A2673="",$C2673="U",$S2673&lt;&gt;Calc!$F$2),"",IF(COUNTIFS($E$3:$E2673,$E2673,$C$3:$C2673,"&lt;&gt;U",$S$3:$S2673,Calc!$F$2)=1,1,0))</f>
        <v/>
      </c>
      <c r="R2673" s="35" t="str">
        <f aca="false">IF($Q2673=1,$O2673-ROW()/100000,"")</f>
        <v/>
      </c>
      <c r="S2673" s="37" t="str">
        <f aca="false">IF($A2673="","",INT($A2673))</f>
        <v/>
      </c>
      <c r="T2673" s="35" t="str">
        <f aca="false">IF($A2673="","",IF(COUNTIFS($S$3:$S2673,$S2673)=1,1,0))</f>
        <v/>
      </c>
      <c r="U2673" s="37" t="str">
        <f aca="false">IF($T2673=1,$S2673,"")</f>
        <v/>
      </c>
    </row>
    <row r="2674" customFormat="false" ht="15" hidden="false" customHeight="false" outlineLevel="0" collapsed="false">
      <c r="M2674" s="35" t="str">
        <f aca="false">IF($A2674="","",HOUR($A2674))</f>
        <v/>
      </c>
      <c r="N2674" s="36" t="str">
        <f aca="false">IF($A2674="","",$I2674*$K2674)</f>
        <v/>
      </c>
      <c r="O2674" s="35" t="str">
        <f aca="false">IF(OR($A2674="",$C2674="U",$S2674&lt;&gt;Calc!$F$2),"",SUMIFS($I$3:$I$3002,$E$3:$E$3002,$E2674,$C$3:$C$3002,"&lt;&gt;U",$S$3:$S$3002,Calc!$F$2))</f>
        <v/>
      </c>
      <c r="P2674" s="35" t="str">
        <f aca="false">IF(OR($A2674="",$C2674="U",$S2674&lt;&gt;Calc!$F$2),"",SUMIFS($N$3:$N$3002,$E$3:$E$3002,$E2674,$C$3:$C$3002,"&lt;&gt;U",$S$3:$S$3002,Calc!$F$2))</f>
        <v/>
      </c>
      <c r="Q2674" s="35" t="str">
        <f aca="false">IF(OR($A2674="",$C2674="U",$S2674&lt;&gt;Calc!$F$2),"",IF(COUNTIFS($E$3:$E2674,$E2674,$C$3:$C2674,"&lt;&gt;U",$S$3:$S2674,Calc!$F$2)=1,1,0))</f>
        <v/>
      </c>
      <c r="R2674" s="35" t="str">
        <f aca="false">IF($Q2674=1,$O2674-ROW()/100000,"")</f>
        <v/>
      </c>
      <c r="S2674" s="37" t="str">
        <f aca="false">IF($A2674="","",INT($A2674))</f>
        <v/>
      </c>
      <c r="T2674" s="35" t="str">
        <f aca="false">IF($A2674="","",IF(COUNTIFS($S$3:$S2674,$S2674)=1,1,0))</f>
        <v/>
      </c>
      <c r="U2674" s="37" t="str">
        <f aca="false">IF($T2674=1,$S2674,"")</f>
        <v/>
      </c>
    </row>
    <row r="2675" customFormat="false" ht="15" hidden="false" customHeight="false" outlineLevel="0" collapsed="false">
      <c r="M2675" s="35" t="str">
        <f aca="false">IF($A2675="","",HOUR($A2675))</f>
        <v/>
      </c>
      <c r="N2675" s="36" t="str">
        <f aca="false">IF($A2675="","",$I2675*$K2675)</f>
        <v/>
      </c>
      <c r="O2675" s="35" t="str">
        <f aca="false">IF(OR($A2675="",$C2675="U",$S2675&lt;&gt;Calc!$F$2),"",SUMIFS($I$3:$I$3002,$E$3:$E$3002,$E2675,$C$3:$C$3002,"&lt;&gt;U",$S$3:$S$3002,Calc!$F$2))</f>
        <v/>
      </c>
      <c r="P2675" s="35" t="str">
        <f aca="false">IF(OR($A2675="",$C2675="U",$S2675&lt;&gt;Calc!$F$2),"",SUMIFS($N$3:$N$3002,$E$3:$E$3002,$E2675,$C$3:$C$3002,"&lt;&gt;U",$S$3:$S$3002,Calc!$F$2))</f>
        <v/>
      </c>
      <c r="Q2675" s="35" t="str">
        <f aca="false">IF(OR($A2675="",$C2675="U",$S2675&lt;&gt;Calc!$F$2),"",IF(COUNTIFS($E$3:$E2675,$E2675,$C$3:$C2675,"&lt;&gt;U",$S$3:$S2675,Calc!$F$2)=1,1,0))</f>
        <v/>
      </c>
      <c r="R2675" s="35" t="str">
        <f aca="false">IF($Q2675=1,$O2675-ROW()/100000,"")</f>
        <v/>
      </c>
      <c r="S2675" s="37" t="str">
        <f aca="false">IF($A2675="","",INT($A2675))</f>
        <v/>
      </c>
      <c r="T2675" s="35" t="str">
        <f aca="false">IF($A2675="","",IF(COUNTIFS($S$3:$S2675,$S2675)=1,1,0))</f>
        <v/>
      </c>
      <c r="U2675" s="37" t="str">
        <f aca="false">IF($T2675=1,$S2675,"")</f>
        <v/>
      </c>
    </row>
    <row r="2676" customFormat="false" ht="15" hidden="false" customHeight="false" outlineLevel="0" collapsed="false">
      <c r="M2676" s="35" t="str">
        <f aca="false">IF($A2676="","",HOUR($A2676))</f>
        <v/>
      </c>
      <c r="N2676" s="36" t="str">
        <f aca="false">IF($A2676="","",$I2676*$K2676)</f>
        <v/>
      </c>
      <c r="O2676" s="35" t="str">
        <f aca="false">IF(OR($A2676="",$C2676="U",$S2676&lt;&gt;Calc!$F$2),"",SUMIFS($I$3:$I$3002,$E$3:$E$3002,$E2676,$C$3:$C$3002,"&lt;&gt;U",$S$3:$S$3002,Calc!$F$2))</f>
        <v/>
      </c>
      <c r="P2676" s="35" t="str">
        <f aca="false">IF(OR($A2676="",$C2676="U",$S2676&lt;&gt;Calc!$F$2),"",SUMIFS($N$3:$N$3002,$E$3:$E$3002,$E2676,$C$3:$C$3002,"&lt;&gt;U",$S$3:$S$3002,Calc!$F$2))</f>
        <v/>
      </c>
      <c r="Q2676" s="35" t="str">
        <f aca="false">IF(OR($A2676="",$C2676="U",$S2676&lt;&gt;Calc!$F$2),"",IF(COUNTIFS($E$3:$E2676,$E2676,$C$3:$C2676,"&lt;&gt;U",$S$3:$S2676,Calc!$F$2)=1,1,0))</f>
        <v/>
      </c>
      <c r="R2676" s="35" t="str">
        <f aca="false">IF($Q2676=1,$O2676-ROW()/100000,"")</f>
        <v/>
      </c>
      <c r="S2676" s="37" t="str">
        <f aca="false">IF($A2676="","",INT($A2676))</f>
        <v/>
      </c>
      <c r="T2676" s="35" t="str">
        <f aca="false">IF($A2676="","",IF(COUNTIFS($S$3:$S2676,$S2676)=1,1,0))</f>
        <v/>
      </c>
      <c r="U2676" s="37" t="str">
        <f aca="false">IF($T2676=1,$S2676,"")</f>
        <v/>
      </c>
    </row>
    <row r="2677" customFormat="false" ht="15" hidden="false" customHeight="false" outlineLevel="0" collapsed="false">
      <c r="M2677" s="35" t="str">
        <f aca="false">IF($A2677="","",HOUR($A2677))</f>
        <v/>
      </c>
      <c r="N2677" s="36" t="str">
        <f aca="false">IF($A2677="","",$I2677*$K2677)</f>
        <v/>
      </c>
      <c r="O2677" s="35" t="str">
        <f aca="false">IF(OR($A2677="",$C2677="U",$S2677&lt;&gt;Calc!$F$2),"",SUMIFS($I$3:$I$3002,$E$3:$E$3002,$E2677,$C$3:$C$3002,"&lt;&gt;U",$S$3:$S$3002,Calc!$F$2))</f>
        <v/>
      </c>
      <c r="P2677" s="35" t="str">
        <f aca="false">IF(OR($A2677="",$C2677="U",$S2677&lt;&gt;Calc!$F$2),"",SUMIFS($N$3:$N$3002,$E$3:$E$3002,$E2677,$C$3:$C$3002,"&lt;&gt;U",$S$3:$S$3002,Calc!$F$2))</f>
        <v/>
      </c>
      <c r="Q2677" s="35" t="str">
        <f aca="false">IF(OR($A2677="",$C2677="U",$S2677&lt;&gt;Calc!$F$2),"",IF(COUNTIFS($E$3:$E2677,$E2677,$C$3:$C2677,"&lt;&gt;U",$S$3:$S2677,Calc!$F$2)=1,1,0))</f>
        <v/>
      </c>
      <c r="R2677" s="35" t="str">
        <f aca="false">IF($Q2677=1,$O2677-ROW()/100000,"")</f>
        <v/>
      </c>
      <c r="S2677" s="37" t="str">
        <f aca="false">IF($A2677="","",INT($A2677))</f>
        <v/>
      </c>
      <c r="T2677" s="35" t="str">
        <f aca="false">IF($A2677="","",IF(COUNTIFS($S$3:$S2677,$S2677)=1,1,0))</f>
        <v/>
      </c>
      <c r="U2677" s="37" t="str">
        <f aca="false">IF($T2677=1,$S2677,"")</f>
        <v/>
      </c>
    </row>
    <row r="2678" customFormat="false" ht="15" hidden="false" customHeight="false" outlineLevel="0" collapsed="false">
      <c r="M2678" s="35" t="str">
        <f aca="false">IF($A2678="","",HOUR($A2678))</f>
        <v/>
      </c>
      <c r="N2678" s="36" t="str">
        <f aca="false">IF($A2678="","",$I2678*$K2678)</f>
        <v/>
      </c>
      <c r="O2678" s="35" t="str">
        <f aca="false">IF(OR($A2678="",$C2678="U",$S2678&lt;&gt;Calc!$F$2),"",SUMIFS($I$3:$I$3002,$E$3:$E$3002,$E2678,$C$3:$C$3002,"&lt;&gt;U",$S$3:$S$3002,Calc!$F$2))</f>
        <v/>
      </c>
      <c r="P2678" s="35" t="str">
        <f aca="false">IF(OR($A2678="",$C2678="U",$S2678&lt;&gt;Calc!$F$2),"",SUMIFS($N$3:$N$3002,$E$3:$E$3002,$E2678,$C$3:$C$3002,"&lt;&gt;U",$S$3:$S$3002,Calc!$F$2))</f>
        <v/>
      </c>
      <c r="Q2678" s="35" t="str">
        <f aca="false">IF(OR($A2678="",$C2678="U",$S2678&lt;&gt;Calc!$F$2),"",IF(COUNTIFS($E$3:$E2678,$E2678,$C$3:$C2678,"&lt;&gt;U",$S$3:$S2678,Calc!$F$2)=1,1,0))</f>
        <v/>
      </c>
      <c r="R2678" s="35" t="str">
        <f aca="false">IF($Q2678=1,$O2678-ROW()/100000,"")</f>
        <v/>
      </c>
      <c r="S2678" s="37" t="str">
        <f aca="false">IF($A2678="","",INT($A2678))</f>
        <v/>
      </c>
      <c r="T2678" s="35" t="str">
        <f aca="false">IF($A2678="","",IF(COUNTIFS($S$3:$S2678,$S2678)=1,1,0))</f>
        <v/>
      </c>
      <c r="U2678" s="37" t="str">
        <f aca="false">IF($T2678=1,$S2678,"")</f>
        <v/>
      </c>
    </row>
    <row r="2679" customFormat="false" ht="15" hidden="false" customHeight="false" outlineLevel="0" collapsed="false">
      <c r="M2679" s="35" t="str">
        <f aca="false">IF($A2679="","",HOUR($A2679))</f>
        <v/>
      </c>
      <c r="N2679" s="36" t="str">
        <f aca="false">IF($A2679="","",$I2679*$K2679)</f>
        <v/>
      </c>
      <c r="O2679" s="35" t="str">
        <f aca="false">IF(OR($A2679="",$C2679="U",$S2679&lt;&gt;Calc!$F$2),"",SUMIFS($I$3:$I$3002,$E$3:$E$3002,$E2679,$C$3:$C$3002,"&lt;&gt;U",$S$3:$S$3002,Calc!$F$2))</f>
        <v/>
      </c>
      <c r="P2679" s="35" t="str">
        <f aca="false">IF(OR($A2679="",$C2679="U",$S2679&lt;&gt;Calc!$F$2),"",SUMIFS($N$3:$N$3002,$E$3:$E$3002,$E2679,$C$3:$C$3002,"&lt;&gt;U",$S$3:$S$3002,Calc!$F$2))</f>
        <v/>
      </c>
      <c r="Q2679" s="35" t="str">
        <f aca="false">IF(OR($A2679="",$C2679="U",$S2679&lt;&gt;Calc!$F$2),"",IF(COUNTIFS($E$3:$E2679,$E2679,$C$3:$C2679,"&lt;&gt;U",$S$3:$S2679,Calc!$F$2)=1,1,0))</f>
        <v/>
      </c>
      <c r="R2679" s="35" t="str">
        <f aca="false">IF($Q2679=1,$O2679-ROW()/100000,"")</f>
        <v/>
      </c>
      <c r="S2679" s="37" t="str">
        <f aca="false">IF($A2679="","",INT($A2679))</f>
        <v/>
      </c>
      <c r="T2679" s="35" t="str">
        <f aca="false">IF($A2679="","",IF(COUNTIFS($S$3:$S2679,$S2679)=1,1,0))</f>
        <v/>
      </c>
      <c r="U2679" s="37" t="str">
        <f aca="false">IF($T2679=1,$S2679,"")</f>
        <v/>
      </c>
    </row>
    <row r="2680" customFormat="false" ht="15" hidden="false" customHeight="false" outlineLevel="0" collapsed="false">
      <c r="M2680" s="35" t="str">
        <f aca="false">IF($A2680="","",HOUR($A2680))</f>
        <v/>
      </c>
      <c r="N2680" s="36" t="str">
        <f aca="false">IF($A2680="","",$I2680*$K2680)</f>
        <v/>
      </c>
      <c r="O2680" s="35" t="str">
        <f aca="false">IF(OR($A2680="",$C2680="U",$S2680&lt;&gt;Calc!$F$2),"",SUMIFS($I$3:$I$3002,$E$3:$E$3002,$E2680,$C$3:$C$3002,"&lt;&gt;U",$S$3:$S$3002,Calc!$F$2))</f>
        <v/>
      </c>
      <c r="P2680" s="35" t="str">
        <f aca="false">IF(OR($A2680="",$C2680="U",$S2680&lt;&gt;Calc!$F$2),"",SUMIFS($N$3:$N$3002,$E$3:$E$3002,$E2680,$C$3:$C$3002,"&lt;&gt;U",$S$3:$S$3002,Calc!$F$2))</f>
        <v/>
      </c>
      <c r="Q2680" s="35" t="str">
        <f aca="false">IF(OR($A2680="",$C2680="U",$S2680&lt;&gt;Calc!$F$2),"",IF(COUNTIFS($E$3:$E2680,$E2680,$C$3:$C2680,"&lt;&gt;U",$S$3:$S2680,Calc!$F$2)=1,1,0))</f>
        <v/>
      </c>
      <c r="R2680" s="35" t="str">
        <f aca="false">IF($Q2680=1,$O2680-ROW()/100000,"")</f>
        <v/>
      </c>
      <c r="S2680" s="37" t="str">
        <f aca="false">IF($A2680="","",INT($A2680))</f>
        <v/>
      </c>
      <c r="T2680" s="35" t="str">
        <f aca="false">IF($A2680="","",IF(COUNTIFS($S$3:$S2680,$S2680)=1,1,0))</f>
        <v/>
      </c>
      <c r="U2680" s="37" t="str">
        <f aca="false">IF($T2680=1,$S2680,"")</f>
        <v/>
      </c>
    </row>
    <row r="2681" customFormat="false" ht="15" hidden="false" customHeight="false" outlineLevel="0" collapsed="false">
      <c r="M2681" s="35" t="str">
        <f aca="false">IF($A2681="","",HOUR($A2681))</f>
        <v/>
      </c>
      <c r="N2681" s="36" t="str">
        <f aca="false">IF($A2681="","",$I2681*$K2681)</f>
        <v/>
      </c>
      <c r="O2681" s="35" t="str">
        <f aca="false">IF(OR($A2681="",$C2681="U",$S2681&lt;&gt;Calc!$F$2),"",SUMIFS($I$3:$I$3002,$E$3:$E$3002,$E2681,$C$3:$C$3002,"&lt;&gt;U",$S$3:$S$3002,Calc!$F$2))</f>
        <v/>
      </c>
      <c r="P2681" s="35" t="str">
        <f aca="false">IF(OR($A2681="",$C2681="U",$S2681&lt;&gt;Calc!$F$2),"",SUMIFS($N$3:$N$3002,$E$3:$E$3002,$E2681,$C$3:$C$3002,"&lt;&gt;U",$S$3:$S$3002,Calc!$F$2))</f>
        <v/>
      </c>
      <c r="Q2681" s="35" t="str">
        <f aca="false">IF(OR($A2681="",$C2681="U",$S2681&lt;&gt;Calc!$F$2),"",IF(COUNTIFS($E$3:$E2681,$E2681,$C$3:$C2681,"&lt;&gt;U",$S$3:$S2681,Calc!$F$2)=1,1,0))</f>
        <v/>
      </c>
      <c r="R2681" s="35" t="str">
        <f aca="false">IF($Q2681=1,$O2681-ROW()/100000,"")</f>
        <v/>
      </c>
      <c r="S2681" s="37" t="str">
        <f aca="false">IF($A2681="","",INT($A2681))</f>
        <v/>
      </c>
      <c r="T2681" s="35" t="str">
        <f aca="false">IF($A2681="","",IF(COUNTIFS($S$3:$S2681,$S2681)=1,1,0))</f>
        <v/>
      </c>
      <c r="U2681" s="37" t="str">
        <f aca="false">IF($T2681=1,$S2681,"")</f>
        <v/>
      </c>
    </row>
    <row r="2682" customFormat="false" ht="15" hidden="false" customHeight="false" outlineLevel="0" collapsed="false">
      <c r="M2682" s="35" t="str">
        <f aca="false">IF($A2682="","",HOUR($A2682))</f>
        <v/>
      </c>
      <c r="N2682" s="36" t="str">
        <f aca="false">IF($A2682="","",$I2682*$K2682)</f>
        <v/>
      </c>
      <c r="O2682" s="35" t="str">
        <f aca="false">IF(OR($A2682="",$C2682="U",$S2682&lt;&gt;Calc!$F$2),"",SUMIFS($I$3:$I$3002,$E$3:$E$3002,$E2682,$C$3:$C$3002,"&lt;&gt;U",$S$3:$S$3002,Calc!$F$2))</f>
        <v/>
      </c>
      <c r="P2682" s="35" t="str">
        <f aca="false">IF(OR($A2682="",$C2682="U",$S2682&lt;&gt;Calc!$F$2),"",SUMIFS($N$3:$N$3002,$E$3:$E$3002,$E2682,$C$3:$C$3002,"&lt;&gt;U",$S$3:$S$3002,Calc!$F$2))</f>
        <v/>
      </c>
      <c r="Q2682" s="35" t="str">
        <f aca="false">IF(OR($A2682="",$C2682="U",$S2682&lt;&gt;Calc!$F$2),"",IF(COUNTIFS($E$3:$E2682,$E2682,$C$3:$C2682,"&lt;&gt;U",$S$3:$S2682,Calc!$F$2)=1,1,0))</f>
        <v/>
      </c>
      <c r="R2682" s="35" t="str">
        <f aca="false">IF($Q2682=1,$O2682-ROW()/100000,"")</f>
        <v/>
      </c>
      <c r="S2682" s="37" t="str">
        <f aca="false">IF($A2682="","",INT($A2682))</f>
        <v/>
      </c>
      <c r="T2682" s="35" t="str">
        <f aca="false">IF($A2682="","",IF(COUNTIFS($S$3:$S2682,$S2682)=1,1,0))</f>
        <v/>
      </c>
      <c r="U2682" s="37" t="str">
        <f aca="false">IF($T2682=1,$S2682,"")</f>
        <v/>
      </c>
    </row>
    <row r="2683" customFormat="false" ht="15" hidden="false" customHeight="false" outlineLevel="0" collapsed="false">
      <c r="M2683" s="35" t="str">
        <f aca="false">IF($A2683="","",HOUR($A2683))</f>
        <v/>
      </c>
      <c r="N2683" s="36" t="str">
        <f aca="false">IF($A2683="","",$I2683*$K2683)</f>
        <v/>
      </c>
      <c r="O2683" s="35" t="str">
        <f aca="false">IF(OR($A2683="",$C2683="U",$S2683&lt;&gt;Calc!$F$2),"",SUMIFS($I$3:$I$3002,$E$3:$E$3002,$E2683,$C$3:$C$3002,"&lt;&gt;U",$S$3:$S$3002,Calc!$F$2))</f>
        <v/>
      </c>
      <c r="P2683" s="35" t="str">
        <f aca="false">IF(OR($A2683="",$C2683="U",$S2683&lt;&gt;Calc!$F$2),"",SUMIFS($N$3:$N$3002,$E$3:$E$3002,$E2683,$C$3:$C$3002,"&lt;&gt;U",$S$3:$S$3002,Calc!$F$2))</f>
        <v/>
      </c>
      <c r="Q2683" s="35" t="str">
        <f aca="false">IF(OR($A2683="",$C2683="U",$S2683&lt;&gt;Calc!$F$2),"",IF(COUNTIFS($E$3:$E2683,$E2683,$C$3:$C2683,"&lt;&gt;U",$S$3:$S2683,Calc!$F$2)=1,1,0))</f>
        <v/>
      </c>
      <c r="R2683" s="35" t="str">
        <f aca="false">IF($Q2683=1,$O2683-ROW()/100000,"")</f>
        <v/>
      </c>
      <c r="S2683" s="37" t="str">
        <f aca="false">IF($A2683="","",INT($A2683))</f>
        <v/>
      </c>
      <c r="T2683" s="35" t="str">
        <f aca="false">IF($A2683="","",IF(COUNTIFS($S$3:$S2683,$S2683)=1,1,0))</f>
        <v/>
      </c>
      <c r="U2683" s="37" t="str">
        <f aca="false">IF($T2683=1,$S2683,"")</f>
        <v/>
      </c>
    </row>
    <row r="2684" customFormat="false" ht="15" hidden="false" customHeight="false" outlineLevel="0" collapsed="false">
      <c r="M2684" s="35" t="str">
        <f aca="false">IF($A2684="","",HOUR($A2684))</f>
        <v/>
      </c>
      <c r="N2684" s="36" t="str">
        <f aca="false">IF($A2684="","",$I2684*$K2684)</f>
        <v/>
      </c>
      <c r="O2684" s="35" t="str">
        <f aca="false">IF(OR($A2684="",$C2684="U",$S2684&lt;&gt;Calc!$F$2),"",SUMIFS($I$3:$I$3002,$E$3:$E$3002,$E2684,$C$3:$C$3002,"&lt;&gt;U",$S$3:$S$3002,Calc!$F$2))</f>
        <v/>
      </c>
      <c r="P2684" s="35" t="str">
        <f aca="false">IF(OR($A2684="",$C2684="U",$S2684&lt;&gt;Calc!$F$2),"",SUMIFS($N$3:$N$3002,$E$3:$E$3002,$E2684,$C$3:$C$3002,"&lt;&gt;U",$S$3:$S$3002,Calc!$F$2))</f>
        <v/>
      </c>
      <c r="Q2684" s="35" t="str">
        <f aca="false">IF(OR($A2684="",$C2684="U",$S2684&lt;&gt;Calc!$F$2),"",IF(COUNTIFS($E$3:$E2684,$E2684,$C$3:$C2684,"&lt;&gt;U",$S$3:$S2684,Calc!$F$2)=1,1,0))</f>
        <v/>
      </c>
      <c r="R2684" s="35" t="str">
        <f aca="false">IF($Q2684=1,$O2684-ROW()/100000,"")</f>
        <v/>
      </c>
      <c r="S2684" s="37" t="str">
        <f aca="false">IF($A2684="","",INT($A2684))</f>
        <v/>
      </c>
      <c r="T2684" s="35" t="str">
        <f aca="false">IF($A2684="","",IF(COUNTIFS($S$3:$S2684,$S2684)=1,1,0))</f>
        <v/>
      </c>
      <c r="U2684" s="37" t="str">
        <f aca="false">IF($T2684=1,$S2684,"")</f>
        <v/>
      </c>
    </row>
    <row r="2685" customFormat="false" ht="15" hidden="false" customHeight="false" outlineLevel="0" collapsed="false">
      <c r="M2685" s="35" t="str">
        <f aca="false">IF($A2685="","",HOUR($A2685))</f>
        <v/>
      </c>
      <c r="N2685" s="36" t="str">
        <f aca="false">IF($A2685="","",$I2685*$K2685)</f>
        <v/>
      </c>
      <c r="O2685" s="35" t="str">
        <f aca="false">IF(OR($A2685="",$C2685="U",$S2685&lt;&gt;Calc!$F$2),"",SUMIFS($I$3:$I$3002,$E$3:$E$3002,$E2685,$C$3:$C$3002,"&lt;&gt;U",$S$3:$S$3002,Calc!$F$2))</f>
        <v/>
      </c>
      <c r="P2685" s="35" t="str">
        <f aca="false">IF(OR($A2685="",$C2685="U",$S2685&lt;&gt;Calc!$F$2),"",SUMIFS($N$3:$N$3002,$E$3:$E$3002,$E2685,$C$3:$C$3002,"&lt;&gt;U",$S$3:$S$3002,Calc!$F$2))</f>
        <v/>
      </c>
      <c r="Q2685" s="35" t="str">
        <f aca="false">IF(OR($A2685="",$C2685="U",$S2685&lt;&gt;Calc!$F$2),"",IF(COUNTIFS($E$3:$E2685,$E2685,$C$3:$C2685,"&lt;&gt;U",$S$3:$S2685,Calc!$F$2)=1,1,0))</f>
        <v/>
      </c>
      <c r="R2685" s="35" t="str">
        <f aca="false">IF($Q2685=1,$O2685-ROW()/100000,"")</f>
        <v/>
      </c>
      <c r="S2685" s="37" t="str">
        <f aca="false">IF($A2685="","",INT($A2685))</f>
        <v/>
      </c>
      <c r="T2685" s="35" t="str">
        <f aca="false">IF($A2685="","",IF(COUNTIFS($S$3:$S2685,$S2685)=1,1,0))</f>
        <v/>
      </c>
      <c r="U2685" s="37" t="str">
        <f aca="false">IF($T2685=1,$S2685,"")</f>
        <v/>
      </c>
    </row>
    <row r="2686" customFormat="false" ht="15" hidden="false" customHeight="false" outlineLevel="0" collapsed="false">
      <c r="M2686" s="35" t="str">
        <f aca="false">IF($A2686="","",HOUR($A2686))</f>
        <v/>
      </c>
      <c r="N2686" s="36" t="str">
        <f aca="false">IF($A2686="","",$I2686*$K2686)</f>
        <v/>
      </c>
      <c r="O2686" s="35" t="str">
        <f aca="false">IF(OR($A2686="",$C2686="U",$S2686&lt;&gt;Calc!$F$2),"",SUMIFS($I$3:$I$3002,$E$3:$E$3002,$E2686,$C$3:$C$3002,"&lt;&gt;U",$S$3:$S$3002,Calc!$F$2))</f>
        <v/>
      </c>
      <c r="P2686" s="35" t="str">
        <f aca="false">IF(OR($A2686="",$C2686="U",$S2686&lt;&gt;Calc!$F$2),"",SUMIFS($N$3:$N$3002,$E$3:$E$3002,$E2686,$C$3:$C$3002,"&lt;&gt;U",$S$3:$S$3002,Calc!$F$2))</f>
        <v/>
      </c>
      <c r="Q2686" s="35" t="str">
        <f aca="false">IF(OR($A2686="",$C2686="U",$S2686&lt;&gt;Calc!$F$2),"",IF(COUNTIFS($E$3:$E2686,$E2686,$C$3:$C2686,"&lt;&gt;U",$S$3:$S2686,Calc!$F$2)=1,1,0))</f>
        <v/>
      </c>
      <c r="R2686" s="35" t="str">
        <f aca="false">IF($Q2686=1,$O2686-ROW()/100000,"")</f>
        <v/>
      </c>
      <c r="S2686" s="37" t="str">
        <f aca="false">IF($A2686="","",INT($A2686))</f>
        <v/>
      </c>
      <c r="T2686" s="35" t="str">
        <f aca="false">IF($A2686="","",IF(COUNTIFS($S$3:$S2686,$S2686)=1,1,0))</f>
        <v/>
      </c>
      <c r="U2686" s="37" t="str">
        <f aca="false">IF($T2686=1,$S2686,"")</f>
        <v/>
      </c>
    </row>
    <row r="2687" customFormat="false" ht="15" hidden="false" customHeight="false" outlineLevel="0" collapsed="false">
      <c r="M2687" s="35" t="str">
        <f aca="false">IF($A2687="","",HOUR($A2687))</f>
        <v/>
      </c>
      <c r="N2687" s="36" t="str">
        <f aca="false">IF($A2687="","",$I2687*$K2687)</f>
        <v/>
      </c>
      <c r="O2687" s="35" t="str">
        <f aca="false">IF(OR($A2687="",$C2687="U",$S2687&lt;&gt;Calc!$F$2),"",SUMIFS($I$3:$I$3002,$E$3:$E$3002,$E2687,$C$3:$C$3002,"&lt;&gt;U",$S$3:$S$3002,Calc!$F$2))</f>
        <v/>
      </c>
      <c r="P2687" s="35" t="str">
        <f aca="false">IF(OR($A2687="",$C2687="U",$S2687&lt;&gt;Calc!$F$2),"",SUMIFS($N$3:$N$3002,$E$3:$E$3002,$E2687,$C$3:$C$3002,"&lt;&gt;U",$S$3:$S$3002,Calc!$F$2))</f>
        <v/>
      </c>
      <c r="Q2687" s="35" t="str">
        <f aca="false">IF(OR($A2687="",$C2687="U",$S2687&lt;&gt;Calc!$F$2),"",IF(COUNTIFS($E$3:$E2687,$E2687,$C$3:$C2687,"&lt;&gt;U",$S$3:$S2687,Calc!$F$2)=1,1,0))</f>
        <v/>
      </c>
      <c r="R2687" s="35" t="str">
        <f aca="false">IF($Q2687=1,$O2687-ROW()/100000,"")</f>
        <v/>
      </c>
      <c r="S2687" s="37" t="str">
        <f aca="false">IF($A2687="","",INT($A2687))</f>
        <v/>
      </c>
      <c r="T2687" s="35" t="str">
        <f aca="false">IF($A2687="","",IF(COUNTIFS($S$3:$S2687,$S2687)=1,1,0))</f>
        <v/>
      </c>
      <c r="U2687" s="37" t="str">
        <f aca="false">IF($T2687=1,$S2687,"")</f>
        <v/>
      </c>
    </row>
    <row r="2688" customFormat="false" ht="15" hidden="false" customHeight="false" outlineLevel="0" collapsed="false">
      <c r="M2688" s="35" t="str">
        <f aca="false">IF($A2688="","",HOUR($A2688))</f>
        <v/>
      </c>
      <c r="N2688" s="36" t="str">
        <f aca="false">IF($A2688="","",$I2688*$K2688)</f>
        <v/>
      </c>
      <c r="O2688" s="35" t="str">
        <f aca="false">IF(OR($A2688="",$C2688="U",$S2688&lt;&gt;Calc!$F$2),"",SUMIFS($I$3:$I$3002,$E$3:$E$3002,$E2688,$C$3:$C$3002,"&lt;&gt;U",$S$3:$S$3002,Calc!$F$2))</f>
        <v/>
      </c>
      <c r="P2688" s="35" t="str">
        <f aca="false">IF(OR($A2688="",$C2688="U",$S2688&lt;&gt;Calc!$F$2),"",SUMIFS($N$3:$N$3002,$E$3:$E$3002,$E2688,$C$3:$C$3002,"&lt;&gt;U",$S$3:$S$3002,Calc!$F$2))</f>
        <v/>
      </c>
      <c r="Q2688" s="35" t="str">
        <f aca="false">IF(OR($A2688="",$C2688="U",$S2688&lt;&gt;Calc!$F$2),"",IF(COUNTIFS($E$3:$E2688,$E2688,$C$3:$C2688,"&lt;&gt;U",$S$3:$S2688,Calc!$F$2)=1,1,0))</f>
        <v/>
      </c>
      <c r="R2688" s="35" t="str">
        <f aca="false">IF($Q2688=1,$O2688-ROW()/100000,"")</f>
        <v/>
      </c>
      <c r="S2688" s="37" t="str">
        <f aca="false">IF($A2688="","",INT($A2688))</f>
        <v/>
      </c>
      <c r="T2688" s="35" t="str">
        <f aca="false">IF($A2688="","",IF(COUNTIFS($S$3:$S2688,$S2688)=1,1,0))</f>
        <v/>
      </c>
      <c r="U2688" s="37" t="str">
        <f aca="false">IF($T2688=1,$S2688,"")</f>
        <v/>
      </c>
    </row>
    <row r="2689" customFormat="false" ht="15" hidden="false" customHeight="false" outlineLevel="0" collapsed="false">
      <c r="M2689" s="35" t="str">
        <f aca="false">IF($A2689="","",HOUR($A2689))</f>
        <v/>
      </c>
      <c r="N2689" s="36" t="str">
        <f aca="false">IF($A2689="","",$I2689*$K2689)</f>
        <v/>
      </c>
      <c r="O2689" s="35" t="str">
        <f aca="false">IF(OR($A2689="",$C2689="U",$S2689&lt;&gt;Calc!$F$2),"",SUMIFS($I$3:$I$3002,$E$3:$E$3002,$E2689,$C$3:$C$3002,"&lt;&gt;U",$S$3:$S$3002,Calc!$F$2))</f>
        <v/>
      </c>
      <c r="P2689" s="35" t="str">
        <f aca="false">IF(OR($A2689="",$C2689="U",$S2689&lt;&gt;Calc!$F$2),"",SUMIFS($N$3:$N$3002,$E$3:$E$3002,$E2689,$C$3:$C$3002,"&lt;&gt;U",$S$3:$S$3002,Calc!$F$2))</f>
        <v/>
      </c>
      <c r="Q2689" s="35" t="str">
        <f aca="false">IF(OR($A2689="",$C2689="U",$S2689&lt;&gt;Calc!$F$2),"",IF(COUNTIFS($E$3:$E2689,$E2689,$C$3:$C2689,"&lt;&gt;U",$S$3:$S2689,Calc!$F$2)=1,1,0))</f>
        <v/>
      </c>
      <c r="R2689" s="35" t="str">
        <f aca="false">IF($Q2689=1,$O2689-ROW()/100000,"")</f>
        <v/>
      </c>
      <c r="S2689" s="37" t="str">
        <f aca="false">IF($A2689="","",INT($A2689))</f>
        <v/>
      </c>
      <c r="T2689" s="35" t="str">
        <f aca="false">IF($A2689="","",IF(COUNTIFS($S$3:$S2689,$S2689)=1,1,0))</f>
        <v/>
      </c>
      <c r="U2689" s="37" t="str">
        <f aca="false">IF($T2689=1,$S2689,"")</f>
        <v/>
      </c>
    </row>
    <row r="2690" customFormat="false" ht="15" hidden="false" customHeight="false" outlineLevel="0" collapsed="false">
      <c r="M2690" s="35" t="str">
        <f aca="false">IF($A2690="","",HOUR($A2690))</f>
        <v/>
      </c>
      <c r="N2690" s="36" t="str">
        <f aca="false">IF($A2690="","",$I2690*$K2690)</f>
        <v/>
      </c>
      <c r="O2690" s="35" t="str">
        <f aca="false">IF(OR($A2690="",$C2690="U",$S2690&lt;&gt;Calc!$F$2),"",SUMIFS($I$3:$I$3002,$E$3:$E$3002,$E2690,$C$3:$C$3002,"&lt;&gt;U",$S$3:$S$3002,Calc!$F$2))</f>
        <v/>
      </c>
      <c r="P2690" s="35" t="str">
        <f aca="false">IF(OR($A2690="",$C2690="U",$S2690&lt;&gt;Calc!$F$2),"",SUMIFS($N$3:$N$3002,$E$3:$E$3002,$E2690,$C$3:$C$3002,"&lt;&gt;U",$S$3:$S$3002,Calc!$F$2))</f>
        <v/>
      </c>
      <c r="Q2690" s="35" t="str">
        <f aca="false">IF(OR($A2690="",$C2690="U",$S2690&lt;&gt;Calc!$F$2),"",IF(COUNTIFS($E$3:$E2690,$E2690,$C$3:$C2690,"&lt;&gt;U",$S$3:$S2690,Calc!$F$2)=1,1,0))</f>
        <v/>
      </c>
      <c r="R2690" s="35" t="str">
        <f aca="false">IF($Q2690=1,$O2690-ROW()/100000,"")</f>
        <v/>
      </c>
      <c r="S2690" s="37" t="str">
        <f aca="false">IF($A2690="","",INT($A2690))</f>
        <v/>
      </c>
      <c r="T2690" s="35" t="str">
        <f aca="false">IF($A2690="","",IF(COUNTIFS($S$3:$S2690,$S2690)=1,1,0))</f>
        <v/>
      </c>
      <c r="U2690" s="37" t="str">
        <f aca="false">IF($T2690=1,$S2690,"")</f>
        <v/>
      </c>
    </row>
    <row r="2691" customFormat="false" ht="15" hidden="false" customHeight="false" outlineLevel="0" collapsed="false">
      <c r="M2691" s="35" t="str">
        <f aca="false">IF($A2691="","",HOUR($A2691))</f>
        <v/>
      </c>
      <c r="N2691" s="36" t="str">
        <f aca="false">IF($A2691="","",$I2691*$K2691)</f>
        <v/>
      </c>
      <c r="O2691" s="35" t="str">
        <f aca="false">IF(OR($A2691="",$C2691="U",$S2691&lt;&gt;Calc!$F$2),"",SUMIFS($I$3:$I$3002,$E$3:$E$3002,$E2691,$C$3:$C$3002,"&lt;&gt;U",$S$3:$S$3002,Calc!$F$2))</f>
        <v/>
      </c>
      <c r="P2691" s="35" t="str">
        <f aca="false">IF(OR($A2691="",$C2691="U",$S2691&lt;&gt;Calc!$F$2),"",SUMIFS($N$3:$N$3002,$E$3:$E$3002,$E2691,$C$3:$C$3002,"&lt;&gt;U",$S$3:$S$3002,Calc!$F$2))</f>
        <v/>
      </c>
      <c r="Q2691" s="35" t="str">
        <f aca="false">IF(OR($A2691="",$C2691="U",$S2691&lt;&gt;Calc!$F$2),"",IF(COUNTIFS($E$3:$E2691,$E2691,$C$3:$C2691,"&lt;&gt;U",$S$3:$S2691,Calc!$F$2)=1,1,0))</f>
        <v/>
      </c>
      <c r="R2691" s="35" t="str">
        <f aca="false">IF($Q2691=1,$O2691-ROW()/100000,"")</f>
        <v/>
      </c>
      <c r="S2691" s="37" t="str">
        <f aca="false">IF($A2691="","",INT($A2691))</f>
        <v/>
      </c>
      <c r="T2691" s="35" t="str">
        <f aca="false">IF($A2691="","",IF(COUNTIFS($S$3:$S2691,$S2691)=1,1,0))</f>
        <v/>
      </c>
      <c r="U2691" s="37" t="str">
        <f aca="false">IF($T2691=1,$S2691,"")</f>
        <v/>
      </c>
    </row>
    <row r="2692" customFormat="false" ht="15" hidden="false" customHeight="false" outlineLevel="0" collapsed="false">
      <c r="M2692" s="35" t="str">
        <f aca="false">IF($A2692="","",HOUR($A2692))</f>
        <v/>
      </c>
      <c r="N2692" s="36" t="str">
        <f aca="false">IF($A2692="","",$I2692*$K2692)</f>
        <v/>
      </c>
      <c r="O2692" s="35" t="str">
        <f aca="false">IF(OR($A2692="",$C2692="U",$S2692&lt;&gt;Calc!$F$2),"",SUMIFS($I$3:$I$3002,$E$3:$E$3002,$E2692,$C$3:$C$3002,"&lt;&gt;U",$S$3:$S$3002,Calc!$F$2))</f>
        <v/>
      </c>
      <c r="P2692" s="35" t="str">
        <f aca="false">IF(OR($A2692="",$C2692="U",$S2692&lt;&gt;Calc!$F$2),"",SUMIFS($N$3:$N$3002,$E$3:$E$3002,$E2692,$C$3:$C$3002,"&lt;&gt;U",$S$3:$S$3002,Calc!$F$2))</f>
        <v/>
      </c>
      <c r="Q2692" s="35" t="str">
        <f aca="false">IF(OR($A2692="",$C2692="U",$S2692&lt;&gt;Calc!$F$2),"",IF(COUNTIFS($E$3:$E2692,$E2692,$C$3:$C2692,"&lt;&gt;U",$S$3:$S2692,Calc!$F$2)=1,1,0))</f>
        <v/>
      </c>
      <c r="R2692" s="35" t="str">
        <f aca="false">IF($Q2692=1,$O2692-ROW()/100000,"")</f>
        <v/>
      </c>
      <c r="S2692" s="37" t="str">
        <f aca="false">IF($A2692="","",INT($A2692))</f>
        <v/>
      </c>
      <c r="T2692" s="35" t="str">
        <f aca="false">IF($A2692="","",IF(COUNTIFS($S$3:$S2692,$S2692)=1,1,0))</f>
        <v/>
      </c>
      <c r="U2692" s="37" t="str">
        <f aca="false">IF($T2692=1,$S2692,"")</f>
        <v/>
      </c>
    </row>
    <row r="2693" customFormat="false" ht="15" hidden="false" customHeight="false" outlineLevel="0" collapsed="false">
      <c r="M2693" s="35" t="str">
        <f aca="false">IF($A2693="","",HOUR($A2693))</f>
        <v/>
      </c>
      <c r="N2693" s="36" t="str">
        <f aca="false">IF($A2693="","",$I2693*$K2693)</f>
        <v/>
      </c>
      <c r="O2693" s="35" t="str">
        <f aca="false">IF(OR($A2693="",$C2693="U",$S2693&lt;&gt;Calc!$F$2),"",SUMIFS($I$3:$I$3002,$E$3:$E$3002,$E2693,$C$3:$C$3002,"&lt;&gt;U",$S$3:$S$3002,Calc!$F$2))</f>
        <v/>
      </c>
      <c r="P2693" s="35" t="str">
        <f aca="false">IF(OR($A2693="",$C2693="U",$S2693&lt;&gt;Calc!$F$2),"",SUMIFS($N$3:$N$3002,$E$3:$E$3002,$E2693,$C$3:$C$3002,"&lt;&gt;U",$S$3:$S$3002,Calc!$F$2))</f>
        <v/>
      </c>
      <c r="Q2693" s="35" t="str">
        <f aca="false">IF(OR($A2693="",$C2693="U",$S2693&lt;&gt;Calc!$F$2),"",IF(COUNTIFS($E$3:$E2693,$E2693,$C$3:$C2693,"&lt;&gt;U",$S$3:$S2693,Calc!$F$2)=1,1,0))</f>
        <v/>
      </c>
      <c r="R2693" s="35" t="str">
        <f aca="false">IF($Q2693=1,$O2693-ROW()/100000,"")</f>
        <v/>
      </c>
      <c r="S2693" s="37" t="str">
        <f aca="false">IF($A2693="","",INT($A2693))</f>
        <v/>
      </c>
      <c r="T2693" s="35" t="str">
        <f aca="false">IF($A2693="","",IF(COUNTIFS($S$3:$S2693,$S2693)=1,1,0))</f>
        <v/>
      </c>
      <c r="U2693" s="37" t="str">
        <f aca="false">IF($T2693=1,$S2693,"")</f>
        <v/>
      </c>
    </row>
    <row r="2694" customFormat="false" ht="15" hidden="false" customHeight="false" outlineLevel="0" collapsed="false">
      <c r="M2694" s="35" t="str">
        <f aca="false">IF($A2694="","",HOUR($A2694))</f>
        <v/>
      </c>
      <c r="N2694" s="36" t="str">
        <f aca="false">IF($A2694="","",$I2694*$K2694)</f>
        <v/>
      </c>
      <c r="O2694" s="35" t="str">
        <f aca="false">IF(OR($A2694="",$C2694="U",$S2694&lt;&gt;Calc!$F$2),"",SUMIFS($I$3:$I$3002,$E$3:$E$3002,$E2694,$C$3:$C$3002,"&lt;&gt;U",$S$3:$S$3002,Calc!$F$2))</f>
        <v/>
      </c>
      <c r="P2694" s="35" t="str">
        <f aca="false">IF(OR($A2694="",$C2694="U",$S2694&lt;&gt;Calc!$F$2),"",SUMIFS($N$3:$N$3002,$E$3:$E$3002,$E2694,$C$3:$C$3002,"&lt;&gt;U",$S$3:$S$3002,Calc!$F$2))</f>
        <v/>
      </c>
      <c r="Q2694" s="35" t="str">
        <f aca="false">IF(OR($A2694="",$C2694="U",$S2694&lt;&gt;Calc!$F$2),"",IF(COUNTIFS($E$3:$E2694,$E2694,$C$3:$C2694,"&lt;&gt;U",$S$3:$S2694,Calc!$F$2)=1,1,0))</f>
        <v/>
      </c>
      <c r="R2694" s="35" t="str">
        <f aca="false">IF($Q2694=1,$O2694-ROW()/100000,"")</f>
        <v/>
      </c>
      <c r="S2694" s="37" t="str">
        <f aca="false">IF($A2694="","",INT($A2694))</f>
        <v/>
      </c>
      <c r="T2694" s="35" t="str">
        <f aca="false">IF($A2694="","",IF(COUNTIFS($S$3:$S2694,$S2694)=1,1,0))</f>
        <v/>
      </c>
      <c r="U2694" s="37" t="str">
        <f aca="false">IF($T2694=1,$S2694,"")</f>
        <v/>
      </c>
    </row>
    <row r="2695" customFormat="false" ht="15" hidden="false" customHeight="false" outlineLevel="0" collapsed="false">
      <c r="M2695" s="35" t="str">
        <f aca="false">IF($A2695="","",HOUR($A2695))</f>
        <v/>
      </c>
      <c r="N2695" s="36" t="str">
        <f aca="false">IF($A2695="","",$I2695*$K2695)</f>
        <v/>
      </c>
      <c r="O2695" s="35" t="str">
        <f aca="false">IF(OR($A2695="",$C2695="U",$S2695&lt;&gt;Calc!$F$2),"",SUMIFS($I$3:$I$3002,$E$3:$E$3002,$E2695,$C$3:$C$3002,"&lt;&gt;U",$S$3:$S$3002,Calc!$F$2))</f>
        <v/>
      </c>
      <c r="P2695" s="35" t="str">
        <f aca="false">IF(OR($A2695="",$C2695="U",$S2695&lt;&gt;Calc!$F$2),"",SUMIFS($N$3:$N$3002,$E$3:$E$3002,$E2695,$C$3:$C$3002,"&lt;&gt;U",$S$3:$S$3002,Calc!$F$2))</f>
        <v/>
      </c>
      <c r="Q2695" s="35" t="str">
        <f aca="false">IF(OR($A2695="",$C2695="U",$S2695&lt;&gt;Calc!$F$2),"",IF(COUNTIFS($E$3:$E2695,$E2695,$C$3:$C2695,"&lt;&gt;U",$S$3:$S2695,Calc!$F$2)=1,1,0))</f>
        <v/>
      </c>
      <c r="R2695" s="35" t="str">
        <f aca="false">IF($Q2695=1,$O2695-ROW()/100000,"")</f>
        <v/>
      </c>
      <c r="S2695" s="37" t="str">
        <f aca="false">IF($A2695="","",INT($A2695))</f>
        <v/>
      </c>
      <c r="T2695" s="35" t="str">
        <f aca="false">IF($A2695="","",IF(COUNTIFS($S$3:$S2695,$S2695)=1,1,0))</f>
        <v/>
      </c>
      <c r="U2695" s="37" t="str">
        <f aca="false">IF($T2695=1,$S2695,"")</f>
        <v/>
      </c>
    </row>
    <row r="2696" customFormat="false" ht="15" hidden="false" customHeight="false" outlineLevel="0" collapsed="false">
      <c r="M2696" s="35" t="str">
        <f aca="false">IF($A2696="","",HOUR($A2696))</f>
        <v/>
      </c>
      <c r="N2696" s="36" t="str">
        <f aca="false">IF($A2696="","",$I2696*$K2696)</f>
        <v/>
      </c>
      <c r="O2696" s="35" t="str">
        <f aca="false">IF(OR($A2696="",$C2696="U",$S2696&lt;&gt;Calc!$F$2),"",SUMIFS($I$3:$I$3002,$E$3:$E$3002,$E2696,$C$3:$C$3002,"&lt;&gt;U",$S$3:$S$3002,Calc!$F$2))</f>
        <v/>
      </c>
      <c r="P2696" s="35" t="str">
        <f aca="false">IF(OR($A2696="",$C2696="U",$S2696&lt;&gt;Calc!$F$2),"",SUMIFS($N$3:$N$3002,$E$3:$E$3002,$E2696,$C$3:$C$3002,"&lt;&gt;U",$S$3:$S$3002,Calc!$F$2))</f>
        <v/>
      </c>
      <c r="Q2696" s="35" t="str">
        <f aca="false">IF(OR($A2696="",$C2696="U",$S2696&lt;&gt;Calc!$F$2),"",IF(COUNTIFS($E$3:$E2696,$E2696,$C$3:$C2696,"&lt;&gt;U",$S$3:$S2696,Calc!$F$2)=1,1,0))</f>
        <v/>
      </c>
      <c r="R2696" s="35" t="str">
        <f aca="false">IF($Q2696=1,$O2696-ROW()/100000,"")</f>
        <v/>
      </c>
      <c r="S2696" s="37" t="str">
        <f aca="false">IF($A2696="","",INT($A2696))</f>
        <v/>
      </c>
      <c r="T2696" s="35" t="str">
        <f aca="false">IF($A2696="","",IF(COUNTIFS($S$3:$S2696,$S2696)=1,1,0))</f>
        <v/>
      </c>
      <c r="U2696" s="37" t="str">
        <f aca="false">IF($T2696=1,$S2696,"")</f>
        <v/>
      </c>
    </row>
    <row r="2697" customFormat="false" ht="15" hidden="false" customHeight="false" outlineLevel="0" collapsed="false">
      <c r="M2697" s="35" t="str">
        <f aca="false">IF($A2697="","",HOUR($A2697))</f>
        <v/>
      </c>
      <c r="N2697" s="36" t="str">
        <f aca="false">IF($A2697="","",$I2697*$K2697)</f>
        <v/>
      </c>
      <c r="O2697" s="35" t="str">
        <f aca="false">IF(OR($A2697="",$C2697="U",$S2697&lt;&gt;Calc!$F$2),"",SUMIFS($I$3:$I$3002,$E$3:$E$3002,$E2697,$C$3:$C$3002,"&lt;&gt;U",$S$3:$S$3002,Calc!$F$2))</f>
        <v/>
      </c>
      <c r="P2697" s="35" t="str">
        <f aca="false">IF(OR($A2697="",$C2697="U",$S2697&lt;&gt;Calc!$F$2),"",SUMIFS($N$3:$N$3002,$E$3:$E$3002,$E2697,$C$3:$C$3002,"&lt;&gt;U",$S$3:$S$3002,Calc!$F$2))</f>
        <v/>
      </c>
      <c r="Q2697" s="35" t="str">
        <f aca="false">IF(OR($A2697="",$C2697="U",$S2697&lt;&gt;Calc!$F$2),"",IF(COUNTIFS($E$3:$E2697,$E2697,$C$3:$C2697,"&lt;&gt;U",$S$3:$S2697,Calc!$F$2)=1,1,0))</f>
        <v/>
      </c>
      <c r="R2697" s="35" t="str">
        <f aca="false">IF($Q2697=1,$O2697-ROW()/100000,"")</f>
        <v/>
      </c>
      <c r="S2697" s="37" t="str">
        <f aca="false">IF($A2697="","",INT($A2697))</f>
        <v/>
      </c>
      <c r="T2697" s="35" t="str">
        <f aca="false">IF($A2697="","",IF(COUNTIFS($S$3:$S2697,$S2697)=1,1,0))</f>
        <v/>
      </c>
      <c r="U2697" s="37" t="str">
        <f aca="false">IF($T2697=1,$S2697,"")</f>
        <v/>
      </c>
    </row>
    <row r="2698" customFormat="false" ht="15" hidden="false" customHeight="false" outlineLevel="0" collapsed="false">
      <c r="M2698" s="35" t="str">
        <f aca="false">IF($A2698="","",HOUR($A2698))</f>
        <v/>
      </c>
      <c r="N2698" s="36" t="str">
        <f aca="false">IF($A2698="","",$I2698*$K2698)</f>
        <v/>
      </c>
      <c r="O2698" s="35" t="str">
        <f aca="false">IF(OR($A2698="",$C2698="U",$S2698&lt;&gt;Calc!$F$2),"",SUMIFS($I$3:$I$3002,$E$3:$E$3002,$E2698,$C$3:$C$3002,"&lt;&gt;U",$S$3:$S$3002,Calc!$F$2))</f>
        <v/>
      </c>
      <c r="P2698" s="35" t="str">
        <f aca="false">IF(OR($A2698="",$C2698="U",$S2698&lt;&gt;Calc!$F$2),"",SUMIFS($N$3:$N$3002,$E$3:$E$3002,$E2698,$C$3:$C$3002,"&lt;&gt;U",$S$3:$S$3002,Calc!$F$2))</f>
        <v/>
      </c>
      <c r="Q2698" s="35" t="str">
        <f aca="false">IF(OR($A2698="",$C2698="U",$S2698&lt;&gt;Calc!$F$2),"",IF(COUNTIFS($E$3:$E2698,$E2698,$C$3:$C2698,"&lt;&gt;U",$S$3:$S2698,Calc!$F$2)=1,1,0))</f>
        <v/>
      </c>
      <c r="R2698" s="35" t="str">
        <f aca="false">IF($Q2698=1,$O2698-ROW()/100000,"")</f>
        <v/>
      </c>
      <c r="S2698" s="37" t="str">
        <f aca="false">IF($A2698="","",INT($A2698))</f>
        <v/>
      </c>
      <c r="T2698" s="35" t="str">
        <f aca="false">IF($A2698="","",IF(COUNTIFS($S$3:$S2698,$S2698)=1,1,0))</f>
        <v/>
      </c>
      <c r="U2698" s="37" t="str">
        <f aca="false">IF($T2698=1,$S2698,"")</f>
        <v/>
      </c>
    </row>
    <row r="2699" customFormat="false" ht="15" hidden="false" customHeight="false" outlineLevel="0" collapsed="false">
      <c r="M2699" s="35" t="str">
        <f aca="false">IF($A2699="","",HOUR($A2699))</f>
        <v/>
      </c>
      <c r="N2699" s="36" t="str">
        <f aca="false">IF($A2699="","",$I2699*$K2699)</f>
        <v/>
      </c>
      <c r="O2699" s="35" t="str">
        <f aca="false">IF(OR($A2699="",$C2699="U",$S2699&lt;&gt;Calc!$F$2),"",SUMIFS($I$3:$I$3002,$E$3:$E$3002,$E2699,$C$3:$C$3002,"&lt;&gt;U",$S$3:$S$3002,Calc!$F$2))</f>
        <v/>
      </c>
      <c r="P2699" s="35" t="str">
        <f aca="false">IF(OR($A2699="",$C2699="U",$S2699&lt;&gt;Calc!$F$2),"",SUMIFS($N$3:$N$3002,$E$3:$E$3002,$E2699,$C$3:$C$3002,"&lt;&gt;U",$S$3:$S$3002,Calc!$F$2))</f>
        <v/>
      </c>
      <c r="Q2699" s="35" t="str">
        <f aca="false">IF(OR($A2699="",$C2699="U",$S2699&lt;&gt;Calc!$F$2),"",IF(COUNTIFS($E$3:$E2699,$E2699,$C$3:$C2699,"&lt;&gt;U",$S$3:$S2699,Calc!$F$2)=1,1,0))</f>
        <v/>
      </c>
      <c r="R2699" s="35" t="str">
        <f aca="false">IF($Q2699=1,$O2699-ROW()/100000,"")</f>
        <v/>
      </c>
      <c r="S2699" s="37" t="str">
        <f aca="false">IF($A2699="","",INT($A2699))</f>
        <v/>
      </c>
      <c r="T2699" s="35" t="str">
        <f aca="false">IF($A2699="","",IF(COUNTIFS($S$3:$S2699,$S2699)=1,1,0))</f>
        <v/>
      </c>
      <c r="U2699" s="37" t="str">
        <f aca="false">IF($T2699=1,$S2699,"")</f>
        <v/>
      </c>
    </row>
    <row r="2700" customFormat="false" ht="15" hidden="false" customHeight="false" outlineLevel="0" collapsed="false">
      <c r="M2700" s="35" t="str">
        <f aca="false">IF($A2700="","",HOUR($A2700))</f>
        <v/>
      </c>
      <c r="N2700" s="36" t="str">
        <f aca="false">IF($A2700="","",$I2700*$K2700)</f>
        <v/>
      </c>
      <c r="O2700" s="35" t="str">
        <f aca="false">IF(OR($A2700="",$C2700="U",$S2700&lt;&gt;Calc!$F$2),"",SUMIFS($I$3:$I$3002,$E$3:$E$3002,$E2700,$C$3:$C$3002,"&lt;&gt;U",$S$3:$S$3002,Calc!$F$2))</f>
        <v/>
      </c>
      <c r="P2700" s="35" t="str">
        <f aca="false">IF(OR($A2700="",$C2700="U",$S2700&lt;&gt;Calc!$F$2),"",SUMIFS($N$3:$N$3002,$E$3:$E$3002,$E2700,$C$3:$C$3002,"&lt;&gt;U",$S$3:$S$3002,Calc!$F$2))</f>
        <v/>
      </c>
      <c r="Q2700" s="35" t="str">
        <f aca="false">IF(OR($A2700="",$C2700="U",$S2700&lt;&gt;Calc!$F$2),"",IF(COUNTIFS($E$3:$E2700,$E2700,$C$3:$C2700,"&lt;&gt;U",$S$3:$S2700,Calc!$F$2)=1,1,0))</f>
        <v/>
      </c>
      <c r="R2700" s="35" t="str">
        <f aca="false">IF($Q2700=1,$O2700-ROW()/100000,"")</f>
        <v/>
      </c>
      <c r="S2700" s="37" t="str">
        <f aca="false">IF($A2700="","",INT($A2700))</f>
        <v/>
      </c>
      <c r="T2700" s="35" t="str">
        <f aca="false">IF($A2700="","",IF(COUNTIFS($S$3:$S2700,$S2700)=1,1,0))</f>
        <v/>
      </c>
      <c r="U2700" s="37" t="str">
        <f aca="false">IF($T2700=1,$S2700,"")</f>
        <v/>
      </c>
    </row>
    <row r="2701" customFormat="false" ht="15" hidden="false" customHeight="false" outlineLevel="0" collapsed="false">
      <c r="M2701" s="35" t="str">
        <f aca="false">IF($A2701="","",HOUR($A2701))</f>
        <v/>
      </c>
      <c r="N2701" s="36" t="str">
        <f aca="false">IF($A2701="","",$I2701*$K2701)</f>
        <v/>
      </c>
      <c r="O2701" s="35" t="str">
        <f aca="false">IF(OR($A2701="",$C2701="U",$S2701&lt;&gt;Calc!$F$2),"",SUMIFS($I$3:$I$3002,$E$3:$E$3002,$E2701,$C$3:$C$3002,"&lt;&gt;U",$S$3:$S$3002,Calc!$F$2))</f>
        <v/>
      </c>
      <c r="P2701" s="35" t="str">
        <f aca="false">IF(OR($A2701="",$C2701="U",$S2701&lt;&gt;Calc!$F$2),"",SUMIFS($N$3:$N$3002,$E$3:$E$3002,$E2701,$C$3:$C$3002,"&lt;&gt;U",$S$3:$S$3002,Calc!$F$2))</f>
        <v/>
      </c>
      <c r="Q2701" s="35" t="str">
        <f aca="false">IF(OR($A2701="",$C2701="U",$S2701&lt;&gt;Calc!$F$2),"",IF(COUNTIFS($E$3:$E2701,$E2701,$C$3:$C2701,"&lt;&gt;U",$S$3:$S2701,Calc!$F$2)=1,1,0))</f>
        <v/>
      </c>
      <c r="R2701" s="35" t="str">
        <f aca="false">IF($Q2701=1,$O2701-ROW()/100000,"")</f>
        <v/>
      </c>
      <c r="S2701" s="37" t="str">
        <f aca="false">IF($A2701="","",INT($A2701))</f>
        <v/>
      </c>
      <c r="T2701" s="35" t="str">
        <f aca="false">IF($A2701="","",IF(COUNTIFS($S$3:$S2701,$S2701)=1,1,0))</f>
        <v/>
      </c>
      <c r="U2701" s="37" t="str">
        <f aca="false">IF($T2701=1,$S2701,"")</f>
        <v/>
      </c>
    </row>
    <row r="2702" customFormat="false" ht="15" hidden="false" customHeight="false" outlineLevel="0" collapsed="false">
      <c r="M2702" s="35" t="str">
        <f aca="false">IF($A2702="","",HOUR($A2702))</f>
        <v/>
      </c>
      <c r="N2702" s="36" t="str">
        <f aca="false">IF($A2702="","",$I2702*$K2702)</f>
        <v/>
      </c>
      <c r="O2702" s="35" t="str">
        <f aca="false">IF(OR($A2702="",$C2702="U",$S2702&lt;&gt;Calc!$F$2),"",SUMIFS($I$3:$I$3002,$E$3:$E$3002,$E2702,$C$3:$C$3002,"&lt;&gt;U",$S$3:$S$3002,Calc!$F$2))</f>
        <v/>
      </c>
      <c r="P2702" s="35" t="str">
        <f aca="false">IF(OR($A2702="",$C2702="U",$S2702&lt;&gt;Calc!$F$2),"",SUMIFS($N$3:$N$3002,$E$3:$E$3002,$E2702,$C$3:$C$3002,"&lt;&gt;U",$S$3:$S$3002,Calc!$F$2))</f>
        <v/>
      </c>
      <c r="Q2702" s="35" t="str">
        <f aca="false">IF(OR($A2702="",$C2702="U",$S2702&lt;&gt;Calc!$F$2),"",IF(COUNTIFS($E$3:$E2702,$E2702,$C$3:$C2702,"&lt;&gt;U",$S$3:$S2702,Calc!$F$2)=1,1,0))</f>
        <v/>
      </c>
      <c r="R2702" s="35" t="str">
        <f aca="false">IF($Q2702=1,$O2702-ROW()/100000,"")</f>
        <v/>
      </c>
      <c r="S2702" s="37" t="str">
        <f aca="false">IF($A2702="","",INT($A2702))</f>
        <v/>
      </c>
      <c r="T2702" s="35" t="str">
        <f aca="false">IF($A2702="","",IF(COUNTIFS($S$3:$S2702,$S2702)=1,1,0))</f>
        <v/>
      </c>
      <c r="U2702" s="37" t="str">
        <f aca="false">IF($T2702=1,$S2702,"")</f>
        <v/>
      </c>
    </row>
    <row r="2703" customFormat="false" ht="15" hidden="false" customHeight="false" outlineLevel="0" collapsed="false">
      <c r="M2703" s="35" t="str">
        <f aca="false">IF($A2703="","",HOUR($A2703))</f>
        <v/>
      </c>
      <c r="N2703" s="36" t="str">
        <f aca="false">IF($A2703="","",$I2703*$K2703)</f>
        <v/>
      </c>
      <c r="O2703" s="35" t="str">
        <f aca="false">IF(OR($A2703="",$C2703="U",$S2703&lt;&gt;Calc!$F$2),"",SUMIFS($I$3:$I$3002,$E$3:$E$3002,$E2703,$C$3:$C$3002,"&lt;&gt;U",$S$3:$S$3002,Calc!$F$2))</f>
        <v/>
      </c>
      <c r="P2703" s="35" t="str">
        <f aca="false">IF(OR($A2703="",$C2703="U",$S2703&lt;&gt;Calc!$F$2),"",SUMIFS($N$3:$N$3002,$E$3:$E$3002,$E2703,$C$3:$C$3002,"&lt;&gt;U",$S$3:$S$3002,Calc!$F$2))</f>
        <v/>
      </c>
      <c r="Q2703" s="35" t="str">
        <f aca="false">IF(OR($A2703="",$C2703="U",$S2703&lt;&gt;Calc!$F$2),"",IF(COUNTIFS($E$3:$E2703,$E2703,$C$3:$C2703,"&lt;&gt;U",$S$3:$S2703,Calc!$F$2)=1,1,0))</f>
        <v/>
      </c>
      <c r="R2703" s="35" t="str">
        <f aca="false">IF($Q2703=1,$O2703-ROW()/100000,"")</f>
        <v/>
      </c>
      <c r="S2703" s="37" t="str">
        <f aca="false">IF($A2703="","",INT($A2703))</f>
        <v/>
      </c>
      <c r="T2703" s="35" t="str">
        <f aca="false">IF($A2703="","",IF(COUNTIFS($S$3:$S2703,$S2703)=1,1,0))</f>
        <v/>
      </c>
      <c r="U2703" s="37" t="str">
        <f aca="false">IF($T2703=1,$S2703,"")</f>
        <v/>
      </c>
    </row>
    <row r="2704" customFormat="false" ht="15" hidden="false" customHeight="false" outlineLevel="0" collapsed="false">
      <c r="M2704" s="35" t="str">
        <f aca="false">IF($A2704="","",HOUR($A2704))</f>
        <v/>
      </c>
      <c r="N2704" s="36" t="str">
        <f aca="false">IF($A2704="","",$I2704*$K2704)</f>
        <v/>
      </c>
      <c r="O2704" s="35" t="str">
        <f aca="false">IF(OR($A2704="",$C2704="U",$S2704&lt;&gt;Calc!$F$2),"",SUMIFS($I$3:$I$3002,$E$3:$E$3002,$E2704,$C$3:$C$3002,"&lt;&gt;U",$S$3:$S$3002,Calc!$F$2))</f>
        <v/>
      </c>
      <c r="P2704" s="35" t="str">
        <f aca="false">IF(OR($A2704="",$C2704="U",$S2704&lt;&gt;Calc!$F$2),"",SUMIFS($N$3:$N$3002,$E$3:$E$3002,$E2704,$C$3:$C$3002,"&lt;&gt;U",$S$3:$S$3002,Calc!$F$2))</f>
        <v/>
      </c>
      <c r="Q2704" s="35" t="str">
        <f aca="false">IF(OR($A2704="",$C2704="U",$S2704&lt;&gt;Calc!$F$2),"",IF(COUNTIFS($E$3:$E2704,$E2704,$C$3:$C2704,"&lt;&gt;U",$S$3:$S2704,Calc!$F$2)=1,1,0))</f>
        <v/>
      </c>
      <c r="R2704" s="35" t="str">
        <f aca="false">IF($Q2704=1,$O2704-ROW()/100000,"")</f>
        <v/>
      </c>
      <c r="S2704" s="37" t="str">
        <f aca="false">IF($A2704="","",INT($A2704))</f>
        <v/>
      </c>
      <c r="T2704" s="35" t="str">
        <f aca="false">IF($A2704="","",IF(COUNTIFS($S$3:$S2704,$S2704)=1,1,0))</f>
        <v/>
      </c>
      <c r="U2704" s="37" t="str">
        <f aca="false">IF($T2704=1,$S2704,"")</f>
        <v/>
      </c>
    </row>
    <row r="2705" customFormat="false" ht="15" hidden="false" customHeight="false" outlineLevel="0" collapsed="false">
      <c r="M2705" s="35" t="str">
        <f aca="false">IF($A2705="","",HOUR($A2705))</f>
        <v/>
      </c>
      <c r="N2705" s="36" t="str">
        <f aca="false">IF($A2705="","",$I2705*$K2705)</f>
        <v/>
      </c>
      <c r="O2705" s="35" t="str">
        <f aca="false">IF(OR($A2705="",$C2705="U",$S2705&lt;&gt;Calc!$F$2),"",SUMIFS($I$3:$I$3002,$E$3:$E$3002,$E2705,$C$3:$C$3002,"&lt;&gt;U",$S$3:$S$3002,Calc!$F$2))</f>
        <v/>
      </c>
      <c r="P2705" s="35" t="str">
        <f aca="false">IF(OR($A2705="",$C2705="U",$S2705&lt;&gt;Calc!$F$2),"",SUMIFS($N$3:$N$3002,$E$3:$E$3002,$E2705,$C$3:$C$3002,"&lt;&gt;U",$S$3:$S$3002,Calc!$F$2))</f>
        <v/>
      </c>
      <c r="Q2705" s="35" t="str">
        <f aca="false">IF(OR($A2705="",$C2705="U",$S2705&lt;&gt;Calc!$F$2),"",IF(COUNTIFS($E$3:$E2705,$E2705,$C$3:$C2705,"&lt;&gt;U",$S$3:$S2705,Calc!$F$2)=1,1,0))</f>
        <v/>
      </c>
      <c r="R2705" s="35" t="str">
        <f aca="false">IF($Q2705=1,$O2705-ROW()/100000,"")</f>
        <v/>
      </c>
      <c r="S2705" s="37" t="str">
        <f aca="false">IF($A2705="","",INT($A2705))</f>
        <v/>
      </c>
      <c r="T2705" s="35" t="str">
        <f aca="false">IF($A2705="","",IF(COUNTIFS($S$3:$S2705,$S2705)=1,1,0))</f>
        <v/>
      </c>
      <c r="U2705" s="37" t="str">
        <f aca="false">IF($T2705=1,$S2705,"")</f>
        <v/>
      </c>
    </row>
    <row r="2706" customFormat="false" ht="15" hidden="false" customHeight="false" outlineLevel="0" collapsed="false">
      <c r="M2706" s="35" t="str">
        <f aca="false">IF($A2706="","",HOUR($A2706))</f>
        <v/>
      </c>
      <c r="N2706" s="36" t="str">
        <f aca="false">IF($A2706="","",$I2706*$K2706)</f>
        <v/>
      </c>
      <c r="O2706" s="35" t="str">
        <f aca="false">IF(OR($A2706="",$C2706="U",$S2706&lt;&gt;Calc!$F$2),"",SUMIFS($I$3:$I$3002,$E$3:$E$3002,$E2706,$C$3:$C$3002,"&lt;&gt;U",$S$3:$S$3002,Calc!$F$2))</f>
        <v/>
      </c>
      <c r="P2706" s="35" t="str">
        <f aca="false">IF(OR($A2706="",$C2706="U",$S2706&lt;&gt;Calc!$F$2),"",SUMIFS($N$3:$N$3002,$E$3:$E$3002,$E2706,$C$3:$C$3002,"&lt;&gt;U",$S$3:$S$3002,Calc!$F$2))</f>
        <v/>
      </c>
      <c r="Q2706" s="35" t="str">
        <f aca="false">IF(OR($A2706="",$C2706="U",$S2706&lt;&gt;Calc!$F$2),"",IF(COUNTIFS($E$3:$E2706,$E2706,$C$3:$C2706,"&lt;&gt;U",$S$3:$S2706,Calc!$F$2)=1,1,0))</f>
        <v/>
      </c>
      <c r="R2706" s="35" t="str">
        <f aca="false">IF($Q2706=1,$O2706-ROW()/100000,"")</f>
        <v/>
      </c>
      <c r="S2706" s="37" t="str">
        <f aca="false">IF($A2706="","",INT($A2706))</f>
        <v/>
      </c>
      <c r="T2706" s="35" t="str">
        <f aca="false">IF($A2706="","",IF(COUNTIFS($S$3:$S2706,$S2706)=1,1,0))</f>
        <v/>
      </c>
      <c r="U2706" s="37" t="str">
        <f aca="false">IF($T2706=1,$S2706,"")</f>
        <v/>
      </c>
    </row>
    <row r="2707" customFormat="false" ht="15" hidden="false" customHeight="false" outlineLevel="0" collapsed="false">
      <c r="M2707" s="35" t="str">
        <f aca="false">IF($A2707="","",HOUR($A2707))</f>
        <v/>
      </c>
      <c r="N2707" s="36" t="str">
        <f aca="false">IF($A2707="","",$I2707*$K2707)</f>
        <v/>
      </c>
      <c r="O2707" s="35" t="str">
        <f aca="false">IF(OR($A2707="",$C2707="U",$S2707&lt;&gt;Calc!$F$2),"",SUMIFS($I$3:$I$3002,$E$3:$E$3002,$E2707,$C$3:$C$3002,"&lt;&gt;U",$S$3:$S$3002,Calc!$F$2))</f>
        <v/>
      </c>
      <c r="P2707" s="35" t="str">
        <f aca="false">IF(OR($A2707="",$C2707="U",$S2707&lt;&gt;Calc!$F$2),"",SUMIFS($N$3:$N$3002,$E$3:$E$3002,$E2707,$C$3:$C$3002,"&lt;&gt;U",$S$3:$S$3002,Calc!$F$2))</f>
        <v/>
      </c>
      <c r="Q2707" s="35" t="str">
        <f aca="false">IF(OR($A2707="",$C2707="U",$S2707&lt;&gt;Calc!$F$2),"",IF(COUNTIFS($E$3:$E2707,$E2707,$C$3:$C2707,"&lt;&gt;U",$S$3:$S2707,Calc!$F$2)=1,1,0))</f>
        <v/>
      </c>
      <c r="R2707" s="35" t="str">
        <f aca="false">IF($Q2707=1,$O2707-ROW()/100000,"")</f>
        <v/>
      </c>
      <c r="S2707" s="37" t="str">
        <f aca="false">IF($A2707="","",INT($A2707))</f>
        <v/>
      </c>
      <c r="T2707" s="35" t="str">
        <f aca="false">IF($A2707="","",IF(COUNTIFS($S$3:$S2707,$S2707)=1,1,0))</f>
        <v/>
      </c>
      <c r="U2707" s="37" t="str">
        <f aca="false">IF($T2707=1,$S2707,"")</f>
        <v/>
      </c>
    </row>
    <row r="2708" customFormat="false" ht="15" hidden="false" customHeight="false" outlineLevel="0" collapsed="false">
      <c r="M2708" s="35" t="str">
        <f aca="false">IF($A2708="","",HOUR($A2708))</f>
        <v/>
      </c>
      <c r="N2708" s="36" t="str">
        <f aca="false">IF($A2708="","",$I2708*$K2708)</f>
        <v/>
      </c>
      <c r="O2708" s="35" t="str">
        <f aca="false">IF(OR($A2708="",$C2708="U",$S2708&lt;&gt;Calc!$F$2),"",SUMIFS($I$3:$I$3002,$E$3:$E$3002,$E2708,$C$3:$C$3002,"&lt;&gt;U",$S$3:$S$3002,Calc!$F$2))</f>
        <v/>
      </c>
      <c r="P2708" s="35" t="str">
        <f aca="false">IF(OR($A2708="",$C2708="U",$S2708&lt;&gt;Calc!$F$2),"",SUMIFS($N$3:$N$3002,$E$3:$E$3002,$E2708,$C$3:$C$3002,"&lt;&gt;U",$S$3:$S$3002,Calc!$F$2))</f>
        <v/>
      </c>
      <c r="Q2708" s="35" t="str">
        <f aca="false">IF(OR($A2708="",$C2708="U",$S2708&lt;&gt;Calc!$F$2),"",IF(COUNTIFS($E$3:$E2708,$E2708,$C$3:$C2708,"&lt;&gt;U",$S$3:$S2708,Calc!$F$2)=1,1,0))</f>
        <v/>
      </c>
      <c r="R2708" s="35" t="str">
        <f aca="false">IF($Q2708=1,$O2708-ROW()/100000,"")</f>
        <v/>
      </c>
      <c r="S2708" s="37" t="str">
        <f aca="false">IF($A2708="","",INT($A2708))</f>
        <v/>
      </c>
      <c r="T2708" s="35" t="str">
        <f aca="false">IF($A2708="","",IF(COUNTIFS($S$3:$S2708,$S2708)=1,1,0))</f>
        <v/>
      </c>
      <c r="U2708" s="37" t="str">
        <f aca="false">IF($T2708=1,$S2708,"")</f>
        <v/>
      </c>
    </row>
    <row r="2709" customFormat="false" ht="15" hidden="false" customHeight="false" outlineLevel="0" collapsed="false">
      <c r="M2709" s="35" t="str">
        <f aca="false">IF($A2709="","",HOUR($A2709))</f>
        <v/>
      </c>
      <c r="N2709" s="36" t="str">
        <f aca="false">IF($A2709="","",$I2709*$K2709)</f>
        <v/>
      </c>
      <c r="O2709" s="35" t="str">
        <f aca="false">IF(OR($A2709="",$C2709="U",$S2709&lt;&gt;Calc!$F$2),"",SUMIFS($I$3:$I$3002,$E$3:$E$3002,$E2709,$C$3:$C$3002,"&lt;&gt;U",$S$3:$S$3002,Calc!$F$2))</f>
        <v/>
      </c>
      <c r="P2709" s="35" t="str">
        <f aca="false">IF(OR($A2709="",$C2709="U",$S2709&lt;&gt;Calc!$F$2),"",SUMIFS($N$3:$N$3002,$E$3:$E$3002,$E2709,$C$3:$C$3002,"&lt;&gt;U",$S$3:$S$3002,Calc!$F$2))</f>
        <v/>
      </c>
      <c r="Q2709" s="35" t="str">
        <f aca="false">IF(OR($A2709="",$C2709="U",$S2709&lt;&gt;Calc!$F$2),"",IF(COUNTIFS($E$3:$E2709,$E2709,$C$3:$C2709,"&lt;&gt;U",$S$3:$S2709,Calc!$F$2)=1,1,0))</f>
        <v/>
      </c>
      <c r="R2709" s="35" t="str">
        <f aca="false">IF($Q2709=1,$O2709-ROW()/100000,"")</f>
        <v/>
      </c>
      <c r="S2709" s="37" t="str">
        <f aca="false">IF($A2709="","",INT($A2709))</f>
        <v/>
      </c>
      <c r="T2709" s="35" t="str">
        <f aca="false">IF($A2709="","",IF(COUNTIFS($S$3:$S2709,$S2709)=1,1,0))</f>
        <v/>
      </c>
      <c r="U2709" s="37" t="str">
        <f aca="false">IF($T2709=1,$S2709,"")</f>
        <v/>
      </c>
    </row>
    <row r="2710" customFormat="false" ht="15" hidden="false" customHeight="false" outlineLevel="0" collapsed="false">
      <c r="M2710" s="35" t="str">
        <f aca="false">IF($A2710="","",HOUR($A2710))</f>
        <v/>
      </c>
      <c r="N2710" s="36" t="str">
        <f aca="false">IF($A2710="","",$I2710*$K2710)</f>
        <v/>
      </c>
      <c r="O2710" s="35" t="str">
        <f aca="false">IF(OR($A2710="",$C2710="U",$S2710&lt;&gt;Calc!$F$2),"",SUMIFS($I$3:$I$3002,$E$3:$E$3002,$E2710,$C$3:$C$3002,"&lt;&gt;U",$S$3:$S$3002,Calc!$F$2))</f>
        <v/>
      </c>
      <c r="P2710" s="35" t="str">
        <f aca="false">IF(OR($A2710="",$C2710="U",$S2710&lt;&gt;Calc!$F$2),"",SUMIFS($N$3:$N$3002,$E$3:$E$3002,$E2710,$C$3:$C$3002,"&lt;&gt;U",$S$3:$S$3002,Calc!$F$2))</f>
        <v/>
      </c>
      <c r="Q2710" s="35" t="str">
        <f aca="false">IF(OR($A2710="",$C2710="U",$S2710&lt;&gt;Calc!$F$2),"",IF(COUNTIFS($E$3:$E2710,$E2710,$C$3:$C2710,"&lt;&gt;U",$S$3:$S2710,Calc!$F$2)=1,1,0))</f>
        <v/>
      </c>
      <c r="R2710" s="35" t="str">
        <f aca="false">IF($Q2710=1,$O2710-ROW()/100000,"")</f>
        <v/>
      </c>
      <c r="S2710" s="37" t="str">
        <f aca="false">IF($A2710="","",INT($A2710))</f>
        <v/>
      </c>
      <c r="T2710" s="35" t="str">
        <f aca="false">IF($A2710="","",IF(COUNTIFS($S$3:$S2710,$S2710)=1,1,0))</f>
        <v/>
      </c>
      <c r="U2710" s="37" t="str">
        <f aca="false">IF($T2710=1,$S2710,"")</f>
        <v/>
      </c>
    </row>
    <row r="2711" customFormat="false" ht="15" hidden="false" customHeight="false" outlineLevel="0" collapsed="false">
      <c r="M2711" s="35" t="str">
        <f aca="false">IF($A2711="","",HOUR($A2711))</f>
        <v/>
      </c>
      <c r="N2711" s="36" t="str">
        <f aca="false">IF($A2711="","",$I2711*$K2711)</f>
        <v/>
      </c>
      <c r="O2711" s="35" t="str">
        <f aca="false">IF(OR($A2711="",$C2711="U",$S2711&lt;&gt;Calc!$F$2),"",SUMIFS($I$3:$I$3002,$E$3:$E$3002,$E2711,$C$3:$C$3002,"&lt;&gt;U",$S$3:$S$3002,Calc!$F$2))</f>
        <v/>
      </c>
      <c r="P2711" s="35" t="str">
        <f aca="false">IF(OR($A2711="",$C2711="U",$S2711&lt;&gt;Calc!$F$2),"",SUMIFS($N$3:$N$3002,$E$3:$E$3002,$E2711,$C$3:$C$3002,"&lt;&gt;U",$S$3:$S$3002,Calc!$F$2))</f>
        <v/>
      </c>
      <c r="Q2711" s="35" t="str">
        <f aca="false">IF(OR($A2711="",$C2711="U",$S2711&lt;&gt;Calc!$F$2),"",IF(COUNTIFS($E$3:$E2711,$E2711,$C$3:$C2711,"&lt;&gt;U",$S$3:$S2711,Calc!$F$2)=1,1,0))</f>
        <v/>
      </c>
      <c r="R2711" s="35" t="str">
        <f aca="false">IF($Q2711=1,$O2711-ROW()/100000,"")</f>
        <v/>
      </c>
      <c r="S2711" s="37" t="str">
        <f aca="false">IF($A2711="","",INT($A2711))</f>
        <v/>
      </c>
      <c r="T2711" s="35" t="str">
        <f aca="false">IF($A2711="","",IF(COUNTIFS($S$3:$S2711,$S2711)=1,1,0))</f>
        <v/>
      </c>
      <c r="U2711" s="37" t="str">
        <f aca="false">IF($T2711=1,$S2711,"")</f>
        <v/>
      </c>
    </row>
    <row r="2712" customFormat="false" ht="15" hidden="false" customHeight="false" outlineLevel="0" collapsed="false">
      <c r="M2712" s="35" t="str">
        <f aca="false">IF($A2712="","",HOUR($A2712))</f>
        <v/>
      </c>
      <c r="N2712" s="36" t="str">
        <f aca="false">IF($A2712="","",$I2712*$K2712)</f>
        <v/>
      </c>
      <c r="O2712" s="35" t="str">
        <f aca="false">IF(OR($A2712="",$C2712="U",$S2712&lt;&gt;Calc!$F$2),"",SUMIFS($I$3:$I$3002,$E$3:$E$3002,$E2712,$C$3:$C$3002,"&lt;&gt;U",$S$3:$S$3002,Calc!$F$2))</f>
        <v/>
      </c>
      <c r="P2712" s="35" t="str">
        <f aca="false">IF(OR($A2712="",$C2712="U",$S2712&lt;&gt;Calc!$F$2),"",SUMIFS($N$3:$N$3002,$E$3:$E$3002,$E2712,$C$3:$C$3002,"&lt;&gt;U",$S$3:$S$3002,Calc!$F$2))</f>
        <v/>
      </c>
      <c r="Q2712" s="35" t="str">
        <f aca="false">IF(OR($A2712="",$C2712="U",$S2712&lt;&gt;Calc!$F$2),"",IF(COUNTIFS($E$3:$E2712,$E2712,$C$3:$C2712,"&lt;&gt;U",$S$3:$S2712,Calc!$F$2)=1,1,0))</f>
        <v/>
      </c>
      <c r="R2712" s="35" t="str">
        <f aca="false">IF($Q2712=1,$O2712-ROW()/100000,"")</f>
        <v/>
      </c>
      <c r="S2712" s="37" t="str">
        <f aca="false">IF($A2712="","",INT($A2712))</f>
        <v/>
      </c>
      <c r="T2712" s="35" t="str">
        <f aca="false">IF($A2712="","",IF(COUNTIFS($S$3:$S2712,$S2712)=1,1,0))</f>
        <v/>
      </c>
      <c r="U2712" s="37" t="str">
        <f aca="false">IF($T2712=1,$S2712,"")</f>
        <v/>
      </c>
    </row>
    <row r="2713" customFormat="false" ht="15" hidden="false" customHeight="false" outlineLevel="0" collapsed="false">
      <c r="M2713" s="35" t="str">
        <f aca="false">IF($A2713="","",HOUR($A2713))</f>
        <v/>
      </c>
      <c r="N2713" s="36" t="str">
        <f aca="false">IF($A2713="","",$I2713*$K2713)</f>
        <v/>
      </c>
      <c r="O2713" s="35" t="str">
        <f aca="false">IF(OR($A2713="",$C2713="U",$S2713&lt;&gt;Calc!$F$2),"",SUMIFS($I$3:$I$3002,$E$3:$E$3002,$E2713,$C$3:$C$3002,"&lt;&gt;U",$S$3:$S$3002,Calc!$F$2))</f>
        <v/>
      </c>
      <c r="P2713" s="35" t="str">
        <f aca="false">IF(OR($A2713="",$C2713="U",$S2713&lt;&gt;Calc!$F$2),"",SUMIFS($N$3:$N$3002,$E$3:$E$3002,$E2713,$C$3:$C$3002,"&lt;&gt;U",$S$3:$S$3002,Calc!$F$2))</f>
        <v/>
      </c>
      <c r="Q2713" s="35" t="str">
        <f aca="false">IF(OR($A2713="",$C2713="U",$S2713&lt;&gt;Calc!$F$2),"",IF(COUNTIFS($E$3:$E2713,$E2713,$C$3:$C2713,"&lt;&gt;U",$S$3:$S2713,Calc!$F$2)=1,1,0))</f>
        <v/>
      </c>
      <c r="R2713" s="35" t="str">
        <f aca="false">IF($Q2713=1,$O2713-ROW()/100000,"")</f>
        <v/>
      </c>
      <c r="S2713" s="37" t="str">
        <f aca="false">IF($A2713="","",INT($A2713))</f>
        <v/>
      </c>
      <c r="T2713" s="35" t="str">
        <f aca="false">IF($A2713="","",IF(COUNTIFS($S$3:$S2713,$S2713)=1,1,0))</f>
        <v/>
      </c>
      <c r="U2713" s="37" t="str">
        <f aca="false">IF($T2713=1,$S2713,"")</f>
        <v/>
      </c>
    </row>
    <row r="2714" customFormat="false" ht="15" hidden="false" customHeight="false" outlineLevel="0" collapsed="false">
      <c r="M2714" s="35" t="str">
        <f aca="false">IF($A2714="","",HOUR($A2714))</f>
        <v/>
      </c>
      <c r="N2714" s="36" t="str">
        <f aca="false">IF($A2714="","",$I2714*$K2714)</f>
        <v/>
      </c>
      <c r="O2714" s="35" t="str">
        <f aca="false">IF(OR($A2714="",$C2714="U",$S2714&lt;&gt;Calc!$F$2),"",SUMIFS($I$3:$I$3002,$E$3:$E$3002,$E2714,$C$3:$C$3002,"&lt;&gt;U",$S$3:$S$3002,Calc!$F$2))</f>
        <v/>
      </c>
      <c r="P2714" s="35" t="str">
        <f aca="false">IF(OR($A2714="",$C2714="U",$S2714&lt;&gt;Calc!$F$2),"",SUMIFS($N$3:$N$3002,$E$3:$E$3002,$E2714,$C$3:$C$3002,"&lt;&gt;U",$S$3:$S$3002,Calc!$F$2))</f>
        <v/>
      </c>
      <c r="Q2714" s="35" t="str">
        <f aca="false">IF(OR($A2714="",$C2714="U",$S2714&lt;&gt;Calc!$F$2),"",IF(COUNTIFS($E$3:$E2714,$E2714,$C$3:$C2714,"&lt;&gt;U",$S$3:$S2714,Calc!$F$2)=1,1,0))</f>
        <v/>
      </c>
      <c r="R2714" s="35" t="str">
        <f aca="false">IF($Q2714=1,$O2714-ROW()/100000,"")</f>
        <v/>
      </c>
      <c r="S2714" s="37" t="str">
        <f aca="false">IF($A2714="","",INT($A2714))</f>
        <v/>
      </c>
      <c r="T2714" s="35" t="str">
        <f aca="false">IF($A2714="","",IF(COUNTIFS($S$3:$S2714,$S2714)=1,1,0))</f>
        <v/>
      </c>
      <c r="U2714" s="37" t="str">
        <f aca="false">IF($T2714=1,$S2714,"")</f>
        <v/>
      </c>
    </row>
    <row r="2715" customFormat="false" ht="15" hidden="false" customHeight="false" outlineLevel="0" collapsed="false">
      <c r="M2715" s="35" t="str">
        <f aca="false">IF($A2715="","",HOUR($A2715))</f>
        <v/>
      </c>
      <c r="N2715" s="36" t="str">
        <f aca="false">IF($A2715="","",$I2715*$K2715)</f>
        <v/>
      </c>
      <c r="O2715" s="35" t="str">
        <f aca="false">IF(OR($A2715="",$C2715="U",$S2715&lt;&gt;Calc!$F$2),"",SUMIFS($I$3:$I$3002,$E$3:$E$3002,$E2715,$C$3:$C$3002,"&lt;&gt;U",$S$3:$S$3002,Calc!$F$2))</f>
        <v/>
      </c>
      <c r="P2715" s="35" t="str">
        <f aca="false">IF(OR($A2715="",$C2715="U",$S2715&lt;&gt;Calc!$F$2),"",SUMIFS($N$3:$N$3002,$E$3:$E$3002,$E2715,$C$3:$C$3002,"&lt;&gt;U",$S$3:$S$3002,Calc!$F$2))</f>
        <v/>
      </c>
      <c r="Q2715" s="35" t="str">
        <f aca="false">IF(OR($A2715="",$C2715="U",$S2715&lt;&gt;Calc!$F$2),"",IF(COUNTIFS($E$3:$E2715,$E2715,$C$3:$C2715,"&lt;&gt;U",$S$3:$S2715,Calc!$F$2)=1,1,0))</f>
        <v/>
      </c>
      <c r="R2715" s="35" t="str">
        <f aca="false">IF($Q2715=1,$O2715-ROW()/100000,"")</f>
        <v/>
      </c>
      <c r="S2715" s="37" t="str">
        <f aca="false">IF($A2715="","",INT($A2715))</f>
        <v/>
      </c>
      <c r="T2715" s="35" t="str">
        <f aca="false">IF($A2715="","",IF(COUNTIFS($S$3:$S2715,$S2715)=1,1,0))</f>
        <v/>
      </c>
      <c r="U2715" s="37" t="str">
        <f aca="false">IF($T2715=1,$S2715,"")</f>
        <v/>
      </c>
    </row>
    <row r="2716" customFormat="false" ht="15" hidden="false" customHeight="false" outlineLevel="0" collapsed="false">
      <c r="M2716" s="35" t="str">
        <f aca="false">IF($A2716="","",HOUR($A2716))</f>
        <v/>
      </c>
      <c r="N2716" s="36" t="str">
        <f aca="false">IF($A2716="","",$I2716*$K2716)</f>
        <v/>
      </c>
      <c r="O2716" s="35" t="str">
        <f aca="false">IF(OR($A2716="",$C2716="U",$S2716&lt;&gt;Calc!$F$2),"",SUMIFS($I$3:$I$3002,$E$3:$E$3002,$E2716,$C$3:$C$3002,"&lt;&gt;U",$S$3:$S$3002,Calc!$F$2))</f>
        <v/>
      </c>
      <c r="P2716" s="35" t="str">
        <f aca="false">IF(OR($A2716="",$C2716="U",$S2716&lt;&gt;Calc!$F$2),"",SUMIFS($N$3:$N$3002,$E$3:$E$3002,$E2716,$C$3:$C$3002,"&lt;&gt;U",$S$3:$S$3002,Calc!$F$2))</f>
        <v/>
      </c>
      <c r="Q2716" s="35" t="str">
        <f aca="false">IF(OR($A2716="",$C2716="U",$S2716&lt;&gt;Calc!$F$2),"",IF(COUNTIFS($E$3:$E2716,$E2716,$C$3:$C2716,"&lt;&gt;U",$S$3:$S2716,Calc!$F$2)=1,1,0))</f>
        <v/>
      </c>
      <c r="R2716" s="35" t="str">
        <f aca="false">IF($Q2716=1,$O2716-ROW()/100000,"")</f>
        <v/>
      </c>
      <c r="S2716" s="37" t="str">
        <f aca="false">IF($A2716="","",INT($A2716))</f>
        <v/>
      </c>
      <c r="T2716" s="35" t="str">
        <f aca="false">IF($A2716="","",IF(COUNTIFS($S$3:$S2716,$S2716)=1,1,0))</f>
        <v/>
      </c>
      <c r="U2716" s="37" t="str">
        <f aca="false">IF($T2716=1,$S2716,"")</f>
        <v/>
      </c>
    </row>
    <row r="2717" customFormat="false" ht="15" hidden="false" customHeight="false" outlineLevel="0" collapsed="false">
      <c r="M2717" s="35" t="str">
        <f aca="false">IF($A2717="","",HOUR($A2717))</f>
        <v/>
      </c>
      <c r="N2717" s="36" t="str">
        <f aca="false">IF($A2717="","",$I2717*$K2717)</f>
        <v/>
      </c>
      <c r="O2717" s="35" t="str">
        <f aca="false">IF(OR($A2717="",$C2717="U",$S2717&lt;&gt;Calc!$F$2),"",SUMIFS($I$3:$I$3002,$E$3:$E$3002,$E2717,$C$3:$C$3002,"&lt;&gt;U",$S$3:$S$3002,Calc!$F$2))</f>
        <v/>
      </c>
      <c r="P2717" s="35" t="str">
        <f aca="false">IF(OR($A2717="",$C2717="U",$S2717&lt;&gt;Calc!$F$2),"",SUMIFS($N$3:$N$3002,$E$3:$E$3002,$E2717,$C$3:$C$3002,"&lt;&gt;U",$S$3:$S$3002,Calc!$F$2))</f>
        <v/>
      </c>
      <c r="Q2717" s="35" t="str">
        <f aca="false">IF(OR($A2717="",$C2717="U",$S2717&lt;&gt;Calc!$F$2),"",IF(COUNTIFS($E$3:$E2717,$E2717,$C$3:$C2717,"&lt;&gt;U",$S$3:$S2717,Calc!$F$2)=1,1,0))</f>
        <v/>
      </c>
      <c r="R2717" s="35" t="str">
        <f aca="false">IF($Q2717=1,$O2717-ROW()/100000,"")</f>
        <v/>
      </c>
      <c r="S2717" s="37" t="str">
        <f aca="false">IF($A2717="","",INT($A2717))</f>
        <v/>
      </c>
      <c r="T2717" s="35" t="str">
        <f aca="false">IF($A2717="","",IF(COUNTIFS($S$3:$S2717,$S2717)=1,1,0))</f>
        <v/>
      </c>
      <c r="U2717" s="37" t="str">
        <f aca="false">IF($T2717=1,$S2717,"")</f>
        <v/>
      </c>
    </row>
    <row r="2718" customFormat="false" ht="15" hidden="false" customHeight="false" outlineLevel="0" collapsed="false">
      <c r="M2718" s="35" t="str">
        <f aca="false">IF($A2718="","",HOUR($A2718))</f>
        <v/>
      </c>
      <c r="N2718" s="36" t="str">
        <f aca="false">IF($A2718="","",$I2718*$K2718)</f>
        <v/>
      </c>
      <c r="O2718" s="35" t="str">
        <f aca="false">IF(OR($A2718="",$C2718="U",$S2718&lt;&gt;Calc!$F$2),"",SUMIFS($I$3:$I$3002,$E$3:$E$3002,$E2718,$C$3:$C$3002,"&lt;&gt;U",$S$3:$S$3002,Calc!$F$2))</f>
        <v/>
      </c>
      <c r="P2718" s="35" t="str">
        <f aca="false">IF(OR($A2718="",$C2718="U",$S2718&lt;&gt;Calc!$F$2),"",SUMIFS($N$3:$N$3002,$E$3:$E$3002,$E2718,$C$3:$C$3002,"&lt;&gt;U",$S$3:$S$3002,Calc!$F$2))</f>
        <v/>
      </c>
      <c r="Q2718" s="35" t="str">
        <f aca="false">IF(OR($A2718="",$C2718="U",$S2718&lt;&gt;Calc!$F$2),"",IF(COUNTIFS($E$3:$E2718,$E2718,$C$3:$C2718,"&lt;&gt;U",$S$3:$S2718,Calc!$F$2)=1,1,0))</f>
        <v/>
      </c>
      <c r="R2718" s="35" t="str">
        <f aca="false">IF($Q2718=1,$O2718-ROW()/100000,"")</f>
        <v/>
      </c>
      <c r="S2718" s="37" t="str">
        <f aca="false">IF($A2718="","",INT($A2718))</f>
        <v/>
      </c>
      <c r="T2718" s="35" t="str">
        <f aca="false">IF($A2718="","",IF(COUNTIFS($S$3:$S2718,$S2718)=1,1,0))</f>
        <v/>
      </c>
      <c r="U2718" s="37" t="str">
        <f aca="false">IF($T2718=1,$S2718,"")</f>
        <v/>
      </c>
    </row>
    <row r="2719" customFormat="false" ht="15" hidden="false" customHeight="false" outlineLevel="0" collapsed="false">
      <c r="M2719" s="35" t="str">
        <f aca="false">IF($A2719="","",HOUR($A2719))</f>
        <v/>
      </c>
      <c r="N2719" s="36" t="str">
        <f aca="false">IF($A2719="","",$I2719*$K2719)</f>
        <v/>
      </c>
      <c r="O2719" s="35" t="str">
        <f aca="false">IF(OR($A2719="",$C2719="U",$S2719&lt;&gt;Calc!$F$2),"",SUMIFS($I$3:$I$3002,$E$3:$E$3002,$E2719,$C$3:$C$3002,"&lt;&gt;U",$S$3:$S$3002,Calc!$F$2))</f>
        <v/>
      </c>
      <c r="P2719" s="35" t="str">
        <f aca="false">IF(OR($A2719="",$C2719="U",$S2719&lt;&gt;Calc!$F$2),"",SUMIFS($N$3:$N$3002,$E$3:$E$3002,$E2719,$C$3:$C$3002,"&lt;&gt;U",$S$3:$S$3002,Calc!$F$2))</f>
        <v/>
      </c>
      <c r="Q2719" s="35" t="str">
        <f aca="false">IF(OR($A2719="",$C2719="U",$S2719&lt;&gt;Calc!$F$2),"",IF(COUNTIFS($E$3:$E2719,$E2719,$C$3:$C2719,"&lt;&gt;U",$S$3:$S2719,Calc!$F$2)=1,1,0))</f>
        <v/>
      </c>
      <c r="R2719" s="35" t="str">
        <f aca="false">IF($Q2719=1,$O2719-ROW()/100000,"")</f>
        <v/>
      </c>
      <c r="S2719" s="37" t="str">
        <f aca="false">IF($A2719="","",INT($A2719))</f>
        <v/>
      </c>
      <c r="T2719" s="35" t="str">
        <f aca="false">IF($A2719="","",IF(COUNTIFS($S$3:$S2719,$S2719)=1,1,0))</f>
        <v/>
      </c>
      <c r="U2719" s="37" t="str">
        <f aca="false">IF($T2719=1,$S2719,"")</f>
        <v/>
      </c>
    </row>
    <row r="2720" customFormat="false" ht="15" hidden="false" customHeight="false" outlineLevel="0" collapsed="false">
      <c r="M2720" s="35" t="str">
        <f aca="false">IF($A2720="","",HOUR($A2720))</f>
        <v/>
      </c>
      <c r="N2720" s="36" t="str">
        <f aca="false">IF($A2720="","",$I2720*$K2720)</f>
        <v/>
      </c>
      <c r="O2720" s="35" t="str">
        <f aca="false">IF(OR($A2720="",$C2720="U",$S2720&lt;&gt;Calc!$F$2),"",SUMIFS($I$3:$I$3002,$E$3:$E$3002,$E2720,$C$3:$C$3002,"&lt;&gt;U",$S$3:$S$3002,Calc!$F$2))</f>
        <v/>
      </c>
      <c r="P2720" s="35" t="str">
        <f aca="false">IF(OR($A2720="",$C2720="U",$S2720&lt;&gt;Calc!$F$2),"",SUMIFS($N$3:$N$3002,$E$3:$E$3002,$E2720,$C$3:$C$3002,"&lt;&gt;U",$S$3:$S$3002,Calc!$F$2))</f>
        <v/>
      </c>
      <c r="Q2720" s="35" t="str">
        <f aca="false">IF(OR($A2720="",$C2720="U",$S2720&lt;&gt;Calc!$F$2),"",IF(COUNTIFS($E$3:$E2720,$E2720,$C$3:$C2720,"&lt;&gt;U",$S$3:$S2720,Calc!$F$2)=1,1,0))</f>
        <v/>
      </c>
      <c r="R2720" s="35" t="str">
        <f aca="false">IF($Q2720=1,$O2720-ROW()/100000,"")</f>
        <v/>
      </c>
      <c r="S2720" s="37" t="str">
        <f aca="false">IF($A2720="","",INT($A2720))</f>
        <v/>
      </c>
      <c r="T2720" s="35" t="str">
        <f aca="false">IF($A2720="","",IF(COUNTIFS($S$3:$S2720,$S2720)=1,1,0))</f>
        <v/>
      </c>
      <c r="U2720" s="37" t="str">
        <f aca="false">IF($T2720=1,$S2720,"")</f>
        <v/>
      </c>
    </row>
    <row r="2721" customFormat="false" ht="15" hidden="false" customHeight="false" outlineLevel="0" collapsed="false">
      <c r="M2721" s="35" t="str">
        <f aca="false">IF($A2721="","",HOUR($A2721))</f>
        <v/>
      </c>
      <c r="N2721" s="36" t="str">
        <f aca="false">IF($A2721="","",$I2721*$K2721)</f>
        <v/>
      </c>
      <c r="O2721" s="35" t="str">
        <f aca="false">IF(OR($A2721="",$C2721="U",$S2721&lt;&gt;Calc!$F$2),"",SUMIFS($I$3:$I$3002,$E$3:$E$3002,$E2721,$C$3:$C$3002,"&lt;&gt;U",$S$3:$S$3002,Calc!$F$2))</f>
        <v/>
      </c>
      <c r="P2721" s="35" t="str">
        <f aca="false">IF(OR($A2721="",$C2721="U",$S2721&lt;&gt;Calc!$F$2),"",SUMIFS($N$3:$N$3002,$E$3:$E$3002,$E2721,$C$3:$C$3002,"&lt;&gt;U",$S$3:$S$3002,Calc!$F$2))</f>
        <v/>
      </c>
      <c r="Q2721" s="35" t="str">
        <f aca="false">IF(OR($A2721="",$C2721="U",$S2721&lt;&gt;Calc!$F$2),"",IF(COUNTIFS($E$3:$E2721,$E2721,$C$3:$C2721,"&lt;&gt;U",$S$3:$S2721,Calc!$F$2)=1,1,0))</f>
        <v/>
      </c>
      <c r="R2721" s="35" t="str">
        <f aca="false">IF($Q2721=1,$O2721-ROW()/100000,"")</f>
        <v/>
      </c>
      <c r="S2721" s="37" t="str">
        <f aca="false">IF($A2721="","",INT($A2721))</f>
        <v/>
      </c>
      <c r="T2721" s="35" t="str">
        <f aca="false">IF($A2721="","",IF(COUNTIFS($S$3:$S2721,$S2721)=1,1,0))</f>
        <v/>
      </c>
      <c r="U2721" s="37" t="str">
        <f aca="false">IF($T2721=1,$S2721,"")</f>
        <v/>
      </c>
    </row>
    <row r="2722" customFormat="false" ht="15" hidden="false" customHeight="false" outlineLevel="0" collapsed="false">
      <c r="M2722" s="35" t="str">
        <f aca="false">IF($A2722="","",HOUR($A2722))</f>
        <v/>
      </c>
      <c r="N2722" s="36" t="str">
        <f aca="false">IF($A2722="","",$I2722*$K2722)</f>
        <v/>
      </c>
      <c r="O2722" s="35" t="str">
        <f aca="false">IF(OR($A2722="",$C2722="U",$S2722&lt;&gt;Calc!$F$2),"",SUMIFS($I$3:$I$3002,$E$3:$E$3002,$E2722,$C$3:$C$3002,"&lt;&gt;U",$S$3:$S$3002,Calc!$F$2))</f>
        <v/>
      </c>
      <c r="P2722" s="35" t="str">
        <f aca="false">IF(OR($A2722="",$C2722="U",$S2722&lt;&gt;Calc!$F$2),"",SUMIFS($N$3:$N$3002,$E$3:$E$3002,$E2722,$C$3:$C$3002,"&lt;&gt;U",$S$3:$S$3002,Calc!$F$2))</f>
        <v/>
      </c>
      <c r="Q2722" s="35" t="str">
        <f aca="false">IF(OR($A2722="",$C2722="U",$S2722&lt;&gt;Calc!$F$2),"",IF(COUNTIFS($E$3:$E2722,$E2722,$C$3:$C2722,"&lt;&gt;U",$S$3:$S2722,Calc!$F$2)=1,1,0))</f>
        <v/>
      </c>
      <c r="R2722" s="35" t="str">
        <f aca="false">IF($Q2722=1,$O2722-ROW()/100000,"")</f>
        <v/>
      </c>
      <c r="S2722" s="37" t="str">
        <f aca="false">IF($A2722="","",INT($A2722))</f>
        <v/>
      </c>
      <c r="T2722" s="35" t="str">
        <f aca="false">IF($A2722="","",IF(COUNTIFS($S$3:$S2722,$S2722)=1,1,0))</f>
        <v/>
      </c>
      <c r="U2722" s="37" t="str">
        <f aca="false">IF($T2722=1,$S2722,"")</f>
        <v/>
      </c>
    </row>
    <row r="2723" customFormat="false" ht="15" hidden="false" customHeight="false" outlineLevel="0" collapsed="false">
      <c r="M2723" s="35" t="str">
        <f aca="false">IF($A2723="","",HOUR($A2723))</f>
        <v/>
      </c>
      <c r="N2723" s="36" t="str">
        <f aca="false">IF($A2723="","",$I2723*$K2723)</f>
        <v/>
      </c>
      <c r="O2723" s="35" t="str">
        <f aca="false">IF(OR($A2723="",$C2723="U",$S2723&lt;&gt;Calc!$F$2),"",SUMIFS($I$3:$I$3002,$E$3:$E$3002,$E2723,$C$3:$C$3002,"&lt;&gt;U",$S$3:$S$3002,Calc!$F$2))</f>
        <v/>
      </c>
      <c r="P2723" s="35" t="str">
        <f aca="false">IF(OR($A2723="",$C2723="U",$S2723&lt;&gt;Calc!$F$2),"",SUMIFS($N$3:$N$3002,$E$3:$E$3002,$E2723,$C$3:$C$3002,"&lt;&gt;U",$S$3:$S$3002,Calc!$F$2))</f>
        <v/>
      </c>
      <c r="Q2723" s="35" t="str">
        <f aca="false">IF(OR($A2723="",$C2723="U",$S2723&lt;&gt;Calc!$F$2),"",IF(COUNTIFS($E$3:$E2723,$E2723,$C$3:$C2723,"&lt;&gt;U",$S$3:$S2723,Calc!$F$2)=1,1,0))</f>
        <v/>
      </c>
      <c r="R2723" s="35" t="str">
        <f aca="false">IF($Q2723=1,$O2723-ROW()/100000,"")</f>
        <v/>
      </c>
      <c r="S2723" s="37" t="str">
        <f aca="false">IF($A2723="","",INT($A2723))</f>
        <v/>
      </c>
      <c r="T2723" s="35" t="str">
        <f aca="false">IF($A2723="","",IF(COUNTIFS($S$3:$S2723,$S2723)=1,1,0))</f>
        <v/>
      </c>
      <c r="U2723" s="37" t="str">
        <f aca="false">IF($T2723=1,$S2723,"")</f>
        <v/>
      </c>
    </row>
    <row r="2724" customFormat="false" ht="15" hidden="false" customHeight="false" outlineLevel="0" collapsed="false">
      <c r="M2724" s="35" t="str">
        <f aca="false">IF($A2724="","",HOUR($A2724))</f>
        <v/>
      </c>
      <c r="N2724" s="36" t="str">
        <f aca="false">IF($A2724="","",$I2724*$K2724)</f>
        <v/>
      </c>
      <c r="O2724" s="35" t="str">
        <f aca="false">IF(OR($A2724="",$C2724="U",$S2724&lt;&gt;Calc!$F$2),"",SUMIFS($I$3:$I$3002,$E$3:$E$3002,$E2724,$C$3:$C$3002,"&lt;&gt;U",$S$3:$S$3002,Calc!$F$2))</f>
        <v/>
      </c>
      <c r="P2724" s="35" t="str">
        <f aca="false">IF(OR($A2724="",$C2724="U",$S2724&lt;&gt;Calc!$F$2),"",SUMIFS($N$3:$N$3002,$E$3:$E$3002,$E2724,$C$3:$C$3002,"&lt;&gt;U",$S$3:$S$3002,Calc!$F$2))</f>
        <v/>
      </c>
      <c r="Q2724" s="35" t="str">
        <f aca="false">IF(OR($A2724="",$C2724="U",$S2724&lt;&gt;Calc!$F$2),"",IF(COUNTIFS($E$3:$E2724,$E2724,$C$3:$C2724,"&lt;&gt;U",$S$3:$S2724,Calc!$F$2)=1,1,0))</f>
        <v/>
      </c>
      <c r="R2724" s="35" t="str">
        <f aca="false">IF($Q2724=1,$O2724-ROW()/100000,"")</f>
        <v/>
      </c>
      <c r="S2724" s="37" t="str">
        <f aca="false">IF($A2724="","",INT($A2724))</f>
        <v/>
      </c>
      <c r="T2724" s="35" t="str">
        <f aca="false">IF($A2724="","",IF(COUNTIFS($S$3:$S2724,$S2724)=1,1,0))</f>
        <v/>
      </c>
      <c r="U2724" s="37" t="str">
        <f aca="false">IF($T2724=1,$S2724,"")</f>
        <v/>
      </c>
    </row>
    <row r="2725" customFormat="false" ht="15" hidden="false" customHeight="false" outlineLevel="0" collapsed="false">
      <c r="M2725" s="35" t="str">
        <f aca="false">IF($A2725="","",HOUR($A2725))</f>
        <v/>
      </c>
      <c r="N2725" s="36" t="str">
        <f aca="false">IF($A2725="","",$I2725*$K2725)</f>
        <v/>
      </c>
      <c r="O2725" s="35" t="str">
        <f aca="false">IF(OR($A2725="",$C2725="U",$S2725&lt;&gt;Calc!$F$2),"",SUMIFS($I$3:$I$3002,$E$3:$E$3002,$E2725,$C$3:$C$3002,"&lt;&gt;U",$S$3:$S$3002,Calc!$F$2))</f>
        <v/>
      </c>
      <c r="P2725" s="35" t="str">
        <f aca="false">IF(OR($A2725="",$C2725="U",$S2725&lt;&gt;Calc!$F$2),"",SUMIFS($N$3:$N$3002,$E$3:$E$3002,$E2725,$C$3:$C$3002,"&lt;&gt;U",$S$3:$S$3002,Calc!$F$2))</f>
        <v/>
      </c>
      <c r="Q2725" s="35" t="str">
        <f aca="false">IF(OR($A2725="",$C2725="U",$S2725&lt;&gt;Calc!$F$2),"",IF(COUNTIFS($E$3:$E2725,$E2725,$C$3:$C2725,"&lt;&gt;U",$S$3:$S2725,Calc!$F$2)=1,1,0))</f>
        <v/>
      </c>
      <c r="R2725" s="35" t="str">
        <f aca="false">IF($Q2725=1,$O2725-ROW()/100000,"")</f>
        <v/>
      </c>
      <c r="S2725" s="37" t="str">
        <f aca="false">IF($A2725="","",INT($A2725))</f>
        <v/>
      </c>
      <c r="T2725" s="35" t="str">
        <f aca="false">IF($A2725="","",IF(COUNTIFS($S$3:$S2725,$S2725)=1,1,0))</f>
        <v/>
      </c>
      <c r="U2725" s="37" t="str">
        <f aca="false">IF($T2725=1,$S2725,"")</f>
        <v/>
      </c>
    </row>
    <row r="2726" customFormat="false" ht="15" hidden="false" customHeight="false" outlineLevel="0" collapsed="false">
      <c r="M2726" s="35" t="str">
        <f aca="false">IF($A2726="","",HOUR($A2726))</f>
        <v/>
      </c>
      <c r="N2726" s="36" t="str">
        <f aca="false">IF($A2726="","",$I2726*$K2726)</f>
        <v/>
      </c>
      <c r="O2726" s="35" t="str">
        <f aca="false">IF(OR($A2726="",$C2726="U",$S2726&lt;&gt;Calc!$F$2),"",SUMIFS($I$3:$I$3002,$E$3:$E$3002,$E2726,$C$3:$C$3002,"&lt;&gt;U",$S$3:$S$3002,Calc!$F$2))</f>
        <v/>
      </c>
      <c r="P2726" s="35" t="str">
        <f aca="false">IF(OR($A2726="",$C2726="U",$S2726&lt;&gt;Calc!$F$2),"",SUMIFS($N$3:$N$3002,$E$3:$E$3002,$E2726,$C$3:$C$3002,"&lt;&gt;U",$S$3:$S$3002,Calc!$F$2))</f>
        <v/>
      </c>
      <c r="Q2726" s="35" t="str">
        <f aca="false">IF(OR($A2726="",$C2726="U",$S2726&lt;&gt;Calc!$F$2),"",IF(COUNTIFS($E$3:$E2726,$E2726,$C$3:$C2726,"&lt;&gt;U",$S$3:$S2726,Calc!$F$2)=1,1,0))</f>
        <v/>
      </c>
      <c r="R2726" s="35" t="str">
        <f aca="false">IF($Q2726=1,$O2726-ROW()/100000,"")</f>
        <v/>
      </c>
      <c r="S2726" s="37" t="str">
        <f aca="false">IF($A2726="","",INT($A2726))</f>
        <v/>
      </c>
      <c r="T2726" s="35" t="str">
        <f aca="false">IF($A2726="","",IF(COUNTIFS($S$3:$S2726,$S2726)=1,1,0))</f>
        <v/>
      </c>
      <c r="U2726" s="37" t="str">
        <f aca="false">IF($T2726=1,$S2726,"")</f>
        <v/>
      </c>
    </row>
    <row r="2727" customFormat="false" ht="15" hidden="false" customHeight="false" outlineLevel="0" collapsed="false">
      <c r="M2727" s="35" t="str">
        <f aca="false">IF($A2727="","",HOUR($A2727))</f>
        <v/>
      </c>
      <c r="N2727" s="36" t="str">
        <f aca="false">IF($A2727="","",$I2727*$K2727)</f>
        <v/>
      </c>
      <c r="O2727" s="35" t="str">
        <f aca="false">IF(OR($A2727="",$C2727="U",$S2727&lt;&gt;Calc!$F$2),"",SUMIFS($I$3:$I$3002,$E$3:$E$3002,$E2727,$C$3:$C$3002,"&lt;&gt;U",$S$3:$S$3002,Calc!$F$2))</f>
        <v/>
      </c>
      <c r="P2727" s="35" t="str">
        <f aca="false">IF(OR($A2727="",$C2727="U",$S2727&lt;&gt;Calc!$F$2),"",SUMIFS($N$3:$N$3002,$E$3:$E$3002,$E2727,$C$3:$C$3002,"&lt;&gt;U",$S$3:$S$3002,Calc!$F$2))</f>
        <v/>
      </c>
      <c r="Q2727" s="35" t="str">
        <f aca="false">IF(OR($A2727="",$C2727="U",$S2727&lt;&gt;Calc!$F$2),"",IF(COUNTIFS($E$3:$E2727,$E2727,$C$3:$C2727,"&lt;&gt;U",$S$3:$S2727,Calc!$F$2)=1,1,0))</f>
        <v/>
      </c>
      <c r="R2727" s="35" t="str">
        <f aca="false">IF($Q2727=1,$O2727-ROW()/100000,"")</f>
        <v/>
      </c>
      <c r="S2727" s="37" t="str">
        <f aca="false">IF($A2727="","",INT($A2727))</f>
        <v/>
      </c>
      <c r="T2727" s="35" t="str">
        <f aca="false">IF($A2727="","",IF(COUNTIFS($S$3:$S2727,$S2727)=1,1,0))</f>
        <v/>
      </c>
      <c r="U2727" s="37" t="str">
        <f aca="false">IF($T2727=1,$S2727,"")</f>
        <v/>
      </c>
    </row>
    <row r="2728" customFormat="false" ht="15" hidden="false" customHeight="false" outlineLevel="0" collapsed="false">
      <c r="M2728" s="35" t="str">
        <f aca="false">IF($A2728="","",HOUR($A2728))</f>
        <v/>
      </c>
      <c r="N2728" s="36" t="str">
        <f aca="false">IF($A2728="","",$I2728*$K2728)</f>
        <v/>
      </c>
      <c r="O2728" s="35" t="str">
        <f aca="false">IF(OR($A2728="",$C2728="U",$S2728&lt;&gt;Calc!$F$2),"",SUMIFS($I$3:$I$3002,$E$3:$E$3002,$E2728,$C$3:$C$3002,"&lt;&gt;U",$S$3:$S$3002,Calc!$F$2))</f>
        <v/>
      </c>
      <c r="P2728" s="35" t="str">
        <f aca="false">IF(OR($A2728="",$C2728="U",$S2728&lt;&gt;Calc!$F$2),"",SUMIFS($N$3:$N$3002,$E$3:$E$3002,$E2728,$C$3:$C$3002,"&lt;&gt;U",$S$3:$S$3002,Calc!$F$2))</f>
        <v/>
      </c>
      <c r="Q2728" s="35" t="str">
        <f aca="false">IF(OR($A2728="",$C2728="U",$S2728&lt;&gt;Calc!$F$2),"",IF(COUNTIFS($E$3:$E2728,$E2728,$C$3:$C2728,"&lt;&gt;U",$S$3:$S2728,Calc!$F$2)=1,1,0))</f>
        <v/>
      </c>
      <c r="R2728" s="35" t="str">
        <f aca="false">IF($Q2728=1,$O2728-ROW()/100000,"")</f>
        <v/>
      </c>
      <c r="S2728" s="37" t="str">
        <f aca="false">IF($A2728="","",INT($A2728))</f>
        <v/>
      </c>
      <c r="T2728" s="35" t="str">
        <f aca="false">IF($A2728="","",IF(COUNTIFS($S$3:$S2728,$S2728)=1,1,0))</f>
        <v/>
      </c>
      <c r="U2728" s="37" t="str">
        <f aca="false">IF($T2728=1,$S2728,"")</f>
        <v/>
      </c>
    </row>
    <row r="2729" customFormat="false" ht="15" hidden="false" customHeight="false" outlineLevel="0" collapsed="false">
      <c r="M2729" s="35" t="str">
        <f aca="false">IF($A2729="","",HOUR($A2729))</f>
        <v/>
      </c>
      <c r="N2729" s="36" t="str">
        <f aca="false">IF($A2729="","",$I2729*$K2729)</f>
        <v/>
      </c>
      <c r="O2729" s="35" t="str">
        <f aca="false">IF(OR($A2729="",$C2729="U",$S2729&lt;&gt;Calc!$F$2),"",SUMIFS($I$3:$I$3002,$E$3:$E$3002,$E2729,$C$3:$C$3002,"&lt;&gt;U",$S$3:$S$3002,Calc!$F$2))</f>
        <v/>
      </c>
      <c r="P2729" s="35" t="str">
        <f aca="false">IF(OR($A2729="",$C2729="U",$S2729&lt;&gt;Calc!$F$2),"",SUMIFS($N$3:$N$3002,$E$3:$E$3002,$E2729,$C$3:$C$3002,"&lt;&gt;U",$S$3:$S$3002,Calc!$F$2))</f>
        <v/>
      </c>
      <c r="Q2729" s="35" t="str">
        <f aca="false">IF(OR($A2729="",$C2729="U",$S2729&lt;&gt;Calc!$F$2),"",IF(COUNTIFS($E$3:$E2729,$E2729,$C$3:$C2729,"&lt;&gt;U",$S$3:$S2729,Calc!$F$2)=1,1,0))</f>
        <v/>
      </c>
      <c r="R2729" s="35" t="str">
        <f aca="false">IF($Q2729=1,$O2729-ROW()/100000,"")</f>
        <v/>
      </c>
      <c r="S2729" s="37" t="str">
        <f aca="false">IF($A2729="","",INT($A2729))</f>
        <v/>
      </c>
      <c r="T2729" s="35" t="str">
        <f aca="false">IF($A2729="","",IF(COUNTIFS($S$3:$S2729,$S2729)=1,1,0))</f>
        <v/>
      </c>
      <c r="U2729" s="37" t="str">
        <f aca="false">IF($T2729=1,$S2729,"")</f>
        <v/>
      </c>
    </row>
    <row r="2730" customFormat="false" ht="15" hidden="false" customHeight="false" outlineLevel="0" collapsed="false">
      <c r="M2730" s="35" t="str">
        <f aca="false">IF($A2730="","",HOUR($A2730))</f>
        <v/>
      </c>
      <c r="N2730" s="36" t="str">
        <f aca="false">IF($A2730="","",$I2730*$K2730)</f>
        <v/>
      </c>
      <c r="O2730" s="35" t="str">
        <f aca="false">IF(OR($A2730="",$C2730="U",$S2730&lt;&gt;Calc!$F$2),"",SUMIFS($I$3:$I$3002,$E$3:$E$3002,$E2730,$C$3:$C$3002,"&lt;&gt;U",$S$3:$S$3002,Calc!$F$2))</f>
        <v/>
      </c>
      <c r="P2730" s="35" t="str">
        <f aca="false">IF(OR($A2730="",$C2730="U",$S2730&lt;&gt;Calc!$F$2),"",SUMIFS($N$3:$N$3002,$E$3:$E$3002,$E2730,$C$3:$C$3002,"&lt;&gt;U",$S$3:$S$3002,Calc!$F$2))</f>
        <v/>
      </c>
      <c r="Q2730" s="35" t="str">
        <f aca="false">IF(OR($A2730="",$C2730="U",$S2730&lt;&gt;Calc!$F$2),"",IF(COUNTIFS($E$3:$E2730,$E2730,$C$3:$C2730,"&lt;&gt;U",$S$3:$S2730,Calc!$F$2)=1,1,0))</f>
        <v/>
      </c>
      <c r="R2730" s="35" t="str">
        <f aca="false">IF($Q2730=1,$O2730-ROW()/100000,"")</f>
        <v/>
      </c>
      <c r="S2730" s="37" t="str">
        <f aca="false">IF($A2730="","",INT($A2730))</f>
        <v/>
      </c>
      <c r="T2730" s="35" t="str">
        <f aca="false">IF($A2730="","",IF(COUNTIFS($S$3:$S2730,$S2730)=1,1,0))</f>
        <v/>
      </c>
      <c r="U2730" s="37" t="str">
        <f aca="false">IF($T2730=1,$S2730,"")</f>
        <v/>
      </c>
    </row>
    <row r="2731" customFormat="false" ht="15" hidden="false" customHeight="false" outlineLevel="0" collapsed="false">
      <c r="M2731" s="35" t="str">
        <f aca="false">IF($A2731="","",HOUR($A2731))</f>
        <v/>
      </c>
      <c r="N2731" s="36" t="str">
        <f aca="false">IF($A2731="","",$I2731*$K2731)</f>
        <v/>
      </c>
      <c r="O2731" s="35" t="str">
        <f aca="false">IF(OR($A2731="",$C2731="U",$S2731&lt;&gt;Calc!$F$2),"",SUMIFS($I$3:$I$3002,$E$3:$E$3002,$E2731,$C$3:$C$3002,"&lt;&gt;U",$S$3:$S$3002,Calc!$F$2))</f>
        <v/>
      </c>
      <c r="P2731" s="35" t="str">
        <f aca="false">IF(OR($A2731="",$C2731="U",$S2731&lt;&gt;Calc!$F$2),"",SUMIFS($N$3:$N$3002,$E$3:$E$3002,$E2731,$C$3:$C$3002,"&lt;&gt;U",$S$3:$S$3002,Calc!$F$2))</f>
        <v/>
      </c>
      <c r="Q2731" s="35" t="str">
        <f aca="false">IF(OR($A2731="",$C2731="U",$S2731&lt;&gt;Calc!$F$2),"",IF(COUNTIFS($E$3:$E2731,$E2731,$C$3:$C2731,"&lt;&gt;U",$S$3:$S2731,Calc!$F$2)=1,1,0))</f>
        <v/>
      </c>
      <c r="R2731" s="35" t="str">
        <f aca="false">IF($Q2731=1,$O2731-ROW()/100000,"")</f>
        <v/>
      </c>
      <c r="S2731" s="37" t="str">
        <f aca="false">IF($A2731="","",INT($A2731))</f>
        <v/>
      </c>
      <c r="T2731" s="35" t="str">
        <f aca="false">IF($A2731="","",IF(COUNTIFS($S$3:$S2731,$S2731)=1,1,0))</f>
        <v/>
      </c>
      <c r="U2731" s="37" t="str">
        <f aca="false">IF($T2731=1,$S2731,"")</f>
        <v/>
      </c>
    </row>
    <row r="2732" customFormat="false" ht="15" hidden="false" customHeight="false" outlineLevel="0" collapsed="false">
      <c r="M2732" s="35" t="str">
        <f aca="false">IF($A2732="","",HOUR($A2732))</f>
        <v/>
      </c>
      <c r="N2732" s="36" t="str">
        <f aca="false">IF($A2732="","",$I2732*$K2732)</f>
        <v/>
      </c>
      <c r="O2732" s="35" t="str">
        <f aca="false">IF(OR($A2732="",$C2732="U",$S2732&lt;&gt;Calc!$F$2),"",SUMIFS($I$3:$I$3002,$E$3:$E$3002,$E2732,$C$3:$C$3002,"&lt;&gt;U",$S$3:$S$3002,Calc!$F$2))</f>
        <v/>
      </c>
      <c r="P2732" s="35" t="str">
        <f aca="false">IF(OR($A2732="",$C2732="U",$S2732&lt;&gt;Calc!$F$2),"",SUMIFS($N$3:$N$3002,$E$3:$E$3002,$E2732,$C$3:$C$3002,"&lt;&gt;U",$S$3:$S$3002,Calc!$F$2))</f>
        <v/>
      </c>
      <c r="Q2732" s="35" t="str">
        <f aca="false">IF(OR($A2732="",$C2732="U",$S2732&lt;&gt;Calc!$F$2),"",IF(COUNTIFS($E$3:$E2732,$E2732,$C$3:$C2732,"&lt;&gt;U",$S$3:$S2732,Calc!$F$2)=1,1,0))</f>
        <v/>
      </c>
      <c r="R2732" s="35" t="str">
        <f aca="false">IF($Q2732=1,$O2732-ROW()/100000,"")</f>
        <v/>
      </c>
      <c r="S2732" s="37" t="str">
        <f aca="false">IF($A2732="","",INT($A2732))</f>
        <v/>
      </c>
      <c r="T2732" s="35" t="str">
        <f aca="false">IF($A2732="","",IF(COUNTIFS($S$3:$S2732,$S2732)=1,1,0))</f>
        <v/>
      </c>
      <c r="U2732" s="37" t="str">
        <f aca="false">IF($T2732=1,$S2732,"")</f>
        <v/>
      </c>
    </row>
    <row r="2733" customFormat="false" ht="15" hidden="false" customHeight="false" outlineLevel="0" collapsed="false">
      <c r="M2733" s="35" t="str">
        <f aca="false">IF($A2733="","",HOUR($A2733))</f>
        <v/>
      </c>
      <c r="N2733" s="36" t="str">
        <f aca="false">IF($A2733="","",$I2733*$K2733)</f>
        <v/>
      </c>
      <c r="O2733" s="35" t="str">
        <f aca="false">IF(OR($A2733="",$C2733="U",$S2733&lt;&gt;Calc!$F$2),"",SUMIFS($I$3:$I$3002,$E$3:$E$3002,$E2733,$C$3:$C$3002,"&lt;&gt;U",$S$3:$S$3002,Calc!$F$2))</f>
        <v/>
      </c>
      <c r="P2733" s="35" t="str">
        <f aca="false">IF(OR($A2733="",$C2733="U",$S2733&lt;&gt;Calc!$F$2),"",SUMIFS($N$3:$N$3002,$E$3:$E$3002,$E2733,$C$3:$C$3002,"&lt;&gt;U",$S$3:$S$3002,Calc!$F$2))</f>
        <v/>
      </c>
      <c r="Q2733" s="35" t="str">
        <f aca="false">IF(OR($A2733="",$C2733="U",$S2733&lt;&gt;Calc!$F$2),"",IF(COUNTIFS($E$3:$E2733,$E2733,$C$3:$C2733,"&lt;&gt;U",$S$3:$S2733,Calc!$F$2)=1,1,0))</f>
        <v/>
      </c>
      <c r="R2733" s="35" t="str">
        <f aca="false">IF($Q2733=1,$O2733-ROW()/100000,"")</f>
        <v/>
      </c>
      <c r="S2733" s="37" t="str">
        <f aca="false">IF($A2733="","",INT($A2733))</f>
        <v/>
      </c>
      <c r="T2733" s="35" t="str">
        <f aca="false">IF($A2733="","",IF(COUNTIFS($S$3:$S2733,$S2733)=1,1,0))</f>
        <v/>
      </c>
      <c r="U2733" s="37" t="str">
        <f aca="false">IF($T2733=1,$S2733,"")</f>
        <v/>
      </c>
    </row>
    <row r="2734" customFormat="false" ht="15" hidden="false" customHeight="false" outlineLevel="0" collapsed="false">
      <c r="M2734" s="35" t="str">
        <f aca="false">IF($A2734="","",HOUR($A2734))</f>
        <v/>
      </c>
      <c r="N2734" s="36" t="str">
        <f aca="false">IF($A2734="","",$I2734*$K2734)</f>
        <v/>
      </c>
      <c r="O2734" s="35" t="str">
        <f aca="false">IF(OR($A2734="",$C2734="U",$S2734&lt;&gt;Calc!$F$2),"",SUMIFS($I$3:$I$3002,$E$3:$E$3002,$E2734,$C$3:$C$3002,"&lt;&gt;U",$S$3:$S$3002,Calc!$F$2))</f>
        <v/>
      </c>
      <c r="P2734" s="35" t="str">
        <f aca="false">IF(OR($A2734="",$C2734="U",$S2734&lt;&gt;Calc!$F$2),"",SUMIFS($N$3:$N$3002,$E$3:$E$3002,$E2734,$C$3:$C$3002,"&lt;&gt;U",$S$3:$S$3002,Calc!$F$2))</f>
        <v/>
      </c>
      <c r="Q2734" s="35" t="str">
        <f aca="false">IF(OR($A2734="",$C2734="U",$S2734&lt;&gt;Calc!$F$2),"",IF(COUNTIFS($E$3:$E2734,$E2734,$C$3:$C2734,"&lt;&gt;U",$S$3:$S2734,Calc!$F$2)=1,1,0))</f>
        <v/>
      </c>
      <c r="R2734" s="35" t="str">
        <f aca="false">IF($Q2734=1,$O2734-ROW()/100000,"")</f>
        <v/>
      </c>
      <c r="S2734" s="37" t="str">
        <f aca="false">IF($A2734="","",INT($A2734))</f>
        <v/>
      </c>
      <c r="T2734" s="35" t="str">
        <f aca="false">IF($A2734="","",IF(COUNTIFS($S$3:$S2734,$S2734)=1,1,0))</f>
        <v/>
      </c>
      <c r="U2734" s="37" t="str">
        <f aca="false">IF($T2734=1,$S2734,"")</f>
        <v/>
      </c>
    </row>
    <row r="2735" customFormat="false" ht="15" hidden="false" customHeight="false" outlineLevel="0" collapsed="false">
      <c r="M2735" s="35" t="str">
        <f aca="false">IF($A2735="","",HOUR($A2735))</f>
        <v/>
      </c>
      <c r="N2735" s="36" t="str">
        <f aca="false">IF($A2735="","",$I2735*$K2735)</f>
        <v/>
      </c>
      <c r="O2735" s="35" t="str">
        <f aca="false">IF(OR($A2735="",$C2735="U",$S2735&lt;&gt;Calc!$F$2),"",SUMIFS($I$3:$I$3002,$E$3:$E$3002,$E2735,$C$3:$C$3002,"&lt;&gt;U",$S$3:$S$3002,Calc!$F$2))</f>
        <v/>
      </c>
      <c r="P2735" s="35" t="str">
        <f aca="false">IF(OR($A2735="",$C2735="U",$S2735&lt;&gt;Calc!$F$2),"",SUMIFS($N$3:$N$3002,$E$3:$E$3002,$E2735,$C$3:$C$3002,"&lt;&gt;U",$S$3:$S$3002,Calc!$F$2))</f>
        <v/>
      </c>
      <c r="Q2735" s="35" t="str">
        <f aca="false">IF(OR($A2735="",$C2735="U",$S2735&lt;&gt;Calc!$F$2),"",IF(COUNTIFS($E$3:$E2735,$E2735,$C$3:$C2735,"&lt;&gt;U",$S$3:$S2735,Calc!$F$2)=1,1,0))</f>
        <v/>
      </c>
      <c r="R2735" s="35" t="str">
        <f aca="false">IF($Q2735=1,$O2735-ROW()/100000,"")</f>
        <v/>
      </c>
      <c r="S2735" s="37" t="str">
        <f aca="false">IF($A2735="","",INT($A2735))</f>
        <v/>
      </c>
      <c r="T2735" s="35" t="str">
        <f aca="false">IF($A2735="","",IF(COUNTIFS($S$3:$S2735,$S2735)=1,1,0))</f>
        <v/>
      </c>
      <c r="U2735" s="37" t="str">
        <f aca="false">IF($T2735=1,$S2735,"")</f>
        <v/>
      </c>
    </row>
    <row r="2736" customFormat="false" ht="15" hidden="false" customHeight="false" outlineLevel="0" collapsed="false">
      <c r="M2736" s="35" t="str">
        <f aca="false">IF($A2736="","",HOUR($A2736))</f>
        <v/>
      </c>
      <c r="N2736" s="36" t="str">
        <f aca="false">IF($A2736="","",$I2736*$K2736)</f>
        <v/>
      </c>
      <c r="O2736" s="35" t="str">
        <f aca="false">IF(OR($A2736="",$C2736="U",$S2736&lt;&gt;Calc!$F$2),"",SUMIFS($I$3:$I$3002,$E$3:$E$3002,$E2736,$C$3:$C$3002,"&lt;&gt;U",$S$3:$S$3002,Calc!$F$2))</f>
        <v/>
      </c>
      <c r="P2736" s="35" t="str">
        <f aca="false">IF(OR($A2736="",$C2736="U",$S2736&lt;&gt;Calc!$F$2),"",SUMIFS($N$3:$N$3002,$E$3:$E$3002,$E2736,$C$3:$C$3002,"&lt;&gt;U",$S$3:$S$3002,Calc!$F$2))</f>
        <v/>
      </c>
      <c r="Q2736" s="35" t="str">
        <f aca="false">IF(OR($A2736="",$C2736="U",$S2736&lt;&gt;Calc!$F$2),"",IF(COUNTIFS($E$3:$E2736,$E2736,$C$3:$C2736,"&lt;&gt;U",$S$3:$S2736,Calc!$F$2)=1,1,0))</f>
        <v/>
      </c>
      <c r="R2736" s="35" t="str">
        <f aca="false">IF($Q2736=1,$O2736-ROW()/100000,"")</f>
        <v/>
      </c>
      <c r="S2736" s="37" t="str">
        <f aca="false">IF($A2736="","",INT($A2736))</f>
        <v/>
      </c>
      <c r="T2736" s="35" t="str">
        <f aca="false">IF($A2736="","",IF(COUNTIFS($S$3:$S2736,$S2736)=1,1,0))</f>
        <v/>
      </c>
      <c r="U2736" s="37" t="str">
        <f aca="false">IF($T2736=1,$S2736,"")</f>
        <v/>
      </c>
    </row>
    <row r="2737" customFormat="false" ht="15" hidden="false" customHeight="false" outlineLevel="0" collapsed="false">
      <c r="M2737" s="35" t="str">
        <f aca="false">IF($A2737="","",HOUR($A2737))</f>
        <v/>
      </c>
      <c r="N2737" s="36" t="str">
        <f aca="false">IF($A2737="","",$I2737*$K2737)</f>
        <v/>
      </c>
      <c r="O2737" s="35" t="str">
        <f aca="false">IF(OR($A2737="",$C2737="U",$S2737&lt;&gt;Calc!$F$2),"",SUMIFS($I$3:$I$3002,$E$3:$E$3002,$E2737,$C$3:$C$3002,"&lt;&gt;U",$S$3:$S$3002,Calc!$F$2))</f>
        <v/>
      </c>
      <c r="P2737" s="35" t="str">
        <f aca="false">IF(OR($A2737="",$C2737="U",$S2737&lt;&gt;Calc!$F$2),"",SUMIFS($N$3:$N$3002,$E$3:$E$3002,$E2737,$C$3:$C$3002,"&lt;&gt;U",$S$3:$S$3002,Calc!$F$2))</f>
        <v/>
      </c>
      <c r="Q2737" s="35" t="str">
        <f aca="false">IF(OR($A2737="",$C2737="U",$S2737&lt;&gt;Calc!$F$2),"",IF(COUNTIFS($E$3:$E2737,$E2737,$C$3:$C2737,"&lt;&gt;U",$S$3:$S2737,Calc!$F$2)=1,1,0))</f>
        <v/>
      </c>
      <c r="R2737" s="35" t="str">
        <f aca="false">IF($Q2737=1,$O2737-ROW()/100000,"")</f>
        <v/>
      </c>
      <c r="S2737" s="37" t="str">
        <f aca="false">IF($A2737="","",INT($A2737))</f>
        <v/>
      </c>
      <c r="T2737" s="35" t="str">
        <f aca="false">IF($A2737="","",IF(COUNTIFS($S$3:$S2737,$S2737)=1,1,0))</f>
        <v/>
      </c>
      <c r="U2737" s="37" t="str">
        <f aca="false">IF($T2737=1,$S2737,"")</f>
        <v/>
      </c>
    </row>
    <row r="2738" customFormat="false" ht="15" hidden="false" customHeight="false" outlineLevel="0" collapsed="false">
      <c r="M2738" s="35" t="str">
        <f aca="false">IF($A2738="","",HOUR($A2738))</f>
        <v/>
      </c>
      <c r="N2738" s="36" t="str">
        <f aca="false">IF($A2738="","",$I2738*$K2738)</f>
        <v/>
      </c>
      <c r="O2738" s="35" t="str">
        <f aca="false">IF(OR($A2738="",$C2738="U",$S2738&lt;&gt;Calc!$F$2),"",SUMIFS($I$3:$I$3002,$E$3:$E$3002,$E2738,$C$3:$C$3002,"&lt;&gt;U",$S$3:$S$3002,Calc!$F$2))</f>
        <v/>
      </c>
      <c r="P2738" s="35" t="str">
        <f aca="false">IF(OR($A2738="",$C2738="U",$S2738&lt;&gt;Calc!$F$2),"",SUMIFS($N$3:$N$3002,$E$3:$E$3002,$E2738,$C$3:$C$3002,"&lt;&gt;U",$S$3:$S$3002,Calc!$F$2))</f>
        <v/>
      </c>
      <c r="Q2738" s="35" t="str">
        <f aca="false">IF(OR($A2738="",$C2738="U",$S2738&lt;&gt;Calc!$F$2),"",IF(COUNTIFS($E$3:$E2738,$E2738,$C$3:$C2738,"&lt;&gt;U",$S$3:$S2738,Calc!$F$2)=1,1,0))</f>
        <v/>
      </c>
      <c r="R2738" s="35" t="str">
        <f aca="false">IF($Q2738=1,$O2738-ROW()/100000,"")</f>
        <v/>
      </c>
      <c r="S2738" s="37" t="str">
        <f aca="false">IF($A2738="","",INT($A2738))</f>
        <v/>
      </c>
      <c r="T2738" s="35" t="str">
        <f aca="false">IF($A2738="","",IF(COUNTIFS($S$3:$S2738,$S2738)=1,1,0))</f>
        <v/>
      </c>
      <c r="U2738" s="37" t="str">
        <f aca="false">IF($T2738=1,$S2738,"")</f>
        <v/>
      </c>
    </row>
    <row r="2739" customFormat="false" ht="15" hidden="false" customHeight="false" outlineLevel="0" collapsed="false">
      <c r="M2739" s="35" t="str">
        <f aca="false">IF($A2739="","",HOUR($A2739))</f>
        <v/>
      </c>
      <c r="N2739" s="36" t="str">
        <f aca="false">IF($A2739="","",$I2739*$K2739)</f>
        <v/>
      </c>
      <c r="O2739" s="35" t="str">
        <f aca="false">IF(OR($A2739="",$C2739="U",$S2739&lt;&gt;Calc!$F$2),"",SUMIFS($I$3:$I$3002,$E$3:$E$3002,$E2739,$C$3:$C$3002,"&lt;&gt;U",$S$3:$S$3002,Calc!$F$2))</f>
        <v/>
      </c>
      <c r="P2739" s="35" t="str">
        <f aca="false">IF(OR($A2739="",$C2739="U",$S2739&lt;&gt;Calc!$F$2),"",SUMIFS($N$3:$N$3002,$E$3:$E$3002,$E2739,$C$3:$C$3002,"&lt;&gt;U",$S$3:$S$3002,Calc!$F$2))</f>
        <v/>
      </c>
      <c r="Q2739" s="35" t="str">
        <f aca="false">IF(OR($A2739="",$C2739="U",$S2739&lt;&gt;Calc!$F$2),"",IF(COUNTIFS($E$3:$E2739,$E2739,$C$3:$C2739,"&lt;&gt;U",$S$3:$S2739,Calc!$F$2)=1,1,0))</f>
        <v/>
      </c>
      <c r="R2739" s="35" t="str">
        <f aca="false">IF($Q2739=1,$O2739-ROW()/100000,"")</f>
        <v/>
      </c>
      <c r="S2739" s="37" t="str">
        <f aca="false">IF($A2739="","",INT($A2739))</f>
        <v/>
      </c>
      <c r="T2739" s="35" t="str">
        <f aca="false">IF($A2739="","",IF(COUNTIFS($S$3:$S2739,$S2739)=1,1,0))</f>
        <v/>
      </c>
      <c r="U2739" s="37" t="str">
        <f aca="false">IF($T2739=1,$S2739,"")</f>
        <v/>
      </c>
    </row>
    <row r="2740" customFormat="false" ht="15" hidden="false" customHeight="false" outlineLevel="0" collapsed="false">
      <c r="M2740" s="35" t="str">
        <f aca="false">IF($A2740="","",HOUR($A2740))</f>
        <v/>
      </c>
      <c r="N2740" s="36" t="str">
        <f aca="false">IF($A2740="","",$I2740*$K2740)</f>
        <v/>
      </c>
      <c r="O2740" s="35" t="str">
        <f aca="false">IF(OR($A2740="",$C2740="U",$S2740&lt;&gt;Calc!$F$2),"",SUMIFS($I$3:$I$3002,$E$3:$E$3002,$E2740,$C$3:$C$3002,"&lt;&gt;U",$S$3:$S$3002,Calc!$F$2))</f>
        <v/>
      </c>
      <c r="P2740" s="35" t="str">
        <f aca="false">IF(OR($A2740="",$C2740="U",$S2740&lt;&gt;Calc!$F$2),"",SUMIFS($N$3:$N$3002,$E$3:$E$3002,$E2740,$C$3:$C$3002,"&lt;&gt;U",$S$3:$S$3002,Calc!$F$2))</f>
        <v/>
      </c>
      <c r="Q2740" s="35" t="str">
        <f aca="false">IF(OR($A2740="",$C2740="U",$S2740&lt;&gt;Calc!$F$2),"",IF(COUNTIFS($E$3:$E2740,$E2740,$C$3:$C2740,"&lt;&gt;U",$S$3:$S2740,Calc!$F$2)=1,1,0))</f>
        <v/>
      </c>
      <c r="R2740" s="35" t="str">
        <f aca="false">IF($Q2740=1,$O2740-ROW()/100000,"")</f>
        <v/>
      </c>
      <c r="S2740" s="37" t="str">
        <f aca="false">IF($A2740="","",INT($A2740))</f>
        <v/>
      </c>
      <c r="T2740" s="35" t="str">
        <f aca="false">IF($A2740="","",IF(COUNTIFS($S$3:$S2740,$S2740)=1,1,0))</f>
        <v/>
      </c>
      <c r="U2740" s="37" t="str">
        <f aca="false">IF($T2740=1,$S2740,"")</f>
        <v/>
      </c>
    </row>
    <row r="2741" customFormat="false" ht="15" hidden="false" customHeight="false" outlineLevel="0" collapsed="false">
      <c r="M2741" s="35" t="str">
        <f aca="false">IF($A2741="","",HOUR($A2741))</f>
        <v/>
      </c>
      <c r="N2741" s="36" t="str">
        <f aca="false">IF($A2741="","",$I2741*$K2741)</f>
        <v/>
      </c>
      <c r="O2741" s="35" t="str">
        <f aca="false">IF(OR($A2741="",$C2741="U",$S2741&lt;&gt;Calc!$F$2),"",SUMIFS($I$3:$I$3002,$E$3:$E$3002,$E2741,$C$3:$C$3002,"&lt;&gt;U",$S$3:$S$3002,Calc!$F$2))</f>
        <v/>
      </c>
      <c r="P2741" s="35" t="str">
        <f aca="false">IF(OR($A2741="",$C2741="U",$S2741&lt;&gt;Calc!$F$2),"",SUMIFS($N$3:$N$3002,$E$3:$E$3002,$E2741,$C$3:$C$3002,"&lt;&gt;U",$S$3:$S$3002,Calc!$F$2))</f>
        <v/>
      </c>
      <c r="Q2741" s="35" t="str">
        <f aca="false">IF(OR($A2741="",$C2741="U",$S2741&lt;&gt;Calc!$F$2),"",IF(COUNTIFS($E$3:$E2741,$E2741,$C$3:$C2741,"&lt;&gt;U",$S$3:$S2741,Calc!$F$2)=1,1,0))</f>
        <v/>
      </c>
      <c r="R2741" s="35" t="str">
        <f aca="false">IF($Q2741=1,$O2741-ROW()/100000,"")</f>
        <v/>
      </c>
      <c r="S2741" s="37" t="str">
        <f aca="false">IF($A2741="","",INT($A2741))</f>
        <v/>
      </c>
      <c r="T2741" s="35" t="str">
        <f aca="false">IF($A2741="","",IF(COUNTIFS($S$3:$S2741,$S2741)=1,1,0))</f>
        <v/>
      </c>
      <c r="U2741" s="37" t="str">
        <f aca="false">IF($T2741=1,$S2741,"")</f>
        <v/>
      </c>
    </row>
    <row r="2742" customFormat="false" ht="15" hidden="false" customHeight="false" outlineLevel="0" collapsed="false">
      <c r="M2742" s="35" t="str">
        <f aca="false">IF($A2742="","",HOUR($A2742))</f>
        <v/>
      </c>
      <c r="N2742" s="36" t="str">
        <f aca="false">IF($A2742="","",$I2742*$K2742)</f>
        <v/>
      </c>
      <c r="O2742" s="35" t="str">
        <f aca="false">IF(OR($A2742="",$C2742="U",$S2742&lt;&gt;Calc!$F$2),"",SUMIFS($I$3:$I$3002,$E$3:$E$3002,$E2742,$C$3:$C$3002,"&lt;&gt;U",$S$3:$S$3002,Calc!$F$2))</f>
        <v/>
      </c>
      <c r="P2742" s="35" t="str">
        <f aca="false">IF(OR($A2742="",$C2742="U",$S2742&lt;&gt;Calc!$F$2),"",SUMIFS($N$3:$N$3002,$E$3:$E$3002,$E2742,$C$3:$C$3002,"&lt;&gt;U",$S$3:$S$3002,Calc!$F$2))</f>
        <v/>
      </c>
      <c r="Q2742" s="35" t="str">
        <f aca="false">IF(OR($A2742="",$C2742="U",$S2742&lt;&gt;Calc!$F$2),"",IF(COUNTIFS($E$3:$E2742,$E2742,$C$3:$C2742,"&lt;&gt;U",$S$3:$S2742,Calc!$F$2)=1,1,0))</f>
        <v/>
      </c>
      <c r="R2742" s="35" t="str">
        <f aca="false">IF($Q2742=1,$O2742-ROW()/100000,"")</f>
        <v/>
      </c>
      <c r="S2742" s="37" t="str">
        <f aca="false">IF($A2742="","",INT($A2742))</f>
        <v/>
      </c>
      <c r="T2742" s="35" t="str">
        <f aca="false">IF($A2742="","",IF(COUNTIFS($S$3:$S2742,$S2742)=1,1,0))</f>
        <v/>
      </c>
      <c r="U2742" s="37" t="str">
        <f aca="false">IF($T2742=1,$S2742,"")</f>
        <v/>
      </c>
    </row>
    <row r="2743" customFormat="false" ht="15" hidden="false" customHeight="false" outlineLevel="0" collapsed="false">
      <c r="M2743" s="35" t="str">
        <f aca="false">IF($A2743="","",HOUR($A2743))</f>
        <v/>
      </c>
      <c r="N2743" s="36" t="str">
        <f aca="false">IF($A2743="","",$I2743*$K2743)</f>
        <v/>
      </c>
      <c r="O2743" s="35" t="str">
        <f aca="false">IF(OR($A2743="",$C2743="U",$S2743&lt;&gt;Calc!$F$2),"",SUMIFS($I$3:$I$3002,$E$3:$E$3002,$E2743,$C$3:$C$3002,"&lt;&gt;U",$S$3:$S$3002,Calc!$F$2))</f>
        <v/>
      </c>
      <c r="P2743" s="35" t="str">
        <f aca="false">IF(OR($A2743="",$C2743="U",$S2743&lt;&gt;Calc!$F$2),"",SUMIFS($N$3:$N$3002,$E$3:$E$3002,$E2743,$C$3:$C$3002,"&lt;&gt;U",$S$3:$S$3002,Calc!$F$2))</f>
        <v/>
      </c>
      <c r="Q2743" s="35" t="str">
        <f aca="false">IF(OR($A2743="",$C2743="U",$S2743&lt;&gt;Calc!$F$2),"",IF(COUNTIFS($E$3:$E2743,$E2743,$C$3:$C2743,"&lt;&gt;U",$S$3:$S2743,Calc!$F$2)=1,1,0))</f>
        <v/>
      </c>
      <c r="R2743" s="35" t="str">
        <f aca="false">IF($Q2743=1,$O2743-ROW()/100000,"")</f>
        <v/>
      </c>
      <c r="S2743" s="37" t="str">
        <f aca="false">IF($A2743="","",INT($A2743))</f>
        <v/>
      </c>
      <c r="T2743" s="35" t="str">
        <f aca="false">IF($A2743="","",IF(COUNTIFS($S$3:$S2743,$S2743)=1,1,0))</f>
        <v/>
      </c>
      <c r="U2743" s="37" t="str">
        <f aca="false">IF($T2743=1,$S2743,"")</f>
        <v/>
      </c>
    </row>
    <row r="2744" customFormat="false" ht="15" hidden="false" customHeight="false" outlineLevel="0" collapsed="false">
      <c r="M2744" s="35" t="str">
        <f aca="false">IF($A2744="","",HOUR($A2744))</f>
        <v/>
      </c>
      <c r="N2744" s="36" t="str">
        <f aca="false">IF($A2744="","",$I2744*$K2744)</f>
        <v/>
      </c>
      <c r="O2744" s="35" t="str">
        <f aca="false">IF(OR($A2744="",$C2744="U",$S2744&lt;&gt;Calc!$F$2),"",SUMIFS($I$3:$I$3002,$E$3:$E$3002,$E2744,$C$3:$C$3002,"&lt;&gt;U",$S$3:$S$3002,Calc!$F$2))</f>
        <v/>
      </c>
      <c r="P2744" s="35" t="str">
        <f aca="false">IF(OR($A2744="",$C2744="U",$S2744&lt;&gt;Calc!$F$2),"",SUMIFS($N$3:$N$3002,$E$3:$E$3002,$E2744,$C$3:$C$3002,"&lt;&gt;U",$S$3:$S$3002,Calc!$F$2))</f>
        <v/>
      </c>
      <c r="Q2744" s="35" t="str">
        <f aca="false">IF(OR($A2744="",$C2744="U",$S2744&lt;&gt;Calc!$F$2),"",IF(COUNTIFS($E$3:$E2744,$E2744,$C$3:$C2744,"&lt;&gt;U",$S$3:$S2744,Calc!$F$2)=1,1,0))</f>
        <v/>
      </c>
      <c r="R2744" s="35" t="str">
        <f aca="false">IF($Q2744=1,$O2744-ROW()/100000,"")</f>
        <v/>
      </c>
      <c r="S2744" s="37" t="str">
        <f aca="false">IF($A2744="","",INT($A2744))</f>
        <v/>
      </c>
      <c r="T2744" s="35" t="str">
        <f aca="false">IF($A2744="","",IF(COUNTIFS($S$3:$S2744,$S2744)=1,1,0))</f>
        <v/>
      </c>
      <c r="U2744" s="37" t="str">
        <f aca="false">IF($T2744=1,$S2744,"")</f>
        <v/>
      </c>
    </row>
    <row r="2745" customFormat="false" ht="15" hidden="false" customHeight="false" outlineLevel="0" collapsed="false">
      <c r="M2745" s="35" t="str">
        <f aca="false">IF($A2745="","",HOUR($A2745))</f>
        <v/>
      </c>
      <c r="N2745" s="36" t="str">
        <f aca="false">IF($A2745="","",$I2745*$K2745)</f>
        <v/>
      </c>
      <c r="O2745" s="35" t="str">
        <f aca="false">IF(OR($A2745="",$C2745="U",$S2745&lt;&gt;Calc!$F$2),"",SUMIFS($I$3:$I$3002,$E$3:$E$3002,$E2745,$C$3:$C$3002,"&lt;&gt;U",$S$3:$S$3002,Calc!$F$2))</f>
        <v/>
      </c>
      <c r="P2745" s="35" t="str">
        <f aca="false">IF(OR($A2745="",$C2745="U",$S2745&lt;&gt;Calc!$F$2),"",SUMIFS($N$3:$N$3002,$E$3:$E$3002,$E2745,$C$3:$C$3002,"&lt;&gt;U",$S$3:$S$3002,Calc!$F$2))</f>
        <v/>
      </c>
      <c r="Q2745" s="35" t="str">
        <f aca="false">IF(OR($A2745="",$C2745="U",$S2745&lt;&gt;Calc!$F$2),"",IF(COUNTIFS($E$3:$E2745,$E2745,$C$3:$C2745,"&lt;&gt;U",$S$3:$S2745,Calc!$F$2)=1,1,0))</f>
        <v/>
      </c>
      <c r="R2745" s="35" t="str">
        <f aca="false">IF($Q2745=1,$O2745-ROW()/100000,"")</f>
        <v/>
      </c>
      <c r="S2745" s="37" t="str">
        <f aca="false">IF($A2745="","",INT($A2745))</f>
        <v/>
      </c>
      <c r="T2745" s="35" t="str">
        <f aca="false">IF($A2745="","",IF(COUNTIFS($S$3:$S2745,$S2745)=1,1,0))</f>
        <v/>
      </c>
      <c r="U2745" s="37" t="str">
        <f aca="false">IF($T2745=1,$S2745,"")</f>
        <v/>
      </c>
    </row>
    <row r="2746" customFormat="false" ht="15" hidden="false" customHeight="false" outlineLevel="0" collapsed="false">
      <c r="M2746" s="35" t="str">
        <f aca="false">IF($A2746="","",HOUR($A2746))</f>
        <v/>
      </c>
      <c r="N2746" s="36" t="str">
        <f aca="false">IF($A2746="","",$I2746*$K2746)</f>
        <v/>
      </c>
      <c r="O2746" s="35" t="str">
        <f aca="false">IF(OR($A2746="",$C2746="U",$S2746&lt;&gt;Calc!$F$2),"",SUMIFS($I$3:$I$3002,$E$3:$E$3002,$E2746,$C$3:$C$3002,"&lt;&gt;U",$S$3:$S$3002,Calc!$F$2))</f>
        <v/>
      </c>
      <c r="P2746" s="35" t="str">
        <f aca="false">IF(OR($A2746="",$C2746="U",$S2746&lt;&gt;Calc!$F$2),"",SUMIFS($N$3:$N$3002,$E$3:$E$3002,$E2746,$C$3:$C$3002,"&lt;&gt;U",$S$3:$S$3002,Calc!$F$2))</f>
        <v/>
      </c>
      <c r="Q2746" s="35" t="str">
        <f aca="false">IF(OR($A2746="",$C2746="U",$S2746&lt;&gt;Calc!$F$2),"",IF(COUNTIFS($E$3:$E2746,$E2746,$C$3:$C2746,"&lt;&gt;U",$S$3:$S2746,Calc!$F$2)=1,1,0))</f>
        <v/>
      </c>
      <c r="R2746" s="35" t="str">
        <f aca="false">IF($Q2746=1,$O2746-ROW()/100000,"")</f>
        <v/>
      </c>
      <c r="S2746" s="37" t="str">
        <f aca="false">IF($A2746="","",INT($A2746))</f>
        <v/>
      </c>
      <c r="T2746" s="35" t="str">
        <f aca="false">IF($A2746="","",IF(COUNTIFS($S$3:$S2746,$S2746)=1,1,0))</f>
        <v/>
      </c>
      <c r="U2746" s="37" t="str">
        <f aca="false">IF($T2746=1,$S2746,"")</f>
        <v/>
      </c>
    </row>
    <row r="2747" customFormat="false" ht="15" hidden="false" customHeight="false" outlineLevel="0" collapsed="false">
      <c r="M2747" s="35" t="str">
        <f aca="false">IF($A2747="","",HOUR($A2747))</f>
        <v/>
      </c>
      <c r="N2747" s="36" t="str">
        <f aca="false">IF($A2747="","",$I2747*$K2747)</f>
        <v/>
      </c>
      <c r="O2747" s="35" t="str">
        <f aca="false">IF(OR($A2747="",$C2747="U",$S2747&lt;&gt;Calc!$F$2),"",SUMIFS($I$3:$I$3002,$E$3:$E$3002,$E2747,$C$3:$C$3002,"&lt;&gt;U",$S$3:$S$3002,Calc!$F$2))</f>
        <v/>
      </c>
      <c r="P2747" s="35" t="str">
        <f aca="false">IF(OR($A2747="",$C2747="U",$S2747&lt;&gt;Calc!$F$2),"",SUMIFS($N$3:$N$3002,$E$3:$E$3002,$E2747,$C$3:$C$3002,"&lt;&gt;U",$S$3:$S$3002,Calc!$F$2))</f>
        <v/>
      </c>
      <c r="Q2747" s="35" t="str">
        <f aca="false">IF(OR($A2747="",$C2747="U",$S2747&lt;&gt;Calc!$F$2),"",IF(COUNTIFS($E$3:$E2747,$E2747,$C$3:$C2747,"&lt;&gt;U",$S$3:$S2747,Calc!$F$2)=1,1,0))</f>
        <v/>
      </c>
      <c r="R2747" s="35" t="str">
        <f aca="false">IF($Q2747=1,$O2747-ROW()/100000,"")</f>
        <v/>
      </c>
      <c r="S2747" s="37" t="str">
        <f aca="false">IF($A2747="","",INT($A2747))</f>
        <v/>
      </c>
      <c r="T2747" s="35" t="str">
        <f aca="false">IF($A2747="","",IF(COUNTIFS($S$3:$S2747,$S2747)=1,1,0))</f>
        <v/>
      </c>
      <c r="U2747" s="37" t="str">
        <f aca="false">IF($T2747=1,$S2747,"")</f>
        <v/>
      </c>
    </row>
    <row r="2748" customFormat="false" ht="15" hidden="false" customHeight="false" outlineLevel="0" collapsed="false">
      <c r="M2748" s="35" t="str">
        <f aca="false">IF($A2748="","",HOUR($A2748))</f>
        <v/>
      </c>
      <c r="N2748" s="36" t="str">
        <f aca="false">IF($A2748="","",$I2748*$K2748)</f>
        <v/>
      </c>
      <c r="O2748" s="35" t="str">
        <f aca="false">IF(OR($A2748="",$C2748="U",$S2748&lt;&gt;Calc!$F$2),"",SUMIFS($I$3:$I$3002,$E$3:$E$3002,$E2748,$C$3:$C$3002,"&lt;&gt;U",$S$3:$S$3002,Calc!$F$2))</f>
        <v/>
      </c>
      <c r="P2748" s="35" t="str">
        <f aca="false">IF(OR($A2748="",$C2748="U",$S2748&lt;&gt;Calc!$F$2),"",SUMIFS($N$3:$N$3002,$E$3:$E$3002,$E2748,$C$3:$C$3002,"&lt;&gt;U",$S$3:$S$3002,Calc!$F$2))</f>
        <v/>
      </c>
      <c r="Q2748" s="35" t="str">
        <f aca="false">IF(OR($A2748="",$C2748="U",$S2748&lt;&gt;Calc!$F$2),"",IF(COUNTIFS($E$3:$E2748,$E2748,$C$3:$C2748,"&lt;&gt;U",$S$3:$S2748,Calc!$F$2)=1,1,0))</f>
        <v/>
      </c>
      <c r="R2748" s="35" t="str">
        <f aca="false">IF($Q2748=1,$O2748-ROW()/100000,"")</f>
        <v/>
      </c>
      <c r="S2748" s="37" t="str">
        <f aca="false">IF($A2748="","",INT($A2748))</f>
        <v/>
      </c>
      <c r="T2748" s="35" t="str">
        <f aca="false">IF($A2748="","",IF(COUNTIFS($S$3:$S2748,$S2748)=1,1,0))</f>
        <v/>
      </c>
      <c r="U2748" s="37" t="str">
        <f aca="false">IF($T2748=1,$S2748,"")</f>
        <v/>
      </c>
    </row>
    <row r="2749" customFormat="false" ht="15" hidden="false" customHeight="false" outlineLevel="0" collapsed="false">
      <c r="M2749" s="35" t="str">
        <f aca="false">IF($A2749="","",HOUR($A2749))</f>
        <v/>
      </c>
      <c r="N2749" s="36" t="str">
        <f aca="false">IF($A2749="","",$I2749*$K2749)</f>
        <v/>
      </c>
      <c r="O2749" s="35" t="str">
        <f aca="false">IF(OR($A2749="",$C2749="U",$S2749&lt;&gt;Calc!$F$2),"",SUMIFS($I$3:$I$3002,$E$3:$E$3002,$E2749,$C$3:$C$3002,"&lt;&gt;U",$S$3:$S$3002,Calc!$F$2))</f>
        <v/>
      </c>
      <c r="P2749" s="35" t="str">
        <f aca="false">IF(OR($A2749="",$C2749="U",$S2749&lt;&gt;Calc!$F$2),"",SUMIFS($N$3:$N$3002,$E$3:$E$3002,$E2749,$C$3:$C$3002,"&lt;&gt;U",$S$3:$S$3002,Calc!$F$2))</f>
        <v/>
      </c>
      <c r="Q2749" s="35" t="str">
        <f aca="false">IF(OR($A2749="",$C2749="U",$S2749&lt;&gt;Calc!$F$2),"",IF(COUNTIFS($E$3:$E2749,$E2749,$C$3:$C2749,"&lt;&gt;U",$S$3:$S2749,Calc!$F$2)=1,1,0))</f>
        <v/>
      </c>
      <c r="R2749" s="35" t="str">
        <f aca="false">IF($Q2749=1,$O2749-ROW()/100000,"")</f>
        <v/>
      </c>
      <c r="S2749" s="37" t="str">
        <f aca="false">IF($A2749="","",INT($A2749))</f>
        <v/>
      </c>
      <c r="T2749" s="35" t="str">
        <f aca="false">IF($A2749="","",IF(COUNTIFS($S$3:$S2749,$S2749)=1,1,0))</f>
        <v/>
      </c>
      <c r="U2749" s="37" t="str">
        <f aca="false">IF($T2749=1,$S2749,"")</f>
        <v/>
      </c>
    </row>
    <row r="2750" customFormat="false" ht="15" hidden="false" customHeight="false" outlineLevel="0" collapsed="false">
      <c r="M2750" s="35" t="str">
        <f aca="false">IF($A2750="","",HOUR($A2750))</f>
        <v/>
      </c>
      <c r="N2750" s="36" t="str">
        <f aca="false">IF($A2750="","",$I2750*$K2750)</f>
        <v/>
      </c>
      <c r="O2750" s="35" t="str">
        <f aca="false">IF(OR($A2750="",$C2750="U",$S2750&lt;&gt;Calc!$F$2),"",SUMIFS($I$3:$I$3002,$E$3:$E$3002,$E2750,$C$3:$C$3002,"&lt;&gt;U",$S$3:$S$3002,Calc!$F$2))</f>
        <v/>
      </c>
      <c r="P2750" s="35" t="str">
        <f aca="false">IF(OR($A2750="",$C2750="U",$S2750&lt;&gt;Calc!$F$2),"",SUMIFS($N$3:$N$3002,$E$3:$E$3002,$E2750,$C$3:$C$3002,"&lt;&gt;U",$S$3:$S$3002,Calc!$F$2))</f>
        <v/>
      </c>
      <c r="Q2750" s="35" t="str">
        <f aca="false">IF(OR($A2750="",$C2750="U",$S2750&lt;&gt;Calc!$F$2),"",IF(COUNTIFS($E$3:$E2750,$E2750,$C$3:$C2750,"&lt;&gt;U",$S$3:$S2750,Calc!$F$2)=1,1,0))</f>
        <v/>
      </c>
      <c r="R2750" s="35" t="str">
        <f aca="false">IF($Q2750=1,$O2750-ROW()/100000,"")</f>
        <v/>
      </c>
      <c r="S2750" s="37" t="str">
        <f aca="false">IF($A2750="","",INT($A2750))</f>
        <v/>
      </c>
      <c r="T2750" s="35" t="str">
        <f aca="false">IF($A2750="","",IF(COUNTIFS($S$3:$S2750,$S2750)=1,1,0))</f>
        <v/>
      </c>
      <c r="U2750" s="37" t="str">
        <f aca="false">IF($T2750=1,$S2750,"")</f>
        <v/>
      </c>
    </row>
    <row r="2751" customFormat="false" ht="15" hidden="false" customHeight="false" outlineLevel="0" collapsed="false">
      <c r="M2751" s="35" t="str">
        <f aca="false">IF($A2751="","",HOUR($A2751))</f>
        <v/>
      </c>
      <c r="N2751" s="36" t="str">
        <f aca="false">IF($A2751="","",$I2751*$K2751)</f>
        <v/>
      </c>
      <c r="O2751" s="35" t="str">
        <f aca="false">IF(OR($A2751="",$C2751="U",$S2751&lt;&gt;Calc!$F$2),"",SUMIFS($I$3:$I$3002,$E$3:$E$3002,$E2751,$C$3:$C$3002,"&lt;&gt;U",$S$3:$S$3002,Calc!$F$2))</f>
        <v/>
      </c>
      <c r="P2751" s="35" t="str">
        <f aca="false">IF(OR($A2751="",$C2751="U",$S2751&lt;&gt;Calc!$F$2),"",SUMIFS($N$3:$N$3002,$E$3:$E$3002,$E2751,$C$3:$C$3002,"&lt;&gt;U",$S$3:$S$3002,Calc!$F$2))</f>
        <v/>
      </c>
      <c r="Q2751" s="35" t="str">
        <f aca="false">IF(OR($A2751="",$C2751="U",$S2751&lt;&gt;Calc!$F$2),"",IF(COUNTIFS($E$3:$E2751,$E2751,$C$3:$C2751,"&lt;&gt;U",$S$3:$S2751,Calc!$F$2)=1,1,0))</f>
        <v/>
      </c>
      <c r="R2751" s="35" t="str">
        <f aca="false">IF($Q2751=1,$O2751-ROW()/100000,"")</f>
        <v/>
      </c>
      <c r="S2751" s="37" t="str">
        <f aca="false">IF($A2751="","",INT($A2751))</f>
        <v/>
      </c>
      <c r="T2751" s="35" t="str">
        <f aca="false">IF($A2751="","",IF(COUNTIFS($S$3:$S2751,$S2751)=1,1,0))</f>
        <v/>
      </c>
      <c r="U2751" s="37" t="str">
        <f aca="false">IF($T2751=1,$S2751,"")</f>
        <v/>
      </c>
    </row>
    <row r="2752" customFormat="false" ht="15" hidden="false" customHeight="false" outlineLevel="0" collapsed="false">
      <c r="M2752" s="35" t="str">
        <f aca="false">IF($A2752="","",HOUR($A2752))</f>
        <v/>
      </c>
      <c r="N2752" s="36" t="str">
        <f aca="false">IF($A2752="","",$I2752*$K2752)</f>
        <v/>
      </c>
      <c r="O2752" s="35" t="str">
        <f aca="false">IF(OR($A2752="",$C2752="U",$S2752&lt;&gt;Calc!$F$2),"",SUMIFS($I$3:$I$3002,$E$3:$E$3002,$E2752,$C$3:$C$3002,"&lt;&gt;U",$S$3:$S$3002,Calc!$F$2))</f>
        <v/>
      </c>
      <c r="P2752" s="35" t="str">
        <f aca="false">IF(OR($A2752="",$C2752="U",$S2752&lt;&gt;Calc!$F$2),"",SUMIFS($N$3:$N$3002,$E$3:$E$3002,$E2752,$C$3:$C$3002,"&lt;&gt;U",$S$3:$S$3002,Calc!$F$2))</f>
        <v/>
      </c>
      <c r="Q2752" s="35" t="str">
        <f aca="false">IF(OR($A2752="",$C2752="U",$S2752&lt;&gt;Calc!$F$2),"",IF(COUNTIFS($E$3:$E2752,$E2752,$C$3:$C2752,"&lt;&gt;U",$S$3:$S2752,Calc!$F$2)=1,1,0))</f>
        <v/>
      </c>
      <c r="R2752" s="35" t="str">
        <f aca="false">IF($Q2752=1,$O2752-ROW()/100000,"")</f>
        <v/>
      </c>
      <c r="S2752" s="37" t="str">
        <f aca="false">IF($A2752="","",INT($A2752))</f>
        <v/>
      </c>
      <c r="T2752" s="35" t="str">
        <f aca="false">IF($A2752="","",IF(COUNTIFS($S$3:$S2752,$S2752)=1,1,0))</f>
        <v/>
      </c>
      <c r="U2752" s="37" t="str">
        <f aca="false">IF($T2752=1,$S2752,"")</f>
        <v/>
      </c>
    </row>
    <row r="2753" customFormat="false" ht="15" hidden="false" customHeight="false" outlineLevel="0" collapsed="false">
      <c r="M2753" s="35" t="str">
        <f aca="false">IF($A2753="","",HOUR($A2753))</f>
        <v/>
      </c>
      <c r="N2753" s="36" t="str">
        <f aca="false">IF($A2753="","",$I2753*$K2753)</f>
        <v/>
      </c>
      <c r="O2753" s="35" t="str">
        <f aca="false">IF(OR($A2753="",$C2753="U",$S2753&lt;&gt;Calc!$F$2),"",SUMIFS($I$3:$I$3002,$E$3:$E$3002,$E2753,$C$3:$C$3002,"&lt;&gt;U",$S$3:$S$3002,Calc!$F$2))</f>
        <v/>
      </c>
      <c r="P2753" s="35" t="str">
        <f aca="false">IF(OR($A2753="",$C2753="U",$S2753&lt;&gt;Calc!$F$2),"",SUMIFS($N$3:$N$3002,$E$3:$E$3002,$E2753,$C$3:$C$3002,"&lt;&gt;U",$S$3:$S$3002,Calc!$F$2))</f>
        <v/>
      </c>
      <c r="Q2753" s="35" t="str">
        <f aca="false">IF(OR($A2753="",$C2753="U",$S2753&lt;&gt;Calc!$F$2),"",IF(COUNTIFS($E$3:$E2753,$E2753,$C$3:$C2753,"&lt;&gt;U",$S$3:$S2753,Calc!$F$2)=1,1,0))</f>
        <v/>
      </c>
      <c r="R2753" s="35" t="str">
        <f aca="false">IF($Q2753=1,$O2753-ROW()/100000,"")</f>
        <v/>
      </c>
      <c r="S2753" s="37" t="str">
        <f aca="false">IF($A2753="","",INT($A2753))</f>
        <v/>
      </c>
      <c r="T2753" s="35" t="str">
        <f aca="false">IF($A2753="","",IF(COUNTIFS($S$3:$S2753,$S2753)=1,1,0))</f>
        <v/>
      </c>
      <c r="U2753" s="37" t="str">
        <f aca="false">IF($T2753=1,$S2753,"")</f>
        <v/>
      </c>
    </row>
    <row r="2754" customFormat="false" ht="15" hidden="false" customHeight="false" outlineLevel="0" collapsed="false">
      <c r="M2754" s="35" t="str">
        <f aca="false">IF($A2754="","",HOUR($A2754))</f>
        <v/>
      </c>
      <c r="N2754" s="36" t="str">
        <f aca="false">IF($A2754="","",$I2754*$K2754)</f>
        <v/>
      </c>
      <c r="O2754" s="35" t="str">
        <f aca="false">IF(OR($A2754="",$C2754="U",$S2754&lt;&gt;Calc!$F$2),"",SUMIFS($I$3:$I$3002,$E$3:$E$3002,$E2754,$C$3:$C$3002,"&lt;&gt;U",$S$3:$S$3002,Calc!$F$2))</f>
        <v/>
      </c>
      <c r="P2754" s="35" t="str">
        <f aca="false">IF(OR($A2754="",$C2754="U",$S2754&lt;&gt;Calc!$F$2),"",SUMIFS($N$3:$N$3002,$E$3:$E$3002,$E2754,$C$3:$C$3002,"&lt;&gt;U",$S$3:$S$3002,Calc!$F$2))</f>
        <v/>
      </c>
      <c r="Q2754" s="35" t="str">
        <f aca="false">IF(OR($A2754="",$C2754="U",$S2754&lt;&gt;Calc!$F$2),"",IF(COUNTIFS($E$3:$E2754,$E2754,$C$3:$C2754,"&lt;&gt;U",$S$3:$S2754,Calc!$F$2)=1,1,0))</f>
        <v/>
      </c>
      <c r="R2754" s="35" t="str">
        <f aca="false">IF($Q2754=1,$O2754-ROW()/100000,"")</f>
        <v/>
      </c>
      <c r="S2754" s="37" t="str">
        <f aca="false">IF($A2754="","",INT($A2754))</f>
        <v/>
      </c>
      <c r="T2754" s="35" t="str">
        <f aca="false">IF($A2754="","",IF(COUNTIFS($S$3:$S2754,$S2754)=1,1,0))</f>
        <v/>
      </c>
      <c r="U2754" s="37" t="str">
        <f aca="false">IF($T2754=1,$S2754,"")</f>
        <v/>
      </c>
    </row>
    <row r="2755" customFormat="false" ht="15" hidden="false" customHeight="false" outlineLevel="0" collapsed="false">
      <c r="M2755" s="35" t="str">
        <f aca="false">IF($A2755="","",HOUR($A2755))</f>
        <v/>
      </c>
      <c r="N2755" s="36" t="str">
        <f aca="false">IF($A2755="","",$I2755*$K2755)</f>
        <v/>
      </c>
      <c r="O2755" s="35" t="str">
        <f aca="false">IF(OR($A2755="",$C2755="U",$S2755&lt;&gt;Calc!$F$2),"",SUMIFS($I$3:$I$3002,$E$3:$E$3002,$E2755,$C$3:$C$3002,"&lt;&gt;U",$S$3:$S$3002,Calc!$F$2))</f>
        <v/>
      </c>
      <c r="P2755" s="35" t="str">
        <f aca="false">IF(OR($A2755="",$C2755="U",$S2755&lt;&gt;Calc!$F$2),"",SUMIFS($N$3:$N$3002,$E$3:$E$3002,$E2755,$C$3:$C$3002,"&lt;&gt;U",$S$3:$S$3002,Calc!$F$2))</f>
        <v/>
      </c>
      <c r="Q2755" s="35" t="str">
        <f aca="false">IF(OR($A2755="",$C2755="U",$S2755&lt;&gt;Calc!$F$2),"",IF(COUNTIFS($E$3:$E2755,$E2755,$C$3:$C2755,"&lt;&gt;U",$S$3:$S2755,Calc!$F$2)=1,1,0))</f>
        <v/>
      </c>
      <c r="R2755" s="35" t="str">
        <f aca="false">IF($Q2755=1,$O2755-ROW()/100000,"")</f>
        <v/>
      </c>
      <c r="S2755" s="37" t="str">
        <f aca="false">IF($A2755="","",INT($A2755))</f>
        <v/>
      </c>
      <c r="T2755" s="35" t="str">
        <f aca="false">IF($A2755="","",IF(COUNTIFS($S$3:$S2755,$S2755)=1,1,0))</f>
        <v/>
      </c>
      <c r="U2755" s="37" t="str">
        <f aca="false">IF($T2755=1,$S2755,"")</f>
        <v/>
      </c>
    </row>
    <row r="2756" customFormat="false" ht="15" hidden="false" customHeight="false" outlineLevel="0" collapsed="false">
      <c r="M2756" s="35" t="str">
        <f aca="false">IF($A2756="","",HOUR($A2756))</f>
        <v/>
      </c>
      <c r="N2756" s="36" t="str">
        <f aca="false">IF($A2756="","",$I2756*$K2756)</f>
        <v/>
      </c>
      <c r="O2756" s="35" t="str">
        <f aca="false">IF(OR($A2756="",$C2756="U",$S2756&lt;&gt;Calc!$F$2),"",SUMIFS($I$3:$I$3002,$E$3:$E$3002,$E2756,$C$3:$C$3002,"&lt;&gt;U",$S$3:$S$3002,Calc!$F$2))</f>
        <v/>
      </c>
      <c r="P2756" s="35" t="str">
        <f aca="false">IF(OR($A2756="",$C2756="U",$S2756&lt;&gt;Calc!$F$2),"",SUMIFS($N$3:$N$3002,$E$3:$E$3002,$E2756,$C$3:$C$3002,"&lt;&gt;U",$S$3:$S$3002,Calc!$F$2))</f>
        <v/>
      </c>
      <c r="Q2756" s="35" t="str">
        <f aca="false">IF(OR($A2756="",$C2756="U",$S2756&lt;&gt;Calc!$F$2),"",IF(COUNTIFS($E$3:$E2756,$E2756,$C$3:$C2756,"&lt;&gt;U",$S$3:$S2756,Calc!$F$2)=1,1,0))</f>
        <v/>
      </c>
      <c r="R2756" s="35" t="str">
        <f aca="false">IF($Q2756=1,$O2756-ROW()/100000,"")</f>
        <v/>
      </c>
      <c r="S2756" s="37" t="str">
        <f aca="false">IF($A2756="","",INT($A2756))</f>
        <v/>
      </c>
      <c r="T2756" s="35" t="str">
        <f aca="false">IF($A2756="","",IF(COUNTIFS($S$3:$S2756,$S2756)=1,1,0))</f>
        <v/>
      </c>
      <c r="U2756" s="37" t="str">
        <f aca="false">IF($T2756=1,$S2756,"")</f>
        <v/>
      </c>
    </row>
    <row r="2757" customFormat="false" ht="15" hidden="false" customHeight="false" outlineLevel="0" collapsed="false">
      <c r="M2757" s="35" t="str">
        <f aca="false">IF($A2757="","",HOUR($A2757))</f>
        <v/>
      </c>
      <c r="N2757" s="36" t="str">
        <f aca="false">IF($A2757="","",$I2757*$K2757)</f>
        <v/>
      </c>
      <c r="O2757" s="35" t="str">
        <f aca="false">IF(OR($A2757="",$C2757="U",$S2757&lt;&gt;Calc!$F$2),"",SUMIFS($I$3:$I$3002,$E$3:$E$3002,$E2757,$C$3:$C$3002,"&lt;&gt;U",$S$3:$S$3002,Calc!$F$2))</f>
        <v/>
      </c>
      <c r="P2757" s="35" t="str">
        <f aca="false">IF(OR($A2757="",$C2757="U",$S2757&lt;&gt;Calc!$F$2),"",SUMIFS($N$3:$N$3002,$E$3:$E$3002,$E2757,$C$3:$C$3002,"&lt;&gt;U",$S$3:$S$3002,Calc!$F$2))</f>
        <v/>
      </c>
      <c r="Q2757" s="35" t="str">
        <f aca="false">IF(OR($A2757="",$C2757="U",$S2757&lt;&gt;Calc!$F$2),"",IF(COUNTIFS($E$3:$E2757,$E2757,$C$3:$C2757,"&lt;&gt;U",$S$3:$S2757,Calc!$F$2)=1,1,0))</f>
        <v/>
      </c>
      <c r="R2757" s="35" t="str">
        <f aca="false">IF($Q2757=1,$O2757-ROW()/100000,"")</f>
        <v/>
      </c>
      <c r="S2757" s="37" t="str">
        <f aca="false">IF($A2757="","",INT($A2757))</f>
        <v/>
      </c>
      <c r="T2757" s="35" t="str">
        <f aca="false">IF($A2757="","",IF(COUNTIFS($S$3:$S2757,$S2757)=1,1,0))</f>
        <v/>
      </c>
      <c r="U2757" s="37" t="str">
        <f aca="false">IF($T2757=1,$S2757,"")</f>
        <v/>
      </c>
    </row>
    <row r="2758" customFormat="false" ht="15" hidden="false" customHeight="false" outlineLevel="0" collapsed="false">
      <c r="M2758" s="35" t="str">
        <f aca="false">IF($A2758="","",HOUR($A2758))</f>
        <v/>
      </c>
      <c r="N2758" s="36" t="str">
        <f aca="false">IF($A2758="","",$I2758*$K2758)</f>
        <v/>
      </c>
      <c r="O2758" s="35" t="str">
        <f aca="false">IF(OR($A2758="",$C2758="U",$S2758&lt;&gt;Calc!$F$2),"",SUMIFS($I$3:$I$3002,$E$3:$E$3002,$E2758,$C$3:$C$3002,"&lt;&gt;U",$S$3:$S$3002,Calc!$F$2))</f>
        <v/>
      </c>
      <c r="P2758" s="35" t="str">
        <f aca="false">IF(OR($A2758="",$C2758="U",$S2758&lt;&gt;Calc!$F$2),"",SUMIFS($N$3:$N$3002,$E$3:$E$3002,$E2758,$C$3:$C$3002,"&lt;&gt;U",$S$3:$S$3002,Calc!$F$2))</f>
        <v/>
      </c>
      <c r="Q2758" s="35" t="str">
        <f aca="false">IF(OR($A2758="",$C2758="U",$S2758&lt;&gt;Calc!$F$2),"",IF(COUNTIFS($E$3:$E2758,$E2758,$C$3:$C2758,"&lt;&gt;U",$S$3:$S2758,Calc!$F$2)=1,1,0))</f>
        <v/>
      </c>
      <c r="R2758" s="35" t="str">
        <f aca="false">IF($Q2758=1,$O2758-ROW()/100000,"")</f>
        <v/>
      </c>
      <c r="S2758" s="37" t="str">
        <f aca="false">IF($A2758="","",INT($A2758))</f>
        <v/>
      </c>
      <c r="T2758" s="35" t="str">
        <f aca="false">IF($A2758="","",IF(COUNTIFS($S$3:$S2758,$S2758)=1,1,0))</f>
        <v/>
      </c>
      <c r="U2758" s="37" t="str">
        <f aca="false">IF($T2758=1,$S2758,"")</f>
        <v/>
      </c>
    </row>
    <row r="2759" customFormat="false" ht="15" hidden="false" customHeight="false" outlineLevel="0" collapsed="false">
      <c r="M2759" s="35" t="str">
        <f aca="false">IF($A2759="","",HOUR($A2759))</f>
        <v/>
      </c>
      <c r="N2759" s="36" t="str">
        <f aca="false">IF($A2759="","",$I2759*$K2759)</f>
        <v/>
      </c>
      <c r="O2759" s="35" t="str">
        <f aca="false">IF(OR($A2759="",$C2759="U",$S2759&lt;&gt;Calc!$F$2),"",SUMIFS($I$3:$I$3002,$E$3:$E$3002,$E2759,$C$3:$C$3002,"&lt;&gt;U",$S$3:$S$3002,Calc!$F$2))</f>
        <v/>
      </c>
      <c r="P2759" s="35" t="str">
        <f aca="false">IF(OR($A2759="",$C2759="U",$S2759&lt;&gt;Calc!$F$2),"",SUMIFS($N$3:$N$3002,$E$3:$E$3002,$E2759,$C$3:$C$3002,"&lt;&gt;U",$S$3:$S$3002,Calc!$F$2))</f>
        <v/>
      </c>
      <c r="Q2759" s="35" t="str">
        <f aca="false">IF(OR($A2759="",$C2759="U",$S2759&lt;&gt;Calc!$F$2),"",IF(COUNTIFS($E$3:$E2759,$E2759,$C$3:$C2759,"&lt;&gt;U",$S$3:$S2759,Calc!$F$2)=1,1,0))</f>
        <v/>
      </c>
      <c r="R2759" s="35" t="str">
        <f aca="false">IF($Q2759=1,$O2759-ROW()/100000,"")</f>
        <v/>
      </c>
      <c r="S2759" s="37" t="str">
        <f aca="false">IF($A2759="","",INT($A2759))</f>
        <v/>
      </c>
      <c r="T2759" s="35" t="str">
        <f aca="false">IF($A2759="","",IF(COUNTIFS($S$3:$S2759,$S2759)=1,1,0))</f>
        <v/>
      </c>
      <c r="U2759" s="37" t="str">
        <f aca="false">IF($T2759=1,$S2759,"")</f>
        <v/>
      </c>
    </row>
    <row r="2760" customFormat="false" ht="15" hidden="false" customHeight="false" outlineLevel="0" collapsed="false">
      <c r="M2760" s="35" t="str">
        <f aca="false">IF($A2760="","",HOUR($A2760))</f>
        <v/>
      </c>
      <c r="N2760" s="36" t="str">
        <f aca="false">IF($A2760="","",$I2760*$K2760)</f>
        <v/>
      </c>
      <c r="O2760" s="35" t="str">
        <f aca="false">IF(OR($A2760="",$C2760="U",$S2760&lt;&gt;Calc!$F$2),"",SUMIFS($I$3:$I$3002,$E$3:$E$3002,$E2760,$C$3:$C$3002,"&lt;&gt;U",$S$3:$S$3002,Calc!$F$2))</f>
        <v/>
      </c>
      <c r="P2760" s="35" t="str">
        <f aca="false">IF(OR($A2760="",$C2760="U",$S2760&lt;&gt;Calc!$F$2),"",SUMIFS($N$3:$N$3002,$E$3:$E$3002,$E2760,$C$3:$C$3002,"&lt;&gt;U",$S$3:$S$3002,Calc!$F$2))</f>
        <v/>
      </c>
      <c r="Q2760" s="35" t="str">
        <f aca="false">IF(OR($A2760="",$C2760="U",$S2760&lt;&gt;Calc!$F$2),"",IF(COUNTIFS($E$3:$E2760,$E2760,$C$3:$C2760,"&lt;&gt;U",$S$3:$S2760,Calc!$F$2)=1,1,0))</f>
        <v/>
      </c>
      <c r="R2760" s="35" t="str">
        <f aca="false">IF($Q2760=1,$O2760-ROW()/100000,"")</f>
        <v/>
      </c>
      <c r="S2760" s="37" t="str">
        <f aca="false">IF($A2760="","",INT($A2760))</f>
        <v/>
      </c>
      <c r="T2760" s="35" t="str">
        <f aca="false">IF($A2760="","",IF(COUNTIFS($S$3:$S2760,$S2760)=1,1,0))</f>
        <v/>
      </c>
      <c r="U2760" s="37" t="str">
        <f aca="false">IF($T2760=1,$S2760,"")</f>
        <v/>
      </c>
    </row>
    <row r="2761" customFormat="false" ht="15" hidden="false" customHeight="false" outlineLevel="0" collapsed="false">
      <c r="M2761" s="35" t="str">
        <f aca="false">IF($A2761="","",HOUR($A2761))</f>
        <v/>
      </c>
      <c r="N2761" s="36" t="str">
        <f aca="false">IF($A2761="","",$I2761*$K2761)</f>
        <v/>
      </c>
      <c r="O2761" s="35" t="str">
        <f aca="false">IF(OR($A2761="",$C2761="U",$S2761&lt;&gt;Calc!$F$2),"",SUMIFS($I$3:$I$3002,$E$3:$E$3002,$E2761,$C$3:$C$3002,"&lt;&gt;U",$S$3:$S$3002,Calc!$F$2))</f>
        <v/>
      </c>
      <c r="P2761" s="35" t="str">
        <f aca="false">IF(OR($A2761="",$C2761="U",$S2761&lt;&gt;Calc!$F$2),"",SUMIFS($N$3:$N$3002,$E$3:$E$3002,$E2761,$C$3:$C$3002,"&lt;&gt;U",$S$3:$S$3002,Calc!$F$2))</f>
        <v/>
      </c>
      <c r="Q2761" s="35" t="str">
        <f aca="false">IF(OR($A2761="",$C2761="U",$S2761&lt;&gt;Calc!$F$2),"",IF(COUNTIFS($E$3:$E2761,$E2761,$C$3:$C2761,"&lt;&gt;U",$S$3:$S2761,Calc!$F$2)=1,1,0))</f>
        <v/>
      </c>
      <c r="R2761" s="35" t="str">
        <f aca="false">IF($Q2761=1,$O2761-ROW()/100000,"")</f>
        <v/>
      </c>
      <c r="S2761" s="37" t="str">
        <f aca="false">IF($A2761="","",INT($A2761))</f>
        <v/>
      </c>
      <c r="T2761" s="35" t="str">
        <f aca="false">IF($A2761="","",IF(COUNTIFS($S$3:$S2761,$S2761)=1,1,0))</f>
        <v/>
      </c>
      <c r="U2761" s="37" t="str">
        <f aca="false">IF($T2761=1,$S2761,"")</f>
        <v/>
      </c>
    </row>
    <row r="2762" customFormat="false" ht="15" hidden="false" customHeight="false" outlineLevel="0" collapsed="false">
      <c r="M2762" s="35" t="str">
        <f aca="false">IF($A2762="","",HOUR($A2762))</f>
        <v/>
      </c>
      <c r="N2762" s="36" t="str">
        <f aca="false">IF($A2762="","",$I2762*$K2762)</f>
        <v/>
      </c>
      <c r="O2762" s="35" t="str">
        <f aca="false">IF(OR($A2762="",$C2762="U",$S2762&lt;&gt;Calc!$F$2),"",SUMIFS($I$3:$I$3002,$E$3:$E$3002,$E2762,$C$3:$C$3002,"&lt;&gt;U",$S$3:$S$3002,Calc!$F$2))</f>
        <v/>
      </c>
      <c r="P2762" s="35" t="str">
        <f aca="false">IF(OR($A2762="",$C2762="U",$S2762&lt;&gt;Calc!$F$2),"",SUMIFS($N$3:$N$3002,$E$3:$E$3002,$E2762,$C$3:$C$3002,"&lt;&gt;U",$S$3:$S$3002,Calc!$F$2))</f>
        <v/>
      </c>
      <c r="Q2762" s="35" t="str">
        <f aca="false">IF(OR($A2762="",$C2762="U",$S2762&lt;&gt;Calc!$F$2),"",IF(COUNTIFS($E$3:$E2762,$E2762,$C$3:$C2762,"&lt;&gt;U",$S$3:$S2762,Calc!$F$2)=1,1,0))</f>
        <v/>
      </c>
      <c r="R2762" s="35" t="str">
        <f aca="false">IF($Q2762=1,$O2762-ROW()/100000,"")</f>
        <v/>
      </c>
      <c r="S2762" s="37" t="str">
        <f aca="false">IF($A2762="","",INT($A2762))</f>
        <v/>
      </c>
      <c r="T2762" s="35" t="str">
        <f aca="false">IF($A2762="","",IF(COUNTIFS($S$3:$S2762,$S2762)=1,1,0))</f>
        <v/>
      </c>
      <c r="U2762" s="37" t="str">
        <f aca="false">IF($T2762=1,$S2762,"")</f>
        <v/>
      </c>
    </row>
    <row r="2763" customFormat="false" ht="15" hidden="false" customHeight="false" outlineLevel="0" collapsed="false">
      <c r="M2763" s="35" t="str">
        <f aca="false">IF($A2763="","",HOUR($A2763))</f>
        <v/>
      </c>
      <c r="N2763" s="36" t="str">
        <f aca="false">IF($A2763="","",$I2763*$K2763)</f>
        <v/>
      </c>
      <c r="O2763" s="35" t="str">
        <f aca="false">IF(OR($A2763="",$C2763="U",$S2763&lt;&gt;Calc!$F$2),"",SUMIFS($I$3:$I$3002,$E$3:$E$3002,$E2763,$C$3:$C$3002,"&lt;&gt;U",$S$3:$S$3002,Calc!$F$2))</f>
        <v/>
      </c>
      <c r="P2763" s="35" t="str">
        <f aca="false">IF(OR($A2763="",$C2763="U",$S2763&lt;&gt;Calc!$F$2),"",SUMIFS($N$3:$N$3002,$E$3:$E$3002,$E2763,$C$3:$C$3002,"&lt;&gt;U",$S$3:$S$3002,Calc!$F$2))</f>
        <v/>
      </c>
      <c r="Q2763" s="35" t="str">
        <f aca="false">IF(OR($A2763="",$C2763="U",$S2763&lt;&gt;Calc!$F$2),"",IF(COUNTIFS($E$3:$E2763,$E2763,$C$3:$C2763,"&lt;&gt;U",$S$3:$S2763,Calc!$F$2)=1,1,0))</f>
        <v/>
      </c>
      <c r="R2763" s="35" t="str">
        <f aca="false">IF($Q2763=1,$O2763-ROW()/100000,"")</f>
        <v/>
      </c>
      <c r="S2763" s="37" t="str">
        <f aca="false">IF($A2763="","",INT($A2763))</f>
        <v/>
      </c>
      <c r="T2763" s="35" t="str">
        <f aca="false">IF($A2763="","",IF(COUNTIFS($S$3:$S2763,$S2763)=1,1,0))</f>
        <v/>
      </c>
      <c r="U2763" s="37" t="str">
        <f aca="false">IF($T2763=1,$S2763,"")</f>
        <v/>
      </c>
    </row>
    <row r="2764" customFormat="false" ht="15" hidden="false" customHeight="false" outlineLevel="0" collapsed="false">
      <c r="M2764" s="35" t="str">
        <f aca="false">IF($A2764="","",HOUR($A2764))</f>
        <v/>
      </c>
      <c r="N2764" s="36" t="str">
        <f aca="false">IF($A2764="","",$I2764*$K2764)</f>
        <v/>
      </c>
      <c r="O2764" s="35" t="str">
        <f aca="false">IF(OR($A2764="",$C2764="U",$S2764&lt;&gt;Calc!$F$2),"",SUMIFS($I$3:$I$3002,$E$3:$E$3002,$E2764,$C$3:$C$3002,"&lt;&gt;U",$S$3:$S$3002,Calc!$F$2))</f>
        <v/>
      </c>
      <c r="P2764" s="35" t="str">
        <f aca="false">IF(OR($A2764="",$C2764="U",$S2764&lt;&gt;Calc!$F$2),"",SUMIFS($N$3:$N$3002,$E$3:$E$3002,$E2764,$C$3:$C$3002,"&lt;&gt;U",$S$3:$S$3002,Calc!$F$2))</f>
        <v/>
      </c>
      <c r="Q2764" s="35" t="str">
        <f aca="false">IF(OR($A2764="",$C2764="U",$S2764&lt;&gt;Calc!$F$2),"",IF(COUNTIFS($E$3:$E2764,$E2764,$C$3:$C2764,"&lt;&gt;U",$S$3:$S2764,Calc!$F$2)=1,1,0))</f>
        <v/>
      </c>
      <c r="R2764" s="35" t="str">
        <f aca="false">IF($Q2764=1,$O2764-ROW()/100000,"")</f>
        <v/>
      </c>
      <c r="S2764" s="37" t="str">
        <f aca="false">IF($A2764="","",INT($A2764))</f>
        <v/>
      </c>
      <c r="T2764" s="35" t="str">
        <f aca="false">IF($A2764="","",IF(COUNTIFS($S$3:$S2764,$S2764)=1,1,0))</f>
        <v/>
      </c>
      <c r="U2764" s="37" t="str">
        <f aca="false">IF($T2764=1,$S2764,"")</f>
        <v/>
      </c>
    </row>
    <row r="2765" customFormat="false" ht="15" hidden="false" customHeight="false" outlineLevel="0" collapsed="false">
      <c r="M2765" s="35" t="str">
        <f aca="false">IF($A2765="","",HOUR($A2765))</f>
        <v/>
      </c>
      <c r="N2765" s="36" t="str">
        <f aca="false">IF($A2765="","",$I2765*$K2765)</f>
        <v/>
      </c>
      <c r="O2765" s="35" t="str">
        <f aca="false">IF(OR($A2765="",$C2765="U",$S2765&lt;&gt;Calc!$F$2),"",SUMIFS($I$3:$I$3002,$E$3:$E$3002,$E2765,$C$3:$C$3002,"&lt;&gt;U",$S$3:$S$3002,Calc!$F$2))</f>
        <v/>
      </c>
      <c r="P2765" s="35" t="str">
        <f aca="false">IF(OR($A2765="",$C2765="U",$S2765&lt;&gt;Calc!$F$2),"",SUMIFS($N$3:$N$3002,$E$3:$E$3002,$E2765,$C$3:$C$3002,"&lt;&gt;U",$S$3:$S$3002,Calc!$F$2))</f>
        <v/>
      </c>
      <c r="Q2765" s="35" t="str">
        <f aca="false">IF(OR($A2765="",$C2765="U",$S2765&lt;&gt;Calc!$F$2),"",IF(COUNTIFS($E$3:$E2765,$E2765,$C$3:$C2765,"&lt;&gt;U",$S$3:$S2765,Calc!$F$2)=1,1,0))</f>
        <v/>
      </c>
      <c r="R2765" s="35" t="str">
        <f aca="false">IF($Q2765=1,$O2765-ROW()/100000,"")</f>
        <v/>
      </c>
      <c r="S2765" s="37" t="str">
        <f aca="false">IF($A2765="","",INT($A2765))</f>
        <v/>
      </c>
      <c r="T2765" s="35" t="str">
        <f aca="false">IF($A2765="","",IF(COUNTIFS($S$3:$S2765,$S2765)=1,1,0))</f>
        <v/>
      </c>
      <c r="U2765" s="37" t="str">
        <f aca="false">IF($T2765=1,$S2765,"")</f>
        <v/>
      </c>
    </row>
    <row r="2766" customFormat="false" ht="15" hidden="false" customHeight="false" outlineLevel="0" collapsed="false">
      <c r="M2766" s="35" t="str">
        <f aca="false">IF($A2766="","",HOUR($A2766))</f>
        <v/>
      </c>
      <c r="N2766" s="36" t="str">
        <f aca="false">IF($A2766="","",$I2766*$K2766)</f>
        <v/>
      </c>
      <c r="O2766" s="35" t="str">
        <f aca="false">IF(OR($A2766="",$C2766="U",$S2766&lt;&gt;Calc!$F$2),"",SUMIFS($I$3:$I$3002,$E$3:$E$3002,$E2766,$C$3:$C$3002,"&lt;&gt;U",$S$3:$S$3002,Calc!$F$2))</f>
        <v/>
      </c>
      <c r="P2766" s="35" t="str">
        <f aca="false">IF(OR($A2766="",$C2766="U",$S2766&lt;&gt;Calc!$F$2),"",SUMIFS($N$3:$N$3002,$E$3:$E$3002,$E2766,$C$3:$C$3002,"&lt;&gt;U",$S$3:$S$3002,Calc!$F$2))</f>
        <v/>
      </c>
      <c r="Q2766" s="35" t="str">
        <f aca="false">IF(OR($A2766="",$C2766="U",$S2766&lt;&gt;Calc!$F$2),"",IF(COUNTIFS($E$3:$E2766,$E2766,$C$3:$C2766,"&lt;&gt;U",$S$3:$S2766,Calc!$F$2)=1,1,0))</f>
        <v/>
      </c>
      <c r="R2766" s="35" t="str">
        <f aca="false">IF($Q2766=1,$O2766-ROW()/100000,"")</f>
        <v/>
      </c>
      <c r="S2766" s="37" t="str">
        <f aca="false">IF($A2766="","",INT($A2766))</f>
        <v/>
      </c>
      <c r="T2766" s="35" t="str">
        <f aca="false">IF($A2766="","",IF(COUNTIFS($S$3:$S2766,$S2766)=1,1,0))</f>
        <v/>
      </c>
      <c r="U2766" s="37" t="str">
        <f aca="false">IF($T2766=1,$S2766,"")</f>
        <v/>
      </c>
    </row>
    <row r="2767" customFormat="false" ht="15" hidden="false" customHeight="false" outlineLevel="0" collapsed="false">
      <c r="M2767" s="35" t="str">
        <f aca="false">IF($A2767="","",HOUR($A2767))</f>
        <v/>
      </c>
      <c r="N2767" s="36" t="str">
        <f aca="false">IF($A2767="","",$I2767*$K2767)</f>
        <v/>
      </c>
      <c r="O2767" s="35" t="str">
        <f aca="false">IF(OR($A2767="",$C2767="U",$S2767&lt;&gt;Calc!$F$2),"",SUMIFS($I$3:$I$3002,$E$3:$E$3002,$E2767,$C$3:$C$3002,"&lt;&gt;U",$S$3:$S$3002,Calc!$F$2))</f>
        <v/>
      </c>
      <c r="P2767" s="35" t="str">
        <f aca="false">IF(OR($A2767="",$C2767="U",$S2767&lt;&gt;Calc!$F$2),"",SUMIFS($N$3:$N$3002,$E$3:$E$3002,$E2767,$C$3:$C$3002,"&lt;&gt;U",$S$3:$S$3002,Calc!$F$2))</f>
        <v/>
      </c>
      <c r="Q2767" s="35" t="str">
        <f aca="false">IF(OR($A2767="",$C2767="U",$S2767&lt;&gt;Calc!$F$2),"",IF(COUNTIFS($E$3:$E2767,$E2767,$C$3:$C2767,"&lt;&gt;U",$S$3:$S2767,Calc!$F$2)=1,1,0))</f>
        <v/>
      </c>
      <c r="R2767" s="35" t="str">
        <f aca="false">IF($Q2767=1,$O2767-ROW()/100000,"")</f>
        <v/>
      </c>
      <c r="S2767" s="37" t="str">
        <f aca="false">IF($A2767="","",INT($A2767))</f>
        <v/>
      </c>
      <c r="T2767" s="35" t="str">
        <f aca="false">IF($A2767="","",IF(COUNTIFS($S$3:$S2767,$S2767)=1,1,0))</f>
        <v/>
      </c>
      <c r="U2767" s="37" t="str">
        <f aca="false">IF($T2767=1,$S2767,"")</f>
        <v/>
      </c>
    </row>
    <row r="2768" customFormat="false" ht="15" hidden="false" customHeight="false" outlineLevel="0" collapsed="false">
      <c r="M2768" s="35" t="str">
        <f aca="false">IF($A2768="","",HOUR($A2768))</f>
        <v/>
      </c>
      <c r="N2768" s="36" t="str">
        <f aca="false">IF($A2768="","",$I2768*$K2768)</f>
        <v/>
      </c>
      <c r="O2768" s="35" t="str">
        <f aca="false">IF(OR($A2768="",$C2768="U",$S2768&lt;&gt;Calc!$F$2),"",SUMIFS($I$3:$I$3002,$E$3:$E$3002,$E2768,$C$3:$C$3002,"&lt;&gt;U",$S$3:$S$3002,Calc!$F$2))</f>
        <v/>
      </c>
      <c r="P2768" s="35" t="str">
        <f aca="false">IF(OR($A2768="",$C2768="U",$S2768&lt;&gt;Calc!$F$2),"",SUMIFS($N$3:$N$3002,$E$3:$E$3002,$E2768,$C$3:$C$3002,"&lt;&gt;U",$S$3:$S$3002,Calc!$F$2))</f>
        <v/>
      </c>
      <c r="Q2768" s="35" t="str">
        <f aca="false">IF(OR($A2768="",$C2768="U",$S2768&lt;&gt;Calc!$F$2),"",IF(COUNTIFS($E$3:$E2768,$E2768,$C$3:$C2768,"&lt;&gt;U",$S$3:$S2768,Calc!$F$2)=1,1,0))</f>
        <v/>
      </c>
      <c r="R2768" s="35" t="str">
        <f aca="false">IF($Q2768=1,$O2768-ROW()/100000,"")</f>
        <v/>
      </c>
      <c r="S2768" s="37" t="str">
        <f aca="false">IF($A2768="","",INT($A2768))</f>
        <v/>
      </c>
      <c r="T2768" s="35" t="str">
        <f aca="false">IF($A2768="","",IF(COUNTIFS($S$3:$S2768,$S2768)=1,1,0))</f>
        <v/>
      </c>
      <c r="U2768" s="37" t="str">
        <f aca="false">IF($T2768=1,$S2768,"")</f>
        <v/>
      </c>
    </row>
    <row r="2769" customFormat="false" ht="15" hidden="false" customHeight="false" outlineLevel="0" collapsed="false">
      <c r="M2769" s="35" t="str">
        <f aca="false">IF($A2769="","",HOUR($A2769))</f>
        <v/>
      </c>
      <c r="N2769" s="36" t="str">
        <f aca="false">IF($A2769="","",$I2769*$K2769)</f>
        <v/>
      </c>
      <c r="O2769" s="35" t="str">
        <f aca="false">IF(OR($A2769="",$C2769="U",$S2769&lt;&gt;Calc!$F$2),"",SUMIFS($I$3:$I$3002,$E$3:$E$3002,$E2769,$C$3:$C$3002,"&lt;&gt;U",$S$3:$S$3002,Calc!$F$2))</f>
        <v/>
      </c>
      <c r="P2769" s="35" t="str">
        <f aca="false">IF(OR($A2769="",$C2769="U",$S2769&lt;&gt;Calc!$F$2),"",SUMIFS($N$3:$N$3002,$E$3:$E$3002,$E2769,$C$3:$C$3002,"&lt;&gt;U",$S$3:$S$3002,Calc!$F$2))</f>
        <v/>
      </c>
      <c r="Q2769" s="35" t="str">
        <f aca="false">IF(OR($A2769="",$C2769="U",$S2769&lt;&gt;Calc!$F$2),"",IF(COUNTIFS($E$3:$E2769,$E2769,$C$3:$C2769,"&lt;&gt;U",$S$3:$S2769,Calc!$F$2)=1,1,0))</f>
        <v/>
      </c>
      <c r="R2769" s="35" t="str">
        <f aca="false">IF($Q2769=1,$O2769-ROW()/100000,"")</f>
        <v/>
      </c>
      <c r="S2769" s="37" t="str">
        <f aca="false">IF($A2769="","",INT($A2769))</f>
        <v/>
      </c>
      <c r="T2769" s="35" t="str">
        <f aca="false">IF($A2769="","",IF(COUNTIFS($S$3:$S2769,$S2769)=1,1,0))</f>
        <v/>
      </c>
      <c r="U2769" s="37" t="str">
        <f aca="false">IF($T2769=1,$S2769,"")</f>
        <v/>
      </c>
    </row>
    <row r="2770" customFormat="false" ht="15" hidden="false" customHeight="false" outlineLevel="0" collapsed="false">
      <c r="M2770" s="35" t="str">
        <f aca="false">IF($A2770="","",HOUR($A2770))</f>
        <v/>
      </c>
      <c r="N2770" s="36" t="str">
        <f aca="false">IF($A2770="","",$I2770*$K2770)</f>
        <v/>
      </c>
      <c r="O2770" s="35" t="str">
        <f aca="false">IF(OR($A2770="",$C2770="U",$S2770&lt;&gt;Calc!$F$2),"",SUMIFS($I$3:$I$3002,$E$3:$E$3002,$E2770,$C$3:$C$3002,"&lt;&gt;U",$S$3:$S$3002,Calc!$F$2))</f>
        <v/>
      </c>
      <c r="P2770" s="35" t="str">
        <f aca="false">IF(OR($A2770="",$C2770="U",$S2770&lt;&gt;Calc!$F$2),"",SUMIFS($N$3:$N$3002,$E$3:$E$3002,$E2770,$C$3:$C$3002,"&lt;&gt;U",$S$3:$S$3002,Calc!$F$2))</f>
        <v/>
      </c>
      <c r="Q2770" s="35" t="str">
        <f aca="false">IF(OR($A2770="",$C2770="U",$S2770&lt;&gt;Calc!$F$2),"",IF(COUNTIFS($E$3:$E2770,$E2770,$C$3:$C2770,"&lt;&gt;U",$S$3:$S2770,Calc!$F$2)=1,1,0))</f>
        <v/>
      </c>
      <c r="R2770" s="35" t="str">
        <f aca="false">IF($Q2770=1,$O2770-ROW()/100000,"")</f>
        <v/>
      </c>
      <c r="S2770" s="37" t="str">
        <f aca="false">IF($A2770="","",INT($A2770))</f>
        <v/>
      </c>
      <c r="T2770" s="35" t="str">
        <f aca="false">IF($A2770="","",IF(COUNTIFS($S$3:$S2770,$S2770)=1,1,0))</f>
        <v/>
      </c>
      <c r="U2770" s="37" t="str">
        <f aca="false">IF($T2770=1,$S2770,"")</f>
        <v/>
      </c>
    </row>
    <row r="2771" customFormat="false" ht="15" hidden="false" customHeight="false" outlineLevel="0" collapsed="false">
      <c r="M2771" s="35" t="str">
        <f aca="false">IF($A2771="","",HOUR($A2771))</f>
        <v/>
      </c>
      <c r="N2771" s="36" t="str">
        <f aca="false">IF($A2771="","",$I2771*$K2771)</f>
        <v/>
      </c>
      <c r="O2771" s="35" t="str">
        <f aca="false">IF(OR($A2771="",$C2771="U",$S2771&lt;&gt;Calc!$F$2),"",SUMIFS($I$3:$I$3002,$E$3:$E$3002,$E2771,$C$3:$C$3002,"&lt;&gt;U",$S$3:$S$3002,Calc!$F$2))</f>
        <v/>
      </c>
      <c r="P2771" s="35" t="str">
        <f aca="false">IF(OR($A2771="",$C2771="U",$S2771&lt;&gt;Calc!$F$2),"",SUMIFS($N$3:$N$3002,$E$3:$E$3002,$E2771,$C$3:$C$3002,"&lt;&gt;U",$S$3:$S$3002,Calc!$F$2))</f>
        <v/>
      </c>
      <c r="Q2771" s="35" t="str">
        <f aca="false">IF(OR($A2771="",$C2771="U",$S2771&lt;&gt;Calc!$F$2),"",IF(COUNTIFS($E$3:$E2771,$E2771,$C$3:$C2771,"&lt;&gt;U",$S$3:$S2771,Calc!$F$2)=1,1,0))</f>
        <v/>
      </c>
      <c r="R2771" s="35" t="str">
        <f aca="false">IF($Q2771=1,$O2771-ROW()/100000,"")</f>
        <v/>
      </c>
      <c r="S2771" s="37" t="str">
        <f aca="false">IF($A2771="","",INT($A2771))</f>
        <v/>
      </c>
      <c r="T2771" s="35" t="str">
        <f aca="false">IF($A2771="","",IF(COUNTIFS($S$3:$S2771,$S2771)=1,1,0))</f>
        <v/>
      </c>
      <c r="U2771" s="37" t="str">
        <f aca="false">IF($T2771=1,$S2771,"")</f>
        <v/>
      </c>
    </row>
    <row r="2772" customFormat="false" ht="15" hidden="false" customHeight="false" outlineLevel="0" collapsed="false">
      <c r="M2772" s="35" t="str">
        <f aca="false">IF($A2772="","",HOUR($A2772))</f>
        <v/>
      </c>
      <c r="N2772" s="36" t="str">
        <f aca="false">IF($A2772="","",$I2772*$K2772)</f>
        <v/>
      </c>
      <c r="O2772" s="35" t="str">
        <f aca="false">IF(OR($A2772="",$C2772="U",$S2772&lt;&gt;Calc!$F$2),"",SUMIFS($I$3:$I$3002,$E$3:$E$3002,$E2772,$C$3:$C$3002,"&lt;&gt;U",$S$3:$S$3002,Calc!$F$2))</f>
        <v/>
      </c>
      <c r="P2772" s="35" t="str">
        <f aca="false">IF(OR($A2772="",$C2772="U",$S2772&lt;&gt;Calc!$F$2),"",SUMIFS($N$3:$N$3002,$E$3:$E$3002,$E2772,$C$3:$C$3002,"&lt;&gt;U",$S$3:$S$3002,Calc!$F$2))</f>
        <v/>
      </c>
      <c r="Q2772" s="35" t="str">
        <f aca="false">IF(OR($A2772="",$C2772="U",$S2772&lt;&gt;Calc!$F$2),"",IF(COUNTIFS($E$3:$E2772,$E2772,$C$3:$C2772,"&lt;&gt;U",$S$3:$S2772,Calc!$F$2)=1,1,0))</f>
        <v/>
      </c>
      <c r="R2772" s="35" t="str">
        <f aca="false">IF($Q2772=1,$O2772-ROW()/100000,"")</f>
        <v/>
      </c>
      <c r="S2772" s="37" t="str">
        <f aca="false">IF($A2772="","",INT($A2772))</f>
        <v/>
      </c>
      <c r="T2772" s="35" t="str">
        <f aca="false">IF($A2772="","",IF(COUNTIFS($S$3:$S2772,$S2772)=1,1,0))</f>
        <v/>
      </c>
      <c r="U2772" s="37" t="str">
        <f aca="false">IF($T2772=1,$S2772,"")</f>
        <v/>
      </c>
    </row>
    <row r="2773" customFormat="false" ht="15" hidden="false" customHeight="false" outlineLevel="0" collapsed="false">
      <c r="M2773" s="35" t="str">
        <f aca="false">IF($A2773="","",HOUR($A2773))</f>
        <v/>
      </c>
      <c r="N2773" s="36" t="str">
        <f aca="false">IF($A2773="","",$I2773*$K2773)</f>
        <v/>
      </c>
      <c r="O2773" s="35" t="str">
        <f aca="false">IF(OR($A2773="",$C2773="U",$S2773&lt;&gt;Calc!$F$2),"",SUMIFS($I$3:$I$3002,$E$3:$E$3002,$E2773,$C$3:$C$3002,"&lt;&gt;U",$S$3:$S$3002,Calc!$F$2))</f>
        <v/>
      </c>
      <c r="P2773" s="35" t="str">
        <f aca="false">IF(OR($A2773="",$C2773="U",$S2773&lt;&gt;Calc!$F$2),"",SUMIFS($N$3:$N$3002,$E$3:$E$3002,$E2773,$C$3:$C$3002,"&lt;&gt;U",$S$3:$S$3002,Calc!$F$2))</f>
        <v/>
      </c>
      <c r="Q2773" s="35" t="str">
        <f aca="false">IF(OR($A2773="",$C2773="U",$S2773&lt;&gt;Calc!$F$2),"",IF(COUNTIFS($E$3:$E2773,$E2773,$C$3:$C2773,"&lt;&gt;U",$S$3:$S2773,Calc!$F$2)=1,1,0))</f>
        <v/>
      </c>
      <c r="R2773" s="35" t="str">
        <f aca="false">IF($Q2773=1,$O2773-ROW()/100000,"")</f>
        <v/>
      </c>
      <c r="S2773" s="37" t="str">
        <f aca="false">IF($A2773="","",INT($A2773))</f>
        <v/>
      </c>
      <c r="T2773" s="35" t="str">
        <f aca="false">IF($A2773="","",IF(COUNTIFS($S$3:$S2773,$S2773)=1,1,0))</f>
        <v/>
      </c>
      <c r="U2773" s="37" t="str">
        <f aca="false">IF($T2773=1,$S2773,"")</f>
        <v/>
      </c>
    </row>
    <row r="2774" customFormat="false" ht="15" hidden="false" customHeight="false" outlineLevel="0" collapsed="false">
      <c r="M2774" s="35" t="str">
        <f aca="false">IF($A2774="","",HOUR($A2774))</f>
        <v/>
      </c>
      <c r="N2774" s="36" t="str">
        <f aca="false">IF($A2774="","",$I2774*$K2774)</f>
        <v/>
      </c>
      <c r="O2774" s="35" t="str">
        <f aca="false">IF(OR($A2774="",$C2774="U",$S2774&lt;&gt;Calc!$F$2),"",SUMIFS($I$3:$I$3002,$E$3:$E$3002,$E2774,$C$3:$C$3002,"&lt;&gt;U",$S$3:$S$3002,Calc!$F$2))</f>
        <v/>
      </c>
      <c r="P2774" s="35" t="str">
        <f aca="false">IF(OR($A2774="",$C2774="U",$S2774&lt;&gt;Calc!$F$2),"",SUMIFS($N$3:$N$3002,$E$3:$E$3002,$E2774,$C$3:$C$3002,"&lt;&gt;U",$S$3:$S$3002,Calc!$F$2))</f>
        <v/>
      </c>
      <c r="Q2774" s="35" t="str">
        <f aca="false">IF(OR($A2774="",$C2774="U",$S2774&lt;&gt;Calc!$F$2),"",IF(COUNTIFS($E$3:$E2774,$E2774,$C$3:$C2774,"&lt;&gt;U",$S$3:$S2774,Calc!$F$2)=1,1,0))</f>
        <v/>
      </c>
      <c r="R2774" s="35" t="str">
        <f aca="false">IF($Q2774=1,$O2774-ROW()/100000,"")</f>
        <v/>
      </c>
      <c r="S2774" s="37" t="str">
        <f aca="false">IF($A2774="","",INT($A2774))</f>
        <v/>
      </c>
      <c r="T2774" s="35" t="str">
        <f aca="false">IF($A2774="","",IF(COUNTIFS($S$3:$S2774,$S2774)=1,1,0))</f>
        <v/>
      </c>
      <c r="U2774" s="37" t="str">
        <f aca="false">IF($T2774=1,$S2774,"")</f>
        <v/>
      </c>
    </row>
    <row r="2775" customFormat="false" ht="15" hidden="false" customHeight="false" outlineLevel="0" collapsed="false">
      <c r="M2775" s="35" t="str">
        <f aca="false">IF($A2775="","",HOUR($A2775))</f>
        <v/>
      </c>
      <c r="N2775" s="36" t="str">
        <f aca="false">IF($A2775="","",$I2775*$K2775)</f>
        <v/>
      </c>
      <c r="O2775" s="35" t="str">
        <f aca="false">IF(OR($A2775="",$C2775="U",$S2775&lt;&gt;Calc!$F$2),"",SUMIFS($I$3:$I$3002,$E$3:$E$3002,$E2775,$C$3:$C$3002,"&lt;&gt;U",$S$3:$S$3002,Calc!$F$2))</f>
        <v/>
      </c>
      <c r="P2775" s="35" t="str">
        <f aca="false">IF(OR($A2775="",$C2775="U",$S2775&lt;&gt;Calc!$F$2),"",SUMIFS($N$3:$N$3002,$E$3:$E$3002,$E2775,$C$3:$C$3002,"&lt;&gt;U",$S$3:$S$3002,Calc!$F$2))</f>
        <v/>
      </c>
      <c r="Q2775" s="35" t="str">
        <f aca="false">IF(OR($A2775="",$C2775="U",$S2775&lt;&gt;Calc!$F$2),"",IF(COUNTIFS($E$3:$E2775,$E2775,$C$3:$C2775,"&lt;&gt;U",$S$3:$S2775,Calc!$F$2)=1,1,0))</f>
        <v/>
      </c>
      <c r="R2775" s="35" t="str">
        <f aca="false">IF($Q2775=1,$O2775-ROW()/100000,"")</f>
        <v/>
      </c>
      <c r="S2775" s="37" t="str">
        <f aca="false">IF($A2775="","",INT($A2775))</f>
        <v/>
      </c>
      <c r="T2775" s="35" t="str">
        <f aca="false">IF($A2775="","",IF(COUNTIFS($S$3:$S2775,$S2775)=1,1,0))</f>
        <v/>
      </c>
      <c r="U2775" s="37" t="str">
        <f aca="false">IF($T2775=1,$S2775,"")</f>
        <v/>
      </c>
    </row>
    <row r="2776" customFormat="false" ht="15" hidden="false" customHeight="false" outlineLevel="0" collapsed="false">
      <c r="M2776" s="35" t="str">
        <f aca="false">IF($A2776="","",HOUR($A2776))</f>
        <v/>
      </c>
      <c r="N2776" s="36" t="str">
        <f aca="false">IF($A2776="","",$I2776*$K2776)</f>
        <v/>
      </c>
      <c r="O2776" s="35" t="str">
        <f aca="false">IF(OR($A2776="",$C2776="U",$S2776&lt;&gt;Calc!$F$2),"",SUMIFS($I$3:$I$3002,$E$3:$E$3002,$E2776,$C$3:$C$3002,"&lt;&gt;U",$S$3:$S$3002,Calc!$F$2))</f>
        <v/>
      </c>
      <c r="P2776" s="35" t="str">
        <f aca="false">IF(OR($A2776="",$C2776="U",$S2776&lt;&gt;Calc!$F$2),"",SUMIFS($N$3:$N$3002,$E$3:$E$3002,$E2776,$C$3:$C$3002,"&lt;&gt;U",$S$3:$S$3002,Calc!$F$2))</f>
        <v/>
      </c>
      <c r="Q2776" s="35" t="str">
        <f aca="false">IF(OR($A2776="",$C2776="U",$S2776&lt;&gt;Calc!$F$2),"",IF(COUNTIFS($E$3:$E2776,$E2776,$C$3:$C2776,"&lt;&gt;U",$S$3:$S2776,Calc!$F$2)=1,1,0))</f>
        <v/>
      </c>
      <c r="R2776" s="35" t="str">
        <f aca="false">IF($Q2776=1,$O2776-ROW()/100000,"")</f>
        <v/>
      </c>
      <c r="S2776" s="37" t="str">
        <f aca="false">IF($A2776="","",INT($A2776))</f>
        <v/>
      </c>
      <c r="T2776" s="35" t="str">
        <f aca="false">IF($A2776="","",IF(COUNTIFS($S$3:$S2776,$S2776)=1,1,0))</f>
        <v/>
      </c>
      <c r="U2776" s="37" t="str">
        <f aca="false">IF($T2776=1,$S2776,"")</f>
        <v/>
      </c>
    </row>
    <row r="2777" customFormat="false" ht="15" hidden="false" customHeight="false" outlineLevel="0" collapsed="false">
      <c r="M2777" s="35" t="str">
        <f aca="false">IF($A2777="","",HOUR($A2777))</f>
        <v/>
      </c>
      <c r="N2777" s="36" t="str">
        <f aca="false">IF($A2777="","",$I2777*$K2777)</f>
        <v/>
      </c>
      <c r="O2777" s="35" t="str">
        <f aca="false">IF(OR($A2777="",$C2777="U",$S2777&lt;&gt;Calc!$F$2),"",SUMIFS($I$3:$I$3002,$E$3:$E$3002,$E2777,$C$3:$C$3002,"&lt;&gt;U",$S$3:$S$3002,Calc!$F$2))</f>
        <v/>
      </c>
      <c r="P2777" s="35" t="str">
        <f aca="false">IF(OR($A2777="",$C2777="U",$S2777&lt;&gt;Calc!$F$2),"",SUMIFS($N$3:$N$3002,$E$3:$E$3002,$E2777,$C$3:$C$3002,"&lt;&gt;U",$S$3:$S$3002,Calc!$F$2))</f>
        <v/>
      </c>
      <c r="Q2777" s="35" t="str">
        <f aca="false">IF(OR($A2777="",$C2777="U",$S2777&lt;&gt;Calc!$F$2),"",IF(COUNTIFS($E$3:$E2777,$E2777,$C$3:$C2777,"&lt;&gt;U",$S$3:$S2777,Calc!$F$2)=1,1,0))</f>
        <v/>
      </c>
      <c r="R2777" s="35" t="str">
        <f aca="false">IF($Q2777=1,$O2777-ROW()/100000,"")</f>
        <v/>
      </c>
      <c r="S2777" s="37" t="str">
        <f aca="false">IF($A2777="","",INT($A2777))</f>
        <v/>
      </c>
      <c r="T2777" s="35" t="str">
        <f aca="false">IF($A2777="","",IF(COUNTIFS($S$3:$S2777,$S2777)=1,1,0))</f>
        <v/>
      </c>
      <c r="U2777" s="37" t="str">
        <f aca="false">IF($T2777=1,$S2777,"")</f>
        <v/>
      </c>
    </row>
    <row r="2778" customFormat="false" ht="15" hidden="false" customHeight="false" outlineLevel="0" collapsed="false">
      <c r="M2778" s="35" t="str">
        <f aca="false">IF($A2778="","",HOUR($A2778))</f>
        <v/>
      </c>
      <c r="N2778" s="36" t="str">
        <f aca="false">IF($A2778="","",$I2778*$K2778)</f>
        <v/>
      </c>
      <c r="O2778" s="35" t="str">
        <f aca="false">IF(OR($A2778="",$C2778="U",$S2778&lt;&gt;Calc!$F$2),"",SUMIFS($I$3:$I$3002,$E$3:$E$3002,$E2778,$C$3:$C$3002,"&lt;&gt;U",$S$3:$S$3002,Calc!$F$2))</f>
        <v/>
      </c>
      <c r="P2778" s="35" t="str">
        <f aca="false">IF(OR($A2778="",$C2778="U",$S2778&lt;&gt;Calc!$F$2),"",SUMIFS($N$3:$N$3002,$E$3:$E$3002,$E2778,$C$3:$C$3002,"&lt;&gt;U",$S$3:$S$3002,Calc!$F$2))</f>
        <v/>
      </c>
      <c r="Q2778" s="35" t="str">
        <f aca="false">IF(OR($A2778="",$C2778="U",$S2778&lt;&gt;Calc!$F$2),"",IF(COUNTIFS($E$3:$E2778,$E2778,$C$3:$C2778,"&lt;&gt;U",$S$3:$S2778,Calc!$F$2)=1,1,0))</f>
        <v/>
      </c>
      <c r="R2778" s="35" t="str">
        <f aca="false">IF($Q2778=1,$O2778-ROW()/100000,"")</f>
        <v/>
      </c>
      <c r="S2778" s="37" t="str">
        <f aca="false">IF($A2778="","",INT($A2778))</f>
        <v/>
      </c>
      <c r="T2778" s="35" t="str">
        <f aca="false">IF($A2778="","",IF(COUNTIFS($S$3:$S2778,$S2778)=1,1,0))</f>
        <v/>
      </c>
      <c r="U2778" s="37" t="str">
        <f aca="false">IF($T2778=1,$S2778,"")</f>
        <v/>
      </c>
    </row>
    <row r="2779" customFormat="false" ht="15" hidden="false" customHeight="false" outlineLevel="0" collapsed="false">
      <c r="M2779" s="35" t="str">
        <f aca="false">IF($A2779="","",HOUR($A2779))</f>
        <v/>
      </c>
      <c r="N2779" s="36" t="str">
        <f aca="false">IF($A2779="","",$I2779*$K2779)</f>
        <v/>
      </c>
      <c r="O2779" s="35" t="str">
        <f aca="false">IF(OR($A2779="",$C2779="U",$S2779&lt;&gt;Calc!$F$2),"",SUMIFS($I$3:$I$3002,$E$3:$E$3002,$E2779,$C$3:$C$3002,"&lt;&gt;U",$S$3:$S$3002,Calc!$F$2))</f>
        <v/>
      </c>
      <c r="P2779" s="35" t="str">
        <f aca="false">IF(OR($A2779="",$C2779="U",$S2779&lt;&gt;Calc!$F$2),"",SUMIFS($N$3:$N$3002,$E$3:$E$3002,$E2779,$C$3:$C$3002,"&lt;&gt;U",$S$3:$S$3002,Calc!$F$2))</f>
        <v/>
      </c>
      <c r="Q2779" s="35" t="str">
        <f aca="false">IF(OR($A2779="",$C2779="U",$S2779&lt;&gt;Calc!$F$2),"",IF(COUNTIFS($E$3:$E2779,$E2779,$C$3:$C2779,"&lt;&gt;U",$S$3:$S2779,Calc!$F$2)=1,1,0))</f>
        <v/>
      </c>
      <c r="R2779" s="35" t="str">
        <f aca="false">IF($Q2779=1,$O2779-ROW()/100000,"")</f>
        <v/>
      </c>
      <c r="S2779" s="37" t="str">
        <f aca="false">IF($A2779="","",INT($A2779))</f>
        <v/>
      </c>
      <c r="T2779" s="35" t="str">
        <f aca="false">IF($A2779="","",IF(COUNTIFS($S$3:$S2779,$S2779)=1,1,0))</f>
        <v/>
      </c>
      <c r="U2779" s="37" t="str">
        <f aca="false">IF($T2779=1,$S2779,"")</f>
        <v/>
      </c>
    </row>
    <row r="2780" customFormat="false" ht="15" hidden="false" customHeight="false" outlineLevel="0" collapsed="false">
      <c r="M2780" s="35" t="str">
        <f aca="false">IF($A2780="","",HOUR($A2780))</f>
        <v/>
      </c>
      <c r="N2780" s="36" t="str">
        <f aca="false">IF($A2780="","",$I2780*$K2780)</f>
        <v/>
      </c>
      <c r="O2780" s="35" t="str">
        <f aca="false">IF(OR($A2780="",$C2780="U",$S2780&lt;&gt;Calc!$F$2),"",SUMIFS($I$3:$I$3002,$E$3:$E$3002,$E2780,$C$3:$C$3002,"&lt;&gt;U",$S$3:$S$3002,Calc!$F$2))</f>
        <v/>
      </c>
      <c r="P2780" s="35" t="str">
        <f aca="false">IF(OR($A2780="",$C2780="U",$S2780&lt;&gt;Calc!$F$2),"",SUMIFS($N$3:$N$3002,$E$3:$E$3002,$E2780,$C$3:$C$3002,"&lt;&gt;U",$S$3:$S$3002,Calc!$F$2))</f>
        <v/>
      </c>
      <c r="Q2780" s="35" t="str">
        <f aca="false">IF(OR($A2780="",$C2780="U",$S2780&lt;&gt;Calc!$F$2),"",IF(COUNTIFS($E$3:$E2780,$E2780,$C$3:$C2780,"&lt;&gt;U",$S$3:$S2780,Calc!$F$2)=1,1,0))</f>
        <v/>
      </c>
      <c r="R2780" s="35" t="str">
        <f aca="false">IF($Q2780=1,$O2780-ROW()/100000,"")</f>
        <v/>
      </c>
      <c r="S2780" s="37" t="str">
        <f aca="false">IF($A2780="","",INT($A2780))</f>
        <v/>
      </c>
      <c r="T2780" s="35" t="str">
        <f aca="false">IF($A2780="","",IF(COUNTIFS($S$3:$S2780,$S2780)=1,1,0))</f>
        <v/>
      </c>
      <c r="U2780" s="37" t="str">
        <f aca="false">IF($T2780=1,$S2780,"")</f>
        <v/>
      </c>
    </row>
    <row r="2781" customFormat="false" ht="15" hidden="false" customHeight="false" outlineLevel="0" collapsed="false">
      <c r="M2781" s="35" t="str">
        <f aca="false">IF($A2781="","",HOUR($A2781))</f>
        <v/>
      </c>
      <c r="N2781" s="36" t="str">
        <f aca="false">IF($A2781="","",$I2781*$K2781)</f>
        <v/>
      </c>
      <c r="O2781" s="35" t="str">
        <f aca="false">IF(OR($A2781="",$C2781="U",$S2781&lt;&gt;Calc!$F$2),"",SUMIFS($I$3:$I$3002,$E$3:$E$3002,$E2781,$C$3:$C$3002,"&lt;&gt;U",$S$3:$S$3002,Calc!$F$2))</f>
        <v/>
      </c>
      <c r="P2781" s="35" t="str">
        <f aca="false">IF(OR($A2781="",$C2781="U",$S2781&lt;&gt;Calc!$F$2),"",SUMIFS($N$3:$N$3002,$E$3:$E$3002,$E2781,$C$3:$C$3002,"&lt;&gt;U",$S$3:$S$3002,Calc!$F$2))</f>
        <v/>
      </c>
      <c r="Q2781" s="35" t="str">
        <f aca="false">IF(OR($A2781="",$C2781="U",$S2781&lt;&gt;Calc!$F$2),"",IF(COUNTIFS($E$3:$E2781,$E2781,$C$3:$C2781,"&lt;&gt;U",$S$3:$S2781,Calc!$F$2)=1,1,0))</f>
        <v/>
      </c>
      <c r="R2781" s="35" t="str">
        <f aca="false">IF($Q2781=1,$O2781-ROW()/100000,"")</f>
        <v/>
      </c>
      <c r="S2781" s="37" t="str">
        <f aca="false">IF($A2781="","",INT($A2781))</f>
        <v/>
      </c>
      <c r="T2781" s="35" t="str">
        <f aca="false">IF($A2781="","",IF(COUNTIFS($S$3:$S2781,$S2781)=1,1,0))</f>
        <v/>
      </c>
      <c r="U2781" s="37" t="str">
        <f aca="false">IF($T2781=1,$S2781,"")</f>
        <v/>
      </c>
    </row>
    <row r="2782" customFormat="false" ht="15" hidden="false" customHeight="false" outlineLevel="0" collapsed="false">
      <c r="M2782" s="35" t="str">
        <f aca="false">IF($A2782="","",HOUR($A2782))</f>
        <v/>
      </c>
      <c r="N2782" s="36" t="str">
        <f aca="false">IF($A2782="","",$I2782*$K2782)</f>
        <v/>
      </c>
      <c r="O2782" s="35" t="str">
        <f aca="false">IF(OR($A2782="",$C2782="U",$S2782&lt;&gt;Calc!$F$2),"",SUMIFS($I$3:$I$3002,$E$3:$E$3002,$E2782,$C$3:$C$3002,"&lt;&gt;U",$S$3:$S$3002,Calc!$F$2))</f>
        <v/>
      </c>
      <c r="P2782" s="35" t="str">
        <f aca="false">IF(OR($A2782="",$C2782="U",$S2782&lt;&gt;Calc!$F$2),"",SUMIFS($N$3:$N$3002,$E$3:$E$3002,$E2782,$C$3:$C$3002,"&lt;&gt;U",$S$3:$S$3002,Calc!$F$2))</f>
        <v/>
      </c>
      <c r="Q2782" s="35" t="str">
        <f aca="false">IF(OR($A2782="",$C2782="U",$S2782&lt;&gt;Calc!$F$2),"",IF(COUNTIFS($E$3:$E2782,$E2782,$C$3:$C2782,"&lt;&gt;U",$S$3:$S2782,Calc!$F$2)=1,1,0))</f>
        <v/>
      </c>
      <c r="R2782" s="35" t="str">
        <f aca="false">IF($Q2782=1,$O2782-ROW()/100000,"")</f>
        <v/>
      </c>
      <c r="S2782" s="37" t="str">
        <f aca="false">IF($A2782="","",INT($A2782))</f>
        <v/>
      </c>
      <c r="T2782" s="35" t="str">
        <f aca="false">IF($A2782="","",IF(COUNTIFS($S$3:$S2782,$S2782)=1,1,0))</f>
        <v/>
      </c>
      <c r="U2782" s="37" t="str">
        <f aca="false">IF($T2782=1,$S2782,"")</f>
        <v/>
      </c>
    </row>
    <row r="2783" customFormat="false" ht="15" hidden="false" customHeight="false" outlineLevel="0" collapsed="false">
      <c r="M2783" s="35" t="str">
        <f aca="false">IF($A2783="","",HOUR($A2783))</f>
        <v/>
      </c>
      <c r="N2783" s="36" t="str">
        <f aca="false">IF($A2783="","",$I2783*$K2783)</f>
        <v/>
      </c>
      <c r="O2783" s="35" t="str">
        <f aca="false">IF(OR($A2783="",$C2783="U",$S2783&lt;&gt;Calc!$F$2),"",SUMIFS($I$3:$I$3002,$E$3:$E$3002,$E2783,$C$3:$C$3002,"&lt;&gt;U",$S$3:$S$3002,Calc!$F$2))</f>
        <v/>
      </c>
      <c r="P2783" s="35" t="str">
        <f aca="false">IF(OR($A2783="",$C2783="U",$S2783&lt;&gt;Calc!$F$2),"",SUMIFS($N$3:$N$3002,$E$3:$E$3002,$E2783,$C$3:$C$3002,"&lt;&gt;U",$S$3:$S$3002,Calc!$F$2))</f>
        <v/>
      </c>
      <c r="Q2783" s="35" t="str">
        <f aca="false">IF(OR($A2783="",$C2783="U",$S2783&lt;&gt;Calc!$F$2),"",IF(COUNTIFS($E$3:$E2783,$E2783,$C$3:$C2783,"&lt;&gt;U",$S$3:$S2783,Calc!$F$2)=1,1,0))</f>
        <v/>
      </c>
      <c r="R2783" s="35" t="str">
        <f aca="false">IF($Q2783=1,$O2783-ROW()/100000,"")</f>
        <v/>
      </c>
      <c r="S2783" s="37" t="str">
        <f aca="false">IF($A2783="","",INT($A2783))</f>
        <v/>
      </c>
      <c r="T2783" s="35" t="str">
        <f aca="false">IF($A2783="","",IF(COUNTIFS($S$3:$S2783,$S2783)=1,1,0))</f>
        <v/>
      </c>
      <c r="U2783" s="37" t="str">
        <f aca="false">IF($T2783=1,$S2783,"")</f>
        <v/>
      </c>
    </row>
    <row r="2784" customFormat="false" ht="15" hidden="false" customHeight="false" outlineLevel="0" collapsed="false">
      <c r="M2784" s="35" t="str">
        <f aca="false">IF($A2784="","",HOUR($A2784))</f>
        <v/>
      </c>
      <c r="N2784" s="36" t="str">
        <f aca="false">IF($A2784="","",$I2784*$K2784)</f>
        <v/>
      </c>
      <c r="O2784" s="35" t="str">
        <f aca="false">IF(OR($A2784="",$C2784="U",$S2784&lt;&gt;Calc!$F$2),"",SUMIFS($I$3:$I$3002,$E$3:$E$3002,$E2784,$C$3:$C$3002,"&lt;&gt;U",$S$3:$S$3002,Calc!$F$2))</f>
        <v/>
      </c>
      <c r="P2784" s="35" t="str">
        <f aca="false">IF(OR($A2784="",$C2784="U",$S2784&lt;&gt;Calc!$F$2),"",SUMIFS($N$3:$N$3002,$E$3:$E$3002,$E2784,$C$3:$C$3002,"&lt;&gt;U",$S$3:$S$3002,Calc!$F$2))</f>
        <v/>
      </c>
      <c r="Q2784" s="35" t="str">
        <f aca="false">IF(OR($A2784="",$C2784="U",$S2784&lt;&gt;Calc!$F$2),"",IF(COUNTIFS($E$3:$E2784,$E2784,$C$3:$C2784,"&lt;&gt;U",$S$3:$S2784,Calc!$F$2)=1,1,0))</f>
        <v/>
      </c>
      <c r="R2784" s="35" t="str">
        <f aca="false">IF($Q2784=1,$O2784-ROW()/100000,"")</f>
        <v/>
      </c>
      <c r="S2784" s="37" t="str">
        <f aca="false">IF($A2784="","",INT($A2784))</f>
        <v/>
      </c>
      <c r="T2784" s="35" t="str">
        <f aca="false">IF($A2784="","",IF(COUNTIFS($S$3:$S2784,$S2784)=1,1,0))</f>
        <v/>
      </c>
      <c r="U2784" s="37" t="str">
        <f aca="false">IF($T2784=1,$S2784,"")</f>
        <v/>
      </c>
    </row>
    <row r="2785" customFormat="false" ht="15" hidden="false" customHeight="false" outlineLevel="0" collapsed="false">
      <c r="M2785" s="35" t="str">
        <f aca="false">IF($A2785="","",HOUR($A2785))</f>
        <v/>
      </c>
      <c r="N2785" s="36" t="str">
        <f aca="false">IF($A2785="","",$I2785*$K2785)</f>
        <v/>
      </c>
      <c r="O2785" s="35" t="str">
        <f aca="false">IF(OR($A2785="",$C2785="U",$S2785&lt;&gt;Calc!$F$2),"",SUMIFS($I$3:$I$3002,$E$3:$E$3002,$E2785,$C$3:$C$3002,"&lt;&gt;U",$S$3:$S$3002,Calc!$F$2))</f>
        <v/>
      </c>
      <c r="P2785" s="35" t="str">
        <f aca="false">IF(OR($A2785="",$C2785="U",$S2785&lt;&gt;Calc!$F$2),"",SUMIFS($N$3:$N$3002,$E$3:$E$3002,$E2785,$C$3:$C$3002,"&lt;&gt;U",$S$3:$S$3002,Calc!$F$2))</f>
        <v/>
      </c>
      <c r="Q2785" s="35" t="str">
        <f aca="false">IF(OR($A2785="",$C2785="U",$S2785&lt;&gt;Calc!$F$2),"",IF(COUNTIFS($E$3:$E2785,$E2785,$C$3:$C2785,"&lt;&gt;U",$S$3:$S2785,Calc!$F$2)=1,1,0))</f>
        <v/>
      </c>
      <c r="R2785" s="35" t="str">
        <f aca="false">IF($Q2785=1,$O2785-ROW()/100000,"")</f>
        <v/>
      </c>
      <c r="S2785" s="37" t="str">
        <f aca="false">IF($A2785="","",INT($A2785))</f>
        <v/>
      </c>
      <c r="T2785" s="35" t="str">
        <f aca="false">IF($A2785="","",IF(COUNTIFS($S$3:$S2785,$S2785)=1,1,0))</f>
        <v/>
      </c>
      <c r="U2785" s="37" t="str">
        <f aca="false">IF($T2785=1,$S2785,"")</f>
        <v/>
      </c>
    </row>
    <row r="2786" customFormat="false" ht="15" hidden="false" customHeight="false" outlineLevel="0" collapsed="false">
      <c r="M2786" s="35" t="str">
        <f aca="false">IF($A2786="","",HOUR($A2786))</f>
        <v/>
      </c>
      <c r="N2786" s="36" t="str">
        <f aca="false">IF($A2786="","",$I2786*$K2786)</f>
        <v/>
      </c>
      <c r="O2786" s="35" t="str">
        <f aca="false">IF(OR($A2786="",$C2786="U",$S2786&lt;&gt;Calc!$F$2),"",SUMIFS($I$3:$I$3002,$E$3:$E$3002,$E2786,$C$3:$C$3002,"&lt;&gt;U",$S$3:$S$3002,Calc!$F$2))</f>
        <v/>
      </c>
      <c r="P2786" s="35" t="str">
        <f aca="false">IF(OR($A2786="",$C2786="U",$S2786&lt;&gt;Calc!$F$2),"",SUMIFS($N$3:$N$3002,$E$3:$E$3002,$E2786,$C$3:$C$3002,"&lt;&gt;U",$S$3:$S$3002,Calc!$F$2))</f>
        <v/>
      </c>
      <c r="Q2786" s="35" t="str">
        <f aca="false">IF(OR($A2786="",$C2786="U",$S2786&lt;&gt;Calc!$F$2),"",IF(COUNTIFS($E$3:$E2786,$E2786,$C$3:$C2786,"&lt;&gt;U",$S$3:$S2786,Calc!$F$2)=1,1,0))</f>
        <v/>
      </c>
      <c r="R2786" s="35" t="str">
        <f aca="false">IF($Q2786=1,$O2786-ROW()/100000,"")</f>
        <v/>
      </c>
      <c r="S2786" s="37" t="str">
        <f aca="false">IF($A2786="","",INT($A2786))</f>
        <v/>
      </c>
      <c r="T2786" s="35" t="str">
        <f aca="false">IF($A2786="","",IF(COUNTIFS($S$3:$S2786,$S2786)=1,1,0))</f>
        <v/>
      </c>
      <c r="U2786" s="37" t="str">
        <f aca="false">IF($T2786=1,$S2786,"")</f>
        <v/>
      </c>
    </row>
    <row r="2787" customFormat="false" ht="15" hidden="false" customHeight="false" outlineLevel="0" collapsed="false">
      <c r="M2787" s="35" t="str">
        <f aca="false">IF($A2787="","",HOUR($A2787))</f>
        <v/>
      </c>
      <c r="N2787" s="36" t="str">
        <f aca="false">IF($A2787="","",$I2787*$K2787)</f>
        <v/>
      </c>
      <c r="O2787" s="35" t="str">
        <f aca="false">IF(OR($A2787="",$C2787="U",$S2787&lt;&gt;Calc!$F$2),"",SUMIFS($I$3:$I$3002,$E$3:$E$3002,$E2787,$C$3:$C$3002,"&lt;&gt;U",$S$3:$S$3002,Calc!$F$2))</f>
        <v/>
      </c>
      <c r="P2787" s="35" t="str">
        <f aca="false">IF(OR($A2787="",$C2787="U",$S2787&lt;&gt;Calc!$F$2),"",SUMIFS($N$3:$N$3002,$E$3:$E$3002,$E2787,$C$3:$C$3002,"&lt;&gt;U",$S$3:$S$3002,Calc!$F$2))</f>
        <v/>
      </c>
      <c r="Q2787" s="35" t="str">
        <f aca="false">IF(OR($A2787="",$C2787="U",$S2787&lt;&gt;Calc!$F$2),"",IF(COUNTIFS($E$3:$E2787,$E2787,$C$3:$C2787,"&lt;&gt;U",$S$3:$S2787,Calc!$F$2)=1,1,0))</f>
        <v/>
      </c>
      <c r="R2787" s="35" t="str">
        <f aca="false">IF($Q2787=1,$O2787-ROW()/100000,"")</f>
        <v/>
      </c>
      <c r="S2787" s="37" t="str">
        <f aca="false">IF($A2787="","",INT($A2787))</f>
        <v/>
      </c>
      <c r="T2787" s="35" t="str">
        <f aca="false">IF($A2787="","",IF(COUNTIFS($S$3:$S2787,$S2787)=1,1,0))</f>
        <v/>
      </c>
      <c r="U2787" s="37" t="str">
        <f aca="false">IF($T2787=1,$S2787,"")</f>
        <v/>
      </c>
    </row>
    <row r="2788" customFormat="false" ht="15" hidden="false" customHeight="false" outlineLevel="0" collapsed="false">
      <c r="M2788" s="35" t="str">
        <f aca="false">IF($A2788="","",HOUR($A2788))</f>
        <v/>
      </c>
      <c r="N2788" s="36" t="str">
        <f aca="false">IF($A2788="","",$I2788*$K2788)</f>
        <v/>
      </c>
      <c r="O2788" s="35" t="str">
        <f aca="false">IF(OR($A2788="",$C2788="U",$S2788&lt;&gt;Calc!$F$2),"",SUMIFS($I$3:$I$3002,$E$3:$E$3002,$E2788,$C$3:$C$3002,"&lt;&gt;U",$S$3:$S$3002,Calc!$F$2))</f>
        <v/>
      </c>
      <c r="P2788" s="35" t="str">
        <f aca="false">IF(OR($A2788="",$C2788="U",$S2788&lt;&gt;Calc!$F$2),"",SUMIFS($N$3:$N$3002,$E$3:$E$3002,$E2788,$C$3:$C$3002,"&lt;&gt;U",$S$3:$S$3002,Calc!$F$2))</f>
        <v/>
      </c>
      <c r="Q2788" s="35" t="str">
        <f aca="false">IF(OR($A2788="",$C2788="U",$S2788&lt;&gt;Calc!$F$2),"",IF(COUNTIFS($E$3:$E2788,$E2788,$C$3:$C2788,"&lt;&gt;U",$S$3:$S2788,Calc!$F$2)=1,1,0))</f>
        <v/>
      </c>
      <c r="R2788" s="35" t="str">
        <f aca="false">IF($Q2788=1,$O2788-ROW()/100000,"")</f>
        <v/>
      </c>
      <c r="S2788" s="37" t="str">
        <f aca="false">IF($A2788="","",INT($A2788))</f>
        <v/>
      </c>
      <c r="T2788" s="35" t="str">
        <f aca="false">IF($A2788="","",IF(COUNTIFS($S$3:$S2788,$S2788)=1,1,0))</f>
        <v/>
      </c>
      <c r="U2788" s="37" t="str">
        <f aca="false">IF($T2788=1,$S2788,"")</f>
        <v/>
      </c>
    </row>
    <row r="2789" customFormat="false" ht="15" hidden="false" customHeight="false" outlineLevel="0" collapsed="false">
      <c r="M2789" s="35" t="str">
        <f aca="false">IF($A2789="","",HOUR($A2789))</f>
        <v/>
      </c>
      <c r="N2789" s="36" t="str">
        <f aca="false">IF($A2789="","",$I2789*$K2789)</f>
        <v/>
      </c>
      <c r="O2789" s="35" t="str">
        <f aca="false">IF(OR($A2789="",$C2789="U",$S2789&lt;&gt;Calc!$F$2),"",SUMIFS($I$3:$I$3002,$E$3:$E$3002,$E2789,$C$3:$C$3002,"&lt;&gt;U",$S$3:$S$3002,Calc!$F$2))</f>
        <v/>
      </c>
      <c r="P2789" s="35" t="str">
        <f aca="false">IF(OR($A2789="",$C2789="U",$S2789&lt;&gt;Calc!$F$2),"",SUMIFS($N$3:$N$3002,$E$3:$E$3002,$E2789,$C$3:$C$3002,"&lt;&gt;U",$S$3:$S$3002,Calc!$F$2))</f>
        <v/>
      </c>
      <c r="Q2789" s="35" t="str">
        <f aca="false">IF(OR($A2789="",$C2789="U",$S2789&lt;&gt;Calc!$F$2),"",IF(COUNTIFS($E$3:$E2789,$E2789,$C$3:$C2789,"&lt;&gt;U",$S$3:$S2789,Calc!$F$2)=1,1,0))</f>
        <v/>
      </c>
      <c r="R2789" s="35" t="str">
        <f aca="false">IF($Q2789=1,$O2789-ROW()/100000,"")</f>
        <v/>
      </c>
      <c r="S2789" s="37" t="str">
        <f aca="false">IF($A2789="","",INT($A2789))</f>
        <v/>
      </c>
      <c r="T2789" s="35" t="str">
        <f aca="false">IF($A2789="","",IF(COUNTIFS($S$3:$S2789,$S2789)=1,1,0))</f>
        <v/>
      </c>
      <c r="U2789" s="37" t="str">
        <f aca="false">IF($T2789=1,$S2789,"")</f>
        <v/>
      </c>
    </row>
    <row r="2790" customFormat="false" ht="15" hidden="false" customHeight="false" outlineLevel="0" collapsed="false">
      <c r="M2790" s="35" t="str">
        <f aca="false">IF($A2790="","",HOUR($A2790))</f>
        <v/>
      </c>
      <c r="N2790" s="36" t="str">
        <f aca="false">IF($A2790="","",$I2790*$K2790)</f>
        <v/>
      </c>
      <c r="O2790" s="35" t="str">
        <f aca="false">IF(OR($A2790="",$C2790="U",$S2790&lt;&gt;Calc!$F$2),"",SUMIFS($I$3:$I$3002,$E$3:$E$3002,$E2790,$C$3:$C$3002,"&lt;&gt;U",$S$3:$S$3002,Calc!$F$2))</f>
        <v/>
      </c>
      <c r="P2790" s="35" t="str">
        <f aca="false">IF(OR($A2790="",$C2790="U",$S2790&lt;&gt;Calc!$F$2),"",SUMIFS($N$3:$N$3002,$E$3:$E$3002,$E2790,$C$3:$C$3002,"&lt;&gt;U",$S$3:$S$3002,Calc!$F$2))</f>
        <v/>
      </c>
      <c r="Q2790" s="35" t="str">
        <f aca="false">IF(OR($A2790="",$C2790="U",$S2790&lt;&gt;Calc!$F$2),"",IF(COUNTIFS($E$3:$E2790,$E2790,$C$3:$C2790,"&lt;&gt;U",$S$3:$S2790,Calc!$F$2)=1,1,0))</f>
        <v/>
      </c>
      <c r="R2790" s="35" t="str">
        <f aca="false">IF($Q2790=1,$O2790-ROW()/100000,"")</f>
        <v/>
      </c>
      <c r="S2790" s="37" t="str">
        <f aca="false">IF($A2790="","",INT($A2790))</f>
        <v/>
      </c>
      <c r="T2790" s="35" t="str">
        <f aca="false">IF($A2790="","",IF(COUNTIFS($S$3:$S2790,$S2790)=1,1,0))</f>
        <v/>
      </c>
      <c r="U2790" s="37" t="str">
        <f aca="false">IF($T2790=1,$S2790,"")</f>
        <v/>
      </c>
    </row>
    <row r="2791" customFormat="false" ht="15" hidden="false" customHeight="false" outlineLevel="0" collapsed="false">
      <c r="M2791" s="35" t="str">
        <f aca="false">IF($A2791="","",HOUR($A2791))</f>
        <v/>
      </c>
      <c r="N2791" s="36" t="str">
        <f aca="false">IF($A2791="","",$I2791*$K2791)</f>
        <v/>
      </c>
      <c r="O2791" s="35" t="str">
        <f aca="false">IF(OR($A2791="",$C2791="U",$S2791&lt;&gt;Calc!$F$2),"",SUMIFS($I$3:$I$3002,$E$3:$E$3002,$E2791,$C$3:$C$3002,"&lt;&gt;U",$S$3:$S$3002,Calc!$F$2))</f>
        <v/>
      </c>
      <c r="P2791" s="35" t="str">
        <f aca="false">IF(OR($A2791="",$C2791="U",$S2791&lt;&gt;Calc!$F$2),"",SUMIFS($N$3:$N$3002,$E$3:$E$3002,$E2791,$C$3:$C$3002,"&lt;&gt;U",$S$3:$S$3002,Calc!$F$2))</f>
        <v/>
      </c>
      <c r="Q2791" s="35" t="str">
        <f aca="false">IF(OR($A2791="",$C2791="U",$S2791&lt;&gt;Calc!$F$2),"",IF(COUNTIFS($E$3:$E2791,$E2791,$C$3:$C2791,"&lt;&gt;U",$S$3:$S2791,Calc!$F$2)=1,1,0))</f>
        <v/>
      </c>
      <c r="R2791" s="35" t="str">
        <f aca="false">IF($Q2791=1,$O2791-ROW()/100000,"")</f>
        <v/>
      </c>
      <c r="S2791" s="37" t="str">
        <f aca="false">IF($A2791="","",INT($A2791))</f>
        <v/>
      </c>
      <c r="T2791" s="35" t="str">
        <f aca="false">IF($A2791="","",IF(COUNTIFS($S$3:$S2791,$S2791)=1,1,0))</f>
        <v/>
      </c>
      <c r="U2791" s="37" t="str">
        <f aca="false">IF($T2791=1,$S2791,"")</f>
        <v/>
      </c>
    </row>
    <row r="2792" customFormat="false" ht="15" hidden="false" customHeight="false" outlineLevel="0" collapsed="false">
      <c r="M2792" s="35" t="str">
        <f aca="false">IF($A2792="","",HOUR($A2792))</f>
        <v/>
      </c>
      <c r="N2792" s="36" t="str">
        <f aca="false">IF($A2792="","",$I2792*$K2792)</f>
        <v/>
      </c>
      <c r="O2792" s="35" t="str">
        <f aca="false">IF(OR($A2792="",$C2792="U",$S2792&lt;&gt;Calc!$F$2),"",SUMIFS($I$3:$I$3002,$E$3:$E$3002,$E2792,$C$3:$C$3002,"&lt;&gt;U",$S$3:$S$3002,Calc!$F$2))</f>
        <v/>
      </c>
      <c r="P2792" s="35" t="str">
        <f aca="false">IF(OR($A2792="",$C2792="U",$S2792&lt;&gt;Calc!$F$2),"",SUMIFS($N$3:$N$3002,$E$3:$E$3002,$E2792,$C$3:$C$3002,"&lt;&gt;U",$S$3:$S$3002,Calc!$F$2))</f>
        <v/>
      </c>
      <c r="Q2792" s="35" t="str">
        <f aca="false">IF(OR($A2792="",$C2792="U",$S2792&lt;&gt;Calc!$F$2),"",IF(COUNTIFS($E$3:$E2792,$E2792,$C$3:$C2792,"&lt;&gt;U",$S$3:$S2792,Calc!$F$2)=1,1,0))</f>
        <v/>
      </c>
      <c r="R2792" s="35" t="str">
        <f aca="false">IF($Q2792=1,$O2792-ROW()/100000,"")</f>
        <v/>
      </c>
      <c r="S2792" s="37" t="str">
        <f aca="false">IF($A2792="","",INT($A2792))</f>
        <v/>
      </c>
      <c r="T2792" s="35" t="str">
        <f aca="false">IF($A2792="","",IF(COUNTIFS($S$3:$S2792,$S2792)=1,1,0))</f>
        <v/>
      </c>
      <c r="U2792" s="37" t="str">
        <f aca="false">IF($T2792=1,$S2792,"")</f>
        <v/>
      </c>
    </row>
    <row r="2793" customFormat="false" ht="15" hidden="false" customHeight="false" outlineLevel="0" collapsed="false">
      <c r="M2793" s="35" t="str">
        <f aca="false">IF($A2793="","",HOUR($A2793))</f>
        <v/>
      </c>
      <c r="N2793" s="36" t="str">
        <f aca="false">IF($A2793="","",$I2793*$K2793)</f>
        <v/>
      </c>
      <c r="O2793" s="35" t="str">
        <f aca="false">IF(OR($A2793="",$C2793="U",$S2793&lt;&gt;Calc!$F$2),"",SUMIFS($I$3:$I$3002,$E$3:$E$3002,$E2793,$C$3:$C$3002,"&lt;&gt;U",$S$3:$S$3002,Calc!$F$2))</f>
        <v/>
      </c>
      <c r="P2793" s="35" t="str">
        <f aca="false">IF(OR($A2793="",$C2793="U",$S2793&lt;&gt;Calc!$F$2),"",SUMIFS($N$3:$N$3002,$E$3:$E$3002,$E2793,$C$3:$C$3002,"&lt;&gt;U",$S$3:$S$3002,Calc!$F$2))</f>
        <v/>
      </c>
      <c r="Q2793" s="35" t="str">
        <f aca="false">IF(OR($A2793="",$C2793="U",$S2793&lt;&gt;Calc!$F$2),"",IF(COUNTIFS($E$3:$E2793,$E2793,$C$3:$C2793,"&lt;&gt;U",$S$3:$S2793,Calc!$F$2)=1,1,0))</f>
        <v/>
      </c>
      <c r="R2793" s="35" t="str">
        <f aca="false">IF($Q2793=1,$O2793-ROW()/100000,"")</f>
        <v/>
      </c>
      <c r="S2793" s="37" t="str">
        <f aca="false">IF($A2793="","",INT($A2793))</f>
        <v/>
      </c>
      <c r="T2793" s="35" t="str">
        <f aca="false">IF($A2793="","",IF(COUNTIFS($S$3:$S2793,$S2793)=1,1,0))</f>
        <v/>
      </c>
      <c r="U2793" s="37" t="str">
        <f aca="false">IF($T2793=1,$S2793,"")</f>
        <v/>
      </c>
    </row>
    <row r="2794" customFormat="false" ht="15" hidden="false" customHeight="false" outlineLevel="0" collapsed="false">
      <c r="M2794" s="35" t="str">
        <f aca="false">IF($A2794="","",HOUR($A2794))</f>
        <v/>
      </c>
      <c r="N2794" s="36" t="str">
        <f aca="false">IF($A2794="","",$I2794*$K2794)</f>
        <v/>
      </c>
      <c r="O2794" s="35" t="str">
        <f aca="false">IF(OR($A2794="",$C2794="U",$S2794&lt;&gt;Calc!$F$2),"",SUMIFS($I$3:$I$3002,$E$3:$E$3002,$E2794,$C$3:$C$3002,"&lt;&gt;U",$S$3:$S$3002,Calc!$F$2))</f>
        <v/>
      </c>
      <c r="P2794" s="35" t="str">
        <f aca="false">IF(OR($A2794="",$C2794="U",$S2794&lt;&gt;Calc!$F$2),"",SUMIFS($N$3:$N$3002,$E$3:$E$3002,$E2794,$C$3:$C$3002,"&lt;&gt;U",$S$3:$S$3002,Calc!$F$2))</f>
        <v/>
      </c>
      <c r="Q2794" s="35" t="str">
        <f aca="false">IF(OR($A2794="",$C2794="U",$S2794&lt;&gt;Calc!$F$2),"",IF(COUNTIFS($E$3:$E2794,$E2794,$C$3:$C2794,"&lt;&gt;U",$S$3:$S2794,Calc!$F$2)=1,1,0))</f>
        <v/>
      </c>
      <c r="R2794" s="35" t="str">
        <f aca="false">IF($Q2794=1,$O2794-ROW()/100000,"")</f>
        <v/>
      </c>
      <c r="S2794" s="37" t="str">
        <f aca="false">IF($A2794="","",INT($A2794))</f>
        <v/>
      </c>
      <c r="T2794" s="35" t="str">
        <f aca="false">IF($A2794="","",IF(COUNTIFS($S$3:$S2794,$S2794)=1,1,0))</f>
        <v/>
      </c>
      <c r="U2794" s="37" t="str">
        <f aca="false">IF($T2794=1,$S2794,"")</f>
        <v/>
      </c>
    </row>
    <row r="2795" customFormat="false" ht="15" hidden="false" customHeight="false" outlineLevel="0" collapsed="false">
      <c r="M2795" s="35" t="str">
        <f aca="false">IF($A2795="","",HOUR($A2795))</f>
        <v/>
      </c>
      <c r="N2795" s="36" t="str">
        <f aca="false">IF($A2795="","",$I2795*$K2795)</f>
        <v/>
      </c>
      <c r="O2795" s="35" t="str">
        <f aca="false">IF(OR($A2795="",$C2795="U",$S2795&lt;&gt;Calc!$F$2),"",SUMIFS($I$3:$I$3002,$E$3:$E$3002,$E2795,$C$3:$C$3002,"&lt;&gt;U",$S$3:$S$3002,Calc!$F$2))</f>
        <v/>
      </c>
      <c r="P2795" s="35" t="str">
        <f aca="false">IF(OR($A2795="",$C2795="U",$S2795&lt;&gt;Calc!$F$2),"",SUMIFS($N$3:$N$3002,$E$3:$E$3002,$E2795,$C$3:$C$3002,"&lt;&gt;U",$S$3:$S$3002,Calc!$F$2))</f>
        <v/>
      </c>
      <c r="Q2795" s="35" t="str">
        <f aca="false">IF(OR($A2795="",$C2795="U",$S2795&lt;&gt;Calc!$F$2),"",IF(COUNTIFS($E$3:$E2795,$E2795,$C$3:$C2795,"&lt;&gt;U",$S$3:$S2795,Calc!$F$2)=1,1,0))</f>
        <v/>
      </c>
      <c r="R2795" s="35" t="str">
        <f aca="false">IF($Q2795=1,$O2795-ROW()/100000,"")</f>
        <v/>
      </c>
      <c r="S2795" s="37" t="str">
        <f aca="false">IF($A2795="","",INT($A2795))</f>
        <v/>
      </c>
      <c r="T2795" s="35" t="str">
        <f aca="false">IF($A2795="","",IF(COUNTIFS($S$3:$S2795,$S2795)=1,1,0))</f>
        <v/>
      </c>
      <c r="U2795" s="37" t="str">
        <f aca="false">IF($T2795=1,$S2795,"")</f>
        <v/>
      </c>
    </row>
    <row r="2796" customFormat="false" ht="15" hidden="false" customHeight="false" outlineLevel="0" collapsed="false">
      <c r="M2796" s="35" t="str">
        <f aca="false">IF($A2796="","",HOUR($A2796))</f>
        <v/>
      </c>
      <c r="N2796" s="36" t="str">
        <f aca="false">IF($A2796="","",$I2796*$K2796)</f>
        <v/>
      </c>
      <c r="O2796" s="35" t="str">
        <f aca="false">IF(OR($A2796="",$C2796="U",$S2796&lt;&gt;Calc!$F$2),"",SUMIFS($I$3:$I$3002,$E$3:$E$3002,$E2796,$C$3:$C$3002,"&lt;&gt;U",$S$3:$S$3002,Calc!$F$2))</f>
        <v/>
      </c>
      <c r="P2796" s="35" t="str">
        <f aca="false">IF(OR($A2796="",$C2796="U",$S2796&lt;&gt;Calc!$F$2),"",SUMIFS($N$3:$N$3002,$E$3:$E$3002,$E2796,$C$3:$C$3002,"&lt;&gt;U",$S$3:$S$3002,Calc!$F$2))</f>
        <v/>
      </c>
      <c r="Q2796" s="35" t="str">
        <f aca="false">IF(OR($A2796="",$C2796="U",$S2796&lt;&gt;Calc!$F$2),"",IF(COUNTIFS($E$3:$E2796,$E2796,$C$3:$C2796,"&lt;&gt;U",$S$3:$S2796,Calc!$F$2)=1,1,0))</f>
        <v/>
      </c>
      <c r="R2796" s="35" t="str">
        <f aca="false">IF($Q2796=1,$O2796-ROW()/100000,"")</f>
        <v/>
      </c>
      <c r="S2796" s="37" t="str">
        <f aca="false">IF($A2796="","",INT($A2796))</f>
        <v/>
      </c>
      <c r="T2796" s="35" t="str">
        <f aca="false">IF($A2796="","",IF(COUNTIFS($S$3:$S2796,$S2796)=1,1,0))</f>
        <v/>
      </c>
      <c r="U2796" s="37" t="str">
        <f aca="false">IF($T2796=1,$S2796,"")</f>
        <v/>
      </c>
    </row>
    <row r="2797" customFormat="false" ht="15" hidden="false" customHeight="false" outlineLevel="0" collapsed="false">
      <c r="M2797" s="35" t="str">
        <f aca="false">IF($A2797="","",HOUR($A2797))</f>
        <v/>
      </c>
      <c r="N2797" s="36" t="str">
        <f aca="false">IF($A2797="","",$I2797*$K2797)</f>
        <v/>
      </c>
      <c r="O2797" s="35" t="str">
        <f aca="false">IF(OR($A2797="",$C2797="U",$S2797&lt;&gt;Calc!$F$2),"",SUMIFS($I$3:$I$3002,$E$3:$E$3002,$E2797,$C$3:$C$3002,"&lt;&gt;U",$S$3:$S$3002,Calc!$F$2))</f>
        <v/>
      </c>
      <c r="P2797" s="35" t="str">
        <f aca="false">IF(OR($A2797="",$C2797="U",$S2797&lt;&gt;Calc!$F$2),"",SUMIFS($N$3:$N$3002,$E$3:$E$3002,$E2797,$C$3:$C$3002,"&lt;&gt;U",$S$3:$S$3002,Calc!$F$2))</f>
        <v/>
      </c>
      <c r="Q2797" s="35" t="str">
        <f aca="false">IF(OR($A2797="",$C2797="U",$S2797&lt;&gt;Calc!$F$2),"",IF(COUNTIFS($E$3:$E2797,$E2797,$C$3:$C2797,"&lt;&gt;U",$S$3:$S2797,Calc!$F$2)=1,1,0))</f>
        <v/>
      </c>
      <c r="R2797" s="35" t="str">
        <f aca="false">IF($Q2797=1,$O2797-ROW()/100000,"")</f>
        <v/>
      </c>
      <c r="S2797" s="37" t="str">
        <f aca="false">IF($A2797="","",INT($A2797))</f>
        <v/>
      </c>
      <c r="T2797" s="35" t="str">
        <f aca="false">IF($A2797="","",IF(COUNTIFS($S$3:$S2797,$S2797)=1,1,0))</f>
        <v/>
      </c>
      <c r="U2797" s="37" t="str">
        <f aca="false">IF($T2797=1,$S2797,"")</f>
        <v/>
      </c>
    </row>
    <row r="2798" customFormat="false" ht="15" hidden="false" customHeight="false" outlineLevel="0" collapsed="false">
      <c r="M2798" s="35" t="str">
        <f aca="false">IF($A2798="","",HOUR($A2798))</f>
        <v/>
      </c>
      <c r="N2798" s="36" t="str">
        <f aca="false">IF($A2798="","",$I2798*$K2798)</f>
        <v/>
      </c>
      <c r="O2798" s="35" t="str">
        <f aca="false">IF(OR($A2798="",$C2798="U",$S2798&lt;&gt;Calc!$F$2),"",SUMIFS($I$3:$I$3002,$E$3:$E$3002,$E2798,$C$3:$C$3002,"&lt;&gt;U",$S$3:$S$3002,Calc!$F$2))</f>
        <v/>
      </c>
      <c r="P2798" s="35" t="str">
        <f aca="false">IF(OR($A2798="",$C2798="U",$S2798&lt;&gt;Calc!$F$2),"",SUMIFS($N$3:$N$3002,$E$3:$E$3002,$E2798,$C$3:$C$3002,"&lt;&gt;U",$S$3:$S$3002,Calc!$F$2))</f>
        <v/>
      </c>
      <c r="Q2798" s="35" t="str">
        <f aca="false">IF(OR($A2798="",$C2798="U",$S2798&lt;&gt;Calc!$F$2),"",IF(COUNTIFS($E$3:$E2798,$E2798,$C$3:$C2798,"&lt;&gt;U",$S$3:$S2798,Calc!$F$2)=1,1,0))</f>
        <v/>
      </c>
      <c r="R2798" s="35" t="str">
        <f aca="false">IF($Q2798=1,$O2798-ROW()/100000,"")</f>
        <v/>
      </c>
      <c r="S2798" s="37" t="str">
        <f aca="false">IF($A2798="","",INT($A2798))</f>
        <v/>
      </c>
      <c r="T2798" s="35" t="str">
        <f aca="false">IF($A2798="","",IF(COUNTIFS($S$3:$S2798,$S2798)=1,1,0))</f>
        <v/>
      </c>
      <c r="U2798" s="37" t="str">
        <f aca="false">IF($T2798=1,$S2798,"")</f>
        <v/>
      </c>
    </row>
    <row r="2799" customFormat="false" ht="15" hidden="false" customHeight="false" outlineLevel="0" collapsed="false">
      <c r="M2799" s="35" t="str">
        <f aca="false">IF($A2799="","",HOUR($A2799))</f>
        <v/>
      </c>
      <c r="N2799" s="36" t="str">
        <f aca="false">IF($A2799="","",$I2799*$K2799)</f>
        <v/>
      </c>
      <c r="O2799" s="35" t="str">
        <f aca="false">IF(OR($A2799="",$C2799="U",$S2799&lt;&gt;Calc!$F$2),"",SUMIFS($I$3:$I$3002,$E$3:$E$3002,$E2799,$C$3:$C$3002,"&lt;&gt;U",$S$3:$S$3002,Calc!$F$2))</f>
        <v/>
      </c>
      <c r="P2799" s="35" t="str">
        <f aca="false">IF(OR($A2799="",$C2799="U",$S2799&lt;&gt;Calc!$F$2),"",SUMIFS($N$3:$N$3002,$E$3:$E$3002,$E2799,$C$3:$C$3002,"&lt;&gt;U",$S$3:$S$3002,Calc!$F$2))</f>
        <v/>
      </c>
      <c r="Q2799" s="35" t="str">
        <f aca="false">IF(OR($A2799="",$C2799="U",$S2799&lt;&gt;Calc!$F$2),"",IF(COUNTIFS($E$3:$E2799,$E2799,$C$3:$C2799,"&lt;&gt;U",$S$3:$S2799,Calc!$F$2)=1,1,0))</f>
        <v/>
      </c>
      <c r="R2799" s="35" t="str">
        <f aca="false">IF($Q2799=1,$O2799-ROW()/100000,"")</f>
        <v/>
      </c>
      <c r="S2799" s="37" t="str">
        <f aca="false">IF($A2799="","",INT($A2799))</f>
        <v/>
      </c>
      <c r="T2799" s="35" t="str">
        <f aca="false">IF($A2799="","",IF(COUNTIFS($S$3:$S2799,$S2799)=1,1,0))</f>
        <v/>
      </c>
      <c r="U2799" s="37" t="str">
        <f aca="false">IF($T2799=1,$S2799,"")</f>
        <v/>
      </c>
    </row>
    <row r="2800" customFormat="false" ht="15" hidden="false" customHeight="false" outlineLevel="0" collapsed="false">
      <c r="M2800" s="35" t="str">
        <f aca="false">IF($A2800="","",HOUR($A2800))</f>
        <v/>
      </c>
      <c r="N2800" s="36" t="str">
        <f aca="false">IF($A2800="","",$I2800*$K2800)</f>
        <v/>
      </c>
      <c r="O2800" s="35" t="str">
        <f aca="false">IF(OR($A2800="",$C2800="U",$S2800&lt;&gt;Calc!$F$2),"",SUMIFS($I$3:$I$3002,$E$3:$E$3002,$E2800,$C$3:$C$3002,"&lt;&gt;U",$S$3:$S$3002,Calc!$F$2))</f>
        <v/>
      </c>
      <c r="P2800" s="35" t="str">
        <f aca="false">IF(OR($A2800="",$C2800="U",$S2800&lt;&gt;Calc!$F$2),"",SUMIFS($N$3:$N$3002,$E$3:$E$3002,$E2800,$C$3:$C$3002,"&lt;&gt;U",$S$3:$S$3002,Calc!$F$2))</f>
        <v/>
      </c>
      <c r="Q2800" s="35" t="str">
        <f aca="false">IF(OR($A2800="",$C2800="U",$S2800&lt;&gt;Calc!$F$2),"",IF(COUNTIFS($E$3:$E2800,$E2800,$C$3:$C2800,"&lt;&gt;U",$S$3:$S2800,Calc!$F$2)=1,1,0))</f>
        <v/>
      </c>
      <c r="R2800" s="35" t="str">
        <f aca="false">IF($Q2800=1,$O2800-ROW()/100000,"")</f>
        <v/>
      </c>
      <c r="S2800" s="37" t="str">
        <f aca="false">IF($A2800="","",INT($A2800))</f>
        <v/>
      </c>
      <c r="T2800" s="35" t="str">
        <f aca="false">IF($A2800="","",IF(COUNTIFS($S$3:$S2800,$S2800)=1,1,0))</f>
        <v/>
      </c>
      <c r="U2800" s="37" t="str">
        <f aca="false">IF($T2800=1,$S2800,"")</f>
        <v/>
      </c>
    </row>
    <row r="2801" customFormat="false" ht="15" hidden="false" customHeight="false" outlineLevel="0" collapsed="false">
      <c r="M2801" s="35" t="str">
        <f aca="false">IF($A2801="","",HOUR($A2801))</f>
        <v/>
      </c>
      <c r="N2801" s="36" t="str">
        <f aca="false">IF($A2801="","",$I2801*$K2801)</f>
        <v/>
      </c>
      <c r="O2801" s="35" t="str">
        <f aca="false">IF(OR($A2801="",$C2801="U",$S2801&lt;&gt;Calc!$F$2),"",SUMIFS($I$3:$I$3002,$E$3:$E$3002,$E2801,$C$3:$C$3002,"&lt;&gt;U",$S$3:$S$3002,Calc!$F$2))</f>
        <v/>
      </c>
      <c r="P2801" s="35" t="str">
        <f aca="false">IF(OR($A2801="",$C2801="U",$S2801&lt;&gt;Calc!$F$2),"",SUMIFS($N$3:$N$3002,$E$3:$E$3002,$E2801,$C$3:$C$3002,"&lt;&gt;U",$S$3:$S$3002,Calc!$F$2))</f>
        <v/>
      </c>
      <c r="Q2801" s="35" t="str">
        <f aca="false">IF(OR($A2801="",$C2801="U",$S2801&lt;&gt;Calc!$F$2),"",IF(COUNTIFS($E$3:$E2801,$E2801,$C$3:$C2801,"&lt;&gt;U",$S$3:$S2801,Calc!$F$2)=1,1,0))</f>
        <v/>
      </c>
      <c r="R2801" s="35" t="str">
        <f aca="false">IF($Q2801=1,$O2801-ROW()/100000,"")</f>
        <v/>
      </c>
      <c r="S2801" s="37" t="str">
        <f aca="false">IF($A2801="","",INT($A2801))</f>
        <v/>
      </c>
      <c r="T2801" s="35" t="str">
        <f aca="false">IF($A2801="","",IF(COUNTIFS($S$3:$S2801,$S2801)=1,1,0))</f>
        <v/>
      </c>
      <c r="U2801" s="37" t="str">
        <f aca="false">IF($T2801=1,$S2801,"")</f>
        <v/>
      </c>
    </row>
    <row r="2802" customFormat="false" ht="15" hidden="false" customHeight="false" outlineLevel="0" collapsed="false">
      <c r="M2802" s="35" t="str">
        <f aca="false">IF($A2802="","",HOUR($A2802))</f>
        <v/>
      </c>
      <c r="N2802" s="36" t="str">
        <f aca="false">IF($A2802="","",$I2802*$K2802)</f>
        <v/>
      </c>
      <c r="O2802" s="35" t="str">
        <f aca="false">IF(OR($A2802="",$C2802="U",$S2802&lt;&gt;Calc!$F$2),"",SUMIFS($I$3:$I$3002,$E$3:$E$3002,$E2802,$C$3:$C$3002,"&lt;&gt;U",$S$3:$S$3002,Calc!$F$2))</f>
        <v/>
      </c>
      <c r="P2802" s="35" t="str">
        <f aca="false">IF(OR($A2802="",$C2802="U",$S2802&lt;&gt;Calc!$F$2),"",SUMIFS($N$3:$N$3002,$E$3:$E$3002,$E2802,$C$3:$C$3002,"&lt;&gt;U",$S$3:$S$3002,Calc!$F$2))</f>
        <v/>
      </c>
      <c r="Q2802" s="35" t="str">
        <f aca="false">IF(OR($A2802="",$C2802="U",$S2802&lt;&gt;Calc!$F$2),"",IF(COUNTIFS($E$3:$E2802,$E2802,$C$3:$C2802,"&lt;&gt;U",$S$3:$S2802,Calc!$F$2)=1,1,0))</f>
        <v/>
      </c>
      <c r="R2802" s="35" t="str">
        <f aca="false">IF($Q2802=1,$O2802-ROW()/100000,"")</f>
        <v/>
      </c>
      <c r="S2802" s="37" t="str">
        <f aca="false">IF($A2802="","",INT($A2802))</f>
        <v/>
      </c>
      <c r="T2802" s="35" t="str">
        <f aca="false">IF($A2802="","",IF(COUNTIFS($S$3:$S2802,$S2802)=1,1,0))</f>
        <v/>
      </c>
      <c r="U2802" s="37" t="str">
        <f aca="false">IF($T2802=1,$S2802,"")</f>
        <v/>
      </c>
    </row>
    <row r="2803" customFormat="false" ht="15" hidden="false" customHeight="false" outlineLevel="0" collapsed="false">
      <c r="M2803" s="35" t="str">
        <f aca="false">IF($A2803="","",HOUR($A2803))</f>
        <v/>
      </c>
      <c r="N2803" s="36" t="str">
        <f aca="false">IF($A2803="","",$I2803*$K2803)</f>
        <v/>
      </c>
      <c r="O2803" s="35" t="str">
        <f aca="false">IF(OR($A2803="",$C2803="U",$S2803&lt;&gt;Calc!$F$2),"",SUMIFS($I$3:$I$3002,$E$3:$E$3002,$E2803,$C$3:$C$3002,"&lt;&gt;U",$S$3:$S$3002,Calc!$F$2))</f>
        <v/>
      </c>
      <c r="P2803" s="35" t="str">
        <f aca="false">IF(OR($A2803="",$C2803="U",$S2803&lt;&gt;Calc!$F$2),"",SUMIFS($N$3:$N$3002,$E$3:$E$3002,$E2803,$C$3:$C$3002,"&lt;&gt;U",$S$3:$S$3002,Calc!$F$2))</f>
        <v/>
      </c>
      <c r="Q2803" s="35" t="str">
        <f aca="false">IF(OR($A2803="",$C2803="U",$S2803&lt;&gt;Calc!$F$2),"",IF(COUNTIFS($E$3:$E2803,$E2803,$C$3:$C2803,"&lt;&gt;U",$S$3:$S2803,Calc!$F$2)=1,1,0))</f>
        <v/>
      </c>
      <c r="R2803" s="35" t="str">
        <f aca="false">IF($Q2803=1,$O2803-ROW()/100000,"")</f>
        <v/>
      </c>
      <c r="S2803" s="37" t="str">
        <f aca="false">IF($A2803="","",INT($A2803))</f>
        <v/>
      </c>
      <c r="T2803" s="35" t="str">
        <f aca="false">IF($A2803="","",IF(COUNTIFS($S$3:$S2803,$S2803)=1,1,0))</f>
        <v/>
      </c>
      <c r="U2803" s="37" t="str">
        <f aca="false">IF($T2803=1,$S2803,"")</f>
        <v/>
      </c>
    </row>
    <row r="2804" customFormat="false" ht="15" hidden="false" customHeight="false" outlineLevel="0" collapsed="false">
      <c r="M2804" s="35" t="str">
        <f aca="false">IF($A2804="","",HOUR($A2804))</f>
        <v/>
      </c>
      <c r="N2804" s="36" t="str">
        <f aca="false">IF($A2804="","",$I2804*$K2804)</f>
        <v/>
      </c>
      <c r="O2804" s="35" t="str">
        <f aca="false">IF(OR($A2804="",$C2804="U",$S2804&lt;&gt;Calc!$F$2),"",SUMIFS($I$3:$I$3002,$E$3:$E$3002,$E2804,$C$3:$C$3002,"&lt;&gt;U",$S$3:$S$3002,Calc!$F$2))</f>
        <v/>
      </c>
      <c r="P2804" s="35" t="str">
        <f aca="false">IF(OR($A2804="",$C2804="U",$S2804&lt;&gt;Calc!$F$2),"",SUMIFS($N$3:$N$3002,$E$3:$E$3002,$E2804,$C$3:$C$3002,"&lt;&gt;U",$S$3:$S$3002,Calc!$F$2))</f>
        <v/>
      </c>
      <c r="Q2804" s="35" t="str">
        <f aca="false">IF(OR($A2804="",$C2804="U",$S2804&lt;&gt;Calc!$F$2),"",IF(COUNTIFS($E$3:$E2804,$E2804,$C$3:$C2804,"&lt;&gt;U",$S$3:$S2804,Calc!$F$2)=1,1,0))</f>
        <v/>
      </c>
      <c r="R2804" s="35" t="str">
        <f aca="false">IF($Q2804=1,$O2804-ROW()/100000,"")</f>
        <v/>
      </c>
      <c r="S2804" s="37" t="str">
        <f aca="false">IF($A2804="","",INT($A2804))</f>
        <v/>
      </c>
      <c r="T2804" s="35" t="str">
        <f aca="false">IF($A2804="","",IF(COUNTIFS($S$3:$S2804,$S2804)=1,1,0))</f>
        <v/>
      </c>
      <c r="U2804" s="37" t="str">
        <f aca="false">IF($T2804=1,$S2804,"")</f>
        <v/>
      </c>
    </row>
    <row r="2805" customFormat="false" ht="15" hidden="false" customHeight="false" outlineLevel="0" collapsed="false">
      <c r="M2805" s="35" t="str">
        <f aca="false">IF($A2805="","",HOUR($A2805))</f>
        <v/>
      </c>
      <c r="N2805" s="36" t="str">
        <f aca="false">IF($A2805="","",$I2805*$K2805)</f>
        <v/>
      </c>
      <c r="O2805" s="35" t="str">
        <f aca="false">IF(OR($A2805="",$C2805="U",$S2805&lt;&gt;Calc!$F$2),"",SUMIFS($I$3:$I$3002,$E$3:$E$3002,$E2805,$C$3:$C$3002,"&lt;&gt;U",$S$3:$S$3002,Calc!$F$2))</f>
        <v/>
      </c>
      <c r="P2805" s="35" t="str">
        <f aca="false">IF(OR($A2805="",$C2805="U",$S2805&lt;&gt;Calc!$F$2),"",SUMIFS($N$3:$N$3002,$E$3:$E$3002,$E2805,$C$3:$C$3002,"&lt;&gt;U",$S$3:$S$3002,Calc!$F$2))</f>
        <v/>
      </c>
      <c r="Q2805" s="35" t="str">
        <f aca="false">IF(OR($A2805="",$C2805="U",$S2805&lt;&gt;Calc!$F$2),"",IF(COUNTIFS($E$3:$E2805,$E2805,$C$3:$C2805,"&lt;&gt;U",$S$3:$S2805,Calc!$F$2)=1,1,0))</f>
        <v/>
      </c>
      <c r="R2805" s="35" t="str">
        <f aca="false">IF($Q2805=1,$O2805-ROW()/100000,"")</f>
        <v/>
      </c>
      <c r="S2805" s="37" t="str">
        <f aca="false">IF($A2805="","",INT($A2805))</f>
        <v/>
      </c>
      <c r="T2805" s="35" t="str">
        <f aca="false">IF($A2805="","",IF(COUNTIFS($S$3:$S2805,$S2805)=1,1,0))</f>
        <v/>
      </c>
      <c r="U2805" s="37" t="str">
        <f aca="false">IF($T2805=1,$S2805,"")</f>
        <v/>
      </c>
    </row>
    <row r="2806" customFormat="false" ht="15" hidden="false" customHeight="false" outlineLevel="0" collapsed="false">
      <c r="M2806" s="35" t="str">
        <f aca="false">IF($A2806="","",HOUR($A2806))</f>
        <v/>
      </c>
      <c r="N2806" s="36" t="str">
        <f aca="false">IF($A2806="","",$I2806*$K2806)</f>
        <v/>
      </c>
      <c r="O2806" s="35" t="str">
        <f aca="false">IF(OR($A2806="",$C2806="U",$S2806&lt;&gt;Calc!$F$2),"",SUMIFS($I$3:$I$3002,$E$3:$E$3002,$E2806,$C$3:$C$3002,"&lt;&gt;U",$S$3:$S$3002,Calc!$F$2))</f>
        <v/>
      </c>
      <c r="P2806" s="35" t="str">
        <f aca="false">IF(OR($A2806="",$C2806="U",$S2806&lt;&gt;Calc!$F$2),"",SUMIFS($N$3:$N$3002,$E$3:$E$3002,$E2806,$C$3:$C$3002,"&lt;&gt;U",$S$3:$S$3002,Calc!$F$2))</f>
        <v/>
      </c>
      <c r="Q2806" s="35" t="str">
        <f aca="false">IF(OR($A2806="",$C2806="U",$S2806&lt;&gt;Calc!$F$2),"",IF(COUNTIFS($E$3:$E2806,$E2806,$C$3:$C2806,"&lt;&gt;U",$S$3:$S2806,Calc!$F$2)=1,1,0))</f>
        <v/>
      </c>
      <c r="R2806" s="35" t="str">
        <f aca="false">IF($Q2806=1,$O2806-ROW()/100000,"")</f>
        <v/>
      </c>
      <c r="S2806" s="37" t="str">
        <f aca="false">IF($A2806="","",INT($A2806))</f>
        <v/>
      </c>
      <c r="T2806" s="35" t="str">
        <f aca="false">IF($A2806="","",IF(COUNTIFS($S$3:$S2806,$S2806)=1,1,0))</f>
        <v/>
      </c>
      <c r="U2806" s="37" t="str">
        <f aca="false">IF($T2806=1,$S2806,"")</f>
        <v/>
      </c>
    </row>
    <row r="2807" customFormat="false" ht="15" hidden="false" customHeight="false" outlineLevel="0" collapsed="false">
      <c r="M2807" s="35" t="str">
        <f aca="false">IF($A2807="","",HOUR($A2807))</f>
        <v/>
      </c>
      <c r="N2807" s="36" t="str">
        <f aca="false">IF($A2807="","",$I2807*$K2807)</f>
        <v/>
      </c>
      <c r="O2807" s="35" t="str">
        <f aca="false">IF(OR($A2807="",$C2807="U",$S2807&lt;&gt;Calc!$F$2),"",SUMIFS($I$3:$I$3002,$E$3:$E$3002,$E2807,$C$3:$C$3002,"&lt;&gt;U",$S$3:$S$3002,Calc!$F$2))</f>
        <v/>
      </c>
      <c r="P2807" s="35" t="str">
        <f aca="false">IF(OR($A2807="",$C2807="U",$S2807&lt;&gt;Calc!$F$2),"",SUMIFS($N$3:$N$3002,$E$3:$E$3002,$E2807,$C$3:$C$3002,"&lt;&gt;U",$S$3:$S$3002,Calc!$F$2))</f>
        <v/>
      </c>
      <c r="Q2807" s="35" t="str">
        <f aca="false">IF(OR($A2807="",$C2807="U",$S2807&lt;&gt;Calc!$F$2),"",IF(COUNTIFS($E$3:$E2807,$E2807,$C$3:$C2807,"&lt;&gt;U",$S$3:$S2807,Calc!$F$2)=1,1,0))</f>
        <v/>
      </c>
      <c r="R2807" s="35" t="str">
        <f aca="false">IF($Q2807=1,$O2807-ROW()/100000,"")</f>
        <v/>
      </c>
      <c r="S2807" s="37" t="str">
        <f aca="false">IF($A2807="","",INT($A2807))</f>
        <v/>
      </c>
      <c r="T2807" s="35" t="str">
        <f aca="false">IF($A2807="","",IF(COUNTIFS($S$3:$S2807,$S2807)=1,1,0))</f>
        <v/>
      </c>
      <c r="U2807" s="37" t="str">
        <f aca="false">IF($T2807=1,$S2807,"")</f>
        <v/>
      </c>
    </row>
    <row r="2808" customFormat="false" ht="15" hidden="false" customHeight="false" outlineLevel="0" collapsed="false">
      <c r="M2808" s="35" t="str">
        <f aca="false">IF($A2808="","",HOUR($A2808))</f>
        <v/>
      </c>
      <c r="N2808" s="36" t="str">
        <f aca="false">IF($A2808="","",$I2808*$K2808)</f>
        <v/>
      </c>
      <c r="O2808" s="35" t="str">
        <f aca="false">IF(OR($A2808="",$C2808="U",$S2808&lt;&gt;Calc!$F$2),"",SUMIFS($I$3:$I$3002,$E$3:$E$3002,$E2808,$C$3:$C$3002,"&lt;&gt;U",$S$3:$S$3002,Calc!$F$2))</f>
        <v/>
      </c>
      <c r="P2808" s="35" t="str">
        <f aca="false">IF(OR($A2808="",$C2808="U",$S2808&lt;&gt;Calc!$F$2),"",SUMIFS($N$3:$N$3002,$E$3:$E$3002,$E2808,$C$3:$C$3002,"&lt;&gt;U",$S$3:$S$3002,Calc!$F$2))</f>
        <v/>
      </c>
      <c r="Q2808" s="35" t="str">
        <f aca="false">IF(OR($A2808="",$C2808="U",$S2808&lt;&gt;Calc!$F$2),"",IF(COUNTIFS($E$3:$E2808,$E2808,$C$3:$C2808,"&lt;&gt;U",$S$3:$S2808,Calc!$F$2)=1,1,0))</f>
        <v/>
      </c>
      <c r="R2808" s="35" t="str">
        <f aca="false">IF($Q2808=1,$O2808-ROW()/100000,"")</f>
        <v/>
      </c>
      <c r="S2808" s="37" t="str">
        <f aca="false">IF($A2808="","",INT($A2808))</f>
        <v/>
      </c>
      <c r="T2808" s="35" t="str">
        <f aca="false">IF($A2808="","",IF(COUNTIFS($S$3:$S2808,$S2808)=1,1,0))</f>
        <v/>
      </c>
      <c r="U2808" s="37" t="str">
        <f aca="false">IF($T2808=1,$S2808,"")</f>
        <v/>
      </c>
    </row>
    <row r="2809" customFormat="false" ht="15" hidden="false" customHeight="false" outlineLevel="0" collapsed="false">
      <c r="M2809" s="35" t="str">
        <f aca="false">IF($A2809="","",HOUR($A2809))</f>
        <v/>
      </c>
      <c r="N2809" s="36" t="str">
        <f aca="false">IF($A2809="","",$I2809*$K2809)</f>
        <v/>
      </c>
      <c r="O2809" s="35" t="str">
        <f aca="false">IF(OR($A2809="",$C2809="U",$S2809&lt;&gt;Calc!$F$2),"",SUMIFS($I$3:$I$3002,$E$3:$E$3002,$E2809,$C$3:$C$3002,"&lt;&gt;U",$S$3:$S$3002,Calc!$F$2))</f>
        <v/>
      </c>
      <c r="P2809" s="35" t="str">
        <f aca="false">IF(OR($A2809="",$C2809="U",$S2809&lt;&gt;Calc!$F$2),"",SUMIFS($N$3:$N$3002,$E$3:$E$3002,$E2809,$C$3:$C$3002,"&lt;&gt;U",$S$3:$S$3002,Calc!$F$2))</f>
        <v/>
      </c>
      <c r="Q2809" s="35" t="str">
        <f aca="false">IF(OR($A2809="",$C2809="U",$S2809&lt;&gt;Calc!$F$2),"",IF(COUNTIFS($E$3:$E2809,$E2809,$C$3:$C2809,"&lt;&gt;U",$S$3:$S2809,Calc!$F$2)=1,1,0))</f>
        <v/>
      </c>
      <c r="R2809" s="35" t="str">
        <f aca="false">IF($Q2809=1,$O2809-ROW()/100000,"")</f>
        <v/>
      </c>
      <c r="S2809" s="37" t="str">
        <f aca="false">IF($A2809="","",INT($A2809))</f>
        <v/>
      </c>
      <c r="T2809" s="35" t="str">
        <f aca="false">IF($A2809="","",IF(COUNTIFS($S$3:$S2809,$S2809)=1,1,0))</f>
        <v/>
      </c>
      <c r="U2809" s="37" t="str">
        <f aca="false">IF($T2809=1,$S2809,"")</f>
        <v/>
      </c>
    </row>
    <row r="2810" customFormat="false" ht="15" hidden="false" customHeight="false" outlineLevel="0" collapsed="false">
      <c r="M2810" s="35" t="str">
        <f aca="false">IF($A2810="","",HOUR($A2810))</f>
        <v/>
      </c>
      <c r="N2810" s="36" t="str">
        <f aca="false">IF($A2810="","",$I2810*$K2810)</f>
        <v/>
      </c>
      <c r="O2810" s="35" t="str">
        <f aca="false">IF(OR($A2810="",$C2810="U",$S2810&lt;&gt;Calc!$F$2),"",SUMIFS($I$3:$I$3002,$E$3:$E$3002,$E2810,$C$3:$C$3002,"&lt;&gt;U",$S$3:$S$3002,Calc!$F$2))</f>
        <v/>
      </c>
      <c r="P2810" s="35" t="str">
        <f aca="false">IF(OR($A2810="",$C2810="U",$S2810&lt;&gt;Calc!$F$2),"",SUMIFS($N$3:$N$3002,$E$3:$E$3002,$E2810,$C$3:$C$3002,"&lt;&gt;U",$S$3:$S$3002,Calc!$F$2))</f>
        <v/>
      </c>
      <c r="Q2810" s="35" t="str">
        <f aca="false">IF(OR($A2810="",$C2810="U",$S2810&lt;&gt;Calc!$F$2),"",IF(COUNTIFS($E$3:$E2810,$E2810,$C$3:$C2810,"&lt;&gt;U",$S$3:$S2810,Calc!$F$2)=1,1,0))</f>
        <v/>
      </c>
      <c r="R2810" s="35" t="str">
        <f aca="false">IF($Q2810=1,$O2810-ROW()/100000,"")</f>
        <v/>
      </c>
      <c r="S2810" s="37" t="str">
        <f aca="false">IF($A2810="","",INT($A2810))</f>
        <v/>
      </c>
      <c r="T2810" s="35" t="str">
        <f aca="false">IF($A2810="","",IF(COUNTIFS($S$3:$S2810,$S2810)=1,1,0))</f>
        <v/>
      </c>
      <c r="U2810" s="37" t="str">
        <f aca="false">IF($T2810=1,$S2810,"")</f>
        <v/>
      </c>
    </row>
    <row r="2811" customFormat="false" ht="15" hidden="false" customHeight="false" outlineLevel="0" collapsed="false">
      <c r="M2811" s="35" t="str">
        <f aca="false">IF($A2811="","",HOUR($A2811))</f>
        <v/>
      </c>
      <c r="N2811" s="36" t="str">
        <f aca="false">IF($A2811="","",$I2811*$K2811)</f>
        <v/>
      </c>
      <c r="O2811" s="35" t="str">
        <f aca="false">IF(OR($A2811="",$C2811="U",$S2811&lt;&gt;Calc!$F$2),"",SUMIFS($I$3:$I$3002,$E$3:$E$3002,$E2811,$C$3:$C$3002,"&lt;&gt;U",$S$3:$S$3002,Calc!$F$2))</f>
        <v/>
      </c>
      <c r="P2811" s="35" t="str">
        <f aca="false">IF(OR($A2811="",$C2811="U",$S2811&lt;&gt;Calc!$F$2),"",SUMIFS($N$3:$N$3002,$E$3:$E$3002,$E2811,$C$3:$C$3002,"&lt;&gt;U",$S$3:$S$3002,Calc!$F$2))</f>
        <v/>
      </c>
      <c r="Q2811" s="35" t="str">
        <f aca="false">IF(OR($A2811="",$C2811="U",$S2811&lt;&gt;Calc!$F$2),"",IF(COUNTIFS($E$3:$E2811,$E2811,$C$3:$C2811,"&lt;&gt;U",$S$3:$S2811,Calc!$F$2)=1,1,0))</f>
        <v/>
      </c>
      <c r="R2811" s="35" t="str">
        <f aca="false">IF($Q2811=1,$O2811-ROW()/100000,"")</f>
        <v/>
      </c>
      <c r="S2811" s="37" t="str">
        <f aca="false">IF($A2811="","",INT($A2811))</f>
        <v/>
      </c>
      <c r="T2811" s="35" t="str">
        <f aca="false">IF($A2811="","",IF(COUNTIFS($S$3:$S2811,$S2811)=1,1,0))</f>
        <v/>
      </c>
      <c r="U2811" s="37" t="str">
        <f aca="false">IF($T2811=1,$S2811,"")</f>
        <v/>
      </c>
    </row>
    <row r="2812" customFormat="false" ht="15" hidden="false" customHeight="false" outlineLevel="0" collapsed="false">
      <c r="M2812" s="35" t="str">
        <f aca="false">IF($A2812="","",HOUR($A2812))</f>
        <v/>
      </c>
      <c r="N2812" s="36" t="str">
        <f aca="false">IF($A2812="","",$I2812*$K2812)</f>
        <v/>
      </c>
      <c r="O2812" s="35" t="str">
        <f aca="false">IF(OR($A2812="",$C2812="U",$S2812&lt;&gt;Calc!$F$2),"",SUMIFS($I$3:$I$3002,$E$3:$E$3002,$E2812,$C$3:$C$3002,"&lt;&gt;U",$S$3:$S$3002,Calc!$F$2))</f>
        <v/>
      </c>
      <c r="P2812" s="35" t="str">
        <f aca="false">IF(OR($A2812="",$C2812="U",$S2812&lt;&gt;Calc!$F$2),"",SUMIFS($N$3:$N$3002,$E$3:$E$3002,$E2812,$C$3:$C$3002,"&lt;&gt;U",$S$3:$S$3002,Calc!$F$2))</f>
        <v/>
      </c>
      <c r="Q2812" s="35" t="str">
        <f aca="false">IF(OR($A2812="",$C2812="U",$S2812&lt;&gt;Calc!$F$2),"",IF(COUNTIFS($E$3:$E2812,$E2812,$C$3:$C2812,"&lt;&gt;U",$S$3:$S2812,Calc!$F$2)=1,1,0))</f>
        <v/>
      </c>
      <c r="R2812" s="35" t="str">
        <f aca="false">IF($Q2812=1,$O2812-ROW()/100000,"")</f>
        <v/>
      </c>
      <c r="S2812" s="37" t="str">
        <f aca="false">IF($A2812="","",INT($A2812))</f>
        <v/>
      </c>
      <c r="T2812" s="35" t="str">
        <f aca="false">IF($A2812="","",IF(COUNTIFS($S$3:$S2812,$S2812)=1,1,0))</f>
        <v/>
      </c>
      <c r="U2812" s="37" t="str">
        <f aca="false">IF($T2812=1,$S2812,"")</f>
        <v/>
      </c>
    </row>
    <row r="2813" customFormat="false" ht="15" hidden="false" customHeight="false" outlineLevel="0" collapsed="false">
      <c r="M2813" s="35" t="str">
        <f aca="false">IF($A2813="","",HOUR($A2813))</f>
        <v/>
      </c>
      <c r="N2813" s="36" t="str">
        <f aca="false">IF($A2813="","",$I2813*$K2813)</f>
        <v/>
      </c>
      <c r="O2813" s="35" t="str">
        <f aca="false">IF(OR($A2813="",$C2813="U",$S2813&lt;&gt;Calc!$F$2),"",SUMIFS($I$3:$I$3002,$E$3:$E$3002,$E2813,$C$3:$C$3002,"&lt;&gt;U",$S$3:$S$3002,Calc!$F$2))</f>
        <v/>
      </c>
      <c r="P2813" s="35" t="str">
        <f aca="false">IF(OR($A2813="",$C2813="U",$S2813&lt;&gt;Calc!$F$2),"",SUMIFS($N$3:$N$3002,$E$3:$E$3002,$E2813,$C$3:$C$3002,"&lt;&gt;U",$S$3:$S$3002,Calc!$F$2))</f>
        <v/>
      </c>
      <c r="Q2813" s="35" t="str">
        <f aca="false">IF(OR($A2813="",$C2813="U",$S2813&lt;&gt;Calc!$F$2),"",IF(COUNTIFS($E$3:$E2813,$E2813,$C$3:$C2813,"&lt;&gt;U",$S$3:$S2813,Calc!$F$2)=1,1,0))</f>
        <v/>
      </c>
      <c r="R2813" s="35" t="str">
        <f aca="false">IF($Q2813=1,$O2813-ROW()/100000,"")</f>
        <v/>
      </c>
      <c r="S2813" s="37" t="str">
        <f aca="false">IF($A2813="","",INT($A2813))</f>
        <v/>
      </c>
      <c r="T2813" s="35" t="str">
        <f aca="false">IF($A2813="","",IF(COUNTIFS($S$3:$S2813,$S2813)=1,1,0))</f>
        <v/>
      </c>
      <c r="U2813" s="37" t="str">
        <f aca="false">IF($T2813=1,$S2813,"")</f>
        <v/>
      </c>
    </row>
    <row r="2814" customFormat="false" ht="15" hidden="false" customHeight="false" outlineLevel="0" collapsed="false">
      <c r="M2814" s="35" t="str">
        <f aca="false">IF($A2814="","",HOUR($A2814))</f>
        <v/>
      </c>
      <c r="N2814" s="36" t="str">
        <f aca="false">IF($A2814="","",$I2814*$K2814)</f>
        <v/>
      </c>
      <c r="O2814" s="35" t="str">
        <f aca="false">IF(OR($A2814="",$C2814="U",$S2814&lt;&gt;Calc!$F$2),"",SUMIFS($I$3:$I$3002,$E$3:$E$3002,$E2814,$C$3:$C$3002,"&lt;&gt;U",$S$3:$S$3002,Calc!$F$2))</f>
        <v/>
      </c>
      <c r="P2814" s="35" t="str">
        <f aca="false">IF(OR($A2814="",$C2814="U",$S2814&lt;&gt;Calc!$F$2),"",SUMIFS($N$3:$N$3002,$E$3:$E$3002,$E2814,$C$3:$C$3002,"&lt;&gt;U",$S$3:$S$3002,Calc!$F$2))</f>
        <v/>
      </c>
      <c r="Q2814" s="35" t="str">
        <f aca="false">IF(OR($A2814="",$C2814="U",$S2814&lt;&gt;Calc!$F$2),"",IF(COUNTIFS($E$3:$E2814,$E2814,$C$3:$C2814,"&lt;&gt;U",$S$3:$S2814,Calc!$F$2)=1,1,0))</f>
        <v/>
      </c>
      <c r="R2814" s="35" t="str">
        <f aca="false">IF($Q2814=1,$O2814-ROW()/100000,"")</f>
        <v/>
      </c>
      <c r="S2814" s="37" t="str">
        <f aca="false">IF($A2814="","",INT($A2814))</f>
        <v/>
      </c>
      <c r="T2814" s="35" t="str">
        <f aca="false">IF($A2814="","",IF(COUNTIFS($S$3:$S2814,$S2814)=1,1,0))</f>
        <v/>
      </c>
      <c r="U2814" s="37" t="str">
        <f aca="false">IF($T2814=1,$S2814,"")</f>
        <v/>
      </c>
    </row>
    <row r="2815" customFormat="false" ht="15" hidden="false" customHeight="false" outlineLevel="0" collapsed="false">
      <c r="M2815" s="35" t="str">
        <f aca="false">IF($A2815="","",HOUR($A2815))</f>
        <v/>
      </c>
      <c r="N2815" s="36" t="str">
        <f aca="false">IF($A2815="","",$I2815*$K2815)</f>
        <v/>
      </c>
      <c r="O2815" s="35" t="str">
        <f aca="false">IF(OR($A2815="",$C2815="U",$S2815&lt;&gt;Calc!$F$2),"",SUMIFS($I$3:$I$3002,$E$3:$E$3002,$E2815,$C$3:$C$3002,"&lt;&gt;U",$S$3:$S$3002,Calc!$F$2))</f>
        <v/>
      </c>
      <c r="P2815" s="35" t="str">
        <f aca="false">IF(OR($A2815="",$C2815="U",$S2815&lt;&gt;Calc!$F$2),"",SUMIFS($N$3:$N$3002,$E$3:$E$3002,$E2815,$C$3:$C$3002,"&lt;&gt;U",$S$3:$S$3002,Calc!$F$2))</f>
        <v/>
      </c>
      <c r="Q2815" s="35" t="str">
        <f aca="false">IF(OR($A2815="",$C2815="U",$S2815&lt;&gt;Calc!$F$2),"",IF(COUNTIFS($E$3:$E2815,$E2815,$C$3:$C2815,"&lt;&gt;U",$S$3:$S2815,Calc!$F$2)=1,1,0))</f>
        <v/>
      </c>
      <c r="R2815" s="35" t="str">
        <f aca="false">IF($Q2815=1,$O2815-ROW()/100000,"")</f>
        <v/>
      </c>
      <c r="S2815" s="37" t="str">
        <f aca="false">IF($A2815="","",INT($A2815))</f>
        <v/>
      </c>
      <c r="T2815" s="35" t="str">
        <f aca="false">IF($A2815="","",IF(COUNTIFS($S$3:$S2815,$S2815)=1,1,0))</f>
        <v/>
      </c>
      <c r="U2815" s="37" t="str">
        <f aca="false">IF($T2815=1,$S2815,"")</f>
        <v/>
      </c>
    </row>
    <row r="2816" customFormat="false" ht="15" hidden="false" customHeight="false" outlineLevel="0" collapsed="false">
      <c r="M2816" s="35" t="str">
        <f aca="false">IF($A2816="","",HOUR($A2816))</f>
        <v/>
      </c>
      <c r="N2816" s="36" t="str">
        <f aca="false">IF($A2816="","",$I2816*$K2816)</f>
        <v/>
      </c>
      <c r="O2816" s="35" t="str">
        <f aca="false">IF(OR($A2816="",$C2816="U",$S2816&lt;&gt;Calc!$F$2),"",SUMIFS($I$3:$I$3002,$E$3:$E$3002,$E2816,$C$3:$C$3002,"&lt;&gt;U",$S$3:$S$3002,Calc!$F$2))</f>
        <v/>
      </c>
      <c r="P2816" s="35" t="str">
        <f aca="false">IF(OR($A2816="",$C2816="U",$S2816&lt;&gt;Calc!$F$2),"",SUMIFS($N$3:$N$3002,$E$3:$E$3002,$E2816,$C$3:$C$3002,"&lt;&gt;U",$S$3:$S$3002,Calc!$F$2))</f>
        <v/>
      </c>
      <c r="Q2816" s="35" t="str">
        <f aca="false">IF(OR($A2816="",$C2816="U",$S2816&lt;&gt;Calc!$F$2),"",IF(COUNTIFS($E$3:$E2816,$E2816,$C$3:$C2816,"&lt;&gt;U",$S$3:$S2816,Calc!$F$2)=1,1,0))</f>
        <v/>
      </c>
      <c r="R2816" s="35" t="str">
        <f aca="false">IF($Q2816=1,$O2816-ROW()/100000,"")</f>
        <v/>
      </c>
      <c r="S2816" s="37" t="str">
        <f aca="false">IF($A2816="","",INT($A2816))</f>
        <v/>
      </c>
      <c r="T2816" s="35" t="str">
        <f aca="false">IF($A2816="","",IF(COUNTIFS($S$3:$S2816,$S2816)=1,1,0))</f>
        <v/>
      </c>
      <c r="U2816" s="37" t="str">
        <f aca="false">IF($T2816=1,$S2816,"")</f>
        <v/>
      </c>
    </row>
    <row r="2817" customFormat="false" ht="15" hidden="false" customHeight="false" outlineLevel="0" collapsed="false">
      <c r="M2817" s="35" t="str">
        <f aca="false">IF($A2817="","",HOUR($A2817))</f>
        <v/>
      </c>
      <c r="N2817" s="36" t="str">
        <f aca="false">IF($A2817="","",$I2817*$K2817)</f>
        <v/>
      </c>
      <c r="O2817" s="35" t="str">
        <f aca="false">IF(OR($A2817="",$C2817="U",$S2817&lt;&gt;Calc!$F$2),"",SUMIFS($I$3:$I$3002,$E$3:$E$3002,$E2817,$C$3:$C$3002,"&lt;&gt;U",$S$3:$S$3002,Calc!$F$2))</f>
        <v/>
      </c>
      <c r="P2817" s="35" t="str">
        <f aca="false">IF(OR($A2817="",$C2817="U",$S2817&lt;&gt;Calc!$F$2),"",SUMIFS($N$3:$N$3002,$E$3:$E$3002,$E2817,$C$3:$C$3002,"&lt;&gt;U",$S$3:$S$3002,Calc!$F$2))</f>
        <v/>
      </c>
      <c r="Q2817" s="35" t="str">
        <f aca="false">IF(OR($A2817="",$C2817="U",$S2817&lt;&gt;Calc!$F$2),"",IF(COUNTIFS($E$3:$E2817,$E2817,$C$3:$C2817,"&lt;&gt;U",$S$3:$S2817,Calc!$F$2)=1,1,0))</f>
        <v/>
      </c>
      <c r="R2817" s="35" t="str">
        <f aca="false">IF($Q2817=1,$O2817-ROW()/100000,"")</f>
        <v/>
      </c>
      <c r="S2817" s="37" t="str">
        <f aca="false">IF($A2817="","",INT($A2817))</f>
        <v/>
      </c>
      <c r="T2817" s="35" t="str">
        <f aca="false">IF($A2817="","",IF(COUNTIFS($S$3:$S2817,$S2817)=1,1,0))</f>
        <v/>
      </c>
      <c r="U2817" s="37" t="str">
        <f aca="false">IF($T2817=1,$S2817,"")</f>
        <v/>
      </c>
    </row>
    <row r="2818" customFormat="false" ht="15" hidden="false" customHeight="false" outlineLevel="0" collapsed="false">
      <c r="M2818" s="35" t="str">
        <f aca="false">IF($A2818="","",HOUR($A2818))</f>
        <v/>
      </c>
      <c r="N2818" s="36" t="str">
        <f aca="false">IF($A2818="","",$I2818*$K2818)</f>
        <v/>
      </c>
      <c r="O2818" s="35" t="str">
        <f aca="false">IF(OR($A2818="",$C2818="U",$S2818&lt;&gt;Calc!$F$2),"",SUMIFS($I$3:$I$3002,$E$3:$E$3002,$E2818,$C$3:$C$3002,"&lt;&gt;U",$S$3:$S$3002,Calc!$F$2))</f>
        <v/>
      </c>
      <c r="P2818" s="35" t="str">
        <f aca="false">IF(OR($A2818="",$C2818="U",$S2818&lt;&gt;Calc!$F$2),"",SUMIFS($N$3:$N$3002,$E$3:$E$3002,$E2818,$C$3:$C$3002,"&lt;&gt;U",$S$3:$S$3002,Calc!$F$2))</f>
        <v/>
      </c>
      <c r="Q2818" s="35" t="str">
        <f aca="false">IF(OR($A2818="",$C2818="U",$S2818&lt;&gt;Calc!$F$2),"",IF(COUNTIFS($E$3:$E2818,$E2818,$C$3:$C2818,"&lt;&gt;U",$S$3:$S2818,Calc!$F$2)=1,1,0))</f>
        <v/>
      </c>
      <c r="R2818" s="35" t="str">
        <f aca="false">IF($Q2818=1,$O2818-ROW()/100000,"")</f>
        <v/>
      </c>
      <c r="S2818" s="37" t="str">
        <f aca="false">IF($A2818="","",INT($A2818))</f>
        <v/>
      </c>
      <c r="T2818" s="35" t="str">
        <f aca="false">IF($A2818="","",IF(COUNTIFS($S$3:$S2818,$S2818)=1,1,0))</f>
        <v/>
      </c>
      <c r="U2818" s="37" t="str">
        <f aca="false">IF($T2818=1,$S2818,"")</f>
        <v/>
      </c>
    </row>
    <row r="2819" customFormat="false" ht="15" hidden="false" customHeight="false" outlineLevel="0" collapsed="false">
      <c r="M2819" s="35" t="str">
        <f aca="false">IF($A2819="","",HOUR($A2819))</f>
        <v/>
      </c>
      <c r="N2819" s="36" t="str">
        <f aca="false">IF($A2819="","",$I2819*$K2819)</f>
        <v/>
      </c>
      <c r="O2819" s="35" t="str">
        <f aca="false">IF(OR($A2819="",$C2819="U",$S2819&lt;&gt;Calc!$F$2),"",SUMIFS($I$3:$I$3002,$E$3:$E$3002,$E2819,$C$3:$C$3002,"&lt;&gt;U",$S$3:$S$3002,Calc!$F$2))</f>
        <v/>
      </c>
      <c r="P2819" s="35" t="str">
        <f aca="false">IF(OR($A2819="",$C2819="U",$S2819&lt;&gt;Calc!$F$2),"",SUMIFS($N$3:$N$3002,$E$3:$E$3002,$E2819,$C$3:$C$3002,"&lt;&gt;U",$S$3:$S$3002,Calc!$F$2))</f>
        <v/>
      </c>
      <c r="Q2819" s="35" t="str">
        <f aca="false">IF(OR($A2819="",$C2819="U",$S2819&lt;&gt;Calc!$F$2),"",IF(COUNTIFS($E$3:$E2819,$E2819,$C$3:$C2819,"&lt;&gt;U",$S$3:$S2819,Calc!$F$2)=1,1,0))</f>
        <v/>
      </c>
      <c r="R2819" s="35" t="str">
        <f aca="false">IF($Q2819=1,$O2819-ROW()/100000,"")</f>
        <v/>
      </c>
      <c r="S2819" s="37" t="str">
        <f aca="false">IF($A2819="","",INT($A2819))</f>
        <v/>
      </c>
      <c r="T2819" s="35" t="str">
        <f aca="false">IF($A2819="","",IF(COUNTIFS($S$3:$S2819,$S2819)=1,1,0))</f>
        <v/>
      </c>
      <c r="U2819" s="37" t="str">
        <f aca="false">IF($T2819=1,$S2819,"")</f>
        <v/>
      </c>
    </row>
    <row r="2820" customFormat="false" ht="15" hidden="false" customHeight="false" outlineLevel="0" collapsed="false">
      <c r="M2820" s="35" t="str">
        <f aca="false">IF($A2820="","",HOUR($A2820))</f>
        <v/>
      </c>
      <c r="N2820" s="36" t="str">
        <f aca="false">IF($A2820="","",$I2820*$K2820)</f>
        <v/>
      </c>
      <c r="O2820" s="35" t="str">
        <f aca="false">IF(OR($A2820="",$C2820="U",$S2820&lt;&gt;Calc!$F$2),"",SUMIFS($I$3:$I$3002,$E$3:$E$3002,$E2820,$C$3:$C$3002,"&lt;&gt;U",$S$3:$S$3002,Calc!$F$2))</f>
        <v/>
      </c>
      <c r="P2820" s="35" t="str">
        <f aca="false">IF(OR($A2820="",$C2820="U",$S2820&lt;&gt;Calc!$F$2),"",SUMIFS($N$3:$N$3002,$E$3:$E$3002,$E2820,$C$3:$C$3002,"&lt;&gt;U",$S$3:$S$3002,Calc!$F$2))</f>
        <v/>
      </c>
      <c r="Q2820" s="35" t="str">
        <f aca="false">IF(OR($A2820="",$C2820="U",$S2820&lt;&gt;Calc!$F$2),"",IF(COUNTIFS($E$3:$E2820,$E2820,$C$3:$C2820,"&lt;&gt;U",$S$3:$S2820,Calc!$F$2)=1,1,0))</f>
        <v/>
      </c>
      <c r="R2820" s="35" t="str">
        <f aca="false">IF($Q2820=1,$O2820-ROW()/100000,"")</f>
        <v/>
      </c>
      <c r="S2820" s="37" t="str">
        <f aca="false">IF($A2820="","",INT($A2820))</f>
        <v/>
      </c>
      <c r="T2820" s="35" t="str">
        <f aca="false">IF($A2820="","",IF(COUNTIFS($S$3:$S2820,$S2820)=1,1,0))</f>
        <v/>
      </c>
      <c r="U2820" s="37" t="str">
        <f aca="false">IF($T2820=1,$S2820,"")</f>
        <v/>
      </c>
    </row>
    <row r="2821" customFormat="false" ht="15" hidden="false" customHeight="false" outlineLevel="0" collapsed="false">
      <c r="M2821" s="35" t="str">
        <f aca="false">IF($A2821="","",HOUR($A2821))</f>
        <v/>
      </c>
      <c r="N2821" s="36" t="str">
        <f aca="false">IF($A2821="","",$I2821*$K2821)</f>
        <v/>
      </c>
      <c r="O2821" s="35" t="str">
        <f aca="false">IF(OR($A2821="",$C2821="U",$S2821&lt;&gt;Calc!$F$2),"",SUMIFS($I$3:$I$3002,$E$3:$E$3002,$E2821,$C$3:$C$3002,"&lt;&gt;U",$S$3:$S$3002,Calc!$F$2))</f>
        <v/>
      </c>
      <c r="P2821" s="35" t="str">
        <f aca="false">IF(OR($A2821="",$C2821="U",$S2821&lt;&gt;Calc!$F$2),"",SUMIFS($N$3:$N$3002,$E$3:$E$3002,$E2821,$C$3:$C$3002,"&lt;&gt;U",$S$3:$S$3002,Calc!$F$2))</f>
        <v/>
      </c>
      <c r="Q2821" s="35" t="str">
        <f aca="false">IF(OR($A2821="",$C2821="U",$S2821&lt;&gt;Calc!$F$2),"",IF(COUNTIFS($E$3:$E2821,$E2821,$C$3:$C2821,"&lt;&gt;U",$S$3:$S2821,Calc!$F$2)=1,1,0))</f>
        <v/>
      </c>
      <c r="R2821" s="35" t="str">
        <f aca="false">IF($Q2821=1,$O2821-ROW()/100000,"")</f>
        <v/>
      </c>
      <c r="S2821" s="37" t="str">
        <f aca="false">IF($A2821="","",INT($A2821))</f>
        <v/>
      </c>
      <c r="T2821" s="35" t="str">
        <f aca="false">IF($A2821="","",IF(COUNTIFS($S$3:$S2821,$S2821)=1,1,0))</f>
        <v/>
      </c>
      <c r="U2821" s="37" t="str">
        <f aca="false">IF($T2821=1,$S2821,"")</f>
        <v/>
      </c>
    </row>
    <row r="2822" customFormat="false" ht="15" hidden="false" customHeight="false" outlineLevel="0" collapsed="false">
      <c r="M2822" s="35" t="str">
        <f aca="false">IF($A2822="","",HOUR($A2822))</f>
        <v/>
      </c>
      <c r="N2822" s="36" t="str">
        <f aca="false">IF($A2822="","",$I2822*$K2822)</f>
        <v/>
      </c>
      <c r="O2822" s="35" t="str">
        <f aca="false">IF(OR($A2822="",$C2822="U",$S2822&lt;&gt;Calc!$F$2),"",SUMIFS($I$3:$I$3002,$E$3:$E$3002,$E2822,$C$3:$C$3002,"&lt;&gt;U",$S$3:$S$3002,Calc!$F$2))</f>
        <v/>
      </c>
      <c r="P2822" s="35" t="str">
        <f aca="false">IF(OR($A2822="",$C2822="U",$S2822&lt;&gt;Calc!$F$2),"",SUMIFS($N$3:$N$3002,$E$3:$E$3002,$E2822,$C$3:$C$3002,"&lt;&gt;U",$S$3:$S$3002,Calc!$F$2))</f>
        <v/>
      </c>
      <c r="Q2822" s="35" t="str">
        <f aca="false">IF(OR($A2822="",$C2822="U",$S2822&lt;&gt;Calc!$F$2),"",IF(COUNTIFS($E$3:$E2822,$E2822,$C$3:$C2822,"&lt;&gt;U",$S$3:$S2822,Calc!$F$2)=1,1,0))</f>
        <v/>
      </c>
      <c r="R2822" s="35" t="str">
        <f aca="false">IF($Q2822=1,$O2822-ROW()/100000,"")</f>
        <v/>
      </c>
      <c r="S2822" s="37" t="str">
        <f aca="false">IF($A2822="","",INT($A2822))</f>
        <v/>
      </c>
      <c r="T2822" s="35" t="str">
        <f aca="false">IF($A2822="","",IF(COUNTIFS($S$3:$S2822,$S2822)=1,1,0))</f>
        <v/>
      </c>
      <c r="U2822" s="37" t="str">
        <f aca="false">IF($T2822=1,$S2822,"")</f>
        <v/>
      </c>
    </row>
    <row r="2823" customFormat="false" ht="15" hidden="false" customHeight="false" outlineLevel="0" collapsed="false">
      <c r="M2823" s="35" t="str">
        <f aca="false">IF($A2823="","",HOUR($A2823))</f>
        <v/>
      </c>
      <c r="N2823" s="36" t="str">
        <f aca="false">IF($A2823="","",$I2823*$K2823)</f>
        <v/>
      </c>
      <c r="O2823" s="35" t="str">
        <f aca="false">IF(OR($A2823="",$C2823="U",$S2823&lt;&gt;Calc!$F$2),"",SUMIFS($I$3:$I$3002,$E$3:$E$3002,$E2823,$C$3:$C$3002,"&lt;&gt;U",$S$3:$S$3002,Calc!$F$2))</f>
        <v/>
      </c>
      <c r="P2823" s="35" t="str">
        <f aca="false">IF(OR($A2823="",$C2823="U",$S2823&lt;&gt;Calc!$F$2),"",SUMIFS($N$3:$N$3002,$E$3:$E$3002,$E2823,$C$3:$C$3002,"&lt;&gt;U",$S$3:$S$3002,Calc!$F$2))</f>
        <v/>
      </c>
      <c r="Q2823" s="35" t="str">
        <f aca="false">IF(OR($A2823="",$C2823="U",$S2823&lt;&gt;Calc!$F$2),"",IF(COUNTIFS($E$3:$E2823,$E2823,$C$3:$C2823,"&lt;&gt;U",$S$3:$S2823,Calc!$F$2)=1,1,0))</f>
        <v/>
      </c>
      <c r="R2823" s="35" t="str">
        <f aca="false">IF($Q2823=1,$O2823-ROW()/100000,"")</f>
        <v/>
      </c>
      <c r="S2823" s="37" t="str">
        <f aca="false">IF($A2823="","",INT($A2823))</f>
        <v/>
      </c>
      <c r="T2823" s="35" t="str">
        <f aca="false">IF($A2823="","",IF(COUNTIFS($S$3:$S2823,$S2823)=1,1,0))</f>
        <v/>
      </c>
      <c r="U2823" s="37" t="str">
        <f aca="false">IF($T2823=1,$S2823,"")</f>
        <v/>
      </c>
    </row>
    <row r="2824" customFormat="false" ht="15" hidden="false" customHeight="false" outlineLevel="0" collapsed="false">
      <c r="M2824" s="35" t="str">
        <f aca="false">IF($A2824="","",HOUR($A2824))</f>
        <v/>
      </c>
      <c r="N2824" s="36" t="str">
        <f aca="false">IF($A2824="","",$I2824*$K2824)</f>
        <v/>
      </c>
      <c r="O2824" s="35" t="str">
        <f aca="false">IF(OR($A2824="",$C2824="U",$S2824&lt;&gt;Calc!$F$2),"",SUMIFS($I$3:$I$3002,$E$3:$E$3002,$E2824,$C$3:$C$3002,"&lt;&gt;U",$S$3:$S$3002,Calc!$F$2))</f>
        <v/>
      </c>
      <c r="P2824" s="35" t="str">
        <f aca="false">IF(OR($A2824="",$C2824="U",$S2824&lt;&gt;Calc!$F$2),"",SUMIFS($N$3:$N$3002,$E$3:$E$3002,$E2824,$C$3:$C$3002,"&lt;&gt;U",$S$3:$S$3002,Calc!$F$2))</f>
        <v/>
      </c>
      <c r="Q2824" s="35" t="str">
        <f aca="false">IF(OR($A2824="",$C2824="U",$S2824&lt;&gt;Calc!$F$2),"",IF(COUNTIFS($E$3:$E2824,$E2824,$C$3:$C2824,"&lt;&gt;U",$S$3:$S2824,Calc!$F$2)=1,1,0))</f>
        <v/>
      </c>
      <c r="R2824" s="35" t="str">
        <f aca="false">IF($Q2824=1,$O2824-ROW()/100000,"")</f>
        <v/>
      </c>
      <c r="S2824" s="37" t="str">
        <f aca="false">IF($A2824="","",INT($A2824))</f>
        <v/>
      </c>
      <c r="T2824" s="35" t="str">
        <f aca="false">IF($A2824="","",IF(COUNTIFS($S$3:$S2824,$S2824)=1,1,0))</f>
        <v/>
      </c>
      <c r="U2824" s="37" t="str">
        <f aca="false">IF($T2824=1,$S2824,"")</f>
        <v/>
      </c>
    </row>
    <row r="2825" customFormat="false" ht="15" hidden="false" customHeight="false" outlineLevel="0" collapsed="false">
      <c r="M2825" s="35" t="str">
        <f aca="false">IF($A2825="","",HOUR($A2825))</f>
        <v/>
      </c>
      <c r="N2825" s="36" t="str">
        <f aca="false">IF($A2825="","",$I2825*$K2825)</f>
        <v/>
      </c>
      <c r="O2825" s="35" t="str">
        <f aca="false">IF(OR($A2825="",$C2825="U",$S2825&lt;&gt;Calc!$F$2),"",SUMIFS($I$3:$I$3002,$E$3:$E$3002,$E2825,$C$3:$C$3002,"&lt;&gt;U",$S$3:$S$3002,Calc!$F$2))</f>
        <v/>
      </c>
      <c r="P2825" s="35" t="str">
        <f aca="false">IF(OR($A2825="",$C2825="U",$S2825&lt;&gt;Calc!$F$2),"",SUMIFS($N$3:$N$3002,$E$3:$E$3002,$E2825,$C$3:$C$3002,"&lt;&gt;U",$S$3:$S$3002,Calc!$F$2))</f>
        <v/>
      </c>
      <c r="Q2825" s="35" t="str">
        <f aca="false">IF(OR($A2825="",$C2825="U",$S2825&lt;&gt;Calc!$F$2),"",IF(COUNTIFS($E$3:$E2825,$E2825,$C$3:$C2825,"&lt;&gt;U",$S$3:$S2825,Calc!$F$2)=1,1,0))</f>
        <v/>
      </c>
      <c r="R2825" s="35" t="str">
        <f aca="false">IF($Q2825=1,$O2825-ROW()/100000,"")</f>
        <v/>
      </c>
      <c r="S2825" s="37" t="str">
        <f aca="false">IF($A2825="","",INT($A2825))</f>
        <v/>
      </c>
      <c r="T2825" s="35" t="str">
        <f aca="false">IF($A2825="","",IF(COUNTIFS($S$3:$S2825,$S2825)=1,1,0))</f>
        <v/>
      </c>
      <c r="U2825" s="37" t="str">
        <f aca="false">IF($T2825=1,$S2825,"")</f>
        <v/>
      </c>
    </row>
    <row r="2826" customFormat="false" ht="15" hidden="false" customHeight="false" outlineLevel="0" collapsed="false">
      <c r="M2826" s="35" t="str">
        <f aca="false">IF($A2826="","",HOUR($A2826))</f>
        <v/>
      </c>
      <c r="N2826" s="36" t="str">
        <f aca="false">IF($A2826="","",$I2826*$K2826)</f>
        <v/>
      </c>
      <c r="O2826" s="35" t="str">
        <f aca="false">IF(OR($A2826="",$C2826="U",$S2826&lt;&gt;Calc!$F$2),"",SUMIFS($I$3:$I$3002,$E$3:$E$3002,$E2826,$C$3:$C$3002,"&lt;&gt;U",$S$3:$S$3002,Calc!$F$2))</f>
        <v/>
      </c>
      <c r="P2826" s="35" t="str">
        <f aca="false">IF(OR($A2826="",$C2826="U",$S2826&lt;&gt;Calc!$F$2),"",SUMIFS($N$3:$N$3002,$E$3:$E$3002,$E2826,$C$3:$C$3002,"&lt;&gt;U",$S$3:$S$3002,Calc!$F$2))</f>
        <v/>
      </c>
      <c r="Q2826" s="35" t="str">
        <f aca="false">IF(OR($A2826="",$C2826="U",$S2826&lt;&gt;Calc!$F$2),"",IF(COUNTIFS($E$3:$E2826,$E2826,$C$3:$C2826,"&lt;&gt;U",$S$3:$S2826,Calc!$F$2)=1,1,0))</f>
        <v/>
      </c>
      <c r="R2826" s="35" t="str">
        <f aca="false">IF($Q2826=1,$O2826-ROW()/100000,"")</f>
        <v/>
      </c>
      <c r="S2826" s="37" t="str">
        <f aca="false">IF($A2826="","",INT($A2826))</f>
        <v/>
      </c>
      <c r="T2826" s="35" t="str">
        <f aca="false">IF($A2826="","",IF(COUNTIFS($S$3:$S2826,$S2826)=1,1,0))</f>
        <v/>
      </c>
      <c r="U2826" s="37" t="str">
        <f aca="false">IF($T2826=1,$S2826,"")</f>
        <v/>
      </c>
    </row>
    <row r="2827" customFormat="false" ht="15" hidden="false" customHeight="false" outlineLevel="0" collapsed="false">
      <c r="M2827" s="35" t="str">
        <f aca="false">IF($A2827="","",HOUR($A2827))</f>
        <v/>
      </c>
      <c r="N2827" s="36" t="str">
        <f aca="false">IF($A2827="","",$I2827*$K2827)</f>
        <v/>
      </c>
      <c r="O2827" s="35" t="str">
        <f aca="false">IF(OR($A2827="",$C2827="U",$S2827&lt;&gt;Calc!$F$2),"",SUMIFS($I$3:$I$3002,$E$3:$E$3002,$E2827,$C$3:$C$3002,"&lt;&gt;U",$S$3:$S$3002,Calc!$F$2))</f>
        <v/>
      </c>
      <c r="P2827" s="35" t="str">
        <f aca="false">IF(OR($A2827="",$C2827="U",$S2827&lt;&gt;Calc!$F$2),"",SUMIFS($N$3:$N$3002,$E$3:$E$3002,$E2827,$C$3:$C$3002,"&lt;&gt;U",$S$3:$S$3002,Calc!$F$2))</f>
        <v/>
      </c>
      <c r="Q2827" s="35" t="str">
        <f aca="false">IF(OR($A2827="",$C2827="U",$S2827&lt;&gt;Calc!$F$2),"",IF(COUNTIFS($E$3:$E2827,$E2827,$C$3:$C2827,"&lt;&gt;U",$S$3:$S2827,Calc!$F$2)=1,1,0))</f>
        <v/>
      </c>
      <c r="R2827" s="35" t="str">
        <f aca="false">IF($Q2827=1,$O2827-ROW()/100000,"")</f>
        <v/>
      </c>
      <c r="S2827" s="37" t="str">
        <f aca="false">IF($A2827="","",INT($A2827))</f>
        <v/>
      </c>
      <c r="T2827" s="35" t="str">
        <f aca="false">IF($A2827="","",IF(COUNTIFS($S$3:$S2827,$S2827)=1,1,0))</f>
        <v/>
      </c>
      <c r="U2827" s="37" t="str">
        <f aca="false">IF($T2827=1,$S2827,"")</f>
        <v/>
      </c>
    </row>
    <row r="2828" customFormat="false" ht="15" hidden="false" customHeight="false" outlineLevel="0" collapsed="false">
      <c r="M2828" s="35" t="str">
        <f aca="false">IF($A2828="","",HOUR($A2828))</f>
        <v/>
      </c>
      <c r="N2828" s="36" t="str">
        <f aca="false">IF($A2828="","",$I2828*$K2828)</f>
        <v/>
      </c>
      <c r="O2828" s="35" t="str">
        <f aca="false">IF(OR($A2828="",$C2828="U",$S2828&lt;&gt;Calc!$F$2),"",SUMIFS($I$3:$I$3002,$E$3:$E$3002,$E2828,$C$3:$C$3002,"&lt;&gt;U",$S$3:$S$3002,Calc!$F$2))</f>
        <v/>
      </c>
      <c r="P2828" s="35" t="str">
        <f aca="false">IF(OR($A2828="",$C2828="U",$S2828&lt;&gt;Calc!$F$2),"",SUMIFS($N$3:$N$3002,$E$3:$E$3002,$E2828,$C$3:$C$3002,"&lt;&gt;U",$S$3:$S$3002,Calc!$F$2))</f>
        <v/>
      </c>
      <c r="Q2828" s="35" t="str">
        <f aca="false">IF(OR($A2828="",$C2828="U",$S2828&lt;&gt;Calc!$F$2),"",IF(COUNTIFS($E$3:$E2828,$E2828,$C$3:$C2828,"&lt;&gt;U",$S$3:$S2828,Calc!$F$2)=1,1,0))</f>
        <v/>
      </c>
      <c r="R2828" s="35" t="str">
        <f aca="false">IF($Q2828=1,$O2828-ROW()/100000,"")</f>
        <v/>
      </c>
      <c r="S2828" s="37" t="str">
        <f aca="false">IF($A2828="","",INT($A2828))</f>
        <v/>
      </c>
      <c r="T2828" s="35" t="str">
        <f aca="false">IF($A2828="","",IF(COUNTIFS($S$3:$S2828,$S2828)=1,1,0))</f>
        <v/>
      </c>
      <c r="U2828" s="37" t="str">
        <f aca="false">IF($T2828=1,$S2828,"")</f>
        <v/>
      </c>
    </row>
    <row r="2829" customFormat="false" ht="15" hidden="false" customHeight="false" outlineLevel="0" collapsed="false">
      <c r="M2829" s="35" t="str">
        <f aca="false">IF($A2829="","",HOUR($A2829))</f>
        <v/>
      </c>
      <c r="N2829" s="36" t="str">
        <f aca="false">IF($A2829="","",$I2829*$K2829)</f>
        <v/>
      </c>
      <c r="O2829" s="35" t="str">
        <f aca="false">IF(OR($A2829="",$C2829="U",$S2829&lt;&gt;Calc!$F$2),"",SUMIFS($I$3:$I$3002,$E$3:$E$3002,$E2829,$C$3:$C$3002,"&lt;&gt;U",$S$3:$S$3002,Calc!$F$2))</f>
        <v/>
      </c>
      <c r="P2829" s="35" t="str">
        <f aca="false">IF(OR($A2829="",$C2829="U",$S2829&lt;&gt;Calc!$F$2),"",SUMIFS($N$3:$N$3002,$E$3:$E$3002,$E2829,$C$3:$C$3002,"&lt;&gt;U",$S$3:$S$3002,Calc!$F$2))</f>
        <v/>
      </c>
      <c r="Q2829" s="35" t="str">
        <f aca="false">IF(OR($A2829="",$C2829="U",$S2829&lt;&gt;Calc!$F$2),"",IF(COUNTIFS($E$3:$E2829,$E2829,$C$3:$C2829,"&lt;&gt;U",$S$3:$S2829,Calc!$F$2)=1,1,0))</f>
        <v/>
      </c>
      <c r="R2829" s="35" t="str">
        <f aca="false">IF($Q2829=1,$O2829-ROW()/100000,"")</f>
        <v/>
      </c>
      <c r="S2829" s="37" t="str">
        <f aca="false">IF($A2829="","",INT($A2829))</f>
        <v/>
      </c>
      <c r="T2829" s="35" t="str">
        <f aca="false">IF($A2829="","",IF(COUNTIFS($S$3:$S2829,$S2829)=1,1,0))</f>
        <v/>
      </c>
      <c r="U2829" s="37" t="str">
        <f aca="false">IF($T2829=1,$S2829,"")</f>
        <v/>
      </c>
    </row>
    <row r="2830" customFormat="false" ht="15" hidden="false" customHeight="false" outlineLevel="0" collapsed="false">
      <c r="M2830" s="35" t="str">
        <f aca="false">IF($A2830="","",HOUR($A2830))</f>
        <v/>
      </c>
      <c r="N2830" s="36" t="str">
        <f aca="false">IF($A2830="","",$I2830*$K2830)</f>
        <v/>
      </c>
      <c r="O2830" s="35" t="str">
        <f aca="false">IF(OR($A2830="",$C2830="U",$S2830&lt;&gt;Calc!$F$2),"",SUMIFS($I$3:$I$3002,$E$3:$E$3002,$E2830,$C$3:$C$3002,"&lt;&gt;U",$S$3:$S$3002,Calc!$F$2))</f>
        <v/>
      </c>
      <c r="P2830" s="35" t="str">
        <f aca="false">IF(OR($A2830="",$C2830="U",$S2830&lt;&gt;Calc!$F$2),"",SUMIFS($N$3:$N$3002,$E$3:$E$3002,$E2830,$C$3:$C$3002,"&lt;&gt;U",$S$3:$S$3002,Calc!$F$2))</f>
        <v/>
      </c>
      <c r="Q2830" s="35" t="str">
        <f aca="false">IF(OR($A2830="",$C2830="U",$S2830&lt;&gt;Calc!$F$2),"",IF(COUNTIFS($E$3:$E2830,$E2830,$C$3:$C2830,"&lt;&gt;U",$S$3:$S2830,Calc!$F$2)=1,1,0))</f>
        <v/>
      </c>
      <c r="R2830" s="35" t="str">
        <f aca="false">IF($Q2830=1,$O2830-ROW()/100000,"")</f>
        <v/>
      </c>
      <c r="S2830" s="37" t="str">
        <f aca="false">IF($A2830="","",INT($A2830))</f>
        <v/>
      </c>
      <c r="T2830" s="35" t="str">
        <f aca="false">IF($A2830="","",IF(COUNTIFS($S$3:$S2830,$S2830)=1,1,0))</f>
        <v/>
      </c>
      <c r="U2830" s="37" t="str">
        <f aca="false">IF($T2830=1,$S2830,"")</f>
        <v/>
      </c>
    </row>
    <row r="2831" customFormat="false" ht="15" hidden="false" customHeight="false" outlineLevel="0" collapsed="false">
      <c r="M2831" s="35" t="str">
        <f aca="false">IF($A2831="","",HOUR($A2831))</f>
        <v/>
      </c>
      <c r="N2831" s="36" t="str">
        <f aca="false">IF($A2831="","",$I2831*$K2831)</f>
        <v/>
      </c>
      <c r="O2831" s="35" t="str">
        <f aca="false">IF(OR($A2831="",$C2831="U",$S2831&lt;&gt;Calc!$F$2),"",SUMIFS($I$3:$I$3002,$E$3:$E$3002,$E2831,$C$3:$C$3002,"&lt;&gt;U",$S$3:$S$3002,Calc!$F$2))</f>
        <v/>
      </c>
      <c r="P2831" s="35" t="str">
        <f aca="false">IF(OR($A2831="",$C2831="U",$S2831&lt;&gt;Calc!$F$2),"",SUMIFS($N$3:$N$3002,$E$3:$E$3002,$E2831,$C$3:$C$3002,"&lt;&gt;U",$S$3:$S$3002,Calc!$F$2))</f>
        <v/>
      </c>
      <c r="Q2831" s="35" t="str">
        <f aca="false">IF(OR($A2831="",$C2831="U",$S2831&lt;&gt;Calc!$F$2),"",IF(COUNTIFS($E$3:$E2831,$E2831,$C$3:$C2831,"&lt;&gt;U",$S$3:$S2831,Calc!$F$2)=1,1,0))</f>
        <v/>
      </c>
      <c r="R2831" s="35" t="str">
        <f aca="false">IF($Q2831=1,$O2831-ROW()/100000,"")</f>
        <v/>
      </c>
      <c r="S2831" s="37" t="str">
        <f aca="false">IF($A2831="","",INT($A2831))</f>
        <v/>
      </c>
      <c r="T2831" s="35" t="str">
        <f aca="false">IF($A2831="","",IF(COUNTIFS($S$3:$S2831,$S2831)=1,1,0))</f>
        <v/>
      </c>
      <c r="U2831" s="37" t="str">
        <f aca="false">IF($T2831=1,$S2831,"")</f>
        <v/>
      </c>
    </row>
    <row r="2832" customFormat="false" ht="15" hidden="false" customHeight="false" outlineLevel="0" collapsed="false">
      <c r="M2832" s="35" t="str">
        <f aca="false">IF($A2832="","",HOUR($A2832))</f>
        <v/>
      </c>
      <c r="N2832" s="36" t="str">
        <f aca="false">IF($A2832="","",$I2832*$K2832)</f>
        <v/>
      </c>
      <c r="O2832" s="35" t="str">
        <f aca="false">IF(OR($A2832="",$C2832="U",$S2832&lt;&gt;Calc!$F$2),"",SUMIFS($I$3:$I$3002,$E$3:$E$3002,$E2832,$C$3:$C$3002,"&lt;&gt;U",$S$3:$S$3002,Calc!$F$2))</f>
        <v/>
      </c>
      <c r="P2832" s="35" t="str">
        <f aca="false">IF(OR($A2832="",$C2832="U",$S2832&lt;&gt;Calc!$F$2),"",SUMIFS($N$3:$N$3002,$E$3:$E$3002,$E2832,$C$3:$C$3002,"&lt;&gt;U",$S$3:$S$3002,Calc!$F$2))</f>
        <v/>
      </c>
      <c r="Q2832" s="35" t="str">
        <f aca="false">IF(OR($A2832="",$C2832="U",$S2832&lt;&gt;Calc!$F$2),"",IF(COUNTIFS($E$3:$E2832,$E2832,$C$3:$C2832,"&lt;&gt;U",$S$3:$S2832,Calc!$F$2)=1,1,0))</f>
        <v/>
      </c>
      <c r="R2832" s="35" t="str">
        <f aca="false">IF($Q2832=1,$O2832-ROW()/100000,"")</f>
        <v/>
      </c>
      <c r="S2832" s="37" t="str">
        <f aca="false">IF($A2832="","",INT($A2832))</f>
        <v/>
      </c>
      <c r="T2832" s="35" t="str">
        <f aca="false">IF($A2832="","",IF(COUNTIFS($S$3:$S2832,$S2832)=1,1,0))</f>
        <v/>
      </c>
      <c r="U2832" s="37" t="str">
        <f aca="false">IF($T2832=1,$S2832,"")</f>
        <v/>
      </c>
    </row>
    <row r="2833" customFormat="false" ht="15" hidden="false" customHeight="false" outlineLevel="0" collapsed="false">
      <c r="M2833" s="35" t="str">
        <f aca="false">IF($A2833="","",HOUR($A2833))</f>
        <v/>
      </c>
      <c r="N2833" s="36" t="str">
        <f aca="false">IF($A2833="","",$I2833*$K2833)</f>
        <v/>
      </c>
      <c r="O2833" s="35" t="str">
        <f aca="false">IF(OR($A2833="",$C2833="U",$S2833&lt;&gt;Calc!$F$2),"",SUMIFS($I$3:$I$3002,$E$3:$E$3002,$E2833,$C$3:$C$3002,"&lt;&gt;U",$S$3:$S$3002,Calc!$F$2))</f>
        <v/>
      </c>
      <c r="P2833" s="35" t="str">
        <f aca="false">IF(OR($A2833="",$C2833="U",$S2833&lt;&gt;Calc!$F$2),"",SUMIFS($N$3:$N$3002,$E$3:$E$3002,$E2833,$C$3:$C$3002,"&lt;&gt;U",$S$3:$S$3002,Calc!$F$2))</f>
        <v/>
      </c>
      <c r="Q2833" s="35" t="str">
        <f aca="false">IF(OR($A2833="",$C2833="U",$S2833&lt;&gt;Calc!$F$2),"",IF(COUNTIFS($E$3:$E2833,$E2833,$C$3:$C2833,"&lt;&gt;U",$S$3:$S2833,Calc!$F$2)=1,1,0))</f>
        <v/>
      </c>
      <c r="R2833" s="35" t="str">
        <f aca="false">IF($Q2833=1,$O2833-ROW()/100000,"")</f>
        <v/>
      </c>
      <c r="S2833" s="37" t="str">
        <f aca="false">IF($A2833="","",INT($A2833))</f>
        <v/>
      </c>
      <c r="T2833" s="35" t="str">
        <f aca="false">IF($A2833="","",IF(COUNTIFS($S$3:$S2833,$S2833)=1,1,0))</f>
        <v/>
      </c>
      <c r="U2833" s="37" t="str">
        <f aca="false">IF($T2833=1,$S2833,"")</f>
        <v/>
      </c>
    </row>
    <row r="2834" customFormat="false" ht="15" hidden="false" customHeight="false" outlineLevel="0" collapsed="false">
      <c r="M2834" s="35" t="str">
        <f aca="false">IF($A2834="","",HOUR($A2834))</f>
        <v/>
      </c>
      <c r="N2834" s="36" t="str">
        <f aca="false">IF($A2834="","",$I2834*$K2834)</f>
        <v/>
      </c>
      <c r="O2834" s="35" t="str">
        <f aca="false">IF(OR($A2834="",$C2834="U",$S2834&lt;&gt;Calc!$F$2),"",SUMIFS($I$3:$I$3002,$E$3:$E$3002,$E2834,$C$3:$C$3002,"&lt;&gt;U",$S$3:$S$3002,Calc!$F$2))</f>
        <v/>
      </c>
      <c r="P2834" s="35" t="str">
        <f aca="false">IF(OR($A2834="",$C2834="U",$S2834&lt;&gt;Calc!$F$2),"",SUMIFS($N$3:$N$3002,$E$3:$E$3002,$E2834,$C$3:$C$3002,"&lt;&gt;U",$S$3:$S$3002,Calc!$F$2))</f>
        <v/>
      </c>
      <c r="Q2834" s="35" t="str">
        <f aca="false">IF(OR($A2834="",$C2834="U",$S2834&lt;&gt;Calc!$F$2),"",IF(COUNTIFS($E$3:$E2834,$E2834,$C$3:$C2834,"&lt;&gt;U",$S$3:$S2834,Calc!$F$2)=1,1,0))</f>
        <v/>
      </c>
      <c r="R2834" s="35" t="str">
        <f aca="false">IF($Q2834=1,$O2834-ROW()/100000,"")</f>
        <v/>
      </c>
      <c r="S2834" s="37" t="str">
        <f aca="false">IF($A2834="","",INT($A2834))</f>
        <v/>
      </c>
      <c r="T2834" s="35" t="str">
        <f aca="false">IF($A2834="","",IF(COUNTIFS($S$3:$S2834,$S2834)=1,1,0))</f>
        <v/>
      </c>
      <c r="U2834" s="37" t="str">
        <f aca="false">IF($T2834=1,$S2834,"")</f>
        <v/>
      </c>
    </row>
    <row r="2835" customFormat="false" ht="15" hidden="false" customHeight="false" outlineLevel="0" collapsed="false">
      <c r="M2835" s="35" t="str">
        <f aca="false">IF($A2835="","",HOUR($A2835))</f>
        <v/>
      </c>
      <c r="N2835" s="36" t="str">
        <f aca="false">IF($A2835="","",$I2835*$K2835)</f>
        <v/>
      </c>
      <c r="O2835" s="35" t="str">
        <f aca="false">IF(OR($A2835="",$C2835="U",$S2835&lt;&gt;Calc!$F$2),"",SUMIFS($I$3:$I$3002,$E$3:$E$3002,$E2835,$C$3:$C$3002,"&lt;&gt;U",$S$3:$S$3002,Calc!$F$2))</f>
        <v/>
      </c>
      <c r="P2835" s="35" t="str">
        <f aca="false">IF(OR($A2835="",$C2835="U",$S2835&lt;&gt;Calc!$F$2),"",SUMIFS($N$3:$N$3002,$E$3:$E$3002,$E2835,$C$3:$C$3002,"&lt;&gt;U",$S$3:$S$3002,Calc!$F$2))</f>
        <v/>
      </c>
      <c r="Q2835" s="35" t="str">
        <f aca="false">IF(OR($A2835="",$C2835="U",$S2835&lt;&gt;Calc!$F$2),"",IF(COUNTIFS($E$3:$E2835,$E2835,$C$3:$C2835,"&lt;&gt;U",$S$3:$S2835,Calc!$F$2)=1,1,0))</f>
        <v/>
      </c>
      <c r="R2835" s="35" t="str">
        <f aca="false">IF($Q2835=1,$O2835-ROW()/100000,"")</f>
        <v/>
      </c>
      <c r="S2835" s="37" t="str">
        <f aca="false">IF($A2835="","",INT($A2835))</f>
        <v/>
      </c>
      <c r="T2835" s="35" t="str">
        <f aca="false">IF($A2835="","",IF(COUNTIFS($S$3:$S2835,$S2835)=1,1,0))</f>
        <v/>
      </c>
      <c r="U2835" s="37" t="str">
        <f aca="false">IF($T2835=1,$S2835,"")</f>
        <v/>
      </c>
    </row>
    <row r="2836" customFormat="false" ht="15" hidden="false" customHeight="false" outlineLevel="0" collapsed="false">
      <c r="M2836" s="35" t="str">
        <f aca="false">IF($A2836="","",HOUR($A2836))</f>
        <v/>
      </c>
      <c r="N2836" s="36" t="str">
        <f aca="false">IF($A2836="","",$I2836*$K2836)</f>
        <v/>
      </c>
      <c r="O2836" s="35" t="str">
        <f aca="false">IF(OR($A2836="",$C2836="U",$S2836&lt;&gt;Calc!$F$2),"",SUMIFS($I$3:$I$3002,$E$3:$E$3002,$E2836,$C$3:$C$3002,"&lt;&gt;U",$S$3:$S$3002,Calc!$F$2))</f>
        <v/>
      </c>
      <c r="P2836" s="35" t="str">
        <f aca="false">IF(OR($A2836="",$C2836="U",$S2836&lt;&gt;Calc!$F$2),"",SUMIFS($N$3:$N$3002,$E$3:$E$3002,$E2836,$C$3:$C$3002,"&lt;&gt;U",$S$3:$S$3002,Calc!$F$2))</f>
        <v/>
      </c>
      <c r="Q2836" s="35" t="str">
        <f aca="false">IF(OR($A2836="",$C2836="U",$S2836&lt;&gt;Calc!$F$2),"",IF(COUNTIFS($E$3:$E2836,$E2836,$C$3:$C2836,"&lt;&gt;U",$S$3:$S2836,Calc!$F$2)=1,1,0))</f>
        <v/>
      </c>
      <c r="R2836" s="35" t="str">
        <f aca="false">IF($Q2836=1,$O2836-ROW()/100000,"")</f>
        <v/>
      </c>
      <c r="S2836" s="37" t="str">
        <f aca="false">IF($A2836="","",INT($A2836))</f>
        <v/>
      </c>
      <c r="T2836" s="35" t="str">
        <f aca="false">IF($A2836="","",IF(COUNTIFS($S$3:$S2836,$S2836)=1,1,0))</f>
        <v/>
      </c>
      <c r="U2836" s="37" t="str">
        <f aca="false">IF($T2836=1,$S2836,"")</f>
        <v/>
      </c>
    </row>
    <row r="2837" customFormat="false" ht="15" hidden="false" customHeight="false" outlineLevel="0" collapsed="false">
      <c r="M2837" s="35" t="str">
        <f aca="false">IF($A2837="","",HOUR($A2837))</f>
        <v/>
      </c>
      <c r="N2837" s="36" t="str">
        <f aca="false">IF($A2837="","",$I2837*$K2837)</f>
        <v/>
      </c>
      <c r="O2837" s="35" t="str">
        <f aca="false">IF(OR($A2837="",$C2837="U",$S2837&lt;&gt;Calc!$F$2),"",SUMIFS($I$3:$I$3002,$E$3:$E$3002,$E2837,$C$3:$C$3002,"&lt;&gt;U",$S$3:$S$3002,Calc!$F$2))</f>
        <v/>
      </c>
      <c r="P2837" s="35" t="str">
        <f aca="false">IF(OR($A2837="",$C2837="U",$S2837&lt;&gt;Calc!$F$2),"",SUMIFS($N$3:$N$3002,$E$3:$E$3002,$E2837,$C$3:$C$3002,"&lt;&gt;U",$S$3:$S$3002,Calc!$F$2))</f>
        <v/>
      </c>
      <c r="Q2837" s="35" t="str">
        <f aca="false">IF(OR($A2837="",$C2837="U",$S2837&lt;&gt;Calc!$F$2),"",IF(COUNTIFS($E$3:$E2837,$E2837,$C$3:$C2837,"&lt;&gt;U",$S$3:$S2837,Calc!$F$2)=1,1,0))</f>
        <v/>
      </c>
      <c r="R2837" s="35" t="str">
        <f aca="false">IF($Q2837=1,$O2837-ROW()/100000,"")</f>
        <v/>
      </c>
      <c r="S2837" s="37" t="str">
        <f aca="false">IF($A2837="","",INT($A2837))</f>
        <v/>
      </c>
      <c r="T2837" s="35" t="str">
        <f aca="false">IF($A2837="","",IF(COUNTIFS($S$3:$S2837,$S2837)=1,1,0))</f>
        <v/>
      </c>
      <c r="U2837" s="37" t="str">
        <f aca="false">IF($T2837=1,$S2837,"")</f>
        <v/>
      </c>
    </row>
    <row r="2838" customFormat="false" ht="15" hidden="false" customHeight="false" outlineLevel="0" collapsed="false">
      <c r="M2838" s="35" t="str">
        <f aca="false">IF($A2838="","",HOUR($A2838))</f>
        <v/>
      </c>
      <c r="N2838" s="36" t="str">
        <f aca="false">IF($A2838="","",$I2838*$K2838)</f>
        <v/>
      </c>
      <c r="O2838" s="35" t="str">
        <f aca="false">IF(OR($A2838="",$C2838="U",$S2838&lt;&gt;Calc!$F$2),"",SUMIFS($I$3:$I$3002,$E$3:$E$3002,$E2838,$C$3:$C$3002,"&lt;&gt;U",$S$3:$S$3002,Calc!$F$2))</f>
        <v/>
      </c>
      <c r="P2838" s="35" t="str">
        <f aca="false">IF(OR($A2838="",$C2838="U",$S2838&lt;&gt;Calc!$F$2),"",SUMIFS($N$3:$N$3002,$E$3:$E$3002,$E2838,$C$3:$C$3002,"&lt;&gt;U",$S$3:$S$3002,Calc!$F$2))</f>
        <v/>
      </c>
      <c r="Q2838" s="35" t="str">
        <f aca="false">IF(OR($A2838="",$C2838="U",$S2838&lt;&gt;Calc!$F$2),"",IF(COUNTIFS($E$3:$E2838,$E2838,$C$3:$C2838,"&lt;&gt;U",$S$3:$S2838,Calc!$F$2)=1,1,0))</f>
        <v/>
      </c>
      <c r="R2838" s="35" t="str">
        <f aca="false">IF($Q2838=1,$O2838-ROW()/100000,"")</f>
        <v/>
      </c>
      <c r="S2838" s="37" t="str">
        <f aca="false">IF($A2838="","",INT($A2838))</f>
        <v/>
      </c>
      <c r="T2838" s="35" t="str">
        <f aca="false">IF($A2838="","",IF(COUNTIFS($S$3:$S2838,$S2838)=1,1,0))</f>
        <v/>
      </c>
      <c r="U2838" s="37" t="str">
        <f aca="false">IF($T2838=1,$S2838,"")</f>
        <v/>
      </c>
    </row>
    <row r="2839" customFormat="false" ht="15" hidden="false" customHeight="false" outlineLevel="0" collapsed="false">
      <c r="M2839" s="35" t="str">
        <f aca="false">IF($A2839="","",HOUR($A2839))</f>
        <v/>
      </c>
      <c r="N2839" s="36" t="str">
        <f aca="false">IF($A2839="","",$I2839*$K2839)</f>
        <v/>
      </c>
      <c r="O2839" s="35" t="str">
        <f aca="false">IF(OR($A2839="",$C2839="U",$S2839&lt;&gt;Calc!$F$2),"",SUMIFS($I$3:$I$3002,$E$3:$E$3002,$E2839,$C$3:$C$3002,"&lt;&gt;U",$S$3:$S$3002,Calc!$F$2))</f>
        <v/>
      </c>
      <c r="P2839" s="35" t="str">
        <f aca="false">IF(OR($A2839="",$C2839="U",$S2839&lt;&gt;Calc!$F$2),"",SUMIFS($N$3:$N$3002,$E$3:$E$3002,$E2839,$C$3:$C$3002,"&lt;&gt;U",$S$3:$S$3002,Calc!$F$2))</f>
        <v/>
      </c>
      <c r="Q2839" s="35" t="str">
        <f aca="false">IF(OR($A2839="",$C2839="U",$S2839&lt;&gt;Calc!$F$2),"",IF(COUNTIFS($E$3:$E2839,$E2839,$C$3:$C2839,"&lt;&gt;U",$S$3:$S2839,Calc!$F$2)=1,1,0))</f>
        <v/>
      </c>
      <c r="R2839" s="35" t="str">
        <f aca="false">IF($Q2839=1,$O2839-ROW()/100000,"")</f>
        <v/>
      </c>
      <c r="S2839" s="37" t="str">
        <f aca="false">IF($A2839="","",INT($A2839))</f>
        <v/>
      </c>
      <c r="T2839" s="35" t="str">
        <f aca="false">IF($A2839="","",IF(COUNTIFS($S$3:$S2839,$S2839)=1,1,0))</f>
        <v/>
      </c>
      <c r="U2839" s="37" t="str">
        <f aca="false">IF($T2839=1,$S2839,"")</f>
        <v/>
      </c>
    </row>
    <row r="2840" customFormat="false" ht="15" hidden="false" customHeight="false" outlineLevel="0" collapsed="false">
      <c r="M2840" s="35" t="str">
        <f aca="false">IF($A2840="","",HOUR($A2840))</f>
        <v/>
      </c>
      <c r="N2840" s="36" t="str">
        <f aca="false">IF($A2840="","",$I2840*$K2840)</f>
        <v/>
      </c>
      <c r="O2840" s="35" t="str">
        <f aca="false">IF(OR($A2840="",$C2840="U",$S2840&lt;&gt;Calc!$F$2),"",SUMIFS($I$3:$I$3002,$E$3:$E$3002,$E2840,$C$3:$C$3002,"&lt;&gt;U",$S$3:$S$3002,Calc!$F$2))</f>
        <v/>
      </c>
      <c r="P2840" s="35" t="str">
        <f aca="false">IF(OR($A2840="",$C2840="U",$S2840&lt;&gt;Calc!$F$2),"",SUMIFS($N$3:$N$3002,$E$3:$E$3002,$E2840,$C$3:$C$3002,"&lt;&gt;U",$S$3:$S$3002,Calc!$F$2))</f>
        <v/>
      </c>
      <c r="Q2840" s="35" t="str">
        <f aca="false">IF(OR($A2840="",$C2840="U",$S2840&lt;&gt;Calc!$F$2),"",IF(COUNTIFS($E$3:$E2840,$E2840,$C$3:$C2840,"&lt;&gt;U",$S$3:$S2840,Calc!$F$2)=1,1,0))</f>
        <v/>
      </c>
      <c r="R2840" s="35" t="str">
        <f aca="false">IF($Q2840=1,$O2840-ROW()/100000,"")</f>
        <v/>
      </c>
      <c r="S2840" s="37" t="str">
        <f aca="false">IF($A2840="","",INT($A2840))</f>
        <v/>
      </c>
      <c r="T2840" s="35" t="str">
        <f aca="false">IF($A2840="","",IF(COUNTIFS($S$3:$S2840,$S2840)=1,1,0))</f>
        <v/>
      </c>
      <c r="U2840" s="37" t="str">
        <f aca="false">IF($T2840=1,$S2840,"")</f>
        <v/>
      </c>
    </row>
    <row r="2841" customFormat="false" ht="15" hidden="false" customHeight="false" outlineLevel="0" collapsed="false">
      <c r="M2841" s="35" t="str">
        <f aca="false">IF($A2841="","",HOUR($A2841))</f>
        <v/>
      </c>
      <c r="N2841" s="36" t="str">
        <f aca="false">IF($A2841="","",$I2841*$K2841)</f>
        <v/>
      </c>
      <c r="O2841" s="35" t="str">
        <f aca="false">IF(OR($A2841="",$C2841="U",$S2841&lt;&gt;Calc!$F$2),"",SUMIFS($I$3:$I$3002,$E$3:$E$3002,$E2841,$C$3:$C$3002,"&lt;&gt;U",$S$3:$S$3002,Calc!$F$2))</f>
        <v/>
      </c>
      <c r="P2841" s="35" t="str">
        <f aca="false">IF(OR($A2841="",$C2841="U",$S2841&lt;&gt;Calc!$F$2),"",SUMIFS($N$3:$N$3002,$E$3:$E$3002,$E2841,$C$3:$C$3002,"&lt;&gt;U",$S$3:$S$3002,Calc!$F$2))</f>
        <v/>
      </c>
      <c r="Q2841" s="35" t="str">
        <f aca="false">IF(OR($A2841="",$C2841="U",$S2841&lt;&gt;Calc!$F$2),"",IF(COUNTIFS($E$3:$E2841,$E2841,$C$3:$C2841,"&lt;&gt;U",$S$3:$S2841,Calc!$F$2)=1,1,0))</f>
        <v/>
      </c>
      <c r="R2841" s="35" t="str">
        <f aca="false">IF($Q2841=1,$O2841-ROW()/100000,"")</f>
        <v/>
      </c>
      <c r="S2841" s="37" t="str">
        <f aca="false">IF($A2841="","",INT($A2841))</f>
        <v/>
      </c>
      <c r="T2841" s="35" t="str">
        <f aca="false">IF($A2841="","",IF(COUNTIFS($S$3:$S2841,$S2841)=1,1,0))</f>
        <v/>
      </c>
      <c r="U2841" s="37" t="str">
        <f aca="false">IF($T2841=1,$S2841,"")</f>
        <v/>
      </c>
    </row>
    <row r="2842" customFormat="false" ht="15" hidden="false" customHeight="false" outlineLevel="0" collapsed="false">
      <c r="M2842" s="35" t="str">
        <f aca="false">IF($A2842="","",HOUR($A2842))</f>
        <v/>
      </c>
      <c r="N2842" s="36" t="str">
        <f aca="false">IF($A2842="","",$I2842*$K2842)</f>
        <v/>
      </c>
      <c r="O2842" s="35" t="str">
        <f aca="false">IF(OR($A2842="",$C2842="U",$S2842&lt;&gt;Calc!$F$2),"",SUMIFS($I$3:$I$3002,$E$3:$E$3002,$E2842,$C$3:$C$3002,"&lt;&gt;U",$S$3:$S$3002,Calc!$F$2))</f>
        <v/>
      </c>
      <c r="P2842" s="35" t="str">
        <f aca="false">IF(OR($A2842="",$C2842="U",$S2842&lt;&gt;Calc!$F$2),"",SUMIFS($N$3:$N$3002,$E$3:$E$3002,$E2842,$C$3:$C$3002,"&lt;&gt;U",$S$3:$S$3002,Calc!$F$2))</f>
        <v/>
      </c>
      <c r="Q2842" s="35" t="str">
        <f aca="false">IF(OR($A2842="",$C2842="U",$S2842&lt;&gt;Calc!$F$2),"",IF(COUNTIFS($E$3:$E2842,$E2842,$C$3:$C2842,"&lt;&gt;U",$S$3:$S2842,Calc!$F$2)=1,1,0))</f>
        <v/>
      </c>
      <c r="R2842" s="35" t="str">
        <f aca="false">IF($Q2842=1,$O2842-ROW()/100000,"")</f>
        <v/>
      </c>
      <c r="S2842" s="37" t="str">
        <f aca="false">IF($A2842="","",INT($A2842))</f>
        <v/>
      </c>
      <c r="T2842" s="35" t="str">
        <f aca="false">IF($A2842="","",IF(COUNTIFS($S$3:$S2842,$S2842)=1,1,0))</f>
        <v/>
      </c>
      <c r="U2842" s="37" t="str">
        <f aca="false">IF($T2842=1,$S2842,"")</f>
        <v/>
      </c>
    </row>
    <row r="2843" customFormat="false" ht="15" hidden="false" customHeight="false" outlineLevel="0" collapsed="false">
      <c r="M2843" s="35" t="str">
        <f aca="false">IF($A2843="","",HOUR($A2843))</f>
        <v/>
      </c>
      <c r="N2843" s="36" t="str">
        <f aca="false">IF($A2843="","",$I2843*$K2843)</f>
        <v/>
      </c>
      <c r="O2843" s="35" t="str">
        <f aca="false">IF(OR($A2843="",$C2843="U",$S2843&lt;&gt;Calc!$F$2),"",SUMIFS($I$3:$I$3002,$E$3:$E$3002,$E2843,$C$3:$C$3002,"&lt;&gt;U",$S$3:$S$3002,Calc!$F$2))</f>
        <v/>
      </c>
      <c r="P2843" s="35" t="str">
        <f aca="false">IF(OR($A2843="",$C2843="U",$S2843&lt;&gt;Calc!$F$2),"",SUMIFS($N$3:$N$3002,$E$3:$E$3002,$E2843,$C$3:$C$3002,"&lt;&gt;U",$S$3:$S$3002,Calc!$F$2))</f>
        <v/>
      </c>
      <c r="Q2843" s="35" t="str">
        <f aca="false">IF(OR($A2843="",$C2843="U",$S2843&lt;&gt;Calc!$F$2),"",IF(COUNTIFS($E$3:$E2843,$E2843,$C$3:$C2843,"&lt;&gt;U",$S$3:$S2843,Calc!$F$2)=1,1,0))</f>
        <v/>
      </c>
      <c r="R2843" s="35" t="str">
        <f aca="false">IF($Q2843=1,$O2843-ROW()/100000,"")</f>
        <v/>
      </c>
      <c r="S2843" s="37" t="str">
        <f aca="false">IF($A2843="","",INT($A2843))</f>
        <v/>
      </c>
      <c r="T2843" s="35" t="str">
        <f aca="false">IF($A2843="","",IF(COUNTIFS($S$3:$S2843,$S2843)=1,1,0))</f>
        <v/>
      </c>
      <c r="U2843" s="37" t="str">
        <f aca="false">IF($T2843=1,$S2843,"")</f>
        <v/>
      </c>
    </row>
    <row r="2844" customFormat="false" ht="15" hidden="false" customHeight="false" outlineLevel="0" collapsed="false">
      <c r="M2844" s="35" t="str">
        <f aca="false">IF($A2844="","",HOUR($A2844))</f>
        <v/>
      </c>
      <c r="N2844" s="36" t="str">
        <f aca="false">IF($A2844="","",$I2844*$K2844)</f>
        <v/>
      </c>
      <c r="O2844" s="35" t="str">
        <f aca="false">IF(OR($A2844="",$C2844="U",$S2844&lt;&gt;Calc!$F$2),"",SUMIFS($I$3:$I$3002,$E$3:$E$3002,$E2844,$C$3:$C$3002,"&lt;&gt;U",$S$3:$S$3002,Calc!$F$2))</f>
        <v/>
      </c>
      <c r="P2844" s="35" t="str">
        <f aca="false">IF(OR($A2844="",$C2844="U",$S2844&lt;&gt;Calc!$F$2),"",SUMIFS($N$3:$N$3002,$E$3:$E$3002,$E2844,$C$3:$C$3002,"&lt;&gt;U",$S$3:$S$3002,Calc!$F$2))</f>
        <v/>
      </c>
      <c r="Q2844" s="35" t="str">
        <f aca="false">IF(OR($A2844="",$C2844="U",$S2844&lt;&gt;Calc!$F$2),"",IF(COUNTIFS($E$3:$E2844,$E2844,$C$3:$C2844,"&lt;&gt;U",$S$3:$S2844,Calc!$F$2)=1,1,0))</f>
        <v/>
      </c>
      <c r="R2844" s="35" t="str">
        <f aca="false">IF($Q2844=1,$O2844-ROW()/100000,"")</f>
        <v/>
      </c>
      <c r="S2844" s="37" t="str">
        <f aca="false">IF($A2844="","",INT($A2844))</f>
        <v/>
      </c>
      <c r="T2844" s="35" t="str">
        <f aca="false">IF($A2844="","",IF(COUNTIFS($S$3:$S2844,$S2844)=1,1,0))</f>
        <v/>
      </c>
      <c r="U2844" s="37" t="str">
        <f aca="false">IF($T2844=1,$S2844,"")</f>
        <v/>
      </c>
    </row>
    <row r="2845" customFormat="false" ht="15" hidden="false" customHeight="false" outlineLevel="0" collapsed="false">
      <c r="M2845" s="35" t="str">
        <f aca="false">IF($A2845="","",HOUR($A2845))</f>
        <v/>
      </c>
      <c r="N2845" s="36" t="str">
        <f aca="false">IF($A2845="","",$I2845*$K2845)</f>
        <v/>
      </c>
      <c r="O2845" s="35" t="str">
        <f aca="false">IF(OR($A2845="",$C2845="U",$S2845&lt;&gt;Calc!$F$2),"",SUMIFS($I$3:$I$3002,$E$3:$E$3002,$E2845,$C$3:$C$3002,"&lt;&gt;U",$S$3:$S$3002,Calc!$F$2))</f>
        <v/>
      </c>
      <c r="P2845" s="35" t="str">
        <f aca="false">IF(OR($A2845="",$C2845="U",$S2845&lt;&gt;Calc!$F$2),"",SUMIFS($N$3:$N$3002,$E$3:$E$3002,$E2845,$C$3:$C$3002,"&lt;&gt;U",$S$3:$S$3002,Calc!$F$2))</f>
        <v/>
      </c>
      <c r="Q2845" s="35" t="str">
        <f aca="false">IF(OR($A2845="",$C2845="U",$S2845&lt;&gt;Calc!$F$2),"",IF(COUNTIFS($E$3:$E2845,$E2845,$C$3:$C2845,"&lt;&gt;U",$S$3:$S2845,Calc!$F$2)=1,1,0))</f>
        <v/>
      </c>
      <c r="R2845" s="35" t="str">
        <f aca="false">IF($Q2845=1,$O2845-ROW()/100000,"")</f>
        <v/>
      </c>
      <c r="S2845" s="37" t="str">
        <f aca="false">IF($A2845="","",INT($A2845))</f>
        <v/>
      </c>
      <c r="T2845" s="35" t="str">
        <f aca="false">IF($A2845="","",IF(COUNTIFS($S$3:$S2845,$S2845)=1,1,0))</f>
        <v/>
      </c>
      <c r="U2845" s="37" t="str">
        <f aca="false">IF($T2845=1,$S2845,"")</f>
        <v/>
      </c>
    </row>
    <row r="2846" customFormat="false" ht="15" hidden="false" customHeight="false" outlineLevel="0" collapsed="false">
      <c r="M2846" s="35" t="str">
        <f aca="false">IF($A2846="","",HOUR($A2846))</f>
        <v/>
      </c>
      <c r="N2846" s="36" t="str">
        <f aca="false">IF($A2846="","",$I2846*$K2846)</f>
        <v/>
      </c>
      <c r="O2846" s="35" t="str">
        <f aca="false">IF(OR($A2846="",$C2846="U",$S2846&lt;&gt;Calc!$F$2),"",SUMIFS($I$3:$I$3002,$E$3:$E$3002,$E2846,$C$3:$C$3002,"&lt;&gt;U",$S$3:$S$3002,Calc!$F$2))</f>
        <v/>
      </c>
      <c r="P2846" s="35" t="str">
        <f aca="false">IF(OR($A2846="",$C2846="U",$S2846&lt;&gt;Calc!$F$2),"",SUMIFS($N$3:$N$3002,$E$3:$E$3002,$E2846,$C$3:$C$3002,"&lt;&gt;U",$S$3:$S$3002,Calc!$F$2))</f>
        <v/>
      </c>
      <c r="Q2846" s="35" t="str">
        <f aca="false">IF(OR($A2846="",$C2846="U",$S2846&lt;&gt;Calc!$F$2),"",IF(COUNTIFS($E$3:$E2846,$E2846,$C$3:$C2846,"&lt;&gt;U",$S$3:$S2846,Calc!$F$2)=1,1,0))</f>
        <v/>
      </c>
      <c r="R2846" s="35" t="str">
        <f aca="false">IF($Q2846=1,$O2846-ROW()/100000,"")</f>
        <v/>
      </c>
      <c r="S2846" s="37" t="str">
        <f aca="false">IF($A2846="","",INT($A2846))</f>
        <v/>
      </c>
      <c r="T2846" s="35" t="str">
        <f aca="false">IF($A2846="","",IF(COUNTIFS($S$3:$S2846,$S2846)=1,1,0))</f>
        <v/>
      </c>
      <c r="U2846" s="37" t="str">
        <f aca="false">IF($T2846=1,$S2846,"")</f>
        <v/>
      </c>
    </row>
    <row r="2847" customFormat="false" ht="15" hidden="false" customHeight="false" outlineLevel="0" collapsed="false">
      <c r="M2847" s="35" t="str">
        <f aca="false">IF($A2847="","",HOUR($A2847))</f>
        <v/>
      </c>
      <c r="N2847" s="36" t="str">
        <f aca="false">IF($A2847="","",$I2847*$K2847)</f>
        <v/>
      </c>
      <c r="O2847" s="35" t="str">
        <f aca="false">IF(OR($A2847="",$C2847="U",$S2847&lt;&gt;Calc!$F$2),"",SUMIFS($I$3:$I$3002,$E$3:$E$3002,$E2847,$C$3:$C$3002,"&lt;&gt;U",$S$3:$S$3002,Calc!$F$2))</f>
        <v/>
      </c>
      <c r="P2847" s="35" t="str">
        <f aca="false">IF(OR($A2847="",$C2847="U",$S2847&lt;&gt;Calc!$F$2),"",SUMIFS($N$3:$N$3002,$E$3:$E$3002,$E2847,$C$3:$C$3002,"&lt;&gt;U",$S$3:$S$3002,Calc!$F$2))</f>
        <v/>
      </c>
      <c r="Q2847" s="35" t="str">
        <f aca="false">IF(OR($A2847="",$C2847="U",$S2847&lt;&gt;Calc!$F$2),"",IF(COUNTIFS($E$3:$E2847,$E2847,$C$3:$C2847,"&lt;&gt;U",$S$3:$S2847,Calc!$F$2)=1,1,0))</f>
        <v/>
      </c>
      <c r="R2847" s="35" t="str">
        <f aca="false">IF($Q2847=1,$O2847-ROW()/100000,"")</f>
        <v/>
      </c>
      <c r="S2847" s="37" t="str">
        <f aca="false">IF($A2847="","",INT($A2847))</f>
        <v/>
      </c>
      <c r="T2847" s="35" t="str">
        <f aca="false">IF($A2847="","",IF(COUNTIFS($S$3:$S2847,$S2847)=1,1,0))</f>
        <v/>
      </c>
      <c r="U2847" s="37" t="str">
        <f aca="false">IF($T2847=1,$S2847,"")</f>
        <v/>
      </c>
    </row>
    <row r="2848" customFormat="false" ht="15" hidden="false" customHeight="false" outlineLevel="0" collapsed="false">
      <c r="M2848" s="35" t="str">
        <f aca="false">IF($A2848="","",HOUR($A2848))</f>
        <v/>
      </c>
      <c r="N2848" s="36" t="str">
        <f aca="false">IF($A2848="","",$I2848*$K2848)</f>
        <v/>
      </c>
      <c r="O2848" s="35" t="str">
        <f aca="false">IF(OR($A2848="",$C2848="U",$S2848&lt;&gt;Calc!$F$2),"",SUMIFS($I$3:$I$3002,$E$3:$E$3002,$E2848,$C$3:$C$3002,"&lt;&gt;U",$S$3:$S$3002,Calc!$F$2))</f>
        <v/>
      </c>
      <c r="P2848" s="35" t="str">
        <f aca="false">IF(OR($A2848="",$C2848="U",$S2848&lt;&gt;Calc!$F$2),"",SUMIFS($N$3:$N$3002,$E$3:$E$3002,$E2848,$C$3:$C$3002,"&lt;&gt;U",$S$3:$S$3002,Calc!$F$2))</f>
        <v/>
      </c>
      <c r="Q2848" s="35" t="str">
        <f aca="false">IF(OR($A2848="",$C2848="U",$S2848&lt;&gt;Calc!$F$2),"",IF(COUNTIFS($E$3:$E2848,$E2848,$C$3:$C2848,"&lt;&gt;U",$S$3:$S2848,Calc!$F$2)=1,1,0))</f>
        <v/>
      </c>
      <c r="R2848" s="35" t="str">
        <f aca="false">IF($Q2848=1,$O2848-ROW()/100000,"")</f>
        <v/>
      </c>
      <c r="S2848" s="37" t="str">
        <f aca="false">IF($A2848="","",INT($A2848))</f>
        <v/>
      </c>
      <c r="T2848" s="35" t="str">
        <f aca="false">IF($A2848="","",IF(COUNTIFS($S$3:$S2848,$S2848)=1,1,0))</f>
        <v/>
      </c>
      <c r="U2848" s="37" t="str">
        <f aca="false">IF($T2848=1,$S2848,"")</f>
        <v/>
      </c>
    </row>
    <row r="2849" customFormat="false" ht="15" hidden="false" customHeight="false" outlineLevel="0" collapsed="false">
      <c r="M2849" s="35" t="str">
        <f aca="false">IF($A2849="","",HOUR($A2849))</f>
        <v/>
      </c>
      <c r="N2849" s="36" t="str">
        <f aca="false">IF($A2849="","",$I2849*$K2849)</f>
        <v/>
      </c>
      <c r="O2849" s="35" t="str">
        <f aca="false">IF(OR($A2849="",$C2849="U",$S2849&lt;&gt;Calc!$F$2),"",SUMIFS($I$3:$I$3002,$E$3:$E$3002,$E2849,$C$3:$C$3002,"&lt;&gt;U",$S$3:$S$3002,Calc!$F$2))</f>
        <v/>
      </c>
      <c r="P2849" s="35" t="str">
        <f aca="false">IF(OR($A2849="",$C2849="U",$S2849&lt;&gt;Calc!$F$2),"",SUMIFS($N$3:$N$3002,$E$3:$E$3002,$E2849,$C$3:$C$3002,"&lt;&gt;U",$S$3:$S$3002,Calc!$F$2))</f>
        <v/>
      </c>
      <c r="Q2849" s="35" t="str">
        <f aca="false">IF(OR($A2849="",$C2849="U",$S2849&lt;&gt;Calc!$F$2),"",IF(COUNTIFS($E$3:$E2849,$E2849,$C$3:$C2849,"&lt;&gt;U",$S$3:$S2849,Calc!$F$2)=1,1,0))</f>
        <v/>
      </c>
      <c r="R2849" s="35" t="str">
        <f aca="false">IF($Q2849=1,$O2849-ROW()/100000,"")</f>
        <v/>
      </c>
      <c r="S2849" s="37" t="str">
        <f aca="false">IF($A2849="","",INT($A2849))</f>
        <v/>
      </c>
      <c r="T2849" s="35" t="str">
        <f aca="false">IF($A2849="","",IF(COUNTIFS($S$3:$S2849,$S2849)=1,1,0))</f>
        <v/>
      </c>
      <c r="U2849" s="37" t="str">
        <f aca="false">IF($T2849=1,$S2849,"")</f>
        <v/>
      </c>
    </row>
    <row r="2850" customFormat="false" ht="15" hidden="false" customHeight="false" outlineLevel="0" collapsed="false">
      <c r="M2850" s="35" t="str">
        <f aca="false">IF($A2850="","",HOUR($A2850))</f>
        <v/>
      </c>
      <c r="N2850" s="36" t="str">
        <f aca="false">IF($A2850="","",$I2850*$K2850)</f>
        <v/>
      </c>
      <c r="O2850" s="35" t="str">
        <f aca="false">IF(OR($A2850="",$C2850="U",$S2850&lt;&gt;Calc!$F$2),"",SUMIFS($I$3:$I$3002,$E$3:$E$3002,$E2850,$C$3:$C$3002,"&lt;&gt;U",$S$3:$S$3002,Calc!$F$2))</f>
        <v/>
      </c>
      <c r="P2850" s="35" t="str">
        <f aca="false">IF(OR($A2850="",$C2850="U",$S2850&lt;&gt;Calc!$F$2),"",SUMIFS($N$3:$N$3002,$E$3:$E$3002,$E2850,$C$3:$C$3002,"&lt;&gt;U",$S$3:$S$3002,Calc!$F$2))</f>
        <v/>
      </c>
      <c r="Q2850" s="35" t="str">
        <f aca="false">IF(OR($A2850="",$C2850="U",$S2850&lt;&gt;Calc!$F$2),"",IF(COUNTIFS($E$3:$E2850,$E2850,$C$3:$C2850,"&lt;&gt;U",$S$3:$S2850,Calc!$F$2)=1,1,0))</f>
        <v/>
      </c>
      <c r="R2850" s="35" t="str">
        <f aca="false">IF($Q2850=1,$O2850-ROW()/100000,"")</f>
        <v/>
      </c>
      <c r="S2850" s="37" t="str">
        <f aca="false">IF($A2850="","",INT($A2850))</f>
        <v/>
      </c>
      <c r="T2850" s="35" t="str">
        <f aca="false">IF($A2850="","",IF(COUNTIFS($S$3:$S2850,$S2850)=1,1,0))</f>
        <v/>
      </c>
      <c r="U2850" s="37" t="str">
        <f aca="false">IF($T2850=1,$S2850,"")</f>
        <v/>
      </c>
    </row>
    <row r="2851" customFormat="false" ht="15" hidden="false" customHeight="false" outlineLevel="0" collapsed="false">
      <c r="M2851" s="35" t="str">
        <f aca="false">IF($A2851="","",HOUR($A2851))</f>
        <v/>
      </c>
      <c r="N2851" s="36" t="str">
        <f aca="false">IF($A2851="","",$I2851*$K2851)</f>
        <v/>
      </c>
      <c r="O2851" s="35" t="str">
        <f aca="false">IF(OR($A2851="",$C2851="U",$S2851&lt;&gt;Calc!$F$2),"",SUMIFS($I$3:$I$3002,$E$3:$E$3002,$E2851,$C$3:$C$3002,"&lt;&gt;U",$S$3:$S$3002,Calc!$F$2))</f>
        <v/>
      </c>
      <c r="P2851" s="35" t="str">
        <f aca="false">IF(OR($A2851="",$C2851="U",$S2851&lt;&gt;Calc!$F$2),"",SUMIFS($N$3:$N$3002,$E$3:$E$3002,$E2851,$C$3:$C$3002,"&lt;&gt;U",$S$3:$S$3002,Calc!$F$2))</f>
        <v/>
      </c>
      <c r="Q2851" s="35" t="str">
        <f aca="false">IF(OR($A2851="",$C2851="U",$S2851&lt;&gt;Calc!$F$2),"",IF(COUNTIFS($E$3:$E2851,$E2851,$C$3:$C2851,"&lt;&gt;U",$S$3:$S2851,Calc!$F$2)=1,1,0))</f>
        <v/>
      </c>
      <c r="R2851" s="35" t="str">
        <f aca="false">IF($Q2851=1,$O2851-ROW()/100000,"")</f>
        <v/>
      </c>
      <c r="S2851" s="37" t="str">
        <f aca="false">IF($A2851="","",INT($A2851))</f>
        <v/>
      </c>
      <c r="T2851" s="35" t="str">
        <f aca="false">IF($A2851="","",IF(COUNTIFS($S$3:$S2851,$S2851)=1,1,0))</f>
        <v/>
      </c>
      <c r="U2851" s="37" t="str">
        <f aca="false">IF($T2851=1,$S2851,"")</f>
        <v/>
      </c>
    </row>
    <row r="2852" customFormat="false" ht="15" hidden="false" customHeight="false" outlineLevel="0" collapsed="false">
      <c r="M2852" s="35" t="str">
        <f aca="false">IF($A2852="","",HOUR($A2852))</f>
        <v/>
      </c>
      <c r="N2852" s="36" t="str">
        <f aca="false">IF($A2852="","",$I2852*$K2852)</f>
        <v/>
      </c>
      <c r="O2852" s="35" t="str">
        <f aca="false">IF(OR($A2852="",$C2852="U",$S2852&lt;&gt;Calc!$F$2),"",SUMIFS($I$3:$I$3002,$E$3:$E$3002,$E2852,$C$3:$C$3002,"&lt;&gt;U",$S$3:$S$3002,Calc!$F$2))</f>
        <v/>
      </c>
      <c r="P2852" s="35" t="str">
        <f aca="false">IF(OR($A2852="",$C2852="U",$S2852&lt;&gt;Calc!$F$2),"",SUMIFS($N$3:$N$3002,$E$3:$E$3002,$E2852,$C$3:$C$3002,"&lt;&gt;U",$S$3:$S$3002,Calc!$F$2))</f>
        <v/>
      </c>
      <c r="Q2852" s="35" t="str">
        <f aca="false">IF(OR($A2852="",$C2852="U",$S2852&lt;&gt;Calc!$F$2),"",IF(COUNTIFS($E$3:$E2852,$E2852,$C$3:$C2852,"&lt;&gt;U",$S$3:$S2852,Calc!$F$2)=1,1,0))</f>
        <v/>
      </c>
      <c r="R2852" s="35" t="str">
        <f aca="false">IF($Q2852=1,$O2852-ROW()/100000,"")</f>
        <v/>
      </c>
      <c r="S2852" s="37" t="str">
        <f aca="false">IF($A2852="","",INT($A2852))</f>
        <v/>
      </c>
      <c r="T2852" s="35" t="str">
        <f aca="false">IF($A2852="","",IF(COUNTIFS($S$3:$S2852,$S2852)=1,1,0))</f>
        <v/>
      </c>
      <c r="U2852" s="37" t="str">
        <f aca="false">IF($T2852=1,$S2852,"")</f>
        <v/>
      </c>
    </row>
    <row r="2853" customFormat="false" ht="15" hidden="false" customHeight="false" outlineLevel="0" collapsed="false">
      <c r="M2853" s="35" t="str">
        <f aca="false">IF($A2853="","",HOUR($A2853))</f>
        <v/>
      </c>
      <c r="N2853" s="36" t="str">
        <f aca="false">IF($A2853="","",$I2853*$K2853)</f>
        <v/>
      </c>
      <c r="O2853" s="35" t="str">
        <f aca="false">IF(OR($A2853="",$C2853="U",$S2853&lt;&gt;Calc!$F$2),"",SUMIFS($I$3:$I$3002,$E$3:$E$3002,$E2853,$C$3:$C$3002,"&lt;&gt;U",$S$3:$S$3002,Calc!$F$2))</f>
        <v/>
      </c>
      <c r="P2853" s="35" t="str">
        <f aca="false">IF(OR($A2853="",$C2853="U",$S2853&lt;&gt;Calc!$F$2),"",SUMIFS($N$3:$N$3002,$E$3:$E$3002,$E2853,$C$3:$C$3002,"&lt;&gt;U",$S$3:$S$3002,Calc!$F$2))</f>
        <v/>
      </c>
      <c r="Q2853" s="35" t="str">
        <f aca="false">IF(OR($A2853="",$C2853="U",$S2853&lt;&gt;Calc!$F$2),"",IF(COUNTIFS($E$3:$E2853,$E2853,$C$3:$C2853,"&lt;&gt;U",$S$3:$S2853,Calc!$F$2)=1,1,0))</f>
        <v/>
      </c>
      <c r="R2853" s="35" t="str">
        <f aca="false">IF($Q2853=1,$O2853-ROW()/100000,"")</f>
        <v/>
      </c>
      <c r="S2853" s="37" t="str">
        <f aca="false">IF($A2853="","",INT($A2853))</f>
        <v/>
      </c>
      <c r="T2853" s="35" t="str">
        <f aca="false">IF($A2853="","",IF(COUNTIFS($S$3:$S2853,$S2853)=1,1,0))</f>
        <v/>
      </c>
      <c r="U2853" s="37" t="str">
        <f aca="false">IF($T2853=1,$S2853,"")</f>
        <v/>
      </c>
    </row>
    <row r="2854" customFormat="false" ht="15" hidden="false" customHeight="false" outlineLevel="0" collapsed="false">
      <c r="M2854" s="35" t="str">
        <f aca="false">IF($A2854="","",HOUR($A2854))</f>
        <v/>
      </c>
      <c r="N2854" s="36" t="str">
        <f aca="false">IF($A2854="","",$I2854*$K2854)</f>
        <v/>
      </c>
      <c r="O2854" s="35" t="str">
        <f aca="false">IF(OR($A2854="",$C2854="U",$S2854&lt;&gt;Calc!$F$2),"",SUMIFS($I$3:$I$3002,$E$3:$E$3002,$E2854,$C$3:$C$3002,"&lt;&gt;U",$S$3:$S$3002,Calc!$F$2))</f>
        <v/>
      </c>
      <c r="P2854" s="35" t="str">
        <f aca="false">IF(OR($A2854="",$C2854="U",$S2854&lt;&gt;Calc!$F$2),"",SUMIFS($N$3:$N$3002,$E$3:$E$3002,$E2854,$C$3:$C$3002,"&lt;&gt;U",$S$3:$S$3002,Calc!$F$2))</f>
        <v/>
      </c>
      <c r="Q2854" s="35" t="str">
        <f aca="false">IF(OR($A2854="",$C2854="U",$S2854&lt;&gt;Calc!$F$2),"",IF(COUNTIFS($E$3:$E2854,$E2854,$C$3:$C2854,"&lt;&gt;U",$S$3:$S2854,Calc!$F$2)=1,1,0))</f>
        <v/>
      </c>
      <c r="R2854" s="35" t="str">
        <f aca="false">IF($Q2854=1,$O2854-ROW()/100000,"")</f>
        <v/>
      </c>
      <c r="S2854" s="37" t="str">
        <f aca="false">IF($A2854="","",INT($A2854))</f>
        <v/>
      </c>
      <c r="T2854" s="35" t="str">
        <f aca="false">IF($A2854="","",IF(COUNTIFS($S$3:$S2854,$S2854)=1,1,0))</f>
        <v/>
      </c>
      <c r="U2854" s="37" t="str">
        <f aca="false">IF($T2854=1,$S2854,"")</f>
        <v/>
      </c>
    </row>
    <row r="2855" customFormat="false" ht="15" hidden="false" customHeight="false" outlineLevel="0" collapsed="false">
      <c r="M2855" s="35" t="str">
        <f aca="false">IF($A2855="","",HOUR($A2855))</f>
        <v/>
      </c>
      <c r="N2855" s="36" t="str">
        <f aca="false">IF($A2855="","",$I2855*$K2855)</f>
        <v/>
      </c>
      <c r="O2855" s="35" t="str">
        <f aca="false">IF(OR($A2855="",$C2855="U",$S2855&lt;&gt;Calc!$F$2),"",SUMIFS($I$3:$I$3002,$E$3:$E$3002,$E2855,$C$3:$C$3002,"&lt;&gt;U",$S$3:$S$3002,Calc!$F$2))</f>
        <v/>
      </c>
      <c r="P2855" s="35" t="str">
        <f aca="false">IF(OR($A2855="",$C2855="U",$S2855&lt;&gt;Calc!$F$2),"",SUMIFS($N$3:$N$3002,$E$3:$E$3002,$E2855,$C$3:$C$3002,"&lt;&gt;U",$S$3:$S$3002,Calc!$F$2))</f>
        <v/>
      </c>
      <c r="Q2855" s="35" t="str">
        <f aca="false">IF(OR($A2855="",$C2855="U",$S2855&lt;&gt;Calc!$F$2),"",IF(COUNTIFS($E$3:$E2855,$E2855,$C$3:$C2855,"&lt;&gt;U",$S$3:$S2855,Calc!$F$2)=1,1,0))</f>
        <v/>
      </c>
      <c r="R2855" s="35" t="str">
        <f aca="false">IF($Q2855=1,$O2855-ROW()/100000,"")</f>
        <v/>
      </c>
      <c r="S2855" s="37" t="str">
        <f aca="false">IF($A2855="","",INT($A2855))</f>
        <v/>
      </c>
      <c r="T2855" s="35" t="str">
        <f aca="false">IF($A2855="","",IF(COUNTIFS($S$3:$S2855,$S2855)=1,1,0))</f>
        <v/>
      </c>
      <c r="U2855" s="37" t="str">
        <f aca="false">IF($T2855=1,$S2855,"")</f>
        <v/>
      </c>
    </row>
    <row r="2856" customFormat="false" ht="15" hidden="false" customHeight="false" outlineLevel="0" collapsed="false">
      <c r="M2856" s="35" t="str">
        <f aca="false">IF($A2856="","",HOUR($A2856))</f>
        <v/>
      </c>
      <c r="N2856" s="36" t="str">
        <f aca="false">IF($A2856="","",$I2856*$K2856)</f>
        <v/>
      </c>
      <c r="O2856" s="35" t="str">
        <f aca="false">IF(OR($A2856="",$C2856="U",$S2856&lt;&gt;Calc!$F$2),"",SUMIFS($I$3:$I$3002,$E$3:$E$3002,$E2856,$C$3:$C$3002,"&lt;&gt;U",$S$3:$S$3002,Calc!$F$2))</f>
        <v/>
      </c>
      <c r="P2856" s="35" t="str">
        <f aca="false">IF(OR($A2856="",$C2856="U",$S2856&lt;&gt;Calc!$F$2),"",SUMIFS($N$3:$N$3002,$E$3:$E$3002,$E2856,$C$3:$C$3002,"&lt;&gt;U",$S$3:$S$3002,Calc!$F$2))</f>
        <v/>
      </c>
      <c r="Q2856" s="35" t="str">
        <f aca="false">IF(OR($A2856="",$C2856="U",$S2856&lt;&gt;Calc!$F$2),"",IF(COUNTIFS($E$3:$E2856,$E2856,$C$3:$C2856,"&lt;&gt;U",$S$3:$S2856,Calc!$F$2)=1,1,0))</f>
        <v/>
      </c>
      <c r="R2856" s="35" t="str">
        <f aca="false">IF($Q2856=1,$O2856-ROW()/100000,"")</f>
        <v/>
      </c>
      <c r="S2856" s="37" t="str">
        <f aca="false">IF($A2856="","",INT($A2856))</f>
        <v/>
      </c>
      <c r="T2856" s="35" t="str">
        <f aca="false">IF($A2856="","",IF(COUNTIFS($S$3:$S2856,$S2856)=1,1,0))</f>
        <v/>
      </c>
      <c r="U2856" s="37" t="str">
        <f aca="false">IF($T2856=1,$S2856,"")</f>
        <v/>
      </c>
    </row>
    <row r="2857" customFormat="false" ht="15" hidden="false" customHeight="false" outlineLevel="0" collapsed="false">
      <c r="M2857" s="35" t="str">
        <f aca="false">IF($A2857="","",HOUR($A2857))</f>
        <v/>
      </c>
      <c r="N2857" s="36" t="str">
        <f aca="false">IF($A2857="","",$I2857*$K2857)</f>
        <v/>
      </c>
      <c r="O2857" s="35" t="str">
        <f aca="false">IF(OR($A2857="",$C2857="U",$S2857&lt;&gt;Calc!$F$2),"",SUMIFS($I$3:$I$3002,$E$3:$E$3002,$E2857,$C$3:$C$3002,"&lt;&gt;U",$S$3:$S$3002,Calc!$F$2))</f>
        <v/>
      </c>
      <c r="P2857" s="35" t="str">
        <f aca="false">IF(OR($A2857="",$C2857="U",$S2857&lt;&gt;Calc!$F$2),"",SUMIFS($N$3:$N$3002,$E$3:$E$3002,$E2857,$C$3:$C$3002,"&lt;&gt;U",$S$3:$S$3002,Calc!$F$2))</f>
        <v/>
      </c>
      <c r="Q2857" s="35" t="str">
        <f aca="false">IF(OR($A2857="",$C2857="U",$S2857&lt;&gt;Calc!$F$2),"",IF(COUNTIFS($E$3:$E2857,$E2857,$C$3:$C2857,"&lt;&gt;U",$S$3:$S2857,Calc!$F$2)=1,1,0))</f>
        <v/>
      </c>
      <c r="R2857" s="35" t="str">
        <f aca="false">IF($Q2857=1,$O2857-ROW()/100000,"")</f>
        <v/>
      </c>
      <c r="S2857" s="37" t="str">
        <f aca="false">IF($A2857="","",INT($A2857))</f>
        <v/>
      </c>
      <c r="T2857" s="35" t="str">
        <f aca="false">IF($A2857="","",IF(COUNTIFS($S$3:$S2857,$S2857)=1,1,0))</f>
        <v/>
      </c>
      <c r="U2857" s="37" t="str">
        <f aca="false">IF($T2857=1,$S2857,"")</f>
        <v/>
      </c>
    </row>
    <row r="2858" customFormat="false" ht="15" hidden="false" customHeight="false" outlineLevel="0" collapsed="false">
      <c r="M2858" s="35" t="str">
        <f aca="false">IF($A2858="","",HOUR($A2858))</f>
        <v/>
      </c>
      <c r="N2858" s="36" t="str">
        <f aca="false">IF($A2858="","",$I2858*$K2858)</f>
        <v/>
      </c>
      <c r="O2858" s="35" t="str">
        <f aca="false">IF(OR($A2858="",$C2858="U",$S2858&lt;&gt;Calc!$F$2),"",SUMIFS($I$3:$I$3002,$E$3:$E$3002,$E2858,$C$3:$C$3002,"&lt;&gt;U",$S$3:$S$3002,Calc!$F$2))</f>
        <v/>
      </c>
      <c r="P2858" s="35" t="str">
        <f aca="false">IF(OR($A2858="",$C2858="U",$S2858&lt;&gt;Calc!$F$2),"",SUMIFS($N$3:$N$3002,$E$3:$E$3002,$E2858,$C$3:$C$3002,"&lt;&gt;U",$S$3:$S$3002,Calc!$F$2))</f>
        <v/>
      </c>
      <c r="Q2858" s="35" t="str">
        <f aca="false">IF(OR($A2858="",$C2858="U",$S2858&lt;&gt;Calc!$F$2),"",IF(COUNTIFS($E$3:$E2858,$E2858,$C$3:$C2858,"&lt;&gt;U",$S$3:$S2858,Calc!$F$2)=1,1,0))</f>
        <v/>
      </c>
      <c r="R2858" s="35" t="str">
        <f aca="false">IF($Q2858=1,$O2858-ROW()/100000,"")</f>
        <v/>
      </c>
      <c r="S2858" s="37" t="str">
        <f aca="false">IF($A2858="","",INT($A2858))</f>
        <v/>
      </c>
      <c r="T2858" s="35" t="str">
        <f aca="false">IF($A2858="","",IF(COUNTIFS($S$3:$S2858,$S2858)=1,1,0))</f>
        <v/>
      </c>
      <c r="U2858" s="37" t="str">
        <f aca="false">IF($T2858=1,$S2858,"")</f>
        <v/>
      </c>
    </row>
    <row r="2859" customFormat="false" ht="15" hidden="false" customHeight="false" outlineLevel="0" collapsed="false">
      <c r="M2859" s="35" t="str">
        <f aca="false">IF($A2859="","",HOUR($A2859))</f>
        <v/>
      </c>
      <c r="N2859" s="36" t="str">
        <f aca="false">IF($A2859="","",$I2859*$K2859)</f>
        <v/>
      </c>
      <c r="O2859" s="35" t="str">
        <f aca="false">IF(OR($A2859="",$C2859="U",$S2859&lt;&gt;Calc!$F$2),"",SUMIFS($I$3:$I$3002,$E$3:$E$3002,$E2859,$C$3:$C$3002,"&lt;&gt;U",$S$3:$S$3002,Calc!$F$2))</f>
        <v/>
      </c>
      <c r="P2859" s="35" t="str">
        <f aca="false">IF(OR($A2859="",$C2859="U",$S2859&lt;&gt;Calc!$F$2),"",SUMIFS($N$3:$N$3002,$E$3:$E$3002,$E2859,$C$3:$C$3002,"&lt;&gt;U",$S$3:$S$3002,Calc!$F$2))</f>
        <v/>
      </c>
      <c r="Q2859" s="35" t="str">
        <f aca="false">IF(OR($A2859="",$C2859="U",$S2859&lt;&gt;Calc!$F$2),"",IF(COUNTIFS($E$3:$E2859,$E2859,$C$3:$C2859,"&lt;&gt;U",$S$3:$S2859,Calc!$F$2)=1,1,0))</f>
        <v/>
      </c>
      <c r="R2859" s="35" t="str">
        <f aca="false">IF($Q2859=1,$O2859-ROW()/100000,"")</f>
        <v/>
      </c>
      <c r="S2859" s="37" t="str">
        <f aca="false">IF($A2859="","",INT($A2859))</f>
        <v/>
      </c>
      <c r="T2859" s="35" t="str">
        <f aca="false">IF($A2859="","",IF(COUNTIFS($S$3:$S2859,$S2859)=1,1,0))</f>
        <v/>
      </c>
      <c r="U2859" s="37" t="str">
        <f aca="false">IF($T2859=1,$S2859,"")</f>
        <v/>
      </c>
    </row>
    <row r="2860" customFormat="false" ht="15" hidden="false" customHeight="false" outlineLevel="0" collapsed="false">
      <c r="M2860" s="35" t="str">
        <f aca="false">IF($A2860="","",HOUR($A2860))</f>
        <v/>
      </c>
      <c r="N2860" s="36" t="str">
        <f aca="false">IF($A2860="","",$I2860*$K2860)</f>
        <v/>
      </c>
      <c r="O2860" s="35" t="str">
        <f aca="false">IF(OR($A2860="",$C2860="U",$S2860&lt;&gt;Calc!$F$2),"",SUMIFS($I$3:$I$3002,$E$3:$E$3002,$E2860,$C$3:$C$3002,"&lt;&gt;U",$S$3:$S$3002,Calc!$F$2))</f>
        <v/>
      </c>
      <c r="P2860" s="35" t="str">
        <f aca="false">IF(OR($A2860="",$C2860="U",$S2860&lt;&gt;Calc!$F$2),"",SUMIFS($N$3:$N$3002,$E$3:$E$3002,$E2860,$C$3:$C$3002,"&lt;&gt;U",$S$3:$S$3002,Calc!$F$2))</f>
        <v/>
      </c>
      <c r="Q2860" s="35" t="str">
        <f aca="false">IF(OR($A2860="",$C2860="U",$S2860&lt;&gt;Calc!$F$2),"",IF(COUNTIFS($E$3:$E2860,$E2860,$C$3:$C2860,"&lt;&gt;U",$S$3:$S2860,Calc!$F$2)=1,1,0))</f>
        <v/>
      </c>
      <c r="R2860" s="35" t="str">
        <f aca="false">IF($Q2860=1,$O2860-ROW()/100000,"")</f>
        <v/>
      </c>
      <c r="S2860" s="37" t="str">
        <f aca="false">IF($A2860="","",INT($A2860))</f>
        <v/>
      </c>
      <c r="T2860" s="35" t="str">
        <f aca="false">IF($A2860="","",IF(COUNTIFS($S$3:$S2860,$S2860)=1,1,0))</f>
        <v/>
      </c>
      <c r="U2860" s="37" t="str">
        <f aca="false">IF($T2860=1,$S2860,"")</f>
        <v/>
      </c>
    </row>
    <row r="2861" customFormat="false" ht="15" hidden="false" customHeight="false" outlineLevel="0" collapsed="false">
      <c r="M2861" s="35" t="str">
        <f aca="false">IF($A2861="","",HOUR($A2861))</f>
        <v/>
      </c>
      <c r="N2861" s="36" t="str">
        <f aca="false">IF($A2861="","",$I2861*$K2861)</f>
        <v/>
      </c>
      <c r="O2861" s="35" t="str">
        <f aca="false">IF(OR($A2861="",$C2861="U",$S2861&lt;&gt;Calc!$F$2),"",SUMIFS($I$3:$I$3002,$E$3:$E$3002,$E2861,$C$3:$C$3002,"&lt;&gt;U",$S$3:$S$3002,Calc!$F$2))</f>
        <v/>
      </c>
      <c r="P2861" s="35" t="str">
        <f aca="false">IF(OR($A2861="",$C2861="U",$S2861&lt;&gt;Calc!$F$2),"",SUMIFS($N$3:$N$3002,$E$3:$E$3002,$E2861,$C$3:$C$3002,"&lt;&gt;U",$S$3:$S$3002,Calc!$F$2))</f>
        <v/>
      </c>
      <c r="Q2861" s="35" t="str">
        <f aca="false">IF(OR($A2861="",$C2861="U",$S2861&lt;&gt;Calc!$F$2),"",IF(COUNTIFS($E$3:$E2861,$E2861,$C$3:$C2861,"&lt;&gt;U",$S$3:$S2861,Calc!$F$2)=1,1,0))</f>
        <v/>
      </c>
      <c r="R2861" s="35" t="str">
        <f aca="false">IF($Q2861=1,$O2861-ROW()/100000,"")</f>
        <v/>
      </c>
      <c r="S2861" s="37" t="str">
        <f aca="false">IF($A2861="","",INT($A2861))</f>
        <v/>
      </c>
      <c r="T2861" s="35" t="str">
        <f aca="false">IF($A2861="","",IF(COUNTIFS($S$3:$S2861,$S2861)=1,1,0))</f>
        <v/>
      </c>
      <c r="U2861" s="37" t="str">
        <f aca="false">IF($T2861=1,$S2861,"")</f>
        <v/>
      </c>
    </row>
    <row r="2862" customFormat="false" ht="15" hidden="false" customHeight="false" outlineLevel="0" collapsed="false">
      <c r="M2862" s="35" t="str">
        <f aca="false">IF($A2862="","",HOUR($A2862))</f>
        <v/>
      </c>
      <c r="N2862" s="36" t="str">
        <f aca="false">IF($A2862="","",$I2862*$K2862)</f>
        <v/>
      </c>
      <c r="O2862" s="35" t="str">
        <f aca="false">IF(OR($A2862="",$C2862="U",$S2862&lt;&gt;Calc!$F$2),"",SUMIFS($I$3:$I$3002,$E$3:$E$3002,$E2862,$C$3:$C$3002,"&lt;&gt;U",$S$3:$S$3002,Calc!$F$2))</f>
        <v/>
      </c>
      <c r="P2862" s="35" t="str">
        <f aca="false">IF(OR($A2862="",$C2862="U",$S2862&lt;&gt;Calc!$F$2),"",SUMIFS($N$3:$N$3002,$E$3:$E$3002,$E2862,$C$3:$C$3002,"&lt;&gt;U",$S$3:$S$3002,Calc!$F$2))</f>
        <v/>
      </c>
      <c r="Q2862" s="35" t="str">
        <f aca="false">IF(OR($A2862="",$C2862="U",$S2862&lt;&gt;Calc!$F$2),"",IF(COUNTIFS($E$3:$E2862,$E2862,$C$3:$C2862,"&lt;&gt;U",$S$3:$S2862,Calc!$F$2)=1,1,0))</f>
        <v/>
      </c>
      <c r="R2862" s="35" t="str">
        <f aca="false">IF($Q2862=1,$O2862-ROW()/100000,"")</f>
        <v/>
      </c>
      <c r="S2862" s="37" t="str">
        <f aca="false">IF($A2862="","",INT($A2862))</f>
        <v/>
      </c>
      <c r="T2862" s="35" t="str">
        <f aca="false">IF($A2862="","",IF(COUNTIFS($S$3:$S2862,$S2862)=1,1,0))</f>
        <v/>
      </c>
      <c r="U2862" s="37" t="str">
        <f aca="false">IF($T2862=1,$S2862,"")</f>
        <v/>
      </c>
    </row>
    <row r="2863" customFormat="false" ht="15" hidden="false" customHeight="false" outlineLevel="0" collapsed="false">
      <c r="M2863" s="35" t="str">
        <f aca="false">IF($A2863="","",HOUR($A2863))</f>
        <v/>
      </c>
      <c r="N2863" s="36" t="str">
        <f aca="false">IF($A2863="","",$I2863*$K2863)</f>
        <v/>
      </c>
      <c r="O2863" s="35" t="str">
        <f aca="false">IF(OR($A2863="",$C2863="U",$S2863&lt;&gt;Calc!$F$2),"",SUMIFS($I$3:$I$3002,$E$3:$E$3002,$E2863,$C$3:$C$3002,"&lt;&gt;U",$S$3:$S$3002,Calc!$F$2))</f>
        <v/>
      </c>
      <c r="P2863" s="35" t="str">
        <f aca="false">IF(OR($A2863="",$C2863="U",$S2863&lt;&gt;Calc!$F$2),"",SUMIFS($N$3:$N$3002,$E$3:$E$3002,$E2863,$C$3:$C$3002,"&lt;&gt;U",$S$3:$S$3002,Calc!$F$2))</f>
        <v/>
      </c>
      <c r="Q2863" s="35" t="str">
        <f aca="false">IF(OR($A2863="",$C2863="U",$S2863&lt;&gt;Calc!$F$2),"",IF(COUNTIFS($E$3:$E2863,$E2863,$C$3:$C2863,"&lt;&gt;U",$S$3:$S2863,Calc!$F$2)=1,1,0))</f>
        <v/>
      </c>
      <c r="R2863" s="35" t="str">
        <f aca="false">IF($Q2863=1,$O2863-ROW()/100000,"")</f>
        <v/>
      </c>
      <c r="S2863" s="37" t="str">
        <f aca="false">IF($A2863="","",INT($A2863))</f>
        <v/>
      </c>
      <c r="T2863" s="35" t="str">
        <f aca="false">IF($A2863="","",IF(COUNTIFS($S$3:$S2863,$S2863)=1,1,0))</f>
        <v/>
      </c>
      <c r="U2863" s="37" t="str">
        <f aca="false">IF($T2863=1,$S2863,"")</f>
        <v/>
      </c>
    </row>
    <row r="2864" customFormat="false" ht="15" hidden="false" customHeight="false" outlineLevel="0" collapsed="false">
      <c r="M2864" s="35" t="str">
        <f aca="false">IF($A2864="","",HOUR($A2864))</f>
        <v/>
      </c>
      <c r="N2864" s="36" t="str">
        <f aca="false">IF($A2864="","",$I2864*$K2864)</f>
        <v/>
      </c>
      <c r="O2864" s="35" t="str">
        <f aca="false">IF(OR($A2864="",$C2864="U",$S2864&lt;&gt;Calc!$F$2),"",SUMIFS($I$3:$I$3002,$E$3:$E$3002,$E2864,$C$3:$C$3002,"&lt;&gt;U",$S$3:$S$3002,Calc!$F$2))</f>
        <v/>
      </c>
      <c r="P2864" s="35" t="str">
        <f aca="false">IF(OR($A2864="",$C2864="U",$S2864&lt;&gt;Calc!$F$2),"",SUMIFS($N$3:$N$3002,$E$3:$E$3002,$E2864,$C$3:$C$3002,"&lt;&gt;U",$S$3:$S$3002,Calc!$F$2))</f>
        <v/>
      </c>
      <c r="Q2864" s="35" t="str">
        <f aca="false">IF(OR($A2864="",$C2864="U",$S2864&lt;&gt;Calc!$F$2),"",IF(COUNTIFS($E$3:$E2864,$E2864,$C$3:$C2864,"&lt;&gt;U",$S$3:$S2864,Calc!$F$2)=1,1,0))</f>
        <v/>
      </c>
      <c r="R2864" s="35" t="str">
        <f aca="false">IF($Q2864=1,$O2864-ROW()/100000,"")</f>
        <v/>
      </c>
      <c r="S2864" s="37" t="str">
        <f aca="false">IF($A2864="","",INT($A2864))</f>
        <v/>
      </c>
      <c r="T2864" s="35" t="str">
        <f aca="false">IF($A2864="","",IF(COUNTIFS($S$3:$S2864,$S2864)=1,1,0))</f>
        <v/>
      </c>
      <c r="U2864" s="37" t="str">
        <f aca="false">IF($T2864=1,$S2864,"")</f>
        <v/>
      </c>
    </row>
    <row r="2865" customFormat="false" ht="15" hidden="false" customHeight="false" outlineLevel="0" collapsed="false">
      <c r="M2865" s="35" t="str">
        <f aca="false">IF($A2865="","",HOUR($A2865))</f>
        <v/>
      </c>
      <c r="N2865" s="36" t="str">
        <f aca="false">IF($A2865="","",$I2865*$K2865)</f>
        <v/>
      </c>
      <c r="O2865" s="35" t="str">
        <f aca="false">IF(OR($A2865="",$C2865="U",$S2865&lt;&gt;Calc!$F$2),"",SUMIFS($I$3:$I$3002,$E$3:$E$3002,$E2865,$C$3:$C$3002,"&lt;&gt;U",$S$3:$S$3002,Calc!$F$2))</f>
        <v/>
      </c>
      <c r="P2865" s="35" t="str">
        <f aca="false">IF(OR($A2865="",$C2865="U",$S2865&lt;&gt;Calc!$F$2),"",SUMIFS($N$3:$N$3002,$E$3:$E$3002,$E2865,$C$3:$C$3002,"&lt;&gt;U",$S$3:$S$3002,Calc!$F$2))</f>
        <v/>
      </c>
      <c r="Q2865" s="35" t="str">
        <f aca="false">IF(OR($A2865="",$C2865="U",$S2865&lt;&gt;Calc!$F$2),"",IF(COUNTIFS($E$3:$E2865,$E2865,$C$3:$C2865,"&lt;&gt;U",$S$3:$S2865,Calc!$F$2)=1,1,0))</f>
        <v/>
      </c>
      <c r="R2865" s="35" t="str">
        <f aca="false">IF($Q2865=1,$O2865-ROW()/100000,"")</f>
        <v/>
      </c>
      <c r="S2865" s="37" t="str">
        <f aca="false">IF($A2865="","",INT($A2865))</f>
        <v/>
      </c>
      <c r="T2865" s="35" t="str">
        <f aca="false">IF($A2865="","",IF(COUNTIFS($S$3:$S2865,$S2865)=1,1,0))</f>
        <v/>
      </c>
      <c r="U2865" s="37" t="str">
        <f aca="false">IF($T2865=1,$S2865,"")</f>
        <v/>
      </c>
    </row>
    <row r="2866" customFormat="false" ht="15" hidden="false" customHeight="false" outlineLevel="0" collapsed="false">
      <c r="M2866" s="35" t="str">
        <f aca="false">IF($A2866="","",HOUR($A2866))</f>
        <v/>
      </c>
      <c r="N2866" s="36" t="str">
        <f aca="false">IF($A2866="","",$I2866*$K2866)</f>
        <v/>
      </c>
      <c r="O2866" s="35" t="str">
        <f aca="false">IF(OR($A2866="",$C2866="U",$S2866&lt;&gt;Calc!$F$2),"",SUMIFS($I$3:$I$3002,$E$3:$E$3002,$E2866,$C$3:$C$3002,"&lt;&gt;U",$S$3:$S$3002,Calc!$F$2))</f>
        <v/>
      </c>
      <c r="P2866" s="35" t="str">
        <f aca="false">IF(OR($A2866="",$C2866="U",$S2866&lt;&gt;Calc!$F$2),"",SUMIFS($N$3:$N$3002,$E$3:$E$3002,$E2866,$C$3:$C$3002,"&lt;&gt;U",$S$3:$S$3002,Calc!$F$2))</f>
        <v/>
      </c>
      <c r="Q2866" s="35" t="str">
        <f aca="false">IF(OR($A2866="",$C2866="U",$S2866&lt;&gt;Calc!$F$2),"",IF(COUNTIFS($E$3:$E2866,$E2866,$C$3:$C2866,"&lt;&gt;U",$S$3:$S2866,Calc!$F$2)=1,1,0))</f>
        <v/>
      </c>
      <c r="R2866" s="35" t="str">
        <f aca="false">IF($Q2866=1,$O2866-ROW()/100000,"")</f>
        <v/>
      </c>
      <c r="S2866" s="37" t="str">
        <f aca="false">IF($A2866="","",INT($A2866))</f>
        <v/>
      </c>
      <c r="T2866" s="35" t="str">
        <f aca="false">IF($A2866="","",IF(COUNTIFS($S$3:$S2866,$S2866)=1,1,0))</f>
        <v/>
      </c>
      <c r="U2866" s="37" t="str">
        <f aca="false">IF($T2866=1,$S2866,"")</f>
        <v/>
      </c>
    </row>
    <row r="2867" customFormat="false" ht="15" hidden="false" customHeight="false" outlineLevel="0" collapsed="false">
      <c r="M2867" s="35" t="str">
        <f aca="false">IF($A2867="","",HOUR($A2867))</f>
        <v/>
      </c>
      <c r="N2867" s="36" t="str">
        <f aca="false">IF($A2867="","",$I2867*$K2867)</f>
        <v/>
      </c>
      <c r="O2867" s="35" t="str">
        <f aca="false">IF(OR($A2867="",$C2867="U",$S2867&lt;&gt;Calc!$F$2),"",SUMIFS($I$3:$I$3002,$E$3:$E$3002,$E2867,$C$3:$C$3002,"&lt;&gt;U",$S$3:$S$3002,Calc!$F$2))</f>
        <v/>
      </c>
      <c r="P2867" s="35" t="str">
        <f aca="false">IF(OR($A2867="",$C2867="U",$S2867&lt;&gt;Calc!$F$2),"",SUMIFS($N$3:$N$3002,$E$3:$E$3002,$E2867,$C$3:$C$3002,"&lt;&gt;U",$S$3:$S$3002,Calc!$F$2))</f>
        <v/>
      </c>
      <c r="Q2867" s="35" t="str">
        <f aca="false">IF(OR($A2867="",$C2867="U",$S2867&lt;&gt;Calc!$F$2),"",IF(COUNTIFS($E$3:$E2867,$E2867,$C$3:$C2867,"&lt;&gt;U",$S$3:$S2867,Calc!$F$2)=1,1,0))</f>
        <v/>
      </c>
      <c r="R2867" s="35" t="str">
        <f aca="false">IF($Q2867=1,$O2867-ROW()/100000,"")</f>
        <v/>
      </c>
      <c r="S2867" s="37" t="str">
        <f aca="false">IF($A2867="","",INT($A2867))</f>
        <v/>
      </c>
      <c r="T2867" s="35" t="str">
        <f aca="false">IF($A2867="","",IF(COUNTIFS($S$3:$S2867,$S2867)=1,1,0))</f>
        <v/>
      </c>
      <c r="U2867" s="37" t="str">
        <f aca="false">IF($T2867=1,$S2867,"")</f>
        <v/>
      </c>
    </row>
    <row r="2868" customFormat="false" ht="15" hidden="false" customHeight="false" outlineLevel="0" collapsed="false">
      <c r="M2868" s="35" t="str">
        <f aca="false">IF($A2868="","",HOUR($A2868))</f>
        <v/>
      </c>
      <c r="N2868" s="36" t="str">
        <f aca="false">IF($A2868="","",$I2868*$K2868)</f>
        <v/>
      </c>
      <c r="O2868" s="35" t="str">
        <f aca="false">IF(OR($A2868="",$C2868="U",$S2868&lt;&gt;Calc!$F$2),"",SUMIFS($I$3:$I$3002,$E$3:$E$3002,$E2868,$C$3:$C$3002,"&lt;&gt;U",$S$3:$S$3002,Calc!$F$2))</f>
        <v/>
      </c>
      <c r="P2868" s="35" t="str">
        <f aca="false">IF(OR($A2868="",$C2868="U",$S2868&lt;&gt;Calc!$F$2),"",SUMIFS($N$3:$N$3002,$E$3:$E$3002,$E2868,$C$3:$C$3002,"&lt;&gt;U",$S$3:$S$3002,Calc!$F$2))</f>
        <v/>
      </c>
      <c r="Q2868" s="35" t="str">
        <f aca="false">IF(OR($A2868="",$C2868="U",$S2868&lt;&gt;Calc!$F$2),"",IF(COUNTIFS($E$3:$E2868,$E2868,$C$3:$C2868,"&lt;&gt;U",$S$3:$S2868,Calc!$F$2)=1,1,0))</f>
        <v/>
      </c>
      <c r="R2868" s="35" t="str">
        <f aca="false">IF($Q2868=1,$O2868-ROW()/100000,"")</f>
        <v/>
      </c>
      <c r="S2868" s="37" t="str">
        <f aca="false">IF($A2868="","",INT($A2868))</f>
        <v/>
      </c>
      <c r="T2868" s="35" t="str">
        <f aca="false">IF($A2868="","",IF(COUNTIFS($S$3:$S2868,$S2868)=1,1,0))</f>
        <v/>
      </c>
      <c r="U2868" s="37" t="str">
        <f aca="false">IF($T2868=1,$S2868,"")</f>
        <v/>
      </c>
    </row>
    <row r="2869" customFormat="false" ht="15" hidden="false" customHeight="false" outlineLevel="0" collapsed="false">
      <c r="M2869" s="35" t="str">
        <f aca="false">IF($A2869="","",HOUR($A2869))</f>
        <v/>
      </c>
      <c r="N2869" s="36" t="str">
        <f aca="false">IF($A2869="","",$I2869*$K2869)</f>
        <v/>
      </c>
      <c r="O2869" s="35" t="str">
        <f aca="false">IF(OR($A2869="",$C2869="U",$S2869&lt;&gt;Calc!$F$2),"",SUMIFS($I$3:$I$3002,$E$3:$E$3002,$E2869,$C$3:$C$3002,"&lt;&gt;U",$S$3:$S$3002,Calc!$F$2))</f>
        <v/>
      </c>
      <c r="P2869" s="35" t="str">
        <f aca="false">IF(OR($A2869="",$C2869="U",$S2869&lt;&gt;Calc!$F$2),"",SUMIFS($N$3:$N$3002,$E$3:$E$3002,$E2869,$C$3:$C$3002,"&lt;&gt;U",$S$3:$S$3002,Calc!$F$2))</f>
        <v/>
      </c>
      <c r="Q2869" s="35" t="str">
        <f aca="false">IF(OR($A2869="",$C2869="U",$S2869&lt;&gt;Calc!$F$2),"",IF(COUNTIFS($E$3:$E2869,$E2869,$C$3:$C2869,"&lt;&gt;U",$S$3:$S2869,Calc!$F$2)=1,1,0))</f>
        <v/>
      </c>
      <c r="R2869" s="35" t="str">
        <f aca="false">IF($Q2869=1,$O2869-ROW()/100000,"")</f>
        <v/>
      </c>
      <c r="S2869" s="37" t="str">
        <f aca="false">IF($A2869="","",INT($A2869))</f>
        <v/>
      </c>
      <c r="T2869" s="35" t="str">
        <f aca="false">IF($A2869="","",IF(COUNTIFS($S$3:$S2869,$S2869)=1,1,0))</f>
        <v/>
      </c>
      <c r="U2869" s="37" t="str">
        <f aca="false">IF($T2869=1,$S2869,"")</f>
        <v/>
      </c>
    </row>
    <row r="2870" customFormat="false" ht="15" hidden="false" customHeight="false" outlineLevel="0" collapsed="false">
      <c r="M2870" s="35" t="str">
        <f aca="false">IF($A2870="","",HOUR($A2870))</f>
        <v/>
      </c>
      <c r="N2870" s="36" t="str">
        <f aca="false">IF($A2870="","",$I2870*$K2870)</f>
        <v/>
      </c>
      <c r="O2870" s="35" t="str">
        <f aca="false">IF(OR($A2870="",$C2870="U",$S2870&lt;&gt;Calc!$F$2),"",SUMIFS($I$3:$I$3002,$E$3:$E$3002,$E2870,$C$3:$C$3002,"&lt;&gt;U",$S$3:$S$3002,Calc!$F$2))</f>
        <v/>
      </c>
      <c r="P2870" s="35" t="str">
        <f aca="false">IF(OR($A2870="",$C2870="U",$S2870&lt;&gt;Calc!$F$2),"",SUMIFS($N$3:$N$3002,$E$3:$E$3002,$E2870,$C$3:$C$3002,"&lt;&gt;U",$S$3:$S$3002,Calc!$F$2))</f>
        <v/>
      </c>
      <c r="Q2870" s="35" t="str">
        <f aca="false">IF(OR($A2870="",$C2870="U",$S2870&lt;&gt;Calc!$F$2),"",IF(COUNTIFS($E$3:$E2870,$E2870,$C$3:$C2870,"&lt;&gt;U",$S$3:$S2870,Calc!$F$2)=1,1,0))</f>
        <v/>
      </c>
      <c r="R2870" s="35" t="str">
        <f aca="false">IF($Q2870=1,$O2870-ROW()/100000,"")</f>
        <v/>
      </c>
      <c r="S2870" s="37" t="str">
        <f aca="false">IF($A2870="","",INT($A2870))</f>
        <v/>
      </c>
      <c r="T2870" s="35" t="str">
        <f aca="false">IF($A2870="","",IF(COUNTIFS($S$3:$S2870,$S2870)=1,1,0))</f>
        <v/>
      </c>
      <c r="U2870" s="37" t="str">
        <f aca="false">IF($T2870=1,$S2870,"")</f>
        <v/>
      </c>
    </row>
    <row r="2871" customFormat="false" ht="15" hidden="false" customHeight="false" outlineLevel="0" collapsed="false">
      <c r="M2871" s="35" t="str">
        <f aca="false">IF($A2871="","",HOUR($A2871))</f>
        <v/>
      </c>
      <c r="N2871" s="36" t="str">
        <f aca="false">IF($A2871="","",$I2871*$K2871)</f>
        <v/>
      </c>
      <c r="O2871" s="35" t="str">
        <f aca="false">IF(OR($A2871="",$C2871="U",$S2871&lt;&gt;Calc!$F$2),"",SUMIFS($I$3:$I$3002,$E$3:$E$3002,$E2871,$C$3:$C$3002,"&lt;&gt;U",$S$3:$S$3002,Calc!$F$2))</f>
        <v/>
      </c>
      <c r="P2871" s="35" t="str">
        <f aca="false">IF(OR($A2871="",$C2871="U",$S2871&lt;&gt;Calc!$F$2),"",SUMIFS($N$3:$N$3002,$E$3:$E$3002,$E2871,$C$3:$C$3002,"&lt;&gt;U",$S$3:$S$3002,Calc!$F$2))</f>
        <v/>
      </c>
      <c r="Q2871" s="35" t="str">
        <f aca="false">IF(OR($A2871="",$C2871="U",$S2871&lt;&gt;Calc!$F$2),"",IF(COUNTIFS($E$3:$E2871,$E2871,$C$3:$C2871,"&lt;&gt;U",$S$3:$S2871,Calc!$F$2)=1,1,0))</f>
        <v/>
      </c>
      <c r="R2871" s="35" t="str">
        <f aca="false">IF($Q2871=1,$O2871-ROW()/100000,"")</f>
        <v/>
      </c>
      <c r="S2871" s="37" t="str">
        <f aca="false">IF($A2871="","",INT($A2871))</f>
        <v/>
      </c>
      <c r="T2871" s="35" t="str">
        <f aca="false">IF($A2871="","",IF(COUNTIFS($S$3:$S2871,$S2871)=1,1,0))</f>
        <v/>
      </c>
      <c r="U2871" s="37" t="str">
        <f aca="false">IF($T2871=1,$S2871,"")</f>
        <v/>
      </c>
    </row>
    <row r="2872" customFormat="false" ht="15" hidden="false" customHeight="false" outlineLevel="0" collapsed="false">
      <c r="M2872" s="35" t="str">
        <f aca="false">IF($A2872="","",HOUR($A2872))</f>
        <v/>
      </c>
      <c r="N2872" s="36" t="str">
        <f aca="false">IF($A2872="","",$I2872*$K2872)</f>
        <v/>
      </c>
      <c r="O2872" s="35" t="str">
        <f aca="false">IF(OR($A2872="",$C2872="U",$S2872&lt;&gt;Calc!$F$2),"",SUMIFS($I$3:$I$3002,$E$3:$E$3002,$E2872,$C$3:$C$3002,"&lt;&gt;U",$S$3:$S$3002,Calc!$F$2))</f>
        <v/>
      </c>
      <c r="P2872" s="35" t="str">
        <f aca="false">IF(OR($A2872="",$C2872="U",$S2872&lt;&gt;Calc!$F$2),"",SUMIFS($N$3:$N$3002,$E$3:$E$3002,$E2872,$C$3:$C$3002,"&lt;&gt;U",$S$3:$S$3002,Calc!$F$2))</f>
        <v/>
      </c>
      <c r="Q2872" s="35" t="str">
        <f aca="false">IF(OR($A2872="",$C2872="U",$S2872&lt;&gt;Calc!$F$2),"",IF(COUNTIFS($E$3:$E2872,$E2872,$C$3:$C2872,"&lt;&gt;U",$S$3:$S2872,Calc!$F$2)=1,1,0))</f>
        <v/>
      </c>
      <c r="R2872" s="35" t="str">
        <f aca="false">IF($Q2872=1,$O2872-ROW()/100000,"")</f>
        <v/>
      </c>
      <c r="S2872" s="37" t="str">
        <f aca="false">IF($A2872="","",INT($A2872))</f>
        <v/>
      </c>
      <c r="T2872" s="35" t="str">
        <f aca="false">IF($A2872="","",IF(COUNTIFS($S$3:$S2872,$S2872)=1,1,0))</f>
        <v/>
      </c>
      <c r="U2872" s="37" t="str">
        <f aca="false">IF($T2872=1,$S2872,"")</f>
        <v/>
      </c>
    </row>
    <row r="2873" customFormat="false" ht="15" hidden="false" customHeight="false" outlineLevel="0" collapsed="false">
      <c r="M2873" s="35" t="str">
        <f aca="false">IF($A2873="","",HOUR($A2873))</f>
        <v/>
      </c>
      <c r="N2873" s="36" t="str">
        <f aca="false">IF($A2873="","",$I2873*$K2873)</f>
        <v/>
      </c>
      <c r="O2873" s="35" t="str">
        <f aca="false">IF(OR($A2873="",$C2873="U",$S2873&lt;&gt;Calc!$F$2),"",SUMIFS($I$3:$I$3002,$E$3:$E$3002,$E2873,$C$3:$C$3002,"&lt;&gt;U",$S$3:$S$3002,Calc!$F$2))</f>
        <v/>
      </c>
      <c r="P2873" s="35" t="str">
        <f aca="false">IF(OR($A2873="",$C2873="U",$S2873&lt;&gt;Calc!$F$2),"",SUMIFS($N$3:$N$3002,$E$3:$E$3002,$E2873,$C$3:$C$3002,"&lt;&gt;U",$S$3:$S$3002,Calc!$F$2))</f>
        <v/>
      </c>
      <c r="Q2873" s="35" t="str">
        <f aca="false">IF(OR($A2873="",$C2873="U",$S2873&lt;&gt;Calc!$F$2),"",IF(COUNTIFS($E$3:$E2873,$E2873,$C$3:$C2873,"&lt;&gt;U",$S$3:$S2873,Calc!$F$2)=1,1,0))</f>
        <v/>
      </c>
      <c r="R2873" s="35" t="str">
        <f aca="false">IF($Q2873=1,$O2873-ROW()/100000,"")</f>
        <v/>
      </c>
      <c r="S2873" s="37" t="str">
        <f aca="false">IF($A2873="","",INT($A2873))</f>
        <v/>
      </c>
      <c r="T2873" s="35" t="str">
        <f aca="false">IF($A2873="","",IF(COUNTIFS($S$3:$S2873,$S2873)=1,1,0))</f>
        <v/>
      </c>
      <c r="U2873" s="37" t="str">
        <f aca="false">IF($T2873=1,$S2873,"")</f>
        <v/>
      </c>
    </row>
    <row r="2874" customFormat="false" ht="15" hidden="false" customHeight="false" outlineLevel="0" collapsed="false">
      <c r="M2874" s="35" t="str">
        <f aca="false">IF($A2874="","",HOUR($A2874))</f>
        <v/>
      </c>
      <c r="N2874" s="36" t="str">
        <f aca="false">IF($A2874="","",$I2874*$K2874)</f>
        <v/>
      </c>
      <c r="O2874" s="35" t="str">
        <f aca="false">IF(OR($A2874="",$C2874="U",$S2874&lt;&gt;Calc!$F$2),"",SUMIFS($I$3:$I$3002,$E$3:$E$3002,$E2874,$C$3:$C$3002,"&lt;&gt;U",$S$3:$S$3002,Calc!$F$2))</f>
        <v/>
      </c>
      <c r="P2874" s="35" t="str">
        <f aca="false">IF(OR($A2874="",$C2874="U",$S2874&lt;&gt;Calc!$F$2),"",SUMIFS($N$3:$N$3002,$E$3:$E$3002,$E2874,$C$3:$C$3002,"&lt;&gt;U",$S$3:$S$3002,Calc!$F$2))</f>
        <v/>
      </c>
      <c r="Q2874" s="35" t="str">
        <f aca="false">IF(OR($A2874="",$C2874="U",$S2874&lt;&gt;Calc!$F$2),"",IF(COUNTIFS($E$3:$E2874,$E2874,$C$3:$C2874,"&lt;&gt;U",$S$3:$S2874,Calc!$F$2)=1,1,0))</f>
        <v/>
      </c>
      <c r="R2874" s="35" t="str">
        <f aca="false">IF($Q2874=1,$O2874-ROW()/100000,"")</f>
        <v/>
      </c>
      <c r="S2874" s="37" t="str">
        <f aca="false">IF($A2874="","",INT($A2874))</f>
        <v/>
      </c>
      <c r="T2874" s="35" t="str">
        <f aca="false">IF($A2874="","",IF(COUNTIFS($S$3:$S2874,$S2874)=1,1,0))</f>
        <v/>
      </c>
      <c r="U2874" s="37" t="str">
        <f aca="false">IF($T2874=1,$S2874,"")</f>
        <v/>
      </c>
    </row>
    <row r="2875" customFormat="false" ht="15" hidden="false" customHeight="false" outlineLevel="0" collapsed="false">
      <c r="M2875" s="35" t="str">
        <f aca="false">IF($A2875="","",HOUR($A2875))</f>
        <v/>
      </c>
      <c r="N2875" s="36" t="str">
        <f aca="false">IF($A2875="","",$I2875*$K2875)</f>
        <v/>
      </c>
      <c r="O2875" s="35" t="str">
        <f aca="false">IF(OR($A2875="",$C2875="U",$S2875&lt;&gt;Calc!$F$2),"",SUMIFS($I$3:$I$3002,$E$3:$E$3002,$E2875,$C$3:$C$3002,"&lt;&gt;U",$S$3:$S$3002,Calc!$F$2))</f>
        <v/>
      </c>
      <c r="P2875" s="35" t="str">
        <f aca="false">IF(OR($A2875="",$C2875="U",$S2875&lt;&gt;Calc!$F$2),"",SUMIFS($N$3:$N$3002,$E$3:$E$3002,$E2875,$C$3:$C$3002,"&lt;&gt;U",$S$3:$S$3002,Calc!$F$2))</f>
        <v/>
      </c>
      <c r="Q2875" s="35" t="str">
        <f aca="false">IF(OR($A2875="",$C2875="U",$S2875&lt;&gt;Calc!$F$2),"",IF(COUNTIFS($E$3:$E2875,$E2875,$C$3:$C2875,"&lt;&gt;U",$S$3:$S2875,Calc!$F$2)=1,1,0))</f>
        <v/>
      </c>
      <c r="R2875" s="35" t="str">
        <f aca="false">IF($Q2875=1,$O2875-ROW()/100000,"")</f>
        <v/>
      </c>
      <c r="S2875" s="37" t="str">
        <f aca="false">IF($A2875="","",INT($A2875))</f>
        <v/>
      </c>
      <c r="T2875" s="35" t="str">
        <f aca="false">IF($A2875="","",IF(COUNTIFS($S$3:$S2875,$S2875)=1,1,0))</f>
        <v/>
      </c>
      <c r="U2875" s="37" t="str">
        <f aca="false">IF($T2875=1,$S2875,"")</f>
        <v/>
      </c>
    </row>
    <row r="2876" customFormat="false" ht="15" hidden="false" customHeight="false" outlineLevel="0" collapsed="false">
      <c r="M2876" s="35" t="str">
        <f aca="false">IF($A2876="","",HOUR($A2876))</f>
        <v/>
      </c>
      <c r="N2876" s="36" t="str">
        <f aca="false">IF($A2876="","",$I2876*$K2876)</f>
        <v/>
      </c>
      <c r="O2876" s="35" t="str">
        <f aca="false">IF(OR($A2876="",$C2876="U",$S2876&lt;&gt;Calc!$F$2),"",SUMIFS($I$3:$I$3002,$E$3:$E$3002,$E2876,$C$3:$C$3002,"&lt;&gt;U",$S$3:$S$3002,Calc!$F$2))</f>
        <v/>
      </c>
      <c r="P2876" s="35" t="str">
        <f aca="false">IF(OR($A2876="",$C2876="U",$S2876&lt;&gt;Calc!$F$2),"",SUMIFS($N$3:$N$3002,$E$3:$E$3002,$E2876,$C$3:$C$3002,"&lt;&gt;U",$S$3:$S$3002,Calc!$F$2))</f>
        <v/>
      </c>
      <c r="Q2876" s="35" t="str">
        <f aca="false">IF(OR($A2876="",$C2876="U",$S2876&lt;&gt;Calc!$F$2),"",IF(COUNTIFS($E$3:$E2876,$E2876,$C$3:$C2876,"&lt;&gt;U",$S$3:$S2876,Calc!$F$2)=1,1,0))</f>
        <v/>
      </c>
      <c r="R2876" s="35" t="str">
        <f aca="false">IF($Q2876=1,$O2876-ROW()/100000,"")</f>
        <v/>
      </c>
      <c r="S2876" s="37" t="str">
        <f aca="false">IF($A2876="","",INT($A2876))</f>
        <v/>
      </c>
      <c r="T2876" s="35" t="str">
        <f aca="false">IF($A2876="","",IF(COUNTIFS($S$3:$S2876,$S2876)=1,1,0))</f>
        <v/>
      </c>
      <c r="U2876" s="37" t="str">
        <f aca="false">IF($T2876=1,$S2876,"")</f>
        <v/>
      </c>
    </row>
    <row r="2877" customFormat="false" ht="15" hidden="false" customHeight="false" outlineLevel="0" collapsed="false">
      <c r="M2877" s="35" t="str">
        <f aca="false">IF($A2877="","",HOUR($A2877))</f>
        <v/>
      </c>
      <c r="N2877" s="36" t="str">
        <f aca="false">IF($A2877="","",$I2877*$K2877)</f>
        <v/>
      </c>
      <c r="O2877" s="35" t="str">
        <f aca="false">IF(OR($A2877="",$C2877="U",$S2877&lt;&gt;Calc!$F$2),"",SUMIFS($I$3:$I$3002,$E$3:$E$3002,$E2877,$C$3:$C$3002,"&lt;&gt;U",$S$3:$S$3002,Calc!$F$2))</f>
        <v/>
      </c>
      <c r="P2877" s="35" t="str">
        <f aca="false">IF(OR($A2877="",$C2877="U",$S2877&lt;&gt;Calc!$F$2),"",SUMIFS($N$3:$N$3002,$E$3:$E$3002,$E2877,$C$3:$C$3002,"&lt;&gt;U",$S$3:$S$3002,Calc!$F$2))</f>
        <v/>
      </c>
      <c r="Q2877" s="35" t="str">
        <f aca="false">IF(OR($A2877="",$C2877="U",$S2877&lt;&gt;Calc!$F$2),"",IF(COUNTIFS($E$3:$E2877,$E2877,$C$3:$C2877,"&lt;&gt;U",$S$3:$S2877,Calc!$F$2)=1,1,0))</f>
        <v/>
      </c>
      <c r="R2877" s="35" t="str">
        <f aca="false">IF($Q2877=1,$O2877-ROW()/100000,"")</f>
        <v/>
      </c>
      <c r="S2877" s="37" t="str">
        <f aca="false">IF($A2877="","",INT($A2877))</f>
        <v/>
      </c>
      <c r="T2877" s="35" t="str">
        <f aca="false">IF($A2877="","",IF(COUNTIFS($S$3:$S2877,$S2877)=1,1,0))</f>
        <v/>
      </c>
      <c r="U2877" s="37" t="str">
        <f aca="false">IF($T2877=1,$S2877,"")</f>
        <v/>
      </c>
    </row>
    <row r="2878" customFormat="false" ht="15" hidden="false" customHeight="false" outlineLevel="0" collapsed="false">
      <c r="M2878" s="35" t="str">
        <f aca="false">IF($A2878="","",HOUR($A2878))</f>
        <v/>
      </c>
      <c r="N2878" s="36" t="str">
        <f aca="false">IF($A2878="","",$I2878*$K2878)</f>
        <v/>
      </c>
      <c r="O2878" s="35" t="str">
        <f aca="false">IF(OR($A2878="",$C2878="U",$S2878&lt;&gt;Calc!$F$2),"",SUMIFS($I$3:$I$3002,$E$3:$E$3002,$E2878,$C$3:$C$3002,"&lt;&gt;U",$S$3:$S$3002,Calc!$F$2))</f>
        <v/>
      </c>
      <c r="P2878" s="35" t="str">
        <f aca="false">IF(OR($A2878="",$C2878="U",$S2878&lt;&gt;Calc!$F$2),"",SUMIFS($N$3:$N$3002,$E$3:$E$3002,$E2878,$C$3:$C$3002,"&lt;&gt;U",$S$3:$S$3002,Calc!$F$2))</f>
        <v/>
      </c>
      <c r="Q2878" s="35" t="str">
        <f aca="false">IF(OR($A2878="",$C2878="U",$S2878&lt;&gt;Calc!$F$2),"",IF(COUNTIFS($E$3:$E2878,$E2878,$C$3:$C2878,"&lt;&gt;U",$S$3:$S2878,Calc!$F$2)=1,1,0))</f>
        <v/>
      </c>
      <c r="R2878" s="35" t="str">
        <f aca="false">IF($Q2878=1,$O2878-ROW()/100000,"")</f>
        <v/>
      </c>
      <c r="S2878" s="37" t="str">
        <f aca="false">IF($A2878="","",INT($A2878))</f>
        <v/>
      </c>
      <c r="T2878" s="35" t="str">
        <f aca="false">IF($A2878="","",IF(COUNTIFS($S$3:$S2878,$S2878)=1,1,0))</f>
        <v/>
      </c>
      <c r="U2878" s="37" t="str">
        <f aca="false">IF($T2878=1,$S2878,"")</f>
        <v/>
      </c>
    </row>
    <row r="2879" customFormat="false" ht="15" hidden="false" customHeight="false" outlineLevel="0" collapsed="false">
      <c r="M2879" s="35" t="str">
        <f aca="false">IF($A2879="","",HOUR($A2879))</f>
        <v/>
      </c>
      <c r="N2879" s="36" t="str">
        <f aca="false">IF($A2879="","",$I2879*$K2879)</f>
        <v/>
      </c>
      <c r="O2879" s="35" t="str">
        <f aca="false">IF(OR($A2879="",$C2879="U",$S2879&lt;&gt;Calc!$F$2),"",SUMIFS($I$3:$I$3002,$E$3:$E$3002,$E2879,$C$3:$C$3002,"&lt;&gt;U",$S$3:$S$3002,Calc!$F$2))</f>
        <v/>
      </c>
      <c r="P2879" s="35" t="str">
        <f aca="false">IF(OR($A2879="",$C2879="U",$S2879&lt;&gt;Calc!$F$2),"",SUMIFS($N$3:$N$3002,$E$3:$E$3002,$E2879,$C$3:$C$3002,"&lt;&gt;U",$S$3:$S$3002,Calc!$F$2))</f>
        <v/>
      </c>
      <c r="Q2879" s="35" t="str">
        <f aca="false">IF(OR($A2879="",$C2879="U",$S2879&lt;&gt;Calc!$F$2),"",IF(COUNTIFS($E$3:$E2879,$E2879,$C$3:$C2879,"&lt;&gt;U",$S$3:$S2879,Calc!$F$2)=1,1,0))</f>
        <v/>
      </c>
      <c r="R2879" s="35" t="str">
        <f aca="false">IF($Q2879=1,$O2879-ROW()/100000,"")</f>
        <v/>
      </c>
      <c r="S2879" s="37" t="str">
        <f aca="false">IF($A2879="","",INT($A2879))</f>
        <v/>
      </c>
      <c r="T2879" s="35" t="str">
        <f aca="false">IF($A2879="","",IF(COUNTIFS($S$3:$S2879,$S2879)=1,1,0))</f>
        <v/>
      </c>
      <c r="U2879" s="37" t="str">
        <f aca="false">IF($T2879=1,$S2879,"")</f>
        <v/>
      </c>
    </row>
    <row r="2880" customFormat="false" ht="15" hidden="false" customHeight="false" outlineLevel="0" collapsed="false">
      <c r="M2880" s="35" t="str">
        <f aca="false">IF($A2880="","",HOUR($A2880))</f>
        <v/>
      </c>
      <c r="N2880" s="36" t="str">
        <f aca="false">IF($A2880="","",$I2880*$K2880)</f>
        <v/>
      </c>
      <c r="O2880" s="35" t="str">
        <f aca="false">IF(OR($A2880="",$C2880="U",$S2880&lt;&gt;Calc!$F$2),"",SUMIFS($I$3:$I$3002,$E$3:$E$3002,$E2880,$C$3:$C$3002,"&lt;&gt;U",$S$3:$S$3002,Calc!$F$2))</f>
        <v/>
      </c>
      <c r="P2880" s="35" t="str">
        <f aca="false">IF(OR($A2880="",$C2880="U",$S2880&lt;&gt;Calc!$F$2),"",SUMIFS($N$3:$N$3002,$E$3:$E$3002,$E2880,$C$3:$C$3002,"&lt;&gt;U",$S$3:$S$3002,Calc!$F$2))</f>
        <v/>
      </c>
      <c r="Q2880" s="35" t="str">
        <f aca="false">IF(OR($A2880="",$C2880="U",$S2880&lt;&gt;Calc!$F$2),"",IF(COUNTIFS($E$3:$E2880,$E2880,$C$3:$C2880,"&lt;&gt;U",$S$3:$S2880,Calc!$F$2)=1,1,0))</f>
        <v/>
      </c>
      <c r="R2880" s="35" t="str">
        <f aca="false">IF($Q2880=1,$O2880-ROW()/100000,"")</f>
        <v/>
      </c>
      <c r="S2880" s="37" t="str">
        <f aca="false">IF($A2880="","",INT($A2880))</f>
        <v/>
      </c>
      <c r="T2880" s="35" t="str">
        <f aca="false">IF($A2880="","",IF(COUNTIFS($S$3:$S2880,$S2880)=1,1,0))</f>
        <v/>
      </c>
      <c r="U2880" s="37" t="str">
        <f aca="false">IF($T2880=1,$S2880,"")</f>
        <v/>
      </c>
    </row>
    <row r="2881" customFormat="false" ht="15" hidden="false" customHeight="false" outlineLevel="0" collapsed="false">
      <c r="M2881" s="35" t="str">
        <f aca="false">IF($A2881="","",HOUR($A2881))</f>
        <v/>
      </c>
      <c r="N2881" s="36" t="str">
        <f aca="false">IF($A2881="","",$I2881*$K2881)</f>
        <v/>
      </c>
      <c r="O2881" s="35" t="str">
        <f aca="false">IF(OR($A2881="",$C2881="U",$S2881&lt;&gt;Calc!$F$2),"",SUMIFS($I$3:$I$3002,$E$3:$E$3002,$E2881,$C$3:$C$3002,"&lt;&gt;U",$S$3:$S$3002,Calc!$F$2))</f>
        <v/>
      </c>
      <c r="P2881" s="35" t="str">
        <f aca="false">IF(OR($A2881="",$C2881="U",$S2881&lt;&gt;Calc!$F$2),"",SUMIFS($N$3:$N$3002,$E$3:$E$3002,$E2881,$C$3:$C$3002,"&lt;&gt;U",$S$3:$S$3002,Calc!$F$2))</f>
        <v/>
      </c>
      <c r="Q2881" s="35" t="str">
        <f aca="false">IF(OR($A2881="",$C2881="U",$S2881&lt;&gt;Calc!$F$2),"",IF(COUNTIFS($E$3:$E2881,$E2881,$C$3:$C2881,"&lt;&gt;U",$S$3:$S2881,Calc!$F$2)=1,1,0))</f>
        <v/>
      </c>
      <c r="R2881" s="35" t="str">
        <f aca="false">IF($Q2881=1,$O2881-ROW()/100000,"")</f>
        <v/>
      </c>
      <c r="S2881" s="37" t="str">
        <f aca="false">IF($A2881="","",INT($A2881))</f>
        <v/>
      </c>
      <c r="T2881" s="35" t="str">
        <f aca="false">IF($A2881="","",IF(COUNTIFS($S$3:$S2881,$S2881)=1,1,0))</f>
        <v/>
      </c>
      <c r="U2881" s="37" t="str">
        <f aca="false">IF($T2881=1,$S2881,"")</f>
        <v/>
      </c>
    </row>
    <row r="2882" customFormat="false" ht="15" hidden="false" customHeight="false" outlineLevel="0" collapsed="false">
      <c r="M2882" s="35" t="str">
        <f aca="false">IF($A2882="","",HOUR($A2882))</f>
        <v/>
      </c>
      <c r="N2882" s="36" t="str">
        <f aca="false">IF($A2882="","",$I2882*$K2882)</f>
        <v/>
      </c>
      <c r="O2882" s="35" t="str">
        <f aca="false">IF(OR($A2882="",$C2882="U",$S2882&lt;&gt;Calc!$F$2),"",SUMIFS($I$3:$I$3002,$E$3:$E$3002,$E2882,$C$3:$C$3002,"&lt;&gt;U",$S$3:$S$3002,Calc!$F$2))</f>
        <v/>
      </c>
      <c r="P2882" s="35" t="str">
        <f aca="false">IF(OR($A2882="",$C2882="U",$S2882&lt;&gt;Calc!$F$2),"",SUMIFS($N$3:$N$3002,$E$3:$E$3002,$E2882,$C$3:$C$3002,"&lt;&gt;U",$S$3:$S$3002,Calc!$F$2))</f>
        <v/>
      </c>
      <c r="Q2882" s="35" t="str">
        <f aca="false">IF(OR($A2882="",$C2882="U",$S2882&lt;&gt;Calc!$F$2),"",IF(COUNTIFS($E$3:$E2882,$E2882,$C$3:$C2882,"&lt;&gt;U",$S$3:$S2882,Calc!$F$2)=1,1,0))</f>
        <v/>
      </c>
      <c r="R2882" s="35" t="str">
        <f aca="false">IF($Q2882=1,$O2882-ROW()/100000,"")</f>
        <v/>
      </c>
      <c r="S2882" s="37" t="str">
        <f aca="false">IF($A2882="","",INT($A2882))</f>
        <v/>
      </c>
      <c r="T2882" s="35" t="str">
        <f aca="false">IF($A2882="","",IF(COUNTIFS($S$3:$S2882,$S2882)=1,1,0))</f>
        <v/>
      </c>
      <c r="U2882" s="37" t="str">
        <f aca="false">IF($T2882=1,$S2882,"")</f>
        <v/>
      </c>
    </row>
    <row r="2883" customFormat="false" ht="15" hidden="false" customHeight="false" outlineLevel="0" collapsed="false">
      <c r="M2883" s="35" t="str">
        <f aca="false">IF($A2883="","",HOUR($A2883))</f>
        <v/>
      </c>
      <c r="N2883" s="36" t="str">
        <f aca="false">IF($A2883="","",$I2883*$K2883)</f>
        <v/>
      </c>
      <c r="O2883" s="35" t="str">
        <f aca="false">IF(OR($A2883="",$C2883="U",$S2883&lt;&gt;Calc!$F$2),"",SUMIFS($I$3:$I$3002,$E$3:$E$3002,$E2883,$C$3:$C$3002,"&lt;&gt;U",$S$3:$S$3002,Calc!$F$2))</f>
        <v/>
      </c>
      <c r="P2883" s="35" t="str">
        <f aca="false">IF(OR($A2883="",$C2883="U",$S2883&lt;&gt;Calc!$F$2),"",SUMIFS($N$3:$N$3002,$E$3:$E$3002,$E2883,$C$3:$C$3002,"&lt;&gt;U",$S$3:$S$3002,Calc!$F$2))</f>
        <v/>
      </c>
      <c r="Q2883" s="35" t="str">
        <f aca="false">IF(OR($A2883="",$C2883="U",$S2883&lt;&gt;Calc!$F$2),"",IF(COUNTIFS($E$3:$E2883,$E2883,$C$3:$C2883,"&lt;&gt;U",$S$3:$S2883,Calc!$F$2)=1,1,0))</f>
        <v/>
      </c>
      <c r="R2883" s="35" t="str">
        <f aca="false">IF($Q2883=1,$O2883-ROW()/100000,"")</f>
        <v/>
      </c>
      <c r="S2883" s="37" t="str">
        <f aca="false">IF($A2883="","",INT($A2883))</f>
        <v/>
      </c>
      <c r="T2883" s="35" t="str">
        <f aca="false">IF($A2883="","",IF(COUNTIFS($S$3:$S2883,$S2883)=1,1,0))</f>
        <v/>
      </c>
      <c r="U2883" s="37" t="str">
        <f aca="false">IF($T2883=1,$S2883,"")</f>
        <v/>
      </c>
    </row>
    <row r="2884" customFormat="false" ht="15" hidden="false" customHeight="false" outlineLevel="0" collapsed="false">
      <c r="M2884" s="35" t="str">
        <f aca="false">IF($A2884="","",HOUR($A2884))</f>
        <v/>
      </c>
      <c r="N2884" s="36" t="str">
        <f aca="false">IF($A2884="","",$I2884*$K2884)</f>
        <v/>
      </c>
      <c r="O2884" s="35" t="str">
        <f aca="false">IF(OR($A2884="",$C2884="U",$S2884&lt;&gt;Calc!$F$2),"",SUMIFS($I$3:$I$3002,$E$3:$E$3002,$E2884,$C$3:$C$3002,"&lt;&gt;U",$S$3:$S$3002,Calc!$F$2))</f>
        <v/>
      </c>
      <c r="P2884" s="35" t="str">
        <f aca="false">IF(OR($A2884="",$C2884="U",$S2884&lt;&gt;Calc!$F$2),"",SUMIFS($N$3:$N$3002,$E$3:$E$3002,$E2884,$C$3:$C$3002,"&lt;&gt;U",$S$3:$S$3002,Calc!$F$2))</f>
        <v/>
      </c>
      <c r="Q2884" s="35" t="str">
        <f aca="false">IF(OR($A2884="",$C2884="U",$S2884&lt;&gt;Calc!$F$2),"",IF(COUNTIFS($E$3:$E2884,$E2884,$C$3:$C2884,"&lt;&gt;U",$S$3:$S2884,Calc!$F$2)=1,1,0))</f>
        <v/>
      </c>
      <c r="R2884" s="35" t="str">
        <f aca="false">IF($Q2884=1,$O2884-ROW()/100000,"")</f>
        <v/>
      </c>
      <c r="S2884" s="37" t="str">
        <f aca="false">IF($A2884="","",INT($A2884))</f>
        <v/>
      </c>
      <c r="T2884" s="35" t="str">
        <f aca="false">IF($A2884="","",IF(COUNTIFS($S$3:$S2884,$S2884)=1,1,0))</f>
        <v/>
      </c>
      <c r="U2884" s="37" t="str">
        <f aca="false">IF($T2884=1,$S2884,"")</f>
        <v/>
      </c>
    </row>
    <row r="2885" customFormat="false" ht="15" hidden="false" customHeight="false" outlineLevel="0" collapsed="false">
      <c r="M2885" s="35" t="str">
        <f aca="false">IF($A2885="","",HOUR($A2885))</f>
        <v/>
      </c>
      <c r="N2885" s="36" t="str">
        <f aca="false">IF($A2885="","",$I2885*$K2885)</f>
        <v/>
      </c>
      <c r="O2885" s="35" t="str">
        <f aca="false">IF(OR($A2885="",$C2885="U",$S2885&lt;&gt;Calc!$F$2),"",SUMIFS($I$3:$I$3002,$E$3:$E$3002,$E2885,$C$3:$C$3002,"&lt;&gt;U",$S$3:$S$3002,Calc!$F$2))</f>
        <v/>
      </c>
      <c r="P2885" s="35" t="str">
        <f aca="false">IF(OR($A2885="",$C2885="U",$S2885&lt;&gt;Calc!$F$2),"",SUMIFS($N$3:$N$3002,$E$3:$E$3002,$E2885,$C$3:$C$3002,"&lt;&gt;U",$S$3:$S$3002,Calc!$F$2))</f>
        <v/>
      </c>
      <c r="Q2885" s="35" t="str">
        <f aca="false">IF(OR($A2885="",$C2885="U",$S2885&lt;&gt;Calc!$F$2),"",IF(COUNTIFS($E$3:$E2885,$E2885,$C$3:$C2885,"&lt;&gt;U",$S$3:$S2885,Calc!$F$2)=1,1,0))</f>
        <v/>
      </c>
      <c r="R2885" s="35" t="str">
        <f aca="false">IF($Q2885=1,$O2885-ROW()/100000,"")</f>
        <v/>
      </c>
      <c r="S2885" s="37" t="str">
        <f aca="false">IF($A2885="","",INT($A2885))</f>
        <v/>
      </c>
      <c r="T2885" s="35" t="str">
        <f aca="false">IF($A2885="","",IF(COUNTIFS($S$3:$S2885,$S2885)=1,1,0))</f>
        <v/>
      </c>
      <c r="U2885" s="37" t="str">
        <f aca="false">IF($T2885=1,$S2885,"")</f>
        <v/>
      </c>
    </row>
    <row r="2886" customFormat="false" ht="15" hidden="false" customHeight="false" outlineLevel="0" collapsed="false">
      <c r="M2886" s="35" t="str">
        <f aca="false">IF($A2886="","",HOUR($A2886))</f>
        <v/>
      </c>
      <c r="N2886" s="36" t="str">
        <f aca="false">IF($A2886="","",$I2886*$K2886)</f>
        <v/>
      </c>
      <c r="O2886" s="35" t="str">
        <f aca="false">IF(OR($A2886="",$C2886="U",$S2886&lt;&gt;Calc!$F$2),"",SUMIFS($I$3:$I$3002,$E$3:$E$3002,$E2886,$C$3:$C$3002,"&lt;&gt;U",$S$3:$S$3002,Calc!$F$2))</f>
        <v/>
      </c>
      <c r="P2886" s="35" t="str">
        <f aca="false">IF(OR($A2886="",$C2886="U",$S2886&lt;&gt;Calc!$F$2),"",SUMIFS($N$3:$N$3002,$E$3:$E$3002,$E2886,$C$3:$C$3002,"&lt;&gt;U",$S$3:$S$3002,Calc!$F$2))</f>
        <v/>
      </c>
      <c r="Q2886" s="35" t="str">
        <f aca="false">IF(OR($A2886="",$C2886="U",$S2886&lt;&gt;Calc!$F$2),"",IF(COUNTIFS($E$3:$E2886,$E2886,$C$3:$C2886,"&lt;&gt;U",$S$3:$S2886,Calc!$F$2)=1,1,0))</f>
        <v/>
      </c>
      <c r="R2886" s="35" t="str">
        <f aca="false">IF($Q2886=1,$O2886-ROW()/100000,"")</f>
        <v/>
      </c>
      <c r="S2886" s="37" t="str">
        <f aca="false">IF($A2886="","",INT($A2886))</f>
        <v/>
      </c>
      <c r="T2886" s="35" t="str">
        <f aca="false">IF($A2886="","",IF(COUNTIFS($S$3:$S2886,$S2886)=1,1,0))</f>
        <v/>
      </c>
      <c r="U2886" s="37" t="str">
        <f aca="false">IF($T2886=1,$S2886,"")</f>
        <v/>
      </c>
    </row>
    <row r="2887" customFormat="false" ht="15" hidden="false" customHeight="false" outlineLevel="0" collapsed="false">
      <c r="M2887" s="35" t="str">
        <f aca="false">IF($A2887="","",HOUR($A2887))</f>
        <v/>
      </c>
      <c r="N2887" s="36" t="str">
        <f aca="false">IF($A2887="","",$I2887*$K2887)</f>
        <v/>
      </c>
      <c r="O2887" s="35" t="str">
        <f aca="false">IF(OR($A2887="",$C2887="U",$S2887&lt;&gt;Calc!$F$2),"",SUMIFS($I$3:$I$3002,$E$3:$E$3002,$E2887,$C$3:$C$3002,"&lt;&gt;U",$S$3:$S$3002,Calc!$F$2))</f>
        <v/>
      </c>
      <c r="P2887" s="35" t="str">
        <f aca="false">IF(OR($A2887="",$C2887="U",$S2887&lt;&gt;Calc!$F$2),"",SUMIFS($N$3:$N$3002,$E$3:$E$3002,$E2887,$C$3:$C$3002,"&lt;&gt;U",$S$3:$S$3002,Calc!$F$2))</f>
        <v/>
      </c>
      <c r="Q2887" s="35" t="str">
        <f aca="false">IF(OR($A2887="",$C2887="U",$S2887&lt;&gt;Calc!$F$2),"",IF(COUNTIFS($E$3:$E2887,$E2887,$C$3:$C2887,"&lt;&gt;U",$S$3:$S2887,Calc!$F$2)=1,1,0))</f>
        <v/>
      </c>
      <c r="R2887" s="35" t="str">
        <f aca="false">IF($Q2887=1,$O2887-ROW()/100000,"")</f>
        <v/>
      </c>
      <c r="S2887" s="37" t="str">
        <f aca="false">IF($A2887="","",INT($A2887))</f>
        <v/>
      </c>
      <c r="T2887" s="35" t="str">
        <f aca="false">IF($A2887="","",IF(COUNTIFS($S$3:$S2887,$S2887)=1,1,0))</f>
        <v/>
      </c>
      <c r="U2887" s="37" t="str">
        <f aca="false">IF($T2887=1,$S2887,"")</f>
        <v/>
      </c>
    </row>
    <row r="2888" customFormat="false" ht="15" hidden="false" customHeight="false" outlineLevel="0" collapsed="false">
      <c r="M2888" s="35" t="str">
        <f aca="false">IF($A2888="","",HOUR($A2888))</f>
        <v/>
      </c>
      <c r="N2888" s="36" t="str">
        <f aca="false">IF($A2888="","",$I2888*$K2888)</f>
        <v/>
      </c>
      <c r="O2888" s="35" t="str">
        <f aca="false">IF(OR($A2888="",$C2888="U",$S2888&lt;&gt;Calc!$F$2),"",SUMIFS($I$3:$I$3002,$E$3:$E$3002,$E2888,$C$3:$C$3002,"&lt;&gt;U",$S$3:$S$3002,Calc!$F$2))</f>
        <v/>
      </c>
      <c r="P2888" s="35" t="str">
        <f aca="false">IF(OR($A2888="",$C2888="U",$S2888&lt;&gt;Calc!$F$2),"",SUMIFS($N$3:$N$3002,$E$3:$E$3002,$E2888,$C$3:$C$3002,"&lt;&gt;U",$S$3:$S$3002,Calc!$F$2))</f>
        <v/>
      </c>
      <c r="Q2888" s="35" t="str">
        <f aca="false">IF(OR($A2888="",$C2888="U",$S2888&lt;&gt;Calc!$F$2),"",IF(COUNTIFS($E$3:$E2888,$E2888,$C$3:$C2888,"&lt;&gt;U",$S$3:$S2888,Calc!$F$2)=1,1,0))</f>
        <v/>
      </c>
      <c r="R2888" s="35" t="str">
        <f aca="false">IF($Q2888=1,$O2888-ROW()/100000,"")</f>
        <v/>
      </c>
      <c r="S2888" s="37" t="str">
        <f aca="false">IF($A2888="","",INT($A2888))</f>
        <v/>
      </c>
      <c r="T2888" s="35" t="str">
        <f aca="false">IF($A2888="","",IF(COUNTIFS($S$3:$S2888,$S2888)=1,1,0))</f>
        <v/>
      </c>
      <c r="U2888" s="37" t="str">
        <f aca="false">IF($T2888=1,$S2888,"")</f>
        <v/>
      </c>
    </row>
    <row r="2889" customFormat="false" ht="15" hidden="false" customHeight="false" outlineLevel="0" collapsed="false">
      <c r="M2889" s="35" t="str">
        <f aca="false">IF($A2889="","",HOUR($A2889))</f>
        <v/>
      </c>
      <c r="N2889" s="36" t="str">
        <f aca="false">IF($A2889="","",$I2889*$K2889)</f>
        <v/>
      </c>
      <c r="O2889" s="35" t="str">
        <f aca="false">IF(OR($A2889="",$C2889="U",$S2889&lt;&gt;Calc!$F$2),"",SUMIFS($I$3:$I$3002,$E$3:$E$3002,$E2889,$C$3:$C$3002,"&lt;&gt;U",$S$3:$S$3002,Calc!$F$2))</f>
        <v/>
      </c>
      <c r="P2889" s="35" t="str">
        <f aca="false">IF(OR($A2889="",$C2889="U",$S2889&lt;&gt;Calc!$F$2),"",SUMIFS($N$3:$N$3002,$E$3:$E$3002,$E2889,$C$3:$C$3002,"&lt;&gt;U",$S$3:$S$3002,Calc!$F$2))</f>
        <v/>
      </c>
      <c r="Q2889" s="35" t="str">
        <f aca="false">IF(OR($A2889="",$C2889="U",$S2889&lt;&gt;Calc!$F$2),"",IF(COUNTIFS($E$3:$E2889,$E2889,$C$3:$C2889,"&lt;&gt;U",$S$3:$S2889,Calc!$F$2)=1,1,0))</f>
        <v/>
      </c>
      <c r="R2889" s="35" t="str">
        <f aca="false">IF($Q2889=1,$O2889-ROW()/100000,"")</f>
        <v/>
      </c>
      <c r="S2889" s="37" t="str">
        <f aca="false">IF($A2889="","",INT($A2889))</f>
        <v/>
      </c>
      <c r="T2889" s="35" t="str">
        <f aca="false">IF($A2889="","",IF(COUNTIFS($S$3:$S2889,$S2889)=1,1,0))</f>
        <v/>
      </c>
      <c r="U2889" s="37" t="str">
        <f aca="false">IF($T2889=1,$S2889,"")</f>
        <v/>
      </c>
    </row>
    <row r="2890" customFormat="false" ht="15" hidden="false" customHeight="false" outlineLevel="0" collapsed="false">
      <c r="M2890" s="35" t="str">
        <f aca="false">IF($A2890="","",HOUR($A2890))</f>
        <v/>
      </c>
      <c r="N2890" s="36" t="str">
        <f aca="false">IF($A2890="","",$I2890*$K2890)</f>
        <v/>
      </c>
      <c r="O2890" s="35" t="str">
        <f aca="false">IF(OR($A2890="",$C2890="U",$S2890&lt;&gt;Calc!$F$2),"",SUMIFS($I$3:$I$3002,$E$3:$E$3002,$E2890,$C$3:$C$3002,"&lt;&gt;U",$S$3:$S$3002,Calc!$F$2))</f>
        <v/>
      </c>
      <c r="P2890" s="35" t="str">
        <f aca="false">IF(OR($A2890="",$C2890="U",$S2890&lt;&gt;Calc!$F$2),"",SUMIFS($N$3:$N$3002,$E$3:$E$3002,$E2890,$C$3:$C$3002,"&lt;&gt;U",$S$3:$S$3002,Calc!$F$2))</f>
        <v/>
      </c>
      <c r="Q2890" s="35" t="str">
        <f aca="false">IF(OR($A2890="",$C2890="U",$S2890&lt;&gt;Calc!$F$2),"",IF(COUNTIFS($E$3:$E2890,$E2890,$C$3:$C2890,"&lt;&gt;U",$S$3:$S2890,Calc!$F$2)=1,1,0))</f>
        <v/>
      </c>
      <c r="R2890" s="35" t="str">
        <f aca="false">IF($Q2890=1,$O2890-ROW()/100000,"")</f>
        <v/>
      </c>
      <c r="S2890" s="37" t="str">
        <f aca="false">IF($A2890="","",INT($A2890))</f>
        <v/>
      </c>
      <c r="T2890" s="35" t="str">
        <f aca="false">IF($A2890="","",IF(COUNTIFS($S$3:$S2890,$S2890)=1,1,0))</f>
        <v/>
      </c>
      <c r="U2890" s="37" t="str">
        <f aca="false">IF($T2890=1,$S2890,"")</f>
        <v/>
      </c>
    </row>
    <row r="2891" customFormat="false" ht="15" hidden="false" customHeight="false" outlineLevel="0" collapsed="false">
      <c r="M2891" s="35" t="str">
        <f aca="false">IF($A2891="","",HOUR($A2891))</f>
        <v/>
      </c>
      <c r="N2891" s="36" t="str">
        <f aca="false">IF($A2891="","",$I2891*$K2891)</f>
        <v/>
      </c>
      <c r="O2891" s="35" t="str">
        <f aca="false">IF(OR($A2891="",$C2891="U",$S2891&lt;&gt;Calc!$F$2),"",SUMIFS($I$3:$I$3002,$E$3:$E$3002,$E2891,$C$3:$C$3002,"&lt;&gt;U",$S$3:$S$3002,Calc!$F$2))</f>
        <v/>
      </c>
      <c r="P2891" s="35" t="str">
        <f aca="false">IF(OR($A2891="",$C2891="U",$S2891&lt;&gt;Calc!$F$2),"",SUMIFS($N$3:$N$3002,$E$3:$E$3002,$E2891,$C$3:$C$3002,"&lt;&gt;U",$S$3:$S$3002,Calc!$F$2))</f>
        <v/>
      </c>
      <c r="Q2891" s="35" t="str">
        <f aca="false">IF(OR($A2891="",$C2891="U",$S2891&lt;&gt;Calc!$F$2),"",IF(COUNTIFS($E$3:$E2891,$E2891,$C$3:$C2891,"&lt;&gt;U",$S$3:$S2891,Calc!$F$2)=1,1,0))</f>
        <v/>
      </c>
      <c r="R2891" s="35" t="str">
        <f aca="false">IF($Q2891=1,$O2891-ROW()/100000,"")</f>
        <v/>
      </c>
      <c r="S2891" s="37" t="str">
        <f aca="false">IF($A2891="","",INT($A2891))</f>
        <v/>
      </c>
      <c r="T2891" s="35" t="str">
        <f aca="false">IF($A2891="","",IF(COUNTIFS($S$3:$S2891,$S2891)=1,1,0))</f>
        <v/>
      </c>
      <c r="U2891" s="37" t="str">
        <f aca="false">IF($T2891=1,$S2891,"")</f>
        <v/>
      </c>
    </row>
    <row r="2892" customFormat="false" ht="15" hidden="false" customHeight="false" outlineLevel="0" collapsed="false">
      <c r="M2892" s="35" t="str">
        <f aca="false">IF($A2892="","",HOUR($A2892))</f>
        <v/>
      </c>
      <c r="N2892" s="36" t="str">
        <f aca="false">IF($A2892="","",$I2892*$K2892)</f>
        <v/>
      </c>
      <c r="O2892" s="35" t="str">
        <f aca="false">IF(OR($A2892="",$C2892="U",$S2892&lt;&gt;Calc!$F$2),"",SUMIFS($I$3:$I$3002,$E$3:$E$3002,$E2892,$C$3:$C$3002,"&lt;&gt;U",$S$3:$S$3002,Calc!$F$2))</f>
        <v/>
      </c>
      <c r="P2892" s="35" t="str">
        <f aca="false">IF(OR($A2892="",$C2892="U",$S2892&lt;&gt;Calc!$F$2),"",SUMIFS($N$3:$N$3002,$E$3:$E$3002,$E2892,$C$3:$C$3002,"&lt;&gt;U",$S$3:$S$3002,Calc!$F$2))</f>
        <v/>
      </c>
      <c r="Q2892" s="35" t="str">
        <f aca="false">IF(OR($A2892="",$C2892="U",$S2892&lt;&gt;Calc!$F$2),"",IF(COUNTIFS($E$3:$E2892,$E2892,$C$3:$C2892,"&lt;&gt;U",$S$3:$S2892,Calc!$F$2)=1,1,0))</f>
        <v/>
      </c>
      <c r="R2892" s="35" t="str">
        <f aca="false">IF($Q2892=1,$O2892-ROW()/100000,"")</f>
        <v/>
      </c>
      <c r="S2892" s="37" t="str">
        <f aca="false">IF($A2892="","",INT($A2892))</f>
        <v/>
      </c>
      <c r="T2892" s="35" t="str">
        <f aca="false">IF($A2892="","",IF(COUNTIFS($S$3:$S2892,$S2892)=1,1,0))</f>
        <v/>
      </c>
      <c r="U2892" s="37" t="str">
        <f aca="false">IF($T2892=1,$S2892,"")</f>
        <v/>
      </c>
    </row>
    <row r="2893" customFormat="false" ht="15" hidden="false" customHeight="false" outlineLevel="0" collapsed="false">
      <c r="M2893" s="35" t="str">
        <f aca="false">IF($A2893="","",HOUR($A2893))</f>
        <v/>
      </c>
      <c r="N2893" s="36" t="str">
        <f aca="false">IF($A2893="","",$I2893*$K2893)</f>
        <v/>
      </c>
      <c r="O2893" s="35" t="str">
        <f aca="false">IF(OR($A2893="",$C2893="U",$S2893&lt;&gt;Calc!$F$2),"",SUMIFS($I$3:$I$3002,$E$3:$E$3002,$E2893,$C$3:$C$3002,"&lt;&gt;U",$S$3:$S$3002,Calc!$F$2))</f>
        <v/>
      </c>
      <c r="P2893" s="35" t="str">
        <f aca="false">IF(OR($A2893="",$C2893="U",$S2893&lt;&gt;Calc!$F$2),"",SUMIFS($N$3:$N$3002,$E$3:$E$3002,$E2893,$C$3:$C$3002,"&lt;&gt;U",$S$3:$S$3002,Calc!$F$2))</f>
        <v/>
      </c>
      <c r="Q2893" s="35" t="str">
        <f aca="false">IF(OR($A2893="",$C2893="U",$S2893&lt;&gt;Calc!$F$2),"",IF(COUNTIFS($E$3:$E2893,$E2893,$C$3:$C2893,"&lt;&gt;U",$S$3:$S2893,Calc!$F$2)=1,1,0))</f>
        <v/>
      </c>
      <c r="R2893" s="35" t="str">
        <f aca="false">IF($Q2893=1,$O2893-ROW()/100000,"")</f>
        <v/>
      </c>
      <c r="S2893" s="37" t="str">
        <f aca="false">IF($A2893="","",INT($A2893))</f>
        <v/>
      </c>
      <c r="T2893" s="35" t="str">
        <f aca="false">IF($A2893="","",IF(COUNTIFS($S$3:$S2893,$S2893)=1,1,0))</f>
        <v/>
      </c>
      <c r="U2893" s="37" t="str">
        <f aca="false">IF($T2893=1,$S2893,"")</f>
        <v/>
      </c>
    </row>
    <row r="2894" customFormat="false" ht="15" hidden="false" customHeight="false" outlineLevel="0" collapsed="false">
      <c r="M2894" s="35" t="str">
        <f aca="false">IF($A2894="","",HOUR($A2894))</f>
        <v/>
      </c>
      <c r="N2894" s="36" t="str">
        <f aca="false">IF($A2894="","",$I2894*$K2894)</f>
        <v/>
      </c>
      <c r="O2894" s="35" t="str">
        <f aca="false">IF(OR($A2894="",$C2894="U",$S2894&lt;&gt;Calc!$F$2),"",SUMIFS($I$3:$I$3002,$E$3:$E$3002,$E2894,$C$3:$C$3002,"&lt;&gt;U",$S$3:$S$3002,Calc!$F$2))</f>
        <v/>
      </c>
      <c r="P2894" s="35" t="str">
        <f aca="false">IF(OR($A2894="",$C2894="U",$S2894&lt;&gt;Calc!$F$2),"",SUMIFS($N$3:$N$3002,$E$3:$E$3002,$E2894,$C$3:$C$3002,"&lt;&gt;U",$S$3:$S$3002,Calc!$F$2))</f>
        <v/>
      </c>
      <c r="Q2894" s="35" t="str">
        <f aca="false">IF(OR($A2894="",$C2894="U",$S2894&lt;&gt;Calc!$F$2),"",IF(COUNTIFS($E$3:$E2894,$E2894,$C$3:$C2894,"&lt;&gt;U",$S$3:$S2894,Calc!$F$2)=1,1,0))</f>
        <v/>
      </c>
      <c r="R2894" s="35" t="str">
        <f aca="false">IF($Q2894=1,$O2894-ROW()/100000,"")</f>
        <v/>
      </c>
      <c r="S2894" s="37" t="str">
        <f aca="false">IF($A2894="","",INT($A2894))</f>
        <v/>
      </c>
      <c r="T2894" s="35" t="str">
        <f aca="false">IF($A2894="","",IF(COUNTIFS($S$3:$S2894,$S2894)=1,1,0))</f>
        <v/>
      </c>
      <c r="U2894" s="37" t="str">
        <f aca="false">IF($T2894=1,$S2894,"")</f>
        <v/>
      </c>
    </row>
    <row r="2895" customFormat="false" ht="15" hidden="false" customHeight="false" outlineLevel="0" collapsed="false">
      <c r="M2895" s="35" t="str">
        <f aca="false">IF($A2895="","",HOUR($A2895))</f>
        <v/>
      </c>
      <c r="N2895" s="36" t="str">
        <f aca="false">IF($A2895="","",$I2895*$K2895)</f>
        <v/>
      </c>
      <c r="O2895" s="35" t="str">
        <f aca="false">IF(OR($A2895="",$C2895="U",$S2895&lt;&gt;Calc!$F$2),"",SUMIFS($I$3:$I$3002,$E$3:$E$3002,$E2895,$C$3:$C$3002,"&lt;&gt;U",$S$3:$S$3002,Calc!$F$2))</f>
        <v/>
      </c>
      <c r="P2895" s="35" t="str">
        <f aca="false">IF(OR($A2895="",$C2895="U",$S2895&lt;&gt;Calc!$F$2),"",SUMIFS($N$3:$N$3002,$E$3:$E$3002,$E2895,$C$3:$C$3002,"&lt;&gt;U",$S$3:$S$3002,Calc!$F$2))</f>
        <v/>
      </c>
      <c r="Q2895" s="35" t="str">
        <f aca="false">IF(OR($A2895="",$C2895="U",$S2895&lt;&gt;Calc!$F$2),"",IF(COUNTIFS($E$3:$E2895,$E2895,$C$3:$C2895,"&lt;&gt;U",$S$3:$S2895,Calc!$F$2)=1,1,0))</f>
        <v/>
      </c>
      <c r="R2895" s="35" t="str">
        <f aca="false">IF($Q2895=1,$O2895-ROW()/100000,"")</f>
        <v/>
      </c>
      <c r="S2895" s="37" t="str">
        <f aca="false">IF($A2895="","",INT($A2895))</f>
        <v/>
      </c>
      <c r="T2895" s="35" t="str">
        <f aca="false">IF($A2895="","",IF(COUNTIFS($S$3:$S2895,$S2895)=1,1,0))</f>
        <v/>
      </c>
      <c r="U2895" s="37" t="str">
        <f aca="false">IF($T2895=1,$S2895,"")</f>
        <v/>
      </c>
    </row>
    <row r="2896" customFormat="false" ht="15" hidden="false" customHeight="false" outlineLevel="0" collapsed="false">
      <c r="M2896" s="35" t="str">
        <f aca="false">IF($A2896="","",HOUR($A2896))</f>
        <v/>
      </c>
      <c r="N2896" s="36" t="str">
        <f aca="false">IF($A2896="","",$I2896*$K2896)</f>
        <v/>
      </c>
      <c r="O2896" s="35" t="str">
        <f aca="false">IF(OR($A2896="",$C2896="U",$S2896&lt;&gt;Calc!$F$2),"",SUMIFS($I$3:$I$3002,$E$3:$E$3002,$E2896,$C$3:$C$3002,"&lt;&gt;U",$S$3:$S$3002,Calc!$F$2))</f>
        <v/>
      </c>
      <c r="P2896" s="35" t="str">
        <f aca="false">IF(OR($A2896="",$C2896="U",$S2896&lt;&gt;Calc!$F$2),"",SUMIFS($N$3:$N$3002,$E$3:$E$3002,$E2896,$C$3:$C$3002,"&lt;&gt;U",$S$3:$S$3002,Calc!$F$2))</f>
        <v/>
      </c>
      <c r="Q2896" s="35" t="str">
        <f aca="false">IF(OR($A2896="",$C2896="U",$S2896&lt;&gt;Calc!$F$2),"",IF(COUNTIFS($E$3:$E2896,$E2896,$C$3:$C2896,"&lt;&gt;U",$S$3:$S2896,Calc!$F$2)=1,1,0))</f>
        <v/>
      </c>
      <c r="R2896" s="35" t="str">
        <f aca="false">IF($Q2896=1,$O2896-ROW()/100000,"")</f>
        <v/>
      </c>
      <c r="S2896" s="37" t="str">
        <f aca="false">IF($A2896="","",INT($A2896))</f>
        <v/>
      </c>
      <c r="T2896" s="35" t="str">
        <f aca="false">IF($A2896="","",IF(COUNTIFS($S$3:$S2896,$S2896)=1,1,0))</f>
        <v/>
      </c>
      <c r="U2896" s="37" t="str">
        <f aca="false">IF($T2896=1,$S2896,"")</f>
        <v/>
      </c>
    </row>
    <row r="2897" customFormat="false" ht="15" hidden="false" customHeight="false" outlineLevel="0" collapsed="false">
      <c r="M2897" s="35" t="str">
        <f aca="false">IF($A2897="","",HOUR($A2897))</f>
        <v/>
      </c>
      <c r="N2897" s="36" t="str">
        <f aca="false">IF($A2897="","",$I2897*$K2897)</f>
        <v/>
      </c>
      <c r="O2897" s="35" t="str">
        <f aca="false">IF(OR($A2897="",$C2897="U",$S2897&lt;&gt;Calc!$F$2),"",SUMIFS($I$3:$I$3002,$E$3:$E$3002,$E2897,$C$3:$C$3002,"&lt;&gt;U",$S$3:$S$3002,Calc!$F$2))</f>
        <v/>
      </c>
      <c r="P2897" s="35" t="str">
        <f aca="false">IF(OR($A2897="",$C2897="U",$S2897&lt;&gt;Calc!$F$2),"",SUMIFS($N$3:$N$3002,$E$3:$E$3002,$E2897,$C$3:$C$3002,"&lt;&gt;U",$S$3:$S$3002,Calc!$F$2))</f>
        <v/>
      </c>
      <c r="Q2897" s="35" t="str">
        <f aca="false">IF(OR($A2897="",$C2897="U",$S2897&lt;&gt;Calc!$F$2),"",IF(COUNTIFS($E$3:$E2897,$E2897,$C$3:$C2897,"&lt;&gt;U",$S$3:$S2897,Calc!$F$2)=1,1,0))</f>
        <v/>
      </c>
      <c r="R2897" s="35" t="str">
        <f aca="false">IF($Q2897=1,$O2897-ROW()/100000,"")</f>
        <v/>
      </c>
      <c r="S2897" s="37" t="str">
        <f aca="false">IF($A2897="","",INT($A2897))</f>
        <v/>
      </c>
      <c r="T2897" s="35" t="str">
        <f aca="false">IF($A2897="","",IF(COUNTIFS($S$3:$S2897,$S2897)=1,1,0))</f>
        <v/>
      </c>
      <c r="U2897" s="37" t="str">
        <f aca="false">IF($T2897=1,$S2897,"")</f>
        <v/>
      </c>
    </row>
    <row r="2898" customFormat="false" ht="15" hidden="false" customHeight="false" outlineLevel="0" collapsed="false">
      <c r="M2898" s="35" t="str">
        <f aca="false">IF($A2898="","",HOUR($A2898))</f>
        <v/>
      </c>
      <c r="N2898" s="36" t="str">
        <f aca="false">IF($A2898="","",$I2898*$K2898)</f>
        <v/>
      </c>
      <c r="O2898" s="35" t="str">
        <f aca="false">IF(OR($A2898="",$C2898="U",$S2898&lt;&gt;Calc!$F$2),"",SUMIFS($I$3:$I$3002,$E$3:$E$3002,$E2898,$C$3:$C$3002,"&lt;&gt;U",$S$3:$S$3002,Calc!$F$2))</f>
        <v/>
      </c>
      <c r="P2898" s="35" t="str">
        <f aca="false">IF(OR($A2898="",$C2898="U",$S2898&lt;&gt;Calc!$F$2),"",SUMIFS($N$3:$N$3002,$E$3:$E$3002,$E2898,$C$3:$C$3002,"&lt;&gt;U",$S$3:$S$3002,Calc!$F$2))</f>
        <v/>
      </c>
      <c r="Q2898" s="35" t="str">
        <f aca="false">IF(OR($A2898="",$C2898="U",$S2898&lt;&gt;Calc!$F$2),"",IF(COUNTIFS($E$3:$E2898,$E2898,$C$3:$C2898,"&lt;&gt;U",$S$3:$S2898,Calc!$F$2)=1,1,0))</f>
        <v/>
      </c>
      <c r="R2898" s="35" t="str">
        <f aca="false">IF($Q2898=1,$O2898-ROW()/100000,"")</f>
        <v/>
      </c>
      <c r="S2898" s="37" t="str">
        <f aca="false">IF($A2898="","",INT($A2898))</f>
        <v/>
      </c>
      <c r="T2898" s="35" t="str">
        <f aca="false">IF($A2898="","",IF(COUNTIFS($S$3:$S2898,$S2898)=1,1,0))</f>
        <v/>
      </c>
      <c r="U2898" s="37" t="str">
        <f aca="false">IF($T2898=1,$S2898,"")</f>
        <v/>
      </c>
    </row>
    <row r="2899" customFormat="false" ht="15" hidden="false" customHeight="false" outlineLevel="0" collapsed="false">
      <c r="M2899" s="35" t="str">
        <f aca="false">IF($A2899="","",HOUR($A2899))</f>
        <v/>
      </c>
      <c r="N2899" s="36" t="str">
        <f aca="false">IF($A2899="","",$I2899*$K2899)</f>
        <v/>
      </c>
      <c r="O2899" s="35" t="str">
        <f aca="false">IF(OR($A2899="",$C2899="U",$S2899&lt;&gt;Calc!$F$2),"",SUMIFS($I$3:$I$3002,$E$3:$E$3002,$E2899,$C$3:$C$3002,"&lt;&gt;U",$S$3:$S$3002,Calc!$F$2))</f>
        <v/>
      </c>
      <c r="P2899" s="35" t="str">
        <f aca="false">IF(OR($A2899="",$C2899="U",$S2899&lt;&gt;Calc!$F$2),"",SUMIFS($N$3:$N$3002,$E$3:$E$3002,$E2899,$C$3:$C$3002,"&lt;&gt;U",$S$3:$S$3002,Calc!$F$2))</f>
        <v/>
      </c>
      <c r="Q2899" s="35" t="str">
        <f aca="false">IF(OR($A2899="",$C2899="U",$S2899&lt;&gt;Calc!$F$2),"",IF(COUNTIFS($E$3:$E2899,$E2899,$C$3:$C2899,"&lt;&gt;U",$S$3:$S2899,Calc!$F$2)=1,1,0))</f>
        <v/>
      </c>
      <c r="R2899" s="35" t="str">
        <f aca="false">IF($Q2899=1,$O2899-ROW()/100000,"")</f>
        <v/>
      </c>
      <c r="S2899" s="37" t="str">
        <f aca="false">IF($A2899="","",INT($A2899))</f>
        <v/>
      </c>
      <c r="T2899" s="35" t="str">
        <f aca="false">IF($A2899="","",IF(COUNTIFS($S$3:$S2899,$S2899)=1,1,0))</f>
        <v/>
      </c>
      <c r="U2899" s="37" t="str">
        <f aca="false">IF($T2899=1,$S2899,"")</f>
        <v/>
      </c>
    </row>
    <row r="2900" customFormat="false" ht="15" hidden="false" customHeight="false" outlineLevel="0" collapsed="false">
      <c r="M2900" s="35" t="str">
        <f aca="false">IF($A2900="","",HOUR($A2900))</f>
        <v/>
      </c>
      <c r="N2900" s="36" t="str">
        <f aca="false">IF($A2900="","",$I2900*$K2900)</f>
        <v/>
      </c>
      <c r="O2900" s="35" t="str">
        <f aca="false">IF(OR($A2900="",$C2900="U",$S2900&lt;&gt;Calc!$F$2),"",SUMIFS($I$3:$I$3002,$E$3:$E$3002,$E2900,$C$3:$C$3002,"&lt;&gt;U",$S$3:$S$3002,Calc!$F$2))</f>
        <v/>
      </c>
      <c r="P2900" s="35" t="str">
        <f aca="false">IF(OR($A2900="",$C2900="U",$S2900&lt;&gt;Calc!$F$2),"",SUMIFS($N$3:$N$3002,$E$3:$E$3002,$E2900,$C$3:$C$3002,"&lt;&gt;U",$S$3:$S$3002,Calc!$F$2))</f>
        <v/>
      </c>
      <c r="Q2900" s="35" t="str">
        <f aca="false">IF(OR($A2900="",$C2900="U",$S2900&lt;&gt;Calc!$F$2),"",IF(COUNTIFS($E$3:$E2900,$E2900,$C$3:$C2900,"&lt;&gt;U",$S$3:$S2900,Calc!$F$2)=1,1,0))</f>
        <v/>
      </c>
      <c r="R2900" s="35" t="str">
        <f aca="false">IF($Q2900=1,$O2900-ROW()/100000,"")</f>
        <v/>
      </c>
      <c r="S2900" s="37" t="str">
        <f aca="false">IF($A2900="","",INT($A2900))</f>
        <v/>
      </c>
      <c r="T2900" s="35" t="str">
        <f aca="false">IF($A2900="","",IF(COUNTIFS($S$3:$S2900,$S2900)=1,1,0))</f>
        <v/>
      </c>
      <c r="U2900" s="37" t="str">
        <f aca="false">IF($T2900=1,$S2900,"")</f>
        <v/>
      </c>
    </row>
    <row r="2901" customFormat="false" ht="15" hidden="false" customHeight="false" outlineLevel="0" collapsed="false">
      <c r="M2901" s="35" t="str">
        <f aca="false">IF($A2901="","",HOUR($A2901))</f>
        <v/>
      </c>
      <c r="N2901" s="36" t="str">
        <f aca="false">IF($A2901="","",$I2901*$K2901)</f>
        <v/>
      </c>
      <c r="O2901" s="35" t="str">
        <f aca="false">IF(OR($A2901="",$C2901="U",$S2901&lt;&gt;Calc!$F$2),"",SUMIFS($I$3:$I$3002,$E$3:$E$3002,$E2901,$C$3:$C$3002,"&lt;&gt;U",$S$3:$S$3002,Calc!$F$2))</f>
        <v/>
      </c>
      <c r="P2901" s="35" t="str">
        <f aca="false">IF(OR($A2901="",$C2901="U",$S2901&lt;&gt;Calc!$F$2),"",SUMIFS($N$3:$N$3002,$E$3:$E$3002,$E2901,$C$3:$C$3002,"&lt;&gt;U",$S$3:$S$3002,Calc!$F$2))</f>
        <v/>
      </c>
      <c r="Q2901" s="35" t="str">
        <f aca="false">IF(OR($A2901="",$C2901="U",$S2901&lt;&gt;Calc!$F$2),"",IF(COUNTIFS($E$3:$E2901,$E2901,$C$3:$C2901,"&lt;&gt;U",$S$3:$S2901,Calc!$F$2)=1,1,0))</f>
        <v/>
      </c>
      <c r="R2901" s="35" t="str">
        <f aca="false">IF($Q2901=1,$O2901-ROW()/100000,"")</f>
        <v/>
      </c>
      <c r="S2901" s="37" t="str">
        <f aca="false">IF($A2901="","",INT($A2901))</f>
        <v/>
      </c>
      <c r="T2901" s="35" t="str">
        <f aca="false">IF($A2901="","",IF(COUNTIFS($S$3:$S2901,$S2901)=1,1,0))</f>
        <v/>
      </c>
      <c r="U2901" s="37" t="str">
        <f aca="false">IF($T2901=1,$S2901,"")</f>
        <v/>
      </c>
    </row>
    <row r="2902" customFormat="false" ht="15" hidden="false" customHeight="false" outlineLevel="0" collapsed="false">
      <c r="M2902" s="35" t="str">
        <f aca="false">IF($A2902="","",HOUR($A2902))</f>
        <v/>
      </c>
      <c r="N2902" s="36" t="str">
        <f aca="false">IF($A2902="","",$I2902*$K2902)</f>
        <v/>
      </c>
      <c r="O2902" s="35" t="str">
        <f aca="false">IF(OR($A2902="",$C2902="U",$S2902&lt;&gt;Calc!$F$2),"",SUMIFS($I$3:$I$3002,$E$3:$E$3002,$E2902,$C$3:$C$3002,"&lt;&gt;U",$S$3:$S$3002,Calc!$F$2))</f>
        <v/>
      </c>
      <c r="P2902" s="35" t="str">
        <f aca="false">IF(OR($A2902="",$C2902="U",$S2902&lt;&gt;Calc!$F$2),"",SUMIFS($N$3:$N$3002,$E$3:$E$3002,$E2902,$C$3:$C$3002,"&lt;&gt;U",$S$3:$S$3002,Calc!$F$2))</f>
        <v/>
      </c>
      <c r="Q2902" s="35" t="str">
        <f aca="false">IF(OR($A2902="",$C2902="U",$S2902&lt;&gt;Calc!$F$2),"",IF(COUNTIFS($E$3:$E2902,$E2902,$C$3:$C2902,"&lt;&gt;U",$S$3:$S2902,Calc!$F$2)=1,1,0))</f>
        <v/>
      </c>
      <c r="R2902" s="35" t="str">
        <f aca="false">IF($Q2902=1,$O2902-ROW()/100000,"")</f>
        <v/>
      </c>
      <c r="S2902" s="37" t="str">
        <f aca="false">IF($A2902="","",INT($A2902))</f>
        <v/>
      </c>
      <c r="T2902" s="35" t="str">
        <f aca="false">IF($A2902="","",IF(COUNTIFS($S$3:$S2902,$S2902)=1,1,0))</f>
        <v/>
      </c>
      <c r="U2902" s="37" t="str">
        <f aca="false">IF($T2902=1,$S2902,"")</f>
        <v/>
      </c>
    </row>
    <row r="2903" customFormat="false" ht="15" hidden="false" customHeight="false" outlineLevel="0" collapsed="false">
      <c r="M2903" s="35" t="str">
        <f aca="false">IF($A2903="","",HOUR($A2903))</f>
        <v/>
      </c>
      <c r="N2903" s="36" t="str">
        <f aca="false">IF($A2903="","",$I2903*$K2903)</f>
        <v/>
      </c>
      <c r="O2903" s="35" t="str">
        <f aca="false">IF(OR($A2903="",$C2903="U",$S2903&lt;&gt;Calc!$F$2),"",SUMIFS($I$3:$I$3002,$E$3:$E$3002,$E2903,$C$3:$C$3002,"&lt;&gt;U",$S$3:$S$3002,Calc!$F$2))</f>
        <v/>
      </c>
      <c r="P2903" s="35" t="str">
        <f aca="false">IF(OR($A2903="",$C2903="U",$S2903&lt;&gt;Calc!$F$2),"",SUMIFS($N$3:$N$3002,$E$3:$E$3002,$E2903,$C$3:$C$3002,"&lt;&gt;U",$S$3:$S$3002,Calc!$F$2))</f>
        <v/>
      </c>
      <c r="Q2903" s="35" t="str">
        <f aca="false">IF(OR($A2903="",$C2903="U",$S2903&lt;&gt;Calc!$F$2),"",IF(COUNTIFS($E$3:$E2903,$E2903,$C$3:$C2903,"&lt;&gt;U",$S$3:$S2903,Calc!$F$2)=1,1,0))</f>
        <v/>
      </c>
      <c r="R2903" s="35" t="str">
        <f aca="false">IF($Q2903=1,$O2903-ROW()/100000,"")</f>
        <v/>
      </c>
      <c r="S2903" s="37" t="str">
        <f aca="false">IF($A2903="","",INT($A2903))</f>
        <v/>
      </c>
      <c r="T2903" s="35" t="str">
        <f aca="false">IF($A2903="","",IF(COUNTIFS($S$3:$S2903,$S2903)=1,1,0))</f>
        <v/>
      </c>
      <c r="U2903" s="37" t="str">
        <f aca="false">IF($T2903=1,$S2903,"")</f>
        <v/>
      </c>
    </row>
    <row r="2904" customFormat="false" ht="15" hidden="false" customHeight="false" outlineLevel="0" collapsed="false">
      <c r="M2904" s="35" t="str">
        <f aca="false">IF($A2904="","",HOUR($A2904))</f>
        <v/>
      </c>
      <c r="N2904" s="36" t="str">
        <f aca="false">IF($A2904="","",$I2904*$K2904)</f>
        <v/>
      </c>
      <c r="O2904" s="35" t="str">
        <f aca="false">IF(OR($A2904="",$C2904="U",$S2904&lt;&gt;Calc!$F$2),"",SUMIFS($I$3:$I$3002,$E$3:$E$3002,$E2904,$C$3:$C$3002,"&lt;&gt;U",$S$3:$S$3002,Calc!$F$2))</f>
        <v/>
      </c>
      <c r="P2904" s="35" t="str">
        <f aca="false">IF(OR($A2904="",$C2904="U",$S2904&lt;&gt;Calc!$F$2),"",SUMIFS($N$3:$N$3002,$E$3:$E$3002,$E2904,$C$3:$C$3002,"&lt;&gt;U",$S$3:$S$3002,Calc!$F$2))</f>
        <v/>
      </c>
      <c r="Q2904" s="35" t="str">
        <f aca="false">IF(OR($A2904="",$C2904="U",$S2904&lt;&gt;Calc!$F$2),"",IF(COUNTIFS($E$3:$E2904,$E2904,$C$3:$C2904,"&lt;&gt;U",$S$3:$S2904,Calc!$F$2)=1,1,0))</f>
        <v/>
      </c>
      <c r="R2904" s="35" t="str">
        <f aca="false">IF($Q2904=1,$O2904-ROW()/100000,"")</f>
        <v/>
      </c>
      <c r="S2904" s="37" t="str">
        <f aca="false">IF($A2904="","",INT($A2904))</f>
        <v/>
      </c>
      <c r="T2904" s="35" t="str">
        <f aca="false">IF($A2904="","",IF(COUNTIFS($S$3:$S2904,$S2904)=1,1,0))</f>
        <v/>
      </c>
      <c r="U2904" s="37" t="str">
        <f aca="false">IF($T2904=1,$S2904,"")</f>
        <v/>
      </c>
    </row>
    <row r="2905" customFormat="false" ht="15" hidden="false" customHeight="false" outlineLevel="0" collapsed="false">
      <c r="M2905" s="35" t="str">
        <f aca="false">IF($A2905="","",HOUR($A2905))</f>
        <v/>
      </c>
      <c r="N2905" s="36" t="str">
        <f aca="false">IF($A2905="","",$I2905*$K2905)</f>
        <v/>
      </c>
      <c r="O2905" s="35" t="str">
        <f aca="false">IF(OR($A2905="",$C2905="U",$S2905&lt;&gt;Calc!$F$2),"",SUMIFS($I$3:$I$3002,$E$3:$E$3002,$E2905,$C$3:$C$3002,"&lt;&gt;U",$S$3:$S$3002,Calc!$F$2))</f>
        <v/>
      </c>
      <c r="P2905" s="35" t="str">
        <f aca="false">IF(OR($A2905="",$C2905="U",$S2905&lt;&gt;Calc!$F$2),"",SUMIFS($N$3:$N$3002,$E$3:$E$3002,$E2905,$C$3:$C$3002,"&lt;&gt;U",$S$3:$S$3002,Calc!$F$2))</f>
        <v/>
      </c>
      <c r="Q2905" s="35" t="str">
        <f aca="false">IF(OR($A2905="",$C2905="U",$S2905&lt;&gt;Calc!$F$2),"",IF(COUNTIFS($E$3:$E2905,$E2905,$C$3:$C2905,"&lt;&gt;U",$S$3:$S2905,Calc!$F$2)=1,1,0))</f>
        <v/>
      </c>
      <c r="R2905" s="35" t="str">
        <f aca="false">IF($Q2905=1,$O2905-ROW()/100000,"")</f>
        <v/>
      </c>
      <c r="S2905" s="37" t="str">
        <f aca="false">IF($A2905="","",INT($A2905))</f>
        <v/>
      </c>
      <c r="T2905" s="35" t="str">
        <f aca="false">IF($A2905="","",IF(COUNTIFS($S$3:$S2905,$S2905)=1,1,0))</f>
        <v/>
      </c>
      <c r="U2905" s="37" t="str">
        <f aca="false">IF($T2905=1,$S2905,"")</f>
        <v/>
      </c>
    </row>
    <row r="2906" customFormat="false" ht="15" hidden="false" customHeight="false" outlineLevel="0" collapsed="false">
      <c r="M2906" s="35" t="str">
        <f aca="false">IF($A2906="","",HOUR($A2906))</f>
        <v/>
      </c>
      <c r="N2906" s="36" t="str">
        <f aca="false">IF($A2906="","",$I2906*$K2906)</f>
        <v/>
      </c>
      <c r="O2906" s="35" t="str">
        <f aca="false">IF(OR($A2906="",$C2906="U",$S2906&lt;&gt;Calc!$F$2),"",SUMIFS($I$3:$I$3002,$E$3:$E$3002,$E2906,$C$3:$C$3002,"&lt;&gt;U",$S$3:$S$3002,Calc!$F$2))</f>
        <v/>
      </c>
      <c r="P2906" s="35" t="str">
        <f aca="false">IF(OR($A2906="",$C2906="U",$S2906&lt;&gt;Calc!$F$2),"",SUMIFS($N$3:$N$3002,$E$3:$E$3002,$E2906,$C$3:$C$3002,"&lt;&gt;U",$S$3:$S$3002,Calc!$F$2))</f>
        <v/>
      </c>
      <c r="Q2906" s="35" t="str">
        <f aca="false">IF(OR($A2906="",$C2906="U",$S2906&lt;&gt;Calc!$F$2),"",IF(COUNTIFS($E$3:$E2906,$E2906,$C$3:$C2906,"&lt;&gt;U",$S$3:$S2906,Calc!$F$2)=1,1,0))</f>
        <v/>
      </c>
      <c r="R2906" s="35" t="str">
        <f aca="false">IF($Q2906=1,$O2906-ROW()/100000,"")</f>
        <v/>
      </c>
      <c r="S2906" s="37" t="str">
        <f aca="false">IF($A2906="","",INT($A2906))</f>
        <v/>
      </c>
      <c r="T2906" s="35" t="str">
        <f aca="false">IF($A2906="","",IF(COUNTIFS($S$3:$S2906,$S2906)=1,1,0))</f>
        <v/>
      </c>
      <c r="U2906" s="37" t="str">
        <f aca="false">IF($T2906=1,$S2906,"")</f>
        <v/>
      </c>
    </row>
    <row r="2907" customFormat="false" ht="15" hidden="false" customHeight="false" outlineLevel="0" collapsed="false">
      <c r="M2907" s="35" t="str">
        <f aca="false">IF($A2907="","",HOUR($A2907))</f>
        <v/>
      </c>
      <c r="N2907" s="36" t="str">
        <f aca="false">IF($A2907="","",$I2907*$K2907)</f>
        <v/>
      </c>
      <c r="O2907" s="35" t="str">
        <f aca="false">IF(OR($A2907="",$C2907="U",$S2907&lt;&gt;Calc!$F$2),"",SUMIFS($I$3:$I$3002,$E$3:$E$3002,$E2907,$C$3:$C$3002,"&lt;&gt;U",$S$3:$S$3002,Calc!$F$2))</f>
        <v/>
      </c>
      <c r="P2907" s="35" t="str">
        <f aca="false">IF(OR($A2907="",$C2907="U",$S2907&lt;&gt;Calc!$F$2),"",SUMIFS($N$3:$N$3002,$E$3:$E$3002,$E2907,$C$3:$C$3002,"&lt;&gt;U",$S$3:$S$3002,Calc!$F$2))</f>
        <v/>
      </c>
      <c r="Q2907" s="35" t="str">
        <f aca="false">IF(OR($A2907="",$C2907="U",$S2907&lt;&gt;Calc!$F$2),"",IF(COUNTIFS($E$3:$E2907,$E2907,$C$3:$C2907,"&lt;&gt;U",$S$3:$S2907,Calc!$F$2)=1,1,0))</f>
        <v/>
      </c>
      <c r="R2907" s="35" t="str">
        <f aca="false">IF($Q2907=1,$O2907-ROW()/100000,"")</f>
        <v/>
      </c>
      <c r="S2907" s="37" t="str">
        <f aca="false">IF($A2907="","",INT($A2907))</f>
        <v/>
      </c>
      <c r="T2907" s="35" t="str">
        <f aca="false">IF($A2907="","",IF(COUNTIFS($S$3:$S2907,$S2907)=1,1,0))</f>
        <v/>
      </c>
      <c r="U2907" s="37" t="str">
        <f aca="false">IF($T2907=1,$S2907,"")</f>
        <v/>
      </c>
    </row>
    <row r="2908" customFormat="false" ht="15" hidden="false" customHeight="false" outlineLevel="0" collapsed="false">
      <c r="M2908" s="35" t="str">
        <f aca="false">IF($A2908="","",HOUR($A2908))</f>
        <v/>
      </c>
      <c r="N2908" s="36" t="str">
        <f aca="false">IF($A2908="","",$I2908*$K2908)</f>
        <v/>
      </c>
      <c r="O2908" s="35" t="str">
        <f aca="false">IF(OR($A2908="",$C2908="U",$S2908&lt;&gt;Calc!$F$2),"",SUMIFS($I$3:$I$3002,$E$3:$E$3002,$E2908,$C$3:$C$3002,"&lt;&gt;U",$S$3:$S$3002,Calc!$F$2))</f>
        <v/>
      </c>
      <c r="P2908" s="35" t="str">
        <f aca="false">IF(OR($A2908="",$C2908="U",$S2908&lt;&gt;Calc!$F$2),"",SUMIFS($N$3:$N$3002,$E$3:$E$3002,$E2908,$C$3:$C$3002,"&lt;&gt;U",$S$3:$S$3002,Calc!$F$2))</f>
        <v/>
      </c>
      <c r="Q2908" s="35" t="str">
        <f aca="false">IF(OR($A2908="",$C2908="U",$S2908&lt;&gt;Calc!$F$2),"",IF(COUNTIFS($E$3:$E2908,$E2908,$C$3:$C2908,"&lt;&gt;U",$S$3:$S2908,Calc!$F$2)=1,1,0))</f>
        <v/>
      </c>
      <c r="R2908" s="35" t="str">
        <f aca="false">IF($Q2908=1,$O2908-ROW()/100000,"")</f>
        <v/>
      </c>
      <c r="S2908" s="37" t="str">
        <f aca="false">IF($A2908="","",INT($A2908))</f>
        <v/>
      </c>
      <c r="T2908" s="35" t="str">
        <f aca="false">IF($A2908="","",IF(COUNTIFS($S$3:$S2908,$S2908)=1,1,0))</f>
        <v/>
      </c>
      <c r="U2908" s="37" t="str">
        <f aca="false">IF($T2908=1,$S2908,"")</f>
        <v/>
      </c>
    </row>
    <row r="2909" customFormat="false" ht="15" hidden="false" customHeight="false" outlineLevel="0" collapsed="false">
      <c r="M2909" s="35" t="str">
        <f aca="false">IF($A2909="","",HOUR($A2909))</f>
        <v/>
      </c>
      <c r="N2909" s="36" t="str">
        <f aca="false">IF($A2909="","",$I2909*$K2909)</f>
        <v/>
      </c>
      <c r="O2909" s="35" t="str">
        <f aca="false">IF(OR($A2909="",$C2909="U",$S2909&lt;&gt;Calc!$F$2),"",SUMIFS($I$3:$I$3002,$E$3:$E$3002,$E2909,$C$3:$C$3002,"&lt;&gt;U",$S$3:$S$3002,Calc!$F$2))</f>
        <v/>
      </c>
      <c r="P2909" s="35" t="str">
        <f aca="false">IF(OR($A2909="",$C2909="U",$S2909&lt;&gt;Calc!$F$2),"",SUMIFS($N$3:$N$3002,$E$3:$E$3002,$E2909,$C$3:$C$3002,"&lt;&gt;U",$S$3:$S$3002,Calc!$F$2))</f>
        <v/>
      </c>
      <c r="Q2909" s="35" t="str">
        <f aca="false">IF(OR($A2909="",$C2909="U",$S2909&lt;&gt;Calc!$F$2),"",IF(COUNTIFS($E$3:$E2909,$E2909,$C$3:$C2909,"&lt;&gt;U",$S$3:$S2909,Calc!$F$2)=1,1,0))</f>
        <v/>
      </c>
      <c r="R2909" s="35" t="str">
        <f aca="false">IF($Q2909=1,$O2909-ROW()/100000,"")</f>
        <v/>
      </c>
      <c r="S2909" s="37" t="str">
        <f aca="false">IF($A2909="","",INT($A2909))</f>
        <v/>
      </c>
      <c r="T2909" s="35" t="str">
        <f aca="false">IF($A2909="","",IF(COUNTIFS($S$3:$S2909,$S2909)=1,1,0))</f>
        <v/>
      </c>
      <c r="U2909" s="37" t="str">
        <f aca="false">IF($T2909=1,$S2909,"")</f>
        <v/>
      </c>
    </row>
    <row r="2910" customFormat="false" ht="15" hidden="false" customHeight="false" outlineLevel="0" collapsed="false">
      <c r="M2910" s="35" t="str">
        <f aca="false">IF($A2910="","",HOUR($A2910))</f>
        <v/>
      </c>
      <c r="N2910" s="36" t="str">
        <f aca="false">IF($A2910="","",$I2910*$K2910)</f>
        <v/>
      </c>
      <c r="O2910" s="35" t="str">
        <f aca="false">IF(OR($A2910="",$C2910="U",$S2910&lt;&gt;Calc!$F$2),"",SUMIFS($I$3:$I$3002,$E$3:$E$3002,$E2910,$C$3:$C$3002,"&lt;&gt;U",$S$3:$S$3002,Calc!$F$2))</f>
        <v/>
      </c>
      <c r="P2910" s="35" t="str">
        <f aca="false">IF(OR($A2910="",$C2910="U",$S2910&lt;&gt;Calc!$F$2),"",SUMIFS($N$3:$N$3002,$E$3:$E$3002,$E2910,$C$3:$C$3002,"&lt;&gt;U",$S$3:$S$3002,Calc!$F$2))</f>
        <v/>
      </c>
      <c r="Q2910" s="35" t="str">
        <f aca="false">IF(OR($A2910="",$C2910="U",$S2910&lt;&gt;Calc!$F$2),"",IF(COUNTIFS($E$3:$E2910,$E2910,$C$3:$C2910,"&lt;&gt;U",$S$3:$S2910,Calc!$F$2)=1,1,0))</f>
        <v/>
      </c>
      <c r="R2910" s="35" t="str">
        <f aca="false">IF($Q2910=1,$O2910-ROW()/100000,"")</f>
        <v/>
      </c>
      <c r="S2910" s="37" t="str">
        <f aca="false">IF($A2910="","",INT($A2910))</f>
        <v/>
      </c>
      <c r="T2910" s="35" t="str">
        <f aca="false">IF($A2910="","",IF(COUNTIFS($S$3:$S2910,$S2910)=1,1,0))</f>
        <v/>
      </c>
      <c r="U2910" s="37" t="str">
        <f aca="false">IF($T2910=1,$S2910,"")</f>
        <v/>
      </c>
    </row>
    <row r="2911" customFormat="false" ht="15" hidden="false" customHeight="false" outlineLevel="0" collapsed="false">
      <c r="M2911" s="35" t="str">
        <f aca="false">IF($A2911="","",HOUR($A2911))</f>
        <v/>
      </c>
      <c r="N2911" s="36" t="str">
        <f aca="false">IF($A2911="","",$I2911*$K2911)</f>
        <v/>
      </c>
      <c r="O2911" s="35" t="str">
        <f aca="false">IF(OR($A2911="",$C2911="U",$S2911&lt;&gt;Calc!$F$2),"",SUMIFS($I$3:$I$3002,$E$3:$E$3002,$E2911,$C$3:$C$3002,"&lt;&gt;U",$S$3:$S$3002,Calc!$F$2))</f>
        <v/>
      </c>
      <c r="P2911" s="35" t="str">
        <f aca="false">IF(OR($A2911="",$C2911="U",$S2911&lt;&gt;Calc!$F$2),"",SUMIFS($N$3:$N$3002,$E$3:$E$3002,$E2911,$C$3:$C$3002,"&lt;&gt;U",$S$3:$S$3002,Calc!$F$2))</f>
        <v/>
      </c>
      <c r="Q2911" s="35" t="str">
        <f aca="false">IF(OR($A2911="",$C2911="U",$S2911&lt;&gt;Calc!$F$2),"",IF(COUNTIFS($E$3:$E2911,$E2911,$C$3:$C2911,"&lt;&gt;U",$S$3:$S2911,Calc!$F$2)=1,1,0))</f>
        <v/>
      </c>
      <c r="R2911" s="35" t="str">
        <f aca="false">IF($Q2911=1,$O2911-ROW()/100000,"")</f>
        <v/>
      </c>
      <c r="S2911" s="37" t="str">
        <f aca="false">IF($A2911="","",INT($A2911))</f>
        <v/>
      </c>
      <c r="T2911" s="35" t="str">
        <f aca="false">IF($A2911="","",IF(COUNTIFS($S$3:$S2911,$S2911)=1,1,0))</f>
        <v/>
      </c>
      <c r="U2911" s="37" t="str">
        <f aca="false">IF($T2911=1,$S2911,"")</f>
        <v/>
      </c>
    </row>
    <row r="2912" customFormat="false" ht="15" hidden="false" customHeight="false" outlineLevel="0" collapsed="false">
      <c r="M2912" s="35" t="str">
        <f aca="false">IF($A2912="","",HOUR($A2912))</f>
        <v/>
      </c>
      <c r="N2912" s="36" t="str">
        <f aca="false">IF($A2912="","",$I2912*$K2912)</f>
        <v/>
      </c>
      <c r="O2912" s="35" t="str">
        <f aca="false">IF(OR($A2912="",$C2912="U",$S2912&lt;&gt;Calc!$F$2),"",SUMIFS($I$3:$I$3002,$E$3:$E$3002,$E2912,$C$3:$C$3002,"&lt;&gt;U",$S$3:$S$3002,Calc!$F$2))</f>
        <v/>
      </c>
      <c r="P2912" s="35" t="str">
        <f aca="false">IF(OR($A2912="",$C2912="U",$S2912&lt;&gt;Calc!$F$2),"",SUMIFS($N$3:$N$3002,$E$3:$E$3002,$E2912,$C$3:$C$3002,"&lt;&gt;U",$S$3:$S$3002,Calc!$F$2))</f>
        <v/>
      </c>
      <c r="Q2912" s="35" t="str">
        <f aca="false">IF(OR($A2912="",$C2912="U",$S2912&lt;&gt;Calc!$F$2),"",IF(COUNTIFS($E$3:$E2912,$E2912,$C$3:$C2912,"&lt;&gt;U",$S$3:$S2912,Calc!$F$2)=1,1,0))</f>
        <v/>
      </c>
      <c r="R2912" s="35" t="str">
        <f aca="false">IF($Q2912=1,$O2912-ROW()/100000,"")</f>
        <v/>
      </c>
      <c r="S2912" s="37" t="str">
        <f aca="false">IF($A2912="","",INT($A2912))</f>
        <v/>
      </c>
      <c r="T2912" s="35" t="str">
        <f aca="false">IF($A2912="","",IF(COUNTIFS($S$3:$S2912,$S2912)=1,1,0))</f>
        <v/>
      </c>
      <c r="U2912" s="37" t="str">
        <f aca="false">IF($T2912=1,$S2912,"")</f>
        <v/>
      </c>
    </row>
    <row r="2913" customFormat="false" ht="15" hidden="false" customHeight="false" outlineLevel="0" collapsed="false">
      <c r="M2913" s="35" t="str">
        <f aca="false">IF($A2913="","",HOUR($A2913))</f>
        <v/>
      </c>
      <c r="N2913" s="36" t="str">
        <f aca="false">IF($A2913="","",$I2913*$K2913)</f>
        <v/>
      </c>
      <c r="O2913" s="35" t="str">
        <f aca="false">IF(OR($A2913="",$C2913="U",$S2913&lt;&gt;Calc!$F$2),"",SUMIFS($I$3:$I$3002,$E$3:$E$3002,$E2913,$C$3:$C$3002,"&lt;&gt;U",$S$3:$S$3002,Calc!$F$2))</f>
        <v/>
      </c>
      <c r="P2913" s="35" t="str">
        <f aca="false">IF(OR($A2913="",$C2913="U",$S2913&lt;&gt;Calc!$F$2),"",SUMIFS($N$3:$N$3002,$E$3:$E$3002,$E2913,$C$3:$C$3002,"&lt;&gt;U",$S$3:$S$3002,Calc!$F$2))</f>
        <v/>
      </c>
      <c r="Q2913" s="35" t="str">
        <f aca="false">IF(OR($A2913="",$C2913="U",$S2913&lt;&gt;Calc!$F$2),"",IF(COUNTIFS($E$3:$E2913,$E2913,$C$3:$C2913,"&lt;&gt;U",$S$3:$S2913,Calc!$F$2)=1,1,0))</f>
        <v/>
      </c>
      <c r="R2913" s="35" t="str">
        <f aca="false">IF($Q2913=1,$O2913-ROW()/100000,"")</f>
        <v/>
      </c>
      <c r="S2913" s="37" t="str">
        <f aca="false">IF($A2913="","",INT($A2913))</f>
        <v/>
      </c>
      <c r="T2913" s="35" t="str">
        <f aca="false">IF($A2913="","",IF(COUNTIFS($S$3:$S2913,$S2913)=1,1,0))</f>
        <v/>
      </c>
      <c r="U2913" s="37" t="str">
        <f aca="false">IF($T2913=1,$S2913,"")</f>
        <v/>
      </c>
    </row>
    <row r="2914" customFormat="false" ht="15" hidden="false" customHeight="false" outlineLevel="0" collapsed="false">
      <c r="M2914" s="35" t="str">
        <f aca="false">IF($A2914="","",HOUR($A2914))</f>
        <v/>
      </c>
      <c r="N2914" s="36" t="str">
        <f aca="false">IF($A2914="","",$I2914*$K2914)</f>
        <v/>
      </c>
      <c r="O2914" s="35" t="str">
        <f aca="false">IF(OR($A2914="",$C2914="U",$S2914&lt;&gt;Calc!$F$2),"",SUMIFS($I$3:$I$3002,$E$3:$E$3002,$E2914,$C$3:$C$3002,"&lt;&gt;U",$S$3:$S$3002,Calc!$F$2))</f>
        <v/>
      </c>
      <c r="P2914" s="35" t="str">
        <f aca="false">IF(OR($A2914="",$C2914="U",$S2914&lt;&gt;Calc!$F$2),"",SUMIFS($N$3:$N$3002,$E$3:$E$3002,$E2914,$C$3:$C$3002,"&lt;&gt;U",$S$3:$S$3002,Calc!$F$2))</f>
        <v/>
      </c>
      <c r="Q2914" s="35" t="str">
        <f aca="false">IF(OR($A2914="",$C2914="U",$S2914&lt;&gt;Calc!$F$2),"",IF(COUNTIFS($E$3:$E2914,$E2914,$C$3:$C2914,"&lt;&gt;U",$S$3:$S2914,Calc!$F$2)=1,1,0))</f>
        <v/>
      </c>
      <c r="R2914" s="35" t="str">
        <f aca="false">IF($Q2914=1,$O2914-ROW()/100000,"")</f>
        <v/>
      </c>
      <c r="S2914" s="37" t="str">
        <f aca="false">IF($A2914="","",INT($A2914))</f>
        <v/>
      </c>
      <c r="T2914" s="35" t="str">
        <f aca="false">IF($A2914="","",IF(COUNTIFS($S$3:$S2914,$S2914)=1,1,0))</f>
        <v/>
      </c>
      <c r="U2914" s="37" t="str">
        <f aca="false">IF($T2914=1,$S2914,"")</f>
        <v/>
      </c>
    </row>
    <row r="2915" customFormat="false" ht="15" hidden="false" customHeight="false" outlineLevel="0" collapsed="false">
      <c r="M2915" s="35" t="str">
        <f aca="false">IF($A2915="","",HOUR($A2915))</f>
        <v/>
      </c>
      <c r="N2915" s="36" t="str">
        <f aca="false">IF($A2915="","",$I2915*$K2915)</f>
        <v/>
      </c>
      <c r="O2915" s="35" t="str">
        <f aca="false">IF(OR($A2915="",$C2915="U",$S2915&lt;&gt;Calc!$F$2),"",SUMIFS($I$3:$I$3002,$E$3:$E$3002,$E2915,$C$3:$C$3002,"&lt;&gt;U",$S$3:$S$3002,Calc!$F$2))</f>
        <v/>
      </c>
      <c r="P2915" s="35" t="str">
        <f aca="false">IF(OR($A2915="",$C2915="U",$S2915&lt;&gt;Calc!$F$2),"",SUMIFS($N$3:$N$3002,$E$3:$E$3002,$E2915,$C$3:$C$3002,"&lt;&gt;U",$S$3:$S$3002,Calc!$F$2))</f>
        <v/>
      </c>
      <c r="Q2915" s="35" t="str">
        <f aca="false">IF(OR($A2915="",$C2915="U",$S2915&lt;&gt;Calc!$F$2),"",IF(COUNTIFS($E$3:$E2915,$E2915,$C$3:$C2915,"&lt;&gt;U",$S$3:$S2915,Calc!$F$2)=1,1,0))</f>
        <v/>
      </c>
      <c r="R2915" s="35" t="str">
        <f aca="false">IF($Q2915=1,$O2915-ROW()/100000,"")</f>
        <v/>
      </c>
      <c r="S2915" s="37" t="str">
        <f aca="false">IF($A2915="","",INT($A2915))</f>
        <v/>
      </c>
      <c r="T2915" s="35" t="str">
        <f aca="false">IF($A2915="","",IF(COUNTIFS($S$3:$S2915,$S2915)=1,1,0))</f>
        <v/>
      </c>
      <c r="U2915" s="37" t="str">
        <f aca="false">IF($T2915=1,$S2915,"")</f>
        <v/>
      </c>
    </row>
    <row r="2916" customFormat="false" ht="15" hidden="false" customHeight="false" outlineLevel="0" collapsed="false">
      <c r="M2916" s="35" t="str">
        <f aca="false">IF($A2916="","",HOUR($A2916))</f>
        <v/>
      </c>
      <c r="N2916" s="36" t="str">
        <f aca="false">IF($A2916="","",$I2916*$K2916)</f>
        <v/>
      </c>
      <c r="O2916" s="35" t="str">
        <f aca="false">IF(OR($A2916="",$C2916="U",$S2916&lt;&gt;Calc!$F$2),"",SUMIFS($I$3:$I$3002,$E$3:$E$3002,$E2916,$C$3:$C$3002,"&lt;&gt;U",$S$3:$S$3002,Calc!$F$2))</f>
        <v/>
      </c>
      <c r="P2916" s="35" t="str">
        <f aca="false">IF(OR($A2916="",$C2916="U",$S2916&lt;&gt;Calc!$F$2),"",SUMIFS($N$3:$N$3002,$E$3:$E$3002,$E2916,$C$3:$C$3002,"&lt;&gt;U",$S$3:$S$3002,Calc!$F$2))</f>
        <v/>
      </c>
      <c r="Q2916" s="35" t="str">
        <f aca="false">IF(OR($A2916="",$C2916="U",$S2916&lt;&gt;Calc!$F$2),"",IF(COUNTIFS($E$3:$E2916,$E2916,$C$3:$C2916,"&lt;&gt;U",$S$3:$S2916,Calc!$F$2)=1,1,0))</f>
        <v/>
      </c>
      <c r="R2916" s="35" t="str">
        <f aca="false">IF($Q2916=1,$O2916-ROW()/100000,"")</f>
        <v/>
      </c>
      <c r="S2916" s="37" t="str">
        <f aca="false">IF($A2916="","",INT($A2916))</f>
        <v/>
      </c>
      <c r="T2916" s="35" t="str">
        <f aca="false">IF($A2916="","",IF(COUNTIFS($S$3:$S2916,$S2916)=1,1,0))</f>
        <v/>
      </c>
      <c r="U2916" s="37" t="str">
        <f aca="false">IF($T2916=1,$S2916,"")</f>
        <v/>
      </c>
    </row>
    <row r="2917" customFormat="false" ht="15" hidden="false" customHeight="false" outlineLevel="0" collapsed="false">
      <c r="M2917" s="35" t="str">
        <f aca="false">IF($A2917="","",HOUR($A2917))</f>
        <v/>
      </c>
      <c r="N2917" s="36" t="str">
        <f aca="false">IF($A2917="","",$I2917*$K2917)</f>
        <v/>
      </c>
      <c r="O2917" s="35" t="str">
        <f aca="false">IF(OR($A2917="",$C2917="U",$S2917&lt;&gt;Calc!$F$2),"",SUMIFS($I$3:$I$3002,$E$3:$E$3002,$E2917,$C$3:$C$3002,"&lt;&gt;U",$S$3:$S$3002,Calc!$F$2))</f>
        <v/>
      </c>
      <c r="P2917" s="35" t="str">
        <f aca="false">IF(OR($A2917="",$C2917="U",$S2917&lt;&gt;Calc!$F$2),"",SUMIFS($N$3:$N$3002,$E$3:$E$3002,$E2917,$C$3:$C$3002,"&lt;&gt;U",$S$3:$S$3002,Calc!$F$2))</f>
        <v/>
      </c>
      <c r="Q2917" s="35" t="str">
        <f aca="false">IF(OR($A2917="",$C2917="U",$S2917&lt;&gt;Calc!$F$2),"",IF(COUNTIFS($E$3:$E2917,$E2917,$C$3:$C2917,"&lt;&gt;U",$S$3:$S2917,Calc!$F$2)=1,1,0))</f>
        <v/>
      </c>
      <c r="R2917" s="35" t="str">
        <f aca="false">IF($Q2917=1,$O2917-ROW()/100000,"")</f>
        <v/>
      </c>
      <c r="S2917" s="37" t="str">
        <f aca="false">IF($A2917="","",INT($A2917))</f>
        <v/>
      </c>
      <c r="T2917" s="35" t="str">
        <f aca="false">IF($A2917="","",IF(COUNTIFS($S$3:$S2917,$S2917)=1,1,0))</f>
        <v/>
      </c>
      <c r="U2917" s="37" t="str">
        <f aca="false">IF($T2917=1,$S2917,"")</f>
        <v/>
      </c>
    </row>
    <row r="2918" customFormat="false" ht="15" hidden="false" customHeight="false" outlineLevel="0" collapsed="false">
      <c r="M2918" s="35" t="str">
        <f aca="false">IF($A2918="","",HOUR($A2918))</f>
        <v/>
      </c>
      <c r="N2918" s="36" t="str">
        <f aca="false">IF($A2918="","",$I2918*$K2918)</f>
        <v/>
      </c>
      <c r="O2918" s="35" t="str">
        <f aca="false">IF(OR($A2918="",$C2918="U",$S2918&lt;&gt;Calc!$F$2),"",SUMIFS($I$3:$I$3002,$E$3:$E$3002,$E2918,$C$3:$C$3002,"&lt;&gt;U",$S$3:$S$3002,Calc!$F$2))</f>
        <v/>
      </c>
      <c r="P2918" s="35" t="str">
        <f aca="false">IF(OR($A2918="",$C2918="U",$S2918&lt;&gt;Calc!$F$2),"",SUMIFS($N$3:$N$3002,$E$3:$E$3002,$E2918,$C$3:$C$3002,"&lt;&gt;U",$S$3:$S$3002,Calc!$F$2))</f>
        <v/>
      </c>
      <c r="Q2918" s="35" t="str">
        <f aca="false">IF(OR($A2918="",$C2918="U",$S2918&lt;&gt;Calc!$F$2),"",IF(COUNTIFS($E$3:$E2918,$E2918,$C$3:$C2918,"&lt;&gt;U",$S$3:$S2918,Calc!$F$2)=1,1,0))</f>
        <v/>
      </c>
      <c r="R2918" s="35" t="str">
        <f aca="false">IF($Q2918=1,$O2918-ROW()/100000,"")</f>
        <v/>
      </c>
      <c r="S2918" s="37" t="str">
        <f aca="false">IF($A2918="","",INT($A2918))</f>
        <v/>
      </c>
      <c r="T2918" s="35" t="str">
        <f aca="false">IF($A2918="","",IF(COUNTIFS($S$3:$S2918,$S2918)=1,1,0))</f>
        <v/>
      </c>
      <c r="U2918" s="37" t="str">
        <f aca="false">IF($T2918=1,$S2918,"")</f>
        <v/>
      </c>
    </row>
    <row r="2919" customFormat="false" ht="15" hidden="false" customHeight="false" outlineLevel="0" collapsed="false">
      <c r="M2919" s="35" t="str">
        <f aca="false">IF($A2919="","",HOUR($A2919))</f>
        <v/>
      </c>
      <c r="N2919" s="36" t="str">
        <f aca="false">IF($A2919="","",$I2919*$K2919)</f>
        <v/>
      </c>
      <c r="O2919" s="35" t="str">
        <f aca="false">IF(OR($A2919="",$C2919="U",$S2919&lt;&gt;Calc!$F$2),"",SUMIFS($I$3:$I$3002,$E$3:$E$3002,$E2919,$C$3:$C$3002,"&lt;&gt;U",$S$3:$S$3002,Calc!$F$2))</f>
        <v/>
      </c>
      <c r="P2919" s="35" t="str">
        <f aca="false">IF(OR($A2919="",$C2919="U",$S2919&lt;&gt;Calc!$F$2),"",SUMIFS($N$3:$N$3002,$E$3:$E$3002,$E2919,$C$3:$C$3002,"&lt;&gt;U",$S$3:$S$3002,Calc!$F$2))</f>
        <v/>
      </c>
      <c r="Q2919" s="35" t="str">
        <f aca="false">IF(OR($A2919="",$C2919="U",$S2919&lt;&gt;Calc!$F$2),"",IF(COUNTIFS($E$3:$E2919,$E2919,$C$3:$C2919,"&lt;&gt;U",$S$3:$S2919,Calc!$F$2)=1,1,0))</f>
        <v/>
      </c>
      <c r="R2919" s="35" t="str">
        <f aca="false">IF($Q2919=1,$O2919-ROW()/100000,"")</f>
        <v/>
      </c>
      <c r="S2919" s="37" t="str">
        <f aca="false">IF($A2919="","",INT($A2919))</f>
        <v/>
      </c>
      <c r="T2919" s="35" t="str">
        <f aca="false">IF($A2919="","",IF(COUNTIFS($S$3:$S2919,$S2919)=1,1,0))</f>
        <v/>
      </c>
      <c r="U2919" s="37" t="str">
        <f aca="false">IF($T2919=1,$S2919,"")</f>
        <v/>
      </c>
    </row>
    <row r="2920" customFormat="false" ht="15" hidden="false" customHeight="false" outlineLevel="0" collapsed="false">
      <c r="M2920" s="35" t="str">
        <f aca="false">IF($A2920="","",HOUR($A2920))</f>
        <v/>
      </c>
      <c r="N2920" s="36" t="str">
        <f aca="false">IF($A2920="","",$I2920*$K2920)</f>
        <v/>
      </c>
      <c r="O2920" s="35" t="str">
        <f aca="false">IF(OR($A2920="",$C2920="U",$S2920&lt;&gt;Calc!$F$2),"",SUMIFS($I$3:$I$3002,$E$3:$E$3002,$E2920,$C$3:$C$3002,"&lt;&gt;U",$S$3:$S$3002,Calc!$F$2))</f>
        <v/>
      </c>
      <c r="P2920" s="35" t="str">
        <f aca="false">IF(OR($A2920="",$C2920="U",$S2920&lt;&gt;Calc!$F$2),"",SUMIFS($N$3:$N$3002,$E$3:$E$3002,$E2920,$C$3:$C$3002,"&lt;&gt;U",$S$3:$S$3002,Calc!$F$2))</f>
        <v/>
      </c>
      <c r="Q2920" s="35" t="str">
        <f aca="false">IF(OR($A2920="",$C2920="U",$S2920&lt;&gt;Calc!$F$2),"",IF(COUNTIFS($E$3:$E2920,$E2920,$C$3:$C2920,"&lt;&gt;U",$S$3:$S2920,Calc!$F$2)=1,1,0))</f>
        <v/>
      </c>
      <c r="R2920" s="35" t="str">
        <f aca="false">IF($Q2920=1,$O2920-ROW()/100000,"")</f>
        <v/>
      </c>
      <c r="S2920" s="37" t="str">
        <f aca="false">IF($A2920="","",INT($A2920))</f>
        <v/>
      </c>
      <c r="T2920" s="35" t="str">
        <f aca="false">IF($A2920="","",IF(COUNTIFS($S$3:$S2920,$S2920)=1,1,0))</f>
        <v/>
      </c>
      <c r="U2920" s="37" t="str">
        <f aca="false">IF($T2920=1,$S2920,"")</f>
        <v/>
      </c>
    </row>
    <row r="2921" customFormat="false" ht="15" hidden="false" customHeight="false" outlineLevel="0" collapsed="false">
      <c r="M2921" s="35" t="str">
        <f aca="false">IF($A2921="","",HOUR($A2921))</f>
        <v/>
      </c>
      <c r="N2921" s="36" t="str">
        <f aca="false">IF($A2921="","",$I2921*$K2921)</f>
        <v/>
      </c>
      <c r="O2921" s="35" t="str">
        <f aca="false">IF(OR($A2921="",$C2921="U",$S2921&lt;&gt;Calc!$F$2),"",SUMIFS($I$3:$I$3002,$E$3:$E$3002,$E2921,$C$3:$C$3002,"&lt;&gt;U",$S$3:$S$3002,Calc!$F$2))</f>
        <v/>
      </c>
      <c r="P2921" s="35" t="str">
        <f aca="false">IF(OR($A2921="",$C2921="U",$S2921&lt;&gt;Calc!$F$2),"",SUMIFS($N$3:$N$3002,$E$3:$E$3002,$E2921,$C$3:$C$3002,"&lt;&gt;U",$S$3:$S$3002,Calc!$F$2))</f>
        <v/>
      </c>
      <c r="Q2921" s="35" t="str">
        <f aca="false">IF(OR($A2921="",$C2921="U",$S2921&lt;&gt;Calc!$F$2),"",IF(COUNTIFS($E$3:$E2921,$E2921,$C$3:$C2921,"&lt;&gt;U",$S$3:$S2921,Calc!$F$2)=1,1,0))</f>
        <v/>
      </c>
      <c r="R2921" s="35" t="str">
        <f aca="false">IF($Q2921=1,$O2921-ROW()/100000,"")</f>
        <v/>
      </c>
      <c r="S2921" s="37" t="str">
        <f aca="false">IF($A2921="","",INT($A2921))</f>
        <v/>
      </c>
      <c r="T2921" s="35" t="str">
        <f aca="false">IF($A2921="","",IF(COUNTIFS($S$3:$S2921,$S2921)=1,1,0))</f>
        <v/>
      </c>
      <c r="U2921" s="37" t="str">
        <f aca="false">IF($T2921=1,$S2921,"")</f>
        <v/>
      </c>
    </row>
    <row r="2922" customFormat="false" ht="15" hidden="false" customHeight="false" outlineLevel="0" collapsed="false">
      <c r="M2922" s="35" t="str">
        <f aca="false">IF($A2922="","",HOUR($A2922))</f>
        <v/>
      </c>
      <c r="N2922" s="36" t="str">
        <f aca="false">IF($A2922="","",$I2922*$K2922)</f>
        <v/>
      </c>
      <c r="O2922" s="35" t="str">
        <f aca="false">IF(OR($A2922="",$C2922="U",$S2922&lt;&gt;Calc!$F$2),"",SUMIFS($I$3:$I$3002,$E$3:$E$3002,$E2922,$C$3:$C$3002,"&lt;&gt;U",$S$3:$S$3002,Calc!$F$2))</f>
        <v/>
      </c>
      <c r="P2922" s="35" t="str">
        <f aca="false">IF(OR($A2922="",$C2922="U",$S2922&lt;&gt;Calc!$F$2),"",SUMIFS($N$3:$N$3002,$E$3:$E$3002,$E2922,$C$3:$C$3002,"&lt;&gt;U",$S$3:$S$3002,Calc!$F$2))</f>
        <v/>
      </c>
      <c r="Q2922" s="35" t="str">
        <f aca="false">IF(OR($A2922="",$C2922="U",$S2922&lt;&gt;Calc!$F$2),"",IF(COUNTIFS($E$3:$E2922,$E2922,$C$3:$C2922,"&lt;&gt;U",$S$3:$S2922,Calc!$F$2)=1,1,0))</f>
        <v/>
      </c>
      <c r="R2922" s="35" t="str">
        <f aca="false">IF($Q2922=1,$O2922-ROW()/100000,"")</f>
        <v/>
      </c>
      <c r="S2922" s="37" t="str">
        <f aca="false">IF($A2922="","",INT($A2922))</f>
        <v/>
      </c>
      <c r="T2922" s="35" t="str">
        <f aca="false">IF($A2922="","",IF(COUNTIFS($S$3:$S2922,$S2922)=1,1,0))</f>
        <v/>
      </c>
      <c r="U2922" s="37" t="str">
        <f aca="false">IF($T2922=1,$S2922,"")</f>
        <v/>
      </c>
    </row>
    <row r="2923" customFormat="false" ht="15" hidden="false" customHeight="false" outlineLevel="0" collapsed="false">
      <c r="M2923" s="35" t="str">
        <f aca="false">IF($A2923="","",HOUR($A2923))</f>
        <v/>
      </c>
      <c r="N2923" s="36" t="str">
        <f aca="false">IF($A2923="","",$I2923*$K2923)</f>
        <v/>
      </c>
      <c r="O2923" s="35" t="str">
        <f aca="false">IF(OR($A2923="",$C2923="U",$S2923&lt;&gt;Calc!$F$2),"",SUMIFS($I$3:$I$3002,$E$3:$E$3002,$E2923,$C$3:$C$3002,"&lt;&gt;U",$S$3:$S$3002,Calc!$F$2))</f>
        <v/>
      </c>
      <c r="P2923" s="35" t="str">
        <f aca="false">IF(OR($A2923="",$C2923="U",$S2923&lt;&gt;Calc!$F$2),"",SUMIFS($N$3:$N$3002,$E$3:$E$3002,$E2923,$C$3:$C$3002,"&lt;&gt;U",$S$3:$S$3002,Calc!$F$2))</f>
        <v/>
      </c>
      <c r="Q2923" s="35" t="str">
        <f aca="false">IF(OR($A2923="",$C2923="U",$S2923&lt;&gt;Calc!$F$2),"",IF(COUNTIFS($E$3:$E2923,$E2923,$C$3:$C2923,"&lt;&gt;U",$S$3:$S2923,Calc!$F$2)=1,1,0))</f>
        <v/>
      </c>
      <c r="R2923" s="35" t="str">
        <f aca="false">IF($Q2923=1,$O2923-ROW()/100000,"")</f>
        <v/>
      </c>
      <c r="S2923" s="37" t="str">
        <f aca="false">IF($A2923="","",INT($A2923))</f>
        <v/>
      </c>
      <c r="T2923" s="35" t="str">
        <f aca="false">IF($A2923="","",IF(COUNTIFS($S$3:$S2923,$S2923)=1,1,0))</f>
        <v/>
      </c>
      <c r="U2923" s="37" t="str">
        <f aca="false">IF($T2923=1,$S2923,"")</f>
        <v/>
      </c>
    </row>
    <row r="2924" customFormat="false" ht="15" hidden="false" customHeight="false" outlineLevel="0" collapsed="false">
      <c r="M2924" s="35" t="str">
        <f aca="false">IF($A2924="","",HOUR($A2924))</f>
        <v/>
      </c>
      <c r="N2924" s="36" t="str">
        <f aca="false">IF($A2924="","",$I2924*$K2924)</f>
        <v/>
      </c>
      <c r="O2924" s="35" t="str">
        <f aca="false">IF(OR($A2924="",$C2924="U",$S2924&lt;&gt;Calc!$F$2),"",SUMIFS($I$3:$I$3002,$E$3:$E$3002,$E2924,$C$3:$C$3002,"&lt;&gt;U",$S$3:$S$3002,Calc!$F$2))</f>
        <v/>
      </c>
      <c r="P2924" s="35" t="str">
        <f aca="false">IF(OR($A2924="",$C2924="U",$S2924&lt;&gt;Calc!$F$2),"",SUMIFS($N$3:$N$3002,$E$3:$E$3002,$E2924,$C$3:$C$3002,"&lt;&gt;U",$S$3:$S$3002,Calc!$F$2))</f>
        <v/>
      </c>
      <c r="Q2924" s="35" t="str">
        <f aca="false">IF(OR($A2924="",$C2924="U",$S2924&lt;&gt;Calc!$F$2),"",IF(COUNTIFS($E$3:$E2924,$E2924,$C$3:$C2924,"&lt;&gt;U",$S$3:$S2924,Calc!$F$2)=1,1,0))</f>
        <v/>
      </c>
      <c r="R2924" s="35" t="str">
        <f aca="false">IF($Q2924=1,$O2924-ROW()/100000,"")</f>
        <v/>
      </c>
      <c r="S2924" s="37" t="str">
        <f aca="false">IF($A2924="","",INT($A2924))</f>
        <v/>
      </c>
      <c r="T2924" s="35" t="str">
        <f aca="false">IF($A2924="","",IF(COUNTIFS($S$3:$S2924,$S2924)=1,1,0))</f>
        <v/>
      </c>
      <c r="U2924" s="37" t="str">
        <f aca="false">IF($T2924=1,$S2924,"")</f>
        <v/>
      </c>
    </row>
    <row r="2925" customFormat="false" ht="15" hidden="false" customHeight="false" outlineLevel="0" collapsed="false">
      <c r="M2925" s="35" t="str">
        <f aca="false">IF($A2925="","",HOUR($A2925))</f>
        <v/>
      </c>
      <c r="N2925" s="36" t="str">
        <f aca="false">IF($A2925="","",$I2925*$K2925)</f>
        <v/>
      </c>
      <c r="O2925" s="35" t="str">
        <f aca="false">IF(OR($A2925="",$C2925="U",$S2925&lt;&gt;Calc!$F$2),"",SUMIFS($I$3:$I$3002,$E$3:$E$3002,$E2925,$C$3:$C$3002,"&lt;&gt;U",$S$3:$S$3002,Calc!$F$2))</f>
        <v/>
      </c>
      <c r="P2925" s="35" t="str">
        <f aca="false">IF(OR($A2925="",$C2925="U",$S2925&lt;&gt;Calc!$F$2),"",SUMIFS($N$3:$N$3002,$E$3:$E$3002,$E2925,$C$3:$C$3002,"&lt;&gt;U",$S$3:$S$3002,Calc!$F$2))</f>
        <v/>
      </c>
      <c r="Q2925" s="35" t="str">
        <f aca="false">IF(OR($A2925="",$C2925="U",$S2925&lt;&gt;Calc!$F$2),"",IF(COUNTIFS($E$3:$E2925,$E2925,$C$3:$C2925,"&lt;&gt;U",$S$3:$S2925,Calc!$F$2)=1,1,0))</f>
        <v/>
      </c>
      <c r="R2925" s="35" t="str">
        <f aca="false">IF($Q2925=1,$O2925-ROW()/100000,"")</f>
        <v/>
      </c>
      <c r="S2925" s="37" t="str">
        <f aca="false">IF($A2925="","",INT($A2925))</f>
        <v/>
      </c>
      <c r="T2925" s="35" t="str">
        <f aca="false">IF($A2925="","",IF(COUNTIFS($S$3:$S2925,$S2925)=1,1,0))</f>
        <v/>
      </c>
      <c r="U2925" s="37" t="str">
        <f aca="false">IF($T2925=1,$S2925,"")</f>
        <v/>
      </c>
    </row>
    <row r="2926" customFormat="false" ht="15" hidden="false" customHeight="false" outlineLevel="0" collapsed="false">
      <c r="M2926" s="35" t="str">
        <f aca="false">IF($A2926="","",HOUR($A2926))</f>
        <v/>
      </c>
      <c r="N2926" s="36" t="str">
        <f aca="false">IF($A2926="","",$I2926*$K2926)</f>
        <v/>
      </c>
      <c r="O2926" s="35" t="str">
        <f aca="false">IF(OR($A2926="",$C2926="U",$S2926&lt;&gt;Calc!$F$2),"",SUMIFS($I$3:$I$3002,$E$3:$E$3002,$E2926,$C$3:$C$3002,"&lt;&gt;U",$S$3:$S$3002,Calc!$F$2))</f>
        <v/>
      </c>
      <c r="P2926" s="35" t="str">
        <f aca="false">IF(OR($A2926="",$C2926="U",$S2926&lt;&gt;Calc!$F$2),"",SUMIFS($N$3:$N$3002,$E$3:$E$3002,$E2926,$C$3:$C$3002,"&lt;&gt;U",$S$3:$S$3002,Calc!$F$2))</f>
        <v/>
      </c>
      <c r="Q2926" s="35" t="str">
        <f aca="false">IF(OR($A2926="",$C2926="U",$S2926&lt;&gt;Calc!$F$2),"",IF(COUNTIFS($E$3:$E2926,$E2926,$C$3:$C2926,"&lt;&gt;U",$S$3:$S2926,Calc!$F$2)=1,1,0))</f>
        <v/>
      </c>
      <c r="R2926" s="35" t="str">
        <f aca="false">IF($Q2926=1,$O2926-ROW()/100000,"")</f>
        <v/>
      </c>
      <c r="S2926" s="37" t="str">
        <f aca="false">IF($A2926="","",INT($A2926))</f>
        <v/>
      </c>
      <c r="T2926" s="35" t="str">
        <f aca="false">IF($A2926="","",IF(COUNTIFS($S$3:$S2926,$S2926)=1,1,0))</f>
        <v/>
      </c>
      <c r="U2926" s="37" t="str">
        <f aca="false">IF($T2926=1,$S2926,"")</f>
        <v/>
      </c>
    </row>
    <row r="2927" customFormat="false" ht="15" hidden="false" customHeight="false" outlineLevel="0" collapsed="false">
      <c r="M2927" s="35" t="str">
        <f aca="false">IF($A2927="","",HOUR($A2927))</f>
        <v/>
      </c>
      <c r="N2927" s="36" t="str">
        <f aca="false">IF($A2927="","",$I2927*$K2927)</f>
        <v/>
      </c>
      <c r="O2927" s="35" t="str">
        <f aca="false">IF(OR($A2927="",$C2927="U",$S2927&lt;&gt;Calc!$F$2),"",SUMIFS($I$3:$I$3002,$E$3:$E$3002,$E2927,$C$3:$C$3002,"&lt;&gt;U",$S$3:$S$3002,Calc!$F$2))</f>
        <v/>
      </c>
      <c r="P2927" s="35" t="str">
        <f aca="false">IF(OR($A2927="",$C2927="U",$S2927&lt;&gt;Calc!$F$2),"",SUMIFS($N$3:$N$3002,$E$3:$E$3002,$E2927,$C$3:$C$3002,"&lt;&gt;U",$S$3:$S$3002,Calc!$F$2))</f>
        <v/>
      </c>
      <c r="Q2927" s="35" t="str">
        <f aca="false">IF(OR($A2927="",$C2927="U",$S2927&lt;&gt;Calc!$F$2),"",IF(COUNTIFS($E$3:$E2927,$E2927,$C$3:$C2927,"&lt;&gt;U",$S$3:$S2927,Calc!$F$2)=1,1,0))</f>
        <v/>
      </c>
      <c r="R2927" s="35" t="str">
        <f aca="false">IF($Q2927=1,$O2927-ROW()/100000,"")</f>
        <v/>
      </c>
      <c r="S2927" s="37" t="str">
        <f aca="false">IF($A2927="","",INT($A2927))</f>
        <v/>
      </c>
      <c r="T2927" s="35" t="str">
        <f aca="false">IF($A2927="","",IF(COUNTIFS($S$3:$S2927,$S2927)=1,1,0))</f>
        <v/>
      </c>
      <c r="U2927" s="37" t="str">
        <f aca="false">IF($T2927=1,$S2927,"")</f>
        <v/>
      </c>
    </row>
    <row r="2928" customFormat="false" ht="15" hidden="false" customHeight="false" outlineLevel="0" collapsed="false">
      <c r="M2928" s="35" t="str">
        <f aca="false">IF($A2928="","",HOUR($A2928))</f>
        <v/>
      </c>
      <c r="N2928" s="36" t="str">
        <f aca="false">IF($A2928="","",$I2928*$K2928)</f>
        <v/>
      </c>
      <c r="O2928" s="35" t="str">
        <f aca="false">IF(OR($A2928="",$C2928="U",$S2928&lt;&gt;Calc!$F$2),"",SUMIFS($I$3:$I$3002,$E$3:$E$3002,$E2928,$C$3:$C$3002,"&lt;&gt;U",$S$3:$S$3002,Calc!$F$2))</f>
        <v/>
      </c>
      <c r="P2928" s="35" t="str">
        <f aca="false">IF(OR($A2928="",$C2928="U",$S2928&lt;&gt;Calc!$F$2),"",SUMIFS($N$3:$N$3002,$E$3:$E$3002,$E2928,$C$3:$C$3002,"&lt;&gt;U",$S$3:$S$3002,Calc!$F$2))</f>
        <v/>
      </c>
      <c r="Q2928" s="35" t="str">
        <f aca="false">IF(OR($A2928="",$C2928="U",$S2928&lt;&gt;Calc!$F$2),"",IF(COUNTIFS($E$3:$E2928,$E2928,$C$3:$C2928,"&lt;&gt;U",$S$3:$S2928,Calc!$F$2)=1,1,0))</f>
        <v/>
      </c>
      <c r="R2928" s="35" t="str">
        <f aca="false">IF($Q2928=1,$O2928-ROW()/100000,"")</f>
        <v/>
      </c>
      <c r="S2928" s="37" t="str">
        <f aca="false">IF($A2928="","",INT($A2928))</f>
        <v/>
      </c>
      <c r="T2928" s="35" t="str">
        <f aca="false">IF($A2928="","",IF(COUNTIFS($S$3:$S2928,$S2928)=1,1,0))</f>
        <v/>
      </c>
      <c r="U2928" s="37" t="str">
        <f aca="false">IF($T2928=1,$S2928,"")</f>
        <v/>
      </c>
    </row>
    <row r="2929" customFormat="false" ht="15" hidden="false" customHeight="false" outlineLevel="0" collapsed="false">
      <c r="M2929" s="35" t="str">
        <f aca="false">IF($A2929="","",HOUR($A2929))</f>
        <v/>
      </c>
      <c r="N2929" s="36" t="str">
        <f aca="false">IF($A2929="","",$I2929*$K2929)</f>
        <v/>
      </c>
      <c r="O2929" s="35" t="str">
        <f aca="false">IF(OR($A2929="",$C2929="U",$S2929&lt;&gt;Calc!$F$2),"",SUMIFS($I$3:$I$3002,$E$3:$E$3002,$E2929,$C$3:$C$3002,"&lt;&gt;U",$S$3:$S$3002,Calc!$F$2))</f>
        <v/>
      </c>
      <c r="P2929" s="35" t="str">
        <f aca="false">IF(OR($A2929="",$C2929="U",$S2929&lt;&gt;Calc!$F$2),"",SUMIFS($N$3:$N$3002,$E$3:$E$3002,$E2929,$C$3:$C$3002,"&lt;&gt;U",$S$3:$S$3002,Calc!$F$2))</f>
        <v/>
      </c>
      <c r="Q2929" s="35" t="str">
        <f aca="false">IF(OR($A2929="",$C2929="U",$S2929&lt;&gt;Calc!$F$2),"",IF(COUNTIFS($E$3:$E2929,$E2929,$C$3:$C2929,"&lt;&gt;U",$S$3:$S2929,Calc!$F$2)=1,1,0))</f>
        <v/>
      </c>
      <c r="R2929" s="35" t="str">
        <f aca="false">IF($Q2929=1,$O2929-ROW()/100000,"")</f>
        <v/>
      </c>
      <c r="S2929" s="37" t="str">
        <f aca="false">IF($A2929="","",INT($A2929))</f>
        <v/>
      </c>
      <c r="T2929" s="35" t="str">
        <f aca="false">IF($A2929="","",IF(COUNTIFS($S$3:$S2929,$S2929)=1,1,0))</f>
        <v/>
      </c>
      <c r="U2929" s="37" t="str">
        <f aca="false">IF($T2929=1,$S2929,"")</f>
        <v/>
      </c>
    </row>
    <row r="2930" customFormat="false" ht="15" hidden="false" customHeight="false" outlineLevel="0" collapsed="false">
      <c r="M2930" s="35" t="str">
        <f aca="false">IF($A2930="","",HOUR($A2930))</f>
        <v/>
      </c>
      <c r="N2930" s="36" t="str">
        <f aca="false">IF($A2930="","",$I2930*$K2930)</f>
        <v/>
      </c>
      <c r="O2930" s="35" t="str">
        <f aca="false">IF(OR($A2930="",$C2930="U",$S2930&lt;&gt;Calc!$F$2),"",SUMIFS($I$3:$I$3002,$E$3:$E$3002,$E2930,$C$3:$C$3002,"&lt;&gt;U",$S$3:$S$3002,Calc!$F$2))</f>
        <v/>
      </c>
      <c r="P2930" s="35" t="str">
        <f aca="false">IF(OR($A2930="",$C2930="U",$S2930&lt;&gt;Calc!$F$2),"",SUMIFS($N$3:$N$3002,$E$3:$E$3002,$E2930,$C$3:$C$3002,"&lt;&gt;U",$S$3:$S$3002,Calc!$F$2))</f>
        <v/>
      </c>
      <c r="Q2930" s="35" t="str">
        <f aca="false">IF(OR($A2930="",$C2930="U",$S2930&lt;&gt;Calc!$F$2),"",IF(COUNTIFS($E$3:$E2930,$E2930,$C$3:$C2930,"&lt;&gt;U",$S$3:$S2930,Calc!$F$2)=1,1,0))</f>
        <v/>
      </c>
      <c r="R2930" s="35" t="str">
        <f aca="false">IF($Q2930=1,$O2930-ROW()/100000,"")</f>
        <v/>
      </c>
      <c r="S2930" s="37" t="str">
        <f aca="false">IF($A2930="","",INT($A2930))</f>
        <v/>
      </c>
      <c r="T2930" s="35" t="str">
        <f aca="false">IF($A2930="","",IF(COUNTIFS($S$3:$S2930,$S2930)=1,1,0))</f>
        <v/>
      </c>
      <c r="U2930" s="37" t="str">
        <f aca="false">IF($T2930=1,$S2930,"")</f>
        <v/>
      </c>
    </row>
    <row r="2931" customFormat="false" ht="15" hidden="false" customHeight="false" outlineLevel="0" collapsed="false">
      <c r="M2931" s="35" t="str">
        <f aca="false">IF($A2931="","",HOUR($A2931))</f>
        <v/>
      </c>
      <c r="N2931" s="36" t="str">
        <f aca="false">IF($A2931="","",$I2931*$K2931)</f>
        <v/>
      </c>
      <c r="O2931" s="35" t="str">
        <f aca="false">IF(OR($A2931="",$C2931="U",$S2931&lt;&gt;Calc!$F$2),"",SUMIFS($I$3:$I$3002,$E$3:$E$3002,$E2931,$C$3:$C$3002,"&lt;&gt;U",$S$3:$S$3002,Calc!$F$2))</f>
        <v/>
      </c>
      <c r="P2931" s="35" t="str">
        <f aca="false">IF(OR($A2931="",$C2931="U",$S2931&lt;&gt;Calc!$F$2),"",SUMIFS($N$3:$N$3002,$E$3:$E$3002,$E2931,$C$3:$C$3002,"&lt;&gt;U",$S$3:$S$3002,Calc!$F$2))</f>
        <v/>
      </c>
      <c r="Q2931" s="35" t="str">
        <f aca="false">IF(OR($A2931="",$C2931="U",$S2931&lt;&gt;Calc!$F$2),"",IF(COUNTIFS($E$3:$E2931,$E2931,$C$3:$C2931,"&lt;&gt;U",$S$3:$S2931,Calc!$F$2)=1,1,0))</f>
        <v/>
      </c>
      <c r="R2931" s="35" t="str">
        <f aca="false">IF($Q2931=1,$O2931-ROW()/100000,"")</f>
        <v/>
      </c>
      <c r="S2931" s="37" t="str">
        <f aca="false">IF($A2931="","",INT($A2931))</f>
        <v/>
      </c>
      <c r="T2931" s="35" t="str">
        <f aca="false">IF($A2931="","",IF(COUNTIFS($S$3:$S2931,$S2931)=1,1,0))</f>
        <v/>
      </c>
      <c r="U2931" s="37" t="str">
        <f aca="false">IF($T2931=1,$S2931,"")</f>
        <v/>
      </c>
    </row>
    <row r="2932" customFormat="false" ht="15" hidden="false" customHeight="false" outlineLevel="0" collapsed="false">
      <c r="M2932" s="35" t="str">
        <f aca="false">IF($A2932="","",HOUR($A2932))</f>
        <v/>
      </c>
      <c r="N2932" s="36" t="str">
        <f aca="false">IF($A2932="","",$I2932*$K2932)</f>
        <v/>
      </c>
      <c r="O2932" s="35" t="str">
        <f aca="false">IF(OR($A2932="",$C2932="U",$S2932&lt;&gt;Calc!$F$2),"",SUMIFS($I$3:$I$3002,$E$3:$E$3002,$E2932,$C$3:$C$3002,"&lt;&gt;U",$S$3:$S$3002,Calc!$F$2))</f>
        <v/>
      </c>
      <c r="P2932" s="35" t="str">
        <f aca="false">IF(OR($A2932="",$C2932="U",$S2932&lt;&gt;Calc!$F$2),"",SUMIFS($N$3:$N$3002,$E$3:$E$3002,$E2932,$C$3:$C$3002,"&lt;&gt;U",$S$3:$S$3002,Calc!$F$2))</f>
        <v/>
      </c>
      <c r="Q2932" s="35" t="str">
        <f aca="false">IF(OR($A2932="",$C2932="U",$S2932&lt;&gt;Calc!$F$2),"",IF(COUNTIFS($E$3:$E2932,$E2932,$C$3:$C2932,"&lt;&gt;U",$S$3:$S2932,Calc!$F$2)=1,1,0))</f>
        <v/>
      </c>
      <c r="R2932" s="35" t="str">
        <f aca="false">IF($Q2932=1,$O2932-ROW()/100000,"")</f>
        <v/>
      </c>
      <c r="S2932" s="37" t="str">
        <f aca="false">IF($A2932="","",INT($A2932))</f>
        <v/>
      </c>
      <c r="T2932" s="35" t="str">
        <f aca="false">IF($A2932="","",IF(COUNTIFS($S$3:$S2932,$S2932)=1,1,0))</f>
        <v/>
      </c>
      <c r="U2932" s="37" t="str">
        <f aca="false">IF($T2932=1,$S2932,"")</f>
        <v/>
      </c>
    </row>
    <row r="2933" customFormat="false" ht="15" hidden="false" customHeight="false" outlineLevel="0" collapsed="false">
      <c r="M2933" s="35" t="str">
        <f aca="false">IF($A2933="","",HOUR($A2933))</f>
        <v/>
      </c>
      <c r="N2933" s="36" t="str">
        <f aca="false">IF($A2933="","",$I2933*$K2933)</f>
        <v/>
      </c>
      <c r="O2933" s="35" t="str">
        <f aca="false">IF(OR($A2933="",$C2933="U",$S2933&lt;&gt;Calc!$F$2),"",SUMIFS($I$3:$I$3002,$E$3:$E$3002,$E2933,$C$3:$C$3002,"&lt;&gt;U",$S$3:$S$3002,Calc!$F$2))</f>
        <v/>
      </c>
      <c r="P2933" s="35" t="str">
        <f aca="false">IF(OR($A2933="",$C2933="U",$S2933&lt;&gt;Calc!$F$2),"",SUMIFS($N$3:$N$3002,$E$3:$E$3002,$E2933,$C$3:$C$3002,"&lt;&gt;U",$S$3:$S$3002,Calc!$F$2))</f>
        <v/>
      </c>
      <c r="Q2933" s="35" t="str">
        <f aca="false">IF(OR($A2933="",$C2933="U",$S2933&lt;&gt;Calc!$F$2),"",IF(COUNTIFS($E$3:$E2933,$E2933,$C$3:$C2933,"&lt;&gt;U",$S$3:$S2933,Calc!$F$2)=1,1,0))</f>
        <v/>
      </c>
      <c r="R2933" s="35" t="str">
        <f aca="false">IF($Q2933=1,$O2933-ROW()/100000,"")</f>
        <v/>
      </c>
      <c r="S2933" s="37" t="str">
        <f aca="false">IF($A2933="","",INT($A2933))</f>
        <v/>
      </c>
      <c r="T2933" s="35" t="str">
        <f aca="false">IF($A2933="","",IF(COUNTIFS($S$3:$S2933,$S2933)=1,1,0))</f>
        <v/>
      </c>
      <c r="U2933" s="37" t="str">
        <f aca="false">IF($T2933=1,$S2933,"")</f>
        <v/>
      </c>
    </row>
    <row r="2934" customFormat="false" ht="15" hidden="false" customHeight="false" outlineLevel="0" collapsed="false">
      <c r="M2934" s="35" t="str">
        <f aca="false">IF($A2934="","",HOUR($A2934))</f>
        <v/>
      </c>
      <c r="N2934" s="36" t="str">
        <f aca="false">IF($A2934="","",$I2934*$K2934)</f>
        <v/>
      </c>
      <c r="O2934" s="35" t="str">
        <f aca="false">IF(OR($A2934="",$C2934="U",$S2934&lt;&gt;Calc!$F$2),"",SUMIFS($I$3:$I$3002,$E$3:$E$3002,$E2934,$C$3:$C$3002,"&lt;&gt;U",$S$3:$S$3002,Calc!$F$2))</f>
        <v/>
      </c>
      <c r="P2934" s="35" t="str">
        <f aca="false">IF(OR($A2934="",$C2934="U",$S2934&lt;&gt;Calc!$F$2),"",SUMIFS($N$3:$N$3002,$E$3:$E$3002,$E2934,$C$3:$C$3002,"&lt;&gt;U",$S$3:$S$3002,Calc!$F$2))</f>
        <v/>
      </c>
      <c r="Q2934" s="35" t="str">
        <f aca="false">IF(OR($A2934="",$C2934="U",$S2934&lt;&gt;Calc!$F$2),"",IF(COUNTIFS($E$3:$E2934,$E2934,$C$3:$C2934,"&lt;&gt;U",$S$3:$S2934,Calc!$F$2)=1,1,0))</f>
        <v/>
      </c>
      <c r="R2934" s="35" t="str">
        <f aca="false">IF($Q2934=1,$O2934-ROW()/100000,"")</f>
        <v/>
      </c>
      <c r="S2934" s="37" t="str">
        <f aca="false">IF($A2934="","",INT($A2934))</f>
        <v/>
      </c>
      <c r="T2934" s="35" t="str">
        <f aca="false">IF($A2934="","",IF(COUNTIFS($S$3:$S2934,$S2934)=1,1,0))</f>
        <v/>
      </c>
      <c r="U2934" s="37" t="str">
        <f aca="false">IF($T2934=1,$S2934,"")</f>
        <v/>
      </c>
    </row>
    <row r="2935" customFormat="false" ht="15" hidden="false" customHeight="false" outlineLevel="0" collapsed="false">
      <c r="M2935" s="35" t="str">
        <f aca="false">IF($A2935="","",HOUR($A2935))</f>
        <v/>
      </c>
      <c r="N2935" s="36" t="str">
        <f aca="false">IF($A2935="","",$I2935*$K2935)</f>
        <v/>
      </c>
      <c r="O2935" s="35" t="str">
        <f aca="false">IF(OR($A2935="",$C2935="U",$S2935&lt;&gt;Calc!$F$2),"",SUMIFS($I$3:$I$3002,$E$3:$E$3002,$E2935,$C$3:$C$3002,"&lt;&gt;U",$S$3:$S$3002,Calc!$F$2))</f>
        <v/>
      </c>
      <c r="P2935" s="35" t="str">
        <f aca="false">IF(OR($A2935="",$C2935="U",$S2935&lt;&gt;Calc!$F$2),"",SUMIFS($N$3:$N$3002,$E$3:$E$3002,$E2935,$C$3:$C$3002,"&lt;&gt;U",$S$3:$S$3002,Calc!$F$2))</f>
        <v/>
      </c>
      <c r="Q2935" s="35" t="str">
        <f aca="false">IF(OR($A2935="",$C2935="U",$S2935&lt;&gt;Calc!$F$2),"",IF(COUNTIFS($E$3:$E2935,$E2935,$C$3:$C2935,"&lt;&gt;U",$S$3:$S2935,Calc!$F$2)=1,1,0))</f>
        <v/>
      </c>
      <c r="R2935" s="35" t="str">
        <f aca="false">IF($Q2935=1,$O2935-ROW()/100000,"")</f>
        <v/>
      </c>
      <c r="S2935" s="37" t="str">
        <f aca="false">IF($A2935="","",INT($A2935))</f>
        <v/>
      </c>
      <c r="T2935" s="35" t="str">
        <f aca="false">IF($A2935="","",IF(COUNTIFS($S$3:$S2935,$S2935)=1,1,0))</f>
        <v/>
      </c>
      <c r="U2935" s="37" t="str">
        <f aca="false">IF($T2935=1,$S2935,"")</f>
        <v/>
      </c>
    </row>
    <row r="2936" customFormat="false" ht="15" hidden="false" customHeight="false" outlineLevel="0" collapsed="false">
      <c r="M2936" s="35" t="str">
        <f aca="false">IF($A2936="","",HOUR($A2936))</f>
        <v/>
      </c>
      <c r="N2936" s="36" t="str">
        <f aca="false">IF($A2936="","",$I2936*$K2936)</f>
        <v/>
      </c>
      <c r="O2936" s="35" t="str">
        <f aca="false">IF(OR($A2936="",$C2936="U",$S2936&lt;&gt;Calc!$F$2),"",SUMIFS($I$3:$I$3002,$E$3:$E$3002,$E2936,$C$3:$C$3002,"&lt;&gt;U",$S$3:$S$3002,Calc!$F$2))</f>
        <v/>
      </c>
      <c r="P2936" s="35" t="str">
        <f aca="false">IF(OR($A2936="",$C2936="U",$S2936&lt;&gt;Calc!$F$2),"",SUMIFS($N$3:$N$3002,$E$3:$E$3002,$E2936,$C$3:$C$3002,"&lt;&gt;U",$S$3:$S$3002,Calc!$F$2))</f>
        <v/>
      </c>
      <c r="Q2936" s="35" t="str">
        <f aca="false">IF(OR($A2936="",$C2936="U",$S2936&lt;&gt;Calc!$F$2),"",IF(COUNTIFS($E$3:$E2936,$E2936,$C$3:$C2936,"&lt;&gt;U",$S$3:$S2936,Calc!$F$2)=1,1,0))</f>
        <v/>
      </c>
      <c r="R2936" s="35" t="str">
        <f aca="false">IF($Q2936=1,$O2936-ROW()/100000,"")</f>
        <v/>
      </c>
      <c r="S2936" s="37" t="str">
        <f aca="false">IF($A2936="","",INT($A2936))</f>
        <v/>
      </c>
      <c r="T2936" s="35" t="str">
        <f aca="false">IF($A2936="","",IF(COUNTIFS($S$3:$S2936,$S2936)=1,1,0))</f>
        <v/>
      </c>
      <c r="U2936" s="37" t="str">
        <f aca="false">IF($T2936=1,$S2936,"")</f>
        <v/>
      </c>
    </row>
    <row r="2937" customFormat="false" ht="15" hidden="false" customHeight="false" outlineLevel="0" collapsed="false">
      <c r="M2937" s="35" t="str">
        <f aca="false">IF($A2937="","",HOUR($A2937))</f>
        <v/>
      </c>
      <c r="N2937" s="36" t="str">
        <f aca="false">IF($A2937="","",$I2937*$K2937)</f>
        <v/>
      </c>
      <c r="O2937" s="35" t="str">
        <f aca="false">IF(OR($A2937="",$C2937="U",$S2937&lt;&gt;Calc!$F$2),"",SUMIFS($I$3:$I$3002,$E$3:$E$3002,$E2937,$C$3:$C$3002,"&lt;&gt;U",$S$3:$S$3002,Calc!$F$2))</f>
        <v/>
      </c>
      <c r="P2937" s="35" t="str">
        <f aca="false">IF(OR($A2937="",$C2937="U",$S2937&lt;&gt;Calc!$F$2),"",SUMIFS($N$3:$N$3002,$E$3:$E$3002,$E2937,$C$3:$C$3002,"&lt;&gt;U",$S$3:$S$3002,Calc!$F$2))</f>
        <v/>
      </c>
      <c r="Q2937" s="35" t="str">
        <f aca="false">IF(OR($A2937="",$C2937="U",$S2937&lt;&gt;Calc!$F$2),"",IF(COUNTIFS($E$3:$E2937,$E2937,$C$3:$C2937,"&lt;&gt;U",$S$3:$S2937,Calc!$F$2)=1,1,0))</f>
        <v/>
      </c>
      <c r="R2937" s="35" t="str">
        <f aca="false">IF($Q2937=1,$O2937-ROW()/100000,"")</f>
        <v/>
      </c>
      <c r="S2937" s="37" t="str">
        <f aca="false">IF($A2937="","",INT($A2937))</f>
        <v/>
      </c>
      <c r="T2937" s="35" t="str">
        <f aca="false">IF($A2937="","",IF(COUNTIFS($S$3:$S2937,$S2937)=1,1,0))</f>
        <v/>
      </c>
      <c r="U2937" s="37" t="str">
        <f aca="false">IF($T2937=1,$S2937,"")</f>
        <v/>
      </c>
    </row>
    <row r="2938" customFormat="false" ht="15" hidden="false" customHeight="false" outlineLevel="0" collapsed="false">
      <c r="M2938" s="35" t="str">
        <f aca="false">IF($A2938="","",HOUR($A2938))</f>
        <v/>
      </c>
      <c r="N2938" s="36" t="str">
        <f aca="false">IF($A2938="","",$I2938*$K2938)</f>
        <v/>
      </c>
      <c r="O2938" s="35" t="str">
        <f aca="false">IF(OR($A2938="",$C2938="U",$S2938&lt;&gt;Calc!$F$2),"",SUMIFS($I$3:$I$3002,$E$3:$E$3002,$E2938,$C$3:$C$3002,"&lt;&gt;U",$S$3:$S$3002,Calc!$F$2))</f>
        <v/>
      </c>
      <c r="P2938" s="35" t="str">
        <f aca="false">IF(OR($A2938="",$C2938="U",$S2938&lt;&gt;Calc!$F$2),"",SUMIFS($N$3:$N$3002,$E$3:$E$3002,$E2938,$C$3:$C$3002,"&lt;&gt;U",$S$3:$S$3002,Calc!$F$2))</f>
        <v/>
      </c>
      <c r="Q2938" s="35" t="str">
        <f aca="false">IF(OR($A2938="",$C2938="U",$S2938&lt;&gt;Calc!$F$2),"",IF(COUNTIFS($E$3:$E2938,$E2938,$C$3:$C2938,"&lt;&gt;U",$S$3:$S2938,Calc!$F$2)=1,1,0))</f>
        <v/>
      </c>
      <c r="R2938" s="35" t="str">
        <f aca="false">IF($Q2938=1,$O2938-ROW()/100000,"")</f>
        <v/>
      </c>
      <c r="S2938" s="37" t="str">
        <f aca="false">IF($A2938="","",INT($A2938))</f>
        <v/>
      </c>
      <c r="T2938" s="35" t="str">
        <f aca="false">IF($A2938="","",IF(COUNTIFS($S$3:$S2938,$S2938)=1,1,0))</f>
        <v/>
      </c>
      <c r="U2938" s="37" t="str">
        <f aca="false">IF($T2938=1,$S2938,"")</f>
        <v/>
      </c>
    </row>
    <row r="2939" customFormat="false" ht="15" hidden="false" customHeight="false" outlineLevel="0" collapsed="false">
      <c r="M2939" s="35" t="str">
        <f aca="false">IF($A2939="","",HOUR($A2939))</f>
        <v/>
      </c>
      <c r="N2939" s="36" t="str">
        <f aca="false">IF($A2939="","",$I2939*$K2939)</f>
        <v/>
      </c>
      <c r="O2939" s="35" t="str">
        <f aca="false">IF(OR($A2939="",$C2939="U",$S2939&lt;&gt;Calc!$F$2),"",SUMIFS($I$3:$I$3002,$E$3:$E$3002,$E2939,$C$3:$C$3002,"&lt;&gt;U",$S$3:$S$3002,Calc!$F$2))</f>
        <v/>
      </c>
      <c r="P2939" s="35" t="str">
        <f aca="false">IF(OR($A2939="",$C2939="U",$S2939&lt;&gt;Calc!$F$2),"",SUMIFS($N$3:$N$3002,$E$3:$E$3002,$E2939,$C$3:$C$3002,"&lt;&gt;U",$S$3:$S$3002,Calc!$F$2))</f>
        <v/>
      </c>
      <c r="Q2939" s="35" t="str">
        <f aca="false">IF(OR($A2939="",$C2939="U",$S2939&lt;&gt;Calc!$F$2),"",IF(COUNTIFS($E$3:$E2939,$E2939,$C$3:$C2939,"&lt;&gt;U",$S$3:$S2939,Calc!$F$2)=1,1,0))</f>
        <v/>
      </c>
      <c r="R2939" s="35" t="str">
        <f aca="false">IF($Q2939=1,$O2939-ROW()/100000,"")</f>
        <v/>
      </c>
      <c r="S2939" s="37" t="str">
        <f aca="false">IF($A2939="","",INT($A2939))</f>
        <v/>
      </c>
      <c r="T2939" s="35" t="str">
        <f aca="false">IF($A2939="","",IF(COUNTIFS($S$3:$S2939,$S2939)=1,1,0))</f>
        <v/>
      </c>
      <c r="U2939" s="37" t="str">
        <f aca="false">IF($T2939=1,$S2939,"")</f>
        <v/>
      </c>
    </row>
    <row r="2940" customFormat="false" ht="15" hidden="false" customHeight="false" outlineLevel="0" collapsed="false">
      <c r="M2940" s="35" t="str">
        <f aca="false">IF($A2940="","",HOUR($A2940))</f>
        <v/>
      </c>
      <c r="N2940" s="36" t="str">
        <f aca="false">IF($A2940="","",$I2940*$K2940)</f>
        <v/>
      </c>
      <c r="O2940" s="35" t="str">
        <f aca="false">IF(OR($A2940="",$C2940="U",$S2940&lt;&gt;Calc!$F$2),"",SUMIFS($I$3:$I$3002,$E$3:$E$3002,$E2940,$C$3:$C$3002,"&lt;&gt;U",$S$3:$S$3002,Calc!$F$2))</f>
        <v/>
      </c>
      <c r="P2940" s="35" t="str">
        <f aca="false">IF(OR($A2940="",$C2940="U",$S2940&lt;&gt;Calc!$F$2),"",SUMIFS($N$3:$N$3002,$E$3:$E$3002,$E2940,$C$3:$C$3002,"&lt;&gt;U",$S$3:$S$3002,Calc!$F$2))</f>
        <v/>
      </c>
      <c r="Q2940" s="35" t="str">
        <f aca="false">IF(OR($A2940="",$C2940="U",$S2940&lt;&gt;Calc!$F$2),"",IF(COUNTIFS($E$3:$E2940,$E2940,$C$3:$C2940,"&lt;&gt;U",$S$3:$S2940,Calc!$F$2)=1,1,0))</f>
        <v/>
      </c>
      <c r="R2940" s="35" t="str">
        <f aca="false">IF($Q2940=1,$O2940-ROW()/100000,"")</f>
        <v/>
      </c>
      <c r="S2940" s="37" t="str">
        <f aca="false">IF($A2940="","",INT($A2940))</f>
        <v/>
      </c>
      <c r="T2940" s="35" t="str">
        <f aca="false">IF($A2940="","",IF(COUNTIFS($S$3:$S2940,$S2940)=1,1,0))</f>
        <v/>
      </c>
      <c r="U2940" s="37" t="str">
        <f aca="false">IF($T2940=1,$S2940,"")</f>
        <v/>
      </c>
    </row>
    <row r="2941" customFormat="false" ht="15" hidden="false" customHeight="false" outlineLevel="0" collapsed="false">
      <c r="M2941" s="35" t="str">
        <f aca="false">IF($A2941="","",HOUR($A2941))</f>
        <v/>
      </c>
      <c r="N2941" s="36" t="str">
        <f aca="false">IF($A2941="","",$I2941*$K2941)</f>
        <v/>
      </c>
      <c r="O2941" s="35" t="str">
        <f aca="false">IF(OR($A2941="",$C2941="U",$S2941&lt;&gt;Calc!$F$2),"",SUMIFS($I$3:$I$3002,$E$3:$E$3002,$E2941,$C$3:$C$3002,"&lt;&gt;U",$S$3:$S$3002,Calc!$F$2))</f>
        <v/>
      </c>
      <c r="P2941" s="35" t="str">
        <f aca="false">IF(OR($A2941="",$C2941="U",$S2941&lt;&gt;Calc!$F$2),"",SUMIFS($N$3:$N$3002,$E$3:$E$3002,$E2941,$C$3:$C$3002,"&lt;&gt;U",$S$3:$S$3002,Calc!$F$2))</f>
        <v/>
      </c>
      <c r="Q2941" s="35" t="str">
        <f aca="false">IF(OR($A2941="",$C2941="U",$S2941&lt;&gt;Calc!$F$2),"",IF(COUNTIFS($E$3:$E2941,$E2941,$C$3:$C2941,"&lt;&gt;U",$S$3:$S2941,Calc!$F$2)=1,1,0))</f>
        <v/>
      </c>
      <c r="R2941" s="35" t="str">
        <f aca="false">IF($Q2941=1,$O2941-ROW()/100000,"")</f>
        <v/>
      </c>
      <c r="S2941" s="37" t="str">
        <f aca="false">IF($A2941="","",INT($A2941))</f>
        <v/>
      </c>
      <c r="T2941" s="35" t="str">
        <f aca="false">IF($A2941="","",IF(COUNTIFS($S$3:$S2941,$S2941)=1,1,0))</f>
        <v/>
      </c>
      <c r="U2941" s="37" t="str">
        <f aca="false">IF($T2941=1,$S2941,"")</f>
        <v/>
      </c>
    </row>
    <row r="2942" customFormat="false" ht="15" hidden="false" customHeight="false" outlineLevel="0" collapsed="false">
      <c r="M2942" s="35" t="str">
        <f aca="false">IF($A2942="","",HOUR($A2942))</f>
        <v/>
      </c>
      <c r="N2942" s="36" t="str">
        <f aca="false">IF($A2942="","",$I2942*$K2942)</f>
        <v/>
      </c>
      <c r="O2942" s="35" t="str">
        <f aca="false">IF(OR($A2942="",$C2942="U",$S2942&lt;&gt;Calc!$F$2),"",SUMIFS($I$3:$I$3002,$E$3:$E$3002,$E2942,$C$3:$C$3002,"&lt;&gt;U",$S$3:$S$3002,Calc!$F$2))</f>
        <v/>
      </c>
      <c r="P2942" s="35" t="str">
        <f aca="false">IF(OR($A2942="",$C2942="U",$S2942&lt;&gt;Calc!$F$2),"",SUMIFS($N$3:$N$3002,$E$3:$E$3002,$E2942,$C$3:$C$3002,"&lt;&gt;U",$S$3:$S$3002,Calc!$F$2))</f>
        <v/>
      </c>
      <c r="Q2942" s="35" t="str">
        <f aca="false">IF(OR($A2942="",$C2942="U",$S2942&lt;&gt;Calc!$F$2),"",IF(COUNTIFS($E$3:$E2942,$E2942,$C$3:$C2942,"&lt;&gt;U",$S$3:$S2942,Calc!$F$2)=1,1,0))</f>
        <v/>
      </c>
      <c r="R2942" s="35" t="str">
        <f aca="false">IF($Q2942=1,$O2942-ROW()/100000,"")</f>
        <v/>
      </c>
      <c r="S2942" s="37" t="str">
        <f aca="false">IF($A2942="","",INT($A2942))</f>
        <v/>
      </c>
      <c r="T2942" s="35" t="str">
        <f aca="false">IF($A2942="","",IF(COUNTIFS($S$3:$S2942,$S2942)=1,1,0))</f>
        <v/>
      </c>
      <c r="U2942" s="37" t="str">
        <f aca="false">IF($T2942=1,$S2942,"")</f>
        <v/>
      </c>
    </row>
    <row r="2943" customFormat="false" ht="15" hidden="false" customHeight="false" outlineLevel="0" collapsed="false">
      <c r="M2943" s="35" t="str">
        <f aca="false">IF($A2943="","",HOUR($A2943))</f>
        <v/>
      </c>
      <c r="N2943" s="36" t="str">
        <f aca="false">IF($A2943="","",$I2943*$K2943)</f>
        <v/>
      </c>
      <c r="O2943" s="35" t="str">
        <f aca="false">IF(OR($A2943="",$C2943="U",$S2943&lt;&gt;Calc!$F$2),"",SUMIFS($I$3:$I$3002,$E$3:$E$3002,$E2943,$C$3:$C$3002,"&lt;&gt;U",$S$3:$S$3002,Calc!$F$2))</f>
        <v/>
      </c>
      <c r="P2943" s="35" t="str">
        <f aca="false">IF(OR($A2943="",$C2943="U",$S2943&lt;&gt;Calc!$F$2),"",SUMIFS($N$3:$N$3002,$E$3:$E$3002,$E2943,$C$3:$C$3002,"&lt;&gt;U",$S$3:$S$3002,Calc!$F$2))</f>
        <v/>
      </c>
      <c r="Q2943" s="35" t="str">
        <f aca="false">IF(OR($A2943="",$C2943="U",$S2943&lt;&gt;Calc!$F$2),"",IF(COUNTIFS($E$3:$E2943,$E2943,$C$3:$C2943,"&lt;&gt;U",$S$3:$S2943,Calc!$F$2)=1,1,0))</f>
        <v/>
      </c>
      <c r="R2943" s="35" t="str">
        <f aca="false">IF($Q2943=1,$O2943-ROW()/100000,"")</f>
        <v/>
      </c>
      <c r="S2943" s="37" t="str">
        <f aca="false">IF($A2943="","",INT($A2943))</f>
        <v/>
      </c>
      <c r="T2943" s="35" t="str">
        <f aca="false">IF($A2943="","",IF(COUNTIFS($S$3:$S2943,$S2943)=1,1,0))</f>
        <v/>
      </c>
      <c r="U2943" s="37" t="str">
        <f aca="false">IF($T2943=1,$S2943,"")</f>
        <v/>
      </c>
    </row>
    <row r="2944" customFormat="false" ht="15" hidden="false" customHeight="false" outlineLevel="0" collapsed="false">
      <c r="M2944" s="35" t="str">
        <f aca="false">IF($A2944="","",HOUR($A2944))</f>
        <v/>
      </c>
      <c r="N2944" s="36" t="str">
        <f aca="false">IF($A2944="","",$I2944*$K2944)</f>
        <v/>
      </c>
      <c r="O2944" s="35" t="str">
        <f aca="false">IF(OR($A2944="",$C2944="U",$S2944&lt;&gt;Calc!$F$2),"",SUMIFS($I$3:$I$3002,$E$3:$E$3002,$E2944,$C$3:$C$3002,"&lt;&gt;U",$S$3:$S$3002,Calc!$F$2))</f>
        <v/>
      </c>
      <c r="P2944" s="35" t="str">
        <f aca="false">IF(OR($A2944="",$C2944="U",$S2944&lt;&gt;Calc!$F$2),"",SUMIFS($N$3:$N$3002,$E$3:$E$3002,$E2944,$C$3:$C$3002,"&lt;&gt;U",$S$3:$S$3002,Calc!$F$2))</f>
        <v/>
      </c>
      <c r="Q2944" s="35" t="str">
        <f aca="false">IF(OR($A2944="",$C2944="U",$S2944&lt;&gt;Calc!$F$2),"",IF(COUNTIFS($E$3:$E2944,$E2944,$C$3:$C2944,"&lt;&gt;U",$S$3:$S2944,Calc!$F$2)=1,1,0))</f>
        <v/>
      </c>
      <c r="R2944" s="35" t="str">
        <f aca="false">IF($Q2944=1,$O2944-ROW()/100000,"")</f>
        <v/>
      </c>
      <c r="S2944" s="37" t="str">
        <f aca="false">IF($A2944="","",INT($A2944))</f>
        <v/>
      </c>
      <c r="T2944" s="35" t="str">
        <f aca="false">IF($A2944="","",IF(COUNTIFS($S$3:$S2944,$S2944)=1,1,0))</f>
        <v/>
      </c>
      <c r="U2944" s="37" t="str">
        <f aca="false">IF($T2944=1,$S2944,"")</f>
        <v/>
      </c>
    </row>
    <row r="2945" customFormat="false" ht="15" hidden="false" customHeight="false" outlineLevel="0" collapsed="false">
      <c r="M2945" s="35" t="str">
        <f aca="false">IF($A2945="","",HOUR($A2945))</f>
        <v/>
      </c>
      <c r="N2945" s="36" t="str">
        <f aca="false">IF($A2945="","",$I2945*$K2945)</f>
        <v/>
      </c>
      <c r="O2945" s="35" t="str">
        <f aca="false">IF(OR($A2945="",$C2945="U",$S2945&lt;&gt;Calc!$F$2),"",SUMIFS($I$3:$I$3002,$E$3:$E$3002,$E2945,$C$3:$C$3002,"&lt;&gt;U",$S$3:$S$3002,Calc!$F$2))</f>
        <v/>
      </c>
      <c r="P2945" s="35" t="str">
        <f aca="false">IF(OR($A2945="",$C2945="U",$S2945&lt;&gt;Calc!$F$2),"",SUMIFS($N$3:$N$3002,$E$3:$E$3002,$E2945,$C$3:$C$3002,"&lt;&gt;U",$S$3:$S$3002,Calc!$F$2))</f>
        <v/>
      </c>
      <c r="Q2945" s="35" t="str">
        <f aca="false">IF(OR($A2945="",$C2945="U",$S2945&lt;&gt;Calc!$F$2),"",IF(COUNTIFS($E$3:$E2945,$E2945,$C$3:$C2945,"&lt;&gt;U",$S$3:$S2945,Calc!$F$2)=1,1,0))</f>
        <v/>
      </c>
      <c r="R2945" s="35" t="str">
        <f aca="false">IF($Q2945=1,$O2945-ROW()/100000,"")</f>
        <v/>
      </c>
      <c r="S2945" s="37" t="str">
        <f aca="false">IF($A2945="","",INT($A2945))</f>
        <v/>
      </c>
      <c r="T2945" s="35" t="str">
        <f aca="false">IF($A2945="","",IF(COUNTIFS($S$3:$S2945,$S2945)=1,1,0))</f>
        <v/>
      </c>
      <c r="U2945" s="37" t="str">
        <f aca="false">IF($T2945=1,$S2945,"")</f>
        <v/>
      </c>
    </row>
    <row r="2946" customFormat="false" ht="15" hidden="false" customHeight="false" outlineLevel="0" collapsed="false">
      <c r="M2946" s="35" t="str">
        <f aca="false">IF($A2946="","",HOUR($A2946))</f>
        <v/>
      </c>
      <c r="N2946" s="36" t="str">
        <f aca="false">IF($A2946="","",$I2946*$K2946)</f>
        <v/>
      </c>
      <c r="O2946" s="35" t="str">
        <f aca="false">IF(OR($A2946="",$C2946="U",$S2946&lt;&gt;Calc!$F$2),"",SUMIFS($I$3:$I$3002,$E$3:$E$3002,$E2946,$C$3:$C$3002,"&lt;&gt;U",$S$3:$S$3002,Calc!$F$2))</f>
        <v/>
      </c>
      <c r="P2946" s="35" t="str">
        <f aca="false">IF(OR($A2946="",$C2946="U",$S2946&lt;&gt;Calc!$F$2),"",SUMIFS($N$3:$N$3002,$E$3:$E$3002,$E2946,$C$3:$C$3002,"&lt;&gt;U",$S$3:$S$3002,Calc!$F$2))</f>
        <v/>
      </c>
      <c r="Q2946" s="35" t="str">
        <f aca="false">IF(OR($A2946="",$C2946="U",$S2946&lt;&gt;Calc!$F$2),"",IF(COUNTIFS($E$3:$E2946,$E2946,$C$3:$C2946,"&lt;&gt;U",$S$3:$S2946,Calc!$F$2)=1,1,0))</f>
        <v/>
      </c>
      <c r="R2946" s="35" t="str">
        <f aca="false">IF($Q2946=1,$O2946-ROW()/100000,"")</f>
        <v/>
      </c>
      <c r="S2946" s="37" t="str">
        <f aca="false">IF($A2946="","",INT($A2946))</f>
        <v/>
      </c>
      <c r="T2946" s="35" t="str">
        <f aca="false">IF($A2946="","",IF(COUNTIFS($S$3:$S2946,$S2946)=1,1,0))</f>
        <v/>
      </c>
      <c r="U2946" s="37" t="str">
        <f aca="false">IF($T2946=1,$S2946,"")</f>
        <v/>
      </c>
    </row>
    <row r="2947" customFormat="false" ht="15" hidden="false" customHeight="false" outlineLevel="0" collapsed="false">
      <c r="M2947" s="35" t="str">
        <f aca="false">IF($A2947="","",HOUR($A2947))</f>
        <v/>
      </c>
      <c r="N2947" s="36" t="str">
        <f aca="false">IF($A2947="","",$I2947*$K2947)</f>
        <v/>
      </c>
      <c r="O2947" s="35" t="str">
        <f aca="false">IF(OR($A2947="",$C2947="U",$S2947&lt;&gt;Calc!$F$2),"",SUMIFS($I$3:$I$3002,$E$3:$E$3002,$E2947,$C$3:$C$3002,"&lt;&gt;U",$S$3:$S$3002,Calc!$F$2))</f>
        <v/>
      </c>
      <c r="P2947" s="35" t="str">
        <f aca="false">IF(OR($A2947="",$C2947="U",$S2947&lt;&gt;Calc!$F$2),"",SUMIFS($N$3:$N$3002,$E$3:$E$3002,$E2947,$C$3:$C$3002,"&lt;&gt;U",$S$3:$S$3002,Calc!$F$2))</f>
        <v/>
      </c>
      <c r="Q2947" s="35" t="str">
        <f aca="false">IF(OR($A2947="",$C2947="U",$S2947&lt;&gt;Calc!$F$2),"",IF(COUNTIFS($E$3:$E2947,$E2947,$C$3:$C2947,"&lt;&gt;U",$S$3:$S2947,Calc!$F$2)=1,1,0))</f>
        <v/>
      </c>
      <c r="R2947" s="35" t="str">
        <f aca="false">IF($Q2947=1,$O2947-ROW()/100000,"")</f>
        <v/>
      </c>
      <c r="S2947" s="37" t="str">
        <f aca="false">IF($A2947="","",INT($A2947))</f>
        <v/>
      </c>
      <c r="T2947" s="35" t="str">
        <f aca="false">IF($A2947="","",IF(COUNTIFS($S$3:$S2947,$S2947)=1,1,0))</f>
        <v/>
      </c>
      <c r="U2947" s="37" t="str">
        <f aca="false">IF($T2947=1,$S2947,"")</f>
        <v/>
      </c>
    </row>
    <row r="2948" customFormat="false" ht="15" hidden="false" customHeight="false" outlineLevel="0" collapsed="false">
      <c r="M2948" s="35" t="str">
        <f aca="false">IF($A2948="","",HOUR($A2948))</f>
        <v/>
      </c>
      <c r="N2948" s="36" t="str">
        <f aca="false">IF($A2948="","",$I2948*$K2948)</f>
        <v/>
      </c>
      <c r="O2948" s="35" t="str">
        <f aca="false">IF(OR($A2948="",$C2948="U",$S2948&lt;&gt;Calc!$F$2),"",SUMIFS($I$3:$I$3002,$E$3:$E$3002,$E2948,$C$3:$C$3002,"&lt;&gt;U",$S$3:$S$3002,Calc!$F$2))</f>
        <v/>
      </c>
      <c r="P2948" s="35" t="str">
        <f aca="false">IF(OR($A2948="",$C2948="U",$S2948&lt;&gt;Calc!$F$2),"",SUMIFS($N$3:$N$3002,$E$3:$E$3002,$E2948,$C$3:$C$3002,"&lt;&gt;U",$S$3:$S$3002,Calc!$F$2))</f>
        <v/>
      </c>
      <c r="Q2948" s="35" t="str">
        <f aca="false">IF(OR($A2948="",$C2948="U",$S2948&lt;&gt;Calc!$F$2),"",IF(COUNTIFS($E$3:$E2948,$E2948,$C$3:$C2948,"&lt;&gt;U",$S$3:$S2948,Calc!$F$2)=1,1,0))</f>
        <v/>
      </c>
      <c r="R2948" s="35" t="str">
        <f aca="false">IF($Q2948=1,$O2948-ROW()/100000,"")</f>
        <v/>
      </c>
      <c r="S2948" s="37" t="str">
        <f aca="false">IF($A2948="","",INT($A2948))</f>
        <v/>
      </c>
      <c r="T2948" s="35" t="str">
        <f aca="false">IF($A2948="","",IF(COUNTIFS($S$3:$S2948,$S2948)=1,1,0))</f>
        <v/>
      </c>
      <c r="U2948" s="37" t="str">
        <f aca="false">IF($T2948=1,$S2948,"")</f>
        <v/>
      </c>
    </row>
    <row r="2949" customFormat="false" ht="15" hidden="false" customHeight="false" outlineLevel="0" collapsed="false">
      <c r="M2949" s="35" t="str">
        <f aca="false">IF($A2949="","",HOUR($A2949))</f>
        <v/>
      </c>
      <c r="N2949" s="36" t="str">
        <f aca="false">IF($A2949="","",$I2949*$K2949)</f>
        <v/>
      </c>
      <c r="O2949" s="35" t="str">
        <f aca="false">IF(OR($A2949="",$C2949="U",$S2949&lt;&gt;Calc!$F$2),"",SUMIFS($I$3:$I$3002,$E$3:$E$3002,$E2949,$C$3:$C$3002,"&lt;&gt;U",$S$3:$S$3002,Calc!$F$2))</f>
        <v/>
      </c>
      <c r="P2949" s="35" t="str">
        <f aca="false">IF(OR($A2949="",$C2949="U",$S2949&lt;&gt;Calc!$F$2),"",SUMIFS($N$3:$N$3002,$E$3:$E$3002,$E2949,$C$3:$C$3002,"&lt;&gt;U",$S$3:$S$3002,Calc!$F$2))</f>
        <v/>
      </c>
      <c r="Q2949" s="35" t="str">
        <f aca="false">IF(OR($A2949="",$C2949="U",$S2949&lt;&gt;Calc!$F$2),"",IF(COUNTIFS($E$3:$E2949,$E2949,$C$3:$C2949,"&lt;&gt;U",$S$3:$S2949,Calc!$F$2)=1,1,0))</f>
        <v/>
      </c>
      <c r="R2949" s="35" t="str">
        <f aca="false">IF($Q2949=1,$O2949-ROW()/100000,"")</f>
        <v/>
      </c>
      <c r="S2949" s="37" t="str">
        <f aca="false">IF($A2949="","",INT($A2949))</f>
        <v/>
      </c>
      <c r="T2949" s="35" t="str">
        <f aca="false">IF($A2949="","",IF(COUNTIFS($S$3:$S2949,$S2949)=1,1,0))</f>
        <v/>
      </c>
      <c r="U2949" s="37" t="str">
        <f aca="false">IF($T2949=1,$S2949,"")</f>
        <v/>
      </c>
    </row>
    <row r="2950" customFormat="false" ht="15" hidden="false" customHeight="false" outlineLevel="0" collapsed="false">
      <c r="M2950" s="35" t="str">
        <f aca="false">IF($A2950="","",HOUR($A2950))</f>
        <v/>
      </c>
      <c r="N2950" s="36" t="str">
        <f aca="false">IF($A2950="","",$I2950*$K2950)</f>
        <v/>
      </c>
      <c r="O2950" s="35" t="str">
        <f aca="false">IF(OR($A2950="",$C2950="U",$S2950&lt;&gt;Calc!$F$2),"",SUMIFS($I$3:$I$3002,$E$3:$E$3002,$E2950,$C$3:$C$3002,"&lt;&gt;U",$S$3:$S$3002,Calc!$F$2))</f>
        <v/>
      </c>
      <c r="P2950" s="35" t="str">
        <f aca="false">IF(OR($A2950="",$C2950="U",$S2950&lt;&gt;Calc!$F$2),"",SUMIFS($N$3:$N$3002,$E$3:$E$3002,$E2950,$C$3:$C$3002,"&lt;&gt;U",$S$3:$S$3002,Calc!$F$2))</f>
        <v/>
      </c>
      <c r="Q2950" s="35" t="str">
        <f aca="false">IF(OR($A2950="",$C2950="U",$S2950&lt;&gt;Calc!$F$2),"",IF(COUNTIFS($E$3:$E2950,$E2950,$C$3:$C2950,"&lt;&gt;U",$S$3:$S2950,Calc!$F$2)=1,1,0))</f>
        <v/>
      </c>
      <c r="R2950" s="35" t="str">
        <f aca="false">IF($Q2950=1,$O2950-ROW()/100000,"")</f>
        <v/>
      </c>
      <c r="S2950" s="37" t="str">
        <f aca="false">IF($A2950="","",INT($A2950))</f>
        <v/>
      </c>
      <c r="T2950" s="35" t="str">
        <f aca="false">IF($A2950="","",IF(COUNTIFS($S$3:$S2950,$S2950)=1,1,0))</f>
        <v/>
      </c>
      <c r="U2950" s="37" t="str">
        <f aca="false">IF($T2950=1,$S2950,"")</f>
        <v/>
      </c>
    </row>
    <row r="2951" customFormat="false" ht="15" hidden="false" customHeight="false" outlineLevel="0" collapsed="false">
      <c r="M2951" s="35" t="str">
        <f aca="false">IF($A2951="","",HOUR($A2951))</f>
        <v/>
      </c>
      <c r="N2951" s="36" t="str">
        <f aca="false">IF($A2951="","",$I2951*$K2951)</f>
        <v/>
      </c>
      <c r="O2951" s="35" t="str">
        <f aca="false">IF(OR($A2951="",$C2951="U",$S2951&lt;&gt;Calc!$F$2),"",SUMIFS($I$3:$I$3002,$E$3:$E$3002,$E2951,$C$3:$C$3002,"&lt;&gt;U",$S$3:$S$3002,Calc!$F$2))</f>
        <v/>
      </c>
      <c r="P2951" s="35" t="str">
        <f aca="false">IF(OR($A2951="",$C2951="U",$S2951&lt;&gt;Calc!$F$2),"",SUMIFS($N$3:$N$3002,$E$3:$E$3002,$E2951,$C$3:$C$3002,"&lt;&gt;U",$S$3:$S$3002,Calc!$F$2))</f>
        <v/>
      </c>
      <c r="Q2951" s="35" t="str">
        <f aca="false">IF(OR($A2951="",$C2951="U",$S2951&lt;&gt;Calc!$F$2),"",IF(COUNTIFS($E$3:$E2951,$E2951,$C$3:$C2951,"&lt;&gt;U",$S$3:$S2951,Calc!$F$2)=1,1,0))</f>
        <v/>
      </c>
      <c r="R2951" s="35" t="str">
        <f aca="false">IF($Q2951=1,$O2951-ROW()/100000,"")</f>
        <v/>
      </c>
      <c r="S2951" s="37" t="str">
        <f aca="false">IF($A2951="","",INT($A2951))</f>
        <v/>
      </c>
      <c r="T2951" s="35" t="str">
        <f aca="false">IF($A2951="","",IF(COUNTIFS($S$3:$S2951,$S2951)=1,1,0))</f>
        <v/>
      </c>
      <c r="U2951" s="37" t="str">
        <f aca="false">IF($T2951=1,$S2951,"")</f>
        <v/>
      </c>
    </row>
    <row r="2952" customFormat="false" ht="15" hidden="false" customHeight="false" outlineLevel="0" collapsed="false">
      <c r="M2952" s="35" t="str">
        <f aca="false">IF($A2952="","",HOUR($A2952))</f>
        <v/>
      </c>
      <c r="N2952" s="36" t="str">
        <f aca="false">IF($A2952="","",$I2952*$K2952)</f>
        <v/>
      </c>
      <c r="O2952" s="35" t="str">
        <f aca="false">IF(OR($A2952="",$C2952="U",$S2952&lt;&gt;Calc!$F$2),"",SUMIFS($I$3:$I$3002,$E$3:$E$3002,$E2952,$C$3:$C$3002,"&lt;&gt;U",$S$3:$S$3002,Calc!$F$2))</f>
        <v/>
      </c>
      <c r="P2952" s="35" t="str">
        <f aca="false">IF(OR($A2952="",$C2952="U",$S2952&lt;&gt;Calc!$F$2),"",SUMIFS($N$3:$N$3002,$E$3:$E$3002,$E2952,$C$3:$C$3002,"&lt;&gt;U",$S$3:$S$3002,Calc!$F$2))</f>
        <v/>
      </c>
      <c r="Q2952" s="35" t="str">
        <f aca="false">IF(OR($A2952="",$C2952="U",$S2952&lt;&gt;Calc!$F$2),"",IF(COUNTIFS($E$3:$E2952,$E2952,$C$3:$C2952,"&lt;&gt;U",$S$3:$S2952,Calc!$F$2)=1,1,0))</f>
        <v/>
      </c>
      <c r="R2952" s="35" t="str">
        <f aca="false">IF($Q2952=1,$O2952-ROW()/100000,"")</f>
        <v/>
      </c>
      <c r="S2952" s="37" t="str">
        <f aca="false">IF($A2952="","",INT($A2952))</f>
        <v/>
      </c>
      <c r="T2952" s="35" t="str">
        <f aca="false">IF($A2952="","",IF(COUNTIFS($S$3:$S2952,$S2952)=1,1,0))</f>
        <v/>
      </c>
      <c r="U2952" s="37" t="str">
        <f aca="false">IF($T2952=1,$S2952,"")</f>
        <v/>
      </c>
    </row>
    <row r="2953" customFormat="false" ht="15" hidden="false" customHeight="false" outlineLevel="0" collapsed="false">
      <c r="M2953" s="35" t="str">
        <f aca="false">IF($A2953="","",HOUR($A2953))</f>
        <v/>
      </c>
      <c r="N2953" s="36" t="str">
        <f aca="false">IF($A2953="","",$I2953*$K2953)</f>
        <v/>
      </c>
      <c r="O2953" s="35" t="str">
        <f aca="false">IF(OR($A2953="",$C2953="U",$S2953&lt;&gt;Calc!$F$2),"",SUMIFS($I$3:$I$3002,$E$3:$E$3002,$E2953,$C$3:$C$3002,"&lt;&gt;U",$S$3:$S$3002,Calc!$F$2))</f>
        <v/>
      </c>
      <c r="P2953" s="35" t="str">
        <f aca="false">IF(OR($A2953="",$C2953="U",$S2953&lt;&gt;Calc!$F$2),"",SUMIFS($N$3:$N$3002,$E$3:$E$3002,$E2953,$C$3:$C$3002,"&lt;&gt;U",$S$3:$S$3002,Calc!$F$2))</f>
        <v/>
      </c>
      <c r="Q2953" s="35" t="str">
        <f aca="false">IF(OR($A2953="",$C2953="U",$S2953&lt;&gt;Calc!$F$2),"",IF(COUNTIFS($E$3:$E2953,$E2953,$C$3:$C2953,"&lt;&gt;U",$S$3:$S2953,Calc!$F$2)=1,1,0))</f>
        <v/>
      </c>
      <c r="R2953" s="35" t="str">
        <f aca="false">IF($Q2953=1,$O2953-ROW()/100000,"")</f>
        <v/>
      </c>
      <c r="S2953" s="37" t="str">
        <f aca="false">IF($A2953="","",INT($A2953))</f>
        <v/>
      </c>
      <c r="T2953" s="35" t="str">
        <f aca="false">IF($A2953="","",IF(COUNTIFS($S$3:$S2953,$S2953)=1,1,0))</f>
        <v/>
      </c>
      <c r="U2953" s="37" t="str">
        <f aca="false">IF($T2953=1,$S2953,"")</f>
        <v/>
      </c>
    </row>
    <row r="2954" customFormat="false" ht="15" hidden="false" customHeight="false" outlineLevel="0" collapsed="false">
      <c r="M2954" s="35" t="str">
        <f aca="false">IF($A2954="","",HOUR($A2954))</f>
        <v/>
      </c>
      <c r="N2954" s="36" t="str">
        <f aca="false">IF($A2954="","",$I2954*$K2954)</f>
        <v/>
      </c>
      <c r="O2954" s="35" t="str">
        <f aca="false">IF(OR($A2954="",$C2954="U",$S2954&lt;&gt;Calc!$F$2),"",SUMIFS($I$3:$I$3002,$E$3:$E$3002,$E2954,$C$3:$C$3002,"&lt;&gt;U",$S$3:$S$3002,Calc!$F$2))</f>
        <v/>
      </c>
      <c r="P2954" s="35" t="str">
        <f aca="false">IF(OR($A2954="",$C2954="U",$S2954&lt;&gt;Calc!$F$2),"",SUMIFS($N$3:$N$3002,$E$3:$E$3002,$E2954,$C$3:$C$3002,"&lt;&gt;U",$S$3:$S$3002,Calc!$F$2))</f>
        <v/>
      </c>
      <c r="Q2954" s="35" t="str">
        <f aca="false">IF(OR($A2954="",$C2954="U",$S2954&lt;&gt;Calc!$F$2),"",IF(COUNTIFS($E$3:$E2954,$E2954,$C$3:$C2954,"&lt;&gt;U",$S$3:$S2954,Calc!$F$2)=1,1,0))</f>
        <v/>
      </c>
      <c r="R2954" s="35" t="str">
        <f aca="false">IF($Q2954=1,$O2954-ROW()/100000,"")</f>
        <v/>
      </c>
      <c r="S2954" s="37" t="str">
        <f aca="false">IF($A2954="","",INT($A2954))</f>
        <v/>
      </c>
      <c r="T2954" s="35" t="str">
        <f aca="false">IF($A2954="","",IF(COUNTIFS($S$3:$S2954,$S2954)=1,1,0))</f>
        <v/>
      </c>
      <c r="U2954" s="37" t="str">
        <f aca="false">IF($T2954=1,$S2954,"")</f>
        <v/>
      </c>
    </row>
    <row r="2955" customFormat="false" ht="15" hidden="false" customHeight="false" outlineLevel="0" collapsed="false">
      <c r="M2955" s="35" t="str">
        <f aca="false">IF($A2955="","",HOUR($A2955))</f>
        <v/>
      </c>
      <c r="N2955" s="36" t="str">
        <f aca="false">IF($A2955="","",$I2955*$K2955)</f>
        <v/>
      </c>
      <c r="O2955" s="35" t="str">
        <f aca="false">IF(OR($A2955="",$C2955="U",$S2955&lt;&gt;Calc!$F$2),"",SUMIFS($I$3:$I$3002,$E$3:$E$3002,$E2955,$C$3:$C$3002,"&lt;&gt;U",$S$3:$S$3002,Calc!$F$2))</f>
        <v/>
      </c>
      <c r="P2955" s="35" t="str">
        <f aca="false">IF(OR($A2955="",$C2955="U",$S2955&lt;&gt;Calc!$F$2),"",SUMIFS($N$3:$N$3002,$E$3:$E$3002,$E2955,$C$3:$C$3002,"&lt;&gt;U",$S$3:$S$3002,Calc!$F$2))</f>
        <v/>
      </c>
      <c r="Q2955" s="35" t="str">
        <f aca="false">IF(OR($A2955="",$C2955="U",$S2955&lt;&gt;Calc!$F$2),"",IF(COUNTIFS($E$3:$E2955,$E2955,$C$3:$C2955,"&lt;&gt;U",$S$3:$S2955,Calc!$F$2)=1,1,0))</f>
        <v/>
      </c>
      <c r="R2955" s="35" t="str">
        <f aca="false">IF($Q2955=1,$O2955-ROW()/100000,"")</f>
        <v/>
      </c>
      <c r="S2955" s="37" t="str">
        <f aca="false">IF($A2955="","",INT($A2955))</f>
        <v/>
      </c>
      <c r="T2955" s="35" t="str">
        <f aca="false">IF($A2955="","",IF(COUNTIFS($S$3:$S2955,$S2955)=1,1,0))</f>
        <v/>
      </c>
      <c r="U2955" s="37" t="str">
        <f aca="false">IF($T2955=1,$S2955,"")</f>
        <v/>
      </c>
    </row>
    <row r="2956" customFormat="false" ht="15" hidden="false" customHeight="false" outlineLevel="0" collapsed="false">
      <c r="M2956" s="35" t="str">
        <f aca="false">IF($A2956="","",HOUR($A2956))</f>
        <v/>
      </c>
      <c r="N2956" s="36" t="str">
        <f aca="false">IF($A2956="","",$I2956*$K2956)</f>
        <v/>
      </c>
      <c r="O2956" s="35" t="str">
        <f aca="false">IF(OR($A2956="",$C2956="U",$S2956&lt;&gt;Calc!$F$2),"",SUMIFS($I$3:$I$3002,$E$3:$E$3002,$E2956,$C$3:$C$3002,"&lt;&gt;U",$S$3:$S$3002,Calc!$F$2))</f>
        <v/>
      </c>
      <c r="P2956" s="35" t="str">
        <f aca="false">IF(OR($A2956="",$C2956="U",$S2956&lt;&gt;Calc!$F$2),"",SUMIFS($N$3:$N$3002,$E$3:$E$3002,$E2956,$C$3:$C$3002,"&lt;&gt;U",$S$3:$S$3002,Calc!$F$2))</f>
        <v/>
      </c>
      <c r="Q2956" s="35" t="str">
        <f aca="false">IF(OR($A2956="",$C2956="U",$S2956&lt;&gt;Calc!$F$2),"",IF(COUNTIFS($E$3:$E2956,$E2956,$C$3:$C2956,"&lt;&gt;U",$S$3:$S2956,Calc!$F$2)=1,1,0))</f>
        <v/>
      </c>
      <c r="R2956" s="35" t="str">
        <f aca="false">IF($Q2956=1,$O2956-ROW()/100000,"")</f>
        <v/>
      </c>
      <c r="S2956" s="37" t="str">
        <f aca="false">IF($A2956="","",INT($A2956))</f>
        <v/>
      </c>
      <c r="T2956" s="35" t="str">
        <f aca="false">IF($A2956="","",IF(COUNTIFS($S$3:$S2956,$S2956)=1,1,0))</f>
        <v/>
      </c>
      <c r="U2956" s="37" t="str">
        <f aca="false">IF($T2956=1,$S2956,"")</f>
        <v/>
      </c>
    </row>
    <row r="2957" customFormat="false" ht="15" hidden="false" customHeight="false" outlineLevel="0" collapsed="false">
      <c r="M2957" s="35" t="str">
        <f aca="false">IF($A2957="","",HOUR($A2957))</f>
        <v/>
      </c>
      <c r="N2957" s="36" t="str">
        <f aca="false">IF($A2957="","",$I2957*$K2957)</f>
        <v/>
      </c>
      <c r="O2957" s="35" t="str">
        <f aca="false">IF(OR($A2957="",$C2957="U",$S2957&lt;&gt;Calc!$F$2),"",SUMIFS($I$3:$I$3002,$E$3:$E$3002,$E2957,$C$3:$C$3002,"&lt;&gt;U",$S$3:$S$3002,Calc!$F$2))</f>
        <v/>
      </c>
      <c r="P2957" s="35" t="str">
        <f aca="false">IF(OR($A2957="",$C2957="U",$S2957&lt;&gt;Calc!$F$2),"",SUMIFS($N$3:$N$3002,$E$3:$E$3002,$E2957,$C$3:$C$3002,"&lt;&gt;U",$S$3:$S$3002,Calc!$F$2))</f>
        <v/>
      </c>
      <c r="Q2957" s="35" t="str">
        <f aca="false">IF(OR($A2957="",$C2957="U",$S2957&lt;&gt;Calc!$F$2),"",IF(COUNTIFS($E$3:$E2957,$E2957,$C$3:$C2957,"&lt;&gt;U",$S$3:$S2957,Calc!$F$2)=1,1,0))</f>
        <v/>
      </c>
      <c r="R2957" s="35" t="str">
        <f aca="false">IF($Q2957=1,$O2957-ROW()/100000,"")</f>
        <v/>
      </c>
      <c r="S2957" s="37" t="str">
        <f aca="false">IF($A2957="","",INT($A2957))</f>
        <v/>
      </c>
      <c r="T2957" s="35" t="str">
        <f aca="false">IF($A2957="","",IF(COUNTIFS($S$3:$S2957,$S2957)=1,1,0))</f>
        <v/>
      </c>
      <c r="U2957" s="37" t="str">
        <f aca="false">IF($T2957=1,$S2957,"")</f>
        <v/>
      </c>
    </row>
    <row r="2958" customFormat="false" ht="15" hidden="false" customHeight="false" outlineLevel="0" collapsed="false">
      <c r="M2958" s="35" t="str">
        <f aca="false">IF($A2958="","",HOUR($A2958))</f>
        <v/>
      </c>
      <c r="N2958" s="36" t="str">
        <f aca="false">IF($A2958="","",$I2958*$K2958)</f>
        <v/>
      </c>
      <c r="O2958" s="35" t="str">
        <f aca="false">IF(OR($A2958="",$C2958="U",$S2958&lt;&gt;Calc!$F$2),"",SUMIFS($I$3:$I$3002,$E$3:$E$3002,$E2958,$C$3:$C$3002,"&lt;&gt;U",$S$3:$S$3002,Calc!$F$2))</f>
        <v/>
      </c>
      <c r="P2958" s="35" t="str">
        <f aca="false">IF(OR($A2958="",$C2958="U",$S2958&lt;&gt;Calc!$F$2),"",SUMIFS($N$3:$N$3002,$E$3:$E$3002,$E2958,$C$3:$C$3002,"&lt;&gt;U",$S$3:$S$3002,Calc!$F$2))</f>
        <v/>
      </c>
      <c r="Q2958" s="35" t="str">
        <f aca="false">IF(OR($A2958="",$C2958="U",$S2958&lt;&gt;Calc!$F$2),"",IF(COUNTIFS($E$3:$E2958,$E2958,$C$3:$C2958,"&lt;&gt;U",$S$3:$S2958,Calc!$F$2)=1,1,0))</f>
        <v/>
      </c>
      <c r="R2958" s="35" t="str">
        <f aca="false">IF($Q2958=1,$O2958-ROW()/100000,"")</f>
        <v/>
      </c>
      <c r="S2958" s="37" t="str">
        <f aca="false">IF($A2958="","",INT($A2958))</f>
        <v/>
      </c>
      <c r="T2958" s="35" t="str">
        <f aca="false">IF($A2958="","",IF(COUNTIFS($S$3:$S2958,$S2958)=1,1,0))</f>
        <v/>
      </c>
      <c r="U2958" s="37" t="str">
        <f aca="false">IF($T2958=1,$S2958,"")</f>
        <v/>
      </c>
    </row>
    <row r="2959" customFormat="false" ht="15" hidden="false" customHeight="false" outlineLevel="0" collapsed="false">
      <c r="M2959" s="35" t="str">
        <f aca="false">IF($A2959="","",HOUR($A2959))</f>
        <v/>
      </c>
      <c r="N2959" s="36" t="str">
        <f aca="false">IF($A2959="","",$I2959*$K2959)</f>
        <v/>
      </c>
      <c r="O2959" s="35" t="str">
        <f aca="false">IF(OR($A2959="",$C2959="U",$S2959&lt;&gt;Calc!$F$2),"",SUMIFS($I$3:$I$3002,$E$3:$E$3002,$E2959,$C$3:$C$3002,"&lt;&gt;U",$S$3:$S$3002,Calc!$F$2))</f>
        <v/>
      </c>
      <c r="P2959" s="35" t="str">
        <f aca="false">IF(OR($A2959="",$C2959="U",$S2959&lt;&gt;Calc!$F$2),"",SUMIFS($N$3:$N$3002,$E$3:$E$3002,$E2959,$C$3:$C$3002,"&lt;&gt;U",$S$3:$S$3002,Calc!$F$2))</f>
        <v/>
      </c>
      <c r="Q2959" s="35" t="str">
        <f aca="false">IF(OR($A2959="",$C2959="U",$S2959&lt;&gt;Calc!$F$2),"",IF(COUNTIFS($E$3:$E2959,$E2959,$C$3:$C2959,"&lt;&gt;U",$S$3:$S2959,Calc!$F$2)=1,1,0))</f>
        <v/>
      </c>
      <c r="R2959" s="35" t="str">
        <f aca="false">IF($Q2959=1,$O2959-ROW()/100000,"")</f>
        <v/>
      </c>
      <c r="S2959" s="37" t="str">
        <f aca="false">IF($A2959="","",INT($A2959))</f>
        <v/>
      </c>
      <c r="T2959" s="35" t="str">
        <f aca="false">IF($A2959="","",IF(COUNTIFS($S$3:$S2959,$S2959)=1,1,0))</f>
        <v/>
      </c>
      <c r="U2959" s="37" t="str">
        <f aca="false">IF($T2959=1,$S2959,"")</f>
        <v/>
      </c>
    </row>
    <row r="2960" customFormat="false" ht="15" hidden="false" customHeight="false" outlineLevel="0" collapsed="false">
      <c r="M2960" s="35" t="str">
        <f aca="false">IF($A2960="","",HOUR($A2960))</f>
        <v/>
      </c>
      <c r="N2960" s="36" t="str">
        <f aca="false">IF($A2960="","",$I2960*$K2960)</f>
        <v/>
      </c>
      <c r="O2960" s="35" t="str">
        <f aca="false">IF(OR($A2960="",$C2960="U",$S2960&lt;&gt;Calc!$F$2),"",SUMIFS($I$3:$I$3002,$E$3:$E$3002,$E2960,$C$3:$C$3002,"&lt;&gt;U",$S$3:$S$3002,Calc!$F$2))</f>
        <v/>
      </c>
      <c r="P2960" s="35" t="str">
        <f aca="false">IF(OR($A2960="",$C2960="U",$S2960&lt;&gt;Calc!$F$2),"",SUMIFS($N$3:$N$3002,$E$3:$E$3002,$E2960,$C$3:$C$3002,"&lt;&gt;U",$S$3:$S$3002,Calc!$F$2))</f>
        <v/>
      </c>
      <c r="Q2960" s="35" t="str">
        <f aca="false">IF(OR($A2960="",$C2960="U",$S2960&lt;&gt;Calc!$F$2),"",IF(COUNTIFS($E$3:$E2960,$E2960,$C$3:$C2960,"&lt;&gt;U",$S$3:$S2960,Calc!$F$2)=1,1,0))</f>
        <v/>
      </c>
      <c r="R2960" s="35" t="str">
        <f aca="false">IF($Q2960=1,$O2960-ROW()/100000,"")</f>
        <v/>
      </c>
      <c r="S2960" s="37" t="str">
        <f aca="false">IF($A2960="","",INT($A2960))</f>
        <v/>
      </c>
      <c r="T2960" s="35" t="str">
        <f aca="false">IF($A2960="","",IF(COUNTIFS($S$3:$S2960,$S2960)=1,1,0))</f>
        <v/>
      </c>
      <c r="U2960" s="37" t="str">
        <f aca="false">IF($T2960=1,$S2960,"")</f>
        <v/>
      </c>
    </row>
    <row r="2961" customFormat="false" ht="15" hidden="false" customHeight="false" outlineLevel="0" collapsed="false">
      <c r="M2961" s="35" t="str">
        <f aca="false">IF($A2961="","",HOUR($A2961))</f>
        <v/>
      </c>
      <c r="N2961" s="36" t="str">
        <f aca="false">IF($A2961="","",$I2961*$K2961)</f>
        <v/>
      </c>
      <c r="O2961" s="35" t="str">
        <f aca="false">IF(OR($A2961="",$C2961="U",$S2961&lt;&gt;Calc!$F$2),"",SUMIFS($I$3:$I$3002,$E$3:$E$3002,$E2961,$C$3:$C$3002,"&lt;&gt;U",$S$3:$S$3002,Calc!$F$2))</f>
        <v/>
      </c>
      <c r="P2961" s="35" t="str">
        <f aca="false">IF(OR($A2961="",$C2961="U",$S2961&lt;&gt;Calc!$F$2),"",SUMIFS($N$3:$N$3002,$E$3:$E$3002,$E2961,$C$3:$C$3002,"&lt;&gt;U",$S$3:$S$3002,Calc!$F$2))</f>
        <v/>
      </c>
      <c r="Q2961" s="35" t="str">
        <f aca="false">IF(OR($A2961="",$C2961="U",$S2961&lt;&gt;Calc!$F$2),"",IF(COUNTIFS($E$3:$E2961,$E2961,$C$3:$C2961,"&lt;&gt;U",$S$3:$S2961,Calc!$F$2)=1,1,0))</f>
        <v/>
      </c>
      <c r="R2961" s="35" t="str">
        <f aca="false">IF($Q2961=1,$O2961-ROW()/100000,"")</f>
        <v/>
      </c>
      <c r="S2961" s="37" t="str">
        <f aca="false">IF($A2961="","",INT($A2961))</f>
        <v/>
      </c>
      <c r="T2961" s="35" t="str">
        <f aca="false">IF($A2961="","",IF(COUNTIFS($S$3:$S2961,$S2961)=1,1,0))</f>
        <v/>
      </c>
      <c r="U2961" s="37" t="str">
        <f aca="false">IF($T2961=1,$S2961,"")</f>
        <v/>
      </c>
    </row>
    <row r="2962" customFormat="false" ht="15" hidden="false" customHeight="false" outlineLevel="0" collapsed="false">
      <c r="M2962" s="35" t="str">
        <f aca="false">IF($A2962="","",HOUR($A2962))</f>
        <v/>
      </c>
      <c r="N2962" s="36" t="str">
        <f aca="false">IF($A2962="","",$I2962*$K2962)</f>
        <v/>
      </c>
      <c r="O2962" s="35" t="str">
        <f aca="false">IF(OR($A2962="",$C2962="U",$S2962&lt;&gt;Calc!$F$2),"",SUMIFS($I$3:$I$3002,$E$3:$E$3002,$E2962,$C$3:$C$3002,"&lt;&gt;U",$S$3:$S$3002,Calc!$F$2))</f>
        <v/>
      </c>
      <c r="P2962" s="35" t="str">
        <f aca="false">IF(OR($A2962="",$C2962="U",$S2962&lt;&gt;Calc!$F$2),"",SUMIFS($N$3:$N$3002,$E$3:$E$3002,$E2962,$C$3:$C$3002,"&lt;&gt;U",$S$3:$S$3002,Calc!$F$2))</f>
        <v/>
      </c>
      <c r="Q2962" s="35" t="str">
        <f aca="false">IF(OR($A2962="",$C2962="U",$S2962&lt;&gt;Calc!$F$2),"",IF(COUNTIFS($E$3:$E2962,$E2962,$C$3:$C2962,"&lt;&gt;U",$S$3:$S2962,Calc!$F$2)=1,1,0))</f>
        <v/>
      </c>
      <c r="R2962" s="35" t="str">
        <f aca="false">IF($Q2962=1,$O2962-ROW()/100000,"")</f>
        <v/>
      </c>
      <c r="S2962" s="37" t="str">
        <f aca="false">IF($A2962="","",INT($A2962))</f>
        <v/>
      </c>
      <c r="T2962" s="35" t="str">
        <f aca="false">IF($A2962="","",IF(COUNTIFS($S$3:$S2962,$S2962)=1,1,0))</f>
        <v/>
      </c>
      <c r="U2962" s="37" t="str">
        <f aca="false">IF($T2962=1,$S2962,"")</f>
        <v/>
      </c>
    </row>
    <row r="2963" customFormat="false" ht="15" hidden="false" customHeight="false" outlineLevel="0" collapsed="false">
      <c r="M2963" s="35" t="str">
        <f aca="false">IF($A2963="","",HOUR($A2963))</f>
        <v/>
      </c>
      <c r="N2963" s="36" t="str">
        <f aca="false">IF($A2963="","",$I2963*$K2963)</f>
        <v/>
      </c>
      <c r="O2963" s="35" t="str">
        <f aca="false">IF(OR($A2963="",$C2963="U",$S2963&lt;&gt;Calc!$F$2),"",SUMIFS($I$3:$I$3002,$E$3:$E$3002,$E2963,$C$3:$C$3002,"&lt;&gt;U",$S$3:$S$3002,Calc!$F$2))</f>
        <v/>
      </c>
      <c r="P2963" s="35" t="str">
        <f aca="false">IF(OR($A2963="",$C2963="U",$S2963&lt;&gt;Calc!$F$2),"",SUMIFS($N$3:$N$3002,$E$3:$E$3002,$E2963,$C$3:$C$3002,"&lt;&gt;U",$S$3:$S$3002,Calc!$F$2))</f>
        <v/>
      </c>
      <c r="Q2963" s="35" t="str">
        <f aca="false">IF(OR($A2963="",$C2963="U",$S2963&lt;&gt;Calc!$F$2),"",IF(COUNTIFS($E$3:$E2963,$E2963,$C$3:$C2963,"&lt;&gt;U",$S$3:$S2963,Calc!$F$2)=1,1,0))</f>
        <v/>
      </c>
      <c r="R2963" s="35" t="str">
        <f aca="false">IF($Q2963=1,$O2963-ROW()/100000,"")</f>
        <v/>
      </c>
      <c r="S2963" s="37" t="str">
        <f aca="false">IF($A2963="","",INT($A2963))</f>
        <v/>
      </c>
      <c r="T2963" s="35" t="str">
        <f aca="false">IF($A2963="","",IF(COUNTIFS($S$3:$S2963,$S2963)=1,1,0))</f>
        <v/>
      </c>
      <c r="U2963" s="37" t="str">
        <f aca="false">IF($T2963=1,$S2963,"")</f>
        <v/>
      </c>
    </row>
    <row r="2964" customFormat="false" ht="15" hidden="false" customHeight="false" outlineLevel="0" collapsed="false">
      <c r="M2964" s="35" t="str">
        <f aca="false">IF($A2964="","",HOUR($A2964))</f>
        <v/>
      </c>
      <c r="N2964" s="36" t="str">
        <f aca="false">IF($A2964="","",$I2964*$K2964)</f>
        <v/>
      </c>
      <c r="O2964" s="35" t="str">
        <f aca="false">IF(OR($A2964="",$C2964="U",$S2964&lt;&gt;Calc!$F$2),"",SUMIFS($I$3:$I$3002,$E$3:$E$3002,$E2964,$C$3:$C$3002,"&lt;&gt;U",$S$3:$S$3002,Calc!$F$2))</f>
        <v/>
      </c>
      <c r="P2964" s="35" t="str">
        <f aca="false">IF(OR($A2964="",$C2964="U",$S2964&lt;&gt;Calc!$F$2),"",SUMIFS($N$3:$N$3002,$E$3:$E$3002,$E2964,$C$3:$C$3002,"&lt;&gt;U",$S$3:$S$3002,Calc!$F$2))</f>
        <v/>
      </c>
      <c r="Q2964" s="35" t="str">
        <f aca="false">IF(OR($A2964="",$C2964="U",$S2964&lt;&gt;Calc!$F$2),"",IF(COUNTIFS($E$3:$E2964,$E2964,$C$3:$C2964,"&lt;&gt;U",$S$3:$S2964,Calc!$F$2)=1,1,0))</f>
        <v/>
      </c>
      <c r="R2964" s="35" t="str">
        <f aca="false">IF($Q2964=1,$O2964-ROW()/100000,"")</f>
        <v/>
      </c>
      <c r="S2964" s="37" t="str">
        <f aca="false">IF($A2964="","",INT($A2964))</f>
        <v/>
      </c>
      <c r="T2964" s="35" t="str">
        <f aca="false">IF($A2964="","",IF(COUNTIFS($S$3:$S2964,$S2964)=1,1,0))</f>
        <v/>
      </c>
      <c r="U2964" s="37" t="str">
        <f aca="false">IF($T2964=1,$S2964,"")</f>
        <v/>
      </c>
    </row>
    <row r="2965" customFormat="false" ht="15" hidden="false" customHeight="false" outlineLevel="0" collapsed="false">
      <c r="M2965" s="35" t="str">
        <f aca="false">IF($A2965="","",HOUR($A2965))</f>
        <v/>
      </c>
      <c r="N2965" s="36" t="str">
        <f aca="false">IF($A2965="","",$I2965*$K2965)</f>
        <v/>
      </c>
      <c r="O2965" s="35" t="str">
        <f aca="false">IF(OR($A2965="",$C2965="U",$S2965&lt;&gt;Calc!$F$2),"",SUMIFS($I$3:$I$3002,$E$3:$E$3002,$E2965,$C$3:$C$3002,"&lt;&gt;U",$S$3:$S$3002,Calc!$F$2))</f>
        <v/>
      </c>
      <c r="P2965" s="35" t="str">
        <f aca="false">IF(OR($A2965="",$C2965="U",$S2965&lt;&gt;Calc!$F$2),"",SUMIFS($N$3:$N$3002,$E$3:$E$3002,$E2965,$C$3:$C$3002,"&lt;&gt;U",$S$3:$S$3002,Calc!$F$2))</f>
        <v/>
      </c>
      <c r="Q2965" s="35" t="str">
        <f aca="false">IF(OR($A2965="",$C2965="U",$S2965&lt;&gt;Calc!$F$2),"",IF(COUNTIFS($E$3:$E2965,$E2965,$C$3:$C2965,"&lt;&gt;U",$S$3:$S2965,Calc!$F$2)=1,1,0))</f>
        <v/>
      </c>
      <c r="R2965" s="35" t="str">
        <f aca="false">IF($Q2965=1,$O2965-ROW()/100000,"")</f>
        <v/>
      </c>
      <c r="S2965" s="37" t="str">
        <f aca="false">IF($A2965="","",INT($A2965))</f>
        <v/>
      </c>
      <c r="T2965" s="35" t="str">
        <f aca="false">IF($A2965="","",IF(COUNTIFS($S$3:$S2965,$S2965)=1,1,0))</f>
        <v/>
      </c>
      <c r="U2965" s="37" t="str">
        <f aca="false">IF($T2965=1,$S2965,"")</f>
        <v/>
      </c>
    </row>
    <row r="2966" customFormat="false" ht="15" hidden="false" customHeight="false" outlineLevel="0" collapsed="false">
      <c r="M2966" s="35" t="str">
        <f aca="false">IF($A2966="","",HOUR($A2966))</f>
        <v/>
      </c>
      <c r="N2966" s="36" t="str">
        <f aca="false">IF($A2966="","",$I2966*$K2966)</f>
        <v/>
      </c>
      <c r="O2966" s="35" t="str">
        <f aca="false">IF(OR($A2966="",$C2966="U",$S2966&lt;&gt;Calc!$F$2),"",SUMIFS($I$3:$I$3002,$E$3:$E$3002,$E2966,$C$3:$C$3002,"&lt;&gt;U",$S$3:$S$3002,Calc!$F$2))</f>
        <v/>
      </c>
      <c r="P2966" s="35" t="str">
        <f aca="false">IF(OR($A2966="",$C2966="U",$S2966&lt;&gt;Calc!$F$2),"",SUMIFS($N$3:$N$3002,$E$3:$E$3002,$E2966,$C$3:$C$3002,"&lt;&gt;U",$S$3:$S$3002,Calc!$F$2))</f>
        <v/>
      </c>
      <c r="Q2966" s="35" t="str">
        <f aca="false">IF(OR($A2966="",$C2966="U",$S2966&lt;&gt;Calc!$F$2),"",IF(COUNTIFS($E$3:$E2966,$E2966,$C$3:$C2966,"&lt;&gt;U",$S$3:$S2966,Calc!$F$2)=1,1,0))</f>
        <v/>
      </c>
      <c r="R2966" s="35" t="str">
        <f aca="false">IF($Q2966=1,$O2966-ROW()/100000,"")</f>
        <v/>
      </c>
      <c r="S2966" s="37" t="str">
        <f aca="false">IF($A2966="","",INT($A2966))</f>
        <v/>
      </c>
      <c r="T2966" s="35" t="str">
        <f aca="false">IF($A2966="","",IF(COUNTIFS($S$3:$S2966,$S2966)=1,1,0))</f>
        <v/>
      </c>
      <c r="U2966" s="37" t="str">
        <f aca="false">IF($T2966=1,$S2966,"")</f>
        <v/>
      </c>
    </row>
    <row r="2967" customFormat="false" ht="15" hidden="false" customHeight="false" outlineLevel="0" collapsed="false">
      <c r="M2967" s="35" t="str">
        <f aca="false">IF($A2967="","",HOUR($A2967))</f>
        <v/>
      </c>
      <c r="N2967" s="36" t="str">
        <f aca="false">IF($A2967="","",$I2967*$K2967)</f>
        <v/>
      </c>
      <c r="O2967" s="35" t="str">
        <f aca="false">IF(OR($A2967="",$C2967="U",$S2967&lt;&gt;Calc!$F$2),"",SUMIFS($I$3:$I$3002,$E$3:$E$3002,$E2967,$C$3:$C$3002,"&lt;&gt;U",$S$3:$S$3002,Calc!$F$2))</f>
        <v/>
      </c>
      <c r="P2967" s="35" t="str">
        <f aca="false">IF(OR($A2967="",$C2967="U",$S2967&lt;&gt;Calc!$F$2),"",SUMIFS($N$3:$N$3002,$E$3:$E$3002,$E2967,$C$3:$C$3002,"&lt;&gt;U",$S$3:$S$3002,Calc!$F$2))</f>
        <v/>
      </c>
      <c r="Q2967" s="35" t="str">
        <f aca="false">IF(OR($A2967="",$C2967="U",$S2967&lt;&gt;Calc!$F$2),"",IF(COUNTIFS($E$3:$E2967,$E2967,$C$3:$C2967,"&lt;&gt;U",$S$3:$S2967,Calc!$F$2)=1,1,0))</f>
        <v/>
      </c>
      <c r="R2967" s="35" t="str">
        <f aca="false">IF($Q2967=1,$O2967-ROW()/100000,"")</f>
        <v/>
      </c>
      <c r="S2967" s="37" t="str">
        <f aca="false">IF($A2967="","",INT($A2967))</f>
        <v/>
      </c>
      <c r="T2967" s="35" t="str">
        <f aca="false">IF($A2967="","",IF(COUNTIFS($S$3:$S2967,$S2967)=1,1,0))</f>
        <v/>
      </c>
      <c r="U2967" s="37" t="str">
        <f aca="false">IF($T2967=1,$S2967,"")</f>
        <v/>
      </c>
    </row>
    <row r="2968" customFormat="false" ht="15" hidden="false" customHeight="false" outlineLevel="0" collapsed="false">
      <c r="M2968" s="35" t="str">
        <f aca="false">IF($A2968="","",HOUR($A2968))</f>
        <v/>
      </c>
      <c r="N2968" s="36" t="str">
        <f aca="false">IF($A2968="","",$I2968*$K2968)</f>
        <v/>
      </c>
      <c r="O2968" s="35" t="str">
        <f aca="false">IF(OR($A2968="",$C2968="U",$S2968&lt;&gt;Calc!$F$2),"",SUMIFS($I$3:$I$3002,$E$3:$E$3002,$E2968,$C$3:$C$3002,"&lt;&gt;U",$S$3:$S$3002,Calc!$F$2))</f>
        <v/>
      </c>
      <c r="P2968" s="35" t="str">
        <f aca="false">IF(OR($A2968="",$C2968="U",$S2968&lt;&gt;Calc!$F$2),"",SUMIFS($N$3:$N$3002,$E$3:$E$3002,$E2968,$C$3:$C$3002,"&lt;&gt;U",$S$3:$S$3002,Calc!$F$2))</f>
        <v/>
      </c>
      <c r="Q2968" s="35" t="str">
        <f aca="false">IF(OR($A2968="",$C2968="U",$S2968&lt;&gt;Calc!$F$2),"",IF(COUNTIFS($E$3:$E2968,$E2968,$C$3:$C2968,"&lt;&gt;U",$S$3:$S2968,Calc!$F$2)=1,1,0))</f>
        <v/>
      </c>
      <c r="R2968" s="35" t="str">
        <f aca="false">IF($Q2968=1,$O2968-ROW()/100000,"")</f>
        <v/>
      </c>
      <c r="S2968" s="37" t="str">
        <f aca="false">IF($A2968="","",INT($A2968))</f>
        <v/>
      </c>
      <c r="T2968" s="35" t="str">
        <f aca="false">IF($A2968="","",IF(COUNTIFS($S$3:$S2968,$S2968)=1,1,0))</f>
        <v/>
      </c>
      <c r="U2968" s="37" t="str">
        <f aca="false">IF($T2968=1,$S2968,"")</f>
        <v/>
      </c>
    </row>
    <row r="2969" customFormat="false" ht="15" hidden="false" customHeight="false" outlineLevel="0" collapsed="false">
      <c r="M2969" s="35" t="str">
        <f aca="false">IF($A2969="","",HOUR($A2969))</f>
        <v/>
      </c>
      <c r="N2969" s="36" t="str">
        <f aca="false">IF($A2969="","",$I2969*$K2969)</f>
        <v/>
      </c>
      <c r="O2969" s="35" t="str">
        <f aca="false">IF(OR($A2969="",$C2969="U",$S2969&lt;&gt;Calc!$F$2),"",SUMIFS($I$3:$I$3002,$E$3:$E$3002,$E2969,$C$3:$C$3002,"&lt;&gt;U",$S$3:$S$3002,Calc!$F$2))</f>
        <v/>
      </c>
      <c r="P2969" s="35" t="str">
        <f aca="false">IF(OR($A2969="",$C2969="U",$S2969&lt;&gt;Calc!$F$2),"",SUMIFS($N$3:$N$3002,$E$3:$E$3002,$E2969,$C$3:$C$3002,"&lt;&gt;U",$S$3:$S$3002,Calc!$F$2))</f>
        <v/>
      </c>
      <c r="Q2969" s="35" t="str">
        <f aca="false">IF(OR($A2969="",$C2969="U",$S2969&lt;&gt;Calc!$F$2),"",IF(COUNTIFS($E$3:$E2969,$E2969,$C$3:$C2969,"&lt;&gt;U",$S$3:$S2969,Calc!$F$2)=1,1,0))</f>
        <v/>
      </c>
      <c r="R2969" s="35" t="str">
        <f aca="false">IF($Q2969=1,$O2969-ROW()/100000,"")</f>
        <v/>
      </c>
      <c r="S2969" s="37" t="str">
        <f aca="false">IF($A2969="","",INT($A2969))</f>
        <v/>
      </c>
      <c r="T2969" s="35" t="str">
        <f aca="false">IF($A2969="","",IF(COUNTIFS($S$3:$S2969,$S2969)=1,1,0))</f>
        <v/>
      </c>
      <c r="U2969" s="37" t="str">
        <f aca="false">IF($T2969=1,$S2969,"")</f>
        <v/>
      </c>
    </row>
    <row r="2970" customFormat="false" ht="15" hidden="false" customHeight="false" outlineLevel="0" collapsed="false">
      <c r="M2970" s="35" t="str">
        <f aca="false">IF($A2970="","",HOUR($A2970))</f>
        <v/>
      </c>
      <c r="N2970" s="36" t="str">
        <f aca="false">IF($A2970="","",$I2970*$K2970)</f>
        <v/>
      </c>
      <c r="O2970" s="35" t="str">
        <f aca="false">IF(OR($A2970="",$C2970="U",$S2970&lt;&gt;Calc!$F$2),"",SUMIFS($I$3:$I$3002,$E$3:$E$3002,$E2970,$C$3:$C$3002,"&lt;&gt;U",$S$3:$S$3002,Calc!$F$2))</f>
        <v/>
      </c>
      <c r="P2970" s="35" t="str">
        <f aca="false">IF(OR($A2970="",$C2970="U",$S2970&lt;&gt;Calc!$F$2),"",SUMIFS($N$3:$N$3002,$E$3:$E$3002,$E2970,$C$3:$C$3002,"&lt;&gt;U",$S$3:$S$3002,Calc!$F$2))</f>
        <v/>
      </c>
      <c r="Q2970" s="35" t="str">
        <f aca="false">IF(OR($A2970="",$C2970="U",$S2970&lt;&gt;Calc!$F$2),"",IF(COUNTIFS($E$3:$E2970,$E2970,$C$3:$C2970,"&lt;&gt;U",$S$3:$S2970,Calc!$F$2)=1,1,0))</f>
        <v/>
      </c>
      <c r="R2970" s="35" t="str">
        <f aca="false">IF($Q2970=1,$O2970-ROW()/100000,"")</f>
        <v/>
      </c>
      <c r="S2970" s="37" t="str">
        <f aca="false">IF($A2970="","",INT($A2970))</f>
        <v/>
      </c>
      <c r="T2970" s="35" t="str">
        <f aca="false">IF($A2970="","",IF(COUNTIFS($S$3:$S2970,$S2970)=1,1,0))</f>
        <v/>
      </c>
      <c r="U2970" s="37" t="str">
        <f aca="false">IF($T2970=1,$S2970,"")</f>
        <v/>
      </c>
    </row>
    <row r="2971" customFormat="false" ht="15" hidden="false" customHeight="false" outlineLevel="0" collapsed="false">
      <c r="M2971" s="35" t="str">
        <f aca="false">IF($A2971="","",HOUR($A2971))</f>
        <v/>
      </c>
      <c r="N2971" s="36" t="str">
        <f aca="false">IF($A2971="","",$I2971*$K2971)</f>
        <v/>
      </c>
      <c r="O2971" s="35" t="str">
        <f aca="false">IF(OR($A2971="",$C2971="U",$S2971&lt;&gt;Calc!$F$2),"",SUMIFS($I$3:$I$3002,$E$3:$E$3002,$E2971,$C$3:$C$3002,"&lt;&gt;U",$S$3:$S$3002,Calc!$F$2))</f>
        <v/>
      </c>
      <c r="P2971" s="35" t="str">
        <f aca="false">IF(OR($A2971="",$C2971="U",$S2971&lt;&gt;Calc!$F$2),"",SUMIFS($N$3:$N$3002,$E$3:$E$3002,$E2971,$C$3:$C$3002,"&lt;&gt;U",$S$3:$S$3002,Calc!$F$2))</f>
        <v/>
      </c>
      <c r="Q2971" s="35" t="str">
        <f aca="false">IF(OR($A2971="",$C2971="U",$S2971&lt;&gt;Calc!$F$2),"",IF(COUNTIFS($E$3:$E2971,$E2971,$C$3:$C2971,"&lt;&gt;U",$S$3:$S2971,Calc!$F$2)=1,1,0))</f>
        <v/>
      </c>
      <c r="R2971" s="35" t="str">
        <f aca="false">IF($Q2971=1,$O2971-ROW()/100000,"")</f>
        <v/>
      </c>
      <c r="S2971" s="37" t="str">
        <f aca="false">IF($A2971="","",INT($A2971))</f>
        <v/>
      </c>
      <c r="T2971" s="35" t="str">
        <f aca="false">IF($A2971="","",IF(COUNTIFS($S$3:$S2971,$S2971)=1,1,0))</f>
        <v/>
      </c>
      <c r="U2971" s="37" t="str">
        <f aca="false">IF($T2971=1,$S2971,"")</f>
        <v/>
      </c>
    </row>
    <row r="2972" customFormat="false" ht="15" hidden="false" customHeight="false" outlineLevel="0" collapsed="false">
      <c r="M2972" s="35" t="str">
        <f aca="false">IF($A2972="","",HOUR($A2972))</f>
        <v/>
      </c>
      <c r="N2972" s="36" t="str">
        <f aca="false">IF($A2972="","",$I2972*$K2972)</f>
        <v/>
      </c>
      <c r="O2972" s="35" t="str">
        <f aca="false">IF(OR($A2972="",$C2972="U",$S2972&lt;&gt;Calc!$F$2),"",SUMIFS($I$3:$I$3002,$E$3:$E$3002,$E2972,$C$3:$C$3002,"&lt;&gt;U",$S$3:$S$3002,Calc!$F$2))</f>
        <v/>
      </c>
      <c r="P2972" s="35" t="str">
        <f aca="false">IF(OR($A2972="",$C2972="U",$S2972&lt;&gt;Calc!$F$2),"",SUMIFS($N$3:$N$3002,$E$3:$E$3002,$E2972,$C$3:$C$3002,"&lt;&gt;U",$S$3:$S$3002,Calc!$F$2))</f>
        <v/>
      </c>
      <c r="Q2972" s="35" t="str">
        <f aca="false">IF(OR($A2972="",$C2972="U",$S2972&lt;&gt;Calc!$F$2),"",IF(COUNTIFS($E$3:$E2972,$E2972,$C$3:$C2972,"&lt;&gt;U",$S$3:$S2972,Calc!$F$2)=1,1,0))</f>
        <v/>
      </c>
      <c r="R2972" s="35" t="str">
        <f aca="false">IF($Q2972=1,$O2972-ROW()/100000,"")</f>
        <v/>
      </c>
      <c r="S2972" s="37" t="str">
        <f aca="false">IF($A2972="","",INT($A2972))</f>
        <v/>
      </c>
      <c r="T2972" s="35" t="str">
        <f aca="false">IF($A2972="","",IF(COUNTIFS($S$3:$S2972,$S2972)=1,1,0))</f>
        <v/>
      </c>
      <c r="U2972" s="37" t="str">
        <f aca="false">IF($T2972=1,$S2972,"")</f>
        <v/>
      </c>
    </row>
    <row r="2973" customFormat="false" ht="15" hidden="false" customHeight="false" outlineLevel="0" collapsed="false">
      <c r="M2973" s="35" t="str">
        <f aca="false">IF($A2973="","",HOUR($A2973))</f>
        <v/>
      </c>
      <c r="N2973" s="36" t="str">
        <f aca="false">IF($A2973="","",$I2973*$K2973)</f>
        <v/>
      </c>
      <c r="O2973" s="35" t="str">
        <f aca="false">IF(OR($A2973="",$C2973="U",$S2973&lt;&gt;Calc!$F$2),"",SUMIFS($I$3:$I$3002,$E$3:$E$3002,$E2973,$C$3:$C$3002,"&lt;&gt;U",$S$3:$S$3002,Calc!$F$2))</f>
        <v/>
      </c>
      <c r="P2973" s="35" t="str">
        <f aca="false">IF(OR($A2973="",$C2973="U",$S2973&lt;&gt;Calc!$F$2),"",SUMIFS($N$3:$N$3002,$E$3:$E$3002,$E2973,$C$3:$C$3002,"&lt;&gt;U",$S$3:$S$3002,Calc!$F$2))</f>
        <v/>
      </c>
      <c r="Q2973" s="35" t="str">
        <f aca="false">IF(OR($A2973="",$C2973="U",$S2973&lt;&gt;Calc!$F$2),"",IF(COUNTIFS($E$3:$E2973,$E2973,$C$3:$C2973,"&lt;&gt;U",$S$3:$S2973,Calc!$F$2)=1,1,0))</f>
        <v/>
      </c>
      <c r="R2973" s="35" t="str">
        <f aca="false">IF($Q2973=1,$O2973-ROW()/100000,"")</f>
        <v/>
      </c>
      <c r="S2973" s="37" t="str">
        <f aca="false">IF($A2973="","",INT($A2973))</f>
        <v/>
      </c>
      <c r="T2973" s="35" t="str">
        <f aca="false">IF($A2973="","",IF(COUNTIFS($S$3:$S2973,$S2973)=1,1,0))</f>
        <v/>
      </c>
      <c r="U2973" s="37" t="str">
        <f aca="false">IF($T2973=1,$S2973,"")</f>
        <v/>
      </c>
    </row>
    <row r="2974" customFormat="false" ht="15" hidden="false" customHeight="false" outlineLevel="0" collapsed="false">
      <c r="M2974" s="35" t="str">
        <f aca="false">IF($A2974="","",HOUR($A2974))</f>
        <v/>
      </c>
      <c r="N2974" s="36" t="str">
        <f aca="false">IF($A2974="","",$I2974*$K2974)</f>
        <v/>
      </c>
      <c r="O2974" s="35" t="str">
        <f aca="false">IF(OR($A2974="",$C2974="U",$S2974&lt;&gt;Calc!$F$2),"",SUMIFS($I$3:$I$3002,$E$3:$E$3002,$E2974,$C$3:$C$3002,"&lt;&gt;U",$S$3:$S$3002,Calc!$F$2))</f>
        <v/>
      </c>
      <c r="P2974" s="35" t="str">
        <f aca="false">IF(OR($A2974="",$C2974="U",$S2974&lt;&gt;Calc!$F$2),"",SUMIFS($N$3:$N$3002,$E$3:$E$3002,$E2974,$C$3:$C$3002,"&lt;&gt;U",$S$3:$S$3002,Calc!$F$2))</f>
        <v/>
      </c>
      <c r="Q2974" s="35" t="str">
        <f aca="false">IF(OR($A2974="",$C2974="U",$S2974&lt;&gt;Calc!$F$2),"",IF(COUNTIFS($E$3:$E2974,$E2974,$C$3:$C2974,"&lt;&gt;U",$S$3:$S2974,Calc!$F$2)=1,1,0))</f>
        <v/>
      </c>
      <c r="R2974" s="35" t="str">
        <f aca="false">IF($Q2974=1,$O2974-ROW()/100000,"")</f>
        <v/>
      </c>
      <c r="S2974" s="37" t="str">
        <f aca="false">IF($A2974="","",INT($A2974))</f>
        <v/>
      </c>
      <c r="T2974" s="35" t="str">
        <f aca="false">IF($A2974="","",IF(COUNTIFS($S$3:$S2974,$S2974)=1,1,0))</f>
        <v/>
      </c>
      <c r="U2974" s="37" t="str">
        <f aca="false">IF($T2974=1,$S2974,"")</f>
        <v/>
      </c>
    </row>
    <row r="2975" customFormat="false" ht="15" hidden="false" customHeight="false" outlineLevel="0" collapsed="false">
      <c r="M2975" s="35" t="str">
        <f aca="false">IF($A2975="","",HOUR($A2975))</f>
        <v/>
      </c>
      <c r="N2975" s="36" t="str">
        <f aca="false">IF($A2975="","",$I2975*$K2975)</f>
        <v/>
      </c>
      <c r="O2975" s="35" t="str">
        <f aca="false">IF(OR($A2975="",$C2975="U",$S2975&lt;&gt;Calc!$F$2),"",SUMIFS($I$3:$I$3002,$E$3:$E$3002,$E2975,$C$3:$C$3002,"&lt;&gt;U",$S$3:$S$3002,Calc!$F$2))</f>
        <v/>
      </c>
      <c r="P2975" s="35" t="str">
        <f aca="false">IF(OR($A2975="",$C2975="U",$S2975&lt;&gt;Calc!$F$2),"",SUMIFS($N$3:$N$3002,$E$3:$E$3002,$E2975,$C$3:$C$3002,"&lt;&gt;U",$S$3:$S$3002,Calc!$F$2))</f>
        <v/>
      </c>
      <c r="Q2975" s="35" t="str">
        <f aca="false">IF(OR($A2975="",$C2975="U",$S2975&lt;&gt;Calc!$F$2),"",IF(COUNTIFS($E$3:$E2975,$E2975,$C$3:$C2975,"&lt;&gt;U",$S$3:$S2975,Calc!$F$2)=1,1,0))</f>
        <v/>
      </c>
      <c r="R2975" s="35" t="str">
        <f aca="false">IF($Q2975=1,$O2975-ROW()/100000,"")</f>
        <v/>
      </c>
      <c r="S2975" s="37" t="str">
        <f aca="false">IF($A2975="","",INT($A2975))</f>
        <v/>
      </c>
      <c r="T2975" s="35" t="str">
        <f aca="false">IF($A2975="","",IF(COUNTIFS($S$3:$S2975,$S2975)=1,1,0))</f>
        <v/>
      </c>
      <c r="U2975" s="37" t="str">
        <f aca="false">IF($T2975=1,$S2975,"")</f>
        <v/>
      </c>
    </row>
    <row r="2976" customFormat="false" ht="15" hidden="false" customHeight="false" outlineLevel="0" collapsed="false">
      <c r="M2976" s="35" t="str">
        <f aca="false">IF($A2976="","",HOUR($A2976))</f>
        <v/>
      </c>
      <c r="N2976" s="36" t="str">
        <f aca="false">IF($A2976="","",$I2976*$K2976)</f>
        <v/>
      </c>
      <c r="O2976" s="35" t="str">
        <f aca="false">IF(OR($A2976="",$C2976="U",$S2976&lt;&gt;Calc!$F$2),"",SUMIFS($I$3:$I$3002,$E$3:$E$3002,$E2976,$C$3:$C$3002,"&lt;&gt;U",$S$3:$S$3002,Calc!$F$2))</f>
        <v/>
      </c>
      <c r="P2976" s="35" t="str">
        <f aca="false">IF(OR($A2976="",$C2976="U",$S2976&lt;&gt;Calc!$F$2),"",SUMIFS($N$3:$N$3002,$E$3:$E$3002,$E2976,$C$3:$C$3002,"&lt;&gt;U",$S$3:$S$3002,Calc!$F$2))</f>
        <v/>
      </c>
      <c r="Q2976" s="35" t="str">
        <f aca="false">IF(OR($A2976="",$C2976="U",$S2976&lt;&gt;Calc!$F$2),"",IF(COUNTIFS($E$3:$E2976,$E2976,$C$3:$C2976,"&lt;&gt;U",$S$3:$S2976,Calc!$F$2)=1,1,0))</f>
        <v/>
      </c>
      <c r="R2976" s="35" t="str">
        <f aca="false">IF($Q2976=1,$O2976-ROW()/100000,"")</f>
        <v/>
      </c>
      <c r="S2976" s="37" t="str">
        <f aca="false">IF($A2976="","",INT($A2976))</f>
        <v/>
      </c>
      <c r="T2976" s="35" t="str">
        <f aca="false">IF($A2976="","",IF(COUNTIFS($S$3:$S2976,$S2976)=1,1,0))</f>
        <v/>
      </c>
      <c r="U2976" s="37" t="str">
        <f aca="false">IF($T2976=1,$S2976,"")</f>
        <v/>
      </c>
    </row>
    <row r="2977" customFormat="false" ht="15" hidden="false" customHeight="false" outlineLevel="0" collapsed="false">
      <c r="M2977" s="35" t="str">
        <f aca="false">IF($A2977="","",HOUR($A2977))</f>
        <v/>
      </c>
      <c r="N2977" s="36" t="str">
        <f aca="false">IF($A2977="","",$I2977*$K2977)</f>
        <v/>
      </c>
      <c r="O2977" s="35" t="str">
        <f aca="false">IF(OR($A2977="",$C2977="U",$S2977&lt;&gt;Calc!$F$2),"",SUMIFS($I$3:$I$3002,$E$3:$E$3002,$E2977,$C$3:$C$3002,"&lt;&gt;U",$S$3:$S$3002,Calc!$F$2))</f>
        <v/>
      </c>
      <c r="P2977" s="35" t="str">
        <f aca="false">IF(OR($A2977="",$C2977="U",$S2977&lt;&gt;Calc!$F$2),"",SUMIFS($N$3:$N$3002,$E$3:$E$3002,$E2977,$C$3:$C$3002,"&lt;&gt;U",$S$3:$S$3002,Calc!$F$2))</f>
        <v/>
      </c>
      <c r="Q2977" s="35" t="str">
        <f aca="false">IF(OR($A2977="",$C2977="U",$S2977&lt;&gt;Calc!$F$2),"",IF(COUNTIFS($E$3:$E2977,$E2977,$C$3:$C2977,"&lt;&gt;U",$S$3:$S2977,Calc!$F$2)=1,1,0))</f>
        <v/>
      </c>
      <c r="R2977" s="35" t="str">
        <f aca="false">IF($Q2977=1,$O2977-ROW()/100000,"")</f>
        <v/>
      </c>
      <c r="S2977" s="37" t="str">
        <f aca="false">IF($A2977="","",INT($A2977))</f>
        <v/>
      </c>
      <c r="T2977" s="35" t="str">
        <f aca="false">IF($A2977="","",IF(COUNTIFS($S$3:$S2977,$S2977)=1,1,0))</f>
        <v/>
      </c>
      <c r="U2977" s="37" t="str">
        <f aca="false">IF($T2977=1,$S2977,"")</f>
        <v/>
      </c>
    </row>
    <row r="2978" customFormat="false" ht="15" hidden="false" customHeight="false" outlineLevel="0" collapsed="false">
      <c r="M2978" s="35" t="str">
        <f aca="false">IF($A2978="","",HOUR($A2978))</f>
        <v/>
      </c>
      <c r="N2978" s="36" t="str">
        <f aca="false">IF($A2978="","",$I2978*$K2978)</f>
        <v/>
      </c>
      <c r="O2978" s="35" t="str">
        <f aca="false">IF(OR($A2978="",$C2978="U",$S2978&lt;&gt;Calc!$F$2),"",SUMIFS($I$3:$I$3002,$E$3:$E$3002,$E2978,$C$3:$C$3002,"&lt;&gt;U",$S$3:$S$3002,Calc!$F$2))</f>
        <v/>
      </c>
      <c r="P2978" s="35" t="str">
        <f aca="false">IF(OR($A2978="",$C2978="U",$S2978&lt;&gt;Calc!$F$2),"",SUMIFS($N$3:$N$3002,$E$3:$E$3002,$E2978,$C$3:$C$3002,"&lt;&gt;U",$S$3:$S$3002,Calc!$F$2))</f>
        <v/>
      </c>
      <c r="Q2978" s="35" t="str">
        <f aca="false">IF(OR($A2978="",$C2978="U",$S2978&lt;&gt;Calc!$F$2),"",IF(COUNTIFS($E$3:$E2978,$E2978,$C$3:$C2978,"&lt;&gt;U",$S$3:$S2978,Calc!$F$2)=1,1,0))</f>
        <v/>
      </c>
      <c r="R2978" s="35" t="str">
        <f aca="false">IF($Q2978=1,$O2978-ROW()/100000,"")</f>
        <v/>
      </c>
      <c r="S2978" s="37" t="str">
        <f aca="false">IF($A2978="","",INT($A2978))</f>
        <v/>
      </c>
      <c r="T2978" s="35" t="str">
        <f aca="false">IF($A2978="","",IF(COUNTIFS($S$3:$S2978,$S2978)=1,1,0))</f>
        <v/>
      </c>
      <c r="U2978" s="37" t="str">
        <f aca="false">IF($T2978=1,$S2978,"")</f>
        <v/>
      </c>
    </row>
    <row r="2979" customFormat="false" ht="15" hidden="false" customHeight="false" outlineLevel="0" collapsed="false">
      <c r="M2979" s="35" t="str">
        <f aca="false">IF($A2979="","",HOUR($A2979))</f>
        <v/>
      </c>
      <c r="N2979" s="36" t="str">
        <f aca="false">IF($A2979="","",$I2979*$K2979)</f>
        <v/>
      </c>
      <c r="O2979" s="35" t="str">
        <f aca="false">IF(OR($A2979="",$C2979="U",$S2979&lt;&gt;Calc!$F$2),"",SUMIFS($I$3:$I$3002,$E$3:$E$3002,$E2979,$C$3:$C$3002,"&lt;&gt;U",$S$3:$S$3002,Calc!$F$2))</f>
        <v/>
      </c>
      <c r="P2979" s="35" t="str">
        <f aca="false">IF(OR($A2979="",$C2979="U",$S2979&lt;&gt;Calc!$F$2),"",SUMIFS($N$3:$N$3002,$E$3:$E$3002,$E2979,$C$3:$C$3002,"&lt;&gt;U",$S$3:$S$3002,Calc!$F$2))</f>
        <v/>
      </c>
      <c r="Q2979" s="35" t="str">
        <f aca="false">IF(OR($A2979="",$C2979="U",$S2979&lt;&gt;Calc!$F$2),"",IF(COUNTIFS($E$3:$E2979,$E2979,$C$3:$C2979,"&lt;&gt;U",$S$3:$S2979,Calc!$F$2)=1,1,0))</f>
        <v/>
      </c>
      <c r="R2979" s="35" t="str">
        <f aca="false">IF($Q2979=1,$O2979-ROW()/100000,"")</f>
        <v/>
      </c>
      <c r="S2979" s="37" t="str">
        <f aca="false">IF($A2979="","",INT($A2979))</f>
        <v/>
      </c>
      <c r="T2979" s="35" t="str">
        <f aca="false">IF($A2979="","",IF(COUNTIFS($S$3:$S2979,$S2979)=1,1,0))</f>
        <v/>
      </c>
      <c r="U2979" s="37" t="str">
        <f aca="false">IF($T2979=1,$S2979,"")</f>
        <v/>
      </c>
    </row>
    <row r="2980" customFormat="false" ht="15" hidden="false" customHeight="false" outlineLevel="0" collapsed="false">
      <c r="M2980" s="35" t="str">
        <f aca="false">IF($A2980="","",HOUR($A2980))</f>
        <v/>
      </c>
      <c r="N2980" s="36" t="str">
        <f aca="false">IF($A2980="","",$I2980*$K2980)</f>
        <v/>
      </c>
      <c r="O2980" s="35" t="str">
        <f aca="false">IF(OR($A2980="",$C2980="U",$S2980&lt;&gt;Calc!$F$2),"",SUMIFS($I$3:$I$3002,$E$3:$E$3002,$E2980,$C$3:$C$3002,"&lt;&gt;U",$S$3:$S$3002,Calc!$F$2))</f>
        <v/>
      </c>
      <c r="P2980" s="35" t="str">
        <f aca="false">IF(OR($A2980="",$C2980="U",$S2980&lt;&gt;Calc!$F$2),"",SUMIFS($N$3:$N$3002,$E$3:$E$3002,$E2980,$C$3:$C$3002,"&lt;&gt;U",$S$3:$S$3002,Calc!$F$2))</f>
        <v/>
      </c>
      <c r="Q2980" s="35" t="str">
        <f aca="false">IF(OR($A2980="",$C2980="U",$S2980&lt;&gt;Calc!$F$2),"",IF(COUNTIFS($E$3:$E2980,$E2980,$C$3:$C2980,"&lt;&gt;U",$S$3:$S2980,Calc!$F$2)=1,1,0))</f>
        <v/>
      </c>
      <c r="R2980" s="35" t="str">
        <f aca="false">IF($Q2980=1,$O2980-ROW()/100000,"")</f>
        <v/>
      </c>
      <c r="S2980" s="37" t="str">
        <f aca="false">IF($A2980="","",INT($A2980))</f>
        <v/>
      </c>
      <c r="T2980" s="35" t="str">
        <f aca="false">IF($A2980="","",IF(COUNTIFS($S$3:$S2980,$S2980)=1,1,0))</f>
        <v/>
      </c>
      <c r="U2980" s="37" t="str">
        <f aca="false">IF($T2980=1,$S2980,"")</f>
        <v/>
      </c>
    </row>
    <row r="2981" customFormat="false" ht="15" hidden="false" customHeight="false" outlineLevel="0" collapsed="false">
      <c r="M2981" s="35" t="str">
        <f aca="false">IF($A2981="","",HOUR($A2981))</f>
        <v/>
      </c>
      <c r="N2981" s="36" t="str">
        <f aca="false">IF($A2981="","",$I2981*$K2981)</f>
        <v/>
      </c>
      <c r="O2981" s="35" t="str">
        <f aca="false">IF(OR($A2981="",$C2981="U",$S2981&lt;&gt;Calc!$F$2),"",SUMIFS($I$3:$I$3002,$E$3:$E$3002,$E2981,$C$3:$C$3002,"&lt;&gt;U",$S$3:$S$3002,Calc!$F$2))</f>
        <v/>
      </c>
      <c r="P2981" s="35" t="str">
        <f aca="false">IF(OR($A2981="",$C2981="U",$S2981&lt;&gt;Calc!$F$2),"",SUMIFS($N$3:$N$3002,$E$3:$E$3002,$E2981,$C$3:$C$3002,"&lt;&gt;U",$S$3:$S$3002,Calc!$F$2))</f>
        <v/>
      </c>
      <c r="Q2981" s="35" t="str">
        <f aca="false">IF(OR($A2981="",$C2981="U",$S2981&lt;&gt;Calc!$F$2),"",IF(COUNTIFS($E$3:$E2981,$E2981,$C$3:$C2981,"&lt;&gt;U",$S$3:$S2981,Calc!$F$2)=1,1,0))</f>
        <v/>
      </c>
      <c r="R2981" s="35" t="str">
        <f aca="false">IF($Q2981=1,$O2981-ROW()/100000,"")</f>
        <v/>
      </c>
      <c r="S2981" s="37" t="str">
        <f aca="false">IF($A2981="","",INT($A2981))</f>
        <v/>
      </c>
      <c r="T2981" s="35" t="str">
        <f aca="false">IF($A2981="","",IF(COUNTIFS($S$3:$S2981,$S2981)=1,1,0))</f>
        <v/>
      </c>
      <c r="U2981" s="37" t="str">
        <f aca="false">IF($T2981=1,$S2981,"")</f>
        <v/>
      </c>
    </row>
    <row r="2982" customFormat="false" ht="15" hidden="false" customHeight="false" outlineLevel="0" collapsed="false">
      <c r="M2982" s="35" t="str">
        <f aca="false">IF($A2982="","",HOUR($A2982))</f>
        <v/>
      </c>
      <c r="N2982" s="36" t="str">
        <f aca="false">IF($A2982="","",$I2982*$K2982)</f>
        <v/>
      </c>
      <c r="O2982" s="35" t="str">
        <f aca="false">IF(OR($A2982="",$C2982="U",$S2982&lt;&gt;Calc!$F$2),"",SUMIFS($I$3:$I$3002,$E$3:$E$3002,$E2982,$C$3:$C$3002,"&lt;&gt;U",$S$3:$S$3002,Calc!$F$2))</f>
        <v/>
      </c>
      <c r="P2982" s="35" t="str">
        <f aca="false">IF(OR($A2982="",$C2982="U",$S2982&lt;&gt;Calc!$F$2),"",SUMIFS($N$3:$N$3002,$E$3:$E$3002,$E2982,$C$3:$C$3002,"&lt;&gt;U",$S$3:$S$3002,Calc!$F$2))</f>
        <v/>
      </c>
      <c r="Q2982" s="35" t="str">
        <f aca="false">IF(OR($A2982="",$C2982="U",$S2982&lt;&gt;Calc!$F$2),"",IF(COUNTIFS($E$3:$E2982,$E2982,$C$3:$C2982,"&lt;&gt;U",$S$3:$S2982,Calc!$F$2)=1,1,0))</f>
        <v/>
      </c>
      <c r="R2982" s="35" t="str">
        <f aca="false">IF($Q2982=1,$O2982-ROW()/100000,"")</f>
        <v/>
      </c>
      <c r="S2982" s="37" t="str">
        <f aca="false">IF($A2982="","",INT($A2982))</f>
        <v/>
      </c>
      <c r="T2982" s="35" t="str">
        <f aca="false">IF($A2982="","",IF(COUNTIFS($S$3:$S2982,$S2982)=1,1,0))</f>
        <v/>
      </c>
      <c r="U2982" s="37" t="str">
        <f aca="false">IF($T2982=1,$S2982,"")</f>
        <v/>
      </c>
    </row>
    <row r="2983" customFormat="false" ht="15" hidden="false" customHeight="false" outlineLevel="0" collapsed="false">
      <c r="M2983" s="35" t="str">
        <f aca="false">IF($A2983="","",HOUR($A2983))</f>
        <v/>
      </c>
      <c r="N2983" s="36" t="str">
        <f aca="false">IF($A2983="","",$I2983*$K2983)</f>
        <v/>
      </c>
      <c r="O2983" s="35" t="str">
        <f aca="false">IF(OR($A2983="",$C2983="U",$S2983&lt;&gt;Calc!$F$2),"",SUMIFS($I$3:$I$3002,$E$3:$E$3002,$E2983,$C$3:$C$3002,"&lt;&gt;U",$S$3:$S$3002,Calc!$F$2))</f>
        <v/>
      </c>
      <c r="P2983" s="35" t="str">
        <f aca="false">IF(OR($A2983="",$C2983="U",$S2983&lt;&gt;Calc!$F$2),"",SUMIFS($N$3:$N$3002,$E$3:$E$3002,$E2983,$C$3:$C$3002,"&lt;&gt;U",$S$3:$S$3002,Calc!$F$2))</f>
        <v/>
      </c>
      <c r="Q2983" s="35" t="str">
        <f aca="false">IF(OR($A2983="",$C2983="U",$S2983&lt;&gt;Calc!$F$2),"",IF(COUNTIFS($E$3:$E2983,$E2983,$C$3:$C2983,"&lt;&gt;U",$S$3:$S2983,Calc!$F$2)=1,1,0))</f>
        <v/>
      </c>
      <c r="R2983" s="35" t="str">
        <f aca="false">IF($Q2983=1,$O2983-ROW()/100000,"")</f>
        <v/>
      </c>
      <c r="S2983" s="37" t="str">
        <f aca="false">IF($A2983="","",INT($A2983))</f>
        <v/>
      </c>
      <c r="T2983" s="35" t="str">
        <f aca="false">IF($A2983="","",IF(COUNTIFS($S$3:$S2983,$S2983)=1,1,0))</f>
        <v/>
      </c>
      <c r="U2983" s="37" t="str">
        <f aca="false">IF($T2983=1,$S2983,"")</f>
        <v/>
      </c>
    </row>
    <row r="2984" customFormat="false" ht="15" hidden="false" customHeight="false" outlineLevel="0" collapsed="false">
      <c r="M2984" s="35" t="str">
        <f aca="false">IF($A2984="","",HOUR($A2984))</f>
        <v/>
      </c>
      <c r="N2984" s="36" t="str">
        <f aca="false">IF($A2984="","",$I2984*$K2984)</f>
        <v/>
      </c>
      <c r="O2984" s="35" t="str">
        <f aca="false">IF(OR($A2984="",$C2984="U",$S2984&lt;&gt;Calc!$F$2),"",SUMIFS($I$3:$I$3002,$E$3:$E$3002,$E2984,$C$3:$C$3002,"&lt;&gt;U",$S$3:$S$3002,Calc!$F$2))</f>
        <v/>
      </c>
      <c r="P2984" s="35" t="str">
        <f aca="false">IF(OR($A2984="",$C2984="U",$S2984&lt;&gt;Calc!$F$2),"",SUMIFS($N$3:$N$3002,$E$3:$E$3002,$E2984,$C$3:$C$3002,"&lt;&gt;U",$S$3:$S$3002,Calc!$F$2))</f>
        <v/>
      </c>
      <c r="Q2984" s="35" t="str">
        <f aca="false">IF(OR($A2984="",$C2984="U",$S2984&lt;&gt;Calc!$F$2),"",IF(COUNTIFS($E$3:$E2984,$E2984,$C$3:$C2984,"&lt;&gt;U",$S$3:$S2984,Calc!$F$2)=1,1,0))</f>
        <v/>
      </c>
      <c r="R2984" s="35" t="str">
        <f aca="false">IF($Q2984=1,$O2984-ROW()/100000,"")</f>
        <v/>
      </c>
      <c r="S2984" s="37" t="str">
        <f aca="false">IF($A2984="","",INT($A2984))</f>
        <v/>
      </c>
      <c r="T2984" s="35" t="str">
        <f aca="false">IF($A2984="","",IF(COUNTIFS($S$3:$S2984,$S2984)=1,1,0))</f>
        <v/>
      </c>
      <c r="U2984" s="37" t="str">
        <f aca="false">IF($T2984=1,$S2984,"")</f>
        <v/>
      </c>
    </row>
    <row r="2985" customFormat="false" ht="15" hidden="false" customHeight="false" outlineLevel="0" collapsed="false">
      <c r="M2985" s="35" t="str">
        <f aca="false">IF($A2985="","",HOUR($A2985))</f>
        <v/>
      </c>
      <c r="N2985" s="36" t="str">
        <f aca="false">IF($A2985="","",$I2985*$K2985)</f>
        <v/>
      </c>
      <c r="O2985" s="35" t="str">
        <f aca="false">IF(OR($A2985="",$C2985="U",$S2985&lt;&gt;Calc!$F$2),"",SUMIFS($I$3:$I$3002,$E$3:$E$3002,$E2985,$C$3:$C$3002,"&lt;&gt;U",$S$3:$S$3002,Calc!$F$2))</f>
        <v/>
      </c>
      <c r="P2985" s="35" t="str">
        <f aca="false">IF(OR($A2985="",$C2985="U",$S2985&lt;&gt;Calc!$F$2),"",SUMIFS($N$3:$N$3002,$E$3:$E$3002,$E2985,$C$3:$C$3002,"&lt;&gt;U",$S$3:$S$3002,Calc!$F$2))</f>
        <v/>
      </c>
      <c r="Q2985" s="35" t="str">
        <f aca="false">IF(OR($A2985="",$C2985="U",$S2985&lt;&gt;Calc!$F$2),"",IF(COUNTIFS($E$3:$E2985,$E2985,$C$3:$C2985,"&lt;&gt;U",$S$3:$S2985,Calc!$F$2)=1,1,0))</f>
        <v/>
      </c>
      <c r="R2985" s="35" t="str">
        <f aca="false">IF($Q2985=1,$O2985-ROW()/100000,"")</f>
        <v/>
      </c>
      <c r="S2985" s="37" t="str">
        <f aca="false">IF($A2985="","",INT($A2985))</f>
        <v/>
      </c>
      <c r="T2985" s="35" t="str">
        <f aca="false">IF($A2985="","",IF(COUNTIFS($S$3:$S2985,$S2985)=1,1,0))</f>
        <v/>
      </c>
      <c r="U2985" s="37" t="str">
        <f aca="false">IF($T2985=1,$S2985,"")</f>
        <v/>
      </c>
    </row>
    <row r="2986" customFormat="false" ht="15" hidden="false" customHeight="false" outlineLevel="0" collapsed="false">
      <c r="M2986" s="35" t="str">
        <f aca="false">IF($A2986="","",HOUR($A2986))</f>
        <v/>
      </c>
      <c r="N2986" s="36" t="str">
        <f aca="false">IF($A2986="","",$I2986*$K2986)</f>
        <v/>
      </c>
      <c r="O2986" s="35" t="str">
        <f aca="false">IF(OR($A2986="",$C2986="U",$S2986&lt;&gt;Calc!$F$2),"",SUMIFS($I$3:$I$3002,$E$3:$E$3002,$E2986,$C$3:$C$3002,"&lt;&gt;U",$S$3:$S$3002,Calc!$F$2))</f>
        <v/>
      </c>
      <c r="P2986" s="35" t="str">
        <f aca="false">IF(OR($A2986="",$C2986="U",$S2986&lt;&gt;Calc!$F$2),"",SUMIFS($N$3:$N$3002,$E$3:$E$3002,$E2986,$C$3:$C$3002,"&lt;&gt;U",$S$3:$S$3002,Calc!$F$2))</f>
        <v/>
      </c>
      <c r="Q2986" s="35" t="str">
        <f aca="false">IF(OR($A2986="",$C2986="U",$S2986&lt;&gt;Calc!$F$2),"",IF(COUNTIFS($E$3:$E2986,$E2986,$C$3:$C2986,"&lt;&gt;U",$S$3:$S2986,Calc!$F$2)=1,1,0))</f>
        <v/>
      </c>
      <c r="R2986" s="35" t="str">
        <f aca="false">IF($Q2986=1,$O2986-ROW()/100000,"")</f>
        <v/>
      </c>
      <c r="S2986" s="37" t="str">
        <f aca="false">IF($A2986="","",INT($A2986))</f>
        <v/>
      </c>
      <c r="T2986" s="35" t="str">
        <f aca="false">IF($A2986="","",IF(COUNTIFS($S$3:$S2986,$S2986)=1,1,0))</f>
        <v/>
      </c>
      <c r="U2986" s="37" t="str">
        <f aca="false">IF($T2986=1,$S2986,"")</f>
        <v/>
      </c>
    </row>
    <row r="2987" customFormat="false" ht="15" hidden="false" customHeight="false" outlineLevel="0" collapsed="false">
      <c r="M2987" s="35" t="str">
        <f aca="false">IF($A2987="","",HOUR($A2987))</f>
        <v/>
      </c>
      <c r="N2987" s="36" t="str">
        <f aca="false">IF($A2987="","",$I2987*$K2987)</f>
        <v/>
      </c>
      <c r="O2987" s="35" t="str">
        <f aca="false">IF(OR($A2987="",$C2987="U",$S2987&lt;&gt;Calc!$F$2),"",SUMIFS($I$3:$I$3002,$E$3:$E$3002,$E2987,$C$3:$C$3002,"&lt;&gt;U",$S$3:$S$3002,Calc!$F$2))</f>
        <v/>
      </c>
      <c r="P2987" s="35" t="str">
        <f aca="false">IF(OR($A2987="",$C2987="U",$S2987&lt;&gt;Calc!$F$2),"",SUMIFS($N$3:$N$3002,$E$3:$E$3002,$E2987,$C$3:$C$3002,"&lt;&gt;U",$S$3:$S$3002,Calc!$F$2))</f>
        <v/>
      </c>
      <c r="Q2987" s="35" t="str">
        <f aca="false">IF(OR($A2987="",$C2987="U",$S2987&lt;&gt;Calc!$F$2),"",IF(COUNTIFS($E$3:$E2987,$E2987,$C$3:$C2987,"&lt;&gt;U",$S$3:$S2987,Calc!$F$2)=1,1,0))</f>
        <v/>
      </c>
      <c r="R2987" s="35" t="str">
        <f aca="false">IF($Q2987=1,$O2987-ROW()/100000,"")</f>
        <v/>
      </c>
      <c r="S2987" s="37" t="str">
        <f aca="false">IF($A2987="","",INT($A2987))</f>
        <v/>
      </c>
      <c r="T2987" s="35" t="str">
        <f aca="false">IF($A2987="","",IF(COUNTIFS($S$3:$S2987,$S2987)=1,1,0))</f>
        <v/>
      </c>
      <c r="U2987" s="37" t="str">
        <f aca="false">IF($T2987=1,$S2987,"")</f>
        <v/>
      </c>
    </row>
    <row r="2988" customFormat="false" ht="15" hidden="false" customHeight="false" outlineLevel="0" collapsed="false">
      <c r="M2988" s="35" t="str">
        <f aca="false">IF($A2988="","",HOUR($A2988))</f>
        <v/>
      </c>
      <c r="N2988" s="36" t="str">
        <f aca="false">IF($A2988="","",$I2988*$K2988)</f>
        <v/>
      </c>
      <c r="O2988" s="35" t="str">
        <f aca="false">IF(OR($A2988="",$C2988="U",$S2988&lt;&gt;Calc!$F$2),"",SUMIFS($I$3:$I$3002,$E$3:$E$3002,$E2988,$C$3:$C$3002,"&lt;&gt;U",$S$3:$S$3002,Calc!$F$2))</f>
        <v/>
      </c>
      <c r="P2988" s="35" t="str">
        <f aca="false">IF(OR($A2988="",$C2988="U",$S2988&lt;&gt;Calc!$F$2),"",SUMIFS($N$3:$N$3002,$E$3:$E$3002,$E2988,$C$3:$C$3002,"&lt;&gt;U",$S$3:$S$3002,Calc!$F$2))</f>
        <v/>
      </c>
      <c r="Q2988" s="35" t="str">
        <f aca="false">IF(OR($A2988="",$C2988="U",$S2988&lt;&gt;Calc!$F$2),"",IF(COUNTIFS($E$3:$E2988,$E2988,$C$3:$C2988,"&lt;&gt;U",$S$3:$S2988,Calc!$F$2)=1,1,0))</f>
        <v/>
      </c>
      <c r="R2988" s="35" t="str">
        <f aca="false">IF($Q2988=1,$O2988-ROW()/100000,"")</f>
        <v/>
      </c>
      <c r="S2988" s="37" t="str">
        <f aca="false">IF($A2988="","",INT($A2988))</f>
        <v/>
      </c>
      <c r="T2988" s="35" t="str">
        <f aca="false">IF($A2988="","",IF(COUNTIFS($S$3:$S2988,$S2988)=1,1,0))</f>
        <v/>
      </c>
      <c r="U2988" s="37" t="str">
        <f aca="false">IF($T2988=1,$S2988,"")</f>
        <v/>
      </c>
    </row>
    <row r="2989" customFormat="false" ht="15" hidden="false" customHeight="false" outlineLevel="0" collapsed="false">
      <c r="M2989" s="35" t="str">
        <f aca="false">IF($A2989="","",HOUR($A2989))</f>
        <v/>
      </c>
      <c r="N2989" s="36" t="str">
        <f aca="false">IF($A2989="","",$I2989*$K2989)</f>
        <v/>
      </c>
      <c r="O2989" s="35" t="str">
        <f aca="false">IF(OR($A2989="",$C2989="U",$S2989&lt;&gt;Calc!$F$2),"",SUMIFS($I$3:$I$3002,$E$3:$E$3002,$E2989,$C$3:$C$3002,"&lt;&gt;U",$S$3:$S$3002,Calc!$F$2))</f>
        <v/>
      </c>
      <c r="P2989" s="35" t="str">
        <f aca="false">IF(OR($A2989="",$C2989="U",$S2989&lt;&gt;Calc!$F$2),"",SUMIFS($N$3:$N$3002,$E$3:$E$3002,$E2989,$C$3:$C$3002,"&lt;&gt;U",$S$3:$S$3002,Calc!$F$2))</f>
        <v/>
      </c>
      <c r="Q2989" s="35" t="str">
        <f aca="false">IF(OR($A2989="",$C2989="U",$S2989&lt;&gt;Calc!$F$2),"",IF(COUNTIFS($E$3:$E2989,$E2989,$C$3:$C2989,"&lt;&gt;U",$S$3:$S2989,Calc!$F$2)=1,1,0))</f>
        <v/>
      </c>
      <c r="R2989" s="35" t="str">
        <f aca="false">IF($Q2989=1,$O2989-ROW()/100000,"")</f>
        <v/>
      </c>
      <c r="S2989" s="37" t="str">
        <f aca="false">IF($A2989="","",INT($A2989))</f>
        <v/>
      </c>
      <c r="T2989" s="35" t="str">
        <f aca="false">IF($A2989="","",IF(COUNTIFS($S$3:$S2989,$S2989)=1,1,0))</f>
        <v/>
      </c>
      <c r="U2989" s="37" t="str">
        <f aca="false">IF($T2989=1,$S2989,"")</f>
        <v/>
      </c>
    </row>
    <row r="2990" customFormat="false" ht="15" hidden="false" customHeight="false" outlineLevel="0" collapsed="false">
      <c r="M2990" s="35" t="str">
        <f aca="false">IF($A2990="","",HOUR($A2990))</f>
        <v/>
      </c>
      <c r="N2990" s="36" t="str">
        <f aca="false">IF($A2990="","",$I2990*$K2990)</f>
        <v/>
      </c>
      <c r="O2990" s="35" t="str">
        <f aca="false">IF(OR($A2990="",$C2990="U",$S2990&lt;&gt;Calc!$F$2),"",SUMIFS($I$3:$I$3002,$E$3:$E$3002,$E2990,$C$3:$C$3002,"&lt;&gt;U",$S$3:$S$3002,Calc!$F$2))</f>
        <v/>
      </c>
      <c r="P2990" s="35" t="str">
        <f aca="false">IF(OR($A2990="",$C2990="U",$S2990&lt;&gt;Calc!$F$2),"",SUMIFS($N$3:$N$3002,$E$3:$E$3002,$E2990,$C$3:$C$3002,"&lt;&gt;U",$S$3:$S$3002,Calc!$F$2))</f>
        <v/>
      </c>
      <c r="Q2990" s="35" t="str">
        <f aca="false">IF(OR($A2990="",$C2990="U",$S2990&lt;&gt;Calc!$F$2),"",IF(COUNTIFS($E$3:$E2990,$E2990,$C$3:$C2990,"&lt;&gt;U",$S$3:$S2990,Calc!$F$2)=1,1,0))</f>
        <v/>
      </c>
      <c r="R2990" s="35" t="str">
        <f aca="false">IF($Q2990=1,$O2990-ROW()/100000,"")</f>
        <v/>
      </c>
      <c r="S2990" s="37" t="str">
        <f aca="false">IF($A2990="","",INT($A2990))</f>
        <v/>
      </c>
      <c r="T2990" s="35" t="str">
        <f aca="false">IF($A2990="","",IF(COUNTIFS($S$3:$S2990,$S2990)=1,1,0))</f>
        <v/>
      </c>
      <c r="U2990" s="37" t="str">
        <f aca="false">IF($T2990=1,$S2990,"")</f>
        <v/>
      </c>
    </row>
    <row r="2991" customFormat="false" ht="15" hidden="false" customHeight="false" outlineLevel="0" collapsed="false">
      <c r="M2991" s="35" t="str">
        <f aca="false">IF($A2991="","",HOUR($A2991))</f>
        <v/>
      </c>
      <c r="N2991" s="36" t="str">
        <f aca="false">IF($A2991="","",$I2991*$K2991)</f>
        <v/>
      </c>
      <c r="O2991" s="35" t="str">
        <f aca="false">IF(OR($A2991="",$C2991="U",$S2991&lt;&gt;Calc!$F$2),"",SUMIFS($I$3:$I$3002,$E$3:$E$3002,$E2991,$C$3:$C$3002,"&lt;&gt;U",$S$3:$S$3002,Calc!$F$2))</f>
        <v/>
      </c>
      <c r="P2991" s="35" t="str">
        <f aca="false">IF(OR($A2991="",$C2991="U",$S2991&lt;&gt;Calc!$F$2),"",SUMIFS($N$3:$N$3002,$E$3:$E$3002,$E2991,$C$3:$C$3002,"&lt;&gt;U",$S$3:$S$3002,Calc!$F$2))</f>
        <v/>
      </c>
      <c r="Q2991" s="35" t="str">
        <f aca="false">IF(OR($A2991="",$C2991="U",$S2991&lt;&gt;Calc!$F$2),"",IF(COUNTIFS($E$3:$E2991,$E2991,$C$3:$C2991,"&lt;&gt;U",$S$3:$S2991,Calc!$F$2)=1,1,0))</f>
        <v/>
      </c>
      <c r="R2991" s="35" t="str">
        <f aca="false">IF($Q2991=1,$O2991-ROW()/100000,"")</f>
        <v/>
      </c>
      <c r="S2991" s="37" t="str">
        <f aca="false">IF($A2991="","",INT($A2991))</f>
        <v/>
      </c>
      <c r="T2991" s="35" t="str">
        <f aca="false">IF($A2991="","",IF(COUNTIFS($S$3:$S2991,$S2991)=1,1,0))</f>
        <v/>
      </c>
      <c r="U2991" s="37" t="str">
        <f aca="false">IF($T2991=1,$S2991,"")</f>
        <v/>
      </c>
    </row>
    <row r="2992" customFormat="false" ht="15" hidden="false" customHeight="false" outlineLevel="0" collapsed="false">
      <c r="M2992" s="35" t="str">
        <f aca="false">IF($A2992="","",HOUR($A2992))</f>
        <v/>
      </c>
      <c r="N2992" s="36" t="str">
        <f aca="false">IF($A2992="","",$I2992*$K2992)</f>
        <v/>
      </c>
      <c r="O2992" s="35" t="str">
        <f aca="false">IF(OR($A2992="",$C2992="U",$S2992&lt;&gt;Calc!$F$2),"",SUMIFS($I$3:$I$3002,$E$3:$E$3002,$E2992,$C$3:$C$3002,"&lt;&gt;U",$S$3:$S$3002,Calc!$F$2))</f>
        <v/>
      </c>
      <c r="P2992" s="35" t="str">
        <f aca="false">IF(OR($A2992="",$C2992="U",$S2992&lt;&gt;Calc!$F$2),"",SUMIFS($N$3:$N$3002,$E$3:$E$3002,$E2992,$C$3:$C$3002,"&lt;&gt;U",$S$3:$S$3002,Calc!$F$2))</f>
        <v/>
      </c>
      <c r="Q2992" s="35" t="str">
        <f aca="false">IF(OR($A2992="",$C2992="U",$S2992&lt;&gt;Calc!$F$2),"",IF(COUNTIFS($E$3:$E2992,$E2992,$C$3:$C2992,"&lt;&gt;U",$S$3:$S2992,Calc!$F$2)=1,1,0))</f>
        <v/>
      </c>
      <c r="R2992" s="35" t="str">
        <f aca="false">IF($Q2992=1,$O2992-ROW()/100000,"")</f>
        <v/>
      </c>
      <c r="S2992" s="37" t="str">
        <f aca="false">IF($A2992="","",INT($A2992))</f>
        <v/>
      </c>
      <c r="T2992" s="35" t="str">
        <f aca="false">IF($A2992="","",IF(COUNTIFS($S$3:$S2992,$S2992)=1,1,0))</f>
        <v/>
      </c>
      <c r="U2992" s="37" t="str">
        <f aca="false">IF($T2992=1,$S2992,"")</f>
        <v/>
      </c>
    </row>
    <row r="2993" customFormat="false" ht="15" hidden="false" customHeight="false" outlineLevel="0" collapsed="false">
      <c r="M2993" s="35" t="str">
        <f aca="false">IF($A2993="","",HOUR($A2993))</f>
        <v/>
      </c>
      <c r="N2993" s="36" t="str">
        <f aca="false">IF($A2993="","",$I2993*$K2993)</f>
        <v/>
      </c>
      <c r="O2993" s="35" t="str">
        <f aca="false">IF(OR($A2993="",$C2993="U",$S2993&lt;&gt;Calc!$F$2),"",SUMIFS($I$3:$I$3002,$E$3:$E$3002,$E2993,$C$3:$C$3002,"&lt;&gt;U",$S$3:$S$3002,Calc!$F$2))</f>
        <v/>
      </c>
      <c r="P2993" s="35" t="str">
        <f aca="false">IF(OR($A2993="",$C2993="U",$S2993&lt;&gt;Calc!$F$2),"",SUMIFS($N$3:$N$3002,$E$3:$E$3002,$E2993,$C$3:$C$3002,"&lt;&gt;U",$S$3:$S$3002,Calc!$F$2))</f>
        <v/>
      </c>
      <c r="Q2993" s="35" t="str">
        <f aca="false">IF(OR($A2993="",$C2993="U",$S2993&lt;&gt;Calc!$F$2),"",IF(COUNTIFS($E$3:$E2993,$E2993,$C$3:$C2993,"&lt;&gt;U",$S$3:$S2993,Calc!$F$2)=1,1,0))</f>
        <v/>
      </c>
      <c r="R2993" s="35" t="str">
        <f aca="false">IF($Q2993=1,$O2993-ROW()/100000,"")</f>
        <v/>
      </c>
      <c r="S2993" s="37" t="str">
        <f aca="false">IF($A2993="","",INT($A2993))</f>
        <v/>
      </c>
      <c r="T2993" s="35" t="str">
        <f aca="false">IF($A2993="","",IF(COUNTIFS($S$3:$S2993,$S2993)=1,1,0))</f>
        <v/>
      </c>
      <c r="U2993" s="37" t="str">
        <f aca="false">IF($T2993=1,$S2993,"")</f>
        <v/>
      </c>
    </row>
    <row r="2994" customFormat="false" ht="15" hidden="false" customHeight="false" outlineLevel="0" collapsed="false">
      <c r="M2994" s="35" t="str">
        <f aca="false">IF($A2994="","",HOUR($A2994))</f>
        <v/>
      </c>
      <c r="N2994" s="36" t="str">
        <f aca="false">IF($A2994="","",$I2994*$K2994)</f>
        <v/>
      </c>
      <c r="O2994" s="35" t="str">
        <f aca="false">IF(OR($A2994="",$C2994="U",$S2994&lt;&gt;Calc!$F$2),"",SUMIFS($I$3:$I$3002,$E$3:$E$3002,$E2994,$C$3:$C$3002,"&lt;&gt;U",$S$3:$S$3002,Calc!$F$2))</f>
        <v/>
      </c>
      <c r="P2994" s="35" t="str">
        <f aca="false">IF(OR($A2994="",$C2994="U",$S2994&lt;&gt;Calc!$F$2),"",SUMIFS($N$3:$N$3002,$E$3:$E$3002,$E2994,$C$3:$C$3002,"&lt;&gt;U",$S$3:$S$3002,Calc!$F$2))</f>
        <v/>
      </c>
      <c r="Q2994" s="35" t="str">
        <f aca="false">IF(OR($A2994="",$C2994="U",$S2994&lt;&gt;Calc!$F$2),"",IF(COUNTIFS($E$3:$E2994,$E2994,$C$3:$C2994,"&lt;&gt;U",$S$3:$S2994,Calc!$F$2)=1,1,0))</f>
        <v/>
      </c>
      <c r="R2994" s="35" t="str">
        <f aca="false">IF($Q2994=1,$O2994-ROW()/100000,"")</f>
        <v/>
      </c>
      <c r="S2994" s="37" t="str">
        <f aca="false">IF($A2994="","",INT($A2994))</f>
        <v/>
      </c>
      <c r="T2994" s="35" t="str">
        <f aca="false">IF($A2994="","",IF(COUNTIFS($S$3:$S2994,$S2994)=1,1,0))</f>
        <v/>
      </c>
      <c r="U2994" s="37" t="str">
        <f aca="false">IF($T2994=1,$S2994,"")</f>
        <v/>
      </c>
    </row>
    <row r="2995" customFormat="false" ht="15" hidden="false" customHeight="false" outlineLevel="0" collapsed="false">
      <c r="M2995" s="35" t="str">
        <f aca="false">IF($A2995="","",HOUR($A2995))</f>
        <v/>
      </c>
      <c r="N2995" s="36" t="str">
        <f aca="false">IF($A2995="","",$I2995*$K2995)</f>
        <v/>
      </c>
      <c r="O2995" s="35" t="str">
        <f aca="false">IF(OR($A2995="",$C2995="U",$S2995&lt;&gt;Calc!$F$2),"",SUMIFS($I$3:$I$3002,$E$3:$E$3002,$E2995,$C$3:$C$3002,"&lt;&gt;U",$S$3:$S$3002,Calc!$F$2))</f>
        <v/>
      </c>
      <c r="P2995" s="35" t="str">
        <f aca="false">IF(OR($A2995="",$C2995="U",$S2995&lt;&gt;Calc!$F$2),"",SUMIFS($N$3:$N$3002,$E$3:$E$3002,$E2995,$C$3:$C$3002,"&lt;&gt;U",$S$3:$S$3002,Calc!$F$2))</f>
        <v/>
      </c>
      <c r="Q2995" s="35" t="str">
        <f aca="false">IF(OR($A2995="",$C2995="U",$S2995&lt;&gt;Calc!$F$2),"",IF(COUNTIFS($E$3:$E2995,$E2995,$C$3:$C2995,"&lt;&gt;U",$S$3:$S2995,Calc!$F$2)=1,1,0))</f>
        <v/>
      </c>
      <c r="R2995" s="35" t="str">
        <f aca="false">IF($Q2995=1,$O2995-ROW()/100000,"")</f>
        <v/>
      </c>
      <c r="S2995" s="37" t="str">
        <f aca="false">IF($A2995="","",INT($A2995))</f>
        <v/>
      </c>
      <c r="T2995" s="35" t="str">
        <f aca="false">IF($A2995="","",IF(COUNTIFS($S$3:$S2995,$S2995)=1,1,0))</f>
        <v/>
      </c>
      <c r="U2995" s="37" t="str">
        <f aca="false">IF($T2995=1,$S2995,"")</f>
        <v/>
      </c>
    </row>
    <row r="2996" customFormat="false" ht="15" hidden="false" customHeight="false" outlineLevel="0" collapsed="false">
      <c r="M2996" s="35" t="str">
        <f aca="false">IF($A2996="","",HOUR($A2996))</f>
        <v/>
      </c>
      <c r="N2996" s="36" t="str">
        <f aca="false">IF($A2996="","",$I2996*$K2996)</f>
        <v/>
      </c>
      <c r="O2996" s="35" t="str">
        <f aca="false">IF(OR($A2996="",$C2996="U",$S2996&lt;&gt;Calc!$F$2),"",SUMIFS($I$3:$I$3002,$E$3:$E$3002,$E2996,$C$3:$C$3002,"&lt;&gt;U",$S$3:$S$3002,Calc!$F$2))</f>
        <v/>
      </c>
      <c r="P2996" s="35" t="str">
        <f aca="false">IF(OR($A2996="",$C2996="U",$S2996&lt;&gt;Calc!$F$2),"",SUMIFS($N$3:$N$3002,$E$3:$E$3002,$E2996,$C$3:$C$3002,"&lt;&gt;U",$S$3:$S$3002,Calc!$F$2))</f>
        <v/>
      </c>
      <c r="Q2996" s="35" t="str">
        <f aca="false">IF(OR($A2996="",$C2996="U",$S2996&lt;&gt;Calc!$F$2),"",IF(COUNTIFS($E$3:$E2996,$E2996,$C$3:$C2996,"&lt;&gt;U",$S$3:$S2996,Calc!$F$2)=1,1,0))</f>
        <v/>
      </c>
      <c r="R2996" s="35" t="str">
        <f aca="false">IF($Q2996=1,$O2996-ROW()/100000,"")</f>
        <v/>
      </c>
      <c r="S2996" s="37" t="str">
        <f aca="false">IF($A2996="","",INT($A2996))</f>
        <v/>
      </c>
      <c r="T2996" s="35" t="str">
        <f aca="false">IF($A2996="","",IF(COUNTIFS($S$3:$S2996,$S2996)=1,1,0))</f>
        <v/>
      </c>
      <c r="U2996" s="37" t="str">
        <f aca="false">IF($T2996=1,$S2996,"")</f>
        <v/>
      </c>
    </row>
    <row r="2997" customFormat="false" ht="15" hidden="false" customHeight="false" outlineLevel="0" collapsed="false">
      <c r="M2997" s="35" t="str">
        <f aca="false">IF($A2997="","",HOUR($A2997))</f>
        <v/>
      </c>
      <c r="N2997" s="36" t="str">
        <f aca="false">IF($A2997="","",$I2997*$K2997)</f>
        <v/>
      </c>
      <c r="O2997" s="35" t="str">
        <f aca="false">IF(OR($A2997="",$C2997="U",$S2997&lt;&gt;Calc!$F$2),"",SUMIFS($I$3:$I$3002,$E$3:$E$3002,$E2997,$C$3:$C$3002,"&lt;&gt;U",$S$3:$S$3002,Calc!$F$2))</f>
        <v/>
      </c>
      <c r="P2997" s="35" t="str">
        <f aca="false">IF(OR($A2997="",$C2997="U",$S2997&lt;&gt;Calc!$F$2),"",SUMIFS($N$3:$N$3002,$E$3:$E$3002,$E2997,$C$3:$C$3002,"&lt;&gt;U",$S$3:$S$3002,Calc!$F$2))</f>
        <v/>
      </c>
      <c r="Q2997" s="35" t="str">
        <f aca="false">IF(OR($A2997="",$C2997="U",$S2997&lt;&gt;Calc!$F$2),"",IF(COUNTIFS($E$3:$E2997,$E2997,$C$3:$C2997,"&lt;&gt;U",$S$3:$S2997,Calc!$F$2)=1,1,0))</f>
        <v/>
      </c>
      <c r="R2997" s="35" t="str">
        <f aca="false">IF($Q2997=1,$O2997-ROW()/100000,"")</f>
        <v/>
      </c>
      <c r="S2997" s="37" t="str">
        <f aca="false">IF($A2997="","",INT($A2997))</f>
        <v/>
      </c>
      <c r="T2997" s="35" t="str">
        <f aca="false">IF($A2997="","",IF(COUNTIFS($S$3:$S2997,$S2997)=1,1,0))</f>
        <v/>
      </c>
      <c r="U2997" s="37" t="str">
        <f aca="false">IF($T2997=1,$S2997,"")</f>
        <v/>
      </c>
    </row>
    <row r="2998" customFormat="false" ht="15" hidden="false" customHeight="false" outlineLevel="0" collapsed="false">
      <c r="M2998" s="35" t="str">
        <f aca="false">IF($A2998="","",HOUR($A2998))</f>
        <v/>
      </c>
      <c r="N2998" s="36" t="str">
        <f aca="false">IF($A2998="","",$I2998*$K2998)</f>
        <v/>
      </c>
      <c r="O2998" s="35" t="str">
        <f aca="false">IF(OR($A2998="",$C2998="U",$S2998&lt;&gt;Calc!$F$2),"",SUMIFS($I$3:$I$3002,$E$3:$E$3002,$E2998,$C$3:$C$3002,"&lt;&gt;U",$S$3:$S$3002,Calc!$F$2))</f>
        <v/>
      </c>
      <c r="P2998" s="35" t="str">
        <f aca="false">IF(OR($A2998="",$C2998="U",$S2998&lt;&gt;Calc!$F$2),"",SUMIFS($N$3:$N$3002,$E$3:$E$3002,$E2998,$C$3:$C$3002,"&lt;&gt;U",$S$3:$S$3002,Calc!$F$2))</f>
        <v/>
      </c>
      <c r="Q2998" s="35" t="str">
        <f aca="false">IF(OR($A2998="",$C2998="U",$S2998&lt;&gt;Calc!$F$2),"",IF(COUNTIFS($E$3:$E2998,$E2998,$C$3:$C2998,"&lt;&gt;U",$S$3:$S2998,Calc!$F$2)=1,1,0))</f>
        <v/>
      </c>
      <c r="R2998" s="35" t="str">
        <f aca="false">IF($Q2998=1,$O2998-ROW()/100000,"")</f>
        <v/>
      </c>
      <c r="S2998" s="37" t="str">
        <f aca="false">IF($A2998="","",INT($A2998))</f>
        <v/>
      </c>
      <c r="T2998" s="35" t="str">
        <f aca="false">IF($A2998="","",IF(COUNTIFS($S$3:$S2998,$S2998)=1,1,0))</f>
        <v/>
      </c>
      <c r="U2998" s="37" t="str">
        <f aca="false">IF($T2998=1,$S2998,"")</f>
        <v/>
      </c>
    </row>
    <row r="2999" customFormat="false" ht="15" hidden="false" customHeight="false" outlineLevel="0" collapsed="false">
      <c r="M2999" s="35" t="str">
        <f aca="false">IF($A2999="","",HOUR($A2999))</f>
        <v/>
      </c>
      <c r="N2999" s="36" t="str">
        <f aca="false">IF($A2999="","",$I2999*$K2999)</f>
        <v/>
      </c>
      <c r="O2999" s="35" t="str">
        <f aca="false">IF(OR($A2999="",$C2999="U",$S2999&lt;&gt;Calc!$F$2),"",SUMIFS($I$3:$I$3002,$E$3:$E$3002,$E2999,$C$3:$C$3002,"&lt;&gt;U",$S$3:$S$3002,Calc!$F$2))</f>
        <v/>
      </c>
      <c r="P2999" s="35" t="str">
        <f aca="false">IF(OR($A2999="",$C2999="U",$S2999&lt;&gt;Calc!$F$2),"",SUMIFS($N$3:$N$3002,$E$3:$E$3002,$E2999,$C$3:$C$3002,"&lt;&gt;U",$S$3:$S$3002,Calc!$F$2))</f>
        <v/>
      </c>
      <c r="Q2999" s="35" t="str">
        <f aca="false">IF(OR($A2999="",$C2999="U",$S2999&lt;&gt;Calc!$F$2),"",IF(COUNTIFS($E$3:$E2999,$E2999,$C$3:$C2999,"&lt;&gt;U",$S$3:$S2999,Calc!$F$2)=1,1,0))</f>
        <v/>
      </c>
      <c r="R2999" s="35" t="str">
        <f aca="false">IF($Q2999=1,$O2999-ROW()/100000,"")</f>
        <v/>
      </c>
      <c r="S2999" s="37" t="str">
        <f aca="false">IF($A2999="","",INT($A2999))</f>
        <v/>
      </c>
      <c r="T2999" s="35" t="str">
        <f aca="false">IF($A2999="","",IF(COUNTIFS($S$3:$S2999,$S2999)=1,1,0))</f>
        <v/>
      </c>
      <c r="U2999" s="37" t="str">
        <f aca="false">IF($T2999=1,$S2999,"")</f>
        <v/>
      </c>
    </row>
    <row r="3000" customFormat="false" ht="15" hidden="false" customHeight="false" outlineLevel="0" collapsed="false">
      <c r="M3000" s="35" t="str">
        <f aca="false">IF($A3000="","",HOUR($A3000))</f>
        <v/>
      </c>
      <c r="N3000" s="36" t="str">
        <f aca="false">IF($A3000="","",$I3000*$K3000)</f>
        <v/>
      </c>
      <c r="O3000" s="35" t="str">
        <f aca="false">IF(OR($A3000="",$C3000="U",$S3000&lt;&gt;Calc!$F$2),"",SUMIFS($I$3:$I$3002,$E$3:$E$3002,$E3000,$C$3:$C$3002,"&lt;&gt;U",$S$3:$S$3002,Calc!$F$2))</f>
        <v/>
      </c>
      <c r="P3000" s="35" t="str">
        <f aca="false">IF(OR($A3000="",$C3000="U",$S3000&lt;&gt;Calc!$F$2),"",SUMIFS($N$3:$N$3002,$E$3:$E$3002,$E3000,$C$3:$C$3002,"&lt;&gt;U",$S$3:$S$3002,Calc!$F$2))</f>
        <v/>
      </c>
      <c r="Q3000" s="35" t="str">
        <f aca="false">IF(OR($A3000="",$C3000="U",$S3000&lt;&gt;Calc!$F$2),"",IF(COUNTIFS($E$3:$E3000,$E3000,$C$3:$C3000,"&lt;&gt;U",$S$3:$S3000,Calc!$F$2)=1,1,0))</f>
        <v/>
      </c>
      <c r="R3000" s="35" t="str">
        <f aca="false">IF($Q3000=1,$O3000-ROW()/100000,"")</f>
        <v/>
      </c>
      <c r="S3000" s="37" t="str">
        <f aca="false">IF($A3000="","",INT($A3000))</f>
        <v/>
      </c>
      <c r="T3000" s="35" t="str">
        <f aca="false">IF($A3000="","",IF(COUNTIFS($S$3:$S3000,$S3000)=1,1,0))</f>
        <v/>
      </c>
      <c r="U3000" s="37" t="str">
        <f aca="false">IF($T3000=1,$S3000,"")</f>
        <v/>
      </c>
    </row>
    <row r="3001" customFormat="false" ht="15" hidden="false" customHeight="false" outlineLevel="0" collapsed="false">
      <c r="M3001" s="35" t="str">
        <f aca="false">IF($A3001="","",HOUR($A3001))</f>
        <v/>
      </c>
      <c r="N3001" s="36" t="str">
        <f aca="false">IF($A3001="","",$I3001*$K3001)</f>
        <v/>
      </c>
      <c r="O3001" s="35" t="str">
        <f aca="false">IF(OR($A3001="",$C3001="U",$S3001&lt;&gt;Calc!$F$2),"",SUMIFS($I$3:$I$3002,$E$3:$E$3002,$E3001,$C$3:$C$3002,"&lt;&gt;U",$S$3:$S$3002,Calc!$F$2))</f>
        <v/>
      </c>
      <c r="P3001" s="35" t="str">
        <f aca="false">IF(OR($A3001="",$C3001="U",$S3001&lt;&gt;Calc!$F$2),"",SUMIFS($N$3:$N$3002,$E$3:$E$3002,$E3001,$C$3:$C$3002,"&lt;&gt;U",$S$3:$S$3002,Calc!$F$2))</f>
        <v/>
      </c>
      <c r="Q3001" s="35" t="str">
        <f aca="false">IF(OR($A3001="",$C3001="U",$S3001&lt;&gt;Calc!$F$2),"",IF(COUNTIFS($E$3:$E3001,$E3001,$C$3:$C3001,"&lt;&gt;U",$S$3:$S3001,Calc!$F$2)=1,1,0))</f>
        <v/>
      </c>
      <c r="R3001" s="35" t="str">
        <f aca="false">IF($Q3001=1,$O3001-ROW()/100000,"")</f>
        <v/>
      </c>
      <c r="S3001" s="37" t="str">
        <f aca="false">IF($A3001="","",INT($A3001))</f>
        <v/>
      </c>
      <c r="T3001" s="35" t="str">
        <f aca="false">IF($A3001="","",IF(COUNTIFS($S$3:$S3001,$S3001)=1,1,0))</f>
        <v/>
      </c>
      <c r="U3001" s="37" t="str">
        <f aca="false">IF($T3001=1,$S3001,"")</f>
        <v/>
      </c>
    </row>
    <row r="3002" customFormat="false" ht="15" hidden="false" customHeight="false" outlineLevel="0" collapsed="false">
      <c r="M3002" s="35" t="str">
        <f aca="false">IF($A3002="","",HOUR($A3002))</f>
        <v/>
      </c>
      <c r="N3002" s="36" t="str">
        <f aca="false">IF($A3002="","",$I3002*$K3002)</f>
        <v/>
      </c>
      <c r="O3002" s="35" t="str">
        <f aca="false">IF(OR($A3002="",$C3002="U",$S3002&lt;&gt;Calc!$F$2),"",SUMIFS($I$3:$I$3002,$E$3:$E$3002,$E3002,$C$3:$C$3002,"&lt;&gt;U",$S$3:$S$3002,Calc!$F$2))</f>
        <v/>
      </c>
      <c r="P3002" s="35" t="str">
        <f aca="false">IF(OR($A3002="",$C3002="U",$S3002&lt;&gt;Calc!$F$2),"",SUMIFS($N$3:$N$3002,$E$3:$E$3002,$E3002,$C$3:$C$3002,"&lt;&gt;U",$S$3:$S$3002,Calc!$F$2))</f>
        <v/>
      </c>
      <c r="Q3002" s="35" t="str">
        <f aca="false">IF(OR($A3002="",$C3002="U",$S3002&lt;&gt;Calc!$F$2),"",IF(COUNTIFS($E$3:$E3002,$E3002,$C$3:$C3002,"&lt;&gt;U",$S$3:$S3002,Calc!$F$2)=1,1,0))</f>
        <v/>
      </c>
      <c r="R3002" s="35" t="str">
        <f aca="false">IF($Q3002=1,$O3002-ROW()/100000,"")</f>
        <v/>
      </c>
      <c r="S3002" s="37" t="str">
        <f aca="false">IF($A3002="","",INT($A3002))</f>
        <v/>
      </c>
      <c r="T3002" s="35" t="str">
        <f aca="false">IF($A3002="","",IF(COUNTIFS($S$3:$S3002,$S3002)=1,1,0))</f>
        <v/>
      </c>
      <c r="U3002" s="37" t="str">
        <f aca="false">IF($T3002=1,$S3002,"")</f>
        <v/>
      </c>
    </row>
  </sheetData>
  <mergeCells count="1">
    <mergeCell ref="A1:K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6" min="6" style="0" width="34"/>
    <col collapsed="false" customWidth="true" hidden="false" outlineLevel="0" max="7" min="7" style="0" width="14"/>
    <col collapsed="false" customWidth="true" hidden="false" outlineLevel="0" max="9" min="9" style="0" width="26"/>
  </cols>
  <sheetData>
    <row r="1" customFormat="false" ht="19.5" hidden="false" customHeight="true" outlineLevel="0" collapsed="false">
      <c r="A1" s="38" t="s">
        <v>124</v>
      </c>
      <c r="B1" s="38"/>
      <c r="C1" s="38"/>
      <c r="D1" s="38"/>
      <c r="F1" s="5" t="s">
        <v>125</v>
      </c>
      <c r="I1" s="5" t="s">
        <v>126</v>
      </c>
    </row>
    <row r="2" customFormat="false" ht="15" hidden="false" customHeight="false" outlineLevel="0" collapsed="false">
      <c r="A2" s="22" t="s">
        <v>127</v>
      </c>
      <c r="B2" s="22" t="s">
        <v>128</v>
      </c>
      <c r="C2" s="22" t="s">
        <v>45</v>
      </c>
      <c r="D2" s="22" t="s">
        <v>46</v>
      </c>
      <c r="F2" s="39" t="n">
        <f aca="true">IF(Dashboard!$E$3="",IFERROR(MAX('Sales Data'!$S$3:$S$3002),TODAY()),Dashboard!$E$3)</f>
        <v>46263</v>
      </c>
      <c r="I2" s="40" t="n">
        <f aca="false">IFERROR(LARGE('Sales Data'!$U$3:$U$3002,1),"")</f>
        <v>46263</v>
      </c>
    </row>
    <row r="3" customFormat="false" ht="15" hidden="false" customHeight="false" outlineLevel="0" collapsed="false">
      <c r="A3" s="41" t="n">
        <v>0</v>
      </c>
      <c r="B3" s="41" t="str">
        <f aca="false">TEXT(TIME($A3,0,0),"h AM/PM")</f>
        <v>12 AM</v>
      </c>
      <c r="C3" s="41" t="n">
        <f aca="false">SUMIFS('Sales Data'!$I$3:$I$3002,'Sales Data'!$M$3:$M$3002,$A3,'Sales Data'!$C$3:$C$3002,"&lt;&gt;U",'Sales Data'!$S$3:$S$3002,$F$2)</f>
        <v>0</v>
      </c>
      <c r="D3" s="42" t="n">
        <f aca="false">SUMIFS('Sales Data'!$N$3:$N$3002,'Sales Data'!$M$3:$M$3002,$A3,'Sales Data'!$C$3:$C$3002,"&lt;&gt;U",'Sales Data'!$S$3:$S$3002,$F$2)</f>
        <v>0</v>
      </c>
      <c r="I3" s="40" t="str">
        <f aca="false">IFERROR(LARGE('Sales Data'!$U$3:$U$3002,2),"")</f>
        <v/>
      </c>
    </row>
    <row r="4" customFormat="false" ht="15" hidden="false" customHeight="false" outlineLevel="0" collapsed="false">
      <c r="A4" s="43" t="n">
        <v>1</v>
      </c>
      <c r="B4" s="43" t="str">
        <f aca="false">TEXT(TIME($A4,0,0),"h AM/PM")</f>
        <v>1 AM</v>
      </c>
      <c r="C4" s="43" t="n">
        <f aca="false">SUMIFS('Sales Data'!$I$3:$I$3002,'Sales Data'!$M$3:$M$3002,$A4,'Sales Data'!$C$3:$C$3002,"&lt;&gt;U",'Sales Data'!$S$3:$S$3002,$F$2)</f>
        <v>0</v>
      </c>
      <c r="D4" s="44" t="n">
        <f aca="false">SUMIFS('Sales Data'!$N$3:$N$3002,'Sales Data'!$M$3:$M$3002,$A4,'Sales Data'!$C$3:$C$3002,"&lt;&gt;U",'Sales Data'!$S$3:$S$3002,$F$2)</f>
        <v>0</v>
      </c>
      <c r="I4" s="40" t="str">
        <f aca="false">IFERROR(LARGE('Sales Data'!$U$3:$U$3002,3),"")</f>
        <v/>
      </c>
    </row>
    <row r="5" customFormat="false" ht="15" hidden="false" customHeight="false" outlineLevel="0" collapsed="false">
      <c r="A5" s="41" t="n">
        <v>2</v>
      </c>
      <c r="B5" s="41" t="str">
        <f aca="false">TEXT(TIME($A5,0,0),"h AM/PM")</f>
        <v>2 AM</v>
      </c>
      <c r="C5" s="41" t="n">
        <f aca="false">SUMIFS('Sales Data'!$I$3:$I$3002,'Sales Data'!$M$3:$M$3002,$A5,'Sales Data'!$C$3:$C$3002,"&lt;&gt;U",'Sales Data'!$S$3:$S$3002,$F$2)</f>
        <v>0</v>
      </c>
      <c r="D5" s="42" t="n">
        <f aca="false">SUMIFS('Sales Data'!$N$3:$N$3002,'Sales Data'!$M$3:$M$3002,$A5,'Sales Data'!$C$3:$C$3002,"&lt;&gt;U",'Sales Data'!$S$3:$S$3002,$F$2)</f>
        <v>0</v>
      </c>
      <c r="I5" s="40" t="str">
        <f aca="false">IFERROR(LARGE('Sales Data'!$U$3:$U$3002,4),"")</f>
        <v/>
      </c>
    </row>
    <row r="6" customFormat="false" ht="15" hidden="false" customHeight="false" outlineLevel="0" collapsed="false">
      <c r="A6" s="43" t="n">
        <v>3</v>
      </c>
      <c r="B6" s="43" t="str">
        <f aca="false">TEXT(TIME($A6,0,0),"h AM/PM")</f>
        <v>3 AM</v>
      </c>
      <c r="C6" s="43" t="n">
        <f aca="false">SUMIFS('Sales Data'!$I$3:$I$3002,'Sales Data'!$M$3:$M$3002,$A6,'Sales Data'!$C$3:$C$3002,"&lt;&gt;U",'Sales Data'!$S$3:$S$3002,$F$2)</f>
        <v>0</v>
      </c>
      <c r="D6" s="44" t="n">
        <f aca="false">SUMIFS('Sales Data'!$N$3:$N$3002,'Sales Data'!$M$3:$M$3002,$A6,'Sales Data'!$C$3:$C$3002,"&lt;&gt;U",'Sales Data'!$S$3:$S$3002,$F$2)</f>
        <v>0</v>
      </c>
      <c r="I6" s="40" t="str">
        <f aca="false">IFERROR(LARGE('Sales Data'!$U$3:$U$3002,5),"")</f>
        <v/>
      </c>
    </row>
    <row r="7" customFormat="false" ht="15" hidden="false" customHeight="false" outlineLevel="0" collapsed="false">
      <c r="A7" s="41" t="n">
        <v>4</v>
      </c>
      <c r="B7" s="41" t="str">
        <f aca="false">TEXT(TIME($A7,0,0),"h AM/PM")</f>
        <v>4 AM</v>
      </c>
      <c r="C7" s="41" t="n">
        <f aca="false">SUMIFS('Sales Data'!$I$3:$I$3002,'Sales Data'!$M$3:$M$3002,$A7,'Sales Data'!$C$3:$C$3002,"&lt;&gt;U",'Sales Data'!$S$3:$S$3002,$F$2)</f>
        <v>0</v>
      </c>
      <c r="D7" s="42" t="n">
        <f aca="false">SUMIFS('Sales Data'!$N$3:$N$3002,'Sales Data'!$M$3:$M$3002,$A7,'Sales Data'!$C$3:$C$3002,"&lt;&gt;U",'Sales Data'!$S$3:$S$3002,$F$2)</f>
        <v>0</v>
      </c>
      <c r="I7" s="40" t="str">
        <f aca="false">IFERROR(LARGE('Sales Data'!$U$3:$U$3002,6),"")</f>
        <v/>
      </c>
    </row>
    <row r="8" customFormat="false" ht="15" hidden="false" customHeight="false" outlineLevel="0" collapsed="false">
      <c r="A8" s="43" t="n">
        <v>5</v>
      </c>
      <c r="B8" s="43" t="str">
        <f aca="false">TEXT(TIME($A8,0,0),"h AM/PM")</f>
        <v>5 AM</v>
      </c>
      <c r="C8" s="43" t="n">
        <f aca="false">SUMIFS('Sales Data'!$I$3:$I$3002,'Sales Data'!$M$3:$M$3002,$A8,'Sales Data'!$C$3:$C$3002,"&lt;&gt;U",'Sales Data'!$S$3:$S$3002,$F$2)</f>
        <v>0</v>
      </c>
      <c r="D8" s="44" t="n">
        <f aca="false">SUMIFS('Sales Data'!$N$3:$N$3002,'Sales Data'!$M$3:$M$3002,$A8,'Sales Data'!$C$3:$C$3002,"&lt;&gt;U",'Sales Data'!$S$3:$S$3002,$F$2)</f>
        <v>0</v>
      </c>
      <c r="I8" s="40" t="str">
        <f aca="false">IFERROR(LARGE('Sales Data'!$U$3:$U$3002,7),"")</f>
        <v/>
      </c>
    </row>
    <row r="9" customFormat="false" ht="15" hidden="false" customHeight="false" outlineLevel="0" collapsed="false">
      <c r="A9" s="41" t="n">
        <v>6</v>
      </c>
      <c r="B9" s="41" t="str">
        <f aca="false">TEXT(TIME($A9,0,0),"h AM/PM")</f>
        <v>6 AM</v>
      </c>
      <c r="C9" s="41" t="n">
        <f aca="false">SUMIFS('Sales Data'!$I$3:$I$3002,'Sales Data'!$M$3:$M$3002,$A9,'Sales Data'!$C$3:$C$3002,"&lt;&gt;U",'Sales Data'!$S$3:$S$3002,$F$2)</f>
        <v>0</v>
      </c>
      <c r="D9" s="42" t="n">
        <f aca="false">SUMIFS('Sales Data'!$N$3:$N$3002,'Sales Data'!$M$3:$M$3002,$A9,'Sales Data'!$C$3:$C$3002,"&lt;&gt;U",'Sales Data'!$S$3:$S$3002,$F$2)</f>
        <v>0</v>
      </c>
      <c r="I9" s="40" t="str">
        <f aca="false">IFERROR(LARGE('Sales Data'!$U$3:$U$3002,8),"")</f>
        <v/>
      </c>
    </row>
    <row r="10" customFormat="false" ht="15" hidden="false" customHeight="false" outlineLevel="0" collapsed="false">
      <c r="A10" s="43" t="n">
        <v>7</v>
      </c>
      <c r="B10" s="43" t="str">
        <f aca="false">TEXT(TIME($A10,0,0),"h AM/PM")</f>
        <v>7 AM</v>
      </c>
      <c r="C10" s="43" t="n">
        <f aca="false">SUMIFS('Sales Data'!$I$3:$I$3002,'Sales Data'!$M$3:$M$3002,$A10,'Sales Data'!$C$3:$C$3002,"&lt;&gt;U",'Sales Data'!$S$3:$S$3002,$F$2)</f>
        <v>0</v>
      </c>
      <c r="D10" s="44" t="n">
        <f aca="false">SUMIFS('Sales Data'!$N$3:$N$3002,'Sales Data'!$M$3:$M$3002,$A10,'Sales Data'!$C$3:$C$3002,"&lt;&gt;U",'Sales Data'!$S$3:$S$3002,$F$2)</f>
        <v>0</v>
      </c>
      <c r="I10" s="40" t="str">
        <f aca="false">IFERROR(LARGE('Sales Data'!$U$3:$U$3002,9),"")</f>
        <v/>
      </c>
    </row>
    <row r="11" customFormat="false" ht="15" hidden="false" customHeight="false" outlineLevel="0" collapsed="false">
      <c r="A11" s="41" t="n">
        <v>8</v>
      </c>
      <c r="B11" s="41" t="str">
        <f aca="false">TEXT(TIME($A11,0,0),"h AM/PM")</f>
        <v>8 AM</v>
      </c>
      <c r="C11" s="41" t="n">
        <f aca="false">SUMIFS('Sales Data'!$I$3:$I$3002,'Sales Data'!$M$3:$M$3002,$A11,'Sales Data'!$C$3:$C$3002,"&lt;&gt;U",'Sales Data'!$S$3:$S$3002,$F$2)</f>
        <v>0</v>
      </c>
      <c r="D11" s="42" t="n">
        <f aca="false">SUMIFS('Sales Data'!$N$3:$N$3002,'Sales Data'!$M$3:$M$3002,$A11,'Sales Data'!$C$3:$C$3002,"&lt;&gt;U",'Sales Data'!$S$3:$S$3002,$F$2)</f>
        <v>0</v>
      </c>
      <c r="I11" s="40" t="str">
        <f aca="false">IFERROR(LARGE('Sales Data'!$U$3:$U$3002,10),"")</f>
        <v/>
      </c>
    </row>
    <row r="12" customFormat="false" ht="15" hidden="false" customHeight="false" outlineLevel="0" collapsed="false">
      <c r="A12" s="43" t="n">
        <v>9</v>
      </c>
      <c r="B12" s="43" t="str">
        <f aca="false">TEXT(TIME($A12,0,0),"h AM/PM")</f>
        <v>9 AM</v>
      </c>
      <c r="C12" s="43" t="n">
        <f aca="false">SUMIFS('Sales Data'!$I$3:$I$3002,'Sales Data'!$M$3:$M$3002,$A12,'Sales Data'!$C$3:$C$3002,"&lt;&gt;U",'Sales Data'!$S$3:$S$3002,$F$2)</f>
        <v>0</v>
      </c>
      <c r="D12" s="44" t="n">
        <f aca="false">SUMIFS('Sales Data'!$N$3:$N$3002,'Sales Data'!$M$3:$M$3002,$A12,'Sales Data'!$C$3:$C$3002,"&lt;&gt;U",'Sales Data'!$S$3:$S$3002,$F$2)</f>
        <v>0</v>
      </c>
      <c r="I12" s="40" t="str">
        <f aca="false">IFERROR(LARGE('Sales Data'!$U$3:$U$3002,11),"")</f>
        <v/>
      </c>
    </row>
    <row r="13" customFormat="false" ht="15" hidden="false" customHeight="false" outlineLevel="0" collapsed="false">
      <c r="A13" s="41" t="n">
        <v>10</v>
      </c>
      <c r="B13" s="41" t="str">
        <f aca="false">TEXT(TIME($A13,0,0),"h AM/PM")</f>
        <v>10 AM</v>
      </c>
      <c r="C13" s="41" t="n">
        <f aca="false">SUMIFS('Sales Data'!$I$3:$I$3002,'Sales Data'!$M$3:$M$3002,$A13,'Sales Data'!$C$3:$C$3002,"&lt;&gt;U",'Sales Data'!$S$3:$S$3002,$F$2)</f>
        <v>1</v>
      </c>
      <c r="D13" s="42" t="n">
        <f aca="false">SUMIFS('Sales Data'!$N$3:$N$3002,'Sales Data'!$M$3:$M$3002,$A13,'Sales Data'!$C$3:$C$3002,"&lt;&gt;U",'Sales Data'!$S$3:$S$3002,$F$2)</f>
        <v>260</v>
      </c>
      <c r="I13" s="40" t="str">
        <f aca="false">IFERROR(LARGE('Sales Data'!$U$3:$U$3002,12),"")</f>
        <v/>
      </c>
    </row>
    <row r="14" customFormat="false" ht="15" hidden="false" customHeight="false" outlineLevel="0" collapsed="false">
      <c r="A14" s="43" t="n">
        <v>11</v>
      </c>
      <c r="B14" s="43" t="str">
        <f aca="false">TEXT(TIME($A14,0,0),"h AM/PM")</f>
        <v>11 AM</v>
      </c>
      <c r="C14" s="43" t="n">
        <f aca="false">SUMIFS('Sales Data'!$I$3:$I$3002,'Sales Data'!$M$3:$M$3002,$A14,'Sales Data'!$C$3:$C$3002,"&lt;&gt;U",'Sales Data'!$S$3:$S$3002,$F$2)</f>
        <v>3</v>
      </c>
      <c r="D14" s="44" t="n">
        <f aca="false">SUMIFS('Sales Data'!$N$3:$N$3002,'Sales Data'!$M$3:$M$3002,$A14,'Sales Data'!$C$3:$C$3002,"&lt;&gt;U",'Sales Data'!$S$3:$S$3002,$F$2)</f>
        <v>790</v>
      </c>
      <c r="I14" s="40" t="str">
        <f aca="false">IFERROR(LARGE('Sales Data'!$U$3:$U$3002,13),"")</f>
        <v/>
      </c>
    </row>
    <row r="15" customFormat="false" ht="15" hidden="false" customHeight="false" outlineLevel="0" collapsed="false">
      <c r="A15" s="41" t="n">
        <v>12</v>
      </c>
      <c r="B15" s="41" t="str">
        <f aca="false">TEXT(TIME($A15,0,0),"h AM/PM")</f>
        <v>12 PM</v>
      </c>
      <c r="C15" s="41" t="n">
        <f aca="false">SUMIFS('Sales Data'!$I$3:$I$3002,'Sales Data'!$M$3:$M$3002,$A15,'Sales Data'!$C$3:$C$3002,"&lt;&gt;U",'Sales Data'!$S$3:$S$3002,$F$2)</f>
        <v>8</v>
      </c>
      <c r="D15" s="42" t="n">
        <f aca="false">SUMIFS('Sales Data'!$N$3:$N$3002,'Sales Data'!$M$3:$M$3002,$A15,'Sales Data'!$C$3:$C$3002,"&lt;&gt;U",'Sales Data'!$S$3:$S$3002,$F$2)</f>
        <v>2554</v>
      </c>
      <c r="I15" s="40" t="str">
        <f aca="false">IFERROR(LARGE('Sales Data'!$U$3:$U$3002,14),"")</f>
        <v/>
      </c>
    </row>
    <row r="16" customFormat="false" ht="15" hidden="false" customHeight="false" outlineLevel="0" collapsed="false">
      <c r="A16" s="43" t="n">
        <v>13</v>
      </c>
      <c r="B16" s="43" t="str">
        <f aca="false">TEXT(TIME($A16,0,0),"h AM/PM")</f>
        <v>1 PM</v>
      </c>
      <c r="C16" s="43" t="n">
        <f aca="false">SUMIFS('Sales Data'!$I$3:$I$3002,'Sales Data'!$M$3:$M$3002,$A16,'Sales Data'!$C$3:$C$3002,"&lt;&gt;U",'Sales Data'!$S$3:$S$3002,$F$2)</f>
        <v>0</v>
      </c>
      <c r="D16" s="44" t="n">
        <f aca="false">SUMIFS('Sales Data'!$N$3:$N$3002,'Sales Data'!$M$3:$M$3002,$A16,'Sales Data'!$C$3:$C$3002,"&lt;&gt;U",'Sales Data'!$S$3:$S$3002,$F$2)</f>
        <v>0</v>
      </c>
      <c r="I16" s="40" t="str">
        <f aca="false">IFERROR(LARGE('Sales Data'!$U$3:$U$3002,15),"")</f>
        <v/>
      </c>
    </row>
    <row r="17" customFormat="false" ht="15" hidden="false" customHeight="false" outlineLevel="0" collapsed="false">
      <c r="A17" s="41" t="n">
        <v>14</v>
      </c>
      <c r="B17" s="41" t="str">
        <f aca="false">TEXT(TIME($A17,0,0),"h AM/PM")</f>
        <v>2 PM</v>
      </c>
      <c r="C17" s="41" t="n">
        <f aca="false">SUMIFS('Sales Data'!$I$3:$I$3002,'Sales Data'!$M$3:$M$3002,$A17,'Sales Data'!$C$3:$C$3002,"&lt;&gt;U",'Sales Data'!$S$3:$S$3002,$F$2)</f>
        <v>0</v>
      </c>
      <c r="D17" s="42" t="n">
        <f aca="false">SUMIFS('Sales Data'!$N$3:$N$3002,'Sales Data'!$M$3:$M$3002,$A17,'Sales Data'!$C$3:$C$3002,"&lt;&gt;U",'Sales Data'!$S$3:$S$3002,$F$2)</f>
        <v>0</v>
      </c>
      <c r="I17" s="40" t="str">
        <f aca="false">IFERROR(LARGE('Sales Data'!$U$3:$U$3002,16),"")</f>
        <v/>
      </c>
    </row>
    <row r="18" customFormat="false" ht="15" hidden="false" customHeight="false" outlineLevel="0" collapsed="false">
      <c r="A18" s="43" t="n">
        <v>15</v>
      </c>
      <c r="B18" s="43" t="str">
        <f aca="false">TEXT(TIME($A18,0,0),"h AM/PM")</f>
        <v>3 PM</v>
      </c>
      <c r="C18" s="43" t="n">
        <f aca="false">SUMIFS('Sales Data'!$I$3:$I$3002,'Sales Data'!$M$3:$M$3002,$A18,'Sales Data'!$C$3:$C$3002,"&lt;&gt;U",'Sales Data'!$S$3:$S$3002,$F$2)</f>
        <v>0</v>
      </c>
      <c r="D18" s="44" t="n">
        <f aca="false">SUMIFS('Sales Data'!$N$3:$N$3002,'Sales Data'!$M$3:$M$3002,$A18,'Sales Data'!$C$3:$C$3002,"&lt;&gt;U",'Sales Data'!$S$3:$S$3002,$F$2)</f>
        <v>0</v>
      </c>
      <c r="I18" s="40" t="str">
        <f aca="false">IFERROR(LARGE('Sales Data'!$U$3:$U$3002,17),"")</f>
        <v/>
      </c>
    </row>
    <row r="19" customFormat="false" ht="15" hidden="false" customHeight="false" outlineLevel="0" collapsed="false">
      <c r="A19" s="41" t="n">
        <v>16</v>
      </c>
      <c r="B19" s="41" t="str">
        <f aca="false">TEXT(TIME($A19,0,0),"h AM/PM")</f>
        <v>4 PM</v>
      </c>
      <c r="C19" s="41" t="n">
        <f aca="false">SUMIFS('Sales Data'!$I$3:$I$3002,'Sales Data'!$M$3:$M$3002,$A19,'Sales Data'!$C$3:$C$3002,"&lt;&gt;U",'Sales Data'!$S$3:$S$3002,$F$2)</f>
        <v>0</v>
      </c>
      <c r="D19" s="42" t="n">
        <f aca="false">SUMIFS('Sales Data'!$N$3:$N$3002,'Sales Data'!$M$3:$M$3002,$A19,'Sales Data'!$C$3:$C$3002,"&lt;&gt;U",'Sales Data'!$S$3:$S$3002,$F$2)</f>
        <v>0</v>
      </c>
      <c r="I19" s="40" t="str">
        <f aca="false">IFERROR(LARGE('Sales Data'!$U$3:$U$3002,18),"")</f>
        <v/>
      </c>
    </row>
    <row r="20" customFormat="false" ht="15" hidden="false" customHeight="false" outlineLevel="0" collapsed="false">
      <c r="A20" s="43" t="n">
        <v>17</v>
      </c>
      <c r="B20" s="43" t="str">
        <f aca="false">TEXT(TIME($A20,0,0),"h AM/PM")</f>
        <v>5 PM</v>
      </c>
      <c r="C20" s="43" t="n">
        <f aca="false">SUMIFS('Sales Data'!$I$3:$I$3002,'Sales Data'!$M$3:$M$3002,$A20,'Sales Data'!$C$3:$C$3002,"&lt;&gt;U",'Sales Data'!$S$3:$S$3002,$F$2)</f>
        <v>0</v>
      </c>
      <c r="D20" s="44" t="n">
        <f aca="false">SUMIFS('Sales Data'!$N$3:$N$3002,'Sales Data'!$M$3:$M$3002,$A20,'Sales Data'!$C$3:$C$3002,"&lt;&gt;U",'Sales Data'!$S$3:$S$3002,$F$2)</f>
        <v>0</v>
      </c>
      <c r="I20" s="40" t="str">
        <f aca="false">IFERROR(LARGE('Sales Data'!$U$3:$U$3002,19),"")</f>
        <v/>
      </c>
    </row>
    <row r="21" customFormat="false" ht="15" hidden="false" customHeight="false" outlineLevel="0" collapsed="false">
      <c r="A21" s="41" t="n">
        <v>18</v>
      </c>
      <c r="B21" s="41" t="str">
        <f aca="false">TEXT(TIME($A21,0,0),"h AM/PM")</f>
        <v>6 PM</v>
      </c>
      <c r="C21" s="41" t="n">
        <f aca="false">SUMIFS('Sales Data'!$I$3:$I$3002,'Sales Data'!$M$3:$M$3002,$A21,'Sales Data'!$C$3:$C$3002,"&lt;&gt;U",'Sales Data'!$S$3:$S$3002,$F$2)</f>
        <v>0</v>
      </c>
      <c r="D21" s="42" t="n">
        <f aca="false">SUMIFS('Sales Data'!$N$3:$N$3002,'Sales Data'!$M$3:$M$3002,$A21,'Sales Data'!$C$3:$C$3002,"&lt;&gt;U",'Sales Data'!$S$3:$S$3002,$F$2)</f>
        <v>0</v>
      </c>
      <c r="I21" s="40" t="str">
        <f aca="false">IFERROR(LARGE('Sales Data'!$U$3:$U$3002,20),"")</f>
        <v/>
      </c>
    </row>
    <row r="22" customFormat="false" ht="15" hidden="false" customHeight="false" outlineLevel="0" collapsed="false">
      <c r="A22" s="43" t="n">
        <v>19</v>
      </c>
      <c r="B22" s="43" t="str">
        <f aca="false">TEXT(TIME($A22,0,0),"h AM/PM")</f>
        <v>7 PM</v>
      </c>
      <c r="C22" s="43" t="n">
        <f aca="false">SUMIFS('Sales Data'!$I$3:$I$3002,'Sales Data'!$M$3:$M$3002,$A22,'Sales Data'!$C$3:$C$3002,"&lt;&gt;U",'Sales Data'!$S$3:$S$3002,$F$2)</f>
        <v>0</v>
      </c>
      <c r="D22" s="44" t="n">
        <f aca="false">SUMIFS('Sales Data'!$N$3:$N$3002,'Sales Data'!$M$3:$M$3002,$A22,'Sales Data'!$C$3:$C$3002,"&lt;&gt;U",'Sales Data'!$S$3:$S$3002,$F$2)</f>
        <v>0</v>
      </c>
      <c r="I22" s="40" t="str">
        <f aca="false">IFERROR(LARGE('Sales Data'!$U$3:$U$3002,21),"")</f>
        <v/>
      </c>
    </row>
    <row r="23" customFormat="false" ht="15" hidden="false" customHeight="false" outlineLevel="0" collapsed="false">
      <c r="A23" s="41" t="n">
        <v>20</v>
      </c>
      <c r="B23" s="41" t="str">
        <f aca="false">TEXT(TIME($A23,0,0),"h AM/PM")</f>
        <v>8 PM</v>
      </c>
      <c r="C23" s="41" t="n">
        <f aca="false">SUMIFS('Sales Data'!$I$3:$I$3002,'Sales Data'!$M$3:$M$3002,$A23,'Sales Data'!$C$3:$C$3002,"&lt;&gt;U",'Sales Data'!$S$3:$S$3002,$F$2)</f>
        <v>0</v>
      </c>
      <c r="D23" s="42" t="n">
        <f aca="false">SUMIFS('Sales Data'!$N$3:$N$3002,'Sales Data'!$M$3:$M$3002,$A23,'Sales Data'!$C$3:$C$3002,"&lt;&gt;U",'Sales Data'!$S$3:$S$3002,$F$2)</f>
        <v>0</v>
      </c>
      <c r="I23" s="40" t="str">
        <f aca="false">IFERROR(LARGE('Sales Data'!$U$3:$U$3002,22),"")</f>
        <v/>
      </c>
    </row>
    <row r="24" customFormat="false" ht="15" hidden="false" customHeight="false" outlineLevel="0" collapsed="false">
      <c r="A24" s="43" t="n">
        <v>21</v>
      </c>
      <c r="B24" s="43" t="str">
        <f aca="false">TEXT(TIME($A24,0,0),"h AM/PM")</f>
        <v>9 PM</v>
      </c>
      <c r="C24" s="43" t="n">
        <f aca="false">SUMIFS('Sales Data'!$I$3:$I$3002,'Sales Data'!$M$3:$M$3002,$A24,'Sales Data'!$C$3:$C$3002,"&lt;&gt;U",'Sales Data'!$S$3:$S$3002,$F$2)</f>
        <v>0</v>
      </c>
      <c r="D24" s="44" t="n">
        <f aca="false">SUMIFS('Sales Data'!$N$3:$N$3002,'Sales Data'!$M$3:$M$3002,$A24,'Sales Data'!$C$3:$C$3002,"&lt;&gt;U",'Sales Data'!$S$3:$S$3002,$F$2)</f>
        <v>0</v>
      </c>
      <c r="I24" s="40" t="str">
        <f aca="false">IFERROR(LARGE('Sales Data'!$U$3:$U$3002,23),"")</f>
        <v/>
      </c>
    </row>
    <row r="25" customFormat="false" ht="15" hidden="false" customHeight="false" outlineLevel="0" collapsed="false">
      <c r="A25" s="41" t="n">
        <v>22</v>
      </c>
      <c r="B25" s="41" t="str">
        <f aca="false">TEXT(TIME($A25,0,0),"h AM/PM")</f>
        <v>10 PM</v>
      </c>
      <c r="C25" s="41" t="n">
        <f aca="false">SUMIFS('Sales Data'!$I$3:$I$3002,'Sales Data'!$M$3:$M$3002,$A25,'Sales Data'!$C$3:$C$3002,"&lt;&gt;U",'Sales Data'!$S$3:$S$3002,$F$2)</f>
        <v>0</v>
      </c>
      <c r="D25" s="42" t="n">
        <f aca="false">SUMIFS('Sales Data'!$N$3:$N$3002,'Sales Data'!$M$3:$M$3002,$A25,'Sales Data'!$C$3:$C$3002,"&lt;&gt;U",'Sales Data'!$S$3:$S$3002,$F$2)</f>
        <v>0</v>
      </c>
      <c r="I25" s="40" t="str">
        <f aca="false">IFERROR(LARGE('Sales Data'!$U$3:$U$3002,24),"")</f>
        <v/>
      </c>
    </row>
    <row r="26" customFormat="false" ht="15" hidden="false" customHeight="false" outlineLevel="0" collapsed="false">
      <c r="A26" s="43" t="n">
        <v>23</v>
      </c>
      <c r="B26" s="43" t="str">
        <f aca="false">TEXT(TIME($A26,0,0),"h AM/PM")</f>
        <v>11 PM</v>
      </c>
      <c r="C26" s="43" t="n">
        <f aca="false">SUMIFS('Sales Data'!$I$3:$I$3002,'Sales Data'!$M$3:$M$3002,$A26,'Sales Data'!$C$3:$C$3002,"&lt;&gt;U",'Sales Data'!$S$3:$S$3002,$F$2)</f>
        <v>0</v>
      </c>
      <c r="D26" s="44" t="n">
        <f aca="false">SUMIFS('Sales Data'!$N$3:$N$3002,'Sales Data'!$M$3:$M$3002,$A26,'Sales Data'!$C$3:$C$3002,"&lt;&gt;U",'Sales Data'!$S$3:$S$3002,$F$2)</f>
        <v>0</v>
      </c>
      <c r="I26" s="40" t="str">
        <f aca="false">IFERROR(LARGE('Sales Data'!$U$3:$U$3002,25),"")</f>
        <v/>
      </c>
    </row>
    <row r="27" customFormat="false" ht="15" hidden="false" customHeight="false" outlineLevel="0" collapsed="false">
      <c r="I27" s="40" t="str">
        <f aca="false">IFERROR(LARGE('Sales Data'!$U$3:$U$3002,26),"")</f>
        <v/>
      </c>
    </row>
    <row r="28" customFormat="false" ht="15" hidden="false" customHeight="false" outlineLevel="0" collapsed="false">
      <c r="A28" s="19" t="s">
        <v>129</v>
      </c>
      <c r="B28" s="19"/>
      <c r="C28" s="45" t="n">
        <f aca="false">SUMPRODUCT((C3:C26&gt;0)*1)</f>
        <v>3</v>
      </c>
      <c r="I28" s="40" t="str">
        <f aca="false">IFERROR(LARGE('Sales Data'!$U$3:$U$3002,27),"")</f>
        <v/>
      </c>
    </row>
    <row r="29" customFormat="false" ht="15" hidden="false" customHeight="false" outlineLevel="0" collapsed="false">
      <c r="A29" s="19" t="s">
        <v>25</v>
      </c>
      <c r="B29" s="19"/>
      <c r="C29" s="45" t="n">
        <f aca="false">SUM(C3:C26)</f>
        <v>12</v>
      </c>
      <c r="I29" s="40" t="str">
        <f aca="false">IFERROR(LARGE('Sales Data'!$U$3:$U$3002,28),"")</f>
        <v/>
      </c>
    </row>
    <row r="30" customFormat="false" ht="15" hidden="false" customHeight="false" outlineLevel="0" collapsed="false">
      <c r="A30" s="19" t="s">
        <v>26</v>
      </c>
      <c r="B30" s="19"/>
      <c r="C30" s="46" t="n">
        <f aca="false">SUM(D3:D26)</f>
        <v>3604</v>
      </c>
      <c r="I30" s="40" t="str">
        <f aca="false">IFERROR(LARGE('Sales Data'!$U$3:$U$3002,29),"")</f>
        <v/>
      </c>
    </row>
    <row r="31" customFormat="false" ht="15" hidden="false" customHeight="false" outlineLevel="0" collapsed="false">
      <c r="A31" s="19" t="s">
        <v>30</v>
      </c>
      <c r="B31" s="19"/>
      <c r="C31" s="47" t="n">
        <f aca="false">IFERROR(C29/C28,0)</f>
        <v>4</v>
      </c>
      <c r="I31" s="40" t="str">
        <f aca="false">IFERROR(LARGE('Sales Data'!$U$3:$U$3002,30),"")</f>
        <v/>
      </c>
    </row>
    <row r="32" customFormat="false" ht="15" hidden="false" customHeight="false" outlineLevel="0" collapsed="false">
      <c r="A32" s="19" t="s">
        <v>31</v>
      </c>
      <c r="B32" s="19"/>
      <c r="C32" s="48" t="n">
        <f aca="false">IFERROR(C30/C28,0)</f>
        <v>1201.33333333333</v>
      </c>
      <c r="I32" s="40" t="str">
        <f aca="false">IFERROR(LARGE('Sales Data'!$U$3:$U$3002,31),"")</f>
        <v/>
      </c>
    </row>
    <row r="33" customFormat="false" ht="15" hidden="false" customHeight="false" outlineLevel="0" collapsed="false">
      <c r="A33" s="19" t="s">
        <v>32</v>
      </c>
      <c r="B33" s="19"/>
      <c r="C33" s="6" t="str">
        <f aca="false">IFERROR(INDEX(B3:B26,MATCH(MAX(C3:C26),C3:C26,0)),"N/A")</f>
        <v>12 PM</v>
      </c>
      <c r="I33" s="40" t="str">
        <f aca="false">IFERROR(LARGE('Sales Data'!$U$3:$U$3002,32),"")</f>
        <v/>
      </c>
    </row>
    <row r="34" customFormat="false" ht="15" hidden="false" customHeight="false" outlineLevel="0" collapsed="false">
      <c r="A34" s="19" t="s">
        <v>33</v>
      </c>
      <c r="B34" s="19"/>
      <c r="C34" s="6" t="str">
        <f aca="false">IFERROR(INDEX(B3:B26,MATCH(MAX(D3:D26),D3:D26,0)),"N/A")</f>
        <v>12 PM</v>
      </c>
      <c r="I34" s="40" t="str">
        <f aca="false">IFERROR(LARGE('Sales Data'!$U$3:$U$3002,33),"")</f>
        <v/>
      </c>
    </row>
    <row r="35" customFormat="false" ht="15" hidden="false" customHeight="false" outlineLevel="0" collapsed="false">
      <c r="I35" s="40" t="str">
        <f aca="false">IFERROR(LARGE('Sales Data'!$U$3:$U$3002,34),"")</f>
        <v/>
      </c>
    </row>
    <row r="36" customFormat="false" ht="15" hidden="false" customHeight="false" outlineLevel="0" collapsed="false">
      <c r="I36" s="40" t="str">
        <f aca="false">IFERROR(LARGE('Sales Data'!$U$3:$U$3002,35),"")</f>
        <v/>
      </c>
    </row>
    <row r="37" customFormat="false" ht="15" hidden="false" customHeight="false" outlineLevel="0" collapsed="false">
      <c r="I37" s="40" t="str">
        <f aca="false">IFERROR(LARGE('Sales Data'!$U$3:$U$3002,36),"")</f>
        <v/>
      </c>
    </row>
    <row r="38" customFormat="false" ht="15" hidden="false" customHeight="false" outlineLevel="0" collapsed="false">
      <c r="I38" s="40" t="str">
        <f aca="false">IFERROR(LARGE('Sales Data'!$U$3:$U$3002,37),"")</f>
        <v/>
      </c>
    </row>
    <row r="39" customFormat="false" ht="15" hidden="false" customHeight="false" outlineLevel="0" collapsed="false">
      <c r="I39" s="40" t="str">
        <f aca="false">IFERROR(LARGE('Sales Data'!$U$3:$U$3002,38),"")</f>
        <v/>
      </c>
    </row>
    <row r="40" customFormat="false" ht="15" hidden="false" customHeight="false" outlineLevel="0" collapsed="false">
      <c r="I40" s="40" t="str">
        <f aca="false">IFERROR(LARGE('Sales Data'!$U$3:$U$3002,39),"")</f>
        <v/>
      </c>
    </row>
    <row r="41" customFormat="false" ht="15" hidden="false" customHeight="false" outlineLevel="0" collapsed="false">
      <c r="I41" s="40" t="str">
        <f aca="false">IFERROR(LARGE('Sales Data'!$U$3:$U$3002,40),"")</f>
        <v/>
      </c>
    </row>
    <row r="42" customFormat="false" ht="15" hidden="false" customHeight="false" outlineLevel="0" collapsed="false">
      <c r="I42" s="40" t="str">
        <f aca="false">IFERROR(LARGE('Sales Data'!$U$3:$U$3002,41),"")</f>
        <v/>
      </c>
    </row>
    <row r="43" customFormat="false" ht="15" hidden="false" customHeight="false" outlineLevel="0" collapsed="false">
      <c r="I43" s="40" t="str">
        <f aca="false">IFERROR(LARGE('Sales Data'!$U$3:$U$3002,42),"")</f>
        <v/>
      </c>
    </row>
    <row r="44" customFormat="false" ht="15" hidden="false" customHeight="false" outlineLevel="0" collapsed="false">
      <c r="I44" s="40" t="str">
        <f aca="false">IFERROR(LARGE('Sales Data'!$U$3:$U$3002,43),"")</f>
        <v/>
      </c>
    </row>
    <row r="45" customFormat="false" ht="15" hidden="false" customHeight="false" outlineLevel="0" collapsed="false">
      <c r="I45" s="40" t="str">
        <f aca="false">IFERROR(LARGE('Sales Data'!$U$3:$U$3002,44),"")</f>
        <v/>
      </c>
    </row>
    <row r="46" customFormat="false" ht="15" hidden="false" customHeight="false" outlineLevel="0" collapsed="false">
      <c r="I46" s="40" t="str">
        <f aca="false">IFERROR(LARGE('Sales Data'!$U$3:$U$3002,45),"")</f>
        <v/>
      </c>
    </row>
    <row r="47" customFormat="false" ht="15" hidden="false" customHeight="false" outlineLevel="0" collapsed="false">
      <c r="I47" s="40" t="str">
        <f aca="false">IFERROR(LARGE('Sales Data'!$U$3:$U$3002,46),"")</f>
        <v/>
      </c>
    </row>
    <row r="48" customFormat="false" ht="15" hidden="false" customHeight="false" outlineLevel="0" collapsed="false">
      <c r="I48" s="40" t="str">
        <f aca="false">IFERROR(LARGE('Sales Data'!$U$3:$U$3002,47),"")</f>
        <v/>
      </c>
    </row>
    <row r="49" customFormat="false" ht="15" hidden="false" customHeight="false" outlineLevel="0" collapsed="false">
      <c r="I49" s="40" t="str">
        <f aca="false">IFERROR(LARGE('Sales Data'!$U$3:$U$3002,48),"")</f>
        <v/>
      </c>
    </row>
    <row r="50" customFormat="false" ht="15" hidden="false" customHeight="false" outlineLevel="0" collapsed="false">
      <c r="I50" s="40" t="str">
        <f aca="false">IFERROR(LARGE('Sales Data'!$U$3:$U$3002,49),"")</f>
        <v/>
      </c>
    </row>
    <row r="51" customFormat="false" ht="15" hidden="false" customHeight="false" outlineLevel="0" collapsed="false">
      <c r="I51" s="40" t="str">
        <f aca="false">IFERROR(LARGE('Sales Data'!$U$3:$U$3002,50),"")</f>
        <v/>
      </c>
    </row>
    <row r="52" customFormat="false" ht="15" hidden="false" customHeight="false" outlineLevel="0" collapsed="false">
      <c r="I52" s="40" t="str">
        <f aca="false">IFERROR(LARGE('Sales Data'!$U$3:$U$3002,51),"")</f>
        <v/>
      </c>
    </row>
    <row r="53" customFormat="false" ht="15" hidden="false" customHeight="false" outlineLevel="0" collapsed="false">
      <c r="I53" s="40" t="str">
        <f aca="false">IFERROR(LARGE('Sales Data'!$U$3:$U$3002,52),"")</f>
        <v/>
      </c>
    </row>
    <row r="54" customFormat="false" ht="15" hidden="false" customHeight="false" outlineLevel="0" collapsed="false">
      <c r="I54" s="40" t="str">
        <f aca="false">IFERROR(LARGE('Sales Data'!$U$3:$U$3002,53),"")</f>
        <v/>
      </c>
    </row>
    <row r="55" customFormat="false" ht="15" hidden="false" customHeight="false" outlineLevel="0" collapsed="false">
      <c r="I55" s="40" t="str">
        <f aca="false">IFERROR(LARGE('Sales Data'!$U$3:$U$3002,54),"")</f>
        <v/>
      </c>
    </row>
    <row r="56" customFormat="false" ht="15" hidden="false" customHeight="false" outlineLevel="0" collapsed="false">
      <c r="I56" s="40" t="str">
        <f aca="false">IFERROR(LARGE('Sales Data'!$U$3:$U$3002,55),"")</f>
        <v/>
      </c>
    </row>
    <row r="57" customFormat="false" ht="15" hidden="false" customHeight="false" outlineLevel="0" collapsed="false">
      <c r="I57" s="40" t="str">
        <f aca="false">IFERROR(LARGE('Sales Data'!$U$3:$U$3002,56),"")</f>
        <v/>
      </c>
    </row>
    <row r="58" customFormat="false" ht="15" hidden="false" customHeight="false" outlineLevel="0" collapsed="false">
      <c r="I58" s="40" t="str">
        <f aca="false">IFERROR(LARGE('Sales Data'!$U$3:$U$3002,57),"")</f>
        <v/>
      </c>
    </row>
    <row r="59" customFormat="false" ht="15" hidden="false" customHeight="false" outlineLevel="0" collapsed="false">
      <c r="I59" s="40" t="str">
        <f aca="false">IFERROR(LARGE('Sales Data'!$U$3:$U$3002,58),"")</f>
        <v/>
      </c>
    </row>
    <row r="60" customFormat="false" ht="15" hidden="false" customHeight="false" outlineLevel="0" collapsed="false">
      <c r="I60" s="40" t="str">
        <f aca="false">IFERROR(LARGE('Sales Data'!$U$3:$U$3002,59),"")</f>
        <v/>
      </c>
    </row>
    <row r="61" customFormat="false" ht="15" hidden="false" customHeight="false" outlineLevel="0" collapsed="false">
      <c r="I61" s="40" t="str">
        <f aca="false">IFERROR(LARGE('Sales Data'!$U$3:$U$3002,60),"")</f>
        <v/>
      </c>
    </row>
    <row r="62" customFormat="false" ht="15" hidden="false" customHeight="false" outlineLevel="0" collapsed="false">
      <c r="I62" s="40" t="str">
        <f aca="false">IFERROR(LARGE('Sales Data'!$U$3:$U$3002,61),"")</f>
        <v/>
      </c>
    </row>
    <row r="63" customFormat="false" ht="15" hidden="false" customHeight="false" outlineLevel="0" collapsed="false">
      <c r="I63" s="40" t="str">
        <f aca="false">IFERROR(LARGE('Sales Data'!$U$3:$U$3002,62),"")</f>
        <v/>
      </c>
    </row>
    <row r="64" customFormat="false" ht="15" hidden="false" customHeight="false" outlineLevel="0" collapsed="false">
      <c r="I64" s="40" t="str">
        <f aca="false">IFERROR(LARGE('Sales Data'!$U$3:$U$3002,63),"")</f>
        <v/>
      </c>
    </row>
    <row r="65" customFormat="false" ht="15" hidden="false" customHeight="false" outlineLevel="0" collapsed="false">
      <c r="I65" s="40" t="str">
        <f aca="false">IFERROR(LARGE('Sales Data'!$U$3:$U$3002,64),"")</f>
        <v/>
      </c>
    </row>
    <row r="66" customFormat="false" ht="15" hidden="false" customHeight="false" outlineLevel="0" collapsed="false">
      <c r="I66" s="40" t="str">
        <f aca="false">IFERROR(LARGE('Sales Data'!$U$3:$U$3002,65),"")</f>
        <v/>
      </c>
    </row>
    <row r="67" customFormat="false" ht="15" hidden="false" customHeight="false" outlineLevel="0" collapsed="false">
      <c r="I67" s="40" t="str">
        <f aca="false">IFERROR(LARGE('Sales Data'!$U$3:$U$3002,66),"")</f>
        <v/>
      </c>
    </row>
    <row r="68" customFormat="false" ht="15" hidden="false" customHeight="false" outlineLevel="0" collapsed="false">
      <c r="I68" s="40" t="str">
        <f aca="false">IFERROR(LARGE('Sales Data'!$U$3:$U$3002,67),"")</f>
        <v/>
      </c>
    </row>
    <row r="69" customFormat="false" ht="15" hidden="false" customHeight="false" outlineLevel="0" collapsed="false">
      <c r="I69" s="40" t="str">
        <f aca="false">IFERROR(LARGE('Sales Data'!$U$3:$U$3002,68),"")</f>
        <v/>
      </c>
    </row>
    <row r="70" customFormat="false" ht="15" hidden="false" customHeight="false" outlineLevel="0" collapsed="false">
      <c r="I70" s="40" t="str">
        <f aca="false">IFERROR(LARGE('Sales Data'!$U$3:$U$3002,69),"")</f>
        <v/>
      </c>
    </row>
    <row r="71" customFormat="false" ht="15" hidden="false" customHeight="false" outlineLevel="0" collapsed="false">
      <c r="I71" s="40" t="str">
        <f aca="false">IFERROR(LARGE('Sales Data'!$U$3:$U$3002,70),"")</f>
        <v/>
      </c>
    </row>
    <row r="72" customFormat="false" ht="15" hidden="false" customHeight="false" outlineLevel="0" collapsed="false">
      <c r="I72" s="40" t="str">
        <f aca="false">IFERROR(LARGE('Sales Data'!$U$3:$U$3002,71),"")</f>
        <v/>
      </c>
    </row>
    <row r="73" customFormat="false" ht="15" hidden="false" customHeight="false" outlineLevel="0" collapsed="false">
      <c r="I73" s="40" t="str">
        <f aca="false">IFERROR(LARGE('Sales Data'!$U$3:$U$3002,72),"")</f>
        <v/>
      </c>
    </row>
    <row r="74" customFormat="false" ht="15" hidden="false" customHeight="false" outlineLevel="0" collapsed="false">
      <c r="I74" s="40" t="str">
        <f aca="false">IFERROR(LARGE('Sales Data'!$U$3:$U$3002,73),"")</f>
        <v/>
      </c>
    </row>
    <row r="75" customFormat="false" ht="15" hidden="false" customHeight="false" outlineLevel="0" collapsed="false">
      <c r="I75" s="40" t="str">
        <f aca="false">IFERROR(LARGE('Sales Data'!$U$3:$U$3002,74),"")</f>
        <v/>
      </c>
    </row>
    <row r="76" customFormat="false" ht="15" hidden="false" customHeight="false" outlineLevel="0" collapsed="false">
      <c r="I76" s="40" t="str">
        <f aca="false">IFERROR(LARGE('Sales Data'!$U$3:$U$3002,75),"")</f>
        <v/>
      </c>
    </row>
    <row r="77" customFormat="false" ht="15" hidden="false" customHeight="false" outlineLevel="0" collapsed="false">
      <c r="I77" s="40" t="str">
        <f aca="false">IFERROR(LARGE('Sales Data'!$U$3:$U$3002,76),"")</f>
        <v/>
      </c>
    </row>
    <row r="78" customFormat="false" ht="15" hidden="false" customHeight="false" outlineLevel="0" collapsed="false">
      <c r="I78" s="40" t="str">
        <f aca="false">IFERROR(LARGE('Sales Data'!$U$3:$U$3002,77),"")</f>
        <v/>
      </c>
    </row>
    <row r="79" customFormat="false" ht="15" hidden="false" customHeight="false" outlineLevel="0" collapsed="false">
      <c r="I79" s="40" t="str">
        <f aca="false">IFERROR(LARGE('Sales Data'!$U$3:$U$3002,78),"")</f>
        <v/>
      </c>
    </row>
    <row r="80" customFormat="false" ht="15" hidden="false" customHeight="false" outlineLevel="0" collapsed="false">
      <c r="I80" s="40" t="str">
        <f aca="false">IFERROR(LARGE('Sales Data'!$U$3:$U$3002,79),"")</f>
        <v/>
      </c>
    </row>
    <row r="81" customFormat="false" ht="15" hidden="false" customHeight="false" outlineLevel="0" collapsed="false">
      <c r="I81" s="40" t="str">
        <f aca="false">IFERROR(LARGE('Sales Data'!$U$3:$U$3002,80),"")</f>
        <v/>
      </c>
    </row>
    <row r="82" customFormat="false" ht="15" hidden="false" customHeight="false" outlineLevel="0" collapsed="false">
      <c r="I82" s="40" t="str">
        <f aca="false">IFERROR(LARGE('Sales Data'!$U$3:$U$3002,81),"")</f>
        <v/>
      </c>
    </row>
    <row r="83" customFormat="false" ht="15" hidden="false" customHeight="false" outlineLevel="0" collapsed="false">
      <c r="I83" s="40" t="str">
        <f aca="false">IFERROR(LARGE('Sales Data'!$U$3:$U$3002,82),"")</f>
        <v/>
      </c>
    </row>
    <row r="84" customFormat="false" ht="15" hidden="false" customHeight="false" outlineLevel="0" collapsed="false">
      <c r="I84" s="40" t="str">
        <f aca="false">IFERROR(LARGE('Sales Data'!$U$3:$U$3002,83),"")</f>
        <v/>
      </c>
    </row>
    <row r="85" customFormat="false" ht="15" hidden="false" customHeight="false" outlineLevel="0" collapsed="false">
      <c r="I85" s="40" t="str">
        <f aca="false">IFERROR(LARGE('Sales Data'!$U$3:$U$3002,84),"")</f>
        <v/>
      </c>
    </row>
    <row r="86" customFormat="false" ht="15" hidden="false" customHeight="false" outlineLevel="0" collapsed="false">
      <c r="I86" s="40" t="str">
        <f aca="false">IFERROR(LARGE('Sales Data'!$U$3:$U$3002,85),"")</f>
        <v/>
      </c>
    </row>
    <row r="87" customFormat="false" ht="15" hidden="false" customHeight="false" outlineLevel="0" collapsed="false">
      <c r="I87" s="40" t="str">
        <f aca="false">IFERROR(LARGE('Sales Data'!$U$3:$U$3002,86),"")</f>
        <v/>
      </c>
    </row>
    <row r="88" customFormat="false" ht="15" hidden="false" customHeight="false" outlineLevel="0" collapsed="false">
      <c r="I88" s="40" t="str">
        <f aca="false">IFERROR(LARGE('Sales Data'!$U$3:$U$3002,87),"")</f>
        <v/>
      </c>
    </row>
    <row r="89" customFormat="false" ht="15" hidden="false" customHeight="false" outlineLevel="0" collapsed="false">
      <c r="I89" s="40" t="str">
        <f aca="false">IFERROR(LARGE('Sales Data'!$U$3:$U$3002,88),"")</f>
        <v/>
      </c>
    </row>
    <row r="90" customFormat="false" ht="15" hidden="false" customHeight="false" outlineLevel="0" collapsed="false">
      <c r="I90" s="40" t="str">
        <f aca="false">IFERROR(LARGE('Sales Data'!$U$3:$U$3002,89),"")</f>
        <v/>
      </c>
    </row>
    <row r="91" customFormat="false" ht="15" hidden="false" customHeight="false" outlineLevel="0" collapsed="false">
      <c r="I91" s="40" t="str">
        <f aca="false">IFERROR(LARGE('Sales Data'!$U$3:$U$3002,90),"")</f>
        <v/>
      </c>
    </row>
    <row r="92" customFormat="false" ht="15" hidden="false" customHeight="false" outlineLevel="0" collapsed="false">
      <c r="I92" s="40" t="str">
        <f aca="false">IFERROR(LARGE('Sales Data'!$U$3:$U$3002,91),"")</f>
        <v/>
      </c>
    </row>
    <row r="93" customFormat="false" ht="15" hidden="false" customHeight="false" outlineLevel="0" collapsed="false">
      <c r="I93" s="40" t="str">
        <f aca="false">IFERROR(LARGE('Sales Data'!$U$3:$U$3002,92),"")</f>
        <v/>
      </c>
    </row>
    <row r="94" customFormat="false" ht="15" hidden="false" customHeight="false" outlineLevel="0" collapsed="false">
      <c r="I94" s="40" t="str">
        <f aca="false">IFERROR(LARGE('Sales Data'!$U$3:$U$3002,93),"")</f>
        <v/>
      </c>
    </row>
    <row r="95" customFormat="false" ht="15" hidden="false" customHeight="false" outlineLevel="0" collapsed="false">
      <c r="I95" s="40" t="str">
        <f aca="false">IFERROR(LARGE('Sales Data'!$U$3:$U$3002,94),"")</f>
        <v/>
      </c>
    </row>
    <row r="96" customFormat="false" ht="15" hidden="false" customHeight="false" outlineLevel="0" collapsed="false">
      <c r="I96" s="40" t="str">
        <f aca="false">IFERROR(LARGE('Sales Data'!$U$3:$U$3002,95),"")</f>
        <v/>
      </c>
    </row>
    <row r="97" customFormat="false" ht="15" hidden="false" customHeight="false" outlineLevel="0" collapsed="false">
      <c r="I97" s="40" t="str">
        <f aca="false">IFERROR(LARGE('Sales Data'!$U$3:$U$3002,96),"")</f>
        <v/>
      </c>
    </row>
    <row r="98" customFormat="false" ht="15" hidden="false" customHeight="false" outlineLevel="0" collapsed="false">
      <c r="I98" s="40" t="str">
        <f aca="false">IFERROR(LARGE('Sales Data'!$U$3:$U$3002,97),"")</f>
        <v/>
      </c>
    </row>
    <row r="99" customFormat="false" ht="15" hidden="false" customHeight="false" outlineLevel="0" collapsed="false">
      <c r="I99" s="40" t="str">
        <f aca="false">IFERROR(LARGE('Sales Data'!$U$3:$U$3002,98),"")</f>
        <v/>
      </c>
    </row>
    <row r="100" customFormat="false" ht="15" hidden="false" customHeight="false" outlineLevel="0" collapsed="false">
      <c r="I100" s="40" t="str">
        <f aca="false">IFERROR(LARGE('Sales Data'!$U$3:$U$3002,99),"")</f>
        <v/>
      </c>
    </row>
    <row r="101" customFormat="false" ht="15" hidden="false" customHeight="false" outlineLevel="0" collapsed="false">
      <c r="I101" s="40" t="str">
        <f aca="false">IFERROR(LARGE('Sales Data'!$U$3:$U$3002,100),"")</f>
        <v/>
      </c>
    </row>
    <row r="102" customFormat="false" ht="15" hidden="false" customHeight="false" outlineLevel="0" collapsed="false">
      <c r="I102" s="40" t="str">
        <f aca="false">IFERROR(LARGE('Sales Data'!$U$3:$U$3002,101),"")</f>
        <v/>
      </c>
    </row>
    <row r="103" customFormat="false" ht="15" hidden="false" customHeight="false" outlineLevel="0" collapsed="false">
      <c r="I103" s="40" t="str">
        <f aca="false">IFERROR(LARGE('Sales Data'!$U$3:$U$3002,102),"")</f>
        <v/>
      </c>
    </row>
    <row r="104" customFormat="false" ht="15" hidden="false" customHeight="false" outlineLevel="0" collapsed="false">
      <c r="I104" s="40" t="str">
        <f aca="false">IFERROR(LARGE('Sales Data'!$U$3:$U$3002,103),"")</f>
        <v/>
      </c>
    </row>
    <row r="105" customFormat="false" ht="15" hidden="false" customHeight="false" outlineLevel="0" collapsed="false">
      <c r="I105" s="40" t="str">
        <f aca="false">IFERROR(LARGE('Sales Data'!$U$3:$U$3002,104),"")</f>
        <v/>
      </c>
    </row>
    <row r="106" customFormat="false" ht="15" hidden="false" customHeight="false" outlineLevel="0" collapsed="false">
      <c r="I106" s="40" t="str">
        <f aca="false">IFERROR(LARGE('Sales Data'!$U$3:$U$3002,105),"")</f>
        <v/>
      </c>
    </row>
    <row r="107" customFormat="false" ht="15" hidden="false" customHeight="false" outlineLevel="0" collapsed="false">
      <c r="I107" s="40" t="str">
        <f aca="false">IFERROR(LARGE('Sales Data'!$U$3:$U$3002,106),"")</f>
        <v/>
      </c>
    </row>
    <row r="108" customFormat="false" ht="15" hidden="false" customHeight="false" outlineLevel="0" collapsed="false">
      <c r="I108" s="40" t="str">
        <f aca="false">IFERROR(LARGE('Sales Data'!$U$3:$U$3002,107),"")</f>
        <v/>
      </c>
    </row>
    <row r="109" customFormat="false" ht="15" hidden="false" customHeight="false" outlineLevel="0" collapsed="false">
      <c r="I109" s="40" t="str">
        <f aca="false">IFERROR(LARGE('Sales Data'!$U$3:$U$3002,108),"")</f>
        <v/>
      </c>
    </row>
    <row r="110" customFormat="false" ht="15" hidden="false" customHeight="false" outlineLevel="0" collapsed="false">
      <c r="I110" s="40" t="str">
        <f aca="false">IFERROR(LARGE('Sales Data'!$U$3:$U$3002,109),"")</f>
        <v/>
      </c>
    </row>
    <row r="111" customFormat="false" ht="15" hidden="false" customHeight="false" outlineLevel="0" collapsed="false">
      <c r="I111" s="40" t="str">
        <f aca="false">IFERROR(LARGE('Sales Data'!$U$3:$U$3002,110),"")</f>
        <v/>
      </c>
    </row>
    <row r="112" customFormat="false" ht="15" hidden="false" customHeight="false" outlineLevel="0" collapsed="false">
      <c r="I112" s="40" t="str">
        <f aca="false">IFERROR(LARGE('Sales Data'!$U$3:$U$3002,111),"")</f>
        <v/>
      </c>
    </row>
    <row r="113" customFormat="false" ht="15" hidden="false" customHeight="false" outlineLevel="0" collapsed="false">
      <c r="I113" s="40" t="str">
        <f aca="false">IFERROR(LARGE('Sales Data'!$U$3:$U$3002,112),"")</f>
        <v/>
      </c>
    </row>
    <row r="114" customFormat="false" ht="15" hidden="false" customHeight="false" outlineLevel="0" collapsed="false">
      <c r="I114" s="40" t="str">
        <f aca="false">IFERROR(LARGE('Sales Data'!$U$3:$U$3002,113),"")</f>
        <v/>
      </c>
    </row>
    <row r="115" customFormat="false" ht="15" hidden="false" customHeight="false" outlineLevel="0" collapsed="false">
      <c r="I115" s="40" t="str">
        <f aca="false">IFERROR(LARGE('Sales Data'!$U$3:$U$3002,114),"")</f>
        <v/>
      </c>
    </row>
    <row r="116" customFormat="false" ht="15" hidden="false" customHeight="false" outlineLevel="0" collapsed="false">
      <c r="I116" s="40" t="str">
        <f aca="false">IFERROR(LARGE('Sales Data'!$U$3:$U$3002,115),"")</f>
        <v/>
      </c>
    </row>
    <row r="117" customFormat="false" ht="15" hidden="false" customHeight="false" outlineLevel="0" collapsed="false">
      <c r="I117" s="40" t="str">
        <f aca="false">IFERROR(LARGE('Sales Data'!$U$3:$U$3002,116),"")</f>
        <v/>
      </c>
    </row>
    <row r="118" customFormat="false" ht="15" hidden="false" customHeight="false" outlineLevel="0" collapsed="false">
      <c r="I118" s="40" t="str">
        <f aca="false">IFERROR(LARGE('Sales Data'!$U$3:$U$3002,117),"")</f>
        <v/>
      </c>
    </row>
    <row r="119" customFormat="false" ht="15" hidden="false" customHeight="false" outlineLevel="0" collapsed="false">
      <c r="I119" s="40" t="str">
        <f aca="false">IFERROR(LARGE('Sales Data'!$U$3:$U$3002,118),"")</f>
        <v/>
      </c>
    </row>
    <row r="120" customFormat="false" ht="15" hidden="false" customHeight="false" outlineLevel="0" collapsed="false">
      <c r="I120" s="40" t="str">
        <f aca="false">IFERROR(LARGE('Sales Data'!$U$3:$U$3002,119),"")</f>
        <v/>
      </c>
    </row>
    <row r="121" customFormat="false" ht="15" hidden="false" customHeight="false" outlineLevel="0" collapsed="false">
      <c r="I121" s="40" t="str">
        <f aca="false">IFERROR(LARGE('Sales Data'!$U$3:$U$3002,120),"")</f>
        <v/>
      </c>
    </row>
    <row r="122" customFormat="false" ht="15" hidden="false" customHeight="false" outlineLevel="0" collapsed="false">
      <c r="I122" s="40" t="str">
        <f aca="false">IFERROR(LARGE('Sales Data'!$U$3:$U$3002,121),"")</f>
        <v/>
      </c>
    </row>
    <row r="123" customFormat="false" ht="15" hidden="false" customHeight="false" outlineLevel="0" collapsed="false">
      <c r="I123" s="40" t="str">
        <f aca="false">IFERROR(LARGE('Sales Data'!$U$3:$U$3002,122),"")</f>
        <v/>
      </c>
    </row>
    <row r="124" customFormat="false" ht="15" hidden="false" customHeight="false" outlineLevel="0" collapsed="false">
      <c r="I124" s="40" t="str">
        <f aca="false">IFERROR(LARGE('Sales Data'!$U$3:$U$3002,123),"")</f>
        <v/>
      </c>
    </row>
    <row r="125" customFormat="false" ht="15" hidden="false" customHeight="false" outlineLevel="0" collapsed="false">
      <c r="I125" s="40" t="str">
        <f aca="false">IFERROR(LARGE('Sales Data'!$U$3:$U$3002,124),"")</f>
        <v/>
      </c>
    </row>
    <row r="126" customFormat="false" ht="15" hidden="false" customHeight="false" outlineLevel="0" collapsed="false">
      <c r="I126" s="40" t="str">
        <f aca="false">IFERROR(LARGE('Sales Data'!$U$3:$U$3002,125),"")</f>
        <v/>
      </c>
    </row>
    <row r="127" customFormat="false" ht="15" hidden="false" customHeight="false" outlineLevel="0" collapsed="false">
      <c r="I127" s="40" t="str">
        <f aca="false">IFERROR(LARGE('Sales Data'!$U$3:$U$3002,126),"")</f>
        <v/>
      </c>
    </row>
    <row r="128" customFormat="false" ht="15" hidden="false" customHeight="false" outlineLevel="0" collapsed="false">
      <c r="I128" s="40" t="str">
        <f aca="false">IFERROR(LARGE('Sales Data'!$U$3:$U$3002,127),"")</f>
        <v/>
      </c>
    </row>
    <row r="129" customFormat="false" ht="15" hidden="false" customHeight="false" outlineLevel="0" collapsed="false">
      <c r="I129" s="40" t="str">
        <f aca="false">IFERROR(LARGE('Sales Data'!$U$3:$U$3002,128),"")</f>
        <v/>
      </c>
    </row>
    <row r="130" customFormat="false" ht="15" hidden="false" customHeight="false" outlineLevel="0" collapsed="false">
      <c r="I130" s="40" t="str">
        <f aca="false">IFERROR(LARGE('Sales Data'!$U$3:$U$3002,129),"")</f>
        <v/>
      </c>
    </row>
    <row r="131" customFormat="false" ht="15" hidden="false" customHeight="false" outlineLevel="0" collapsed="false">
      <c r="I131" s="40" t="str">
        <f aca="false">IFERROR(LARGE('Sales Data'!$U$3:$U$3002,130),"")</f>
        <v/>
      </c>
    </row>
    <row r="132" customFormat="false" ht="15" hidden="false" customHeight="false" outlineLevel="0" collapsed="false">
      <c r="I132" s="40" t="str">
        <f aca="false">IFERROR(LARGE('Sales Data'!$U$3:$U$3002,131),"")</f>
        <v/>
      </c>
    </row>
    <row r="133" customFormat="false" ht="15" hidden="false" customHeight="false" outlineLevel="0" collapsed="false">
      <c r="I133" s="40" t="str">
        <f aca="false">IFERROR(LARGE('Sales Data'!$U$3:$U$3002,132),"")</f>
        <v/>
      </c>
    </row>
    <row r="134" customFormat="false" ht="15" hidden="false" customHeight="false" outlineLevel="0" collapsed="false">
      <c r="I134" s="40" t="str">
        <f aca="false">IFERROR(LARGE('Sales Data'!$U$3:$U$3002,133),"")</f>
        <v/>
      </c>
    </row>
    <row r="135" customFormat="false" ht="15" hidden="false" customHeight="false" outlineLevel="0" collapsed="false">
      <c r="I135" s="40" t="str">
        <f aca="false">IFERROR(LARGE('Sales Data'!$U$3:$U$3002,134),"")</f>
        <v/>
      </c>
    </row>
    <row r="136" customFormat="false" ht="15" hidden="false" customHeight="false" outlineLevel="0" collapsed="false">
      <c r="I136" s="40" t="str">
        <f aca="false">IFERROR(LARGE('Sales Data'!$U$3:$U$3002,135),"")</f>
        <v/>
      </c>
    </row>
    <row r="137" customFormat="false" ht="15" hidden="false" customHeight="false" outlineLevel="0" collapsed="false">
      <c r="I137" s="40" t="str">
        <f aca="false">IFERROR(LARGE('Sales Data'!$U$3:$U$3002,136),"")</f>
        <v/>
      </c>
    </row>
    <row r="138" customFormat="false" ht="15" hidden="false" customHeight="false" outlineLevel="0" collapsed="false">
      <c r="I138" s="40" t="str">
        <f aca="false">IFERROR(LARGE('Sales Data'!$U$3:$U$3002,137),"")</f>
        <v/>
      </c>
    </row>
    <row r="139" customFormat="false" ht="15" hidden="false" customHeight="false" outlineLevel="0" collapsed="false">
      <c r="I139" s="40" t="str">
        <f aca="false">IFERROR(LARGE('Sales Data'!$U$3:$U$3002,138),"")</f>
        <v/>
      </c>
    </row>
    <row r="140" customFormat="false" ht="15" hidden="false" customHeight="false" outlineLevel="0" collapsed="false">
      <c r="I140" s="40" t="str">
        <f aca="false">IFERROR(LARGE('Sales Data'!$U$3:$U$3002,139),"")</f>
        <v/>
      </c>
    </row>
    <row r="141" customFormat="false" ht="15" hidden="false" customHeight="false" outlineLevel="0" collapsed="false">
      <c r="I141" s="40" t="str">
        <f aca="false">IFERROR(LARGE('Sales Data'!$U$3:$U$3002,140),"")</f>
        <v/>
      </c>
    </row>
    <row r="142" customFormat="false" ht="15" hidden="false" customHeight="false" outlineLevel="0" collapsed="false">
      <c r="I142" s="40" t="str">
        <f aca="false">IFERROR(LARGE('Sales Data'!$U$3:$U$3002,141),"")</f>
        <v/>
      </c>
    </row>
    <row r="143" customFormat="false" ht="15" hidden="false" customHeight="false" outlineLevel="0" collapsed="false">
      <c r="I143" s="40" t="str">
        <f aca="false">IFERROR(LARGE('Sales Data'!$U$3:$U$3002,142),"")</f>
        <v/>
      </c>
    </row>
    <row r="144" customFormat="false" ht="15" hidden="false" customHeight="false" outlineLevel="0" collapsed="false">
      <c r="I144" s="40" t="str">
        <f aca="false">IFERROR(LARGE('Sales Data'!$U$3:$U$3002,143),"")</f>
        <v/>
      </c>
    </row>
    <row r="145" customFormat="false" ht="15" hidden="false" customHeight="false" outlineLevel="0" collapsed="false">
      <c r="I145" s="40" t="str">
        <f aca="false">IFERROR(LARGE('Sales Data'!$U$3:$U$3002,144),"")</f>
        <v/>
      </c>
    </row>
    <row r="146" customFormat="false" ht="15" hidden="false" customHeight="false" outlineLevel="0" collapsed="false">
      <c r="I146" s="40" t="str">
        <f aca="false">IFERROR(LARGE('Sales Data'!$U$3:$U$3002,145),"")</f>
        <v/>
      </c>
    </row>
    <row r="147" customFormat="false" ht="15" hidden="false" customHeight="false" outlineLevel="0" collapsed="false">
      <c r="I147" s="40" t="str">
        <f aca="false">IFERROR(LARGE('Sales Data'!$U$3:$U$3002,146),"")</f>
        <v/>
      </c>
    </row>
    <row r="148" customFormat="false" ht="15" hidden="false" customHeight="false" outlineLevel="0" collapsed="false">
      <c r="I148" s="40" t="str">
        <f aca="false">IFERROR(LARGE('Sales Data'!$U$3:$U$3002,147),"")</f>
        <v/>
      </c>
    </row>
    <row r="149" customFormat="false" ht="15" hidden="false" customHeight="false" outlineLevel="0" collapsed="false">
      <c r="I149" s="40" t="str">
        <f aca="false">IFERROR(LARGE('Sales Data'!$U$3:$U$3002,148),"")</f>
        <v/>
      </c>
    </row>
    <row r="150" customFormat="false" ht="15" hidden="false" customHeight="false" outlineLevel="0" collapsed="false">
      <c r="I150" s="40" t="str">
        <f aca="false">IFERROR(LARGE('Sales Data'!$U$3:$U$3002,149),"")</f>
        <v/>
      </c>
    </row>
    <row r="151" customFormat="false" ht="15" hidden="false" customHeight="false" outlineLevel="0" collapsed="false">
      <c r="I151" s="40" t="str">
        <f aca="false">IFERROR(LARGE('Sales Data'!$U$3:$U$3002,150),"")</f>
        <v/>
      </c>
    </row>
    <row r="152" customFormat="false" ht="15" hidden="false" customHeight="false" outlineLevel="0" collapsed="false">
      <c r="I152" s="40" t="str">
        <f aca="false">IFERROR(LARGE('Sales Data'!$U$3:$U$3002,151),"")</f>
        <v/>
      </c>
    </row>
    <row r="153" customFormat="false" ht="15" hidden="false" customHeight="false" outlineLevel="0" collapsed="false">
      <c r="I153" s="40" t="str">
        <f aca="false">IFERROR(LARGE('Sales Data'!$U$3:$U$3002,152),"")</f>
        <v/>
      </c>
    </row>
    <row r="154" customFormat="false" ht="15" hidden="false" customHeight="false" outlineLevel="0" collapsed="false">
      <c r="I154" s="40" t="str">
        <f aca="false">IFERROR(LARGE('Sales Data'!$U$3:$U$3002,153),"")</f>
        <v/>
      </c>
    </row>
    <row r="155" customFormat="false" ht="15" hidden="false" customHeight="false" outlineLevel="0" collapsed="false">
      <c r="I155" s="40" t="str">
        <f aca="false">IFERROR(LARGE('Sales Data'!$U$3:$U$3002,154),"")</f>
        <v/>
      </c>
    </row>
    <row r="156" customFormat="false" ht="15" hidden="false" customHeight="false" outlineLevel="0" collapsed="false">
      <c r="I156" s="40" t="str">
        <f aca="false">IFERROR(LARGE('Sales Data'!$U$3:$U$3002,155),"")</f>
        <v/>
      </c>
    </row>
    <row r="157" customFormat="false" ht="15" hidden="false" customHeight="false" outlineLevel="0" collapsed="false">
      <c r="I157" s="40" t="str">
        <f aca="false">IFERROR(LARGE('Sales Data'!$U$3:$U$3002,156),"")</f>
        <v/>
      </c>
    </row>
    <row r="158" customFormat="false" ht="15" hidden="false" customHeight="false" outlineLevel="0" collapsed="false">
      <c r="I158" s="40" t="str">
        <f aca="false">IFERROR(LARGE('Sales Data'!$U$3:$U$3002,157),"")</f>
        <v/>
      </c>
    </row>
    <row r="159" customFormat="false" ht="15" hidden="false" customHeight="false" outlineLevel="0" collapsed="false">
      <c r="I159" s="40" t="str">
        <f aca="false">IFERROR(LARGE('Sales Data'!$U$3:$U$3002,158),"")</f>
        <v/>
      </c>
    </row>
    <row r="160" customFormat="false" ht="15" hidden="false" customHeight="false" outlineLevel="0" collapsed="false">
      <c r="I160" s="40" t="str">
        <f aca="false">IFERROR(LARGE('Sales Data'!$U$3:$U$3002,159),"")</f>
        <v/>
      </c>
    </row>
    <row r="161" customFormat="false" ht="15" hidden="false" customHeight="false" outlineLevel="0" collapsed="false">
      <c r="I161" s="40" t="str">
        <f aca="false">IFERROR(LARGE('Sales Data'!$U$3:$U$3002,160),"")</f>
        <v/>
      </c>
    </row>
    <row r="162" customFormat="false" ht="15" hidden="false" customHeight="false" outlineLevel="0" collapsed="false">
      <c r="I162" s="40" t="str">
        <f aca="false">IFERROR(LARGE('Sales Data'!$U$3:$U$3002,161),"")</f>
        <v/>
      </c>
    </row>
    <row r="163" customFormat="false" ht="15" hidden="false" customHeight="false" outlineLevel="0" collapsed="false">
      <c r="I163" s="40" t="str">
        <f aca="false">IFERROR(LARGE('Sales Data'!$U$3:$U$3002,162),"")</f>
        <v/>
      </c>
    </row>
    <row r="164" customFormat="false" ht="15" hidden="false" customHeight="false" outlineLevel="0" collapsed="false">
      <c r="I164" s="40" t="str">
        <f aca="false">IFERROR(LARGE('Sales Data'!$U$3:$U$3002,163),"")</f>
        <v/>
      </c>
    </row>
    <row r="165" customFormat="false" ht="15" hidden="false" customHeight="false" outlineLevel="0" collapsed="false">
      <c r="I165" s="40" t="str">
        <f aca="false">IFERROR(LARGE('Sales Data'!$U$3:$U$3002,164),"")</f>
        <v/>
      </c>
    </row>
    <row r="166" customFormat="false" ht="15" hidden="false" customHeight="false" outlineLevel="0" collapsed="false">
      <c r="I166" s="40" t="str">
        <f aca="false">IFERROR(LARGE('Sales Data'!$U$3:$U$3002,165),"")</f>
        <v/>
      </c>
    </row>
    <row r="167" customFormat="false" ht="15" hidden="false" customHeight="false" outlineLevel="0" collapsed="false">
      <c r="I167" s="40" t="str">
        <f aca="false">IFERROR(LARGE('Sales Data'!$U$3:$U$3002,166),"")</f>
        <v/>
      </c>
    </row>
    <row r="168" customFormat="false" ht="15" hidden="false" customHeight="false" outlineLevel="0" collapsed="false">
      <c r="I168" s="40" t="str">
        <f aca="false">IFERROR(LARGE('Sales Data'!$U$3:$U$3002,167),"")</f>
        <v/>
      </c>
    </row>
    <row r="169" customFormat="false" ht="15" hidden="false" customHeight="false" outlineLevel="0" collapsed="false">
      <c r="I169" s="40" t="str">
        <f aca="false">IFERROR(LARGE('Sales Data'!$U$3:$U$3002,168),"")</f>
        <v/>
      </c>
    </row>
    <row r="170" customFormat="false" ht="15" hidden="false" customHeight="false" outlineLevel="0" collapsed="false">
      <c r="I170" s="40" t="str">
        <f aca="false">IFERROR(LARGE('Sales Data'!$U$3:$U$3002,169),"")</f>
        <v/>
      </c>
    </row>
    <row r="171" customFormat="false" ht="15" hidden="false" customHeight="false" outlineLevel="0" collapsed="false">
      <c r="I171" s="40" t="str">
        <f aca="false">IFERROR(LARGE('Sales Data'!$U$3:$U$3002,170),"")</f>
        <v/>
      </c>
    </row>
    <row r="172" customFormat="false" ht="15" hidden="false" customHeight="false" outlineLevel="0" collapsed="false">
      <c r="I172" s="40" t="str">
        <f aca="false">IFERROR(LARGE('Sales Data'!$U$3:$U$3002,171),"")</f>
        <v/>
      </c>
    </row>
    <row r="173" customFormat="false" ht="15" hidden="false" customHeight="false" outlineLevel="0" collapsed="false">
      <c r="I173" s="40" t="str">
        <f aca="false">IFERROR(LARGE('Sales Data'!$U$3:$U$3002,172),"")</f>
        <v/>
      </c>
    </row>
    <row r="174" customFormat="false" ht="15" hidden="false" customHeight="false" outlineLevel="0" collapsed="false">
      <c r="I174" s="40" t="str">
        <f aca="false">IFERROR(LARGE('Sales Data'!$U$3:$U$3002,173),"")</f>
        <v/>
      </c>
    </row>
    <row r="175" customFormat="false" ht="15" hidden="false" customHeight="false" outlineLevel="0" collapsed="false">
      <c r="I175" s="40" t="str">
        <f aca="false">IFERROR(LARGE('Sales Data'!$U$3:$U$3002,174),"")</f>
        <v/>
      </c>
    </row>
    <row r="176" customFormat="false" ht="15" hidden="false" customHeight="false" outlineLevel="0" collapsed="false">
      <c r="I176" s="40" t="str">
        <f aca="false">IFERROR(LARGE('Sales Data'!$U$3:$U$3002,175),"")</f>
        <v/>
      </c>
    </row>
    <row r="177" customFormat="false" ht="15" hidden="false" customHeight="false" outlineLevel="0" collapsed="false">
      <c r="I177" s="40" t="str">
        <f aca="false">IFERROR(LARGE('Sales Data'!$U$3:$U$3002,176),"")</f>
        <v/>
      </c>
    </row>
    <row r="178" customFormat="false" ht="15" hidden="false" customHeight="false" outlineLevel="0" collapsed="false">
      <c r="I178" s="40" t="str">
        <f aca="false">IFERROR(LARGE('Sales Data'!$U$3:$U$3002,177),"")</f>
        <v/>
      </c>
    </row>
    <row r="179" customFormat="false" ht="15" hidden="false" customHeight="false" outlineLevel="0" collapsed="false">
      <c r="I179" s="40" t="str">
        <f aca="false">IFERROR(LARGE('Sales Data'!$U$3:$U$3002,178),"")</f>
        <v/>
      </c>
    </row>
    <row r="180" customFormat="false" ht="15" hidden="false" customHeight="false" outlineLevel="0" collapsed="false">
      <c r="I180" s="40" t="str">
        <f aca="false">IFERROR(LARGE('Sales Data'!$U$3:$U$3002,179),"")</f>
        <v/>
      </c>
    </row>
    <row r="181" customFormat="false" ht="15" hidden="false" customHeight="false" outlineLevel="0" collapsed="false">
      <c r="I181" s="40" t="str">
        <f aca="false">IFERROR(LARGE('Sales Data'!$U$3:$U$3002,180),"")</f>
        <v/>
      </c>
    </row>
    <row r="182" customFormat="false" ht="15" hidden="false" customHeight="false" outlineLevel="0" collapsed="false">
      <c r="I182" s="40" t="str">
        <f aca="false">IFERROR(LARGE('Sales Data'!$U$3:$U$3002,181),"")</f>
        <v/>
      </c>
    </row>
    <row r="183" customFormat="false" ht="15" hidden="false" customHeight="false" outlineLevel="0" collapsed="false">
      <c r="I183" s="40" t="str">
        <f aca="false">IFERROR(LARGE('Sales Data'!$U$3:$U$3002,182),"")</f>
        <v/>
      </c>
    </row>
    <row r="184" customFormat="false" ht="15" hidden="false" customHeight="false" outlineLevel="0" collapsed="false">
      <c r="I184" s="40" t="str">
        <f aca="false">IFERROR(LARGE('Sales Data'!$U$3:$U$3002,183),"")</f>
        <v/>
      </c>
    </row>
    <row r="185" customFormat="false" ht="15" hidden="false" customHeight="false" outlineLevel="0" collapsed="false">
      <c r="I185" s="40" t="str">
        <f aca="false">IFERROR(LARGE('Sales Data'!$U$3:$U$3002,184),"")</f>
        <v/>
      </c>
    </row>
    <row r="186" customFormat="false" ht="15" hidden="false" customHeight="false" outlineLevel="0" collapsed="false">
      <c r="I186" s="40" t="str">
        <f aca="false">IFERROR(LARGE('Sales Data'!$U$3:$U$3002,185),"")</f>
        <v/>
      </c>
    </row>
    <row r="187" customFormat="false" ht="15" hidden="false" customHeight="false" outlineLevel="0" collapsed="false">
      <c r="I187" s="40" t="str">
        <f aca="false">IFERROR(LARGE('Sales Data'!$U$3:$U$3002,186),"")</f>
        <v/>
      </c>
    </row>
    <row r="188" customFormat="false" ht="15" hidden="false" customHeight="false" outlineLevel="0" collapsed="false">
      <c r="I188" s="40" t="str">
        <f aca="false">IFERROR(LARGE('Sales Data'!$U$3:$U$3002,187),"")</f>
        <v/>
      </c>
    </row>
    <row r="189" customFormat="false" ht="15" hidden="false" customHeight="false" outlineLevel="0" collapsed="false">
      <c r="I189" s="40" t="str">
        <f aca="false">IFERROR(LARGE('Sales Data'!$U$3:$U$3002,188),"")</f>
        <v/>
      </c>
    </row>
    <row r="190" customFormat="false" ht="15" hidden="false" customHeight="false" outlineLevel="0" collapsed="false">
      <c r="I190" s="40" t="str">
        <f aca="false">IFERROR(LARGE('Sales Data'!$U$3:$U$3002,189),"")</f>
        <v/>
      </c>
    </row>
    <row r="191" customFormat="false" ht="15" hidden="false" customHeight="false" outlineLevel="0" collapsed="false">
      <c r="I191" s="40" t="str">
        <f aca="false">IFERROR(LARGE('Sales Data'!$U$3:$U$3002,190),"")</f>
        <v/>
      </c>
    </row>
    <row r="192" customFormat="false" ht="15" hidden="false" customHeight="false" outlineLevel="0" collapsed="false">
      <c r="I192" s="40" t="str">
        <f aca="false">IFERROR(LARGE('Sales Data'!$U$3:$U$3002,191),"")</f>
        <v/>
      </c>
    </row>
    <row r="193" customFormat="false" ht="15" hidden="false" customHeight="false" outlineLevel="0" collapsed="false">
      <c r="I193" s="40" t="str">
        <f aca="false">IFERROR(LARGE('Sales Data'!$U$3:$U$3002,192),"")</f>
        <v/>
      </c>
    </row>
    <row r="194" customFormat="false" ht="15" hidden="false" customHeight="false" outlineLevel="0" collapsed="false">
      <c r="I194" s="40" t="str">
        <f aca="false">IFERROR(LARGE('Sales Data'!$U$3:$U$3002,193),"")</f>
        <v/>
      </c>
    </row>
    <row r="195" customFormat="false" ht="15" hidden="false" customHeight="false" outlineLevel="0" collapsed="false">
      <c r="I195" s="40" t="str">
        <f aca="false">IFERROR(LARGE('Sales Data'!$U$3:$U$3002,194),"")</f>
        <v/>
      </c>
    </row>
    <row r="196" customFormat="false" ht="15" hidden="false" customHeight="false" outlineLevel="0" collapsed="false">
      <c r="I196" s="40" t="str">
        <f aca="false">IFERROR(LARGE('Sales Data'!$U$3:$U$3002,195),"")</f>
        <v/>
      </c>
    </row>
    <row r="197" customFormat="false" ht="15" hidden="false" customHeight="false" outlineLevel="0" collapsed="false">
      <c r="I197" s="40" t="str">
        <f aca="false">IFERROR(LARGE('Sales Data'!$U$3:$U$3002,196),"")</f>
        <v/>
      </c>
    </row>
    <row r="198" customFormat="false" ht="15" hidden="false" customHeight="false" outlineLevel="0" collapsed="false">
      <c r="I198" s="40" t="str">
        <f aca="false">IFERROR(LARGE('Sales Data'!$U$3:$U$3002,197),"")</f>
        <v/>
      </c>
    </row>
    <row r="199" customFormat="false" ht="15" hidden="false" customHeight="false" outlineLevel="0" collapsed="false">
      <c r="I199" s="40" t="str">
        <f aca="false">IFERROR(LARGE('Sales Data'!$U$3:$U$3002,198),"")</f>
        <v/>
      </c>
    </row>
    <row r="200" customFormat="false" ht="15" hidden="false" customHeight="false" outlineLevel="0" collapsed="false">
      <c r="I200" s="40" t="str">
        <f aca="false">IFERROR(LARGE('Sales Data'!$U$3:$U$3002,199),"")</f>
        <v/>
      </c>
    </row>
    <row r="201" customFormat="false" ht="15" hidden="false" customHeight="false" outlineLevel="0" collapsed="false">
      <c r="I201" s="40" t="str">
        <f aca="false">IFERROR(LARGE('Sales Data'!$U$3:$U$3002,200),"")</f>
        <v/>
      </c>
    </row>
  </sheetData>
  <mergeCells count="8">
    <mergeCell ref="A1:D1"/>
    <mergeCell ref="A28:B28"/>
    <mergeCell ref="A29:B29"/>
    <mergeCell ref="A30:B30"/>
    <mergeCell ref="A31:B31"/>
    <mergeCell ref="A32:B32"/>
    <mergeCell ref="A33:B33"/>
    <mergeCell ref="A34:B3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2026-08-30T20:51:39Z</dcterms:created>
  <dc:creator>openpyxl</dc:creator>
  <dc:description/>
  <dc:language>en-US</dc:language>
  <cp:lastModifiedBy/>
  <dcterms:modified xsi:type="dcterms:W3CDTF">2026-08-30T20:52:18Z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