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KU Audit" sheetId="1" state="visible" r:id="rId3"/>
    <sheet name="Product Master" sheetId="2" state="visible" r:id="rId4"/>
    <sheet name="Lists" sheetId="3" state="visible" r:id="rId5"/>
    <sheet name="Instructions" sheetId="4" state="visible" r:id="rId6"/>
    <sheet name="VBA Code" sheetId="5" state="visible" r:id="rId7"/>
  </sheets>
  <definedNames>
    <definedName function="false" hidden="true" localSheetId="1" name="_xlnm._FilterDatabase" vbProcedure="false">'Product Master'!$A$1:$E$1000</definedName>
  </definedNames>
  <calcPr iterateCount="20" refMode="A1" iterate="tru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<sst xmlns="http://schemas.openxmlformats.org/spreadsheetml/2006/main" count="227" uniqueCount="204">
  <si>
    <t xml:space="preserve">SKU Inventory Audit Workbook — Scan Log</t>
  </si>
  <si>
    <t xml:space="preserve">Set your Active Auditor Initials below before scanning. Each new scan row stamps the CURRENT initials from this panel and keeps them even if the panel is changed later, so historical entries never change. BOH Qty and Floor Qty are entered separately but always compared to Expected Qty as a combined total.</t>
  </si>
  <si>
    <t xml:space="preserve">Active Auditor Initials:</t>
  </si>
  <si>
    <t xml:space="preserve">JS</t>
  </si>
  <si>
    <t xml:space="preserve">Today's Date:</t>
  </si>
  <si>
    <t xml:space="preserve">Scan Date</t>
  </si>
  <si>
    <t xml:space="preserve">UPC</t>
  </si>
  <si>
    <t xml:space="preserve">SKU</t>
  </si>
  <si>
    <t xml:space="preserve">Product Name</t>
  </si>
  <si>
    <t xml:space="preserve">Description</t>
  </si>
  <si>
    <t xml:space="preserve">Expected Qty</t>
  </si>
  <si>
    <t xml:space="preserve">BOH Qty</t>
  </si>
  <si>
    <t xml:space="preserve">Floor Qty</t>
  </si>
  <si>
    <t xml:space="preserve">Total Counted Qty</t>
  </si>
  <si>
    <t xml:space="preserve">Variance</t>
  </si>
  <si>
    <t xml:space="preserve">Discrepancy Status</t>
  </si>
  <si>
    <t xml:space="preserve">Auditor Initials</t>
  </si>
  <si>
    <t xml:space="preserve">Check By User</t>
  </si>
  <si>
    <t xml:space="preserve">Marked Out By User</t>
  </si>
  <si>
    <t xml:space="preserve">Notes</t>
  </si>
  <si>
    <t xml:space="preserve">088812340001</t>
  </si>
  <si>
    <t xml:space="preserve">Morgan Kim</t>
  </si>
  <si>
    <t xml:space="preserve">Demo row - 7 in BOH + 1 on Floor = 8 vs. 9 expected -&gt; one combined shortage of 1, not two separate shortages. Delete before real use.</t>
  </si>
  <si>
    <t xml:space="preserve">073456789012</t>
  </si>
  <si>
    <t xml:space="preserve">Jamie Smith</t>
  </si>
  <si>
    <t xml:space="preserve">Demo row - count matched expected. Delete before real use.</t>
  </si>
  <si>
    <t xml:space="preserve">041234567890</t>
  </si>
  <si>
    <t xml:space="preserve">Ade Lawal</t>
  </si>
  <si>
    <t xml:space="preserve">Demo row - shrinkage suspected, recount requested. Delete before real use.</t>
  </si>
  <si>
    <t xml:space="preserve">Expected Quantity</t>
  </si>
  <si>
    <t xml:space="preserve">PASTE UPDATE ZONE</t>
  </si>
  <si>
    <t xml:space="preserve">012345678905</t>
  </si>
  <si>
    <t xml:space="preserve">BEV-COLA-12OZ</t>
  </si>
  <si>
    <t xml:space="preserve">Cola 12oz Can (24-pack)</t>
  </si>
  <si>
    <t xml:space="preserve">Carbonated soft drink, 24 x 12oz cans</t>
  </si>
  <si>
    <t xml:space="preserve">Copy product data from the in-store system, click G3, then paste (Ctrl+V). It parses automatically into the table on the left and this zone clears itself, ready for the next paste. Requires the macro below (one-time setup -- see the Instructions tab). Matches on UPC: existing products update in place, new UPCs are added -- never duplicated.</t>
  </si>
  <si>
    <t xml:space="preserve">SNK-CHIP-BBQ</t>
  </si>
  <si>
    <t xml:space="preserve">BBQ Potato Chips 8oz</t>
  </si>
  <si>
    <t xml:space="preserve">Bagged snack, BBQ flavor, 8oz bag, case of 12</t>
  </si>
  <si>
    <t xml:space="preserve">DRY-PASTA-16</t>
  </si>
  <si>
    <t xml:space="preserve">Spaghetti Pasta 16oz</t>
  </si>
  <si>
    <t xml:space="preserve">Dry pasta, 16oz box, case of 20</t>
  </si>
  <si>
    <t xml:space="preserve">099876543210</t>
  </si>
  <si>
    <t xml:space="preserve">CLN-SPRAY-32</t>
  </si>
  <si>
    <t xml:space="preserve">All-Purpose Cleaner 32oz</t>
  </si>
  <si>
    <t xml:space="preserve">Multi-surface spray cleaner, 32oz bottle</t>
  </si>
  <si>
    <t xml:space="preserve">055512340009</t>
  </si>
  <si>
    <t xml:space="preserve">PPR-TOWEL-6PK</t>
  </si>
  <si>
    <t xml:space="preserve">Paper Towels 6-Roll Pack</t>
  </si>
  <si>
    <t xml:space="preserve">Household paper towels, 6 rolls per pack</t>
  </si>
  <si>
    <t xml:space="preserve">DEMO-COMBO-001</t>
  </si>
  <si>
    <t xml:space="preserve">Demo Item (BOH+Floor Combined Count)</t>
  </si>
  <si>
    <t xml:space="preserve">Illustrates combined-total variance vs. expected</t>
  </si>
  <si>
    <t xml:space="preserve">Employee Names</t>
  </si>
  <si>
    <t xml:space="preserve">MK</t>
  </si>
  <si>
    <t xml:space="preserve">AL</t>
  </si>
  <si>
    <t xml:space="preserve">SKU Inventory Audit Workbook — Instructions</t>
  </si>
  <si>
    <t xml:space="preserve">AUDIT WORKFLOW</t>
  </si>
  <si>
    <t xml:space="preserve">1. On the SKU Audit sheet, set Active Auditor Initials (cell B4).</t>
  </si>
  <si>
    <t xml:space="preserve">2. Scan or type the UPC into the UPC column for the next blank row.</t>
  </si>
  <si>
    <t xml:space="preserve">3. SKU, Product Name, Description, and Expected Qty auto-populate from the Product Master sheet.</t>
  </si>
  <si>
    <t xml:space="preserve">4. Enter BOH Qty and/or Floor Qty as each location is counted. Total Counted Qty, Variance, and</t>
  </si>
  <si>
    <t xml:space="preserve">   Discrepancy Status are always calculated against the COMBINED total of BOH + Floor, not each</t>
  </si>
  <si>
    <t xml:space="preserve">   location separately.</t>
  </si>
  <si>
    <t xml:space="preserve">5. The Scan Date and Auditor Initials are stamped onto the row and never change again, even if</t>
  </si>
  <si>
    <t xml:space="preserve">   the control panel is updated later -- this preserves audit history.</t>
  </si>
  <si>
    <t xml:space="preserve">6. A second employee can be recorded under Check By User to verify the count.</t>
  </si>
  <si>
    <t xml:space="preserve">7. If a discrepancy is resolved or inventory is written off, record the responsible employee under</t>
  </si>
  <si>
    <t xml:space="preserve">   Marked Out By User, and document details in Notes.</t>
  </si>
  <si>
    <t xml:space="preserve">8. Use the filter arrows on the table header to sort or review by date, SKU, UPC, user, or</t>
  </si>
  <si>
    <t xml:space="preserve">   discrepancy status.</t>
  </si>
  <si>
    <t xml:space="preserve">COLOR CODING (auto-updates daily based on Scan Date)</t>
  </si>
  <si>
    <t xml:space="preserve">Green  = scanned 0-14 days ago</t>
  </si>
  <si>
    <t xml:space="preserve">Orange = scanned 15-28 days ago</t>
  </si>
  <si>
    <t xml:space="preserve">Red    = scanned 29+ days ago</t>
  </si>
  <si>
    <t xml:space="preserve">A UPC that doesn't match any record in Product Master is flagged red in the UPC cell and</t>
  </si>
  <si>
    <t xml:space="preserve">shows "UPC Not Found" until corrected.</t>
  </si>
  <si>
    <t xml:space="preserve">DISCREPANCY STATUS VALUES</t>
  </si>
  <si>
    <t xml:space="preserve">Not Counted        = neither BOH Qty nor Floor Qty entered yet.</t>
  </si>
  <si>
    <t xml:space="preserve">Partially Counted  = only one of BOH Qty / Floor Qty entered so far.</t>
  </si>
  <si>
    <t xml:space="preserve">Match / Overage / Shortage = both locations counted; compares the combined total to Expected Qty.</t>
  </si>
  <si>
    <t xml:space="preserve">LEGEND</t>
  </si>
  <si>
    <t xml:space="preserve">Blue text  = cells you type into (UPC, BOH Qty, Floor Qty, Check By User, Marked Out By User,</t>
  </si>
  <si>
    <t xml:space="preserve">             Notes, and the Active Auditor control panel).</t>
  </si>
  <si>
    <t xml:space="preserve">Black text = automatic formulas -- do not overwrite unless you intend to manually correct a row.</t>
  </si>
  <si>
    <t xml:space="preserve">MAINTAINING THE PRODUCT MASTER</t>
  </si>
  <si>
    <t xml:space="preserve">Add, edit, or remove rows on the Product Master sheet as products or expected quantities change.</t>
  </si>
  <si>
    <t xml:space="preserve">Changes there only affect future lookups -- already-scanned rows keep their frozen values.</t>
  </si>
  <si>
    <t xml:space="preserve">MAINTAINING THE LISTS SHEET</t>
  </si>
  <si>
    <t xml:space="preserve">Add auditor initials and employee names to the Lists sheet to make them available in the</t>
  </si>
  <si>
    <t xml:space="preserve">dropdown menus on the SKU Audit sheet.</t>
  </si>
  <si>
    <t xml:space="preserve">PASTE-UPDATE AUTOMATION FOR PRODUCT MASTER (one-time setup, optional)</t>
  </si>
  <si>
    <t xml:space="preserve">The Product Master sheet has a yellow 'Paste Update Zone' (column G) for pasting product data</t>
  </si>
  <si>
    <t xml:space="preserve">copied directly from your in-store system, in this repeating format per product:</t>
  </si>
  <si>
    <t xml:space="preserve">    Product Name</t>
  </si>
  <si>
    <t xml:space="preserve">    SKU&lt;value&gt;</t>
  </si>
  <si>
    <t xml:space="preserve">    Dept&lt;value&gt;</t>
  </si>
  <si>
    <t xml:space="preserve">    Style&lt;value&gt;</t>
  </si>
  <si>
    <t xml:space="preserve">    Color&lt;value&gt;</t>
  </si>
  <si>
    <t xml:space="preserve">    Size&lt;value&gt;</t>
  </si>
  <si>
    <t xml:space="preserve">    UPC&lt;value&gt;</t>
  </si>
  <si>
    <t xml:space="preserve">    Available&lt;X&gt; / &lt;Y&gt;</t>
  </si>
  <si>
    <t xml:space="preserve">Pasting there parses every product in the block, writes UPC / SKU / Product Name / Description</t>
  </si>
  <si>
    <t xml:space="preserve">(Color + Size combined) / Expected Quantity (the SECOND number in the Available field, i.e. total</t>
  </si>
  <si>
    <t xml:space="preserve">on-hand) into Product Master -- updating the matching UPC's row in place, or adding a new row if</t>
  </si>
  <si>
    <t xml:space="preserve">the UPC isn't already there, so re-pasting never creates duplicates. The paste zone clears itself</t>
  </si>
  <si>
    <t xml:space="preserve">immediately after, so you can paste the next batch right away.</t>
  </si>
  <si>
    <t xml:space="preserve">This requires a macro, which Excel will not run until you complete this ONE-TIME setup:</t>
  </si>
  <si>
    <t xml:space="preserve">1. Save this workbook as a Macro-Enabled Workbook (File &gt; Save As &gt; .xlsm).</t>
  </si>
  <si>
    <t xml:space="preserve">2. Open the VBA editor (Alt+F11).</t>
  </si>
  <si>
    <t xml:space="preserve">3. In the left-hand Project pane, double-click 'Product Master' under Microsoft Excel Objects.</t>
  </si>
  <si>
    <t xml:space="preserve">4. Paste the full macro code below into that code pane, then close the VBA editor and save.</t>
  </si>
  <si>
    <t xml:space="preserve">5. On future opens, click 'Enable Content' / 'Enable Macros' when Excel prompts you.</t>
  </si>
  <si>
    <t xml:space="preserve">The complete macro code is provided in the accompanying ProductMaster_PasteUpdate_Macro.txt file</t>
  </si>
  <si>
    <t xml:space="preserve">(and duplicated on the 'VBA Code' tab of this workbook) -- copy it exactly as written.</t>
  </si>
  <si>
    <t xml:space="preserve">Until this setup is done, the Paste Update Zone simply holds pasted text without parsing it; all</t>
  </si>
  <si>
    <t xml:space="preserve">other features of this workbook (scanning, lookups, variance, color coding, filters) work</t>
  </si>
  <si>
    <t xml:space="preserve">immediately with no setup required.</t>
  </si>
  <si>
    <t xml:space="preserve">NOTE</t>
  </si>
  <si>
    <t xml:space="preserve">This workbook enables Iterative Calculation (Excel: File &gt; Options &gt; Formulas) to support the</t>
  </si>
  <si>
    <t xml:space="preserve">"freeze on first entry" formulas. This setting is saved in the file, so no manual setup is needed.</t>
  </si>
  <si>
    <t xml:space="preserve">The first three rows on the SKU Audit sheet are example entries demonstrating the color coding</t>
  </si>
  <si>
    <t xml:space="preserve">and workflow -- delete or overwrite them before starting a real audit.</t>
  </si>
  <si>
    <t xml:space="preserve">Paste-Update Macro (paste into the Product Master sheet's code module)</t>
  </si>
  <si>
    <t xml:space="preserve">Private Sub Worksheet_Change(ByVal Target As Range)</t>
  </si>
  <si>
    <t xml:space="preserve">    Const PASTE_COL As String = "G"</t>
  </si>
  <si>
    <t xml:space="preserve">    Const PASTE_FIRST_ROW As Long = 3</t>
  </si>
  <si>
    <t xml:space="preserve">    Dim pasteRange As Range</t>
  </si>
  <si>
    <t xml:space="preserve">    Set pasteRange = Me.Range(PASTE_COL &amp; PASTE_FIRST_ROW &amp; ":" &amp; PASTE_COL &amp; Me.Rows.Count)</t>
  </si>
  <si>
    <t xml:space="preserve">    If Intersect(Target, pasteRange) Is Nothing Then Exit Sub</t>
  </si>
  <si>
    <t xml:space="preserve">    Dim lastPasted As Long</t>
  </si>
  <si>
    <t xml:space="preserve">    lastPasted = Me.Cells(Me.Rows.Count, PASTE_COL).End(xlUp).Row</t>
  </si>
  <si>
    <t xml:space="preserve">    If lastPasted &lt; PASTE_FIRST_ROW Then Exit Sub</t>
  </si>
  <si>
    <t xml:space="preserve">    Application.EnableEvents = False</t>
  </si>
  <si>
    <t xml:space="preserve">    On Error GoTo CleanUp</t>
  </si>
  <si>
    <t xml:space="preserve">    Dim curName As String, curSKU As String, curColor As String</t>
  </si>
  <si>
    <t xml:space="preserve">    Dim curSize As String, curUPC As String, curAvail As String</t>
  </si>
  <si>
    <t xml:space="preserve">    Dim updatedCount As Long</t>
  </si>
  <si>
    <t xml:space="preserve">    Dim r As Long, ln As String</t>
  </si>
  <si>
    <t xml:space="preserve">    For r = PASTE_FIRST_ROW To lastPasted</t>
  </si>
  <si>
    <t xml:space="preserve">        ln = Trim$(CStr(Me.Cells(r, PASTE_COL).Value))</t>
  </si>
  <si>
    <t xml:space="preserve">        If ln &lt;&gt; "" Then</t>
  </si>
  <si>
    <t xml:space="preserve">            If LCase$(Left$(ln, 3)) = "sku" Then</t>
  </si>
  <si>
    <t xml:space="preserve">                curSKU = Trim$(Mid$(ln, 4))</t>
  </si>
  <si>
    <t xml:space="preserve">            ElseIf LCase$(Left$(ln, 5)) = "color" Then</t>
  </si>
  <si>
    <t xml:space="preserve">                curColor = Trim$(Mid$(ln, 6))</t>
  </si>
  <si>
    <t xml:space="preserve">            ElseIf LCase$(Left$(ln, 4)) = "size" Then</t>
  </si>
  <si>
    <t xml:space="preserve">                curSize = Trim$(Mid$(ln, 5))</t>
  </si>
  <si>
    <t xml:space="preserve">            ElseIf LCase$(Left$(ln, 3)) = "upc" Then</t>
  </si>
  <si>
    <t xml:space="preserve">                curUPC = Trim$(Mid$(ln, 4))</t>
  </si>
  <si>
    <t xml:space="preserve">            ElseIf LCase$(Left$(ln, 4)) = "dept" Then</t>
  </si>
  <si>
    <t xml:space="preserve">                ' Dept is not stored in Product Master -- ignored on purpose.</t>
  </si>
  <si>
    <t xml:space="preserve">            ElseIf LCase$(Left$(ln, 5)) = "style" Then</t>
  </si>
  <si>
    <t xml:space="preserve">                ' Style is not stored in Product Master -- ignored on purpose.</t>
  </si>
  <si>
    <t xml:space="preserve">            ElseIf LCase$(Left$(ln, 9)) = "available" Then</t>
  </si>
  <si>
    <t xml:space="preserve">                Dim availRaw As String, parts() As String</t>
  </si>
  <si>
    <t xml:space="preserve">                availRaw = Trim$(Mid$(ln, 10))</t>
  </si>
  <si>
    <t xml:space="preserve">                parts = Split(availRaw, "/")</t>
  </si>
  <si>
    <t xml:space="preserve">                If UBound(parts) &gt;= 1 Then</t>
  </si>
  <si>
    <t xml:space="preserve">                    curAvail = Trim$(parts(1))   ' second number = total on-hand</t>
  </si>
  <si>
    <t xml:space="preserve">                Else</t>
  </si>
  <si>
    <t xml:space="preserve">                    curAvail = Trim$(parts(0))</t>
  </si>
  <si>
    <t xml:space="preserve">                End If</t>
  </si>
  <si>
    <t xml:space="preserve">                ' "Available" is always the last field for a product -&gt; upsert now.</t>
  </si>
  <si>
    <t xml:space="preserve">                If curUPC &lt;&gt; "" Then</t>
  </si>
  <si>
    <t xml:space="preserve">                    Call UpsertProductMaster(curUPC, curSKU, curName, curColor, curSize, curAvail)</t>
  </si>
  <si>
    <t xml:space="preserve">                    updatedCount = updatedCount + 1</t>
  </si>
  <si>
    <t xml:space="preserve">                curName = "": curSKU = "": curColor = "": curSize = "": curUPC = "": curAvail = ""</t>
  </si>
  <si>
    <t xml:space="preserve">            Else</t>
  </si>
  <si>
    <t xml:space="preserve">                ' Unrecognized label -&gt; this is the product name line (start of a new record).</t>
  </si>
  <si>
    <t xml:space="preserve">                curName = ln</t>
  </si>
  <si>
    <t xml:space="preserve">            End If</t>
  </si>
  <si>
    <t xml:space="preserve">        End If</t>
  </si>
  <si>
    <t xml:space="preserve">    Next r</t>
  </si>
  <si>
    <t xml:space="preserve">CleanUp:</t>
  </si>
  <si>
    <t xml:space="preserve">    Me.Range(PASTE_COL &amp; PASTE_FIRST_ROW &amp; ":" &amp; PASTE_COL &amp; lastPasted).ClearContents</t>
  </si>
  <si>
    <t xml:space="preserve">    Application.EnableEvents = True</t>
  </si>
  <si>
    <t xml:space="preserve">    If Err.Number &lt;&gt; 0 Then</t>
  </si>
  <si>
    <t xml:space="preserve">        MsgBox "Paste parsing hit an error: " &amp; Err.Description, vbExclamation</t>
  </si>
  <si>
    <t xml:space="preserve">    ElseIf updatedCount &gt; 0 Then</t>
  </si>
  <si>
    <t xml:space="preserve">        MsgBox updatedCount &amp; " product(s) updated in Product Master.", vbInformation</t>
  </si>
  <si>
    <t xml:space="preserve">    End If</t>
  </si>
  <si>
    <t xml:space="preserve">End Sub</t>
  </si>
  <si>
    <t xml:space="preserve">Private Sub UpsertProductMaster(upc As String, sku As String, prodName As String, color As String, size As String, avail As String)</t>
  </si>
  <si>
    <t xml:space="preserve">    Dim lastRow As Long</t>
  </si>
  <si>
    <t xml:space="preserve">    lastRow = Me.Cells(Me.Rows.Count, "A").End(xlUp).Row</t>
  </si>
  <si>
    <t xml:space="preserve">    If lastRow &lt; 1 Then lastRow = 1</t>
  </si>
  <si>
    <t xml:space="preserve">    Dim foundRow As Long, r As Long</t>
  </si>
  <si>
    <t xml:space="preserve">    foundRow = 0</t>
  </si>
  <si>
    <t xml:space="preserve">    For r = 2 To lastRow</t>
  </si>
  <si>
    <t xml:space="preserve">        If Trim$(CStr(Me.Cells(r, 1).Value)) = Trim$(upc) Then</t>
  </si>
  <si>
    <t xml:space="preserve">            foundRow = r</t>
  </si>
  <si>
    <t xml:space="preserve">            Exit For</t>
  </si>
  <si>
    <t xml:space="preserve">    If foundRow = 0 Then</t>
  </si>
  <si>
    <t xml:space="preserve">        foundRow = lastRow + 1</t>
  </si>
  <si>
    <t xml:space="preserve">        Me.Cells(foundRow, 1).NumberFormat = "@"</t>
  </si>
  <si>
    <t xml:space="preserve">        Me.Cells(foundRow, 1).Value = upc</t>
  </si>
  <si>
    <t xml:space="preserve">    Me.Cells(foundRow, 2).Value = sku</t>
  </si>
  <si>
    <t xml:space="preserve">    If prodName &lt;&gt; "" Then Me.Cells(foundRow, 3).Value = prodName</t>
  </si>
  <si>
    <t xml:space="preserve">    Dim desc As String</t>
  </si>
  <si>
    <t xml:space="preserve">    desc = Trim$(color &amp; " " &amp; size)</t>
  </si>
  <si>
    <t xml:space="preserve">    If desc &lt;&gt; "" Then Me.Cells(foundRow, 4).Value = desc</t>
  </si>
  <si>
    <t xml:space="preserve">    If avail &lt;&gt; "" And IsNumeric(avail) Then</t>
  </si>
  <si>
    <t xml:space="preserve">        Me.Cells(foundRow, 5).Value = CDbl(avail)</t>
  </si>
</sst>
</file>

<file path=xl/styles.xml><?xml version="1.0" encoding="utf-8"?>
<styleSheet xmlns="http://schemas.openxmlformats.org/spreadsheetml/2006/main">
  <numFmts count="4">
    <numFmt numFmtId="164" formatCode="General"/>
    <numFmt numFmtId="165" formatCode="@"/>
    <numFmt numFmtId="166" formatCode="mm/dd/yyyy"/>
    <numFmt numFmtId="167" formatCode="#,##0;\(#,##0\)"/>
  </numFmts>
  <fonts count="1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0"/>
      <name val="Arial"/>
      <family val="0"/>
      <charset val="1"/>
    </font>
    <font>
      <b val="true"/>
      <sz val="10"/>
      <color rgb="FF0000FF"/>
      <name val="Arial"/>
      <family val="0"/>
      <charset val="1"/>
    </font>
    <font>
      <sz val="10"/>
      <color rgb="FF000000"/>
      <name val="Arial"/>
      <family val="0"/>
      <charset val="1"/>
    </font>
    <font>
      <b val="true"/>
      <sz val="11"/>
      <color rgb="FFFFFFFF"/>
      <name val="Arial"/>
      <family val="0"/>
      <charset val="1"/>
    </font>
    <font>
      <sz val="10"/>
      <color rgb="FF0000FF"/>
      <name val="Arial"/>
      <family val="0"/>
      <charset val="1"/>
    </font>
    <font>
      <sz val="10"/>
      <name val="Arial"/>
      <family val="0"/>
      <charset val="1"/>
    </font>
    <font>
      <sz val="9"/>
      <color rgb="FF7F5A00"/>
      <name val="Arial"/>
      <family val="0"/>
      <charset val="1"/>
    </font>
    <font>
      <b val="true"/>
      <sz val="14"/>
      <color rgb="FF1F3864"/>
      <name val="Arial"/>
      <family val="0"/>
      <charset val="1"/>
    </font>
    <font>
      <b val="true"/>
      <sz val="10"/>
      <color rgb="FF1F3864"/>
      <name val="Arial"/>
      <family val="0"/>
      <charset val="1"/>
    </font>
    <font>
      <b val="true"/>
      <sz val="12"/>
      <color rgb="FF1F3864"/>
      <name val="Arial"/>
      <family val="0"/>
      <charset val="1"/>
    </font>
    <font>
      <sz val="10"/>
      <color rgb="FF000000"/>
      <name val="Consolas"/>
      <family val="0"/>
      <charset val="1"/>
    </font>
  </fonts>
  <fills count="7">
    <fill>
      <patternFill patternType="none"/>
    </fill>
    <fill>
      <patternFill patternType="gray125"/>
    </fill>
    <fill>
      <patternFill patternType="solid">
        <fgColor rgb="FFD9E2F3"/>
        <bgColor rgb="FFF2F2F2"/>
      </patternFill>
    </fill>
    <fill>
      <patternFill patternType="solid">
        <fgColor rgb="FF1F3864"/>
        <bgColor rgb="FF333333"/>
      </patternFill>
    </fill>
    <fill>
      <patternFill patternType="solid">
        <fgColor rgb="FF7F5A00"/>
        <bgColor rgb="FF993300"/>
      </patternFill>
    </fill>
    <fill>
      <patternFill patternType="solid">
        <fgColor rgb="FFF2F2F2"/>
        <bgColor rgb="FFFFFFFF"/>
      </patternFill>
    </fill>
    <fill>
      <patternFill patternType="solid">
        <fgColor rgb="FFFFF6CC"/>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4" borderId="2" xfId="0" applyFont="true" applyBorder="true" applyAlignment="true" applyProtection="false">
      <alignment horizontal="center" vertical="center" textRotation="0" wrapText="tru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2" fillId="6" borderId="1" xfId="0" applyFont="true" applyBorder="true" applyAlignment="true" applyProtection="false">
      <alignment horizontal="left" vertical="top" textRotation="0" wrapText="false" indent="0" shrinkToFit="false"/>
      <protection locked="true" hidden="false"/>
    </xf>
    <xf numFmtId="164" fontId="12" fillId="6"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C6E8C6"/>
          <bgColor rgb="FF000000"/>
        </patternFill>
      </fill>
    </dxf>
    <dxf>
      <fill>
        <patternFill patternType="solid">
          <fgColor rgb="FFF4B6B6"/>
          <bgColor rgb="FF000000"/>
        </patternFill>
      </fill>
    </dxf>
    <dxf>
      <fill>
        <patternFill patternType="solid">
          <fgColor rgb="FFFBD9A5"/>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C6E8C6"/>
        </patternFill>
      </fill>
    </dxf>
    <dxf>
      <fill>
        <patternFill>
          <bgColor rgb="FFFBD9A5"/>
        </patternFill>
      </fill>
    </dxf>
    <dxf>
      <fill>
        <patternFill>
          <bgColor rgb="FFF4B6B6"/>
        </patternFill>
      </fill>
    </dxf>
    <dxf>
      <font>
        <name val="Arial"/>
        <charset val="1"/>
        <family val="0"/>
        <b val="1"/>
        <color rgb="FFFFFFFF"/>
      </font>
      <fill>
        <patternFill>
          <bgColor rgb="FFFF0000"/>
        </patternFill>
      </fill>
    </dxf>
    <dxf>
      <fill>
        <patternFill patternType="solid">
          <fgColor rgb="FFF2F2F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5A00"/>
      <rgbColor rgb="FF800080"/>
      <rgbColor rgb="FF008080"/>
      <rgbColor rgb="FFBFBFBF"/>
      <rgbColor rgb="FF808080"/>
      <rgbColor rgb="FF9999FF"/>
      <rgbColor rgb="FF993366"/>
      <rgbColor rgb="FFFFF6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8C6"/>
      <rgbColor rgb="FFFFFF99"/>
      <rgbColor rgb="FF99CCFF"/>
      <rgbColor rgb="FFF4B6B6"/>
      <rgbColor rgb="FFCC99FF"/>
      <rgbColor rgb="FFFBD9A5"/>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AuditLog" displayName="AuditLog" ref="A6:O206" headerRowCount="1" totalsRowCount="0" totalsRowShown="0">
  <autoFilter ref="A6:O206"/>
  <tableColumns count="15">
    <tableColumn id="1" name="Scan Date"/>
    <tableColumn id="2" name="UPC"/>
    <tableColumn id="3" name="SKU"/>
    <tableColumn id="4" name="Product Name"/>
    <tableColumn id="5" name="Description"/>
    <tableColumn id="6" name="Expected Qty"/>
    <tableColumn id="7" name="BOH Qty"/>
    <tableColumn id="8" name="Floor Qty"/>
    <tableColumn id="9" name="Total Counted Qty"/>
    <tableColumn id="10" name="Variance"/>
    <tableColumn id="11" name="Discrepancy Status"/>
    <tableColumn id="12" name="Auditor Initials"/>
    <tableColumn id="13" name="Check By User"/>
    <tableColumn id="14" name="Marked Out By User"/>
    <tableColumn id="15" name="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0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2"/>
    <col collapsed="false" customWidth="true" hidden="false" outlineLevel="0" max="4" min="4" style="0" width="22"/>
    <col collapsed="false" customWidth="true" hidden="false" outlineLevel="0" max="5" min="5" style="0" width="26"/>
    <col collapsed="false" customWidth="true" hidden="false" outlineLevel="0" max="6" min="6" style="0" width="12"/>
    <col collapsed="false" customWidth="true" hidden="false" outlineLevel="0" max="8" min="7" style="0" width="10"/>
    <col collapsed="false" customWidth="true" hidden="false" outlineLevel="0" max="9" min="9" style="0" width="12"/>
    <col collapsed="false" customWidth="true" hidden="false" outlineLevel="0" max="10" min="10" style="0" width="10"/>
    <col collapsed="false" customWidth="true" hidden="false" outlineLevel="0" max="11" min="11" style="0" width="16"/>
    <col collapsed="false" customWidth="true" hidden="false" outlineLevel="0" max="12" min="12"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s>
  <sheetData>
    <row r="1" customFormat="false" ht="24" hidden="false" customHeight="true" outlineLevel="0" collapsed="false">
      <c r="A1" s="1" t="s">
        <v>0</v>
      </c>
      <c r="B1" s="1"/>
      <c r="C1" s="1"/>
      <c r="D1" s="1"/>
      <c r="E1" s="1"/>
      <c r="F1" s="1"/>
      <c r="G1" s="1"/>
      <c r="H1" s="1"/>
      <c r="I1" s="1"/>
      <c r="J1" s="1"/>
      <c r="K1" s="1"/>
      <c r="L1" s="1"/>
      <c r="M1" s="1"/>
      <c r="N1" s="1"/>
      <c r="O1" s="1"/>
    </row>
    <row r="2" customFormat="false" ht="27.75" hidden="false" customHeight="true" outlineLevel="0" collapsed="false">
      <c r="A2" s="2" t="s">
        <v>1</v>
      </c>
      <c r="B2" s="2"/>
      <c r="C2" s="2"/>
      <c r="D2" s="2"/>
      <c r="E2" s="2"/>
      <c r="F2" s="2"/>
      <c r="G2" s="2"/>
      <c r="H2" s="2"/>
      <c r="I2" s="2"/>
      <c r="J2" s="2"/>
      <c r="K2" s="2"/>
      <c r="L2" s="2"/>
      <c r="M2" s="2"/>
      <c r="N2" s="2"/>
      <c r="O2" s="2"/>
    </row>
    <row r="4" customFormat="false" ht="15" hidden="false" customHeight="false" outlineLevel="0" collapsed="false">
      <c r="A4" s="3" t="s">
        <v>2</v>
      </c>
      <c r="B4" s="4" t="s">
        <v>3</v>
      </c>
      <c r="D4" s="3" t="s">
        <v>4</v>
      </c>
      <c r="E4" s="5" t="n">
        <f aca="true">TODAY()</f>
        <v>46262</v>
      </c>
    </row>
    <row r="6" customFormat="false" ht="30" hidden="false" customHeight="true" outlineLevel="0" collapsed="false">
      <c r="A6" s="6" t="s">
        <v>5</v>
      </c>
      <c r="B6" s="6" t="s">
        <v>6</v>
      </c>
      <c r="C6" s="6" t="s">
        <v>7</v>
      </c>
      <c r="D6" s="6" t="s">
        <v>8</v>
      </c>
      <c r="E6" s="6" t="s">
        <v>9</v>
      </c>
      <c r="F6" s="6" t="s">
        <v>10</v>
      </c>
      <c r="G6" s="6" t="s">
        <v>11</v>
      </c>
      <c r="H6" s="6" t="s">
        <v>12</v>
      </c>
      <c r="I6" s="6" t="s">
        <v>13</v>
      </c>
      <c r="J6" s="6" t="s">
        <v>14</v>
      </c>
      <c r="K6" s="6" t="s">
        <v>15</v>
      </c>
      <c r="L6" s="6" t="s">
        <v>16</v>
      </c>
      <c r="M6" s="6" t="s">
        <v>17</v>
      </c>
      <c r="N6" s="6" t="s">
        <v>18</v>
      </c>
      <c r="O6" s="6" t="s">
        <v>19</v>
      </c>
    </row>
    <row r="7" customFormat="false" ht="15" hidden="false" customHeight="false" outlineLevel="0" collapsed="false">
      <c r="A7" s="7" t="n">
        <f aca="true">IF($B7="","",IF(AND(A7&lt;&gt;"",A7&lt;&gt;0),A7,TODAY()))</f>
        <v>46262</v>
      </c>
      <c r="B7" s="8" t="s">
        <v>20</v>
      </c>
      <c r="C7" s="9" t="str">
        <f aca="false">IF($B7="","",IF(AND(C7&lt;&gt;"",C7&lt;&gt;0,C7&lt;&gt;"UPC Not Found"),C7,IFERROR(INDEX('Product Master'!$B$2:$B$1000,MATCH($B7,'Product Master'!$A$2:$A$1000,0)),"UPC Not Found")))</f>
        <v>DEMO-COMBO-001</v>
      </c>
      <c r="D7" s="9" t="str">
        <f aca="false">IF($B7="","",IF(AND(D7&lt;&gt;"",D7&lt;&gt;0,D7&lt;&gt;"UPC Not Found"),D7,IFERROR(INDEX('Product Master'!$C$2:$C$1000,MATCH($B7,'Product Master'!$A$2:$A$1000,0)),"UPC Not Found")))</f>
        <v>Demo Item (BOH+Floor Combined Count)</v>
      </c>
      <c r="E7" s="9" t="str">
        <f aca="false">IF($B7="","",IF(AND(E7&lt;&gt;"",E7&lt;&gt;0,E7&lt;&gt;"UPC Not Found"),E7,IFERROR(INDEX('Product Master'!$D$2:$D$1000,MATCH($B7,'Product Master'!$A$2:$A$1000,0)),"UPC Not Found")))</f>
        <v>Illustrates combined-total variance vs. expected</v>
      </c>
      <c r="F7" s="10" t="n">
        <f aca="false">IF($B7="","",IF(AND(F7&lt;&gt;"",F7&lt;&gt;0,F7&lt;&gt;"UPC Not Found"),F7,IFERROR(INDEX('Product Master'!$E$2:$E$1000,MATCH($B7,'Product Master'!$A$2:$A$1000,0)),"UPC Not Found")))</f>
        <v>9</v>
      </c>
      <c r="G7" s="11" t="n">
        <v>7</v>
      </c>
      <c r="H7" s="11" t="n">
        <v>1</v>
      </c>
      <c r="I7" s="10" t="n">
        <f aca="false">IF($B7="","",IF(AND(G7="",H7=""),"",G7+H7))</f>
        <v>8</v>
      </c>
      <c r="J7" s="10" t="n">
        <f aca="false">IF(OR($B7="",I7="",F7="UPC Not Found"),"",I7-F7)</f>
        <v>-1</v>
      </c>
      <c r="K7" s="9" t="str">
        <f aca="false">IF($B7="","",IF(AND(G7="",H7=""),"Not Counted",IF(OR(G7="",H7=""),"Partially Counted",IF(J7=0,"Match",IF(J7&gt;0,"Overage","Shortage")))))</f>
        <v>Shortage</v>
      </c>
      <c r="L7" s="9" t="str">
        <f aca="false">IF($B7="","",IF(AND(L7&lt;&gt;"",L7&lt;&gt;0),L7,$B$4))</f>
        <v>JS</v>
      </c>
      <c r="M7" s="12" t="s">
        <v>21</v>
      </c>
      <c r="N7" s="12"/>
      <c r="O7" s="12" t="s">
        <v>22</v>
      </c>
    </row>
    <row r="8" customFormat="false" ht="15" hidden="false" customHeight="false" outlineLevel="0" collapsed="false">
      <c r="A8" s="7" t="n">
        <f aca="true">TODAY()-20</f>
        <v>46242</v>
      </c>
      <c r="B8" s="8" t="s">
        <v>23</v>
      </c>
      <c r="C8" s="9" t="str">
        <f aca="false">IF($B8="","",IF(AND(C8&lt;&gt;"",C8&lt;&gt;0,C8&lt;&gt;"UPC Not Found"),C8,IFERROR(INDEX('Product Master'!$B$2:$B$1000,MATCH($B8,'Product Master'!$A$2:$A$1000,0)),"UPC Not Found")))</f>
        <v>DRY-PASTA-16</v>
      </c>
      <c r="D8" s="9" t="str">
        <f aca="false">IF($B8="","",IF(AND(D8&lt;&gt;"",D8&lt;&gt;0,D8&lt;&gt;"UPC Not Found"),D8,IFERROR(INDEX('Product Master'!$C$2:$C$1000,MATCH($B8,'Product Master'!$A$2:$A$1000,0)),"UPC Not Found")))</f>
        <v>Spaghetti Pasta 16oz</v>
      </c>
      <c r="E8" s="9" t="str">
        <f aca="false">IF($B8="","",IF(AND(E8&lt;&gt;"",E8&lt;&gt;0,E8&lt;&gt;"UPC Not Found"),E8,IFERROR(INDEX('Product Master'!$D$2:$D$1000,MATCH($B8,'Product Master'!$A$2:$A$1000,0)),"UPC Not Found")))</f>
        <v>Dry pasta, 16oz box, case of 20</v>
      </c>
      <c r="F8" s="10" t="n">
        <f aca="false">IF($B8="","",IF(AND(F8&lt;&gt;"",F8&lt;&gt;0,F8&lt;&gt;"UPC Not Found"),F8,IFERROR(INDEX('Product Master'!$E$2:$E$1000,MATCH($B8,'Product Master'!$A$2:$A$1000,0)),"UPC Not Found")))</f>
        <v>60</v>
      </c>
      <c r="G8" s="11" t="n">
        <v>60</v>
      </c>
      <c r="H8" s="11" t="n">
        <v>0</v>
      </c>
      <c r="I8" s="10" t="n">
        <f aca="false">IF($B8="","",IF(AND(G8="",H8=""),"",G8+H8))</f>
        <v>60</v>
      </c>
      <c r="J8" s="10" t="n">
        <f aca="false">IF(OR($B8="",I8="",F8="UPC Not Found"),"",I8-F8)</f>
        <v>0</v>
      </c>
      <c r="K8" s="9" t="str">
        <f aca="false">IF($B8="","",IF(AND(G8="",H8=""),"Not Counted",IF(OR(G8="",H8=""),"Partially Counted",IF(J8=0,"Match",IF(J8&gt;0,"Overage","Shortage")))))</f>
        <v>Match</v>
      </c>
      <c r="L8" s="9" t="str">
        <f aca="false">IF($B8="","",IF(AND(L8&lt;&gt;"",L8&lt;&gt;0),L8,$B$4))</f>
        <v>JS</v>
      </c>
      <c r="M8" s="12" t="s">
        <v>24</v>
      </c>
      <c r="N8" s="12"/>
      <c r="O8" s="12" t="s">
        <v>25</v>
      </c>
    </row>
    <row r="9" customFormat="false" ht="15" hidden="false" customHeight="false" outlineLevel="0" collapsed="false">
      <c r="A9" s="7" t="n">
        <f aca="true">TODAY()-35</f>
        <v>46227</v>
      </c>
      <c r="B9" s="8" t="s">
        <v>26</v>
      </c>
      <c r="C9" s="9" t="str">
        <f aca="false">IF($B9="","",IF(AND(C9&lt;&gt;"",C9&lt;&gt;0,C9&lt;&gt;"UPC Not Found"),C9,IFERROR(INDEX('Product Master'!$B$2:$B$1000,MATCH($B9,'Product Master'!$A$2:$A$1000,0)),"UPC Not Found")))</f>
        <v>SNK-CHIP-BBQ</v>
      </c>
      <c r="D9" s="9" t="str">
        <f aca="false">IF($B9="","",IF(AND(D9&lt;&gt;"",D9&lt;&gt;0,D9&lt;&gt;"UPC Not Found"),D9,IFERROR(INDEX('Product Master'!$C$2:$C$1000,MATCH($B9,'Product Master'!$A$2:$A$1000,0)),"UPC Not Found")))</f>
        <v>BBQ Potato Chips 8oz</v>
      </c>
      <c r="E9" s="9" t="str">
        <f aca="false">IF($B9="","",IF(AND(E9&lt;&gt;"",E9&lt;&gt;0,E9&lt;&gt;"UPC Not Found"),E9,IFERROR(INDEX('Product Master'!$D$2:$D$1000,MATCH($B9,'Product Master'!$A$2:$A$1000,0)),"UPC Not Found")))</f>
        <v>Bagged snack, BBQ flavor, 8oz bag, case of 12</v>
      </c>
      <c r="F9" s="10" t="n">
        <f aca="false">IF($B9="","",IF(AND(F9&lt;&gt;"",F9&lt;&gt;0,F9&lt;&gt;"UPC Not Found"),F9,IFERROR(INDEX('Product Master'!$E$2:$E$1000,MATCH($B9,'Product Master'!$A$2:$A$1000,0)),"UPC Not Found")))</f>
        <v>96</v>
      </c>
      <c r="G9" s="11" t="n">
        <v>50</v>
      </c>
      <c r="H9" s="11" t="n">
        <v>30</v>
      </c>
      <c r="I9" s="10" t="n">
        <f aca="false">IF($B9="","",IF(AND(G9="",H9=""),"",G9+H9))</f>
        <v>80</v>
      </c>
      <c r="J9" s="10" t="n">
        <f aca="false">IF(OR($B9="",I9="",F9="UPC Not Found"),"",I9-F9)</f>
        <v>-16</v>
      </c>
      <c r="K9" s="9" t="str">
        <f aca="false">IF($B9="","",IF(AND(G9="",H9=""),"Not Counted",IF(OR(G9="",H9=""),"Partially Counted",IF(J9=0,"Match",IF(J9&gt;0,"Overage","Shortage")))))</f>
        <v>Shortage</v>
      </c>
      <c r="L9" s="9" t="str">
        <f aca="false">IF($B9="","",IF(AND(L9&lt;&gt;"",L9&lt;&gt;0),L9,$B$4))</f>
        <v>JS</v>
      </c>
      <c r="M9" s="12" t="s">
        <v>24</v>
      </c>
      <c r="N9" s="12" t="s">
        <v>27</v>
      </c>
      <c r="O9" s="12" t="s">
        <v>28</v>
      </c>
    </row>
    <row r="10" customFormat="false" ht="15" hidden="false" customHeight="false" outlineLevel="0" collapsed="false">
      <c r="A10" s="7" t="str">
        <f aca="true">IF($B10="","",IF(AND(A10&lt;&gt;"",A10&lt;&gt;0),A10,TODAY()))</f>
        <v/>
      </c>
      <c r="B10" s="8"/>
      <c r="C10" s="9" t="str">
        <f aca="false">IF($B10="","",IF(AND(C10&lt;&gt;"",C10&lt;&gt;0,C10&lt;&gt;"UPC Not Found"),C10,IFERROR(INDEX('Product Master'!$B$2:$B$1000,MATCH($B10,'Product Master'!$A$2:$A$1000,0)),"UPC Not Found")))</f>
        <v/>
      </c>
      <c r="D10" s="9" t="str">
        <f aca="false">IF($B10="","",IF(AND(D10&lt;&gt;"",D10&lt;&gt;0,D10&lt;&gt;"UPC Not Found"),D10,IFERROR(INDEX('Product Master'!$C$2:$C$1000,MATCH($B10,'Product Master'!$A$2:$A$1000,0)),"UPC Not Found")))</f>
        <v/>
      </c>
      <c r="E10" s="9" t="str">
        <f aca="false">IF($B10="","",IF(AND(E10&lt;&gt;"",E10&lt;&gt;0,E10&lt;&gt;"UPC Not Found"),E10,IFERROR(INDEX('Product Master'!$D$2:$D$1000,MATCH($B10,'Product Master'!$A$2:$A$1000,0)),"UPC Not Found")))</f>
        <v/>
      </c>
      <c r="F10" s="10" t="str">
        <f aca="false">IF($B10="","",IF(AND(F10&lt;&gt;"",F10&lt;&gt;0,F10&lt;&gt;"UPC Not Found"),F10,IFERROR(INDEX('Product Master'!$E$2:$E$1000,MATCH($B10,'Product Master'!$A$2:$A$1000,0)),"UPC Not Found")))</f>
        <v/>
      </c>
      <c r="G10" s="11"/>
      <c r="H10" s="11"/>
      <c r="I10" s="10" t="str">
        <f aca="false">IF($B10="","",IF(AND(G10="",H10=""),"",G10+H10))</f>
        <v/>
      </c>
      <c r="J10" s="10" t="str">
        <f aca="false">IF(OR($B10="",I10="",F10="UPC Not Found"),"",I10-F10)</f>
        <v/>
      </c>
      <c r="K10" s="9" t="str">
        <f aca="false">IF($B10="","",IF(AND(G10="",H10=""),"Not Counted",IF(OR(G10="",H10=""),"Partially Counted",IF(J10=0,"Match",IF(J10&gt;0,"Overage","Shortage")))))</f>
        <v/>
      </c>
      <c r="L10" s="9" t="str">
        <f aca="false">IF($B10="","",IF(AND(L10&lt;&gt;"",L10&lt;&gt;0),L10,$B$4))</f>
        <v/>
      </c>
      <c r="M10" s="12"/>
      <c r="N10" s="12"/>
      <c r="O10" s="12"/>
    </row>
    <row r="11" customFormat="false" ht="15" hidden="false" customHeight="false" outlineLevel="0" collapsed="false">
      <c r="A11" s="7" t="str">
        <f aca="true">IF($B11="","",IF(AND(A11&lt;&gt;"",A11&lt;&gt;0),A11,TODAY()))</f>
        <v/>
      </c>
      <c r="B11" s="8"/>
      <c r="C11" s="9" t="str">
        <f aca="false">IF($B11="","",IF(AND(C11&lt;&gt;"",C11&lt;&gt;0,C11&lt;&gt;"UPC Not Found"),C11,IFERROR(INDEX('Product Master'!$B$2:$B$1000,MATCH($B11,'Product Master'!$A$2:$A$1000,0)),"UPC Not Found")))</f>
        <v/>
      </c>
      <c r="D11" s="9" t="str">
        <f aca="false">IF($B11="","",IF(AND(D11&lt;&gt;"",D11&lt;&gt;0,D11&lt;&gt;"UPC Not Found"),D11,IFERROR(INDEX('Product Master'!$C$2:$C$1000,MATCH($B11,'Product Master'!$A$2:$A$1000,0)),"UPC Not Found")))</f>
        <v/>
      </c>
      <c r="E11" s="9" t="str">
        <f aca="false">IF($B11="","",IF(AND(E11&lt;&gt;"",E11&lt;&gt;0,E11&lt;&gt;"UPC Not Found"),E11,IFERROR(INDEX('Product Master'!$D$2:$D$1000,MATCH($B11,'Product Master'!$A$2:$A$1000,0)),"UPC Not Found")))</f>
        <v/>
      </c>
      <c r="F11" s="10" t="str">
        <f aca="false">IF($B11="","",IF(AND(F11&lt;&gt;"",F11&lt;&gt;0,F11&lt;&gt;"UPC Not Found"),F11,IFERROR(INDEX('Product Master'!$E$2:$E$1000,MATCH($B11,'Product Master'!$A$2:$A$1000,0)),"UPC Not Found")))</f>
        <v/>
      </c>
      <c r="G11" s="11"/>
      <c r="H11" s="11"/>
      <c r="I11" s="10" t="str">
        <f aca="false">IF($B11="","",IF(AND(G11="",H11=""),"",G11+H11))</f>
        <v/>
      </c>
      <c r="J11" s="10" t="str">
        <f aca="false">IF(OR($B11="",I11="",F11="UPC Not Found"),"",I11-F11)</f>
        <v/>
      </c>
      <c r="K11" s="9" t="str">
        <f aca="false">IF($B11="","",IF(AND(G11="",H11=""),"Not Counted",IF(OR(G11="",H11=""),"Partially Counted",IF(J11=0,"Match",IF(J11&gt;0,"Overage","Shortage")))))</f>
        <v/>
      </c>
      <c r="L11" s="9" t="str">
        <f aca="false">IF($B11="","",IF(AND(L11&lt;&gt;"",L11&lt;&gt;0),L11,$B$4))</f>
        <v/>
      </c>
      <c r="M11" s="12"/>
      <c r="N11" s="12"/>
      <c r="O11" s="12"/>
    </row>
    <row r="12" customFormat="false" ht="15" hidden="false" customHeight="false" outlineLevel="0" collapsed="false">
      <c r="A12" s="7" t="str">
        <f aca="true">IF($B12="","",IF(AND(A12&lt;&gt;"",A12&lt;&gt;0),A12,TODAY()))</f>
        <v/>
      </c>
      <c r="B12" s="8"/>
      <c r="C12" s="9" t="str">
        <f aca="false">IF($B12="","",IF(AND(C12&lt;&gt;"",C12&lt;&gt;0,C12&lt;&gt;"UPC Not Found"),C12,IFERROR(INDEX('Product Master'!$B$2:$B$1000,MATCH($B12,'Product Master'!$A$2:$A$1000,0)),"UPC Not Found")))</f>
        <v/>
      </c>
      <c r="D12" s="9" t="str">
        <f aca="false">IF($B12="","",IF(AND(D12&lt;&gt;"",D12&lt;&gt;0,D12&lt;&gt;"UPC Not Found"),D12,IFERROR(INDEX('Product Master'!$C$2:$C$1000,MATCH($B12,'Product Master'!$A$2:$A$1000,0)),"UPC Not Found")))</f>
        <v/>
      </c>
      <c r="E12" s="9" t="str">
        <f aca="false">IF($B12="","",IF(AND(E12&lt;&gt;"",E12&lt;&gt;0,E12&lt;&gt;"UPC Not Found"),E12,IFERROR(INDEX('Product Master'!$D$2:$D$1000,MATCH($B12,'Product Master'!$A$2:$A$1000,0)),"UPC Not Found")))</f>
        <v/>
      </c>
      <c r="F12" s="10" t="str">
        <f aca="false">IF($B12="","",IF(AND(F12&lt;&gt;"",F12&lt;&gt;0,F12&lt;&gt;"UPC Not Found"),F12,IFERROR(INDEX('Product Master'!$E$2:$E$1000,MATCH($B12,'Product Master'!$A$2:$A$1000,0)),"UPC Not Found")))</f>
        <v/>
      </c>
      <c r="G12" s="11"/>
      <c r="H12" s="11"/>
      <c r="I12" s="10" t="str">
        <f aca="false">IF($B12="","",IF(AND(G12="",H12=""),"",G12+H12))</f>
        <v/>
      </c>
      <c r="J12" s="10" t="str">
        <f aca="false">IF(OR($B12="",I12="",F12="UPC Not Found"),"",I12-F12)</f>
        <v/>
      </c>
      <c r="K12" s="9" t="str">
        <f aca="false">IF($B12="","",IF(AND(G12="",H12=""),"Not Counted",IF(OR(G12="",H12=""),"Partially Counted",IF(J12=0,"Match",IF(J12&gt;0,"Overage","Shortage")))))</f>
        <v/>
      </c>
      <c r="L12" s="9" t="str">
        <f aca="false">IF($B12="","",IF(AND(L12&lt;&gt;"",L12&lt;&gt;0),L12,$B$4))</f>
        <v/>
      </c>
      <c r="M12" s="12"/>
      <c r="N12" s="12"/>
      <c r="O12" s="12"/>
    </row>
    <row r="13" customFormat="false" ht="15" hidden="false" customHeight="false" outlineLevel="0" collapsed="false">
      <c r="A13" s="7" t="str">
        <f aca="true">IF($B13="","",IF(AND(A13&lt;&gt;"",A13&lt;&gt;0),A13,TODAY()))</f>
        <v/>
      </c>
      <c r="B13" s="8"/>
      <c r="C13" s="9" t="str">
        <f aca="false">IF($B13="","",IF(AND(C13&lt;&gt;"",C13&lt;&gt;0,C13&lt;&gt;"UPC Not Found"),C13,IFERROR(INDEX('Product Master'!$B$2:$B$1000,MATCH($B13,'Product Master'!$A$2:$A$1000,0)),"UPC Not Found")))</f>
        <v/>
      </c>
      <c r="D13" s="9" t="str">
        <f aca="false">IF($B13="","",IF(AND(D13&lt;&gt;"",D13&lt;&gt;0,D13&lt;&gt;"UPC Not Found"),D13,IFERROR(INDEX('Product Master'!$C$2:$C$1000,MATCH($B13,'Product Master'!$A$2:$A$1000,0)),"UPC Not Found")))</f>
        <v/>
      </c>
      <c r="E13" s="9" t="str">
        <f aca="false">IF($B13="","",IF(AND(E13&lt;&gt;"",E13&lt;&gt;0,E13&lt;&gt;"UPC Not Found"),E13,IFERROR(INDEX('Product Master'!$D$2:$D$1000,MATCH($B13,'Product Master'!$A$2:$A$1000,0)),"UPC Not Found")))</f>
        <v/>
      </c>
      <c r="F13" s="10" t="str">
        <f aca="false">IF($B13="","",IF(AND(F13&lt;&gt;"",F13&lt;&gt;0,F13&lt;&gt;"UPC Not Found"),F13,IFERROR(INDEX('Product Master'!$E$2:$E$1000,MATCH($B13,'Product Master'!$A$2:$A$1000,0)),"UPC Not Found")))</f>
        <v/>
      </c>
      <c r="G13" s="11"/>
      <c r="H13" s="11"/>
      <c r="I13" s="10" t="str">
        <f aca="false">IF($B13="","",IF(AND(G13="",H13=""),"",G13+H13))</f>
        <v/>
      </c>
      <c r="J13" s="10" t="str">
        <f aca="false">IF(OR($B13="",I13="",F13="UPC Not Found"),"",I13-F13)</f>
        <v/>
      </c>
      <c r="K13" s="9" t="str">
        <f aca="false">IF($B13="","",IF(AND(G13="",H13=""),"Not Counted",IF(OR(G13="",H13=""),"Partially Counted",IF(J13=0,"Match",IF(J13&gt;0,"Overage","Shortage")))))</f>
        <v/>
      </c>
      <c r="L13" s="9" t="str">
        <f aca="false">IF($B13="","",IF(AND(L13&lt;&gt;"",L13&lt;&gt;0),L13,$B$4))</f>
        <v/>
      </c>
      <c r="M13" s="12"/>
      <c r="N13" s="12"/>
      <c r="O13" s="12"/>
    </row>
    <row r="14" customFormat="false" ht="15" hidden="false" customHeight="false" outlineLevel="0" collapsed="false">
      <c r="A14" s="7" t="str">
        <f aca="true">IF($B14="","",IF(AND(A14&lt;&gt;"",A14&lt;&gt;0),A14,TODAY()))</f>
        <v/>
      </c>
      <c r="B14" s="8"/>
      <c r="C14" s="9" t="str">
        <f aca="false">IF($B14="","",IF(AND(C14&lt;&gt;"",C14&lt;&gt;0,C14&lt;&gt;"UPC Not Found"),C14,IFERROR(INDEX('Product Master'!$B$2:$B$1000,MATCH($B14,'Product Master'!$A$2:$A$1000,0)),"UPC Not Found")))</f>
        <v/>
      </c>
      <c r="D14" s="9" t="str">
        <f aca="false">IF($B14="","",IF(AND(D14&lt;&gt;"",D14&lt;&gt;0,D14&lt;&gt;"UPC Not Found"),D14,IFERROR(INDEX('Product Master'!$C$2:$C$1000,MATCH($B14,'Product Master'!$A$2:$A$1000,0)),"UPC Not Found")))</f>
        <v/>
      </c>
      <c r="E14" s="9" t="str">
        <f aca="false">IF($B14="","",IF(AND(E14&lt;&gt;"",E14&lt;&gt;0,E14&lt;&gt;"UPC Not Found"),E14,IFERROR(INDEX('Product Master'!$D$2:$D$1000,MATCH($B14,'Product Master'!$A$2:$A$1000,0)),"UPC Not Found")))</f>
        <v/>
      </c>
      <c r="F14" s="10" t="str">
        <f aca="false">IF($B14="","",IF(AND(F14&lt;&gt;"",F14&lt;&gt;0,F14&lt;&gt;"UPC Not Found"),F14,IFERROR(INDEX('Product Master'!$E$2:$E$1000,MATCH($B14,'Product Master'!$A$2:$A$1000,0)),"UPC Not Found")))</f>
        <v/>
      </c>
      <c r="G14" s="11"/>
      <c r="H14" s="11"/>
      <c r="I14" s="10" t="str">
        <f aca="false">IF($B14="","",IF(AND(G14="",H14=""),"",G14+H14))</f>
        <v/>
      </c>
      <c r="J14" s="10" t="str">
        <f aca="false">IF(OR($B14="",I14="",F14="UPC Not Found"),"",I14-F14)</f>
        <v/>
      </c>
      <c r="K14" s="9" t="str">
        <f aca="false">IF($B14="","",IF(AND(G14="",H14=""),"Not Counted",IF(OR(G14="",H14=""),"Partially Counted",IF(J14=0,"Match",IF(J14&gt;0,"Overage","Shortage")))))</f>
        <v/>
      </c>
      <c r="L14" s="9" t="str">
        <f aca="false">IF($B14="","",IF(AND(L14&lt;&gt;"",L14&lt;&gt;0),L14,$B$4))</f>
        <v/>
      </c>
      <c r="M14" s="12"/>
      <c r="N14" s="12"/>
      <c r="O14" s="12"/>
    </row>
    <row r="15" customFormat="false" ht="15" hidden="false" customHeight="false" outlineLevel="0" collapsed="false">
      <c r="A15" s="7" t="str">
        <f aca="true">IF($B15="","",IF(AND(A15&lt;&gt;"",A15&lt;&gt;0),A15,TODAY()))</f>
        <v/>
      </c>
      <c r="B15" s="8"/>
      <c r="C15" s="9" t="str">
        <f aca="false">IF($B15="","",IF(AND(C15&lt;&gt;"",C15&lt;&gt;0,C15&lt;&gt;"UPC Not Found"),C15,IFERROR(INDEX('Product Master'!$B$2:$B$1000,MATCH($B15,'Product Master'!$A$2:$A$1000,0)),"UPC Not Found")))</f>
        <v/>
      </c>
      <c r="D15" s="9" t="str">
        <f aca="false">IF($B15="","",IF(AND(D15&lt;&gt;"",D15&lt;&gt;0,D15&lt;&gt;"UPC Not Found"),D15,IFERROR(INDEX('Product Master'!$C$2:$C$1000,MATCH($B15,'Product Master'!$A$2:$A$1000,0)),"UPC Not Found")))</f>
        <v/>
      </c>
      <c r="E15" s="9" t="str">
        <f aca="false">IF($B15="","",IF(AND(E15&lt;&gt;"",E15&lt;&gt;0,E15&lt;&gt;"UPC Not Found"),E15,IFERROR(INDEX('Product Master'!$D$2:$D$1000,MATCH($B15,'Product Master'!$A$2:$A$1000,0)),"UPC Not Found")))</f>
        <v/>
      </c>
      <c r="F15" s="10" t="str">
        <f aca="false">IF($B15="","",IF(AND(F15&lt;&gt;"",F15&lt;&gt;0,F15&lt;&gt;"UPC Not Found"),F15,IFERROR(INDEX('Product Master'!$E$2:$E$1000,MATCH($B15,'Product Master'!$A$2:$A$1000,0)),"UPC Not Found")))</f>
        <v/>
      </c>
      <c r="G15" s="11"/>
      <c r="H15" s="11"/>
      <c r="I15" s="10" t="str">
        <f aca="false">IF($B15="","",IF(AND(G15="",H15=""),"",G15+H15))</f>
        <v/>
      </c>
      <c r="J15" s="10" t="str">
        <f aca="false">IF(OR($B15="",I15="",F15="UPC Not Found"),"",I15-F15)</f>
        <v/>
      </c>
      <c r="K15" s="9" t="str">
        <f aca="false">IF($B15="","",IF(AND(G15="",H15=""),"Not Counted",IF(OR(G15="",H15=""),"Partially Counted",IF(J15=0,"Match",IF(J15&gt;0,"Overage","Shortage")))))</f>
        <v/>
      </c>
      <c r="L15" s="9" t="str">
        <f aca="false">IF($B15="","",IF(AND(L15&lt;&gt;"",L15&lt;&gt;0),L15,$B$4))</f>
        <v/>
      </c>
      <c r="M15" s="12"/>
      <c r="N15" s="12"/>
      <c r="O15" s="12"/>
    </row>
    <row r="16" customFormat="false" ht="15" hidden="false" customHeight="false" outlineLevel="0" collapsed="false">
      <c r="A16" s="7" t="str">
        <f aca="true">IF($B16="","",IF(AND(A16&lt;&gt;"",A16&lt;&gt;0),A16,TODAY()))</f>
        <v/>
      </c>
      <c r="B16" s="8"/>
      <c r="C16" s="9" t="str">
        <f aca="false">IF($B16="","",IF(AND(C16&lt;&gt;"",C16&lt;&gt;0,C16&lt;&gt;"UPC Not Found"),C16,IFERROR(INDEX('Product Master'!$B$2:$B$1000,MATCH($B16,'Product Master'!$A$2:$A$1000,0)),"UPC Not Found")))</f>
        <v/>
      </c>
      <c r="D16" s="9" t="str">
        <f aca="false">IF($B16="","",IF(AND(D16&lt;&gt;"",D16&lt;&gt;0,D16&lt;&gt;"UPC Not Found"),D16,IFERROR(INDEX('Product Master'!$C$2:$C$1000,MATCH($B16,'Product Master'!$A$2:$A$1000,0)),"UPC Not Found")))</f>
        <v/>
      </c>
      <c r="E16" s="9" t="str">
        <f aca="false">IF($B16="","",IF(AND(E16&lt;&gt;"",E16&lt;&gt;0,E16&lt;&gt;"UPC Not Found"),E16,IFERROR(INDEX('Product Master'!$D$2:$D$1000,MATCH($B16,'Product Master'!$A$2:$A$1000,0)),"UPC Not Found")))</f>
        <v/>
      </c>
      <c r="F16" s="10" t="str">
        <f aca="false">IF($B16="","",IF(AND(F16&lt;&gt;"",F16&lt;&gt;0,F16&lt;&gt;"UPC Not Found"),F16,IFERROR(INDEX('Product Master'!$E$2:$E$1000,MATCH($B16,'Product Master'!$A$2:$A$1000,0)),"UPC Not Found")))</f>
        <v/>
      </c>
      <c r="G16" s="11"/>
      <c r="H16" s="11"/>
      <c r="I16" s="10" t="str">
        <f aca="false">IF($B16="","",IF(AND(G16="",H16=""),"",G16+H16))</f>
        <v/>
      </c>
      <c r="J16" s="10" t="str">
        <f aca="false">IF(OR($B16="",I16="",F16="UPC Not Found"),"",I16-F16)</f>
        <v/>
      </c>
      <c r="K16" s="9" t="str">
        <f aca="false">IF($B16="","",IF(AND(G16="",H16=""),"Not Counted",IF(OR(G16="",H16=""),"Partially Counted",IF(J16=0,"Match",IF(J16&gt;0,"Overage","Shortage")))))</f>
        <v/>
      </c>
      <c r="L16" s="9" t="str">
        <f aca="false">IF($B16="","",IF(AND(L16&lt;&gt;"",L16&lt;&gt;0),L16,$B$4))</f>
        <v/>
      </c>
      <c r="M16" s="12"/>
      <c r="N16" s="12"/>
      <c r="O16" s="12"/>
    </row>
    <row r="17" customFormat="false" ht="15" hidden="false" customHeight="false" outlineLevel="0" collapsed="false">
      <c r="A17" s="7" t="str">
        <f aca="true">IF($B17="","",IF(AND(A17&lt;&gt;"",A17&lt;&gt;0),A17,TODAY()))</f>
        <v/>
      </c>
      <c r="B17" s="8"/>
      <c r="C17" s="9" t="str">
        <f aca="false">IF($B17="","",IF(AND(C17&lt;&gt;"",C17&lt;&gt;0,C17&lt;&gt;"UPC Not Found"),C17,IFERROR(INDEX('Product Master'!$B$2:$B$1000,MATCH($B17,'Product Master'!$A$2:$A$1000,0)),"UPC Not Found")))</f>
        <v/>
      </c>
      <c r="D17" s="9" t="str">
        <f aca="false">IF($B17="","",IF(AND(D17&lt;&gt;"",D17&lt;&gt;0,D17&lt;&gt;"UPC Not Found"),D17,IFERROR(INDEX('Product Master'!$C$2:$C$1000,MATCH($B17,'Product Master'!$A$2:$A$1000,0)),"UPC Not Found")))</f>
        <v/>
      </c>
      <c r="E17" s="9" t="str">
        <f aca="false">IF($B17="","",IF(AND(E17&lt;&gt;"",E17&lt;&gt;0,E17&lt;&gt;"UPC Not Found"),E17,IFERROR(INDEX('Product Master'!$D$2:$D$1000,MATCH($B17,'Product Master'!$A$2:$A$1000,0)),"UPC Not Found")))</f>
        <v/>
      </c>
      <c r="F17" s="10" t="str">
        <f aca="false">IF($B17="","",IF(AND(F17&lt;&gt;"",F17&lt;&gt;0,F17&lt;&gt;"UPC Not Found"),F17,IFERROR(INDEX('Product Master'!$E$2:$E$1000,MATCH($B17,'Product Master'!$A$2:$A$1000,0)),"UPC Not Found")))</f>
        <v/>
      </c>
      <c r="G17" s="11"/>
      <c r="H17" s="11"/>
      <c r="I17" s="10" t="str">
        <f aca="false">IF($B17="","",IF(AND(G17="",H17=""),"",G17+H17))</f>
        <v/>
      </c>
      <c r="J17" s="10" t="str">
        <f aca="false">IF(OR($B17="",I17="",F17="UPC Not Found"),"",I17-F17)</f>
        <v/>
      </c>
      <c r="K17" s="9" t="str">
        <f aca="false">IF($B17="","",IF(AND(G17="",H17=""),"Not Counted",IF(OR(G17="",H17=""),"Partially Counted",IF(J17=0,"Match",IF(J17&gt;0,"Overage","Shortage")))))</f>
        <v/>
      </c>
      <c r="L17" s="9" t="str">
        <f aca="false">IF($B17="","",IF(AND(L17&lt;&gt;"",L17&lt;&gt;0),L17,$B$4))</f>
        <v/>
      </c>
      <c r="M17" s="12"/>
      <c r="N17" s="12"/>
      <c r="O17" s="12"/>
    </row>
    <row r="18" customFormat="false" ht="15" hidden="false" customHeight="false" outlineLevel="0" collapsed="false">
      <c r="A18" s="7" t="str">
        <f aca="true">IF($B18="","",IF(AND(A18&lt;&gt;"",A18&lt;&gt;0),A18,TODAY()))</f>
        <v/>
      </c>
      <c r="B18" s="8"/>
      <c r="C18" s="9" t="str">
        <f aca="false">IF($B18="","",IF(AND(C18&lt;&gt;"",C18&lt;&gt;0,C18&lt;&gt;"UPC Not Found"),C18,IFERROR(INDEX('Product Master'!$B$2:$B$1000,MATCH($B18,'Product Master'!$A$2:$A$1000,0)),"UPC Not Found")))</f>
        <v/>
      </c>
      <c r="D18" s="9" t="str">
        <f aca="false">IF($B18="","",IF(AND(D18&lt;&gt;"",D18&lt;&gt;0,D18&lt;&gt;"UPC Not Found"),D18,IFERROR(INDEX('Product Master'!$C$2:$C$1000,MATCH($B18,'Product Master'!$A$2:$A$1000,0)),"UPC Not Found")))</f>
        <v/>
      </c>
      <c r="E18" s="9" t="str">
        <f aca="false">IF($B18="","",IF(AND(E18&lt;&gt;"",E18&lt;&gt;0,E18&lt;&gt;"UPC Not Found"),E18,IFERROR(INDEX('Product Master'!$D$2:$D$1000,MATCH($B18,'Product Master'!$A$2:$A$1000,0)),"UPC Not Found")))</f>
        <v/>
      </c>
      <c r="F18" s="10" t="str">
        <f aca="false">IF($B18="","",IF(AND(F18&lt;&gt;"",F18&lt;&gt;0,F18&lt;&gt;"UPC Not Found"),F18,IFERROR(INDEX('Product Master'!$E$2:$E$1000,MATCH($B18,'Product Master'!$A$2:$A$1000,0)),"UPC Not Found")))</f>
        <v/>
      </c>
      <c r="G18" s="11"/>
      <c r="H18" s="11"/>
      <c r="I18" s="10" t="str">
        <f aca="false">IF($B18="","",IF(AND(G18="",H18=""),"",G18+H18))</f>
        <v/>
      </c>
      <c r="J18" s="10" t="str">
        <f aca="false">IF(OR($B18="",I18="",F18="UPC Not Found"),"",I18-F18)</f>
        <v/>
      </c>
      <c r="K18" s="9" t="str">
        <f aca="false">IF($B18="","",IF(AND(G18="",H18=""),"Not Counted",IF(OR(G18="",H18=""),"Partially Counted",IF(J18=0,"Match",IF(J18&gt;0,"Overage","Shortage")))))</f>
        <v/>
      </c>
      <c r="L18" s="9" t="str">
        <f aca="false">IF($B18="","",IF(AND(L18&lt;&gt;"",L18&lt;&gt;0),L18,$B$4))</f>
        <v/>
      </c>
      <c r="M18" s="12"/>
      <c r="N18" s="12"/>
      <c r="O18" s="12"/>
    </row>
    <row r="19" customFormat="false" ht="15" hidden="false" customHeight="false" outlineLevel="0" collapsed="false">
      <c r="A19" s="7" t="str">
        <f aca="true">IF($B19="","",IF(AND(A19&lt;&gt;"",A19&lt;&gt;0),A19,TODAY()))</f>
        <v/>
      </c>
      <c r="B19" s="8"/>
      <c r="C19" s="9" t="str">
        <f aca="false">IF($B19="","",IF(AND(C19&lt;&gt;"",C19&lt;&gt;0,C19&lt;&gt;"UPC Not Found"),C19,IFERROR(INDEX('Product Master'!$B$2:$B$1000,MATCH($B19,'Product Master'!$A$2:$A$1000,0)),"UPC Not Found")))</f>
        <v/>
      </c>
      <c r="D19" s="9" t="str">
        <f aca="false">IF($B19="","",IF(AND(D19&lt;&gt;"",D19&lt;&gt;0,D19&lt;&gt;"UPC Not Found"),D19,IFERROR(INDEX('Product Master'!$C$2:$C$1000,MATCH($B19,'Product Master'!$A$2:$A$1000,0)),"UPC Not Found")))</f>
        <v/>
      </c>
      <c r="E19" s="9" t="str">
        <f aca="false">IF($B19="","",IF(AND(E19&lt;&gt;"",E19&lt;&gt;0,E19&lt;&gt;"UPC Not Found"),E19,IFERROR(INDEX('Product Master'!$D$2:$D$1000,MATCH($B19,'Product Master'!$A$2:$A$1000,0)),"UPC Not Found")))</f>
        <v/>
      </c>
      <c r="F19" s="10" t="str">
        <f aca="false">IF($B19="","",IF(AND(F19&lt;&gt;"",F19&lt;&gt;0,F19&lt;&gt;"UPC Not Found"),F19,IFERROR(INDEX('Product Master'!$E$2:$E$1000,MATCH($B19,'Product Master'!$A$2:$A$1000,0)),"UPC Not Found")))</f>
        <v/>
      </c>
      <c r="G19" s="11"/>
      <c r="H19" s="11"/>
      <c r="I19" s="10" t="str">
        <f aca="false">IF($B19="","",IF(AND(G19="",H19=""),"",G19+H19))</f>
        <v/>
      </c>
      <c r="J19" s="10" t="str">
        <f aca="false">IF(OR($B19="",I19="",F19="UPC Not Found"),"",I19-F19)</f>
        <v/>
      </c>
      <c r="K19" s="9" t="str">
        <f aca="false">IF($B19="","",IF(AND(G19="",H19=""),"Not Counted",IF(OR(G19="",H19=""),"Partially Counted",IF(J19=0,"Match",IF(J19&gt;0,"Overage","Shortage")))))</f>
        <v/>
      </c>
      <c r="L19" s="9" t="str">
        <f aca="false">IF($B19="","",IF(AND(L19&lt;&gt;"",L19&lt;&gt;0),L19,$B$4))</f>
        <v/>
      </c>
      <c r="M19" s="12"/>
      <c r="N19" s="12"/>
      <c r="O19" s="12"/>
    </row>
    <row r="20" customFormat="false" ht="15" hidden="false" customHeight="false" outlineLevel="0" collapsed="false">
      <c r="A20" s="7" t="str">
        <f aca="true">IF($B20="","",IF(AND(A20&lt;&gt;"",A20&lt;&gt;0),A20,TODAY()))</f>
        <v/>
      </c>
      <c r="B20" s="8"/>
      <c r="C20" s="9" t="str">
        <f aca="false">IF($B20="","",IF(AND(C20&lt;&gt;"",C20&lt;&gt;0,C20&lt;&gt;"UPC Not Found"),C20,IFERROR(INDEX('Product Master'!$B$2:$B$1000,MATCH($B20,'Product Master'!$A$2:$A$1000,0)),"UPC Not Found")))</f>
        <v/>
      </c>
      <c r="D20" s="9" t="str">
        <f aca="false">IF($B20="","",IF(AND(D20&lt;&gt;"",D20&lt;&gt;0,D20&lt;&gt;"UPC Not Found"),D20,IFERROR(INDEX('Product Master'!$C$2:$C$1000,MATCH($B20,'Product Master'!$A$2:$A$1000,0)),"UPC Not Found")))</f>
        <v/>
      </c>
      <c r="E20" s="9" t="str">
        <f aca="false">IF($B20="","",IF(AND(E20&lt;&gt;"",E20&lt;&gt;0,E20&lt;&gt;"UPC Not Found"),E20,IFERROR(INDEX('Product Master'!$D$2:$D$1000,MATCH($B20,'Product Master'!$A$2:$A$1000,0)),"UPC Not Found")))</f>
        <v/>
      </c>
      <c r="F20" s="10" t="str">
        <f aca="false">IF($B20="","",IF(AND(F20&lt;&gt;"",F20&lt;&gt;0,F20&lt;&gt;"UPC Not Found"),F20,IFERROR(INDEX('Product Master'!$E$2:$E$1000,MATCH($B20,'Product Master'!$A$2:$A$1000,0)),"UPC Not Found")))</f>
        <v/>
      </c>
      <c r="G20" s="11"/>
      <c r="H20" s="11"/>
      <c r="I20" s="10" t="str">
        <f aca="false">IF($B20="","",IF(AND(G20="",H20=""),"",G20+H20))</f>
        <v/>
      </c>
      <c r="J20" s="10" t="str">
        <f aca="false">IF(OR($B20="",I20="",F20="UPC Not Found"),"",I20-F20)</f>
        <v/>
      </c>
      <c r="K20" s="9" t="str">
        <f aca="false">IF($B20="","",IF(AND(G20="",H20=""),"Not Counted",IF(OR(G20="",H20=""),"Partially Counted",IF(J20=0,"Match",IF(J20&gt;0,"Overage","Shortage")))))</f>
        <v/>
      </c>
      <c r="L20" s="9" t="str">
        <f aca="false">IF($B20="","",IF(AND(L20&lt;&gt;"",L20&lt;&gt;0),L20,$B$4))</f>
        <v/>
      </c>
      <c r="M20" s="12"/>
      <c r="N20" s="12"/>
      <c r="O20" s="12"/>
    </row>
    <row r="21" customFormat="false" ht="15" hidden="false" customHeight="false" outlineLevel="0" collapsed="false">
      <c r="A21" s="7" t="str">
        <f aca="true">IF($B21="","",IF(AND(A21&lt;&gt;"",A21&lt;&gt;0),A21,TODAY()))</f>
        <v/>
      </c>
      <c r="B21" s="8"/>
      <c r="C21" s="9" t="str">
        <f aca="false">IF($B21="","",IF(AND(C21&lt;&gt;"",C21&lt;&gt;0,C21&lt;&gt;"UPC Not Found"),C21,IFERROR(INDEX('Product Master'!$B$2:$B$1000,MATCH($B21,'Product Master'!$A$2:$A$1000,0)),"UPC Not Found")))</f>
        <v/>
      </c>
      <c r="D21" s="9" t="str">
        <f aca="false">IF($B21="","",IF(AND(D21&lt;&gt;"",D21&lt;&gt;0,D21&lt;&gt;"UPC Not Found"),D21,IFERROR(INDEX('Product Master'!$C$2:$C$1000,MATCH($B21,'Product Master'!$A$2:$A$1000,0)),"UPC Not Found")))</f>
        <v/>
      </c>
      <c r="E21" s="9" t="str">
        <f aca="false">IF($B21="","",IF(AND(E21&lt;&gt;"",E21&lt;&gt;0,E21&lt;&gt;"UPC Not Found"),E21,IFERROR(INDEX('Product Master'!$D$2:$D$1000,MATCH($B21,'Product Master'!$A$2:$A$1000,0)),"UPC Not Found")))</f>
        <v/>
      </c>
      <c r="F21" s="10" t="str">
        <f aca="false">IF($B21="","",IF(AND(F21&lt;&gt;"",F21&lt;&gt;0,F21&lt;&gt;"UPC Not Found"),F21,IFERROR(INDEX('Product Master'!$E$2:$E$1000,MATCH($B21,'Product Master'!$A$2:$A$1000,0)),"UPC Not Found")))</f>
        <v/>
      </c>
      <c r="G21" s="11"/>
      <c r="H21" s="11"/>
      <c r="I21" s="10" t="str">
        <f aca="false">IF($B21="","",IF(AND(G21="",H21=""),"",G21+H21))</f>
        <v/>
      </c>
      <c r="J21" s="10" t="str">
        <f aca="false">IF(OR($B21="",I21="",F21="UPC Not Found"),"",I21-F21)</f>
        <v/>
      </c>
      <c r="K21" s="9" t="str">
        <f aca="false">IF($B21="","",IF(AND(G21="",H21=""),"Not Counted",IF(OR(G21="",H21=""),"Partially Counted",IF(J21=0,"Match",IF(J21&gt;0,"Overage","Shortage")))))</f>
        <v/>
      </c>
      <c r="L21" s="9" t="str">
        <f aca="false">IF($B21="","",IF(AND(L21&lt;&gt;"",L21&lt;&gt;0),L21,$B$4))</f>
        <v/>
      </c>
      <c r="M21" s="12"/>
      <c r="N21" s="12"/>
      <c r="O21" s="12"/>
    </row>
    <row r="22" customFormat="false" ht="15" hidden="false" customHeight="false" outlineLevel="0" collapsed="false">
      <c r="A22" s="7" t="str">
        <f aca="true">IF($B22="","",IF(AND(A22&lt;&gt;"",A22&lt;&gt;0),A22,TODAY()))</f>
        <v/>
      </c>
      <c r="B22" s="8"/>
      <c r="C22" s="9" t="str">
        <f aca="false">IF($B22="","",IF(AND(C22&lt;&gt;"",C22&lt;&gt;0,C22&lt;&gt;"UPC Not Found"),C22,IFERROR(INDEX('Product Master'!$B$2:$B$1000,MATCH($B22,'Product Master'!$A$2:$A$1000,0)),"UPC Not Found")))</f>
        <v/>
      </c>
      <c r="D22" s="9" t="str">
        <f aca="false">IF($B22="","",IF(AND(D22&lt;&gt;"",D22&lt;&gt;0,D22&lt;&gt;"UPC Not Found"),D22,IFERROR(INDEX('Product Master'!$C$2:$C$1000,MATCH($B22,'Product Master'!$A$2:$A$1000,0)),"UPC Not Found")))</f>
        <v/>
      </c>
      <c r="E22" s="9" t="str">
        <f aca="false">IF($B22="","",IF(AND(E22&lt;&gt;"",E22&lt;&gt;0,E22&lt;&gt;"UPC Not Found"),E22,IFERROR(INDEX('Product Master'!$D$2:$D$1000,MATCH($B22,'Product Master'!$A$2:$A$1000,0)),"UPC Not Found")))</f>
        <v/>
      </c>
      <c r="F22" s="10" t="str">
        <f aca="false">IF($B22="","",IF(AND(F22&lt;&gt;"",F22&lt;&gt;0,F22&lt;&gt;"UPC Not Found"),F22,IFERROR(INDEX('Product Master'!$E$2:$E$1000,MATCH($B22,'Product Master'!$A$2:$A$1000,0)),"UPC Not Found")))</f>
        <v/>
      </c>
      <c r="G22" s="11"/>
      <c r="H22" s="11"/>
      <c r="I22" s="10" t="str">
        <f aca="false">IF($B22="","",IF(AND(G22="",H22=""),"",G22+H22))</f>
        <v/>
      </c>
      <c r="J22" s="10" t="str">
        <f aca="false">IF(OR($B22="",I22="",F22="UPC Not Found"),"",I22-F22)</f>
        <v/>
      </c>
      <c r="K22" s="9" t="str">
        <f aca="false">IF($B22="","",IF(AND(G22="",H22=""),"Not Counted",IF(OR(G22="",H22=""),"Partially Counted",IF(J22=0,"Match",IF(J22&gt;0,"Overage","Shortage")))))</f>
        <v/>
      </c>
      <c r="L22" s="9" t="str">
        <f aca="false">IF($B22="","",IF(AND(L22&lt;&gt;"",L22&lt;&gt;0),L22,$B$4))</f>
        <v/>
      </c>
      <c r="M22" s="12"/>
      <c r="N22" s="12"/>
      <c r="O22" s="12"/>
    </row>
    <row r="23" customFormat="false" ht="15" hidden="false" customHeight="false" outlineLevel="0" collapsed="false">
      <c r="A23" s="7" t="str">
        <f aca="true">IF($B23="","",IF(AND(A23&lt;&gt;"",A23&lt;&gt;0),A23,TODAY()))</f>
        <v/>
      </c>
      <c r="B23" s="8"/>
      <c r="C23" s="9" t="str">
        <f aca="false">IF($B23="","",IF(AND(C23&lt;&gt;"",C23&lt;&gt;0,C23&lt;&gt;"UPC Not Found"),C23,IFERROR(INDEX('Product Master'!$B$2:$B$1000,MATCH($B23,'Product Master'!$A$2:$A$1000,0)),"UPC Not Found")))</f>
        <v/>
      </c>
      <c r="D23" s="9" t="str">
        <f aca="false">IF($B23="","",IF(AND(D23&lt;&gt;"",D23&lt;&gt;0,D23&lt;&gt;"UPC Not Found"),D23,IFERROR(INDEX('Product Master'!$C$2:$C$1000,MATCH($B23,'Product Master'!$A$2:$A$1000,0)),"UPC Not Found")))</f>
        <v/>
      </c>
      <c r="E23" s="9" t="str">
        <f aca="false">IF($B23="","",IF(AND(E23&lt;&gt;"",E23&lt;&gt;0,E23&lt;&gt;"UPC Not Found"),E23,IFERROR(INDEX('Product Master'!$D$2:$D$1000,MATCH($B23,'Product Master'!$A$2:$A$1000,0)),"UPC Not Found")))</f>
        <v/>
      </c>
      <c r="F23" s="10" t="str">
        <f aca="false">IF($B23="","",IF(AND(F23&lt;&gt;"",F23&lt;&gt;0,F23&lt;&gt;"UPC Not Found"),F23,IFERROR(INDEX('Product Master'!$E$2:$E$1000,MATCH($B23,'Product Master'!$A$2:$A$1000,0)),"UPC Not Found")))</f>
        <v/>
      </c>
      <c r="G23" s="11"/>
      <c r="H23" s="11"/>
      <c r="I23" s="10" t="str">
        <f aca="false">IF($B23="","",IF(AND(G23="",H23=""),"",G23+H23))</f>
        <v/>
      </c>
      <c r="J23" s="10" t="str">
        <f aca="false">IF(OR($B23="",I23="",F23="UPC Not Found"),"",I23-F23)</f>
        <v/>
      </c>
      <c r="K23" s="9" t="str">
        <f aca="false">IF($B23="","",IF(AND(G23="",H23=""),"Not Counted",IF(OR(G23="",H23=""),"Partially Counted",IF(J23=0,"Match",IF(J23&gt;0,"Overage","Shortage")))))</f>
        <v/>
      </c>
      <c r="L23" s="9" t="str">
        <f aca="false">IF($B23="","",IF(AND(L23&lt;&gt;"",L23&lt;&gt;0),L23,$B$4))</f>
        <v/>
      </c>
      <c r="M23" s="12"/>
      <c r="N23" s="12"/>
      <c r="O23" s="12"/>
    </row>
    <row r="24" customFormat="false" ht="15" hidden="false" customHeight="false" outlineLevel="0" collapsed="false">
      <c r="A24" s="7" t="str">
        <f aca="true">IF($B24="","",IF(AND(A24&lt;&gt;"",A24&lt;&gt;0),A24,TODAY()))</f>
        <v/>
      </c>
      <c r="B24" s="8"/>
      <c r="C24" s="9" t="str">
        <f aca="false">IF($B24="","",IF(AND(C24&lt;&gt;"",C24&lt;&gt;0,C24&lt;&gt;"UPC Not Found"),C24,IFERROR(INDEX('Product Master'!$B$2:$B$1000,MATCH($B24,'Product Master'!$A$2:$A$1000,0)),"UPC Not Found")))</f>
        <v/>
      </c>
      <c r="D24" s="9" t="str">
        <f aca="false">IF($B24="","",IF(AND(D24&lt;&gt;"",D24&lt;&gt;0,D24&lt;&gt;"UPC Not Found"),D24,IFERROR(INDEX('Product Master'!$C$2:$C$1000,MATCH($B24,'Product Master'!$A$2:$A$1000,0)),"UPC Not Found")))</f>
        <v/>
      </c>
      <c r="E24" s="9" t="str">
        <f aca="false">IF($B24="","",IF(AND(E24&lt;&gt;"",E24&lt;&gt;0,E24&lt;&gt;"UPC Not Found"),E24,IFERROR(INDEX('Product Master'!$D$2:$D$1000,MATCH($B24,'Product Master'!$A$2:$A$1000,0)),"UPC Not Found")))</f>
        <v/>
      </c>
      <c r="F24" s="10" t="str">
        <f aca="false">IF($B24="","",IF(AND(F24&lt;&gt;"",F24&lt;&gt;0,F24&lt;&gt;"UPC Not Found"),F24,IFERROR(INDEX('Product Master'!$E$2:$E$1000,MATCH($B24,'Product Master'!$A$2:$A$1000,0)),"UPC Not Found")))</f>
        <v/>
      </c>
      <c r="G24" s="11"/>
      <c r="H24" s="11"/>
      <c r="I24" s="10" t="str">
        <f aca="false">IF($B24="","",IF(AND(G24="",H24=""),"",G24+H24))</f>
        <v/>
      </c>
      <c r="J24" s="10" t="str">
        <f aca="false">IF(OR($B24="",I24="",F24="UPC Not Found"),"",I24-F24)</f>
        <v/>
      </c>
      <c r="K24" s="9" t="str">
        <f aca="false">IF($B24="","",IF(AND(G24="",H24=""),"Not Counted",IF(OR(G24="",H24=""),"Partially Counted",IF(J24=0,"Match",IF(J24&gt;0,"Overage","Shortage")))))</f>
        <v/>
      </c>
      <c r="L24" s="9" t="str">
        <f aca="false">IF($B24="","",IF(AND(L24&lt;&gt;"",L24&lt;&gt;0),L24,$B$4))</f>
        <v/>
      </c>
      <c r="M24" s="12"/>
      <c r="N24" s="12"/>
      <c r="O24" s="12"/>
    </row>
    <row r="25" customFormat="false" ht="15" hidden="false" customHeight="false" outlineLevel="0" collapsed="false">
      <c r="A25" s="7" t="str">
        <f aca="true">IF($B25="","",IF(AND(A25&lt;&gt;"",A25&lt;&gt;0),A25,TODAY()))</f>
        <v/>
      </c>
      <c r="B25" s="8"/>
      <c r="C25" s="9" t="str">
        <f aca="false">IF($B25="","",IF(AND(C25&lt;&gt;"",C25&lt;&gt;0,C25&lt;&gt;"UPC Not Found"),C25,IFERROR(INDEX('Product Master'!$B$2:$B$1000,MATCH($B25,'Product Master'!$A$2:$A$1000,0)),"UPC Not Found")))</f>
        <v/>
      </c>
      <c r="D25" s="9" t="str">
        <f aca="false">IF($B25="","",IF(AND(D25&lt;&gt;"",D25&lt;&gt;0,D25&lt;&gt;"UPC Not Found"),D25,IFERROR(INDEX('Product Master'!$C$2:$C$1000,MATCH($B25,'Product Master'!$A$2:$A$1000,0)),"UPC Not Found")))</f>
        <v/>
      </c>
      <c r="E25" s="9" t="str">
        <f aca="false">IF($B25="","",IF(AND(E25&lt;&gt;"",E25&lt;&gt;0,E25&lt;&gt;"UPC Not Found"),E25,IFERROR(INDEX('Product Master'!$D$2:$D$1000,MATCH($B25,'Product Master'!$A$2:$A$1000,0)),"UPC Not Found")))</f>
        <v/>
      </c>
      <c r="F25" s="10" t="str">
        <f aca="false">IF($B25="","",IF(AND(F25&lt;&gt;"",F25&lt;&gt;0,F25&lt;&gt;"UPC Not Found"),F25,IFERROR(INDEX('Product Master'!$E$2:$E$1000,MATCH($B25,'Product Master'!$A$2:$A$1000,0)),"UPC Not Found")))</f>
        <v/>
      </c>
      <c r="G25" s="11"/>
      <c r="H25" s="11"/>
      <c r="I25" s="10" t="str">
        <f aca="false">IF($B25="","",IF(AND(G25="",H25=""),"",G25+H25))</f>
        <v/>
      </c>
      <c r="J25" s="10" t="str">
        <f aca="false">IF(OR($B25="",I25="",F25="UPC Not Found"),"",I25-F25)</f>
        <v/>
      </c>
      <c r="K25" s="9" t="str">
        <f aca="false">IF($B25="","",IF(AND(G25="",H25=""),"Not Counted",IF(OR(G25="",H25=""),"Partially Counted",IF(J25=0,"Match",IF(J25&gt;0,"Overage","Shortage")))))</f>
        <v/>
      </c>
      <c r="L25" s="9" t="str">
        <f aca="false">IF($B25="","",IF(AND(L25&lt;&gt;"",L25&lt;&gt;0),L25,$B$4))</f>
        <v/>
      </c>
      <c r="M25" s="12"/>
      <c r="N25" s="12"/>
      <c r="O25" s="12"/>
    </row>
    <row r="26" customFormat="false" ht="15" hidden="false" customHeight="false" outlineLevel="0" collapsed="false">
      <c r="A26" s="7" t="str">
        <f aca="true">IF($B26="","",IF(AND(A26&lt;&gt;"",A26&lt;&gt;0),A26,TODAY()))</f>
        <v/>
      </c>
      <c r="B26" s="8"/>
      <c r="C26" s="9" t="str">
        <f aca="false">IF($B26="","",IF(AND(C26&lt;&gt;"",C26&lt;&gt;0,C26&lt;&gt;"UPC Not Found"),C26,IFERROR(INDEX('Product Master'!$B$2:$B$1000,MATCH($B26,'Product Master'!$A$2:$A$1000,0)),"UPC Not Found")))</f>
        <v/>
      </c>
      <c r="D26" s="9" t="str">
        <f aca="false">IF($B26="","",IF(AND(D26&lt;&gt;"",D26&lt;&gt;0,D26&lt;&gt;"UPC Not Found"),D26,IFERROR(INDEX('Product Master'!$C$2:$C$1000,MATCH($B26,'Product Master'!$A$2:$A$1000,0)),"UPC Not Found")))</f>
        <v/>
      </c>
      <c r="E26" s="9" t="str">
        <f aca="false">IF($B26="","",IF(AND(E26&lt;&gt;"",E26&lt;&gt;0,E26&lt;&gt;"UPC Not Found"),E26,IFERROR(INDEX('Product Master'!$D$2:$D$1000,MATCH($B26,'Product Master'!$A$2:$A$1000,0)),"UPC Not Found")))</f>
        <v/>
      </c>
      <c r="F26" s="10" t="str">
        <f aca="false">IF($B26="","",IF(AND(F26&lt;&gt;"",F26&lt;&gt;0,F26&lt;&gt;"UPC Not Found"),F26,IFERROR(INDEX('Product Master'!$E$2:$E$1000,MATCH($B26,'Product Master'!$A$2:$A$1000,0)),"UPC Not Found")))</f>
        <v/>
      </c>
      <c r="G26" s="11"/>
      <c r="H26" s="11"/>
      <c r="I26" s="10" t="str">
        <f aca="false">IF($B26="","",IF(AND(G26="",H26=""),"",G26+H26))</f>
        <v/>
      </c>
      <c r="J26" s="10" t="str">
        <f aca="false">IF(OR($B26="",I26="",F26="UPC Not Found"),"",I26-F26)</f>
        <v/>
      </c>
      <c r="K26" s="9" t="str">
        <f aca="false">IF($B26="","",IF(AND(G26="",H26=""),"Not Counted",IF(OR(G26="",H26=""),"Partially Counted",IF(J26=0,"Match",IF(J26&gt;0,"Overage","Shortage")))))</f>
        <v/>
      </c>
      <c r="L26" s="9" t="str">
        <f aca="false">IF($B26="","",IF(AND(L26&lt;&gt;"",L26&lt;&gt;0),L26,$B$4))</f>
        <v/>
      </c>
      <c r="M26" s="12"/>
      <c r="N26" s="12"/>
      <c r="O26" s="12"/>
    </row>
    <row r="27" customFormat="false" ht="15" hidden="false" customHeight="false" outlineLevel="0" collapsed="false">
      <c r="A27" s="7" t="str">
        <f aca="true">IF($B27="","",IF(AND(A27&lt;&gt;"",A27&lt;&gt;0),A27,TODAY()))</f>
        <v/>
      </c>
      <c r="B27" s="8"/>
      <c r="C27" s="9" t="str">
        <f aca="false">IF($B27="","",IF(AND(C27&lt;&gt;"",C27&lt;&gt;0,C27&lt;&gt;"UPC Not Found"),C27,IFERROR(INDEX('Product Master'!$B$2:$B$1000,MATCH($B27,'Product Master'!$A$2:$A$1000,0)),"UPC Not Found")))</f>
        <v/>
      </c>
      <c r="D27" s="9" t="str">
        <f aca="false">IF($B27="","",IF(AND(D27&lt;&gt;"",D27&lt;&gt;0,D27&lt;&gt;"UPC Not Found"),D27,IFERROR(INDEX('Product Master'!$C$2:$C$1000,MATCH($B27,'Product Master'!$A$2:$A$1000,0)),"UPC Not Found")))</f>
        <v/>
      </c>
      <c r="E27" s="9" t="str">
        <f aca="false">IF($B27="","",IF(AND(E27&lt;&gt;"",E27&lt;&gt;0,E27&lt;&gt;"UPC Not Found"),E27,IFERROR(INDEX('Product Master'!$D$2:$D$1000,MATCH($B27,'Product Master'!$A$2:$A$1000,0)),"UPC Not Found")))</f>
        <v/>
      </c>
      <c r="F27" s="10" t="str">
        <f aca="false">IF($B27="","",IF(AND(F27&lt;&gt;"",F27&lt;&gt;0,F27&lt;&gt;"UPC Not Found"),F27,IFERROR(INDEX('Product Master'!$E$2:$E$1000,MATCH($B27,'Product Master'!$A$2:$A$1000,0)),"UPC Not Found")))</f>
        <v/>
      </c>
      <c r="G27" s="11"/>
      <c r="H27" s="11"/>
      <c r="I27" s="10" t="str">
        <f aca="false">IF($B27="","",IF(AND(G27="",H27=""),"",G27+H27))</f>
        <v/>
      </c>
      <c r="J27" s="10" t="str">
        <f aca="false">IF(OR($B27="",I27="",F27="UPC Not Found"),"",I27-F27)</f>
        <v/>
      </c>
      <c r="K27" s="9" t="str">
        <f aca="false">IF($B27="","",IF(AND(G27="",H27=""),"Not Counted",IF(OR(G27="",H27=""),"Partially Counted",IF(J27=0,"Match",IF(J27&gt;0,"Overage","Shortage")))))</f>
        <v/>
      </c>
      <c r="L27" s="9" t="str">
        <f aca="false">IF($B27="","",IF(AND(L27&lt;&gt;"",L27&lt;&gt;0),L27,$B$4))</f>
        <v/>
      </c>
      <c r="M27" s="12"/>
      <c r="N27" s="12"/>
      <c r="O27" s="12"/>
    </row>
    <row r="28" customFormat="false" ht="15" hidden="false" customHeight="false" outlineLevel="0" collapsed="false">
      <c r="A28" s="7" t="str">
        <f aca="true">IF($B28="","",IF(AND(A28&lt;&gt;"",A28&lt;&gt;0),A28,TODAY()))</f>
        <v/>
      </c>
      <c r="B28" s="8"/>
      <c r="C28" s="9" t="str">
        <f aca="false">IF($B28="","",IF(AND(C28&lt;&gt;"",C28&lt;&gt;0,C28&lt;&gt;"UPC Not Found"),C28,IFERROR(INDEX('Product Master'!$B$2:$B$1000,MATCH($B28,'Product Master'!$A$2:$A$1000,0)),"UPC Not Found")))</f>
        <v/>
      </c>
      <c r="D28" s="9" t="str">
        <f aca="false">IF($B28="","",IF(AND(D28&lt;&gt;"",D28&lt;&gt;0,D28&lt;&gt;"UPC Not Found"),D28,IFERROR(INDEX('Product Master'!$C$2:$C$1000,MATCH($B28,'Product Master'!$A$2:$A$1000,0)),"UPC Not Found")))</f>
        <v/>
      </c>
      <c r="E28" s="9" t="str">
        <f aca="false">IF($B28="","",IF(AND(E28&lt;&gt;"",E28&lt;&gt;0,E28&lt;&gt;"UPC Not Found"),E28,IFERROR(INDEX('Product Master'!$D$2:$D$1000,MATCH($B28,'Product Master'!$A$2:$A$1000,0)),"UPC Not Found")))</f>
        <v/>
      </c>
      <c r="F28" s="10" t="str">
        <f aca="false">IF($B28="","",IF(AND(F28&lt;&gt;"",F28&lt;&gt;0,F28&lt;&gt;"UPC Not Found"),F28,IFERROR(INDEX('Product Master'!$E$2:$E$1000,MATCH($B28,'Product Master'!$A$2:$A$1000,0)),"UPC Not Found")))</f>
        <v/>
      </c>
      <c r="G28" s="11"/>
      <c r="H28" s="11"/>
      <c r="I28" s="10" t="str">
        <f aca="false">IF($B28="","",IF(AND(G28="",H28=""),"",G28+H28))</f>
        <v/>
      </c>
      <c r="J28" s="10" t="str">
        <f aca="false">IF(OR($B28="",I28="",F28="UPC Not Found"),"",I28-F28)</f>
        <v/>
      </c>
      <c r="K28" s="9" t="str">
        <f aca="false">IF($B28="","",IF(AND(G28="",H28=""),"Not Counted",IF(OR(G28="",H28=""),"Partially Counted",IF(J28=0,"Match",IF(J28&gt;0,"Overage","Shortage")))))</f>
        <v/>
      </c>
      <c r="L28" s="9" t="str">
        <f aca="false">IF($B28="","",IF(AND(L28&lt;&gt;"",L28&lt;&gt;0),L28,$B$4))</f>
        <v/>
      </c>
      <c r="M28" s="12"/>
      <c r="N28" s="12"/>
      <c r="O28" s="12"/>
    </row>
    <row r="29" customFormat="false" ht="15" hidden="false" customHeight="false" outlineLevel="0" collapsed="false">
      <c r="A29" s="7" t="str">
        <f aca="true">IF($B29="","",IF(AND(A29&lt;&gt;"",A29&lt;&gt;0),A29,TODAY()))</f>
        <v/>
      </c>
      <c r="B29" s="8"/>
      <c r="C29" s="9" t="str">
        <f aca="false">IF($B29="","",IF(AND(C29&lt;&gt;"",C29&lt;&gt;0,C29&lt;&gt;"UPC Not Found"),C29,IFERROR(INDEX('Product Master'!$B$2:$B$1000,MATCH($B29,'Product Master'!$A$2:$A$1000,0)),"UPC Not Found")))</f>
        <v/>
      </c>
      <c r="D29" s="9" t="str">
        <f aca="false">IF($B29="","",IF(AND(D29&lt;&gt;"",D29&lt;&gt;0,D29&lt;&gt;"UPC Not Found"),D29,IFERROR(INDEX('Product Master'!$C$2:$C$1000,MATCH($B29,'Product Master'!$A$2:$A$1000,0)),"UPC Not Found")))</f>
        <v/>
      </c>
      <c r="E29" s="9" t="str">
        <f aca="false">IF($B29="","",IF(AND(E29&lt;&gt;"",E29&lt;&gt;0,E29&lt;&gt;"UPC Not Found"),E29,IFERROR(INDEX('Product Master'!$D$2:$D$1000,MATCH($B29,'Product Master'!$A$2:$A$1000,0)),"UPC Not Found")))</f>
        <v/>
      </c>
      <c r="F29" s="10" t="str">
        <f aca="false">IF($B29="","",IF(AND(F29&lt;&gt;"",F29&lt;&gt;0,F29&lt;&gt;"UPC Not Found"),F29,IFERROR(INDEX('Product Master'!$E$2:$E$1000,MATCH($B29,'Product Master'!$A$2:$A$1000,0)),"UPC Not Found")))</f>
        <v/>
      </c>
      <c r="G29" s="11"/>
      <c r="H29" s="11"/>
      <c r="I29" s="10" t="str">
        <f aca="false">IF($B29="","",IF(AND(G29="",H29=""),"",G29+H29))</f>
        <v/>
      </c>
      <c r="J29" s="10" t="str">
        <f aca="false">IF(OR($B29="",I29="",F29="UPC Not Found"),"",I29-F29)</f>
        <v/>
      </c>
      <c r="K29" s="9" t="str">
        <f aca="false">IF($B29="","",IF(AND(G29="",H29=""),"Not Counted",IF(OR(G29="",H29=""),"Partially Counted",IF(J29=0,"Match",IF(J29&gt;0,"Overage","Shortage")))))</f>
        <v/>
      </c>
      <c r="L29" s="9" t="str">
        <f aca="false">IF($B29="","",IF(AND(L29&lt;&gt;"",L29&lt;&gt;0),L29,$B$4))</f>
        <v/>
      </c>
      <c r="M29" s="12"/>
      <c r="N29" s="12"/>
      <c r="O29" s="12"/>
    </row>
    <row r="30" customFormat="false" ht="15" hidden="false" customHeight="false" outlineLevel="0" collapsed="false">
      <c r="A30" s="7" t="str">
        <f aca="true">IF($B30="","",IF(AND(A30&lt;&gt;"",A30&lt;&gt;0),A30,TODAY()))</f>
        <v/>
      </c>
      <c r="B30" s="8"/>
      <c r="C30" s="9" t="str">
        <f aca="false">IF($B30="","",IF(AND(C30&lt;&gt;"",C30&lt;&gt;0,C30&lt;&gt;"UPC Not Found"),C30,IFERROR(INDEX('Product Master'!$B$2:$B$1000,MATCH($B30,'Product Master'!$A$2:$A$1000,0)),"UPC Not Found")))</f>
        <v/>
      </c>
      <c r="D30" s="9" t="str">
        <f aca="false">IF($B30="","",IF(AND(D30&lt;&gt;"",D30&lt;&gt;0,D30&lt;&gt;"UPC Not Found"),D30,IFERROR(INDEX('Product Master'!$C$2:$C$1000,MATCH($B30,'Product Master'!$A$2:$A$1000,0)),"UPC Not Found")))</f>
        <v/>
      </c>
      <c r="E30" s="9" t="str">
        <f aca="false">IF($B30="","",IF(AND(E30&lt;&gt;"",E30&lt;&gt;0,E30&lt;&gt;"UPC Not Found"),E30,IFERROR(INDEX('Product Master'!$D$2:$D$1000,MATCH($B30,'Product Master'!$A$2:$A$1000,0)),"UPC Not Found")))</f>
        <v/>
      </c>
      <c r="F30" s="10" t="str">
        <f aca="false">IF($B30="","",IF(AND(F30&lt;&gt;"",F30&lt;&gt;0,F30&lt;&gt;"UPC Not Found"),F30,IFERROR(INDEX('Product Master'!$E$2:$E$1000,MATCH($B30,'Product Master'!$A$2:$A$1000,0)),"UPC Not Found")))</f>
        <v/>
      </c>
      <c r="G30" s="11"/>
      <c r="H30" s="11"/>
      <c r="I30" s="10" t="str">
        <f aca="false">IF($B30="","",IF(AND(G30="",H30=""),"",G30+H30))</f>
        <v/>
      </c>
      <c r="J30" s="10" t="str">
        <f aca="false">IF(OR($B30="",I30="",F30="UPC Not Found"),"",I30-F30)</f>
        <v/>
      </c>
      <c r="K30" s="9" t="str">
        <f aca="false">IF($B30="","",IF(AND(G30="",H30=""),"Not Counted",IF(OR(G30="",H30=""),"Partially Counted",IF(J30=0,"Match",IF(J30&gt;0,"Overage","Shortage")))))</f>
        <v/>
      </c>
      <c r="L30" s="9" t="str">
        <f aca="false">IF($B30="","",IF(AND(L30&lt;&gt;"",L30&lt;&gt;0),L30,$B$4))</f>
        <v/>
      </c>
      <c r="M30" s="12"/>
      <c r="N30" s="12"/>
      <c r="O30" s="12"/>
    </row>
    <row r="31" customFormat="false" ht="15" hidden="false" customHeight="false" outlineLevel="0" collapsed="false">
      <c r="A31" s="7" t="str">
        <f aca="true">IF($B31="","",IF(AND(A31&lt;&gt;"",A31&lt;&gt;0),A31,TODAY()))</f>
        <v/>
      </c>
      <c r="B31" s="8"/>
      <c r="C31" s="9" t="str">
        <f aca="false">IF($B31="","",IF(AND(C31&lt;&gt;"",C31&lt;&gt;0,C31&lt;&gt;"UPC Not Found"),C31,IFERROR(INDEX('Product Master'!$B$2:$B$1000,MATCH($B31,'Product Master'!$A$2:$A$1000,0)),"UPC Not Found")))</f>
        <v/>
      </c>
      <c r="D31" s="9" t="str">
        <f aca="false">IF($B31="","",IF(AND(D31&lt;&gt;"",D31&lt;&gt;0,D31&lt;&gt;"UPC Not Found"),D31,IFERROR(INDEX('Product Master'!$C$2:$C$1000,MATCH($B31,'Product Master'!$A$2:$A$1000,0)),"UPC Not Found")))</f>
        <v/>
      </c>
      <c r="E31" s="9" t="str">
        <f aca="false">IF($B31="","",IF(AND(E31&lt;&gt;"",E31&lt;&gt;0,E31&lt;&gt;"UPC Not Found"),E31,IFERROR(INDEX('Product Master'!$D$2:$D$1000,MATCH($B31,'Product Master'!$A$2:$A$1000,0)),"UPC Not Found")))</f>
        <v/>
      </c>
      <c r="F31" s="10" t="str">
        <f aca="false">IF($B31="","",IF(AND(F31&lt;&gt;"",F31&lt;&gt;0,F31&lt;&gt;"UPC Not Found"),F31,IFERROR(INDEX('Product Master'!$E$2:$E$1000,MATCH($B31,'Product Master'!$A$2:$A$1000,0)),"UPC Not Found")))</f>
        <v/>
      </c>
      <c r="G31" s="11"/>
      <c r="H31" s="11"/>
      <c r="I31" s="10" t="str">
        <f aca="false">IF($B31="","",IF(AND(G31="",H31=""),"",G31+H31))</f>
        <v/>
      </c>
      <c r="J31" s="10" t="str">
        <f aca="false">IF(OR($B31="",I31="",F31="UPC Not Found"),"",I31-F31)</f>
        <v/>
      </c>
      <c r="K31" s="9" t="str">
        <f aca="false">IF($B31="","",IF(AND(G31="",H31=""),"Not Counted",IF(OR(G31="",H31=""),"Partially Counted",IF(J31=0,"Match",IF(J31&gt;0,"Overage","Shortage")))))</f>
        <v/>
      </c>
      <c r="L31" s="9" t="str">
        <f aca="false">IF($B31="","",IF(AND(L31&lt;&gt;"",L31&lt;&gt;0),L31,$B$4))</f>
        <v/>
      </c>
      <c r="M31" s="12"/>
      <c r="N31" s="12"/>
      <c r="O31" s="12"/>
    </row>
    <row r="32" customFormat="false" ht="15" hidden="false" customHeight="false" outlineLevel="0" collapsed="false">
      <c r="A32" s="7" t="str">
        <f aca="true">IF($B32="","",IF(AND(A32&lt;&gt;"",A32&lt;&gt;0),A32,TODAY()))</f>
        <v/>
      </c>
      <c r="B32" s="8"/>
      <c r="C32" s="9" t="str">
        <f aca="false">IF($B32="","",IF(AND(C32&lt;&gt;"",C32&lt;&gt;0,C32&lt;&gt;"UPC Not Found"),C32,IFERROR(INDEX('Product Master'!$B$2:$B$1000,MATCH($B32,'Product Master'!$A$2:$A$1000,0)),"UPC Not Found")))</f>
        <v/>
      </c>
      <c r="D32" s="9" t="str">
        <f aca="false">IF($B32="","",IF(AND(D32&lt;&gt;"",D32&lt;&gt;0,D32&lt;&gt;"UPC Not Found"),D32,IFERROR(INDEX('Product Master'!$C$2:$C$1000,MATCH($B32,'Product Master'!$A$2:$A$1000,0)),"UPC Not Found")))</f>
        <v/>
      </c>
      <c r="E32" s="9" t="str">
        <f aca="false">IF($B32="","",IF(AND(E32&lt;&gt;"",E32&lt;&gt;0,E32&lt;&gt;"UPC Not Found"),E32,IFERROR(INDEX('Product Master'!$D$2:$D$1000,MATCH($B32,'Product Master'!$A$2:$A$1000,0)),"UPC Not Found")))</f>
        <v/>
      </c>
      <c r="F32" s="10" t="str">
        <f aca="false">IF($B32="","",IF(AND(F32&lt;&gt;"",F32&lt;&gt;0,F32&lt;&gt;"UPC Not Found"),F32,IFERROR(INDEX('Product Master'!$E$2:$E$1000,MATCH($B32,'Product Master'!$A$2:$A$1000,0)),"UPC Not Found")))</f>
        <v/>
      </c>
      <c r="G32" s="11"/>
      <c r="H32" s="11"/>
      <c r="I32" s="10" t="str">
        <f aca="false">IF($B32="","",IF(AND(G32="",H32=""),"",G32+H32))</f>
        <v/>
      </c>
      <c r="J32" s="10" t="str">
        <f aca="false">IF(OR($B32="",I32="",F32="UPC Not Found"),"",I32-F32)</f>
        <v/>
      </c>
      <c r="K32" s="9" t="str">
        <f aca="false">IF($B32="","",IF(AND(G32="",H32=""),"Not Counted",IF(OR(G32="",H32=""),"Partially Counted",IF(J32=0,"Match",IF(J32&gt;0,"Overage","Shortage")))))</f>
        <v/>
      </c>
      <c r="L32" s="9" t="str">
        <f aca="false">IF($B32="","",IF(AND(L32&lt;&gt;"",L32&lt;&gt;0),L32,$B$4))</f>
        <v/>
      </c>
      <c r="M32" s="12"/>
      <c r="N32" s="12"/>
      <c r="O32" s="12"/>
    </row>
    <row r="33" customFormat="false" ht="15" hidden="false" customHeight="false" outlineLevel="0" collapsed="false">
      <c r="A33" s="7" t="str">
        <f aca="true">IF($B33="","",IF(AND(A33&lt;&gt;"",A33&lt;&gt;0),A33,TODAY()))</f>
        <v/>
      </c>
      <c r="B33" s="8"/>
      <c r="C33" s="9" t="str">
        <f aca="false">IF($B33="","",IF(AND(C33&lt;&gt;"",C33&lt;&gt;0,C33&lt;&gt;"UPC Not Found"),C33,IFERROR(INDEX('Product Master'!$B$2:$B$1000,MATCH($B33,'Product Master'!$A$2:$A$1000,0)),"UPC Not Found")))</f>
        <v/>
      </c>
      <c r="D33" s="9" t="str">
        <f aca="false">IF($B33="","",IF(AND(D33&lt;&gt;"",D33&lt;&gt;0,D33&lt;&gt;"UPC Not Found"),D33,IFERROR(INDEX('Product Master'!$C$2:$C$1000,MATCH($B33,'Product Master'!$A$2:$A$1000,0)),"UPC Not Found")))</f>
        <v/>
      </c>
      <c r="E33" s="9" t="str">
        <f aca="false">IF($B33="","",IF(AND(E33&lt;&gt;"",E33&lt;&gt;0,E33&lt;&gt;"UPC Not Found"),E33,IFERROR(INDEX('Product Master'!$D$2:$D$1000,MATCH($B33,'Product Master'!$A$2:$A$1000,0)),"UPC Not Found")))</f>
        <v/>
      </c>
      <c r="F33" s="10" t="str">
        <f aca="false">IF($B33="","",IF(AND(F33&lt;&gt;"",F33&lt;&gt;0,F33&lt;&gt;"UPC Not Found"),F33,IFERROR(INDEX('Product Master'!$E$2:$E$1000,MATCH($B33,'Product Master'!$A$2:$A$1000,0)),"UPC Not Found")))</f>
        <v/>
      </c>
      <c r="G33" s="11"/>
      <c r="H33" s="11"/>
      <c r="I33" s="10" t="str">
        <f aca="false">IF($B33="","",IF(AND(G33="",H33=""),"",G33+H33))</f>
        <v/>
      </c>
      <c r="J33" s="10" t="str">
        <f aca="false">IF(OR($B33="",I33="",F33="UPC Not Found"),"",I33-F33)</f>
        <v/>
      </c>
      <c r="K33" s="9" t="str">
        <f aca="false">IF($B33="","",IF(AND(G33="",H33=""),"Not Counted",IF(OR(G33="",H33=""),"Partially Counted",IF(J33=0,"Match",IF(J33&gt;0,"Overage","Shortage")))))</f>
        <v/>
      </c>
      <c r="L33" s="9" t="str">
        <f aca="false">IF($B33="","",IF(AND(L33&lt;&gt;"",L33&lt;&gt;0),L33,$B$4))</f>
        <v/>
      </c>
      <c r="M33" s="12"/>
      <c r="N33" s="12"/>
      <c r="O33" s="12"/>
    </row>
    <row r="34" customFormat="false" ht="15" hidden="false" customHeight="false" outlineLevel="0" collapsed="false">
      <c r="A34" s="7" t="str">
        <f aca="true">IF($B34="","",IF(AND(A34&lt;&gt;"",A34&lt;&gt;0),A34,TODAY()))</f>
        <v/>
      </c>
      <c r="B34" s="8"/>
      <c r="C34" s="9" t="str">
        <f aca="false">IF($B34="","",IF(AND(C34&lt;&gt;"",C34&lt;&gt;0,C34&lt;&gt;"UPC Not Found"),C34,IFERROR(INDEX('Product Master'!$B$2:$B$1000,MATCH($B34,'Product Master'!$A$2:$A$1000,0)),"UPC Not Found")))</f>
        <v/>
      </c>
      <c r="D34" s="9" t="str">
        <f aca="false">IF($B34="","",IF(AND(D34&lt;&gt;"",D34&lt;&gt;0,D34&lt;&gt;"UPC Not Found"),D34,IFERROR(INDEX('Product Master'!$C$2:$C$1000,MATCH($B34,'Product Master'!$A$2:$A$1000,0)),"UPC Not Found")))</f>
        <v/>
      </c>
      <c r="E34" s="9" t="str">
        <f aca="false">IF($B34="","",IF(AND(E34&lt;&gt;"",E34&lt;&gt;0,E34&lt;&gt;"UPC Not Found"),E34,IFERROR(INDEX('Product Master'!$D$2:$D$1000,MATCH($B34,'Product Master'!$A$2:$A$1000,0)),"UPC Not Found")))</f>
        <v/>
      </c>
      <c r="F34" s="10" t="str">
        <f aca="false">IF($B34="","",IF(AND(F34&lt;&gt;"",F34&lt;&gt;0,F34&lt;&gt;"UPC Not Found"),F34,IFERROR(INDEX('Product Master'!$E$2:$E$1000,MATCH($B34,'Product Master'!$A$2:$A$1000,0)),"UPC Not Found")))</f>
        <v/>
      </c>
      <c r="G34" s="11"/>
      <c r="H34" s="11"/>
      <c r="I34" s="10" t="str">
        <f aca="false">IF($B34="","",IF(AND(G34="",H34=""),"",G34+H34))</f>
        <v/>
      </c>
      <c r="J34" s="10" t="str">
        <f aca="false">IF(OR($B34="",I34="",F34="UPC Not Found"),"",I34-F34)</f>
        <v/>
      </c>
      <c r="K34" s="9" t="str">
        <f aca="false">IF($B34="","",IF(AND(G34="",H34=""),"Not Counted",IF(OR(G34="",H34=""),"Partially Counted",IF(J34=0,"Match",IF(J34&gt;0,"Overage","Shortage")))))</f>
        <v/>
      </c>
      <c r="L34" s="9" t="str">
        <f aca="false">IF($B34="","",IF(AND(L34&lt;&gt;"",L34&lt;&gt;0),L34,$B$4))</f>
        <v/>
      </c>
      <c r="M34" s="12"/>
      <c r="N34" s="12"/>
      <c r="O34" s="12"/>
    </row>
    <row r="35" customFormat="false" ht="15" hidden="false" customHeight="false" outlineLevel="0" collapsed="false">
      <c r="A35" s="7" t="str">
        <f aca="true">IF($B35="","",IF(AND(A35&lt;&gt;"",A35&lt;&gt;0),A35,TODAY()))</f>
        <v/>
      </c>
      <c r="B35" s="8"/>
      <c r="C35" s="9" t="str">
        <f aca="false">IF($B35="","",IF(AND(C35&lt;&gt;"",C35&lt;&gt;0,C35&lt;&gt;"UPC Not Found"),C35,IFERROR(INDEX('Product Master'!$B$2:$B$1000,MATCH($B35,'Product Master'!$A$2:$A$1000,0)),"UPC Not Found")))</f>
        <v/>
      </c>
      <c r="D35" s="9" t="str">
        <f aca="false">IF($B35="","",IF(AND(D35&lt;&gt;"",D35&lt;&gt;0,D35&lt;&gt;"UPC Not Found"),D35,IFERROR(INDEX('Product Master'!$C$2:$C$1000,MATCH($B35,'Product Master'!$A$2:$A$1000,0)),"UPC Not Found")))</f>
        <v/>
      </c>
      <c r="E35" s="9" t="str">
        <f aca="false">IF($B35="","",IF(AND(E35&lt;&gt;"",E35&lt;&gt;0,E35&lt;&gt;"UPC Not Found"),E35,IFERROR(INDEX('Product Master'!$D$2:$D$1000,MATCH($B35,'Product Master'!$A$2:$A$1000,0)),"UPC Not Found")))</f>
        <v/>
      </c>
      <c r="F35" s="10" t="str">
        <f aca="false">IF($B35="","",IF(AND(F35&lt;&gt;"",F35&lt;&gt;0,F35&lt;&gt;"UPC Not Found"),F35,IFERROR(INDEX('Product Master'!$E$2:$E$1000,MATCH($B35,'Product Master'!$A$2:$A$1000,0)),"UPC Not Found")))</f>
        <v/>
      </c>
      <c r="G35" s="11"/>
      <c r="H35" s="11"/>
      <c r="I35" s="10" t="str">
        <f aca="false">IF($B35="","",IF(AND(G35="",H35=""),"",G35+H35))</f>
        <v/>
      </c>
      <c r="J35" s="10" t="str">
        <f aca="false">IF(OR($B35="",I35="",F35="UPC Not Found"),"",I35-F35)</f>
        <v/>
      </c>
      <c r="K35" s="9" t="str">
        <f aca="false">IF($B35="","",IF(AND(G35="",H35=""),"Not Counted",IF(OR(G35="",H35=""),"Partially Counted",IF(J35=0,"Match",IF(J35&gt;0,"Overage","Shortage")))))</f>
        <v/>
      </c>
      <c r="L35" s="9" t="str">
        <f aca="false">IF($B35="","",IF(AND(L35&lt;&gt;"",L35&lt;&gt;0),L35,$B$4))</f>
        <v/>
      </c>
      <c r="M35" s="12"/>
      <c r="N35" s="12"/>
      <c r="O35" s="12"/>
    </row>
    <row r="36" customFormat="false" ht="15" hidden="false" customHeight="false" outlineLevel="0" collapsed="false">
      <c r="A36" s="7" t="str">
        <f aca="true">IF($B36="","",IF(AND(A36&lt;&gt;"",A36&lt;&gt;0),A36,TODAY()))</f>
        <v/>
      </c>
      <c r="B36" s="8"/>
      <c r="C36" s="9" t="str">
        <f aca="false">IF($B36="","",IF(AND(C36&lt;&gt;"",C36&lt;&gt;0,C36&lt;&gt;"UPC Not Found"),C36,IFERROR(INDEX('Product Master'!$B$2:$B$1000,MATCH($B36,'Product Master'!$A$2:$A$1000,0)),"UPC Not Found")))</f>
        <v/>
      </c>
      <c r="D36" s="9" t="str">
        <f aca="false">IF($B36="","",IF(AND(D36&lt;&gt;"",D36&lt;&gt;0,D36&lt;&gt;"UPC Not Found"),D36,IFERROR(INDEX('Product Master'!$C$2:$C$1000,MATCH($B36,'Product Master'!$A$2:$A$1000,0)),"UPC Not Found")))</f>
        <v/>
      </c>
      <c r="E36" s="9" t="str">
        <f aca="false">IF($B36="","",IF(AND(E36&lt;&gt;"",E36&lt;&gt;0,E36&lt;&gt;"UPC Not Found"),E36,IFERROR(INDEX('Product Master'!$D$2:$D$1000,MATCH($B36,'Product Master'!$A$2:$A$1000,0)),"UPC Not Found")))</f>
        <v/>
      </c>
      <c r="F36" s="10" t="str">
        <f aca="false">IF($B36="","",IF(AND(F36&lt;&gt;"",F36&lt;&gt;0,F36&lt;&gt;"UPC Not Found"),F36,IFERROR(INDEX('Product Master'!$E$2:$E$1000,MATCH($B36,'Product Master'!$A$2:$A$1000,0)),"UPC Not Found")))</f>
        <v/>
      </c>
      <c r="G36" s="11"/>
      <c r="H36" s="11"/>
      <c r="I36" s="10" t="str">
        <f aca="false">IF($B36="","",IF(AND(G36="",H36=""),"",G36+H36))</f>
        <v/>
      </c>
      <c r="J36" s="10" t="str">
        <f aca="false">IF(OR($B36="",I36="",F36="UPC Not Found"),"",I36-F36)</f>
        <v/>
      </c>
      <c r="K36" s="9" t="str">
        <f aca="false">IF($B36="","",IF(AND(G36="",H36=""),"Not Counted",IF(OR(G36="",H36=""),"Partially Counted",IF(J36=0,"Match",IF(J36&gt;0,"Overage","Shortage")))))</f>
        <v/>
      </c>
      <c r="L36" s="9" t="str">
        <f aca="false">IF($B36="","",IF(AND(L36&lt;&gt;"",L36&lt;&gt;0),L36,$B$4))</f>
        <v/>
      </c>
      <c r="M36" s="12"/>
      <c r="N36" s="12"/>
      <c r="O36" s="12"/>
    </row>
    <row r="37" customFormat="false" ht="15" hidden="false" customHeight="false" outlineLevel="0" collapsed="false">
      <c r="A37" s="7" t="str">
        <f aca="true">IF($B37="","",IF(AND(A37&lt;&gt;"",A37&lt;&gt;0),A37,TODAY()))</f>
        <v/>
      </c>
      <c r="B37" s="8"/>
      <c r="C37" s="9" t="str">
        <f aca="false">IF($B37="","",IF(AND(C37&lt;&gt;"",C37&lt;&gt;0,C37&lt;&gt;"UPC Not Found"),C37,IFERROR(INDEX('Product Master'!$B$2:$B$1000,MATCH($B37,'Product Master'!$A$2:$A$1000,0)),"UPC Not Found")))</f>
        <v/>
      </c>
      <c r="D37" s="9" t="str">
        <f aca="false">IF($B37="","",IF(AND(D37&lt;&gt;"",D37&lt;&gt;0,D37&lt;&gt;"UPC Not Found"),D37,IFERROR(INDEX('Product Master'!$C$2:$C$1000,MATCH($B37,'Product Master'!$A$2:$A$1000,0)),"UPC Not Found")))</f>
        <v/>
      </c>
      <c r="E37" s="9" t="str">
        <f aca="false">IF($B37="","",IF(AND(E37&lt;&gt;"",E37&lt;&gt;0,E37&lt;&gt;"UPC Not Found"),E37,IFERROR(INDEX('Product Master'!$D$2:$D$1000,MATCH($B37,'Product Master'!$A$2:$A$1000,0)),"UPC Not Found")))</f>
        <v/>
      </c>
      <c r="F37" s="10" t="str">
        <f aca="false">IF($B37="","",IF(AND(F37&lt;&gt;"",F37&lt;&gt;0,F37&lt;&gt;"UPC Not Found"),F37,IFERROR(INDEX('Product Master'!$E$2:$E$1000,MATCH($B37,'Product Master'!$A$2:$A$1000,0)),"UPC Not Found")))</f>
        <v/>
      </c>
      <c r="G37" s="11"/>
      <c r="H37" s="11"/>
      <c r="I37" s="10" t="str">
        <f aca="false">IF($B37="","",IF(AND(G37="",H37=""),"",G37+H37))</f>
        <v/>
      </c>
      <c r="J37" s="10" t="str">
        <f aca="false">IF(OR($B37="",I37="",F37="UPC Not Found"),"",I37-F37)</f>
        <v/>
      </c>
      <c r="K37" s="9" t="str">
        <f aca="false">IF($B37="","",IF(AND(G37="",H37=""),"Not Counted",IF(OR(G37="",H37=""),"Partially Counted",IF(J37=0,"Match",IF(J37&gt;0,"Overage","Shortage")))))</f>
        <v/>
      </c>
      <c r="L37" s="9" t="str">
        <f aca="false">IF($B37="","",IF(AND(L37&lt;&gt;"",L37&lt;&gt;0),L37,$B$4))</f>
        <v/>
      </c>
      <c r="M37" s="12"/>
      <c r="N37" s="12"/>
      <c r="O37" s="12"/>
    </row>
    <row r="38" customFormat="false" ht="15" hidden="false" customHeight="false" outlineLevel="0" collapsed="false">
      <c r="A38" s="7" t="str">
        <f aca="true">IF($B38="","",IF(AND(A38&lt;&gt;"",A38&lt;&gt;0),A38,TODAY()))</f>
        <v/>
      </c>
      <c r="B38" s="8"/>
      <c r="C38" s="9" t="str">
        <f aca="false">IF($B38="","",IF(AND(C38&lt;&gt;"",C38&lt;&gt;0,C38&lt;&gt;"UPC Not Found"),C38,IFERROR(INDEX('Product Master'!$B$2:$B$1000,MATCH($B38,'Product Master'!$A$2:$A$1000,0)),"UPC Not Found")))</f>
        <v/>
      </c>
      <c r="D38" s="9" t="str">
        <f aca="false">IF($B38="","",IF(AND(D38&lt;&gt;"",D38&lt;&gt;0,D38&lt;&gt;"UPC Not Found"),D38,IFERROR(INDEX('Product Master'!$C$2:$C$1000,MATCH($B38,'Product Master'!$A$2:$A$1000,0)),"UPC Not Found")))</f>
        <v/>
      </c>
      <c r="E38" s="9" t="str">
        <f aca="false">IF($B38="","",IF(AND(E38&lt;&gt;"",E38&lt;&gt;0,E38&lt;&gt;"UPC Not Found"),E38,IFERROR(INDEX('Product Master'!$D$2:$D$1000,MATCH($B38,'Product Master'!$A$2:$A$1000,0)),"UPC Not Found")))</f>
        <v/>
      </c>
      <c r="F38" s="10" t="str">
        <f aca="false">IF($B38="","",IF(AND(F38&lt;&gt;"",F38&lt;&gt;0,F38&lt;&gt;"UPC Not Found"),F38,IFERROR(INDEX('Product Master'!$E$2:$E$1000,MATCH($B38,'Product Master'!$A$2:$A$1000,0)),"UPC Not Found")))</f>
        <v/>
      </c>
      <c r="G38" s="11"/>
      <c r="H38" s="11"/>
      <c r="I38" s="10" t="str">
        <f aca="false">IF($B38="","",IF(AND(G38="",H38=""),"",G38+H38))</f>
        <v/>
      </c>
      <c r="J38" s="10" t="str">
        <f aca="false">IF(OR($B38="",I38="",F38="UPC Not Found"),"",I38-F38)</f>
        <v/>
      </c>
      <c r="K38" s="9" t="str">
        <f aca="false">IF($B38="","",IF(AND(G38="",H38=""),"Not Counted",IF(OR(G38="",H38=""),"Partially Counted",IF(J38=0,"Match",IF(J38&gt;0,"Overage","Shortage")))))</f>
        <v/>
      </c>
      <c r="L38" s="9" t="str">
        <f aca="false">IF($B38="","",IF(AND(L38&lt;&gt;"",L38&lt;&gt;0),L38,$B$4))</f>
        <v/>
      </c>
      <c r="M38" s="12"/>
      <c r="N38" s="12"/>
      <c r="O38" s="12"/>
    </row>
    <row r="39" customFormat="false" ht="15" hidden="false" customHeight="false" outlineLevel="0" collapsed="false">
      <c r="A39" s="7" t="str">
        <f aca="true">IF($B39="","",IF(AND(A39&lt;&gt;"",A39&lt;&gt;0),A39,TODAY()))</f>
        <v/>
      </c>
      <c r="B39" s="8"/>
      <c r="C39" s="9" t="str">
        <f aca="false">IF($B39="","",IF(AND(C39&lt;&gt;"",C39&lt;&gt;0,C39&lt;&gt;"UPC Not Found"),C39,IFERROR(INDEX('Product Master'!$B$2:$B$1000,MATCH($B39,'Product Master'!$A$2:$A$1000,0)),"UPC Not Found")))</f>
        <v/>
      </c>
      <c r="D39" s="9" t="str">
        <f aca="false">IF($B39="","",IF(AND(D39&lt;&gt;"",D39&lt;&gt;0,D39&lt;&gt;"UPC Not Found"),D39,IFERROR(INDEX('Product Master'!$C$2:$C$1000,MATCH($B39,'Product Master'!$A$2:$A$1000,0)),"UPC Not Found")))</f>
        <v/>
      </c>
      <c r="E39" s="9" t="str">
        <f aca="false">IF($B39="","",IF(AND(E39&lt;&gt;"",E39&lt;&gt;0,E39&lt;&gt;"UPC Not Found"),E39,IFERROR(INDEX('Product Master'!$D$2:$D$1000,MATCH($B39,'Product Master'!$A$2:$A$1000,0)),"UPC Not Found")))</f>
        <v/>
      </c>
      <c r="F39" s="10" t="str">
        <f aca="false">IF($B39="","",IF(AND(F39&lt;&gt;"",F39&lt;&gt;0,F39&lt;&gt;"UPC Not Found"),F39,IFERROR(INDEX('Product Master'!$E$2:$E$1000,MATCH($B39,'Product Master'!$A$2:$A$1000,0)),"UPC Not Found")))</f>
        <v/>
      </c>
      <c r="G39" s="11"/>
      <c r="H39" s="11"/>
      <c r="I39" s="10" t="str">
        <f aca="false">IF($B39="","",IF(AND(G39="",H39=""),"",G39+H39))</f>
        <v/>
      </c>
      <c r="J39" s="10" t="str">
        <f aca="false">IF(OR($B39="",I39="",F39="UPC Not Found"),"",I39-F39)</f>
        <v/>
      </c>
      <c r="K39" s="9" t="str">
        <f aca="false">IF($B39="","",IF(AND(G39="",H39=""),"Not Counted",IF(OR(G39="",H39=""),"Partially Counted",IF(J39=0,"Match",IF(J39&gt;0,"Overage","Shortage")))))</f>
        <v/>
      </c>
      <c r="L39" s="9" t="str">
        <f aca="false">IF($B39="","",IF(AND(L39&lt;&gt;"",L39&lt;&gt;0),L39,$B$4))</f>
        <v/>
      </c>
      <c r="M39" s="12"/>
      <c r="N39" s="12"/>
      <c r="O39" s="12"/>
    </row>
    <row r="40" customFormat="false" ht="15" hidden="false" customHeight="false" outlineLevel="0" collapsed="false">
      <c r="A40" s="7" t="str">
        <f aca="true">IF($B40="","",IF(AND(A40&lt;&gt;"",A40&lt;&gt;0),A40,TODAY()))</f>
        <v/>
      </c>
      <c r="B40" s="8"/>
      <c r="C40" s="9" t="str">
        <f aca="false">IF($B40="","",IF(AND(C40&lt;&gt;"",C40&lt;&gt;0,C40&lt;&gt;"UPC Not Found"),C40,IFERROR(INDEX('Product Master'!$B$2:$B$1000,MATCH($B40,'Product Master'!$A$2:$A$1000,0)),"UPC Not Found")))</f>
        <v/>
      </c>
      <c r="D40" s="9" t="str">
        <f aca="false">IF($B40="","",IF(AND(D40&lt;&gt;"",D40&lt;&gt;0,D40&lt;&gt;"UPC Not Found"),D40,IFERROR(INDEX('Product Master'!$C$2:$C$1000,MATCH($B40,'Product Master'!$A$2:$A$1000,0)),"UPC Not Found")))</f>
        <v/>
      </c>
      <c r="E40" s="9" t="str">
        <f aca="false">IF($B40="","",IF(AND(E40&lt;&gt;"",E40&lt;&gt;0,E40&lt;&gt;"UPC Not Found"),E40,IFERROR(INDEX('Product Master'!$D$2:$D$1000,MATCH($B40,'Product Master'!$A$2:$A$1000,0)),"UPC Not Found")))</f>
        <v/>
      </c>
      <c r="F40" s="10" t="str">
        <f aca="false">IF($B40="","",IF(AND(F40&lt;&gt;"",F40&lt;&gt;0,F40&lt;&gt;"UPC Not Found"),F40,IFERROR(INDEX('Product Master'!$E$2:$E$1000,MATCH($B40,'Product Master'!$A$2:$A$1000,0)),"UPC Not Found")))</f>
        <v/>
      </c>
      <c r="G40" s="11"/>
      <c r="H40" s="11"/>
      <c r="I40" s="10" t="str">
        <f aca="false">IF($B40="","",IF(AND(G40="",H40=""),"",G40+H40))</f>
        <v/>
      </c>
      <c r="J40" s="10" t="str">
        <f aca="false">IF(OR($B40="",I40="",F40="UPC Not Found"),"",I40-F40)</f>
        <v/>
      </c>
      <c r="K40" s="9" t="str">
        <f aca="false">IF($B40="","",IF(AND(G40="",H40=""),"Not Counted",IF(OR(G40="",H40=""),"Partially Counted",IF(J40=0,"Match",IF(J40&gt;0,"Overage","Shortage")))))</f>
        <v/>
      </c>
      <c r="L40" s="9" t="str">
        <f aca="false">IF($B40="","",IF(AND(L40&lt;&gt;"",L40&lt;&gt;0),L40,$B$4))</f>
        <v/>
      </c>
      <c r="M40" s="12"/>
      <c r="N40" s="12"/>
      <c r="O40" s="12"/>
    </row>
    <row r="41" customFormat="false" ht="15" hidden="false" customHeight="false" outlineLevel="0" collapsed="false">
      <c r="A41" s="7" t="str">
        <f aca="true">IF($B41="","",IF(AND(A41&lt;&gt;"",A41&lt;&gt;0),A41,TODAY()))</f>
        <v/>
      </c>
      <c r="B41" s="8"/>
      <c r="C41" s="9" t="str">
        <f aca="false">IF($B41="","",IF(AND(C41&lt;&gt;"",C41&lt;&gt;0,C41&lt;&gt;"UPC Not Found"),C41,IFERROR(INDEX('Product Master'!$B$2:$B$1000,MATCH($B41,'Product Master'!$A$2:$A$1000,0)),"UPC Not Found")))</f>
        <v/>
      </c>
      <c r="D41" s="9" t="str">
        <f aca="false">IF($B41="","",IF(AND(D41&lt;&gt;"",D41&lt;&gt;0,D41&lt;&gt;"UPC Not Found"),D41,IFERROR(INDEX('Product Master'!$C$2:$C$1000,MATCH($B41,'Product Master'!$A$2:$A$1000,0)),"UPC Not Found")))</f>
        <v/>
      </c>
      <c r="E41" s="9" t="str">
        <f aca="false">IF($B41="","",IF(AND(E41&lt;&gt;"",E41&lt;&gt;0,E41&lt;&gt;"UPC Not Found"),E41,IFERROR(INDEX('Product Master'!$D$2:$D$1000,MATCH($B41,'Product Master'!$A$2:$A$1000,0)),"UPC Not Found")))</f>
        <v/>
      </c>
      <c r="F41" s="10" t="str">
        <f aca="false">IF($B41="","",IF(AND(F41&lt;&gt;"",F41&lt;&gt;0,F41&lt;&gt;"UPC Not Found"),F41,IFERROR(INDEX('Product Master'!$E$2:$E$1000,MATCH($B41,'Product Master'!$A$2:$A$1000,0)),"UPC Not Found")))</f>
        <v/>
      </c>
      <c r="G41" s="11"/>
      <c r="H41" s="11"/>
      <c r="I41" s="10" t="str">
        <f aca="false">IF($B41="","",IF(AND(G41="",H41=""),"",G41+H41))</f>
        <v/>
      </c>
      <c r="J41" s="10" t="str">
        <f aca="false">IF(OR($B41="",I41="",F41="UPC Not Found"),"",I41-F41)</f>
        <v/>
      </c>
      <c r="K41" s="9" t="str">
        <f aca="false">IF($B41="","",IF(AND(G41="",H41=""),"Not Counted",IF(OR(G41="",H41=""),"Partially Counted",IF(J41=0,"Match",IF(J41&gt;0,"Overage","Shortage")))))</f>
        <v/>
      </c>
      <c r="L41" s="9" t="str">
        <f aca="false">IF($B41="","",IF(AND(L41&lt;&gt;"",L41&lt;&gt;0),L41,$B$4))</f>
        <v/>
      </c>
      <c r="M41" s="12"/>
      <c r="N41" s="12"/>
      <c r="O41" s="12"/>
    </row>
    <row r="42" customFormat="false" ht="15" hidden="false" customHeight="false" outlineLevel="0" collapsed="false">
      <c r="A42" s="7" t="str">
        <f aca="true">IF($B42="","",IF(AND(A42&lt;&gt;"",A42&lt;&gt;0),A42,TODAY()))</f>
        <v/>
      </c>
      <c r="B42" s="8"/>
      <c r="C42" s="9" t="str">
        <f aca="false">IF($B42="","",IF(AND(C42&lt;&gt;"",C42&lt;&gt;0,C42&lt;&gt;"UPC Not Found"),C42,IFERROR(INDEX('Product Master'!$B$2:$B$1000,MATCH($B42,'Product Master'!$A$2:$A$1000,0)),"UPC Not Found")))</f>
        <v/>
      </c>
      <c r="D42" s="9" t="str">
        <f aca="false">IF($B42="","",IF(AND(D42&lt;&gt;"",D42&lt;&gt;0,D42&lt;&gt;"UPC Not Found"),D42,IFERROR(INDEX('Product Master'!$C$2:$C$1000,MATCH($B42,'Product Master'!$A$2:$A$1000,0)),"UPC Not Found")))</f>
        <v/>
      </c>
      <c r="E42" s="9" t="str">
        <f aca="false">IF($B42="","",IF(AND(E42&lt;&gt;"",E42&lt;&gt;0,E42&lt;&gt;"UPC Not Found"),E42,IFERROR(INDEX('Product Master'!$D$2:$D$1000,MATCH($B42,'Product Master'!$A$2:$A$1000,0)),"UPC Not Found")))</f>
        <v/>
      </c>
      <c r="F42" s="10" t="str">
        <f aca="false">IF($B42="","",IF(AND(F42&lt;&gt;"",F42&lt;&gt;0,F42&lt;&gt;"UPC Not Found"),F42,IFERROR(INDEX('Product Master'!$E$2:$E$1000,MATCH($B42,'Product Master'!$A$2:$A$1000,0)),"UPC Not Found")))</f>
        <v/>
      </c>
      <c r="G42" s="11"/>
      <c r="H42" s="11"/>
      <c r="I42" s="10" t="str">
        <f aca="false">IF($B42="","",IF(AND(G42="",H42=""),"",G42+H42))</f>
        <v/>
      </c>
      <c r="J42" s="10" t="str">
        <f aca="false">IF(OR($B42="",I42="",F42="UPC Not Found"),"",I42-F42)</f>
        <v/>
      </c>
      <c r="K42" s="9" t="str">
        <f aca="false">IF($B42="","",IF(AND(G42="",H42=""),"Not Counted",IF(OR(G42="",H42=""),"Partially Counted",IF(J42=0,"Match",IF(J42&gt;0,"Overage","Shortage")))))</f>
        <v/>
      </c>
      <c r="L42" s="9" t="str">
        <f aca="false">IF($B42="","",IF(AND(L42&lt;&gt;"",L42&lt;&gt;0),L42,$B$4))</f>
        <v/>
      </c>
      <c r="M42" s="12"/>
      <c r="N42" s="12"/>
      <c r="O42" s="12"/>
    </row>
    <row r="43" customFormat="false" ht="15" hidden="false" customHeight="false" outlineLevel="0" collapsed="false">
      <c r="A43" s="7" t="str">
        <f aca="true">IF($B43="","",IF(AND(A43&lt;&gt;"",A43&lt;&gt;0),A43,TODAY()))</f>
        <v/>
      </c>
      <c r="B43" s="8"/>
      <c r="C43" s="9" t="str">
        <f aca="false">IF($B43="","",IF(AND(C43&lt;&gt;"",C43&lt;&gt;0,C43&lt;&gt;"UPC Not Found"),C43,IFERROR(INDEX('Product Master'!$B$2:$B$1000,MATCH($B43,'Product Master'!$A$2:$A$1000,0)),"UPC Not Found")))</f>
        <v/>
      </c>
      <c r="D43" s="9" t="str">
        <f aca="false">IF($B43="","",IF(AND(D43&lt;&gt;"",D43&lt;&gt;0,D43&lt;&gt;"UPC Not Found"),D43,IFERROR(INDEX('Product Master'!$C$2:$C$1000,MATCH($B43,'Product Master'!$A$2:$A$1000,0)),"UPC Not Found")))</f>
        <v/>
      </c>
      <c r="E43" s="9" t="str">
        <f aca="false">IF($B43="","",IF(AND(E43&lt;&gt;"",E43&lt;&gt;0,E43&lt;&gt;"UPC Not Found"),E43,IFERROR(INDEX('Product Master'!$D$2:$D$1000,MATCH($B43,'Product Master'!$A$2:$A$1000,0)),"UPC Not Found")))</f>
        <v/>
      </c>
      <c r="F43" s="10" t="str">
        <f aca="false">IF($B43="","",IF(AND(F43&lt;&gt;"",F43&lt;&gt;0,F43&lt;&gt;"UPC Not Found"),F43,IFERROR(INDEX('Product Master'!$E$2:$E$1000,MATCH($B43,'Product Master'!$A$2:$A$1000,0)),"UPC Not Found")))</f>
        <v/>
      </c>
      <c r="G43" s="11"/>
      <c r="H43" s="11"/>
      <c r="I43" s="10" t="str">
        <f aca="false">IF($B43="","",IF(AND(G43="",H43=""),"",G43+H43))</f>
        <v/>
      </c>
      <c r="J43" s="10" t="str">
        <f aca="false">IF(OR($B43="",I43="",F43="UPC Not Found"),"",I43-F43)</f>
        <v/>
      </c>
      <c r="K43" s="9" t="str">
        <f aca="false">IF($B43="","",IF(AND(G43="",H43=""),"Not Counted",IF(OR(G43="",H43=""),"Partially Counted",IF(J43=0,"Match",IF(J43&gt;0,"Overage","Shortage")))))</f>
        <v/>
      </c>
      <c r="L43" s="9" t="str">
        <f aca="false">IF($B43="","",IF(AND(L43&lt;&gt;"",L43&lt;&gt;0),L43,$B$4))</f>
        <v/>
      </c>
      <c r="M43" s="12"/>
      <c r="N43" s="12"/>
      <c r="O43" s="12"/>
    </row>
    <row r="44" customFormat="false" ht="15" hidden="false" customHeight="false" outlineLevel="0" collapsed="false">
      <c r="A44" s="7" t="str">
        <f aca="true">IF($B44="","",IF(AND(A44&lt;&gt;"",A44&lt;&gt;0),A44,TODAY()))</f>
        <v/>
      </c>
      <c r="B44" s="8"/>
      <c r="C44" s="9" t="str">
        <f aca="false">IF($B44="","",IF(AND(C44&lt;&gt;"",C44&lt;&gt;0,C44&lt;&gt;"UPC Not Found"),C44,IFERROR(INDEX('Product Master'!$B$2:$B$1000,MATCH($B44,'Product Master'!$A$2:$A$1000,0)),"UPC Not Found")))</f>
        <v/>
      </c>
      <c r="D44" s="9" t="str">
        <f aca="false">IF($B44="","",IF(AND(D44&lt;&gt;"",D44&lt;&gt;0,D44&lt;&gt;"UPC Not Found"),D44,IFERROR(INDEX('Product Master'!$C$2:$C$1000,MATCH($B44,'Product Master'!$A$2:$A$1000,0)),"UPC Not Found")))</f>
        <v/>
      </c>
      <c r="E44" s="9" t="str">
        <f aca="false">IF($B44="","",IF(AND(E44&lt;&gt;"",E44&lt;&gt;0,E44&lt;&gt;"UPC Not Found"),E44,IFERROR(INDEX('Product Master'!$D$2:$D$1000,MATCH($B44,'Product Master'!$A$2:$A$1000,0)),"UPC Not Found")))</f>
        <v/>
      </c>
      <c r="F44" s="10" t="str">
        <f aca="false">IF($B44="","",IF(AND(F44&lt;&gt;"",F44&lt;&gt;0,F44&lt;&gt;"UPC Not Found"),F44,IFERROR(INDEX('Product Master'!$E$2:$E$1000,MATCH($B44,'Product Master'!$A$2:$A$1000,0)),"UPC Not Found")))</f>
        <v/>
      </c>
      <c r="G44" s="11"/>
      <c r="H44" s="11"/>
      <c r="I44" s="10" t="str">
        <f aca="false">IF($B44="","",IF(AND(G44="",H44=""),"",G44+H44))</f>
        <v/>
      </c>
      <c r="J44" s="10" t="str">
        <f aca="false">IF(OR($B44="",I44="",F44="UPC Not Found"),"",I44-F44)</f>
        <v/>
      </c>
      <c r="K44" s="9" t="str">
        <f aca="false">IF($B44="","",IF(AND(G44="",H44=""),"Not Counted",IF(OR(G44="",H44=""),"Partially Counted",IF(J44=0,"Match",IF(J44&gt;0,"Overage","Shortage")))))</f>
        <v/>
      </c>
      <c r="L44" s="9" t="str">
        <f aca="false">IF($B44="","",IF(AND(L44&lt;&gt;"",L44&lt;&gt;0),L44,$B$4))</f>
        <v/>
      </c>
      <c r="M44" s="12"/>
      <c r="N44" s="12"/>
      <c r="O44" s="12"/>
    </row>
    <row r="45" customFormat="false" ht="15" hidden="false" customHeight="false" outlineLevel="0" collapsed="false">
      <c r="A45" s="7" t="str">
        <f aca="true">IF($B45="","",IF(AND(A45&lt;&gt;"",A45&lt;&gt;0),A45,TODAY()))</f>
        <v/>
      </c>
      <c r="B45" s="8"/>
      <c r="C45" s="9" t="str">
        <f aca="false">IF($B45="","",IF(AND(C45&lt;&gt;"",C45&lt;&gt;0,C45&lt;&gt;"UPC Not Found"),C45,IFERROR(INDEX('Product Master'!$B$2:$B$1000,MATCH($B45,'Product Master'!$A$2:$A$1000,0)),"UPC Not Found")))</f>
        <v/>
      </c>
      <c r="D45" s="9" t="str">
        <f aca="false">IF($B45="","",IF(AND(D45&lt;&gt;"",D45&lt;&gt;0,D45&lt;&gt;"UPC Not Found"),D45,IFERROR(INDEX('Product Master'!$C$2:$C$1000,MATCH($B45,'Product Master'!$A$2:$A$1000,0)),"UPC Not Found")))</f>
        <v/>
      </c>
      <c r="E45" s="9" t="str">
        <f aca="false">IF($B45="","",IF(AND(E45&lt;&gt;"",E45&lt;&gt;0,E45&lt;&gt;"UPC Not Found"),E45,IFERROR(INDEX('Product Master'!$D$2:$D$1000,MATCH($B45,'Product Master'!$A$2:$A$1000,0)),"UPC Not Found")))</f>
        <v/>
      </c>
      <c r="F45" s="10" t="str">
        <f aca="false">IF($B45="","",IF(AND(F45&lt;&gt;"",F45&lt;&gt;0,F45&lt;&gt;"UPC Not Found"),F45,IFERROR(INDEX('Product Master'!$E$2:$E$1000,MATCH($B45,'Product Master'!$A$2:$A$1000,0)),"UPC Not Found")))</f>
        <v/>
      </c>
      <c r="G45" s="11"/>
      <c r="H45" s="11"/>
      <c r="I45" s="10" t="str">
        <f aca="false">IF($B45="","",IF(AND(G45="",H45=""),"",G45+H45))</f>
        <v/>
      </c>
      <c r="J45" s="10" t="str">
        <f aca="false">IF(OR($B45="",I45="",F45="UPC Not Found"),"",I45-F45)</f>
        <v/>
      </c>
      <c r="K45" s="9" t="str">
        <f aca="false">IF($B45="","",IF(AND(G45="",H45=""),"Not Counted",IF(OR(G45="",H45=""),"Partially Counted",IF(J45=0,"Match",IF(J45&gt;0,"Overage","Shortage")))))</f>
        <v/>
      </c>
      <c r="L45" s="9" t="str">
        <f aca="false">IF($B45="","",IF(AND(L45&lt;&gt;"",L45&lt;&gt;0),L45,$B$4))</f>
        <v/>
      </c>
      <c r="M45" s="12"/>
      <c r="N45" s="12"/>
      <c r="O45" s="12"/>
    </row>
    <row r="46" customFormat="false" ht="15" hidden="false" customHeight="false" outlineLevel="0" collapsed="false">
      <c r="A46" s="7" t="str">
        <f aca="true">IF($B46="","",IF(AND(A46&lt;&gt;"",A46&lt;&gt;0),A46,TODAY()))</f>
        <v/>
      </c>
      <c r="B46" s="8"/>
      <c r="C46" s="9" t="str">
        <f aca="false">IF($B46="","",IF(AND(C46&lt;&gt;"",C46&lt;&gt;0,C46&lt;&gt;"UPC Not Found"),C46,IFERROR(INDEX('Product Master'!$B$2:$B$1000,MATCH($B46,'Product Master'!$A$2:$A$1000,0)),"UPC Not Found")))</f>
        <v/>
      </c>
      <c r="D46" s="9" t="str">
        <f aca="false">IF($B46="","",IF(AND(D46&lt;&gt;"",D46&lt;&gt;0,D46&lt;&gt;"UPC Not Found"),D46,IFERROR(INDEX('Product Master'!$C$2:$C$1000,MATCH($B46,'Product Master'!$A$2:$A$1000,0)),"UPC Not Found")))</f>
        <v/>
      </c>
      <c r="E46" s="9" t="str">
        <f aca="false">IF($B46="","",IF(AND(E46&lt;&gt;"",E46&lt;&gt;0,E46&lt;&gt;"UPC Not Found"),E46,IFERROR(INDEX('Product Master'!$D$2:$D$1000,MATCH($B46,'Product Master'!$A$2:$A$1000,0)),"UPC Not Found")))</f>
        <v/>
      </c>
      <c r="F46" s="10" t="str">
        <f aca="false">IF($B46="","",IF(AND(F46&lt;&gt;"",F46&lt;&gt;0,F46&lt;&gt;"UPC Not Found"),F46,IFERROR(INDEX('Product Master'!$E$2:$E$1000,MATCH($B46,'Product Master'!$A$2:$A$1000,0)),"UPC Not Found")))</f>
        <v/>
      </c>
      <c r="G46" s="11"/>
      <c r="H46" s="11"/>
      <c r="I46" s="10" t="str">
        <f aca="false">IF($B46="","",IF(AND(G46="",H46=""),"",G46+H46))</f>
        <v/>
      </c>
      <c r="J46" s="10" t="str">
        <f aca="false">IF(OR($B46="",I46="",F46="UPC Not Found"),"",I46-F46)</f>
        <v/>
      </c>
      <c r="K46" s="9" t="str">
        <f aca="false">IF($B46="","",IF(AND(G46="",H46=""),"Not Counted",IF(OR(G46="",H46=""),"Partially Counted",IF(J46=0,"Match",IF(J46&gt;0,"Overage","Shortage")))))</f>
        <v/>
      </c>
      <c r="L46" s="9" t="str">
        <f aca="false">IF($B46="","",IF(AND(L46&lt;&gt;"",L46&lt;&gt;0),L46,$B$4))</f>
        <v/>
      </c>
      <c r="M46" s="12"/>
      <c r="N46" s="12"/>
      <c r="O46" s="12"/>
    </row>
    <row r="47" customFormat="false" ht="15" hidden="false" customHeight="false" outlineLevel="0" collapsed="false">
      <c r="A47" s="7" t="str">
        <f aca="true">IF($B47="","",IF(AND(A47&lt;&gt;"",A47&lt;&gt;0),A47,TODAY()))</f>
        <v/>
      </c>
      <c r="B47" s="8"/>
      <c r="C47" s="9" t="str">
        <f aca="false">IF($B47="","",IF(AND(C47&lt;&gt;"",C47&lt;&gt;0,C47&lt;&gt;"UPC Not Found"),C47,IFERROR(INDEX('Product Master'!$B$2:$B$1000,MATCH($B47,'Product Master'!$A$2:$A$1000,0)),"UPC Not Found")))</f>
        <v/>
      </c>
      <c r="D47" s="9" t="str">
        <f aca="false">IF($B47="","",IF(AND(D47&lt;&gt;"",D47&lt;&gt;0,D47&lt;&gt;"UPC Not Found"),D47,IFERROR(INDEX('Product Master'!$C$2:$C$1000,MATCH($B47,'Product Master'!$A$2:$A$1000,0)),"UPC Not Found")))</f>
        <v/>
      </c>
      <c r="E47" s="9" t="str">
        <f aca="false">IF($B47="","",IF(AND(E47&lt;&gt;"",E47&lt;&gt;0,E47&lt;&gt;"UPC Not Found"),E47,IFERROR(INDEX('Product Master'!$D$2:$D$1000,MATCH($B47,'Product Master'!$A$2:$A$1000,0)),"UPC Not Found")))</f>
        <v/>
      </c>
      <c r="F47" s="10" t="str">
        <f aca="false">IF($B47="","",IF(AND(F47&lt;&gt;"",F47&lt;&gt;0,F47&lt;&gt;"UPC Not Found"),F47,IFERROR(INDEX('Product Master'!$E$2:$E$1000,MATCH($B47,'Product Master'!$A$2:$A$1000,0)),"UPC Not Found")))</f>
        <v/>
      </c>
      <c r="G47" s="11"/>
      <c r="H47" s="11"/>
      <c r="I47" s="10" t="str">
        <f aca="false">IF($B47="","",IF(AND(G47="",H47=""),"",G47+H47))</f>
        <v/>
      </c>
      <c r="J47" s="10" t="str">
        <f aca="false">IF(OR($B47="",I47="",F47="UPC Not Found"),"",I47-F47)</f>
        <v/>
      </c>
      <c r="K47" s="9" t="str">
        <f aca="false">IF($B47="","",IF(AND(G47="",H47=""),"Not Counted",IF(OR(G47="",H47=""),"Partially Counted",IF(J47=0,"Match",IF(J47&gt;0,"Overage","Shortage")))))</f>
        <v/>
      </c>
      <c r="L47" s="9" t="str">
        <f aca="false">IF($B47="","",IF(AND(L47&lt;&gt;"",L47&lt;&gt;0),L47,$B$4))</f>
        <v/>
      </c>
      <c r="M47" s="12"/>
      <c r="N47" s="12"/>
      <c r="O47" s="12"/>
    </row>
    <row r="48" customFormat="false" ht="15" hidden="false" customHeight="false" outlineLevel="0" collapsed="false">
      <c r="A48" s="7" t="str">
        <f aca="true">IF($B48="","",IF(AND(A48&lt;&gt;"",A48&lt;&gt;0),A48,TODAY()))</f>
        <v/>
      </c>
      <c r="B48" s="8"/>
      <c r="C48" s="9" t="str">
        <f aca="false">IF($B48="","",IF(AND(C48&lt;&gt;"",C48&lt;&gt;0,C48&lt;&gt;"UPC Not Found"),C48,IFERROR(INDEX('Product Master'!$B$2:$B$1000,MATCH($B48,'Product Master'!$A$2:$A$1000,0)),"UPC Not Found")))</f>
        <v/>
      </c>
      <c r="D48" s="9" t="str">
        <f aca="false">IF($B48="","",IF(AND(D48&lt;&gt;"",D48&lt;&gt;0,D48&lt;&gt;"UPC Not Found"),D48,IFERROR(INDEX('Product Master'!$C$2:$C$1000,MATCH($B48,'Product Master'!$A$2:$A$1000,0)),"UPC Not Found")))</f>
        <v/>
      </c>
      <c r="E48" s="9" t="str">
        <f aca="false">IF($B48="","",IF(AND(E48&lt;&gt;"",E48&lt;&gt;0,E48&lt;&gt;"UPC Not Found"),E48,IFERROR(INDEX('Product Master'!$D$2:$D$1000,MATCH($B48,'Product Master'!$A$2:$A$1000,0)),"UPC Not Found")))</f>
        <v/>
      </c>
      <c r="F48" s="10" t="str">
        <f aca="false">IF($B48="","",IF(AND(F48&lt;&gt;"",F48&lt;&gt;0,F48&lt;&gt;"UPC Not Found"),F48,IFERROR(INDEX('Product Master'!$E$2:$E$1000,MATCH($B48,'Product Master'!$A$2:$A$1000,0)),"UPC Not Found")))</f>
        <v/>
      </c>
      <c r="G48" s="11"/>
      <c r="H48" s="11"/>
      <c r="I48" s="10" t="str">
        <f aca="false">IF($B48="","",IF(AND(G48="",H48=""),"",G48+H48))</f>
        <v/>
      </c>
      <c r="J48" s="10" t="str">
        <f aca="false">IF(OR($B48="",I48="",F48="UPC Not Found"),"",I48-F48)</f>
        <v/>
      </c>
      <c r="K48" s="9" t="str">
        <f aca="false">IF($B48="","",IF(AND(G48="",H48=""),"Not Counted",IF(OR(G48="",H48=""),"Partially Counted",IF(J48=0,"Match",IF(J48&gt;0,"Overage","Shortage")))))</f>
        <v/>
      </c>
      <c r="L48" s="9" t="str">
        <f aca="false">IF($B48="","",IF(AND(L48&lt;&gt;"",L48&lt;&gt;0),L48,$B$4))</f>
        <v/>
      </c>
      <c r="M48" s="12"/>
      <c r="N48" s="12"/>
      <c r="O48" s="12"/>
    </row>
    <row r="49" customFormat="false" ht="15" hidden="false" customHeight="false" outlineLevel="0" collapsed="false">
      <c r="A49" s="7" t="str">
        <f aca="true">IF($B49="","",IF(AND(A49&lt;&gt;"",A49&lt;&gt;0),A49,TODAY()))</f>
        <v/>
      </c>
      <c r="B49" s="8"/>
      <c r="C49" s="9" t="str">
        <f aca="false">IF($B49="","",IF(AND(C49&lt;&gt;"",C49&lt;&gt;0,C49&lt;&gt;"UPC Not Found"),C49,IFERROR(INDEX('Product Master'!$B$2:$B$1000,MATCH($B49,'Product Master'!$A$2:$A$1000,0)),"UPC Not Found")))</f>
        <v/>
      </c>
      <c r="D49" s="9" t="str">
        <f aca="false">IF($B49="","",IF(AND(D49&lt;&gt;"",D49&lt;&gt;0,D49&lt;&gt;"UPC Not Found"),D49,IFERROR(INDEX('Product Master'!$C$2:$C$1000,MATCH($B49,'Product Master'!$A$2:$A$1000,0)),"UPC Not Found")))</f>
        <v/>
      </c>
      <c r="E49" s="9" t="str">
        <f aca="false">IF($B49="","",IF(AND(E49&lt;&gt;"",E49&lt;&gt;0,E49&lt;&gt;"UPC Not Found"),E49,IFERROR(INDEX('Product Master'!$D$2:$D$1000,MATCH($B49,'Product Master'!$A$2:$A$1000,0)),"UPC Not Found")))</f>
        <v/>
      </c>
      <c r="F49" s="10" t="str">
        <f aca="false">IF($B49="","",IF(AND(F49&lt;&gt;"",F49&lt;&gt;0,F49&lt;&gt;"UPC Not Found"),F49,IFERROR(INDEX('Product Master'!$E$2:$E$1000,MATCH($B49,'Product Master'!$A$2:$A$1000,0)),"UPC Not Found")))</f>
        <v/>
      </c>
      <c r="G49" s="11"/>
      <c r="H49" s="11"/>
      <c r="I49" s="10" t="str">
        <f aca="false">IF($B49="","",IF(AND(G49="",H49=""),"",G49+H49))</f>
        <v/>
      </c>
      <c r="J49" s="10" t="str">
        <f aca="false">IF(OR($B49="",I49="",F49="UPC Not Found"),"",I49-F49)</f>
        <v/>
      </c>
      <c r="K49" s="9" t="str">
        <f aca="false">IF($B49="","",IF(AND(G49="",H49=""),"Not Counted",IF(OR(G49="",H49=""),"Partially Counted",IF(J49=0,"Match",IF(J49&gt;0,"Overage","Shortage")))))</f>
        <v/>
      </c>
      <c r="L49" s="9" t="str">
        <f aca="false">IF($B49="","",IF(AND(L49&lt;&gt;"",L49&lt;&gt;0),L49,$B$4))</f>
        <v/>
      </c>
      <c r="M49" s="12"/>
      <c r="N49" s="12"/>
      <c r="O49" s="12"/>
    </row>
    <row r="50" customFormat="false" ht="15" hidden="false" customHeight="false" outlineLevel="0" collapsed="false">
      <c r="A50" s="7" t="str">
        <f aca="true">IF($B50="","",IF(AND(A50&lt;&gt;"",A50&lt;&gt;0),A50,TODAY()))</f>
        <v/>
      </c>
      <c r="B50" s="8"/>
      <c r="C50" s="9" t="str">
        <f aca="false">IF($B50="","",IF(AND(C50&lt;&gt;"",C50&lt;&gt;0,C50&lt;&gt;"UPC Not Found"),C50,IFERROR(INDEX('Product Master'!$B$2:$B$1000,MATCH($B50,'Product Master'!$A$2:$A$1000,0)),"UPC Not Found")))</f>
        <v/>
      </c>
      <c r="D50" s="9" t="str">
        <f aca="false">IF($B50="","",IF(AND(D50&lt;&gt;"",D50&lt;&gt;0,D50&lt;&gt;"UPC Not Found"),D50,IFERROR(INDEX('Product Master'!$C$2:$C$1000,MATCH($B50,'Product Master'!$A$2:$A$1000,0)),"UPC Not Found")))</f>
        <v/>
      </c>
      <c r="E50" s="9" t="str">
        <f aca="false">IF($B50="","",IF(AND(E50&lt;&gt;"",E50&lt;&gt;0,E50&lt;&gt;"UPC Not Found"),E50,IFERROR(INDEX('Product Master'!$D$2:$D$1000,MATCH($B50,'Product Master'!$A$2:$A$1000,0)),"UPC Not Found")))</f>
        <v/>
      </c>
      <c r="F50" s="10" t="str">
        <f aca="false">IF($B50="","",IF(AND(F50&lt;&gt;"",F50&lt;&gt;0,F50&lt;&gt;"UPC Not Found"),F50,IFERROR(INDEX('Product Master'!$E$2:$E$1000,MATCH($B50,'Product Master'!$A$2:$A$1000,0)),"UPC Not Found")))</f>
        <v/>
      </c>
      <c r="G50" s="11"/>
      <c r="H50" s="11"/>
      <c r="I50" s="10" t="str">
        <f aca="false">IF($B50="","",IF(AND(G50="",H50=""),"",G50+H50))</f>
        <v/>
      </c>
      <c r="J50" s="10" t="str">
        <f aca="false">IF(OR($B50="",I50="",F50="UPC Not Found"),"",I50-F50)</f>
        <v/>
      </c>
      <c r="K50" s="9" t="str">
        <f aca="false">IF($B50="","",IF(AND(G50="",H50=""),"Not Counted",IF(OR(G50="",H50=""),"Partially Counted",IF(J50=0,"Match",IF(J50&gt;0,"Overage","Shortage")))))</f>
        <v/>
      </c>
      <c r="L50" s="9" t="str">
        <f aca="false">IF($B50="","",IF(AND(L50&lt;&gt;"",L50&lt;&gt;0),L50,$B$4))</f>
        <v/>
      </c>
      <c r="M50" s="12"/>
      <c r="N50" s="12"/>
      <c r="O50" s="12"/>
    </row>
    <row r="51" customFormat="false" ht="15" hidden="false" customHeight="false" outlineLevel="0" collapsed="false">
      <c r="A51" s="7" t="str">
        <f aca="true">IF($B51="","",IF(AND(A51&lt;&gt;"",A51&lt;&gt;0),A51,TODAY()))</f>
        <v/>
      </c>
      <c r="B51" s="8"/>
      <c r="C51" s="9" t="str">
        <f aca="false">IF($B51="","",IF(AND(C51&lt;&gt;"",C51&lt;&gt;0,C51&lt;&gt;"UPC Not Found"),C51,IFERROR(INDEX('Product Master'!$B$2:$B$1000,MATCH($B51,'Product Master'!$A$2:$A$1000,0)),"UPC Not Found")))</f>
        <v/>
      </c>
      <c r="D51" s="9" t="str">
        <f aca="false">IF($B51="","",IF(AND(D51&lt;&gt;"",D51&lt;&gt;0,D51&lt;&gt;"UPC Not Found"),D51,IFERROR(INDEX('Product Master'!$C$2:$C$1000,MATCH($B51,'Product Master'!$A$2:$A$1000,0)),"UPC Not Found")))</f>
        <v/>
      </c>
      <c r="E51" s="9" t="str">
        <f aca="false">IF($B51="","",IF(AND(E51&lt;&gt;"",E51&lt;&gt;0,E51&lt;&gt;"UPC Not Found"),E51,IFERROR(INDEX('Product Master'!$D$2:$D$1000,MATCH($B51,'Product Master'!$A$2:$A$1000,0)),"UPC Not Found")))</f>
        <v/>
      </c>
      <c r="F51" s="10" t="str">
        <f aca="false">IF($B51="","",IF(AND(F51&lt;&gt;"",F51&lt;&gt;0,F51&lt;&gt;"UPC Not Found"),F51,IFERROR(INDEX('Product Master'!$E$2:$E$1000,MATCH($B51,'Product Master'!$A$2:$A$1000,0)),"UPC Not Found")))</f>
        <v/>
      </c>
      <c r="G51" s="11"/>
      <c r="H51" s="11"/>
      <c r="I51" s="10" t="str">
        <f aca="false">IF($B51="","",IF(AND(G51="",H51=""),"",G51+H51))</f>
        <v/>
      </c>
      <c r="J51" s="10" t="str">
        <f aca="false">IF(OR($B51="",I51="",F51="UPC Not Found"),"",I51-F51)</f>
        <v/>
      </c>
      <c r="K51" s="9" t="str">
        <f aca="false">IF($B51="","",IF(AND(G51="",H51=""),"Not Counted",IF(OR(G51="",H51=""),"Partially Counted",IF(J51=0,"Match",IF(J51&gt;0,"Overage","Shortage")))))</f>
        <v/>
      </c>
      <c r="L51" s="9" t="str">
        <f aca="false">IF($B51="","",IF(AND(L51&lt;&gt;"",L51&lt;&gt;0),L51,$B$4))</f>
        <v/>
      </c>
      <c r="M51" s="12"/>
      <c r="N51" s="12"/>
      <c r="O51" s="12"/>
    </row>
    <row r="52" customFormat="false" ht="15" hidden="false" customHeight="false" outlineLevel="0" collapsed="false">
      <c r="A52" s="7" t="str">
        <f aca="true">IF($B52="","",IF(AND(A52&lt;&gt;"",A52&lt;&gt;0),A52,TODAY()))</f>
        <v/>
      </c>
      <c r="B52" s="8"/>
      <c r="C52" s="9" t="str">
        <f aca="false">IF($B52="","",IF(AND(C52&lt;&gt;"",C52&lt;&gt;0,C52&lt;&gt;"UPC Not Found"),C52,IFERROR(INDEX('Product Master'!$B$2:$B$1000,MATCH($B52,'Product Master'!$A$2:$A$1000,0)),"UPC Not Found")))</f>
        <v/>
      </c>
      <c r="D52" s="9" t="str">
        <f aca="false">IF($B52="","",IF(AND(D52&lt;&gt;"",D52&lt;&gt;0,D52&lt;&gt;"UPC Not Found"),D52,IFERROR(INDEX('Product Master'!$C$2:$C$1000,MATCH($B52,'Product Master'!$A$2:$A$1000,0)),"UPC Not Found")))</f>
        <v/>
      </c>
      <c r="E52" s="9" t="str">
        <f aca="false">IF($B52="","",IF(AND(E52&lt;&gt;"",E52&lt;&gt;0,E52&lt;&gt;"UPC Not Found"),E52,IFERROR(INDEX('Product Master'!$D$2:$D$1000,MATCH($B52,'Product Master'!$A$2:$A$1000,0)),"UPC Not Found")))</f>
        <v/>
      </c>
      <c r="F52" s="10" t="str">
        <f aca="false">IF($B52="","",IF(AND(F52&lt;&gt;"",F52&lt;&gt;0,F52&lt;&gt;"UPC Not Found"),F52,IFERROR(INDEX('Product Master'!$E$2:$E$1000,MATCH($B52,'Product Master'!$A$2:$A$1000,0)),"UPC Not Found")))</f>
        <v/>
      </c>
      <c r="G52" s="11"/>
      <c r="H52" s="11"/>
      <c r="I52" s="10" t="str">
        <f aca="false">IF($B52="","",IF(AND(G52="",H52=""),"",G52+H52))</f>
        <v/>
      </c>
      <c r="J52" s="10" t="str">
        <f aca="false">IF(OR($B52="",I52="",F52="UPC Not Found"),"",I52-F52)</f>
        <v/>
      </c>
      <c r="K52" s="9" t="str">
        <f aca="false">IF($B52="","",IF(AND(G52="",H52=""),"Not Counted",IF(OR(G52="",H52=""),"Partially Counted",IF(J52=0,"Match",IF(J52&gt;0,"Overage","Shortage")))))</f>
        <v/>
      </c>
      <c r="L52" s="9" t="str">
        <f aca="false">IF($B52="","",IF(AND(L52&lt;&gt;"",L52&lt;&gt;0),L52,$B$4))</f>
        <v/>
      </c>
      <c r="M52" s="12"/>
      <c r="N52" s="12"/>
      <c r="O52" s="12"/>
    </row>
    <row r="53" customFormat="false" ht="15" hidden="false" customHeight="false" outlineLevel="0" collapsed="false">
      <c r="A53" s="7" t="str">
        <f aca="true">IF($B53="","",IF(AND(A53&lt;&gt;"",A53&lt;&gt;0),A53,TODAY()))</f>
        <v/>
      </c>
      <c r="B53" s="8"/>
      <c r="C53" s="9" t="str">
        <f aca="false">IF($B53="","",IF(AND(C53&lt;&gt;"",C53&lt;&gt;0,C53&lt;&gt;"UPC Not Found"),C53,IFERROR(INDEX('Product Master'!$B$2:$B$1000,MATCH($B53,'Product Master'!$A$2:$A$1000,0)),"UPC Not Found")))</f>
        <v/>
      </c>
      <c r="D53" s="9" t="str">
        <f aca="false">IF($B53="","",IF(AND(D53&lt;&gt;"",D53&lt;&gt;0,D53&lt;&gt;"UPC Not Found"),D53,IFERROR(INDEX('Product Master'!$C$2:$C$1000,MATCH($B53,'Product Master'!$A$2:$A$1000,0)),"UPC Not Found")))</f>
        <v/>
      </c>
      <c r="E53" s="9" t="str">
        <f aca="false">IF($B53="","",IF(AND(E53&lt;&gt;"",E53&lt;&gt;0,E53&lt;&gt;"UPC Not Found"),E53,IFERROR(INDEX('Product Master'!$D$2:$D$1000,MATCH($B53,'Product Master'!$A$2:$A$1000,0)),"UPC Not Found")))</f>
        <v/>
      </c>
      <c r="F53" s="10" t="str">
        <f aca="false">IF($B53="","",IF(AND(F53&lt;&gt;"",F53&lt;&gt;0,F53&lt;&gt;"UPC Not Found"),F53,IFERROR(INDEX('Product Master'!$E$2:$E$1000,MATCH($B53,'Product Master'!$A$2:$A$1000,0)),"UPC Not Found")))</f>
        <v/>
      </c>
      <c r="G53" s="11"/>
      <c r="H53" s="11"/>
      <c r="I53" s="10" t="str">
        <f aca="false">IF($B53="","",IF(AND(G53="",H53=""),"",G53+H53))</f>
        <v/>
      </c>
      <c r="J53" s="10" t="str">
        <f aca="false">IF(OR($B53="",I53="",F53="UPC Not Found"),"",I53-F53)</f>
        <v/>
      </c>
      <c r="K53" s="9" t="str">
        <f aca="false">IF($B53="","",IF(AND(G53="",H53=""),"Not Counted",IF(OR(G53="",H53=""),"Partially Counted",IF(J53=0,"Match",IF(J53&gt;0,"Overage","Shortage")))))</f>
        <v/>
      </c>
      <c r="L53" s="9" t="str">
        <f aca="false">IF($B53="","",IF(AND(L53&lt;&gt;"",L53&lt;&gt;0),L53,$B$4))</f>
        <v/>
      </c>
      <c r="M53" s="12"/>
      <c r="N53" s="12"/>
      <c r="O53" s="12"/>
    </row>
    <row r="54" customFormat="false" ht="15" hidden="false" customHeight="false" outlineLevel="0" collapsed="false">
      <c r="A54" s="7" t="str">
        <f aca="true">IF($B54="","",IF(AND(A54&lt;&gt;"",A54&lt;&gt;0),A54,TODAY()))</f>
        <v/>
      </c>
      <c r="B54" s="8"/>
      <c r="C54" s="9" t="str">
        <f aca="false">IF($B54="","",IF(AND(C54&lt;&gt;"",C54&lt;&gt;0,C54&lt;&gt;"UPC Not Found"),C54,IFERROR(INDEX('Product Master'!$B$2:$B$1000,MATCH($B54,'Product Master'!$A$2:$A$1000,0)),"UPC Not Found")))</f>
        <v/>
      </c>
      <c r="D54" s="9" t="str">
        <f aca="false">IF($B54="","",IF(AND(D54&lt;&gt;"",D54&lt;&gt;0,D54&lt;&gt;"UPC Not Found"),D54,IFERROR(INDEX('Product Master'!$C$2:$C$1000,MATCH($B54,'Product Master'!$A$2:$A$1000,0)),"UPC Not Found")))</f>
        <v/>
      </c>
      <c r="E54" s="9" t="str">
        <f aca="false">IF($B54="","",IF(AND(E54&lt;&gt;"",E54&lt;&gt;0,E54&lt;&gt;"UPC Not Found"),E54,IFERROR(INDEX('Product Master'!$D$2:$D$1000,MATCH($B54,'Product Master'!$A$2:$A$1000,0)),"UPC Not Found")))</f>
        <v/>
      </c>
      <c r="F54" s="10" t="str">
        <f aca="false">IF($B54="","",IF(AND(F54&lt;&gt;"",F54&lt;&gt;0,F54&lt;&gt;"UPC Not Found"),F54,IFERROR(INDEX('Product Master'!$E$2:$E$1000,MATCH($B54,'Product Master'!$A$2:$A$1000,0)),"UPC Not Found")))</f>
        <v/>
      </c>
      <c r="G54" s="11"/>
      <c r="H54" s="11"/>
      <c r="I54" s="10" t="str">
        <f aca="false">IF($B54="","",IF(AND(G54="",H54=""),"",G54+H54))</f>
        <v/>
      </c>
      <c r="J54" s="10" t="str">
        <f aca="false">IF(OR($B54="",I54="",F54="UPC Not Found"),"",I54-F54)</f>
        <v/>
      </c>
      <c r="K54" s="9" t="str">
        <f aca="false">IF($B54="","",IF(AND(G54="",H54=""),"Not Counted",IF(OR(G54="",H54=""),"Partially Counted",IF(J54=0,"Match",IF(J54&gt;0,"Overage","Shortage")))))</f>
        <v/>
      </c>
      <c r="L54" s="9" t="str">
        <f aca="false">IF($B54="","",IF(AND(L54&lt;&gt;"",L54&lt;&gt;0),L54,$B$4))</f>
        <v/>
      </c>
      <c r="M54" s="12"/>
      <c r="N54" s="12"/>
      <c r="O54" s="12"/>
    </row>
    <row r="55" customFormat="false" ht="15" hidden="false" customHeight="false" outlineLevel="0" collapsed="false">
      <c r="A55" s="7" t="str">
        <f aca="true">IF($B55="","",IF(AND(A55&lt;&gt;"",A55&lt;&gt;0),A55,TODAY()))</f>
        <v/>
      </c>
      <c r="B55" s="8"/>
      <c r="C55" s="9" t="str">
        <f aca="false">IF($B55="","",IF(AND(C55&lt;&gt;"",C55&lt;&gt;0,C55&lt;&gt;"UPC Not Found"),C55,IFERROR(INDEX('Product Master'!$B$2:$B$1000,MATCH($B55,'Product Master'!$A$2:$A$1000,0)),"UPC Not Found")))</f>
        <v/>
      </c>
      <c r="D55" s="9" t="str">
        <f aca="false">IF($B55="","",IF(AND(D55&lt;&gt;"",D55&lt;&gt;0,D55&lt;&gt;"UPC Not Found"),D55,IFERROR(INDEX('Product Master'!$C$2:$C$1000,MATCH($B55,'Product Master'!$A$2:$A$1000,0)),"UPC Not Found")))</f>
        <v/>
      </c>
      <c r="E55" s="9" t="str">
        <f aca="false">IF($B55="","",IF(AND(E55&lt;&gt;"",E55&lt;&gt;0,E55&lt;&gt;"UPC Not Found"),E55,IFERROR(INDEX('Product Master'!$D$2:$D$1000,MATCH($B55,'Product Master'!$A$2:$A$1000,0)),"UPC Not Found")))</f>
        <v/>
      </c>
      <c r="F55" s="10" t="str">
        <f aca="false">IF($B55="","",IF(AND(F55&lt;&gt;"",F55&lt;&gt;0,F55&lt;&gt;"UPC Not Found"),F55,IFERROR(INDEX('Product Master'!$E$2:$E$1000,MATCH($B55,'Product Master'!$A$2:$A$1000,0)),"UPC Not Found")))</f>
        <v/>
      </c>
      <c r="G55" s="11"/>
      <c r="H55" s="11"/>
      <c r="I55" s="10" t="str">
        <f aca="false">IF($B55="","",IF(AND(G55="",H55=""),"",G55+H55))</f>
        <v/>
      </c>
      <c r="J55" s="10" t="str">
        <f aca="false">IF(OR($B55="",I55="",F55="UPC Not Found"),"",I55-F55)</f>
        <v/>
      </c>
      <c r="K55" s="9" t="str">
        <f aca="false">IF($B55="","",IF(AND(G55="",H55=""),"Not Counted",IF(OR(G55="",H55=""),"Partially Counted",IF(J55=0,"Match",IF(J55&gt;0,"Overage","Shortage")))))</f>
        <v/>
      </c>
      <c r="L55" s="9" t="str">
        <f aca="false">IF($B55="","",IF(AND(L55&lt;&gt;"",L55&lt;&gt;0),L55,$B$4))</f>
        <v/>
      </c>
      <c r="M55" s="12"/>
      <c r="N55" s="12"/>
      <c r="O55" s="12"/>
    </row>
    <row r="56" customFormat="false" ht="15" hidden="false" customHeight="false" outlineLevel="0" collapsed="false">
      <c r="A56" s="7" t="str">
        <f aca="true">IF($B56="","",IF(AND(A56&lt;&gt;"",A56&lt;&gt;0),A56,TODAY()))</f>
        <v/>
      </c>
      <c r="B56" s="8"/>
      <c r="C56" s="9" t="str">
        <f aca="false">IF($B56="","",IF(AND(C56&lt;&gt;"",C56&lt;&gt;0,C56&lt;&gt;"UPC Not Found"),C56,IFERROR(INDEX('Product Master'!$B$2:$B$1000,MATCH($B56,'Product Master'!$A$2:$A$1000,0)),"UPC Not Found")))</f>
        <v/>
      </c>
      <c r="D56" s="9" t="str">
        <f aca="false">IF($B56="","",IF(AND(D56&lt;&gt;"",D56&lt;&gt;0,D56&lt;&gt;"UPC Not Found"),D56,IFERROR(INDEX('Product Master'!$C$2:$C$1000,MATCH($B56,'Product Master'!$A$2:$A$1000,0)),"UPC Not Found")))</f>
        <v/>
      </c>
      <c r="E56" s="9" t="str">
        <f aca="false">IF($B56="","",IF(AND(E56&lt;&gt;"",E56&lt;&gt;0,E56&lt;&gt;"UPC Not Found"),E56,IFERROR(INDEX('Product Master'!$D$2:$D$1000,MATCH($B56,'Product Master'!$A$2:$A$1000,0)),"UPC Not Found")))</f>
        <v/>
      </c>
      <c r="F56" s="10" t="str">
        <f aca="false">IF($B56="","",IF(AND(F56&lt;&gt;"",F56&lt;&gt;0,F56&lt;&gt;"UPC Not Found"),F56,IFERROR(INDEX('Product Master'!$E$2:$E$1000,MATCH($B56,'Product Master'!$A$2:$A$1000,0)),"UPC Not Found")))</f>
        <v/>
      </c>
      <c r="G56" s="11"/>
      <c r="H56" s="11"/>
      <c r="I56" s="10" t="str">
        <f aca="false">IF($B56="","",IF(AND(G56="",H56=""),"",G56+H56))</f>
        <v/>
      </c>
      <c r="J56" s="10" t="str">
        <f aca="false">IF(OR($B56="",I56="",F56="UPC Not Found"),"",I56-F56)</f>
        <v/>
      </c>
      <c r="K56" s="9" t="str">
        <f aca="false">IF($B56="","",IF(AND(G56="",H56=""),"Not Counted",IF(OR(G56="",H56=""),"Partially Counted",IF(J56=0,"Match",IF(J56&gt;0,"Overage","Shortage")))))</f>
        <v/>
      </c>
      <c r="L56" s="9" t="str">
        <f aca="false">IF($B56="","",IF(AND(L56&lt;&gt;"",L56&lt;&gt;0),L56,$B$4))</f>
        <v/>
      </c>
      <c r="M56" s="12"/>
      <c r="N56" s="12"/>
      <c r="O56" s="12"/>
    </row>
    <row r="57" customFormat="false" ht="15" hidden="false" customHeight="false" outlineLevel="0" collapsed="false">
      <c r="A57" s="7" t="str">
        <f aca="true">IF($B57="","",IF(AND(A57&lt;&gt;"",A57&lt;&gt;0),A57,TODAY()))</f>
        <v/>
      </c>
      <c r="B57" s="8"/>
      <c r="C57" s="9" t="str">
        <f aca="false">IF($B57="","",IF(AND(C57&lt;&gt;"",C57&lt;&gt;0,C57&lt;&gt;"UPC Not Found"),C57,IFERROR(INDEX('Product Master'!$B$2:$B$1000,MATCH($B57,'Product Master'!$A$2:$A$1000,0)),"UPC Not Found")))</f>
        <v/>
      </c>
      <c r="D57" s="9" t="str">
        <f aca="false">IF($B57="","",IF(AND(D57&lt;&gt;"",D57&lt;&gt;0,D57&lt;&gt;"UPC Not Found"),D57,IFERROR(INDEX('Product Master'!$C$2:$C$1000,MATCH($B57,'Product Master'!$A$2:$A$1000,0)),"UPC Not Found")))</f>
        <v/>
      </c>
      <c r="E57" s="9" t="str">
        <f aca="false">IF($B57="","",IF(AND(E57&lt;&gt;"",E57&lt;&gt;0,E57&lt;&gt;"UPC Not Found"),E57,IFERROR(INDEX('Product Master'!$D$2:$D$1000,MATCH($B57,'Product Master'!$A$2:$A$1000,0)),"UPC Not Found")))</f>
        <v/>
      </c>
      <c r="F57" s="10" t="str">
        <f aca="false">IF($B57="","",IF(AND(F57&lt;&gt;"",F57&lt;&gt;0,F57&lt;&gt;"UPC Not Found"),F57,IFERROR(INDEX('Product Master'!$E$2:$E$1000,MATCH($B57,'Product Master'!$A$2:$A$1000,0)),"UPC Not Found")))</f>
        <v/>
      </c>
      <c r="G57" s="11"/>
      <c r="H57" s="11"/>
      <c r="I57" s="10" t="str">
        <f aca="false">IF($B57="","",IF(AND(G57="",H57=""),"",G57+H57))</f>
        <v/>
      </c>
      <c r="J57" s="10" t="str">
        <f aca="false">IF(OR($B57="",I57="",F57="UPC Not Found"),"",I57-F57)</f>
        <v/>
      </c>
      <c r="K57" s="9" t="str">
        <f aca="false">IF($B57="","",IF(AND(G57="",H57=""),"Not Counted",IF(OR(G57="",H57=""),"Partially Counted",IF(J57=0,"Match",IF(J57&gt;0,"Overage","Shortage")))))</f>
        <v/>
      </c>
      <c r="L57" s="9" t="str">
        <f aca="false">IF($B57="","",IF(AND(L57&lt;&gt;"",L57&lt;&gt;0),L57,$B$4))</f>
        <v/>
      </c>
      <c r="M57" s="12"/>
      <c r="N57" s="12"/>
      <c r="O57" s="12"/>
    </row>
    <row r="58" customFormat="false" ht="15" hidden="false" customHeight="false" outlineLevel="0" collapsed="false">
      <c r="A58" s="7" t="str">
        <f aca="true">IF($B58="","",IF(AND(A58&lt;&gt;"",A58&lt;&gt;0),A58,TODAY()))</f>
        <v/>
      </c>
      <c r="B58" s="8"/>
      <c r="C58" s="9" t="str">
        <f aca="false">IF($B58="","",IF(AND(C58&lt;&gt;"",C58&lt;&gt;0,C58&lt;&gt;"UPC Not Found"),C58,IFERROR(INDEX('Product Master'!$B$2:$B$1000,MATCH($B58,'Product Master'!$A$2:$A$1000,0)),"UPC Not Found")))</f>
        <v/>
      </c>
      <c r="D58" s="9" t="str">
        <f aca="false">IF($B58="","",IF(AND(D58&lt;&gt;"",D58&lt;&gt;0,D58&lt;&gt;"UPC Not Found"),D58,IFERROR(INDEX('Product Master'!$C$2:$C$1000,MATCH($B58,'Product Master'!$A$2:$A$1000,0)),"UPC Not Found")))</f>
        <v/>
      </c>
      <c r="E58" s="9" t="str">
        <f aca="false">IF($B58="","",IF(AND(E58&lt;&gt;"",E58&lt;&gt;0,E58&lt;&gt;"UPC Not Found"),E58,IFERROR(INDEX('Product Master'!$D$2:$D$1000,MATCH($B58,'Product Master'!$A$2:$A$1000,0)),"UPC Not Found")))</f>
        <v/>
      </c>
      <c r="F58" s="10" t="str">
        <f aca="false">IF($B58="","",IF(AND(F58&lt;&gt;"",F58&lt;&gt;0,F58&lt;&gt;"UPC Not Found"),F58,IFERROR(INDEX('Product Master'!$E$2:$E$1000,MATCH($B58,'Product Master'!$A$2:$A$1000,0)),"UPC Not Found")))</f>
        <v/>
      </c>
      <c r="G58" s="11"/>
      <c r="H58" s="11"/>
      <c r="I58" s="10" t="str">
        <f aca="false">IF($B58="","",IF(AND(G58="",H58=""),"",G58+H58))</f>
        <v/>
      </c>
      <c r="J58" s="10" t="str">
        <f aca="false">IF(OR($B58="",I58="",F58="UPC Not Found"),"",I58-F58)</f>
        <v/>
      </c>
      <c r="K58" s="9" t="str">
        <f aca="false">IF($B58="","",IF(AND(G58="",H58=""),"Not Counted",IF(OR(G58="",H58=""),"Partially Counted",IF(J58=0,"Match",IF(J58&gt;0,"Overage","Shortage")))))</f>
        <v/>
      </c>
      <c r="L58" s="9" t="str">
        <f aca="false">IF($B58="","",IF(AND(L58&lt;&gt;"",L58&lt;&gt;0),L58,$B$4))</f>
        <v/>
      </c>
      <c r="M58" s="12"/>
      <c r="N58" s="12"/>
      <c r="O58" s="12"/>
    </row>
    <row r="59" customFormat="false" ht="15" hidden="false" customHeight="false" outlineLevel="0" collapsed="false">
      <c r="A59" s="7" t="str">
        <f aca="true">IF($B59="","",IF(AND(A59&lt;&gt;"",A59&lt;&gt;0),A59,TODAY()))</f>
        <v/>
      </c>
      <c r="B59" s="8"/>
      <c r="C59" s="9" t="str">
        <f aca="false">IF($B59="","",IF(AND(C59&lt;&gt;"",C59&lt;&gt;0,C59&lt;&gt;"UPC Not Found"),C59,IFERROR(INDEX('Product Master'!$B$2:$B$1000,MATCH($B59,'Product Master'!$A$2:$A$1000,0)),"UPC Not Found")))</f>
        <v/>
      </c>
      <c r="D59" s="9" t="str">
        <f aca="false">IF($B59="","",IF(AND(D59&lt;&gt;"",D59&lt;&gt;0,D59&lt;&gt;"UPC Not Found"),D59,IFERROR(INDEX('Product Master'!$C$2:$C$1000,MATCH($B59,'Product Master'!$A$2:$A$1000,0)),"UPC Not Found")))</f>
        <v/>
      </c>
      <c r="E59" s="9" t="str">
        <f aca="false">IF($B59="","",IF(AND(E59&lt;&gt;"",E59&lt;&gt;0,E59&lt;&gt;"UPC Not Found"),E59,IFERROR(INDEX('Product Master'!$D$2:$D$1000,MATCH($B59,'Product Master'!$A$2:$A$1000,0)),"UPC Not Found")))</f>
        <v/>
      </c>
      <c r="F59" s="10" t="str">
        <f aca="false">IF($B59="","",IF(AND(F59&lt;&gt;"",F59&lt;&gt;0,F59&lt;&gt;"UPC Not Found"),F59,IFERROR(INDEX('Product Master'!$E$2:$E$1000,MATCH($B59,'Product Master'!$A$2:$A$1000,0)),"UPC Not Found")))</f>
        <v/>
      </c>
      <c r="G59" s="11"/>
      <c r="H59" s="11"/>
      <c r="I59" s="10" t="str">
        <f aca="false">IF($B59="","",IF(AND(G59="",H59=""),"",G59+H59))</f>
        <v/>
      </c>
      <c r="J59" s="10" t="str">
        <f aca="false">IF(OR($B59="",I59="",F59="UPC Not Found"),"",I59-F59)</f>
        <v/>
      </c>
      <c r="K59" s="9" t="str">
        <f aca="false">IF($B59="","",IF(AND(G59="",H59=""),"Not Counted",IF(OR(G59="",H59=""),"Partially Counted",IF(J59=0,"Match",IF(J59&gt;0,"Overage","Shortage")))))</f>
        <v/>
      </c>
      <c r="L59" s="9" t="str">
        <f aca="false">IF($B59="","",IF(AND(L59&lt;&gt;"",L59&lt;&gt;0),L59,$B$4))</f>
        <v/>
      </c>
      <c r="M59" s="12"/>
      <c r="N59" s="12"/>
      <c r="O59" s="12"/>
    </row>
    <row r="60" customFormat="false" ht="15" hidden="false" customHeight="false" outlineLevel="0" collapsed="false">
      <c r="A60" s="7" t="str">
        <f aca="true">IF($B60="","",IF(AND(A60&lt;&gt;"",A60&lt;&gt;0),A60,TODAY()))</f>
        <v/>
      </c>
      <c r="B60" s="8"/>
      <c r="C60" s="9" t="str">
        <f aca="false">IF($B60="","",IF(AND(C60&lt;&gt;"",C60&lt;&gt;0,C60&lt;&gt;"UPC Not Found"),C60,IFERROR(INDEX('Product Master'!$B$2:$B$1000,MATCH($B60,'Product Master'!$A$2:$A$1000,0)),"UPC Not Found")))</f>
        <v/>
      </c>
      <c r="D60" s="9" t="str">
        <f aca="false">IF($B60="","",IF(AND(D60&lt;&gt;"",D60&lt;&gt;0,D60&lt;&gt;"UPC Not Found"),D60,IFERROR(INDEX('Product Master'!$C$2:$C$1000,MATCH($B60,'Product Master'!$A$2:$A$1000,0)),"UPC Not Found")))</f>
        <v/>
      </c>
      <c r="E60" s="9" t="str">
        <f aca="false">IF($B60="","",IF(AND(E60&lt;&gt;"",E60&lt;&gt;0,E60&lt;&gt;"UPC Not Found"),E60,IFERROR(INDEX('Product Master'!$D$2:$D$1000,MATCH($B60,'Product Master'!$A$2:$A$1000,0)),"UPC Not Found")))</f>
        <v/>
      </c>
      <c r="F60" s="10" t="str">
        <f aca="false">IF($B60="","",IF(AND(F60&lt;&gt;"",F60&lt;&gt;0,F60&lt;&gt;"UPC Not Found"),F60,IFERROR(INDEX('Product Master'!$E$2:$E$1000,MATCH($B60,'Product Master'!$A$2:$A$1000,0)),"UPC Not Found")))</f>
        <v/>
      </c>
      <c r="G60" s="11"/>
      <c r="H60" s="11"/>
      <c r="I60" s="10" t="str">
        <f aca="false">IF($B60="","",IF(AND(G60="",H60=""),"",G60+H60))</f>
        <v/>
      </c>
      <c r="J60" s="10" t="str">
        <f aca="false">IF(OR($B60="",I60="",F60="UPC Not Found"),"",I60-F60)</f>
        <v/>
      </c>
      <c r="K60" s="9" t="str">
        <f aca="false">IF($B60="","",IF(AND(G60="",H60=""),"Not Counted",IF(OR(G60="",H60=""),"Partially Counted",IF(J60=0,"Match",IF(J60&gt;0,"Overage","Shortage")))))</f>
        <v/>
      </c>
      <c r="L60" s="9" t="str">
        <f aca="false">IF($B60="","",IF(AND(L60&lt;&gt;"",L60&lt;&gt;0),L60,$B$4))</f>
        <v/>
      </c>
      <c r="M60" s="12"/>
      <c r="N60" s="12"/>
      <c r="O60" s="12"/>
    </row>
    <row r="61" customFormat="false" ht="15" hidden="false" customHeight="false" outlineLevel="0" collapsed="false">
      <c r="A61" s="7" t="str">
        <f aca="true">IF($B61="","",IF(AND(A61&lt;&gt;"",A61&lt;&gt;0),A61,TODAY()))</f>
        <v/>
      </c>
      <c r="B61" s="8"/>
      <c r="C61" s="9" t="str">
        <f aca="false">IF($B61="","",IF(AND(C61&lt;&gt;"",C61&lt;&gt;0,C61&lt;&gt;"UPC Not Found"),C61,IFERROR(INDEX('Product Master'!$B$2:$B$1000,MATCH($B61,'Product Master'!$A$2:$A$1000,0)),"UPC Not Found")))</f>
        <v/>
      </c>
      <c r="D61" s="9" t="str">
        <f aca="false">IF($B61="","",IF(AND(D61&lt;&gt;"",D61&lt;&gt;0,D61&lt;&gt;"UPC Not Found"),D61,IFERROR(INDEX('Product Master'!$C$2:$C$1000,MATCH($B61,'Product Master'!$A$2:$A$1000,0)),"UPC Not Found")))</f>
        <v/>
      </c>
      <c r="E61" s="9" t="str">
        <f aca="false">IF($B61="","",IF(AND(E61&lt;&gt;"",E61&lt;&gt;0,E61&lt;&gt;"UPC Not Found"),E61,IFERROR(INDEX('Product Master'!$D$2:$D$1000,MATCH($B61,'Product Master'!$A$2:$A$1000,0)),"UPC Not Found")))</f>
        <v/>
      </c>
      <c r="F61" s="10" t="str">
        <f aca="false">IF($B61="","",IF(AND(F61&lt;&gt;"",F61&lt;&gt;0,F61&lt;&gt;"UPC Not Found"),F61,IFERROR(INDEX('Product Master'!$E$2:$E$1000,MATCH($B61,'Product Master'!$A$2:$A$1000,0)),"UPC Not Found")))</f>
        <v/>
      </c>
      <c r="G61" s="11"/>
      <c r="H61" s="11"/>
      <c r="I61" s="10" t="str">
        <f aca="false">IF($B61="","",IF(AND(G61="",H61=""),"",G61+H61))</f>
        <v/>
      </c>
      <c r="J61" s="10" t="str">
        <f aca="false">IF(OR($B61="",I61="",F61="UPC Not Found"),"",I61-F61)</f>
        <v/>
      </c>
      <c r="K61" s="9" t="str">
        <f aca="false">IF($B61="","",IF(AND(G61="",H61=""),"Not Counted",IF(OR(G61="",H61=""),"Partially Counted",IF(J61=0,"Match",IF(J61&gt;0,"Overage","Shortage")))))</f>
        <v/>
      </c>
      <c r="L61" s="9" t="str">
        <f aca="false">IF($B61="","",IF(AND(L61&lt;&gt;"",L61&lt;&gt;0),L61,$B$4))</f>
        <v/>
      </c>
      <c r="M61" s="12"/>
      <c r="N61" s="12"/>
      <c r="O61" s="12"/>
    </row>
    <row r="62" customFormat="false" ht="15" hidden="false" customHeight="false" outlineLevel="0" collapsed="false">
      <c r="A62" s="7" t="str">
        <f aca="true">IF($B62="","",IF(AND(A62&lt;&gt;"",A62&lt;&gt;0),A62,TODAY()))</f>
        <v/>
      </c>
      <c r="B62" s="8"/>
      <c r="C62" s="9" t="str">
        <f aca="false">IF($B62="","",IF(AND(C62&lt;&gt;"",C62&lt;&gt;0,C62&lt;&gt;"UPC Not Found"),C62,IFERROR(INDEX('Product Master'!$B$2:$B$1000,MATCH($B62,'Product Master'!$A$2:$A$1000,0)),"UPC Not Found")))</f>
        <v/>
      </c>
      <c r="D62" s="9" t="str">
        <f aca="false">IF($B62="","",IF(AND(D62&lt;&gt;"",D62&lt;&gt;0,D62&lt;&gt;"UPC Not Found"),D62,IFERROR(INDEX('Product Master'!$C$2:$C$1000,MATCH($B62,'Product Master'!$A$2:$A$1000,0)),"UPC Not Found")))</f>
        <v/>
      </c>
      <c r="E62" s="9" t="str">
        <f aca="false">IF($B62="","",IF(AND(E62&lt;&gt;"",E62&lt;&gt;0,E62&lt;&gt;"UPC Not Found"),E62,IFERROR(INDEX('Product Master'!$D$2:$D$1000,MATCH($B62,'Product Master'!$A$2:$A$1000,0)),"UPC Not Found")))</f>
        <v/>
      </c>
      <c r="F62" s="10" t="str">
        <f aca="false">IF($B62="","",IF(AND(F62&lt;&gt;"",F62&lt;&gt;0,F62&lt;&gt;"UPC Not Found"),F62,IFERROR(INDEX('Product Master'!$E$2:$E$1000,MATCH($B62,'Product Master'!$A$2:$A$1000,0)),"UPC Not Found")))</f>
        <v/>
      </c>
      <c r="G62" s="11"/>
      <c r="H62" s="11"/>
      <c r="I62" s="10" t="str">
        <f aca="false">IF($B62="","",IF(AND(G62="",H62=""),"",G62+H62))</f>
        <v/>
      </c>
      <c r="J62" s="10" t="str">
        <f aca="false">IF(OR($B62="",I62="",F62="UPC Not Found"),"",I62-F62)</f>
        <v/>
      </c>
      <c r="K62" s="9" t="str">
        <f aca="false">IF($B62="","",IF(AND(G62="",H62=""),"Not Counted",IF(OR(G62="",H62=""),"Partially Counted",IF(J62=0,"Match",IF(J62&gt;0,"Overage","Shortage")))))</f>
        <v/>
      </c>
      <c r="L62" s="9" t="str">
        <f aca="false">IF($B62="","",IF(AND(L62&lt;&gt;"",L62&lt;&gt;0),L62,$B$4))</f>
        <v/>
      </c>
      <c r="M62" s="12"/>
      <c r="N62" s="12"/>
      <c r="O62" s="12"/>
    </row>
    <row r="63" customFormat="false" ht="15" hidden="false" customHeight="false" outlineLevel="0" collapsed="false">
      <c r="A63" s="7" t="str">
        <f aca="true">IF($B63="","",IF(AND(A63&lt;&gt;"",A63&lt;&gt;0),A63,TODAY()))</f>
        <v/>
      </c>
      <c r="B63" s="8"/>
      <c r="C63" s="9" t="str">
        <f aca="false">IF($B63="","",IF(AND(C63&lt;&gt;"",C63&lt;&gt;0,C63&lt;&gt;"UPC Not Found"),C63,IFERROR(INDEX('Product Master'!$B$2:$B$1000,MATCH($B63,'Product Master'!$A$2:$A$1000,0)),"UPC Not Found")))</f>
        <v/>
      </c>
      <c r="D63" s="9" t="str">
        <f aca="false">IF($B63="","",IF(AND(D63&lt;&gt;"",D63&lt;&gt;0,D63&lt;&gt;"UPC Not Found"),D63,IFERROR(INDEX('Product Master'!$C$2:$C$1000,MATCH($B63,'Product Master'!$A$2:$A$1000,0)),"UPC Not Found")))</f>
        <v/>
      </c>
      <c r="E63" s="9" t="str">
        <f aca="false">IF($B63="","",IF(AND(E63&lt;&gt;"",E63&lt;&gt;0,E63&lt;&gt;"UPC Not Found"),E63,IFERROR(INDEX('Product Master'!$D$2:$D$1000,MATCH($B63,'Product Master'!$A$2:$A$1000,0)),"UPC Not Found")))</f>
        <v/>
      </c>
      <c r="F63" s="10" t="str">
        <f aca="false">IF($B63="","",IF(AND(F63&lt;&gt;"",F63&lt;&gt;0,F63&lt;&gt;"UPC Not Found"),F63,IFERROR(INDEX('Product Master'!$E$2:$E$1000,MATCH($B63,'Product Master'!$A$2:$A$1000,0)),"UPC Not Found")))</f>
        <v/>
      </c>
      <c r="G63" s="11"/>
      <c r="H63" s="11"/>
      <c r="I63" s="10" t="str">
        <f aca="false">IF($B63="","",IF(AND(G63="",H63=""),"",G63+H63))</f>
        <v/>
      </c>
      <c r="J63" s="10" t="str">
        <f aca="false">IF(OR($B63="",I63="",F63="UPC Not Found"),"",I63-F63)</f>
        <v/>
      </c>
      <c r="K63" s="9" t="str">
        <f aca="false">IF($B63="","",IF(AND(G63="",H63=""),"Not Counted",IF(OR(G63="",H63=""),"Partially Counted",IF(J63=0,"Match",IF(J63&gt;0,"Overage","Shortage")))))</f>
        <v/>
      </c>
      <c r="L63" s="9" t="str">
        <f aca="false">IF($B63="","",IF(AND(L63&lt;&gt;"",L63&lt;&gt;0),L63,$B$4))</f>
        <v/>
      </c>
      <c r="M63" s="12"/>
      <c r="N63" s="12"/>
      <c r="O63" s="12"/>
    </row>
    <row r="64" customFormat="false" ht="15" hidden="false" customHeight="false" outlineLevel="0" collapsed="false">
      <c r="A64" s="7" t="str">
        <f aca="true">IF($B64="","",IF(AND(A64&lt;&gt;"",A64&lt;&gt;0),A64,TODAY()))</f>
        <v/>
      </c>
      <c r="B64" s="8"/>
      <c r="C64" s="9" t="str">
        <f aca="false">IF($B64="","",IF(AND(C64&lt;&gt;"",C64&lt;&gt;0,C64&lt;&gt;"UPC Not Found"),C64,IFERROR(INDEX('Product Master'!$B$2:$B$1000,MATCH($B64,'Product Master'!$A$2:$A$1000,0)),"UPC Not Found")))</f>
        <v/>
      </c>
      <c r="D64" s="9" t="str">
        <f aca="false">IF($B64="","",IF(AND(D64&lt;&gt;"",D64&lt;&gt;0,D64&lt;&gt;"UPC Not Found"),D64,IFERROR(INDEX('Product Master'!$C$2:$C$1000,MATCH($B64,'Product Master'!$A$2:$A$1000,0)),"UPC Not Found")))</f>
        <v/>
      </c>
      <c r="E64" s="9" t="str">
        <f aca="false">IF($B64="","",IF(AND(E64&lt;&gt;"",E64&lt;&gt;0,E64&lt;&gt;"UPC Not Found"),E64,IFERROR(INDEX('Product Master'!$D$2:$D$1000,MATCH($B64,'Product Master'!$A$2:$A$1000,0)),"UPC Not Found")))</f>
        <v/>
      </c>
      <c r="F64" s="10" t="str">
        <f aca="false">IF($B64="","",IF(AND(F64&lt;&gt;"",F64&lt;&gt;0,F64&lt;&gt;"UPC Not Found"),F64,IFERROR(INDEX('Product Master'!$E$2:$E$1000,MATCH($B64,'Product Master'!$A$2:$A$1000,0)),"UPC Not Found")))</f>
        <v/>
      </c>
      <c r="G64" s="11"/>
      <c r="H64" s="11"/>
      <c r="I64" s="10" t="str">
        <f aca="false">IF($B64="","",IF(AND(G64="",H64=""),"",G64+H64))</f>
        <v/>
      </c>
      <c r="J64" s="10" t="str">
        <f aca="false">IF(OR($B64="",I64="",F64="UPC Not Found"),"",I64-F64)</f>
        <v/>
      </c>
      <c r="K64" s="9" t="str">
        <f aca="false">IF($B64="","",IF(AND(G64="",H64=""),"Not Counted",IF(OR(G64="",H64=""),"Partially Counted",IF(J64=0,"Match",IF(J64&gt;0,"Overage","Shortage")))))</f>
        <v/>
      </c>
      <c r="L64" s="9" t="str">
        <f aca="false">IF($B64="","",IF(AND(L64&lt;&gt;"",L64&lt;&gt;0),L64,$B$4))</f>
        <v/>
      </c>
      <c r="M64" s="12"/>
      <c r="N64" s="12"/>
      <c r="O64" s="12"/>
    </row>
    <row r="65" customFormat="false" ht="15" hidden="false" customHeight="false" outlineLevel="0" collapsed="false">
      <c r="A65" s="7" t="str">
        <f aca="true">IF($B65="","",IF(AND(A65&lt;&gt;"",A65&lt;&gt;0),A65,TODAY()))</f>
        <v/>
      </c>
      <c r="B65" s="8"/>
      <c r="C65" s="9" t="str">
        <f aca="false">IF($B65="","",IF(AND(C65&lt;&gt;"",C65&lt;&gt;0,C65&lt;&gt;"UPC Not Found"),C65,IFERROR(INDEX('Product Master'!$B$2:$B$1000,MATCH($B65,'Product Master'!$A$2:$A$1000,0)),"UPC Not Found")))</f>
        <v/>
      </c>
      <c r="D65" s="9" t="str">
        <f aca="false">IF($B65="","",IF(AND(D65&lt;&gt;"",D65&lt;&gt;0,D65&lt;&gt;"UPC Not Found"),D65,IFERROR(INDEX('Product Master'!$C$2:$C$1000,MATCH($B65,'Product Master'!$A$2:$A$1000,0)),"UPC Not Found")))</f>
        <v/>
      </c>
      <c r="E65" s="9" t="str">
        <f aca="false">IF($B65="","",IF(AND(E65&lt;&gt;"",E65&lt;&gt;0,E65&lt;&gt;"UPC Not Found"),E65,IFERROR(INDEX('Product Master'!$D$2:$D$1000,MATCH($B65,'Product Master'!$A$2:$A$1000,0)),"UPC Not Found")))</f>
        <v/>
      </c>
      <c r="F65" s="10" t="str">
        <f aca="false">IF($B65="","",IF(AND(F65&lt;&gt;"",F65&lt;&gt;0,F65&lt;&gt;"UPC Not Found"),F65,IFERROR(INDEX('Product Master'!$E$2:$E$1000,MATCH($B65,'Product Master'!$A$2:$A$1000,0)),"UPC Not Found")))</f>
        <v/>
      </c>
      <c r="G65" s="11"/>
      <c r="H65" s="11"/>
      <c r="I65" s="10" t="str">
        <f aca="false">IF($B65="","",IF(AND(G65="",H65=""),"",G65+H65))</f>
        <v/>
      </c>
      <c r="J65" s="10" t="str">
        <f aca="false">IF(OR($B65="",I65="",F65="UPC Not Found"),"",I65-F65)</f>
        <v/>
      </c>
      <c r="K65" s="9" t="str">
        <f aca="false">IF($B65="","",IF(AND(G65="",H65=""),"Not Counted",IF(OR(G65="",H65=""),"Partially Counted",IF(J65=0,"Match",IF(J65&gt;0,"Overage","Shortage")))))</f>
        <v/>
      </c>
      <c r="L65" s="9" t="str">
        <f aca="false">IF($B65="","",IF(AND(L65&lt;&gt;"",L65&lt;&gt;0),L65,$B$4))</f>
        <v/>
      </c>
      <c r="M65" s="12"/>
      <c r="N65" s="12"/>
      <c r="O65" s="12"/>
    </row>
    <row r="66" customFormat="false" ht="15" hidden="false" customHeight="false" outlineLevel="0" collapsed="false">
      <c r="A66" s="7" t="str">
        <f aca="true">IF($B66="","",IF(AND(A66&lt;&gt;"",A66&lt;&gt;0),A66,TODAY()))</f>
        <v/>
      </c>
      <c r="B66" s="8"/>
      <c r="C66" s="9" t="str">
        <f aca="false">IF($B66="","",IF(AND(C66&lt;&gt;"",C66&lt;&gt;0,C66&lt;&gt;"UPC Not Found"),C66,IFERROR(INDEX('Product Master'!$B$2:$B$1000,MATCH($B66,'Product Master'!$A$2:$A$1000,0)),"UPC Not Found")))</f>
        <v/>
      </c>
      <c r="D66" s="9" t="str">
        <f aca="false">IF($B66="","",IF(AND(D66&lt;&gt;"",D66&lt;&gt;0,D66&lt;&gt;"UPC Not Found"),D66,IFERROR(INDEX('Product Master'!$C$2:$C$1000,MATCH($B66,'Product Master'!$A$2:$A$1000,0)),"UPC Not Found")))</f>
        <v/>
      </c>
      <c r="E66" s="9" t="str">
        <f aca="false">IF($B66="","",IF(AND(E66&lt;&gt;"",E66&lt;&gt;0,E66&lt;&gt;"UPC Not Found"),E66,IFERROR(INDEX('Product Master'!$D$2:$D$1000,MATCH($B66,'Product Master'!$A$2:$A$1000,0)),"UPC Not Found")))</f>
        <v/>
      </c>
      <c r="F66" s="10" t="str">
        <f aca="false">IF($B66="","",IF(AND(F66&lt;&gt;"",F66&lt;&gt;0,F66&lt;&gt;"UPC Not Found"),F66,IFERROR(INDEX('Product Master'!$E$2:$E$1000,MATCH($B66,'Product Master'!$A$2:$A$1000,0)),"UPC Not Found")))</f>
        <v/>
      </c>
      <c r="G66" s="11"/>
      <c r="H66" s="11"/>
      <c r="I66" s="10" t="str">
        <f aca="false">IF($B66="","",IF(AND(G66="",H66=""),"",G66+H66))</f>
        <v/>
      </c>
      <c r="J66" s="10" t="str">
        <f aca="false">IF(OR($B66="",I66="",F66="UPC Not Found"),"",I66-F66)</f>
        <v/>
      </c>
      <c r="K66" s="9" t="str">
        <f aca="false">IF($B66="","",IF(AND(G66="",H66=""),"Not Counted",IF(OR(G66="",H66=""),"Partially Counted",IF(J66=0,"Match",IF(J66&gt;0,"Overage","Shortage")))))</f>
        <v/>
      </c>
      <c r="L66" s="9" t="str">
        <f aca="false">IF($B66="","",IF(AND(L66&lt;&gt;"",L66&lt;&gt;0),L66,$B$4))</f>
        <v/>
      </c>
      <c r="M66" s="12"/>
      <c r="N66" s="12"/>
      <c r="O66" s="12"/>
    </row>
    <row r="67" customFormat="false" ht="15" hidden="false" customHeight="false" outlineLevel="0" collapsed="false">
      <c r="A67" s="7" t="str">
        <f aca="true">IF($B67="","",IF(AND(A67&lt;&gt;"",A67&lt;&gt;0),A67,TODAY()))</f>
        <v/>
      </c>
      <c r="B67" s="8"/>
      <c r="C67" s="9" t="str">
        <f aca="false">IF($B67="","",IF(AND(C67&lt;&gt;"",C67&lt;&gt;0,C67&lt;&gt;"UPC Not Found"),C67,IFERROR(INDEX('Product Master'!$B$2:$B$1000,MATCH($B67,'Product Master'!$A$2:$A$1000,0)),"UPC Not Found")))</f>
        <v/>
      </c>
      <c r="D67" s="9" t="str">
        <f aca="false">IF($B67="","",IF(AND(D67&lt;&gt;"",D67&lt;&gt;0,D67&lt;&gt;"UPC Not Found"),D67,IFERROR(INDEX('Product Master'!$C$2:$C$1000,MATCH($B67,'Product Master'!$A$2:$A$1000,0)),"UPC Not Found")))</f>
        <v/>
      </c>
      <c r="E67" s="9" t="str">
        <f aca="false">IF($B67="","",IF(AND(E67&lt;&gt;"",E67&lt;&gt;0,E67&lt;&gt;"UPC Not Found"),E67,IFERROR(INDEX('Product Master'!$D$2:$D$1000,MATCH($B67,'Product Master'!$A$2:$A$1000,0)),"UPC Not Found")))</f>
        <v/>
      </c>
      <c r="F67" s="10" t="str">
        <f aca="false">IF($B67="","",IF(AND(F67&lt;&gt;"",F67&lt;&gt;0,F67&lt;&gt;"UPC Not Found"),F67,IFERROR(INDEX('Product Master'!$E$2:$E$1000,MATCH($B67,'Product Master'!$A$2:$A$1000,0)),"UPC Not Found")))</f>
        <v/>
      </c>
      <c r="G67" s="11"/>
      <c r="H67" s="11"/>
      <c r="I67" s="10" t="str">
        <f aca="false">IF($B67="","",IF(AND(G67="",H67=""),"",G67+H67))</f>
        <v/>
      </c>
      <c r="J67" s="10" t="str">
        <f aca="false">IF(OR($B67="",I67="",F67="UPC Not Found"),"",I67-F67)</f>
        <v/>
      </c>
      <c r="K67" s="9" t="str">
        <f aca="false">IF($B67="","",IF(AND(G67="",H67=""),"Not Counted",IF(OR(G67="",H67=""),"Partially Counted",IF(J67=0,"Match",IF(J67&gt;0,"Overage","Shortage")))))</f>
        <v/>
      </c>
      <c r="L67" s="9" t="str">
        <f aca="false">IF($B67="","",IF(AND(L67&lt;&gt;"",L67&lt;&gt;0),L67,$B$4))</f>
        <v/>
      </c>
      <c r="M67" s="12"/>
      <c r="N67" s="12"/>
      <c r="O67" s="12"/>
    </row>
    <row r="68" customFormat="false" ht="15" hidden="false" customHeight="false" outlineLevel="0" collapsed="false">
      <c r="A68" s="7" t="str">
        <f aca="true">IF($B68="","",IF(AND(A68&lt;&gt;"",A68&lt;&gt;0),A68,TODAY()))</f>
        <v/>
      </c>
      <c r="B68" s="8"/>
      <c r="C68" s="9" t="str">
        <f aca="false">IF($B68="","",IF(AND(C68&lt;&gt;"",C68&lt;&gt;0,C68&lt;&gt;"UPC Not Found"),C68,IFERROR(INDEX('Product Master'!$B$2:$B$1000,MATCH($B68,'Product Master'!$A$2:$A$1000,0)),"UPC Not Found")))</f>
        <v/>
      </c>
      <c r="D68" s="9" t="str">
        <f aca="false">IF($B68="","",IF(AND(D68&lt;&gt;"",D68&lt;&gt;0,D68&lt;&gt;"UPC Not Found"),D68,IFERROR(INDEX('Product Master'!$C$2:$C$1000,MATCH($B68,'Product Master'!$A$2:$A$1000,0)),"UPC Not Found")))</f>
        <v/>
      </c>
      <c r="E68" s="9" t="str">
        <f aca="false">IF($B68="","",IF(AND(E68&lt;&gt;"",E68&lt;&gt;0,E68&lt;&gt;"UPC Not Found"),E68,IFERROR(INDEX('Product Master'!$D$2:$D$1000,MATCH($B68,'Product Master'!$A$2:$A$1000,0)),"UPC Not Found")))</f>
        <v/>
      </c>
      <c r="F68" s="10" t="str">
        <f aca="false">IF($B68="","",IF(AND(F68&lt;&gt;"",F68&lt;&gt;0,F68&lt;&gt;"UPC Not Found"),F68,IFERROR(INDEX('Product Master'!$E$2:$E$1000,MATCH($B68,'Product Master'!$A$2:$A$1000,0)),"UPC Not Found")))</f>
        <v/>
      </c>
      <c r="G68" s="11"/>
      <c r="H68" s="11"/>
      <c r="I68" s="10" t="str">
        <f aca="false">IF($B68="","",IF(AND(G68="",H68=""),"",G68+H68))</f>
        <v/>
      </c>
      <c r="J68" s="10" t="str">
        <f aca="false">IF(OR($B68="",I68="",F68="UPC Not Found"),"",I68-F68)</f>
        <v/>
      </c>
      <c r="K68" s="9" t="str">
        <f aca="false">IF($B68="","",IF(AND(G68="",H68=""),"Not Counted",IF(OR(G68="",H68=""),"Partially Counted",IF(J68=0,"Match",IF(J68&gt;0,"Overage","Shortage")))))</f>
        <v/>
      </c>
      <c r="L68" s="9" t="str">
        <f aca="false">IF($B68="","",IF(AND(L68&lt;&gt;"",L68&lt;&gt;0),L68,$B$4))</f>
        <v/>
      </c>
      <c r="M68" s="12"/>
      <c r="N68" s="12"/>
      <c r="O68" s="12"/>
    </row>
    <row r="69" customFormat="false" ht="15" hidden="false" customHeight="false" outlineLevel="0" collapsed="false">
      <c r="A69" s="7" t="str">
        <f aca="true">IF($B69="","",IF(AND(A69&lt;&gt;"",A69&lt;&gt;0),A69,TODAY()))</f>
        <v/>
      </c>
      <c r="B69" s="8"/>
      <c r="C69" s="9" t="str">
        <f aca="false">IF($B69="","",IF(AND(C69&lt;&gt;"",C69&lt;&gt;0,C69&lt;&gt;"UPC Not Found"),C69,IFERROR(INDEX('Product Master'!$B$2:$B$1000,MATCH($B69,'Product Master'!$A$2:$A$1000,0)),"UPC Not Found")))</f>
        <v/>
      </c>
      <c r="D69" s="9" t="str">
        <f aca="false">IF($B69="","",IF(AND(D69&lt;&gt;"",D69&lt;&gt;0,D69&lt;&gt;"UPC Not Found"),D69,IFERROR(INDEX('Product Master'!$C$2:$C$1000,MATCH($B69,'Product Master'!$A$2:$A$1000,0)),"UPC Not Found")))</f>
        <v/>
      </c>
      <c r="E69" s="9" t="str">
        <f aca="false">IF($B69="","",IF(AND(E69&lt;&gt;"",E69&lt;&gt;0,E69&lt;&gt;"UPC Not Found"),E69,IFERROR(INDEX('Product Master'!$D$2:$D$1000,MATCH($B69,'Product Master'!$A$2:$A$1000,0)),"UPC Not Found")))</f>
        <v/>
      </c>
      <c r="F69" s="10" t="str">
        <f aca="false">IF($B69="","",IF(AND(F69&lt;&gt;"",F69&lt;&gt;0,F69&lt;&gt;"UPC Not Found"),F69,IFERROR(INDEX('Product Master'!$E$2:$E$1000,MATCH($B69,'Product Master'!$A$2:$A$1000,0)),"UPC Not Found")))</f>
        <v/>
      </c>
      <c r="G69" s="11"/>
      <c r="H69" s="11"/>
      <c r="I69" s="10" t="str">
        <f aca="false">IF($B69="","",IF(AND(G69="",H69=""),"",G69+H69))</f>
        <v/>
      </c>
      <c r="J69" s="10" t="str">
        <f aca="false">IF(OR($B69="",I69="",F69="UPC Not Found"),"",I69-F69)</f>
        <v/>
      </c>
      <c r="K69" s="9" t="str">
        <f aca="false">IF($B69="","",IF(AND(G69="",H69=""),"Not Counted",IF(OR(G69="",H69=""),"Partially Counted",IF(J69=0,"Match",IF(J69&gt;0,"Overage","Shortage")))))</f>
        <v/>
      </c>
      <c r="L69" s="9" t="str">
        <f aca="false">IF($B69="","",IF(AND(L69&lt;&gt;"",L69&lt;&gt;0),L69,$B$4))</f>
        <v/>
      </c>
      <c r="M69" s="12"/>
      <c r="N69" s="12"/>
      <c r="O69" s="12"/>
    </row>
    <row r="70" customFormat="false" ht="15" hidden="false" customHeight="false" outlineLevel="0" collapsed="false">
      <c r="A70" s="7" t="str">
        <f aca="true">IF($B70="","",IF(AND(A70&lt;&gt;"",A70&lt;&gt;0),A70,TODAY()))</f>
        <v/>
      </c>
      <c r="B70" s="8"/>
      <c r="C70" s="9" t="str">
        <f aca="false">IF($B70="","",IF(AND(C70&lt;&gt;"",C70&lt;&gt;0,C70&lt;&gt;"UPC Not Found"),C70,IFERROR(INDEX('Product Master'!$B$2:$B$1000,MATCH($B70,'Product Master'!$A$2:$A$1000,0)),"UPC Not Found")))</f>
        <v/>
      </c>
      <c r="D70" s="9" t="str">
        <f aca="false">IF($B70="","",IF(AND(D70&lt;&gt;"",D70&lt;&gt;0,D70&lt;&gt;"UPC Not Found"),D70,IFERROR(INDEX('Product Master'!$C$2:$C$1000,MATCH($B70,'Product Master'!$A$2:$A$1000,0)),"UPC Not Found")))</f>
        <v/>
      </c>
      <c r="E70" s="9" t="str">
        <f aca="false">IF($B70="","",IF(AND(E70&lt;&gt;"",E70&lt;&gt;0,E70&lt;&gt;"UPC Not Found"),E70,IFERROR(INDEX('Product Master'!$D$2:$D$1000,MATCH($B70,'Product Master'!$A$2:$A$1000,0)),"UPC Not Found")))</f>
        <v/>
      </c>
      <c r="F70" s="10" t="str">
        <f aca="false">IF($B70="","",IF(AND(F70&lt;&gt;"",F70&lt;&gt;0,F70&lt;&gt;"UPC Not Found"),F70,IFERROR(INDEX('Product Master'!$E$2:$E$1000,MATCH($B70,'Product Master'!$A$2:$A$1000,0)),"UPC Not Found")))</f>
        <v/>
      </c>
      <c r="G70" s="11"/>
      <c r="H70" s="11"/>
      <c r="I70" s="10" t="str">
        <f aca="false">IF($B70="","",IF(AND(G70="",H70=""),"",G70+H70))</f>
        <v/>
      </c>
      <c r="J70" s="10" t="str">
        <f aca="false">IF(OR($B70="",I70="",F70="UPC Not Found"),"",I70-F70)</f>
        <v/>
      </c>
      <c r="K70" s="9" t="str">
        <f aca="false">IF($B70="","",IF(AND(G70="",H70=""),"Not Counted",IF(OR(G70="",H70=""),"Partially Counted",IF(J70=0,"Match",IF(J70&gt;0,"Overage","Shortage")))))</f>
        <v/>
      </c>
      <c r="L70" s="9" t="str">
        <f aca="false">IF($B70="","",IF(AND(L70&lt;&gt;"",L70&lt;&gt;0),L70,$B$4))</f>
        <v/>
      </c>
      <c r="M70" s="12"/>
      <c r="N70" s="12"/>
      <c r="O70" s="12"/>
    </row>
    <row r="71" customFormat="false" ht="15" hidden="false" customHeight="false" outlineLevel="0" collapsed="false">
      <c r="A71" s="7" t="str">
        <f aca="true">IF($B71="","",IF(AND(A71&lt;&gt;"",A71&lt;&gt;0),A71,TODAY()))</f>
        <v/>
      </c>
      <c r="B71" s="8"/>
      <c r="C71" s="9" t="str">
        <f aca="false">IF($B71="","",IF(AND(C71&lt;&gt;"",C71&lt;&gt;0,C71&lt;&gt;"UPC Not Found"),C71,IFERROR(INDEX('Product Master'!$B$2:$B$1000,MATCH($B71,'Product Master'!$A$2:$A$1000,0)),"UPC Not Found")))</f>
        <v/>
      </c>
      <c r="D71" s="9" t="str">
        <f aca="false">IF($B71="","",IF(AND(D71&lt;&gt;"",D71&lt;&gt;0,D71&lt;&gt;"UPC Not Found"),D71,IFERROR(INDEX('Product Master'!$C$2:$C$1000,MATCH($B71,'Product Master'!$A$2:$A$1000,0)),"UPC Not Found")))</f>
        <v/>
      </c>
      <c r="E71" s="9" t="str">
        <f aca="false">IF($B71="","",IF(AND(E71&lt;&gt;"",E71&lt;&gt;0,E71&lt;&gt;"UPC Not Found"),E71,IFERROR(INDEX('Product Master'!$D$2:$D$1000,MATCH($B71,'Product Master'!$A$2:$A$1000,0)),"UPC Not Found")))</f>
        <v/>
      </c>
      <c r="F71" s="10" t="str">
        <f aca="false">IF($B71="","",IF(AND(F71&lt;&gt;"",F71&lt;&gt;0,F71&lt;&gt;"UPC Not Found"),F71,IFERROR(INDEX('Product Master'!$E$2:$E$1000,MATCH($B71,'Product Master'!$A$2:$A$1000,0)),"UPC Not Found")))</f>
        <v/>
      </c>
      <c r="G71" s="11"/>
      <c r="H71" s="11"/>
      <c r="I71" s="10" t="str">
        <f aca="false">IF($B71="","",IF(AND(G71="",H71=""),"",G71+H71))</f>
        <v/>
      </c>
      <c r="J71" s="10" t="str">
        <f aca="false">IF(OR($B71="",I71="",F71="UPC Not Found"),"",I71-F71)</f>
        <v/>
      </c>
      <c r="K71" s="9" t="str">
        <f aca="false">IF($B71="","",IF(AND(G71="",H71=""),"Not Counted",IF(OR(G71="",H71=""),"Partially Counted",IF(J71=0,"Match",IF(J71&gt;0,"Overage","Shortage")))))</f>
        <v/>
      </c>
      <c r="L71" s="9" t="str">
        <f aca="false">IF($B71="","",IF(AND(L71&lt;&gt;"",L71&lt;&gt;0),L71,$B$4))</f>
        <v/>
      </c>
      <c r="M71" s="12"/>
      <c r="N71" s="12"/>
      <c r="O71" s="12"/>
    </row>
    <row r="72" customFormat="false" ht="15" hidden="false" customHeight="false" outlineLevel="0" collapsed="false">
      <c r="A72" s="7" t="str">
        <f aca="true">IF($B72="","",IF(AND(A72&lt;&gt;"",A72&lt;&gt;0),A72,TODAY()))</f>
        <v/>
      </c>
      <c r="B72" s="8"/>
      <c r="C72" s="9" t="str">
        <f aca="false">IF($B72="","",IF(AND(C72&lt;&gt;"",C72&lt;&gt;0,C72&lt;&gt;"UPC Not Found"),C72,IFERROR(INDEX('Product Master'!$B$2:$B$1000,MATCH($B72,'Product Master'!$A$2:$A$1000,0)),"UPC Not Found")))</f>
        <v/>
      </c>
      <c r="D72" s="9" t="str">
        <f aca="false">IF($B72="","",IF(AND(D72&lt;&gt;"",D72&lt;&gt;0,D72&lt;&gt;"UPC Not Found"),D72,IFERROR(INDEX('Product Master'!$C$2:$C$1000,MATCH($B72,'Product Master'!$A$2:$A$1000,0)),"UPC Not Found")))</f>
        <v/>
      </c>
      <c r="E72" s="9" t="str">
        <f aca="false">IF($B72="","",IF(AND(E72&lt;&gt;"",E72&lt;&gt;0,E72&lt;&gt;"UPC Not Found"),E72,IFERROR(INDEX('Product Master'!$D$2:$D$1000,MATCH($B72,'Product Master'!$A$2:$A$1000,0)),"UPC Not Found")))</f>
        <v/>
      </c>
      <c r="F72" s="10" t="str">
        <f aca="false">IF($B72="","",IF(AND(F72&lt;&gt;"",F72&lt;&gt;0,F72&lt;&gt;"UPC Not Found"),F72,IFERROR(INDEX('Product Master'!$E$2:$E$1000,MATCH($B72,'Product Master'!$A$2:$A$1000,0)),"UPC Not Found")))</f>
        <v/>
      </c>
      <c r="G72" s="11"/>
      <c r="H72" s="11"/>
      <c r="I72" s="10" t="str">
        <f aca="false">IF($B72="","",IF(AND(G72="",H72=""),"",G72+H72))</f>
        <v/>
      </c>
      <c r="J72" s="10" t="str">
        <f aca="false">IF(OR($B72="",I72="",F72="UPC Not Found"),"",I72-F72)</f>
        <v/>
      </c>
      <c r="K72" s="9" t="str">
        <f aca="false">IF($B72="","",IF(AND(G72="",H72=""),"Not Counted",IF(OR(G72="",H72=""),"Partially Counted",IF(J72=0,"Match",IF(J72&gt;0,"Overage","Shortage")))))</f>
        <v/>
      </c>
      <c r="L72" s="9" t="str">
        <f aca="false">IF($B72="","",IF(AND(L72&lt;&gt;"",L72&lt;&gt;0),L72,$B$4))</f>
        <v/>
      </c>
      <c r="M72" s="12"/>
      <c r="N72" s="12"/>
      <c r="O72" s="12"/>
    </row>
    <row r="73" customFormat="false" ht="15" hidden="false" customHeight="false" outlineLevel="0" collapsed="false">
      <c r="A73" s="7" t="str">
        <f aca="true">IF($B73="","",IF(AND(A73&lt;&gt;"",A73&lt;&gt;0),A73,TODAY()))</f>
        <v/>
      </c>
      <c r="B73" s="8"/>
      <c r="C73" s="9" t="str">
        <f aca="false">IF($B73="","",IF(AND(C73&lt;&gt;"",C73&lt;&gt;0,C73&lt;&gt;"UPC Not Found"),C73,IFERROR(INDEX('Product Master'!$B$2:$B$1000,MATCH($B73,'Product Master'!$A$2:$A$1000,0)),"UPC Not Found")))</f>
        <v/>
      </c>
      <c r="D73" s="9" t="str">
        <f aca="false">IF($B73="","",IF(AND(D73&lt;&gt;"",D73&lt;&gt;0,D73&lt;&gt;"UPC Not Found"),D73,IFERROR(INDEX('Product Master'!$C$2:$C$1000,MATCH($B73,'Product Master'!$A$2:$A$1000,0)),"UPC Not Found")))</f>
        <v/>
      </c>
      <c r="E73" s="9" t="str">
        <f aca="false">IF($B73="","",IF(AND(E73&lt;&gt;"",E73&lt;&gt;0,E73&lt;&gt;"UPC Not Found"),E73,IFERROR(INDEX('Product Master'!$D$2:$D$1000,MATCH($B73,'Product Master'!$A$2:$A$1000,0)),"UPC Not Found")))</f>
        <v/>
      </c>
      <c r="F73" s="10" t="str">
        <f aca="false">IF($B73="","",IF(AND(F73&lt;&gt;"",F73&lt;&gt;0,F73&lt;&gt;"UPC Not Found"),F73,IFERROR(INDEX('Product Master'!$E$2:$E$1000,MATCH($B73,'Product Master'!$A$2:$A$1000,0)),"UPC Not Found")))</f>
        <v/>
      </c>
      <c r="G73" s="11"/>
      <c r="H73" s="11"/>
      <c r="I73" s="10" t="str">
        <f aca="false">IF($B73="","",IF(AND(G73="",H73=""),"",G73+H73))</f>
        <v/>
      </c>
      <c r="J73" s="10" t="str">
        <f aca="false">IF(OR($B73="",I73="",F73="UPC Not Found"),"",I73-F73)</f>
        <v/>
      </c>
      <c r="K73" s="9" t="str">
        <f aca="false">IF($B73="","",IF(AND(G73="",H73=""),"Not Counted",IF(OR(G73="",H73=""),"Partially Counted",IF(J73=0,"Match",IF(J73&gt;0,"Overage","Shortage")))))</f>
        <v/>
      </c>
      <c r="L73" s="9" t="str">
        <f aca="false">IF($B73="","",IF(AND(L73&lt;&gt;"",L73&lt;&gt;0),L73,$B$4))</f>
        <v/>
      </c>
      <c r="M73" s="12"/>
      <c r="N73" s="12"/>
      <c r="O73" s="12"/>
    </row>
    <row r="74" customFormat="false" ht="15" hidden="false" customHeight="false" outlineLevel="0" collapsed="false">
      <c r="A74" s="7" t="str">
        <f aca="true">IF($B74="","",IF(AND(A74&lt;&gt;"",A74&lt;&gt;0),A74,TODAY()))</f>
        <v/>
      </c>
      <c r="B74" s="8"/>
      <c r="C74" s="9" t="str">
        <f aca="false">IF($B74="","",IF(AND(C74&lt;&gt;"",C74&lt;&gt;0,C74&lt;&gt;"UPC Not Found"),C74,IFERROR(INDEX('Product Master'!$B$2:$B$1000,MATCH($B74,'Product Master'!$A$2:$A$1000,0)),"UPC Not Found")))</f>
        <v/>
      </c>
      <c r="D74" s="9" t="str">
        <f aca="false">IF($B74="","",IF(AND(D74&lt;&gt;"",D74&lt;&gt;0,D74&lt;&gt;"UPC Not Found"),D74,IFERROR(INDEX('Product Master'!$C$2:$C$1000,MATCH($B74,'Product Master'!$A$2:$A$1000,0)),"UPC Not Found")))</f>
        <v/>
      </c>
      <c r="E74" s="9" t="str">
        <f aca="false">IF($B74="","",IF(AND(E74&lt;&gt;"",E74&lt;&gt;0,E74&lt;&gt;"UPC Not Found"),E74,IFERROR(INDEX('Product Master'!$D$2:$D$1000,MATCH($B74,'Product Master'!$A$2:$A$1000,0)),"UPC Not Found")))</f>
        <v/>
      </c>
      <c r="F74" s="10" t="str">
        <f aca="false">IF($B74="","",IF(AND(F74&lt;&gt;"",F74&lt;&gt;0,F74&lt;&gt;"UPC Not Found"),F74,IFERROR(INDEX('Product Master'!$E$2:$E$1000,MATCH($B74,'Product Master'!$A$2:$A$1000,0)),"UPC Not Found")))</f>
        <v/>
      </c>
      <c r="G74" s="11"/>
      <c r="H74" s="11"/>
      <c r="I74" s="10" t="str">
        <f aca="false">IF($B74="","",IF(AND(G74="",H74=""),"",G74+H74))</f>
        <v/>
      </c>
      <c r="J74" s="10" t="str">
        <f aca="false">IF(OR($B74="",I74="",F74="UPC Not Found"),"",I74-F74)</f>
        <v/>
      </c>
      <c r="K74" s="9" t="str">
        <f aca="false">IF($B74="","",IF(AND(G74="",H74=""),"Not Counted",IF(OR(G74="",H74=""),"Partially Counted",IF(J74=0,"Match",IF(J74&gt;0,"Overage","Shortage")))))</f>
        <v/>
      </c>
      <c r="L74" s="9" t="str">
        <f aca="false">IF($B74="","",IF(AND(L74&lt;&gt;"",L74&lt;&gt;0),L74,$B$4))</f>
        <v/>
      </c>
      <c r="M74" s="12"/>
      <c r="N74" s="12"/>
      <c r="O74" s="12"/>
    </row>
    <row r="75" customFormat="false" ht="15" hidden="false" customHeight="false" outlineLevel="0" collapsed="false">
      <c r="A75" s="7" t="str">
        <f aca="true">IF($B75="","",IF(AND(A75&lt;&gt;"",A75&lt;&gt;0),A75,TODAY()))</f>
        <v/>
      </c>
      <c r="B75" s="8"/>
      <c r="C75" s="9" t="str">
        <f aca="false">IF($B75="","",IF(AND(C75&lt;&gt;"",C75&lt;&gt;0,C75&lt;&gt;"UPC Not Found"),C75,IFERROR(INDEX('Product Master'!$B$2:$B$1000,MATCH($B75,'Product Master'!$A$2:$A$1000,0)),"UPC Not Found")))</f>
        <v/>
      </c>
      <c r="D75" s="9" t="str">
        <f aca="false">IF($B75="","",IF(AND(D75&lt;&gt;"",D75&lt;&gt;0,D75&lt;&gt;"UPC Not Found"),D75,IFERROR(INDEX('Product Master'!$C$2:$C$1000,MATCH($B75,'Product Master'!$A$2:$A$1000,0)),"UPC Not Found")))</f>
        <v/>
      </c>
      <c r="E75" s="9" t="str">
        <f aca="false">IF($B75="","",IF(AND(E75&lt;&gt;"",E75&lt;&gt;0,E75&lt;&gt;"UPC Not Found"),E75,IFERROR(INDEX('Product Master'!$D$2:$D$1000,MATCH($B75,'Product Master'!$A$2:$A$1000,0)),"UPC Not Found")))</f>
        <v/>
      </c>
      <c r="F75" s="10" t="str">
        <f aca="false">IF($B75="","",IF(AND(F75&lt;&gt;"",F75&lt;&gt;0,F75&lt;&gt;"UPC Not Found"),F75,IFERROR(INDEX('Product Master'!$E$2:$E$1000,MATCH($B75,'Product Master'!$A$2:$A$1000,0)),"UPC Not Found")))</f>
        <v/>
      </c>
      <c r="G75" s="11"/>
      <c r="H75" s="11"/>
      <c r="I75" s="10" t="str">
        <f aca="false">IF($B75="","",IF(AND(G75="",H75=""),"",G75+H75))</f>
        <v/>
      </c>
      <c r="J75" s="10" t="str">
        <f aca="false">IF(OR($B75="",I75="",F75="UPC Not Found"),"",I75-F75)</f>
        <v/>
      </c>
      <c r="K75" s="9" t="str">
        <f aca="false">IF($B75="","",IF(AND(G75="",H75=""),"Not Counted",IF(OR(G75="",H75=""),"Partially Counted",IF(J75=0,"Match",IF(J75&gt;0,"Overage","Shortage")))))</f>
        <v/>
      </c>
      <c r="L75" s="9" t="str">
        <f aca="false">IF($B75="","",IF(AND(L75&lt;&gt;"",L75&lt;&gt;0),L75,$B$4))</f>
        <v/>
      </c>
      <c r="M75" s="12"/>
      <c r="N75" s="12"/>
      <c r="O75" s="12"/>
    </row>
    <row r="76" customFormat="false" ht="15" hidden="false" customHeight="false" outlineLevel="0" collapsed="false">
      <c r="A76" s="7" t="str">
        <f aca="true">IF($B76="","",IF(AND(A76&lt;&gt;"",A76&lt;&gt;0),A76,TODAY()))</f>
        <v/>
      </c>
      <c r="B76" s="8"/>
      <c r="C76" s="9" t="str">
        <f aca="false">IF($B76="","",IF(AND(C76&lt;&gt;"",C76&lt;&gt;0,C76&lt;&gt;"UPC Not Found"),C76,IFERROR(INDEX('Product Master'!$B$2:$B$1000,MATCH($B76,'Product Master'!$A$2:$A$1000,0)),"UPC Not Found")))</f>
        <v/>
      </c>
      <c r="D76" s="9" t="str">
        <f aca="false">IF($B76="","",IF(AND(D76&lt;&gt;"",D76&lt;&gt;0,D76&lt;&gt;"UPC Not Found"),D76,IFERROR(INDEX('Product Master'!$C$2:$C$1000,MATCH($B76,'Product Master'!$A$2:$A$1000,0)),"UPC Not Found")))</f>
        <v/>
      </c>
      <c r="E76" s="9" t="str">
        <f aca="false">IF($B76="","",IF(AND(E76&lt;&gt;"",E76&lt;&gt;0,E76&lt;&gt;"UPC Not Found"),E76,IFERROR(INDEX('Product Master'!$D$2:$D$1000,MATCH($B76,'Product Master'!$A$2:$A$1000,0)),"UPC Not Found")))</f>
        <v/>
      </c>
      <c r="F76" s="10" t="str">
        <f aca="false">IF($B76="","",IF(AND(F76&lt;&gt;"",F76&lt;&gt;0,F76&lt;&gt;"UPC Not Found"),F76,IFERROR(INDEX('Product Master'!$E$2:$E$1000,MATCH($B76,'Product Master'!$A$2:$A$1000,0)),"UPC Not Found")))</f>
        <v/>
      </c>
      <c r="G76" s="11"/>
      <c r="H76" s="11"/>
      <c r="I76" s="10" t="str">
        <f aca="false">IF($B76="","",IF(AND(G76="",H76=""),"",G76+H76))</f>
        <v/>
      </c>
      <c r="J76" s="10" t="str">
        <f aca="false">IF(OR($B76="",I76="",F76="UPC Not Found"),"",I76-F76)</f>
        <v/>
      </c>
      <c r="K76" s="9" t="str">
        <f aca="false">IF($B76="","",IF(AND(G76="",H76=""),"Not Counted",IF(OR(G76="",H76=""),"Partially Counted",IF(J76=0,"Match",IF(J76&gt;0,"Overage","Shortage")))))</f>
        <v/>
      </c>
      <c r="L76" s="9" t="str">
        <f aca="false">IF($B76="","",IF(AND(L76&lt;&gt;"",L76&lt;&gt;0),L76,$B$4))</f>
        <v/>
      </c>
      <c r="M76" s="12"/>
      <c r="N76" s="12"/>
      <c r="O76" s="12"/>
    </row>
    <row r="77" customFormat="false" ht="15" hidden="false" customHeight="false" outlineLevel="0" collapsed="false">
      <c r="A77" s="7" t="str">
        <f aca="true">IF($B77="","",IF(AND(A77&lt;&gt;"",A77&lt;&gt;0),A77,TODAY()))</f>
        <v/>
      </c>
      <c r="B77" s="8"/>
      <c r="C77" s="9" t="str">
        <f aca="false">IF($B77="","",IF(AND(C77&lt;&gt;"",C77&lt;&gt;0,C77&lt;&gt;"UPC Not Found"),C77,IFERROR(INDEX('Product Master'!$B$2:$B$1000,MATCH($B77,'Product Master'!$A$2:$A$1000,0)),"UPC Not Found")))</f>
        <v/>
      </c>
      <c r="D77" s="9" t="str">
        <f aca="false">IF($B77="","",IF(AND(D77&lt;&gt;"",D77&lt;&gt;0,D77&lt;&gt;"UPC Not Found"),D77,IFERROR(INDEX('Product Master'!$C$2:$C$1000,MATCH($B77,'Product Master'!$A$2:$A$1000,0)),"UPC Not Found")))</f>
        <v/>
      </c>
      <c r="E77" s="9" t="str">
        <f aca="false">IF($B77="","",IF(AND(E77&lt;&gt;"",E77&lt;&gt;0,E77&lt;&gt;"UPC Not Found"),E77,IFERROR(INDEX('Product Master'!$D$2:$D$1000,MATCH($B77,'Product Master'!$A$2:$A$1000,0)),"UPC Not Found")))</f>
        <v/>
      </c>
      <c r="F77" s="10" t="str">
        <f aca="false">IF($B77="","",IF(AND(F77&lt;&gt;"",F77&lt;&gt;0,F77&lt;&gt;"UPC Not Found"),F77,IFERROR(INDEX('Product Master'!$E$2:$E$1000,MATCH($B77,'Product Master'!$A$2:$A$1000,0)),"UPC Not Found")))</f>
        <v/>
      </c>
      <c r="G77" s="11"/>
      <c r="H77" s="11"/>
      <c r="I77" s="10" t="str">
        <f aca="false">IF($B77="","",IF(AND(G77="",H77=""),"",G77+H77))</f>
        <v/>
      </c>
      <c r="J77" s="10" t="str">
        <f aca="false">IF(OR($B77="",I77="",F77="UPC Not Found"),"",I77-F77)</f>
        <v/>
      </c>
      <c r="K77" s="9" t="str">
        <f aca="false">IF($B77="","",IF(AND(G77="",H77=""),"Not Counted",IF(OR(G77="",H77=""),"Partially Counted",IF(J77=0,"Match",IF(J77&gt;0,"Overage","Shortage")))))</f>
        <v/>
      </c>
      <c r="L77" s="9" t="str">
        <f aca="false">IF($B77="","",IF(AND(L77&lt;&gt;"",L77&lt;&gt;0),L77,$B$4))</f>
        <v/>
      </c>
      <c r="M77" s="12"/>
      <c r="N77" s="12"/>
      <c r="O77" s="12"/>
    </row>
    <row r="78" customFormat="false" ht="15" hidden="false" customHeight="false" outlineLevel="0" collapsed="false">
      <c r="A78" s="7" t="str">
        <f aca="true">IF($B78="","",IF(AND(A78&lt;&gt;"",A78&lt;&gt;0),A78,TODAY()))</f>
        <v/>
      </c>
      <c r="B78" s="8"/>
      <c r="C78" s="9" t="str">
        <f aca="false">IF($B78="","",IF(AND(C78&lt;&gt;"",C78&lt;&gt;0,C78&lt;&gt;"UPC Not Found"),C78,IFERROR(INDEX('Product Master'!$B$2:$B$1000,MATCH($B78,'Product Master'!$A$2:$A$1000,0)),"UPC Not Found")))</f>
        <v/>
      </c>
      <c r="D78" s="9" t="str">
        <f aca="false">IF($B78="","",IF(AND(D78&lt;&gt;"",D78&lt;&gt;0,D78&lt;&gt;"UPC Not Found"),D78,IFERROR(INDEX('Product Master'!$C$2:$C$1000,MATCH($B78,'Product Master'!$A$2:$A$1000,0)),"UPC Not Found")))</f>
        <v/>
      </c>
      <c r="E78" s="9" t="str">
        <f aca="false">IF($B78="","",IF(AND(E78&lt;&gt;"",E78&lt;&gt;0,E78&lt;&gt;"UPC Not Found"),E78,IFERROR(INDEX('Product Master'!$D$2:$D$1000,MATCH($B78,'Product Master'!$A$2:$A$1000,0)),"UPC Not Found")))</f>
        <v/>
      </c>
      <c r="F78" s="10" t="str">
        <f aca="false">IF($B78="","",IF(AND(F78&lt;&gt;"",F78&lt;&gt;0,F78&lt;&gt;"UPC Not Found"),F78,IFERROR(INDEX('Product Master'!$E$2:$E$1000,MATCH($B78,'Product Master'!$A$2:$A$1000,0)),"UPC Not Found")))</f>
        <v/>
      </c>
      <c r="G78" s="11"/>
      <c r="H78" s="11"/>
      <c r="I78" s="10" t="str">
        <f aca="false">IF($B78="","",IF(AND(G78="",H78=""),"",G78+H78))</f>
        <v/>
      </c>
      <c r="J78" s="10" t="str">
        <f aca="false">IF(OR($B78="",I78="",F78="UPC Not Found"),"",I78-F78)</f>
        <v/>
      </c>
      <c r="K78" s="9" t="str">
        <f aca="false">IF($B78="","",IF(AND(G78="",H78=""),"Not Counted",IF(OR(G78="",H78=""),"Partially Counted",IF(J78=0,"Match",IF(J78&gt;0,"Overage","Shortage")))))</f>
        <v/>
      </c>
      <c r="L78" s="9" t="str">
        <f aca="false">IF($B78="","",IF(AND(L78&lt;&gt;"",L78&lt;&gt;0),L78,$B$4))</f>
        <v/>
      </c>
      <c r="M78" s="12"/>
      <c r="N78" s="12"/>
      <c r="O78" s="12"/>
    </row>
    <row r="79" customFormat="false" ht="15" hidden="false" customHeight="false" outlineLevel="0" collapsed="false">
      <c r="A79" s="7" t="str">
        <f aca="true">IF($B79="","",IF(AND(A79&lt;&gt;"",A79&lt;&gt;0),A79,TODAY()))</f>
        <v/>
      </c>
      <c r="B79" s="8"/>
      <c r="C79" s="9" t="str">
        <f aca="false">IF($B79="","",IF(AND(C79&lt;&gt;"",C79&lt;&gt;0,C79&lt;&gt;"UPC Not Found"),C79,IFERROR(INDEX('Product Master'!$B$2:$B$1000,MATCH($B79,'Product Master'!$A$2:$A$1000,0)),"UPC Not Found")))</f>
        <v/>
      </c>
      <c r="D79" s="9" t="str">
        <f aca="false">IF($B79="","",IF(AND(D79&lt;&gt;"",D79&lt;&gt;0,D79&lt;&gt;"UPC Not Found"),D79,IFERROR(INDEX('Product Master'!$C$2:$C$1000,MATCH($B79,'Product Master'!$A$2:$A$1000,0)),"UPC Not Found")))</f>
        <v/>
      </c>
      <c r="E79" s="9" t="str">
        <f aca="false">IF($B79="","",IF(AND(E79&lt;&gt;"",E79&lt;&gt;0,E79&lt;&gt;"UPC Not Found"),E79,IFERROR(INDEX('Product Master'!$D$2:$D$1000,MATCH($B79,'Product Master'!$A$2:$A$1000,0)),"UPC Not Found")))</f>
        <v/>
      </c>
      <c r="F79" s="10" t="str">
        <f aca="false">IF($B79="","",IF(AND(F79&lt;&gt;"",F79&lt;&gt;0,F79&lt;&gt;"UPC Not Found"),F79,IFERROR(INDEX('Product Master'!$E$2:$E$1000,MATCH($B79,'Product Master'!$A$2:$A$1000,0)),"UPC Not Found")))</f>
        <v/>
      </c>
      <c r="G79" s="11"/>
      <c r="H79" s="11"/>
      <c r="I79" s="10" t="str">
        <f aca="false">IF($B79="","",IF(AND(G79="",H79=""),"",G79+H79))</f>
        <v/>
      </c>
      <c r="J79" s="10" t="str">
        <f aca="false">IF(OR($B79="",I79="",F79="UPC Not Found"),"",I79-F79)</f>
        <v/>
      </c>
      <c r="K79" s="9" t="str">
        <f aca="false">IF($B79="","",IF(AND(G79="",H79=""),"Not Counted",IF(OR(G79="",H79=""),"Partially Counted",IF(J79=0,"Match",IF(J79&gt;0,"Overage","Shortage")))))</f>
        <v/>
      </c>
      <c r="L79" s="9" t="str">
        <f aca="false">IF($B79="","",IF(AND(L79&lt;&gt;"",L79&lt;&gt;0),L79,$B$4))</f>
        <v/>
      </c>
      <c r="M79" s="12"/>
      <c r="N79" s="12"/>
      <c r="O79" s="12"/>
    </row>
    <row r="80" customFormat="false" ht="15" hidden="false" customHeight="false" outlineLevel="0" collapsed="false">
      <c r="A80" s="7" t="str">
        <f aca="true">IF($B80="","",IF(AND(A80&lt;&gt;"",A80&lt;&gt;0),A80,TODAY()))</f>
        <v/>
      </c>
      <c r="B80" s="8"/>
      <c r="C80" s="9" t="str">
        <f aca="false">IF($B80="","",IF(AND(C80&lt;&gt;"",C80&lt;&gt;0,C80&lt;&gt;"UPC Not Found"),C80,IFERROR(INDEX('Product Master'!$B$2:$B$1000,MATCH($B80,'Product Master'!$A$2:$A$1000,0)),"UPC Not Found")))</f>
        <v/>
      </c>
      <c r="D80" s="9" t="str">
        <f aca="false">IF($B80="","",IF(AND(D80&lt;&gt;"",D80&lt;&gt;0,D80&lt;&gt;"UPC Not Found"),D80,IFERROR(INDEX('Product Master'!$C$2:$C$1000,MATCH($B80,'Product Master'!$A$2:$A$1000,0)),"UPC Not Found")))</f>
        <v/>
      </c>
      <c r="E80" s="9" t="str">
        <f aca="false">IF($B80="","",IF(AND(E80&lt;&gt;"",E80&lt;&gt;0,E80&lt;&gt;"UPC Not Found"),E80,IFERROR(INDEX('Product Master'!$D$2:$D$1000,MATCH($B80,'Product Master'!$A$2:$A$1000,0)),"UPC Not Found")))</f>
        <v/>
      </c>
      <c r="F80" s="10" t="str">
        <f aca="false">IF($B80="","",IF(AND(F80&lt;&gt;"",F80&lt;&gt;0,F80&lt;&gt;"UPC Not Found"),F80,IFERROR(INDEX('Product Master'!$E$2:$E$1000,MATCH($B80,'Product Master'!$A$2:$A$1000,0)),"UPC Not Found")))</f>
        <v/>
      </c>
      <c r="G80" s="11"/>
      <c r="H80" s="11"/>
      <c r="I80" s="10" t="str">
        <f aca="false">IF($B80="","",IF(AND(G80="",H80=""),"",G80+H80))</f>
        <v/>
      </c>
      <c r="J80" s="10" t="str">
        <f aca="false">IF(OR($B80="",I80="",F80="UPC Not Found"),"",I80-F80)</f>
        <v/>
      </c>
      <c r="K80" s="9" t="str">
        <f aca="false">IF($B80="","",IF(AND(G80="",H80=""),"Not Counted",IF(OR(G80="",H80=""),"Partially Counted",IF(J80=0,"Match",IF(J80&gt;0,"Overage","Shortage")))))</f>
        <v/>
      </c>
      <c r="L80" s="9" t="str">
        <f aca="false">IF($B80="","",IF(AND(L80&lt;&gt;"",L80&lt;&gt;0),L80,$B$4))</f>
        <v/>
      </c>
      <c r="M80" s="12"/>
      <c r="N80" s="12"/>
      <c r="O80" s="12"/>
    </row>
    <row r="81" customFormat="false" ht="15" hidden="false" customHeight="false" outlineLevel="0" collapsed="false">
      <c r="A81" s="7" t="str">
        <f aca="true">IF($B81="","",IF(AND(A81&lt;&gt;"",A81&lt;&gt;0),A81,TODAY()))</f>
        <v/>
      </c>
      <c r="B81" s="8"/>
      <c r="C81" s="9" t="str">
        <f aca="false">IF($B81="","",IF(AND(C81&lt;&gt;"",C81&lt;&gt;0,C81&lt;&gt;"UPC Not Found"),C81,IFERROR(INDEX('Product Master'!$B$2:$B$1000,MATCH($B81,'Product Master'!$A$2:$A$1000,0)),"UPC Not Found")))</f>
        <v/>
      </c>
      <c r="D81" s="9" t="str">
        <f aca="false">IF($B81="","",IF(AND(D81&lt;&gt;"",D81&lt;&gt;0,D81&lt;&gt;"UPC Not Found"),D81,IFERROR(INDEX('Product Master'!$C$2:$C$1000,MATCH($B81,'Product Master'!$A$2:$A$1000,0)),"UPC Not Found")))</f>
        <v/>
      </c>
      <c r="E81" s="9" t="str">
        <f aca="false">IF($B81="","",IF(AND(E81&lt;&gt;"",E81&lt;&gt;0,E81&lt;&gt;"UPC Not Found"),E81,IFERROR(INDEX('Product Master'!$D$2:$D$1000,MATCH($B81,'Product Master'!$A$2:$A$1000,0)),"UPC Not Found")))</f>
        <v/>
      </c>
      <c r="F81" s="10" t="str">
        <f aca="false">IF($B81="","",IF(AND(F81&lt;&gt;"",F81&lt;&gt;0,F81&lt;&gt;"UPC Not Found"),F81,IFERROR(INDEX('Product Master'!$E$2:$E$1000,MATCH($B81,'Product Master'!$A$2:$A$1000,0)),"UPC Not Found")))</f>
        <v/>
      </c>
      <c r="G81" s="11"/>
      <c r="H81" s="11"/>
      <c r="I81" s="10" t="str">
        <f aca="false">IF($B81="","",IF(AND(G81="",H81=""),"",G81+H81))</f>
        <v/>
      </c>
      <c r="J81" s="10" t="str">
        <f aca="false">IF(OR($B81="",I81="",F81="UPC Not Found"),"",I81-F81)</f>
        <v/>
      </c>
      <c r="K81" s="9" t="str">
        <f aca="false">IF($B81="","",IF(AND(G81="",H81=""),"Not Counted",IF(OR(G81="",H81=""),"Partially Counted",IF(J81=0,"Match",IF(J81&gt;0,"Overage","Shortage")))))</f>
        <v/>
      </c>
      <c r="L81" s="9" t="str">
        <f aca="false">IF($B81="","",IF(AND(L81&lt;&gt;"",L81&lt;&gt;0),L81,$B$4))</f>
        <v/>
      </c>
      <c r="M81" s="12"/>
      <c r="N81" s="12"/>
      <c r="O81" s="12"/>
    </row>
    <row r="82" customFormat="false" ht="15" hidden="false" customHeight="false" outlineLevel="0" collapsed="false">
      <c r="A82" s="7" t="str">
        <f aca="true">IF($B82="","",IF(AND(A82&lt;&gt;"",A82&lt;&gt;0),A82,TODAY()))</f>
        <v/>
      </c>
      <c r="B82" s="8"/>
      <c r="C82" s="9" t="str">
        <f aca="false">IF($B82="","",IF(AND(C82&lt;&gt;"",C82&lt;&gt;0,C82&lt;&gt;"UPC Not Found"),C82,IFERROR(INDEX('Product Master'!$B$2:$B$1000,MATCH($B82,'Product Master'!$A$2:$A$1000,0)),"UPC Not Found")))</f>
        <v/>
      </c>
      <c r="D82" s="9" t="str">
        <f aca="false">IF($B82="","",IF(AND(D82&lt;&gt;"",D82&lt;&gt;0,D82&lt;&gt;"UPC Not Found"),D82,IFERROR(INDEX('Product Master'!$C$2:$C$1000,MATCH($B82,'Product Master'!$A$2:$A$1000,0)),"UPC Not Found")))</f>
        <v/>
      </c>
      <c r="E82" s="9" t="str">
        <f aca="false">IF($B82="","",IF(AND(E82&lt;&gt;"",E82&lt;&gt;0,E82&lt;&gt;"UPC Not Found"),E82,IFERROR(INDEX('Product Master'!$D$2:$D$1000,MATCH($B82,'Product Master'!$A$2:$A$1000,0)),"UPC Not Found")))</f>
        <v/>
      </c>
      <c r="F82" s="10" t="str">
        <f aca="false">IF($B82="","",IF(AND(F82&lt;&gt;"",F82&lt;&gt;0,F82&lt;&gt;"UPC Not Found"),F82,IFERROR(INDEX('Product Master'!$E$2:$E$1000,MATCH($B82,'Product Master'!$A$2:$A$1000,0)),"UPC Not Found")))</f>
        <v/>
      </c>
      <c r="G82" s="11"/>
      <c r="H82" s="11"/>
      <c r="I82" s="10" t="str">
        <f aca="false">IF($B82="","",IF(AND(G82="",H82=""),"",G82+H82))</f>
        <v/>
      </c>
      <c r="J82" s="10" t="str">
        <f aca="false">IF(OR($B82="",I82="",F82="UPC Not Found"),"",I82-F82)</f>
        <v/>
      </c>
      <c r="K82" s="9" t="str">
        <f aca="false">IF($B82="","",IF(AND(G82="",H82=""),"Not Counted",IF(OR(G82="",H82=""),"Partially Counted",IF(J82=0,"Match",IF(J82&gt;0,"Overage","Shortage")))))</f>
        <v/>
      </c>
      <c r="L82" s="9" t="str">
        <f aca="false">IF($B82="","",IF(AND(L82&lt;&gt;"",L82&lt;&gt;0),L82,$B$4))</f>
        <v/>
      </c>
      <c r="M82" s="12"/>
      <c r="N82" s="12"/>
      <c r="O82" s="12"/>
    </row>
    <row r="83" customFormat="false" ht="15" hidden="false" customHeight="false" outlineLevel="0" collapsed="false">
      <c r="A83" s="7" t="str">
        <f aca="true">IF($B83="","",IF(AND(A83&lt;&gt;"",A83&lt;&gt;0),A83,TODAY()))</f>
        <v/>
      </c>
      <c r="B83" s="8"/>
      <c r="C83" s="9" t="str">
        <f aca="false">IF($B83="","",IF(AND(C83&lt;&gt;"",C83&lt;&gt;0,C83&lt;&gt;"UPC Not Found"),C83,IFERROR(INDEX('Product Master'!$B$2:$B$1000,MATCH($B83,'Product Master'!$A$2:$A$1000,0)),"UPC Not Found")))</f>
        <v/>
      </c>
      <c r="D83" s="9" t="str">
        <f aca="false">IF($B83="","",IF(AND(D83&lt;&gt;"",D83&lt;&gt;0,D83&lt;&gt;"UPC Not Found"),D83,IFERROR(INDEX('Product Master'!$C$2:$C$1000,MATCH($B83,'Product Master'!$A$2:$A$1000,0)),"UPC Not Found")))</f>
        <v/>
      </c>
      <c r="E83" s="9" t="str">
        <f aca="false">IF($B83="","",IF(AND(E83&lt;&gt;"",E83&lt;&gt;0,E83&lt;&gt;"UPC Not Found"),E83,IFERROR(INDEX('Product Master'!$D$2:$D$1000,MATCH($B83,'Product Master'!$A$2:$A$1000,0)),"UPC Not Found")))</f>
        <v/>
      </c>
      <c r="F83" s="10" t="str">
        <f aca="false">IF($B83="","",IF(AND(F83&lt;&gt;"",F83&lt;&gt;0,F83&lt;&gt;"UPC Not Found"),F83,IFERROR(INDEX('Product Master'!$E$2:$E$1000,MATCH($B83,'Product Master'!$A$2:$A$1000,0)),"UPC Not Found")))</f>
        <v/>
      </c>
      <c r="G83" s="11"/>
      <c r="H83" s="11"/>
      <c r="I83" s="10" t="str">
        <f aca="false">IF($B83="","",IF(AND(G83="",H83=""),"",G83+H83))</f>
        <v/>
      </c>
      <c r="J83" s="10" t="str">
        <f aca="false">IF(OR($B83="",I83="",F83="UPC Not Found"),"",I83-F83)</f>
        <v/>
      </c>
      <c r="K83" s="9" t="str">
        <f aca="false">IF($B83="","",IF(AND(G83="",H83=""),"Not Counted",IF(OR(G83="",H83=""),"Partially Counted",IF(J83=0,"Match",IF(J83&gt;0,"Overage","Shortage")))))</f>
        <v/>
      </c>
      <c r="L83" s="9" t="str">
        <f aca="false">IF($B83="","",IF(AND(L83&lt;&gt;"",L83&lt;&gt;0),L83,$B$4))</f>
        <v/>
      </c>
      <c r="M83" s="12"/>
      <c r="N83" s="12"/>
      <c r="O83" s="12"/>
    </row>
    <row r="84" customFormat="false" ht="15" hidden="false" customHeight="false" outlineLevel="0" collapsed="false">
      <c r="A84" s="7" t="str">
        <f aca="true">IF($B84="","",IF(AND(A84&lt;&gt;"",A84&lt;&gt;0),A84,TODAY()))</f>
        <v/>
      </c>
      <c r="B84" s="8"/>
      <c r="C84" s="9" t="str">
        <f aca="false">IF($B84="","",IF(AND(C84&lt;&gt;"",C84&lt;&gt;0,C84&lt;&gt;"UPC Not Found"),C84,IFERROR(INDEX('Product Master'!$B$2:$B$1000,MATCH($B84,'Product Master'!$A$2:$A$1000,0)),"UPC Not Found")))</f>
        <v/>
      </c>
      <c r="D84" s="9" t="str">
        <f aca="false">IF($B84="","",IF(AND(D84&lt;&gt;"",D84&lt;&gt;0,D84&lt;&gt;"UPC Not Found"),D84,IFERROR(INDEX('Product Master'!$C$2:$C$1000,MATCH($B84,'Product Master'!$A$2:$A$1000,0)),"UPC Not Found")))</f>
        <v/>
      </c>
      <c r="E84" s="9" t="str">
        <f aca="false">IF($B84="","",IF(AND(E84&lt;&gt;"",E84&lt;&gt;0,E84&lt;&gt;"UPC Not Found"),E84,IFERROR(INDEX('Product Master'!$D$2:$D$1000,MATCH($B84,'Product Master'!$A$2:$A$1000,0)),"UPC Not Found")))</f>
        <v/>
      </c>
      <c r="F84" s="10" t="str">
        <f aca="false">IF($B84="","",IF(AND(F84&lt;&gt;"",F84&lt;&gt;0,F84&lt;&gt;"UPC Not Found"),F84,IFERROR(INDEX('Product Master'!$E$2:$E$1000,MATCH($B84,'Product Master'!$A$2:$A$1000,0)),"UPC Not Found")))</f>
        <v/>
      </c>
      <c r="G84" s="11"/>
      <c r="H84" s="11"/>
      <c r="I84" s="10" t="str">
        <f aca="false">IF($B84="","",IF(AND(G84="",H84=""),"",G84+H84))</f>
        <v/>
      </c>
      <c r="J84" s="10" t="str">
        <f aca="false">IF(OR($B84="",I84="",F84="UPC Not Found"),"",I84-F84)</f>
        <v/>
      </c>
      <c r="K84" s="9" t="str">
        <f aca="false">IF($B84="","",IF(AND(G84="",H84=""),"Not Counted",IF(OR(G84="",H84=""),"Partially Counted",IF(J84=0,"Match",IF(J84&gt;0,"Overage","Shortage")))))</f>
        <v/>
      </c>
      <c r="L84" s="9" t="str">
        <f aca="false">IF($B84="","",IF(AND(L84&lt;&gt;"",L84&lt;&gt;0),L84,$B$4))</f>
        <v/>
      </c>
      <c r="M84" s="12"/>
      <c r="N84" s="12"/>
      <c r="O84" s="12"/>
    </row>
    <row r="85" customFormat="false" ht="15" hidden="false" customHeight="false" outlineLevel="0" collapsed="false">
      <c r="A85" s="7" t="str">
        <f aca="true">IF($B85="","",IF(AND(A85&lt;&gt;"",A85&lt;&gt;0),A85,TODAY()))</f>
        <v/>
      </c>
      <c r="B85" s="8"/>
      <c r="C85" s="9" t="str">
        <f aca="false">IF($B85="","",IF(AND(C85&lt;&gt;"",C85&lt;&gt;0,C85&lt;&gt;"UPC Not Found"),C85,IFERROR(INDEX('Product Master'!$B$2:$B$1000,MATCH($B85,'Product Master'!$A$2:$A$1000,0)),"UPC Not Found")))</f>
        <v/>
      </c>
      <c r="D85" s="9" t="str">
        <f aca="false">IF($B85="","",IF(AND(D85&lt;&gt;"",D85&lt;&gt;0,D85&lt;&gt;"UPC Not Found"),D85,IFERROR(INDEX('Product Master'!$C$2:$C$1000,MATCH($B85,'Product Master'!$A$2:$A$1000,0)),"UPC Not Found")))</f>
        <v/>
      </c>
      <c r="E85" s="9" t="str">
        <f aca="false">IF($B85="","",IF(AND(E85&lt;&gt;"",E85&lt;&gt;0,E85&lt;&gt;"UPC Not Found"),E85,IFERROR(INDEX('Product Master'!$D$2:$D$1000,MATCH($B85,'Product Master'!$A$2:$A$1000,0)),"UPC Not Found")))</f>
        <v/>
      </c>
      <c r="F85" s="10" t="str">
        <f aca="false">IF($B85="","",IF(AND(F85&lt;&gt;"",F85&lt;&gt;0,F85&lt;&gt;"UPC Not Found"),F85,IFERROR(INDEX('Product Master'!$E$2:$E$1000,MATCH($B85,'Product Master'!$A$2:$A$1000,0)),"UPC Not Found")))</f>
        <v/>
      </c>
      <c r="G85" s="11"/>
      <c r="H85" s="11"/>
      <c r="I85" s="10" t="str">
        <f aca="false">IF($B85="","",IF(AND(G85="",H85=""),"",G85+H85))</f>
        <v/>
      </c>
      <c r="J85" s="10" t="str">
        <f aca="false">IF(OR($B85="",I85="",F85="UPC Not Found"),"",I85-F85)</f>
        <v/>
      </c>
      <c r="K85" s="9" t="str">
        <f aca="false">IF($B85="","",IF(AND(G85="",H85=""),"Not Counted",IF(OR(G85="",H85=""),"Partially Counted",IF(J85=0,"Match",IF(J85&gt;0,"Overage","Shortage")))))</f>
        <v/>
      </c>
      <c r="L85" s="9" t="str">
        <f aca="false">IF($B85="","",IF(AND(L85&lt;&gt;"",L85&lt;&gt;0),L85,$B$4))</f>
        <v/>
      </c>
      <c r="M85" s="12"/>
      <c r="N85" s="12"/>
      <c r="O85" s="12"/>
    </row>
    <row r="86" customFormat="false" ht="15" hidden="false" customHeight="false" outlineLevel="0" collapsed="false">
      <c r="A86" s="7" t="str">
        <f aca="true">IF($B86="","",IF(AND(A86&lt;&gt;"",A86&lt;&gt;0),A86,TODAY()))</f>
        <v/>
      </c>
      <c r="B86" s="8"/>
      <c r="C86" s="9" t="str">
        <f aca="false">IF($B86="","",IF(AND(C86&lt;&gt;"",C86&lt;&gt;0,C86&lt;&gt;"UPC Not Found"),C86,IFERROR(INDEX('Product Master'!$B$2:$B$1000,MATCH($B86,'Product Master'!$A$2:$A$1000,0)),"UPC Not Found")))</f>
        <v/>
      </c>
      <c r="D86" s="9" t="str">
        <f aca="false">IF($B86="","",IF(AND(D86&lt;&gt;"",D86&lt;&gt;0,D86&lt;&gt;"UPC Not Found"),D86,IFERROR(INDEX('Product Master'!$C$2:$C$1000,MATCH($B86,'Product Master'!$A$2:$A$1000,0)),"UPC Not Found")))</f>
        <v/>
      </c>
      <c r="E86" s="9" t="str">
        <f aca="false">IF($B86="","",IF(AND(E86&lt;&gt;"",E86&lt;&gt;0,E86&lt;&gt;"UPC Not Found"),E86,IFERROR(INDEX('Product Master'!$D$2:$D$1000,MATCH($B86,'Product Master'!$A$2:$A$1000,0)),"UPC Not Found")))</f>
        <v/>
      </c>
      <c r="F86" s="10" t="str">
        <f aca="false">IF($B86="","",IF(AND(F86&lt;&gt;"",F86&lt;&gt;0,F86&lt;&gt;"UPC Not Found"),F86,IFERROR(INDEX('Product Master'!$E$2:$E$1000,MATCH($B86,'Product Master'!$A$2:$A$1000,0)),"UPC Not Found")))</f>
        <v/>
      </c>
      <c r="G86" s="11"/>
      <c r="H86" s="11"/>
      <c r="I86" s="10" t="str">
        <f aca="false">IF($B86="","",IF(AND(G86="",H86=""),"",G86+H86))</f>
        <v/>
      </c>
      <c r="J86" s="10" t="str">
        <f aca="false">IF(OR($B86="",I86="",F86="UPC Not Found"),"",I86-F86)</f>
        <v/>
      </c>
      <c r="K86" s="9" t="str">
        <f aca="false">IF($B86="","",IF(AND(G86="",H86=""),"Not Counted",IF(OR(G86="",H86=""),"Partially Counted",IF(J86=0,"Match",IF(J86&gt;0,"Overage","Shortage")))))</f>
        <v/>
      </c>
      <c r="L86" s="9" t="str">
        <f aca="false">IF($B86="","",IF(AND(L86&lt;&gt;"",L86&lt;&gt;0),L86,$B$4))</f>
        <v/>
      </c>
      <c r="M86" s="12"/>
      <c r="N86" s="12"/>
      <c r="O86" s="12"/>
    </row>
    <row r="87" customFormat="false" ht="15" hidden="false" customHeight="false" outlineLevel="0" collapsed="false">
      <c r="A87" s="7" t="str">
        <f aca="true">IF($B87="","",IF(AND(A87&lt;&gt;"",A87&lt;&gt;0),A87,TODAY()))</f>
        <v/>
      </c>
      <c r="B87" s="8"/>
      <c r="C87" s="9" t="str">
        <f aca="false">IF($B87="","",IF(AND(C87&lt;&gt;"",C87&lt;&gt;0,C87&lt;&gt;"UPC Not Found"),C87,IFERROR(INDEX('Product Master'!$B$2:$B$1000,MATCH($B87,'Product Master'!$A$2:$A$1000,0)),"UPC Not Found")))</f>
        <v/>
      </c>
      <c r="D87" s="9" t="str">
        <f aca="false">IF($B87="","",IF(AND(D87&lt;&gt;"",D87&lt;&gt;0,D87&lt;&gt;"UPC Not Found"),D87,IFERROR(INDEX('Product Master'!$C$2:$C$1000,MATCH($B87,'Product Master'!$A$2:$A$1000,0)),"UPC Not Found")))</f>
        <v/>
      </c>
      <c r="E87" s="9" t="str">
        <f aca="false">IF($B87="","",IF(AND(E87&lt;&gt;"",E87&lt;&gt;0,E87&lt;&gt;"UPC Not Found"),E87,IFERROR(INDEX('Product Master'!$D$2:$D$1000,MATCH($B87,'Product Master'!$A$2:$A$1000,0)),"UPC Not Found")))</f>
        <v/>
      </c>
      <c r="F87" s="10" t="str">
        <f aca="false">IF($B87="","",IF(AND(F87&lt;&gt;"",F87&lt;&gt;0,F87&lt;&gt;"UPC Not Found"),F87,IFERROR(INDEX('Product Master'!$E$2:$E$1000,MATCH($B87,'Product Master'!$A$2:$A$1000,0)),"UPC Not Found")))</f>
        <v/>
      </c>
      <c r="G87" s="11"/>
      <c r="H87" s="11"/>
      <c r="I87" s="10" t="str">
        <f aca="false">IF($B87="","",IF(AND(G87="",H87=""),"",G87+H87))</f>
        <v/>
      </c>
      <c r="J87" s="10" t="str">
        <f aca="false">IF(OR($B87="",I87="",F87="UPC Not Found"),"",I87-F87)</f>
        <v/>
      </c>
      <c r="K87" s="9" t="str">
        <f aca="false">IF($B87="","",IF(AND(G87="",H87=""),"Not Counted",IF(OR(G87="",H87=""),"Partially Counted",IF(J87=0,"Match",IF(J87&gt;0,"Overage","Shortage")))))</f>
        <v/>
      </c>
      <c r="L87" s="9" t="str">
        <f aca="false">IF($B87="","",IF(AND(L87&lt;&gt;"",L87&lt;&gt;0),L87,$B$4))</f>
        <v/>
      </c>
      <c r="M87" s="12"/>
      <c r="N87" s="12"/>
      <c r="O87" s="12"/>
    </row>
    <row r="88" customFormat="false" ht="15" hidden="false" customHeight="false" outlineLevel="0" collapsed="false">
      <c r="A88" s="7" t="str">
        <f aca="true">IF($B88="","",IF(AND(A88&lt;&gt;"",A88&lt;&gt;0),A88,TODAY()))</f>
        <v/>
      </c>
      <c r="B88" s="8"/>
      <c r="C88" s="9" t="str">
        <f aca="false">IF($B88="","",IF(AND(C88&lt;&gt;"",C88&lt;&gt;0,C88&lt;&gt;"UPC Not Found"),C88,IFERROR(INDEX('Product Master'!$B$2:$B$1000,MATCH($B88,'Product Master'!$A$2:$A$1000,0)),"UPC Not Found")))</f>
        <v/>
      </c>
      <c r="D88" s="9" t="str">
        <f aca="false">IF($B88="","",IF(AND(D88&lt;&gt;"",D88&lt;&gt;0,D88&lt;&gt;"UPC Not Found"),D88,IFERROR(INDEX('Product Master'!$C$2:$C$1000,MATCH($B88,'Product Master'!$A$2:$A$1000,0)),"UPC Not Found")))</f>
        <v/>
      </c>
      <c r="E88" s="9" t="str">
        <f aca="false">IF($B88="","",IF(AND(E88&lt;&gt;"",E88&lt;&gt;0,E88&lt;&gt;"UPC Not Found"),E88,IFERROR(INDEX('Product Master'!$D$2:$D$1000,MATCH($B88,'Product Master'!$A$2:$A$1000,0)),"UPC Not Found")))</f>
        <v/>
      </c>
      <c r="F88" s="10" t="str">
        <f aca="false">IF($B88="","",IF(AND(F88&lt;&gt;"",F88&lt;&gt;0,F88&lt;&gt;"UPC Not Found"),F88,IFERROR(INDEX('Product Master'!$E$2:$E$1000,MATCH($B88,'Product Master'!$A$2:$A$1000,0)),"UPC Not Found")))</f>
        <v/>
      </c>
      <c r="G88" s="11"/>
      <c r="H88" s="11"/>
      <c r="I88" s="10" t="str">
        <f aca="false">IF($B88="","",IF(AND(G88="",H88=""),"",G88+H88))</f>
        <v/>
      </c>
      <c r="J88" s="10" t="str">
        <f aca="false">IF(OR($B88="",I88="",F88="UPC Not Found"),"",I88-F88)</f>
        <v/>
      </c>
      <c r="K88" s="9" t="str">
        <f aca="false">IF($B88="","",IF(AND(G88="",H88=""),"Not Counted",IF(OR(G88="",H88=""),"Partially Counted",IF(J88=0,"Match",IF(J88&gt;0,"Overage","Shortage")))))</f>
        <v/>
      </c>
      <c r="L88" s="9" t="str">
        <f aca="false">IF($B88="","",IF(AND(L88&lt;&gt;"",L88&lt;&gt;0),L88,$B$4))</f>
        <v/>
      </c>
      <c r="M88" s="12"/>
      <c r="N88" s="12"/>
      <c r="O88" s="12"/>
    </row>
    <row r="89" customFormat="false" ht="15" hidden="false" customHeight="false" outlineLevel="0" collapsed="false">
      <c r="A89" s="7" t="str">
        <f aca="true">IF($B89="","",IF(AND(A89&lt;&gt;"",A89&lt;&gt;0),A89,TODAY()))</f>
        <v/>
      </c>
      <c r="B89" s="8"/>
      <c r="C89" s="9" t="str">
        <f aca="false">IF($B89="","",IF(AND(C89&lt;&gt;"",C89&lt;&gt;0,C89&lt;&gt;"UPC Not Found"),C89,IFERROR(INDEX('Product Master'!$B$2:$B$1000,MATCH($B89,'Product Master'!$A$2:$A$1000,0)),"UPC Not Found")))</f>
        <v/>
      </c>
      <c r="D89" s="9" t="str">
        <f aca="false">IF($B89="","",IF(AND(D89&lt;&gt;"",D89&lt;&gt;0,D89&lt;&gt;"UPC Not Found"),D89,IFERROR(INDEX('Product Master'!$C$2:$C$1000,MATCH($B89,'Product Master'!$A$2:$A$1000,0)),"UPC Not Found")))</f>
        <v/>
      </c>
      <c r="E89" s="9" t="str">
        <f aca="false">IF($B89="","",IF(AND(E89&lt;&gt;"",E89&lt;&gt;0,E89&lt;&gt;"UPC Not Found"),E89,IFERROR(INDEX('Product Master'!$D$2:$D$1000,MATCH($B89,'Product Master'!$A$2:$A$1000,0)),"UPC Not Found")))</f>
        <v/>
      </c>
      <c r="F89" s="10" t="str">
        <f aca="false">IF($B89="","",IF(AND(F89&lt;&gt;"",F89&lt;&gt;0,F89&lt;&gt;"UPC Not Found"),F89,IFERROR(INDEX('Product Master'!$E$2:$E$1000,MATCH($B89,'Product Master'!$A$2:$A$1000,0)),"UPC Not Found")))</f>
        <v/>
      </c>
      <c r="G89" s="11"/>
      <c r="H89" s="11"/>
      <c r="I89" s="10" t="str">
        <f aca="false">IF($B89="","",IF(AND(G89="",H89=""),"",G89+H89))</f>
        <v/>
      </c>
      <c r="J89" s="10" t="str">
        <f aca="false">IF(OR($B89="",I89="",F89="UPC Not Found"),"",I89-F89)</f>
        <v/>
      </c>
      <c r="K89" s="9" t="str">
        <f aca="false">IF($B89="","",IF(AND(G89="",H89=""),"Not Counted",IF(OR(G89="",H89=""),"Partially Counted",IF(J89=0,"Match",IF(J89&gt;0,"Overage","Shortage")))))</f>
        <v/>
      </c>
      <c r="L89" s="9" t="str">
        <f aca="false">IF($B89="","",IF(AND(L89&lt;&gt;"",L89&lt;&gt;0),L89,$B$4))</f>
        <v/>
      </c>
      <c r="M89" s="12"/>
      <c r="N89" s="12"/>
      <c r="O89" s="12"/>
    </row>
    <row r="90" customFormat="false" ht="15" hidden="false" customHeight="false" outlineLevel="0" collapsed="false">
      <c r="A90" s="7" t="str">
        <f aca="true">IF($B90="","",IF(AND(A90&lt;&gt;"",A90&lt;&gt;0),A90,TODAY()))</f>
        <v/>
      </c>
      <c r="B90" s="8"/>
      <c r="C90" s="9" t="str">
        <f aca="false">IF($B90="","",IF(AND(C90&lt;&gt;"",C90&lt;&gt;0,C90&lt;&gt;"UPC Not Found"),C90,IFERROR(INDEX('Product Master'!$B$2:$B$1000,MATCH($B90,'Product Master'!$A$2:$A$1000,0)),"UPC Not Found")))</f>
        <v/>
      </c>
      <c r="D90" s="9" t="str">
        <f aca="false">IF($B90="","",IF(AND(D90&lt;&gt;"",D90&lt;&gt;0,D90&lt;&gt;"UPC Not Found"),D90,IFERROR(INDEX('Product Master'!$C$2:$C$1000,MATCH($B90,'Product Master'!$A$2:$A$1000,0)),"UPC Not Found")))</f>
        <v/>
      </c>
      <c r="E90" s="9" t="str">
        <f aca="false">IF($B90="","",IF(AND(E90&lt;&gt;"",E90&lt;&gt;0,E90&lt;&gt;"UPC Not Found"),E90,IFERROR(INDEX('Product Master'!$D$2:$D$1000,MATCH($B90,'Product Master'!$A$2:$A$1000,0)),"UPC Not Found")))</f>
        <v/>
      </c>
      <c r="F90" s="10" t="str">
        <f aca="false">IF($B90="","",IF(AND(F90&lt;&gt;"",F90&lt;&gt;0,F90&lt;&gt;"UPC Not Found"),F90,IFERROR(INDEX('Product Master'!$E$2:$E$1000,MATCH($B90,'Product Master'!$A$2:$A$1000,0)),"UPC Not Found")))</f>
        <v/>
      </c>
      <c r="G90" s="11"/>
      <c r="H90" s="11"/>
      <c r="I90" s="10" t="str">
        <f aca="false">IF($B90="","",IF(AND(G90="",H90=""),"",G90+H90))</f>
        <v/>
      </c>
      <c r="J90" s="10" t="str">
        <f aca="false">IF(OR($B90="",I90="",F90="UPC Not Found"),"",I90-F90)</f>
        <v/>
      </c>
      <c r="K90" s="9" t="str">
        <f aca="false">IF($B90="","",IF(AND(G90="",H90=""),"Not Counted",IF(OR(G90="",H90=""),"Partially Counted",IF(J90=0,"Match",IF(J90&gt;0,"Overage","Shortage")))))</f>
        <v/>
      </c>
      <c r="L90" s="9" t="str">
        <f aca="false">IF($B90="","",IF(AND(L90&lt;&gt;"",L90&lt;&gt;0),L90,$B$4))</f>
        <v/>
      </c>
      <c r="M90" s="12"/>
      <c r="N90" s="12"/>
      <c r="O90" s="12"/>
    </row>
    <row r="91" customFormat="false" ht="15" hidden="false" customHeight="false" outlineLevel="0" collapsed="false">
      <c r="A91" s="7" t="str">
        <f aca="true">IF($B91="","",IF(AND(A91&lt;&gt;"",A91&lt;&gt;0),A91,TODAY()))</f>
        <v/>
      </c>
      <c r="B91" s="8"/>
      <c r="C91" s="9" t="str">
        <f aca="false">IF($B91="","",IF(AND(C91&lt;&gt;"",C91&lt;&gt;0,C91&lt;&gt;"UPC Not Found"),C91,IFERROR(INDEX('Product Master'!$B$2:$B$1000,MATCH($B91,'Product Master'!$A$2:$A$1000,0)),"UPC Not Found")))</f>
        <v/>
      </c>
      <c r="D91" s="9" t="str">
        <f aca="false">IF($B91="","",IF(AND(D91&lt;&gt;"",D91&lt;&gt;0,D91&lt;&gt;"UPC Not Found"),D91,IFERROR(INDEX('Product Master'!$C$2:$C$1000,MATCH($B91,'Product Master'!$A$2:$A$1000,0)),"UPC Not Found")))</f>
        <v/>
      </c>
      <c r="E91" s="9" t="str">
        <f aca="false">IF($B91="","",IF(AND(E91&lt;&gt;"",E91&lt;&gt;0,E91&lt;&gt;"UPC Not Found"),E91,IFERROR(INDEX('Product Master'!$D$2:$D$1000,MATCH($B91,'Product Master'!$A$2:$A$1000,0)),"UPC Not Found")))</f>
        <v/>
      </c>
      <c r="F91" s="10" t="str">
        <f aca="false">IF($B91="","",IF(AND(F91&lt;&gt;"",F91&lt;&gt;0,F91&lt;&gt;"UPC Not Found"),F91,IFERROR(INDEX('Product Master'!$E$2:$E$1000,MATCH($B91,'Product Master'!$A$2:$A$1000,0)),"UPC Not Found")))</f>
        <v/>
      </c>
      <c r="G91" s="11"/>
      <c r="H91" s="11"/>
      <c r="I91" s="10" t="str">
        <f aca="false">IF($B91="","",IF(AND(G91="",H91=""),"",G91+H91))</f>
        <v/>
      </c>
      <c r="J91" s="10" t="str">
        <f aca="false">IF(OR($B91="",I91="",F91="UPC Not Found"),"",I91-F91)</f>
        <v/>
      </c>
      <c r="K91" s="9" t="str">
        <f aca="false">IF($B91="","",IF(AND(G91="",H91=""),"Not Counted",IF(OR(G91="",H91=""),"Partially Counted",IF(J91=0,"Match",IF(J91&gt;0,"Overage","Shortage")))))</f>
        <v/>
      </c>
      <c r="L91" s="9" t="str">
        <f aca="false">IF($B91="","",IF(AND(L91&lt;&gt;"",L91&lt;&gt;0),L91,$B$4))</f>
        <v/>
      </c>
      <c r="M91" s="12"/>
      <c r="N91" s="12"/>
      <c r="O91" s="12"/>
    </row>
    <row r="92" customFormat="false" ht="15" hidden="false" customHeight="false" outlineLevel="0" collapsed="false">
      <c r="A92" s="7" t="str">
        <f aca="true">IF($B92="","",IF(AND(A92&lt;&gt;"",A92&lt;&gt;0),A92,TODAY()))</f>
        <v/>
      </c>
      <c r="B92" s="8"/>
      <c r="C92" s="9" t="str">
        <f aca="false">IF($B92="","",IF(AND(C92&lt;&gt;"",C92&lt;&gt;0,C92&lt;&gt;"UPC Not Found"),C92,IFERROR(INDEX('Product Master'!$B$2:$B$1000,MATCH($B92,'Product Master'!$A$2:$A$1000,0)),"UPC Not Found")))</f>
        <v/>
      </c>
      <c r="D92" s="9" t="str">
        <f aca="false">IF($B92="","",IF(AND(D92&lt;&gt;"",D92&lt;&gt;0,D92&lt;&gt;"UPC Not Found"),D92,IFERROR(INDEX('Product Master'!$C$2:$C$1000,MATCH($B92,'Product Master'!$A$2:$A$1000,0)),"UPC Not Found")))</f>
        <v/>
      </c>
      <c r="E92" s="9" t="str">
        <f aca="false">IF($B92="","",IF(AND(E92&lt;&gt;"",E92&lt;&gt;0,E92&lt;&gt;"UPC Not Found"),E92,IFERROR(INDEX('Product Master'!$D$2:$D$1000,MATCH($B92,'Product Master'!$A$2:$A$1000,0)),"UPC Not Found")))</f>
        <v/>
      </c>
      <c r="F92" s="10" t="str">
        <f aca="false">IF($B92="","",IF(AND(F92&lt;&gt;"",F92&lt;&gt;0,F92&lt;&gt;"UPC Not Found"),F92,IFERROR(INDEX('Product Master'!$E$2:$E$1000,MATCH($B92,'Product Master'!$A$2:$A$1000,0)),"UPC Not Found")))</f>
        <v/>
      </c>
      <c r="G92" s="11"/>
      <c r="H92" s="11"/>
      <c r="I92" s="10" t="str">
        <f aca="false">IF($B92="","",IF(AND(G92="",H92=""),"",G92+H92))</f>
        <v/>
      </c>
      <c r="J92" s="10" t="str">
        <f aca="false">IF(OR($B92="",I92="",F92="UPC Not Found"),"",I92-F92)</f>
        <v/>
      </c>
      <c r="K92" s="9" t="str">
        <f aca="false">IF($B92="","",IF(AND(G92="",H92=""),"Not Counted",IF(OR(G92="",H92=""),"Partially Counted",IF(J92=0,"Match",IF(J92&gt;0,"Overage","Shortage")))))</f>
        <v/>
      </c>
      <c r="L92" s="9" t="str">
        <f aca="false">IF($B92="","",IF(AND(L92&lt;&gt;"",L92&lt;&gt;0),L92,$B$4))</f>
        <v/>
      </c>
      <c r="M92" s="12"/>
      <c r="N92" s="12"/>
      <c r="O92" s="12"/>
    </row>
    <row r="93" customFormat="false" ht="15" hidden="false" customHeight="false" outlineLevel="0" collapsed="false">
      <c r="A93" s="7" t="str">
        <f aca="true">IF($B93="","",IF(AND(A93&lt;&gt;"",A93&lt;&gt;0),A93,TODAY()))</f>
        <v/>
      </c>
      <c r="B93" s="8"/>
      <c r="C93" s="9" t="str">
        <f aca="false">IF($B93="","",IF(AND(C93&lt;&gt;"",C93&lt;&gt;0,C93&lt;&gt;"UPC Not Found"),C93,IFERROR(INDEX('Product Master'!$B$2:$B$1000,MATCH($B93,'Product Master'!$A$2:$A$1000,0)),"UPC Not Found")))</f>
        <v/>
      </c>
      <c r="D93" s="9" t="str">
        <f aca="false">IF($B93="","",IF(AND(D93&lt;&gt;"",D93&lt;&gt;0,D93&lt;&gt;"UPC Not Found"),D93,IFERROR(INDEX('Product Master'!$C$2:$C$1000,MATCH($B93,'Product Master'!$A$2:$A$1000,0)),"UPC Not Found")))</f>
        <v/>
      </c>
      <c r="E93" s="9" t="str">
        <f aca="false">IF($B93="","",IF(AND(E93&lt;&gt;"",E93&lt;&gt;0,E93&lt;&gt;"UPC Not Found"),E93,IFERROR(INDEX('Product Master'!$D$2:$D$1000,MATCH($B93,'Product Master'!$A$2:$A$1000,0)),"UPC Not Found")))</f>
        <v/>
      </c>
      <c r="F93" s="10" t="str">
        <f aca="false">IF($B93="","",IF(AND(F93&lt;&gt;"",F93&lt;&gt;0,F93&lt;&gt;"UPC Not Found"),F93,IFERROR(INDEX('Product Master'!$E$2:$E$1000,MATCH($B93,'Product Master'!$A$2:$A$1000,0)),"UPC Not Found")))</f>
        <v/>
      </c>
      <c r="G93" s="11"/>
      <c r="H93" s="11"/>
      <c r="I93" s="10" t="str">
        <f aca="false">IF($B93="","",IF(AND(G93="",H93=""),"",G93+H93))</f>
        <v/>
      </c>
      <c r="J93" s="10" t="str">
        <f aca="false">IF(OR($B93="",I93="",F93="UPC Not Found"),"",I93-F93)</f>
        <v/>
      </c>
      <c r="K93" s="9" t="str">
        <f aca="false">IF($B93="","",IF(AND(G93="",H93=""),"Not Counted",IF(OR(G93="",H93=""),"Partially Counted",IF(J93=0,"Match",IF(J93&gt;0,"Overage","Shortage")))))</f>
        <v/>
      </c>
      <c r="L93" s="9" t="str">
        <f aca="false">IF($B93="","",IF(AND(L93&lt;&gt;"",L93&lt;&gt;0),L93,$B$4))</f>
        <v/>
      </c>
      <c r="M93" s="12"/>
      <c r="N93" s="12"/>
      <c r="O93" s="12"/>
    </row>
    <row r="94" customFormat="false" ht="15" hidden="false" customHeight="false" outlineLevel="0" collapsed="false">
      <c r="A94" s="7" t="str">
        <f aca="true">IF($B94="","",IF(AND(A94&lt;&gt;"",A94&lt;&gt;0),A94,TODAY()))</f>
        <v/>
      </c>
      <c r="B94" s="8"/>
      <c r="C94" s="9" t="str">
        <f aca="false">IF($B94="","",IF(AND(C94&lt;&gt;"",C94&lt;&gt;0,C94&lt;&gt;"UPC Not Found"),C94,IFERROR(INDEX('Product Master'!$B$2:$B$1000,MATCH($B94,'Product Master'!$A$2:$A$1000,0)),"UPC Not Found")))</f>
        <v/>
      </c>
      <c r="D94" s="9" t="str">
        <f aca="false">IF($B94="","",IF(AND(D94&lt;&gt;"",D94&lt;&gt;0,D94&lt;&gt;"UPC Not Found"),D94,IFERROR(INDEX('Product Master'!$C$2:$C$1000,MATCH($B94,'Product Master'!$A$2:$A$1000,0)),"UPC Not Found")))</f>
        <v/>
      </c>
      <c r="E94" s="9" t="str">
        <f aca="false">IF($B94="","",IF(AND(E94&lt;&gt;"",E94&lt;&gt;0,E94&lt;&gt;"UPC Not Found"),E94,IFERROR(INDEX('Product Master'!$D$2:$D$1000,MATCH($B94,'Product Master'!$A$2:$A$1000,0)),"UPC Not Found")))</f>
        <v/>
      </c>
      <c r="F94" s="10" t="str">
        <f aca="false">IF($B94="","",IF(AND(F94&lt;&gt;"",F94&lt;&gt;0,F94&lt;&gt;"UPC Not Found"),F94,IFERROR(INDEX('Product Master'!$E$2:$E$1000,MATCH($B94,'Product Master'!$A$2:$A$1000,0)),"UPC Not Found")))</f>
        <v/>
      </c>
      <c r="G94" s="11"/>
      <c r="H94" s="11"/>
      <c r="I94" s="10" t="str">
        <f aca="false">IF($B94="","",IF(AND(G94="",H94=""),"",G94+H94))</f>
        <v/>
      </c>
      <c r="J94" s="10" t="str">
        <f aca="false">IF(OR($B94="",I94="",F94="UPC Not Found"),"",I94-F94)</f>
        <v/>
      </c>
      <c r="K94" s="9" t="str">
        <f aca="false">IF($B94="","",IF(AND(G94="",H94=""),"Not Counted",IF(OR(G94="",H94=""),"Partially Counted",IF(J94=0,"Match",IF(J94&gt;0,"Overage","Shortage")))))</f>
        <v/>
      </c>
      <c r="L94" s="9" t="str">
        <f aca="false">IF($B94="","",IF(AND(L94&lt;&gt;"",L94&lt;&gt;0),L94,$B$4))</f>
        <v/>
      </c>
      <c r="M94" s="12"/>
      <c r="N94" s="12"/>
      <c r="O94" s="12"/>
    </row>
    <row r="95" customFormat="false" ht="15" hidden="false" customHeight="false" outlineLevel="0" collapsed="false">
      <c r="A95" s="7" t="str">
        <f aca="true">IF($B95="","",IF(AND(A95&lt;&gt;"",A95&lt;&gt;0),A95,TODAY()))</f>
        <v/>
      </c>
      <c r="B95" s="8"/>
      <c r="C95" s="9" t="str">
        <f aca="false">IF($B95="","",IF(AND(C95&lt;&gt;"",C95&lt;&gt;0,C95&lt;&gt;"UPC Not Found"),C95,IFERROR(INDEX('Product Master'!$B$2:$B$1000,MATCH($B95,'Product Master'!$A$2:$A$1000,0)),"UPC Not Found")))</f>
        <v/>
      </c>
      <c r="D95" s="9" t="str">
        <f aca="false">IF($B95="","",IF(AND(D95&lt;&gt;"",D95&lt;&gt;0,D95&lt;&gt;"UPC Not Found"),D95,IFERROR(INDEX('Product Master'!$C$2:$C$1000,MATCH($B95,'Product Master'!$A$2:$A$1000,0)),"UPC Not Found")))</f>
        <v/>
      </c>
      <c r="E95" s="9" t="str">
        <f aca="false">IF($B95="","",IF(AND(E95&lt;&gt;"",E95&lt;&gt;0,E95&lt;&gt;"UPC Not Found"),E95,IFERROR(INDEX('Product Master'!$D$2:$D$1000,MATCH($B95,'Product Master'!$A$2:$A$1000,0)),"UPC Not Found")))</f>
        <v/>
      </c>
      <c r="F95" s="10" t="str">
        <f aca="false">IF($B95="","",IF(AND(F95&lt;&gt;"",F95&lt;&gt;0,F95&lt;&gt;"UPC Not Found"),F95,IFERROR(INDEX('Product Master'!$E$2:$E$1000,MATCH($B95,'Product Master'!$A$2:$A$1000,0)),"UPC Not Found")))</f>
        <v/>
      </c>
      <c r="G95" s="11"/>
      <c r="H95" s="11"/>
      <c r="I95" s="10" t="str">
        <f aca="false">IF($B95="","",IF(AND(G95="",H95=""),"",G95+H95))</f>
        <v/>
      </c>
      <c r="J95" s="10" t="str">
        <f aca="false">IF(OR($B95="",I95="",F95="UPC Not Found"),"",I95-F95)</f>
        <v/>
      </c>
      <c r="K95" s="9" t="str">
        <f aca="false">IF($B95="","",IF(AND(G95="",H95=""),"Not Counted",IF(OR(G95="",H95=""),"Partially Counted",IF(J95=0,"Match",IF(J95&gt;0,"Overage","Shortage")))))</f>
        <v/>
      </c>
      <c r="L95" s="9" t="str">
        <f aca="false">IF($B95="","",IF(AND(L95&lt;&gt;"",L95&lt;&gt;0),L95,$B$4))</f>
        <v/>
      </c>
      <c r="M95" s="12"/>
      <c r="N95" s="12"/>
      <c r="O95" s="12"/>
    </row>
    <row r="96" customFormat="false" ht="15" hidden="false" customHeight="false" outlineLevel="0" collapsed="false">
      <c r="A96" s="7" t="str">
        <f aca="true">IF($B96="","",IF(AND(A96&lt;&gt;"",A96&lt;&gt;0),A96,TODAY()))</f>
        <v/>
      </c>
      <c r="B96" s="8"/>
      <c r="C96" s="9" t="str">
        <f aca="false">IF($B96="","",IF(AND(C96&lt;&gt;"",C96&lt;&gt;0,C96&lt;&gt;"UPC Not Found"),C96,IFERROR(INDEX('Product Master'!$B$2:$B$1000,MATCH($B96,'Product Master'!$A$2:$A$1000,0)),"UPC Not Found")))</f>
        <v/>
      </c>
      <c r="D96" s="9" t="str">
        <f aca="false">IF($B96="","",IF(AND(D96&lt;&gt;"",D96&lt;&gt;0,D96&lt;&gt;"UPC Not Found"),D96,IFERROR(INDEX('Product Master'!$C$2:$C$1000,MATCH($B96,'Product Master'!$A$2:$A$1000,0)),"UPC Not Found")))</f>
        <v/>
      </c>
      <c r="E96" s="9" t="str">
        <f aca="false">IF($B96="","",IF(AND(E96&lt;&gt;"",E96&lt;&gt;0,E96&lt;&gt;"UPC Not Found"),E96,IFERROR(INDEX('Product Master'!$D$2:$D$1000,MATCH($B96,'Product Master'!$A$2:$A$1000,0)),"UPC Not Found")))</f>
        <v/>
      </c>
      <c r="F96" s="10" t="str">
        <f aca="false">IF($B96="","",IF(AND(F96&lt;&gt;"",F96&lt;&gt;0,F96&lt;&gt;"UPC Not Found"),F96,IFERROR(INDEX('Product Master'!$E$2:$E$1000,MATCH($B96,'Product Master'!$A$2:$A$1000,0)),"UPC Not Found")))</f>
        <v/>
      </c>
      <c r="G96" s="11"/>
      <c r="H96" s="11"/>
      <c r="I96" s="10" t="str">
        <f aca="false">IF($B96="","",IF(AND(G96="",H96=""),"",G96+H96))</f>
        <v/>
      </c>
      <c r="J96" s="10" t="str">
        <f aca="false">IF(OR($B96="",I96="",F96="UPC Not Found"),"",I96-F96)</f>
        <v/>
      </c>
      <c r="K96" s="9" t="str">
        <f aca="false">IF($B96="","",IF(AND(G96="",H96=""),"Not Counted",IF(OR(G96="",H96=""),"Partially Counted",IF(J96=0,"Match",IF(J96&gt;0,"Overage","Shortage")))))</f>
        <v/>
      </c>
      <c r="L96" s="9" t="str">
        <f aca="false">IF($B96="","",IF(AND(L96&lt;&gt;"",L96&lt;&gt;0),L96,$B$4))</f>
        <v/>
      </c>
      <c r="M96" s="12"/>
      <c r="N96" s="12"/>
      <c r="O96" s="12"/>
    </row>
    <row r="97" customFormat="false" ht="15" hidden="false" customHeight="false" outlineLevel="0" collapsed="false">
      <c r="A97" s="7" t="str">
        <f aca="true">IF($B97="","",IF(AND(A97&lt;&gt;"",A97&lt;&gt;0),A97,TODAY()))</f>
        <v/>
      </c>
      <c r="B97" s="8"/>
      <c r="C97" s="9" t="str">
        <f aca="false">IF($B97="","",IF(AND(C97&lt;&gt;"",C97&lt;&gt;0,C97&lt;&gt;"UPC Not Found"),C97,IFERROR(INDEX('Product Master'!$B$2:$B$1000,MATCH($B97,'Product Master'!$A$2:$A$1000,0)),"UPC Not Found")))</f>
        <v/>
      </c>
      <c r="D97" s="9" t="str">
        <f aca="false">IF($B97="","",IF(AND(D97&lt;&gt;"",D97&lt;&gt;0,D97&lt;&gt;"UPC Not Found"),D97,IFERROR(INDEX('Product Master'!$C$2:$C$1000,MATCH($B97,'Product Master'!$A$2:$A$1000,0)),"UPC Not Found")))</f>
        <v/>
      </c>
      <c r="E97" s="9" t="str">
        <f aca="false">IF($B97="","",IF(AND(E97&lt;&gt;"",E97&lt;&gt;0,E97&lt;&gt;"UPC Not Found"),E97,IFERROR(INDEX('Product Master'!$D$2:$D$1000,MATCH($B97,'Product Master'!$A$2:$A$1000,0)),"UPC Not Found")))</f>
        <v/>
      </c>
      <c r="F97" s="10" t="str">
        <f aca="false">IF($B97="","",IF(AND(F97&lt;&gt;"",F97&lt;&gt;0,F97&lt;&gt;"UPC Not Found"),F97,IFERROR(INDEX('Product Master'!$E$2:$E$1000,MATCH($B97,'Product Master'!$A$2:$A$1000,0)),"UPC Not Found")))</f>
        <v/>
      </c>
      <c r="G97" s="11"/>
      <c r="H97" s="11"/>
      <c r="I97" s="10" t="str">
        <f aca="false">IF($B97="","",IF(AND(G97="",H97=""),"",G97+H97))</f>
        <v/>
      </c>
      <c r="J97" s="10" t="str">
        <f aca="false">IF(OR($B97="",I97="",F97="UPC Not Found"),"",I97-F97)</f>
        <v/>
      </c>
      <c r="K97" s="9" t="str">
        <f aca="false">IF($B97="","",IF(AND(G97="",H97=""),"Not Counted",IF(OR(G97="",H97=""),"Partially Counted",IF(J97=0,"Match",IF(J97&gt;0,"Overage","Shortage")))))</f>
        <v/>
      </c>
      <c r="L97" s="9" t="str">
        <f aca="false">IF($B97="","",IF(AND(L97&lt;&gt;"",L97&lt;&gt;0),L97,$B$4))</f>
        <v/>
      </c>
      <c r="M97" s="12"/>
      <c r="N97" s="12"/>
      <c r="O97" s="12"/>
    </row>
    <row r="98" customFormat="false" ht="15" hidden="false" customHeight="false" outlineLevel="0" collapsed="false">
      <c r="A98" s="7" t="str">
        <f aca="true">IF($B98="","",IF(AND(A98&lt;&gt;"",A98&lt;&gt;0),A98,TODAY()))</f>
        <v/>
      </c>
      <c r="B98" s="8"/>
      <c r="C98" s="9" t="str">
        <f aca="false">IF($B98="","",IF(AND(C98&lt;&gt;"",C98&lt;&gt;0,C98&lt;&gt;"UPC Not Found"),C98,IFERROR(INDEX('Product Master'!$B$2:$B$1000,MATCH($B98,'Product Master'!$A$2:$A$1000,0)),"UPC Not Found")))</f>
        <v/>
      </c>
      <c r="D98" s="9" t="str">
        <f aca="false">IF($B98="","",IF(AND(D98&lt;&gt;"",D98&lt;&gt;0,D98&lt;&gt;"UPC Not Found"),D98,IFERROR(INDEX('Product Master'!$C$2:$C$1000,MATCH($B98,'Product Master'!$A$2:$A$1000,0)),"UPC Not Found")))</f>
        <v/>
      </c>
      <c r="E98" s="9" t="str">
        <f aca="false">IF($B98="","",IF(AND(E98&lt;&gt;"",E98&lt;&gt;0,E98&lt;&gt;"UPC Not Found"),E98,IFERROR(INDEX('Product Master'!$D$2:$D$1000,MATCH($B98,'Product Master'!$A$2:$A$1000,0)),"UPC Not Found")))</f>
        <v/>
      </c>
      <c r="F98" s="10" t="str">
        <f aca="false">IF($B98="","",IF(AND(F98&lt;&gt;"",F98&lt;&gt;0,F98&lt;&gt;"UPC Not Found"),F98,IFERROR(INDEX('Product Master'!$E$2:$E$1000,MATCH($B98,'Product Master'!$A$2:$A$1000,0)),"UPC Not Found")))</f>
        <v/>
      </c>
      <c r="G98" s="11"/>
      <c r="H98" s="11"/>
      <c r="I98" s="10" t="str">
        <f aca="false">IF($B98="","",IF(AND(G98="",H98=""),"",G98+H98))</f>
        <v/>
      </c>
      <c r="J98" s="10" t="str">
        <f aca="false">IF(OR($B98="",I98="",F98="UPC Not Found"),"",I98-F98)</f>
        <v/>
      </c>
      <c r="K98" s="9" t="str">
        <f aca="false">IF($B98="","",IF(AND(G98="",H98=""),"Not Counted",IF(OR(G98="",H98=""),"Partially Counted",IF(J98=0,"Match",IF(J98&gt;0,"Overage","Shortage")))))</f>
        <v/>
      </c>
      <c r="L98" s="9" t="str">
        <f aca="false">IF($B98="","",IF(AND(L98&lt;&gt;"",L98&lt;&gt;0),L98,$B$4))</f>
        <v/>
      </c>
      <c r="M98" s="12"/>
      <c r="N98" s="12"/>
      <c r="O98" s="12"/>
    </row>
    <row r="99" customFormat="false" ht="15" hidden="false" customHeight="false" outlineLevel="0" collapsed="false">
      <c r="A99" s="7" t="str">
        <f aca="true">IF($B99="","",IF(AND(A99&lt;&gt;"",A99&lt;&gt;0),A99,TODAY()))</f>
        <v/>
      </c>
      <c r="B99" s="8"/>
      <c r="C99" s="9" t="str">
        <f aca="false">IF($B99="","",IF(AND(C99&lt;&gt;"",C99&lt;&gt;0,C99&lt;&gt;"UPC Not Found"),C99,IFERROR(INDEX('Product Master'!$B$2:$B$1000,MATCH($B99,'Product Master'!$A$2:$A$1000,0)),"UPC Not Found")))</f>
        <v/>
      </c>
      <c r="D99" s="9" t="str">
        <f aca="false">IF($B99="","",IF(AND(D99&lt;&gt;"",D99&lt;&gt;0,D99&lt;&gt;"UPC Not Found"),D99,IFERROR(INDEX('Product Master'!$C$2:$C$1000,MATCH($B99,'Product Master'!$A$2:$A$1000,0)),"UPC Not Found")))</f>
        <v/>
      </c>
      <c r="E99" s="9" t="str">
        <f aca="false">IF($B99="","",IF(AND(E99&lt;&gt;"",E99&lt;&gt;0,E99&lt;&gt;"UPC Not Found"),E99,IFERROR(INDEX('Product Master'!$D$2:$D$1000,MATCH($B99,'Product Master'!$A$2:$A$1000,0)),"UPC Not Found")))</f>
        <v/>
      </c>
      <c r="F99" s="10" t="str">
        <f aca="false">IF($B99="","",IF(AND(F99&lt;&gt;"",F99&lt;&gt;0,F99&lt;&gt;"UPC Not Found"),F99,IFERROR(INDEX('Product Master'!$E$2:$E$1000,MATCH($B99,'Product Master'!$A$2:$A$1000,0)),"UPC Not Found")))</f>
        <v/>
      </c>
      <c r="G99" s="11"/>
      <c r="H99" s="11"/>
      <c r="I99" s="10" t="str">
        <f aca="false">IF($B99="","",IF(AND(G99="",H99=""),"",G99+H99))</f>
        <v/>
      </c>
      <c r="J99" s="10" t="str">
        <f aca="false">IF(OR($B99="",I99="",F99="UPC Not Found"),"",I99-F99)</f>
        <v/>
      </c>
      <c r="K99" s="9" t="str">
        <f aca="false">IF($B99="","",IF(AND(G99="",H99=""),"Not Counted",IF(OR(G99="",H99=""),"Partially Counted",IF(J99=0,"Match",IF(J99&gt;0,"Overage","Shortage")))))</f>
        <v/>
      </c>
      <c r="L99" s="9" t="str">
        <f aca="false">IF($B99="","",IF(AND(L99&lt;&gt;"",L99&lt;&gt;0),L99,$B$4))</f>
        <v/>
      </c>
      <c r="M99" s="12"/>
      <c r="N99" s="12"/>
      <c r="O99" s="12"/>
    </row>
    <row r="100" customFormat="false" ht="15" hidden="false" customHeight="false" outlineLevel="0" collapsed="false">
      <c r="A100" s="7" t="str">
        <f aca="true">IF($B100="","",IF(AND(A100&lt;&gt;"",A100&lt;&gt;0),A100,TODAY()))</f>
        <v/>
      </c>
      <c r="B100" s="8"/>
      <c r="C100" s="9" t="str">
        <f aca="false">IF($B100="","",IF(AND(C100&lt;&gt;"",C100&lt;&gt;0,C100&lt;&gt;"UPC Not Found"),C100,IFERROR(INDEX('Product Master'!$B$2:$B$1000,MATCH($B100,'Product Master'!$A$2:$A$1000,0)),"UPC Not Found")))</f>
        <v/>
      </c>
      <c r="D100" s="9" t="str">
        <f aca="false">IF($B100="","",IF(AND(D100&lt;&gt;"",D100&lt;&gt;0,D100&lt;&gt;"UPC Not Found"),D100,IFERROR(INDEX('Product Master'!$C$2:$C$1000,MATCH($B100,'Product Master'!$A$2:$A$1000,0)),"UPC Not Found")))</f>
        <v/>
      </c>
      <c r="E100" s="9" t="str">
        <f aca="false">IF($B100="","",IF(AND(E100&lt;&gt;"",E100&lt;&gt;0,E100&lt;&gt;"UPC Not Found"),E100,IFERROR(INDEX('Product Master'!$D$2:$D$1000,MATCH($B100,'Product Master'!$A$2:$A$1000,0)),"UPC Not Found")))</f>
        <v/>
      </c>
      <c r="F100" s="10" t="str">
        <f aca="false">IF($B100="","",IF(AND(F100&lt;&gt;"",F100&lt;&gt;0,F100&lt;&gt;"UPC Not Found"),F100,IFERROR(INDEX('Product Master'!$E$2:$E$1000,MATCH($B100,'Product Master'!$A$2:$A$1000,0)),"UPC Not Found")))</f>
        <v/>
      </c>
      <c r="G100" s="11"/>
      <c r="H100" s="11"/>
      <c r="I100" s="10" t="str">
        <f aca="false">IF($B100="","",IF(AND(G100="",H100=""),"",G100+H100))</f>
        <v/>
      </c>
      <c r="J100" s="10" t="str">
        <f aca="false">IF(OR($B100="",I100="",F100="UPC Not Found"),"",I100-F100)</f>
        <v/>
      </c>
      <c r="K100" s="9" t="str">
        <f aca="false">IF($B100="","",IF(AND(G100="",H100=""),"Not Counted",IF(OR(G100="",H100=""),"Partially Counted",IF(J100=0,"Match",IF(J100&gt;0,"Overage","Shortage")))))</f>
        <v/>
      </c>
      <c r="L100" s="9" t="str">
        <f aca="false">IF($B100="","",IF(AND(L100&lt;&gt;"",L100&lt;&gt;0),L100,$B$4))</f>
        <v/>
      </c>
      <c r="M100" s="12"/>
      <c r="N100" s="12"/>
      <c r="O100" s="12"/>
    </row>
    <row r="101" customFormat="false" ht="15" hidden="false" customHeight="false" outlineLevel="0" collapsed="false">
      <c r="A101" s="7" t="str">
        <f aca="true">IF($B101="","",IF(AND(A101&lt;&gt;"",A101&lt;&gt;0),A101,TODAY()))</f>
        <v/>
      </c>
      <c r="B101" s="8"/>
      <c r="C101" s="9" t="str">
        <f aca="false">IF($B101="","",IF(AND(C101&lt;&gt;"",C101&lt;&gt;0,C101&lt;&gt;"UPC Not Found"),C101,IFERROR(INDEX('Product Master'!$B$2:$B$1000,MATCH($B101,'Product Master'!$A$2:$A$1000,0)),"UPC Not Found")))</f>
        <v/>
      </c>
      <c r="D101" s="9" t="str">
        <f aca="false">IF($B101="","",IF(AND(D101&lt;&gt;"",D101&lt;&gt;0,D101&lt;&gt;"UPC Not Found"),D101,IFERROR(INDEX('Product Master'!$C$2:$C$1000,MATCH($B101,'Product Master'!$A$2:$A$1000,0)),"UPC Not Found")))</f>
        <v/>
      </c>
      <c r="E101" s="9" t="str">
        <f aca="false">IF($B101="","",IF(AND(E101&lt;&gt;"",E101&lt;&gt;0,E101&lt;&gt;"UPC Not Found"),E101,IFERROR(INDEX('Product Master'!$D$2:$D$1000,MATCH($B101,'Product Master'!$A$2:$A$1000,0)),"UPC Not Found")))</f>
        <v/>
      </c>
      <c r="F101" s="10" t="str">
        <f aca="false">IF($B101="","",IF(AND(F101&lt;&gt;"",F101&lt;&gt;0,F101&lt;&gt;"UPC Not Found"),F101,IFERROR(INDEX('Product Master'!$E$2:$E$1000,MATCH($B101,'Product Master'!$A$2:$A$1000,0)),"UPC Not Found")))</f>
        <v/>
      </c>
      <c r="G101" s="11"/>
      <c r="H101" s="11"/>
      <c r="I101" s="10" t="str">
        <f aca="false">IF($B101="","",IF(AND(G101="",H101=""),"",G101+H101))</f>
        <v/>
      </c>
      <c r="J101" s="10" t="str">
        <f aca="false">IF(OR($B101="",I101="",F101="UPC Not Found"),"",I101-F101)</f>
        <v/>
      </c>
      <c r="K101" s="9" t="str">
        <f aca="false">IF($B101="","",IF(AND(G101="",H101=""),"Not Counted",IF(OR(G101="",H101=""),"Partially Counted",IF(J101=0,"Match",IF(J101&gt;0,"Overage","Shortage")))))</f>
        <v/>
      </c>
      <c r="L101" s="9" t="str">
        <f aca="false">IF($B101="","",IF(AND(L101&lt;&gt;"",L101&lt;&gt;0),L101,$B$4))</f>
        <v/>
      </c>
      <c r="M101" s="12"/>
      <c r="N101" s="12"/>
      <c r="O101" s="12"/>
    </row>
    <row r="102" customFormat="false" ht="15" hidden="false" customHeight="false" outlineLevel="0" collapsed="false">
      <c r="A102" s="7" t="str">
        <f aca="true">IF($B102="","",IF(AND(A102&lt;&gt;"",A102&lt;&gt;0),A102,TODAY()))</f>
        <v/>
      </c>
      <c r="B102" s="8"/>
      <c r="C102" s="9" t="str">
        <f aca="false">IF($B102="","",IF(AND(C102&lt;&gt;"",C102&lt;&gt;0,C102&lt;&gt;"UPC Not Found"),C102,IFERROR(INDEX('Product Master'!$B$2:$B$1000,MATCH($B102,'Product Master'!$A$2:$A$1000,0)),"UPC Not Found")))</f>
        <v/>
      </c>
      <c r="D102" s="9" t="str">
        <f aca="false">IF($B102="","",IF(AND(D102&lt;&gt;"",D102&lt;&gt;0,D102&lt;&gt;"UPC Not Found"),D102,IFERROR(INDEX('Product Master'!$C$2:$C$1000,MATCH($B102,'Product Master'!$A$2:$A$1000,0)),"UPC Not Found")))</f>
        <v/>
      </c>
      <c r="E102" s="9" t="str">
        <f aca="false">IF($B102="","",IF(AND(E102&lt;&gt;"",E102&lt;&gt;0,E102&lt;&gt;"UPC Not Found"),E102,IFERROR(INDEX('Product Master'!$D$2:$D$1000,MATCH($B102,'Product Master'!$A$2:$A$1000,0)),"UPC Not Found")))</f>
        <v/>
      </c>
      <c r="F102" s="10" t="str">
        <f aca="false">IF($B102="","",IF(AND(F102&lt;&gt;"",F102&lt;&gt;0,F102&lt;&gt;"UPC Not Found"),F102,IFERROR(INDEX('Product Master'!$E$2:$E$1000,MATCH($B102,'Product Master'!$A$2:$A$1000,0)),"UPC Not Found")))</f>
        <v/>
      </c>
      <c r="G102" s="11"/>
      <c r="H102" s="11"/>
      <c r="I102" s="10" t="str">
        <f aca="false">IF($B102="","",IF(AND(G102="",H102=""),"",G102+H102))</f>
        <v/>
      </c>
      <c r="J102" s="10" t="str">
        <f aca="false">IF(OR($B102="",I102="",F102="UPC Not Found"),"",I102-F102)</f>
        <v/>
      </c>
      <c r="K102" s="9" t="str">
        <f aca="false">IF($B102="","",IF(AND(G102="",H102=""),"Not Counted",IF(OR(G102="",H102=""),"Partially Counted",IF(J102=0,"Match",IF(J102&gt;0,"Overage","Shortage")))))</f>
        <v/>
      </c>
      <c r="L102" s="9" t="str">
        <f aca="false">IF($B102="","",IF(AND(L102&lt;&gt;"",L102&lt;&gt;0),L102,$B$4))</f>
        <v/>
      </c>
      <c r="M102" s="12"/>
      <c r="N102" s="12"/>
      <c r="O102" s="12"/>
    </row>
    <row r="103" customFormat="false" ht="15" hidden="false" customHeight="false" outlineLevel="0" collapsed="false">
      <c r="A103" s="7" t="str">
        <f aca="true">IF($B103="","",IF(AND(A103&lt;&gt;"",A103&lt;&gt;0),A103,TODAY()))</f>
        <v/>
      </c>
      <c r="B103" s="8"/>
      <c r="C103" s="9" t="str">
        <f aca="false">IF($B103="","",IF(AND(C103&lt;&gt;"",C103&lt;&gt;0,C103&lt;&gt;"UPC Not Found"),C103,IFERROR(INDEX('Product Master'!$B$2:$B$1000,MATCH($B103,'Product Master'!$A$2:$A$1000,0)),"UPC Not Found")))</f>
        <v/>
      </c>
      <c r="D103" s="9" t="str">
        <f aca="false">IF($B103="","",IF(AND(D103&lt;&gt;"",D103&lt;&gt;0,D103&lt;&gt;"UPC Not Found"),D103,IFERROR(INDEX('Product Master'!$C$2:$C$1000,MATCH($B103,'Product Master'!$A$2:$A$1000,0)),"UPC Not Found")))</f>
        <v/>
      </c>
      <c r="E103" s="9" t="str">
        <f aca="false">IF($B103="","",IF(AND(E103&lt;&gt;"",E103&lt;&gt;0,E103&lt;&gt;"UPC Not Found"),E103,IFERROR(INDEX('Product Master'!$D$2:$D$1000,MATCH($B103,'Product Master'!$A$2:$A$1000,0)),"UPC Not Found")))</f>
        <v/>
      </c>
      <c r="F103" s="10" t="str">
        <f aca="false">IF($B103="","",IF(AND(F103&lt;&gt;"",F103&lt;&gt;0,F103&lt;&gt;"UPC Not Found"),F103,IFERROR(INDEX('Product Master'!$E$2:$E$1000,MATCH($B103,'Product Master'!$A$2:$A$1000,0)),"UPC Not Found")))</f>
        <v/>
      </c>
      <c r="G103" s="11"/>
      <c r="H103" s="11"/>
      <c r="I103" s="10" t="str">
        <f aca="false">IF($B103="","",IF(AND(G103="",H103=""),"",G103+H103))</f>
        <v/>
      </c>
      <c r="J103" s="10" t="str">
        <f aca="false">IF(OR($B103="",I103="",F103="UPC Not Found"),"",I103-F103)</f>
        <v/>
      </c>
      <c r="K103" s="9" t="str">
        <f aca="false">IF($B103="","",IF(AND(G103="",H103=""),"Not Counted",IF(OR(G103="",H103=""),"Partially Counted",IF(J103=0,"Match",IF(J103&gt;0,"Overage","Shortage")))))</f>
        <v/>
      </c>
      <c r="L103" s="9" t="str">
        <f aca="false">IF($B103="","",IF(AND(L103&lt;&gt;"",L103&lt;&gt;0),L103,$B$4))</f>
        <v/>
      </c>
      <c r="M103" s="12"/>
      <c r="N103" s="12"/>
      <c r="O103" s="12"/>
    </row>
    <row r="104" customFormat="false" ht="15" hidden="false" customHeight="false" outlineLevel="0" collapsed="false">
      <c r="A104" s="7" t="str">
        <f aca="true">IF($B104="","",IF(AND(A104&lt;&gt;"",A104&lt;&gt;0),A104,TODAY()))</f>
        <v/>
      </c>
      <c r="B104" s="8"/>
      <c r="C104" s="9" t="str">
        <f aca="false">IF($B104="","",IF(AND(C104&lt;&gt;"",C104&lt;&gt;0,C104&lt;&gt;"UPC Not Found"),C104,IFERROR(INDEX('Product Master'!$B$2:$B$1000,MATCH($B104,'Product Master'!$A$2:$A$1000,0)),"UPC Not Found")))</f>
        <v/>
      </c>
      <c r="D104" s="9" t="str">
        <f aca="false">IF($B104="","",IF(AND(D104&lt;&gt;"",D104&lt;&gt;0,D104&lt;&gt;"UPC Not Found"),D104,IFERROR(INDEX('Product Master'!$C$2:$C$1000,MATCH($B104,'Product Master'!$A$2:$A$1000,0)),"UPC Not Found")))</f>
        <v/>
      </c>
      <c r="E104" s="9" t="str">
        <f aca="false">IF($B104="","",IF(AND(E104&lt;&gt;"",E104&lt;&gt;0,E104&lt;&gt;"UPC Not Found"),E104,IFERROR(INDEX('Product Master'!$D$2:$D$1000,MATCH($B104,'Product Master'!$A$2:$A$1000,0)),"UPC Not Found")))</f>
        <v/>
      </c>
      <c r="F104" s="10" t="str">
        <f aca="false">IF($B104="","",IF(AND(F104&lt;&gt;"",F104&lt;&gt;0,F104&lt;&gt;"UPC Not Found"),F104,IFERROR(INDEX('Product Master'!$E$2:$E$1000,MATCH($B104,'Product Master'!$A$2:$A$1000,0)),"UPC Not Found")))</f>
        <v/>
      </c>
      <c r="G104" s="11"/>
      <c r="H104" s="11"/>
      <c r="I104" s="10" t="str">
        <f aca="false">IF($B104="","",IF(AND(G104="",H104=""),"",G104+H104))</f>
        <v/>
      </c>
      <c r="J104" s="10" t="str">
        <f aca="false">IF(OR($B104="",I104="",F104="UPC Not Found"),"",I104-F104)</f>
        <v/>
      </c>
      <c r="K104" s="9" t="str">
        <f aca="false">IF($B104="","",IF(AND(G104="",H104=""),"Not Counted",IF(OR(G104="",H104=""),"Partially Counted",IF(J104=0,"Match",IF(J104&gt;0,"Overage","Shortage")))))</f>
        <v/>
      </c>
      <c r="L104" s="9" t="str">
        <f aca="false">IF($B104="","",IF(AND(L104&lt;&gt;"",L104&lt;&gt;0),L104,$B$4))</f>
        <v/>
      </c>
      <c r="M104" s="12"/>
      <c r="N104" s="12"/>
      <c r="O104" s="12"/>
    </row>
    <row r="105" customFormat="false" ht="15" hidden="false" customHeight="false" outlineLevel="0" collapsed="false">
      <c r="A105" s="7" t="str">
        <f aca="true">IF($B105="","",IF(AND(A105&lt;&gt;"",A105&lt;&gt;0),A105,TODAY()))</f>
        <v/>
      </c>
      <c r="B105" s="8"/>
      <c r="C105" s="9" t="str">
        <f aca="false">IF($B105="","",IF(AND(C105&lt;&gt;"",C105&lt;&gt;0,C105&lt;&gt;"UPC Not Found"),C105,IFERROR(INDEX('Product Master'!$B$2:$B$1000,MATCH($B105,'Product Master'!$A$2:$A$1000,0)),"UPC Not Found")))</f>
        <v/>
      </c>
      <c r="D105" s="9" t="str">
        <f aca="false">IF($B105="","",IF(AND(D105&lt;&gt;"",D105&lt;&gt;0,D105&lt;&gt;"UPC Not Found"),D105,IFERROR(INDEX('Product Master'!$C$2:$C$1000,MATCH($B105,'Product Master'!$A$2:$A$1000,0)),"UPC Not Found")))</f>
        <v/>
      </c>
      <c r="E105" s="9" t="str">
        <f aca="false">IF($B105="","",IF(AND(E105&lt;&gt;"",E105&lt;&gt;0,E105&lt;&gt;"UPC Not Found"),E105,IFERROR(INDEX('Product Master'!$D$2:$D$1000,MATCH($B105,'Product Master'!$A$2:$A$1000,0)),"UPC Not Found")))</f>
        <v/>
      </c>
      <c r="F105" s="10" t="str">
        <f aca="false">IF($B105="","",IF(AND(F105&lt;&gt;"",F105&lt;&gt;0,F105&lt;&gt;"UPC Not Found"),F105,IFERROR(INDEX('Product Master'!$E$2:$E$1000,MATCH($B105,'Product Master'!$A$2:$A$1000,0)),"UPC Not Found")))</f>
        <v/>
      </c>
      <c r="G105" s="11"/>
      <c r="H105" s="11"/>
      <c r="I105" s="10" t="str">
        <f aca="false">IF($B105="","",IF(AND(G105="",H105=""),"",G105+H105))</f>
        <v/>
      </c>
      <c r="J105" s="10" t="str">
        <f aca="false">IF(OR($B105="",I105="",F105="UPC Not Found"),"",I105-F105)</f>
        <v/>
      </c>
      <c r="K105" s="9" t="str">
        <f aca="false">IF($B105="","",IF(AND(G105="",H105=""),"Not Counted",IF(OR(G105="",H105=""),"Partially Counted",IF(J105=0,"Match",IF(J105&gt;0,"Overage","Shortage")))))</f>
        <v/>
      </c>
      <c r="L105" s="9" t="str">
        <f aca="false">IF($B105="","",IF(AND(L105&lt;&gt;"",L105&lt;&gt;0),L105,$B$4))</f>
        <v/>
      </c>
      <c r="M105" s="12"/>
      <c r="N105" s="12"/>
      <c r="O105" s="12"/>
    </row>
    <row r="106" customFormat="false" ht="15" hidden="false" customHeight="false" outlineLevel="0" collapsed="false">
      <c r="A106" s="7" t="str">
        <f aca="true">IF($B106="","",IF(AND(A106&lt;&gt;"",A106&lt;&gt;0),A106,TODAY()))</f>
        <v/>
      </c>
      <c r="B106" s="8"/>
      <c r="C106" s="9" t="str">
        <f aca="false">IF($B106="","",IF(AND(C106&lt;&gt;"",C106&lt;&gt;0,C106&lt;&gt;"UPC Not Found"),C106,IFERROR(INDEX('Product Master'!$B$2:$B$1000,MATCH($B106,'Product Master'!$A$2:$A$1000,0)),"UPC Not Found")))</f>
        <v/>
      </c>
      <c r="D106" s="9" t="str">
        <f aca="false">IF($B106="","",IF(AND(D106&lt;&gt;"",D106&lt;&gt;0,D106&lt;&gt;"UPC Not Found"),D106,IFERROR(INDEX('Product Master'!$C$2:$C$1000,MATCH($B106,'Product Master'!$A$2:$A$1000,0)),"UPC Not Found")))</f>
        <v/>
      </c>
      <c r="E106" s="9" t="str">
        <f aca="false">IF($B106="","",IF(AND(E106&lt;&gt;"",E106&lt;&gt;0,E106&lt;&gt;"UPC Not Found"),E106,IFERROR(INDEX('Product Master'!$D$2:$D$1000,MATCH($B106,'Product Master'!$A$2:$A$1000,0)),"UPC Not Found")))</f>
        <v/>
      </c>
      <c r="F106" s="10" t="str">
        <f aca="false">IF($B106="","",IF(AND(F106&lt;&gt;"",F106&lt;&gt;0,F106&lt;&gt;"UPC Not Found"),F106,IFERROR(INDEX('Product Master'!$E$2:$E$1000,MATCH($B106,'Product Master'!$A$2:$A$1000,0)),"UPC Not Found")))</f>
        <v/>
      </c>
      <c r="G106" s="11"/>
      <c r="H106" s="11"/>
      <c r="I106" s="10" t="str">
        <f aca="false">IF($B106="","",IF(AND(G106="",H106=""),"",G106+H106))</f>
        <v/>
      </c>
      <c r="J106" s="10" t="str">
        <f aca="false">IF(OR($B106="",I106="",F106="UPC Not Found"),"",I106-F106)</f>
        <v/>
      </c>
      <c r="K106" s="9" t="str">
        <f aca="false">IF($B106="","",IF(AND(G106="",H106=""),"Not Counted",IF(OR(G106="",H106=""),"Partially Counted",IF(J106=0,"Match",IF(J106&gt;0,"Overage","Shortage")))))</f>
        <v/>
      </c>
      <c r="L106" s="9" t="str">
        <f aca="false">IF($B106="","",IF(AND(L106&lt;&gt;"",L106&lt;&gt;0),L106,$B$4))</f>
        <v/>
      </c>
      <c r="M106" s="12"/>
      <c r="N106" s="12"/>
      <c r="O106" s="12"/>
    </row>
    <row r="107" customFormat="false" ht="15" hidden="false" customHeight="false" outlineLevel="0" collapsed="false">
      <c r="A107" s="7" t="str">
        <f aca="true">IF($B107="","",IF(AND(A107&lt;&gt;"",A107&lt;&gt;0),A107,TODAY()))</f>
        <v/>
      </c>
      <c r="B107" s="8"/>
      <c r="C107" s="9" t="str">
        <f aca="false">IF($B107="","",IF(AND(C107&lt;&gt;"",C107&lt;&gt;0,C107&lt;&gt;"UPC Not Found"),C107,IFERROR(INDEX('Product Master'!$B$2:$B$1000,MATCH($B107,'Product Master'!$A$2:$A$1000,0)),"UPC Not Found")))</f>
        <v/>
      </c>
      <c r="D107" s="9" t="str">
        <f aca="false">IF($B107="","",IF(AND(D107&lt;&gt;"",D107&lt;&gt;0,D107&lt;&gt;"UPC Not Found"),D107,IFERROR(INDEX('Product Master'!$C$2:$C$1000,MATCH($B107,'Product Master'!$A$2:$A$1000,0)),"UPC Not Found")))</f>
        <v/>
      </c>
      <c r="E107" s="9" t="str">
        <f aca="false">IF($B107="","",IF(AND(E107&lt;&gt;"",E107&lt;&gt;0,E107&lt;&gt;"UPC Not Found"),E107,IFERROR(INDEX('Product Master'!$D$2:$D$1000,MATCH($B107,'Product Master'!$A$2:$A$1000,0)),"UPC Not Found")))</f>
        <v/>
      </c>
      <c r="F107" s="10" t="str">
        <f aca="false">IF($B107="","",IF(AND(F107&lt;&gt;"",F107&lt;&gt;0,F107&lt;&gt;"UPC Not Found"),F107,IFERROR(INDEX('Product Master'!$E$2:$E$1000,MATCH($B107,'Product Master'!$A$2:$A$1000,0)),"UPC Not Found")))</f>
        <v/>
      </c>
      <c r="G107" s="11"/>
      <c r="H107" s="11"/>
      <c r="I107" s="10" t="str">
        <f aca="false">IF($B107="","",IF(AND(G107="",H107=""),"",G107+H107))</f>
        <v/>
      </c>
      <c r="J107" s="10" t="str">
        <f aca="false">IF(OR($B107="",I107="",F107="UPC Not Found"),"",I107-F107)</f>
        <v/>
      </c>
      <c r="K107" s="9" t="str">
        <f aca="false">IF($B107="","",IF(AND(G107="",H107=""),"Not Counted",IF(OR(G107="",H107=""),"Partially Counted",IF(J107=0,"Match",IF(J107&gt;0,"Overage","Shortage")))))</f>
        <v/>
      </c>
      <c r="L107" s="9" t="str">
        <f aca="false">IF($B107="","",IF(AND(L107&lt;&gt;"",L107&lt;&gt;0),L107,$B$4))</f>
        <v/>
      </c>
      <c r="M107" s="12"/>
      <c r="N107" s="12"/>
      <c r="O107" s="12"/>
    </row>
    <row r="108" customFormat="false" ht="15" hidden="false" customHeight="false" outlineLevel="0" collapsed="false">
      <c r="A108" s="7" t="str">
        <f aca="true">IF($B108="","",IF(AND(A108&lt;&gt;"",A108&lt;&gt;0),A108,TODAY()))</f>
        <v/>
      </c>
      <c r="B108" s="8"/>
      <c r="C108" s="9" t="str">
        <f aca="false">IF($B108="","",IF(AND(C108&lt;&gt;"",C108&lt;&gt;0,C108&lt;&gt;"UPC Not Found"),C108,IFERROR(INDEX('Product Master'!$B$2:$B$1000,MATCH($B108,'Product Master'!$A$2:$A$1000,0)),"UPC Not Found")))</f>
        <v/>
      </c>
      <c r="D108" s="9" t="str">
        <f aca="false">IF($B108="","",IF(AND(D108&lt;&gt;"",D108&lt;&gt;0,D108&lt;&gt;"UPC Not Found"),D108,IFERROR(INDEX('Product Master'!$C$2:$C$1000,MATCH($B108,'Product Master'!$A$2:$A$1000,0)),"UPC Not Found")))</f>
        <v/>
      </c>
      <c r="E108" s="9" t="str">
        <f aca="false">IF($B108="","",IF(AND(E108&lt;&gt;"",E108&lt;&gt;0,E108&lt;&gt;"UPC Not Found"),E108,IFERROR(INDEX('Product Master'!$D$2:$D$1000,MATCH($B108,'Product Master'!$A$2:$A$1000,0)),"UPC Not Found")))</f>
        <v/>
      </c>
      <c r="F108" s="10" t="str">
        <f aca="false">IF($B108="","",IF(AND(F108&lt;&gt;"",F108&lt;&gt;0,F108&lt;&gt;"UPC Not Found"),F108,IFERROR(INDEX('Product Master'!$E$2:$E$1000,MATCH($B108,'Product Master'!$A$2:$A$1000,0)),"UPC Not Found")))</f>
        <v/>
      </c>
      <c r="G108" s="11"/>
      <c r="H108" s="11"/>
      <c r="I108" s="10" t="str">
        <f aca="false">IF($B108="","",IF(AND(G108="",H108=""),"",G108+H108))</f>
        <v/>
      </c>
      <c r="J108" s="10" t="str">
        <f aca="false">IF(OR($B108="",I108="",F108="UPC Not Found"),"",I108-F108)</f>
        <v/>
      </c>
      <c r="K108" s="9" t="str">
        <f aca="false">IF($B108="","",IF(AND(G108="",H108=""),"Not Counted",IF(OR(G108="",H108=""),"Partially Counted",IF(J108=0,"Match",IF(J108&gt;0,"Overage","Shortage")))))</f>
        <v/>
      </c>
      <c r="L108" s="9" t="str">
        <f aca="false">IF($B108="","",IF(AND(L108&lt;&gt;"",L108&lt;&gt;0),L108,$B$4))</f>
        <v/>
      </c>
      <c r="M108" s="12"/>
      <c r="N108" s="12"/>
      <c r="O108" s="12"/>
    </row>
    <row r="109" customFormat="false" ht="15" hidden="false" customHeight="false" outlineLevel="0" collapsed="false">
      <c r="A109" s="7" t="str">
        <f aca="true">IF($B109="","",IF(AND(A109&lt;&gt;"",A109&lt;&gt;0),A109,TODAY()))</f>
        <v/>
      </c>
      <c r="B109" s="8"/>
      <c r="C109" s="9" t="str">
        <f aca="false">IF($B109="","",IF(AND(C109&lt;&gt;"",C109&lt;&gt;0,C109&lt;&gt;"UPC Not Found"),C109,IFERROR(INDEX('Product Master'!$B$2:$B$1000,MATCH($B109,'Product Master'!$A$2:$A$1000,0)),"UPC Not Found")))</f>
        <v/>
      </c>
      <c r="D109" s="9" t="str">
        <f aca="false">IF($B109="","",IF(AND(D109&lt;&gt;"",D109&lt;&gt;0,D109&lt;&gt;"UPC Not Found"),D109,IFERROR(INDEX('Product Master'!$C$2:$C$1000,MATCH($B109,'Product Master'!$A$2:$A$1000,0)),"UPC Not Found")))</f>
        <v/>
      </c>
      <c r="E109" s="9" t="str">
        <f aca="false">IF($B109="","",IF(AND(E109&lt;&gt;"",E109&lt;&gt;0,E109&lt;&gt;"UPC Not Found"),E109,IFERROR(INDEX('Product Master'!$D$2:$D$1000,MATCH($B109,'Product Master'!$A$2:$A$1000,0)),"UPC Not Found")))</f>
        <v/>
      </c>
      <c r="F109" s="10" t="str">
        <f aca="false">IF($B109="","",IF(AND(F109&lt;&gt;"",F109&lt;&gt;0,F109&lt;&gt;"UPC Not Found"),F109,IFERROR(INDEX('Product Master'!$E$2:$E$1000,MATCH($B109,'Product Master'!$A$2:$A$1000,0)),"UPC Not Found")))</f>
        <v/>
      </c>
      <c r="G109" s="11"/>
      <c r="H109" s="11"/>
      <c r="I109" s="10" t="str">
        <f aca="false">IF($B109="","",IF(AND(G109="",H109=""),"",G109+H109))</f>
        <v/>
      </c>
      <c r="J109" s="10" t="str">
        <f aca="false">IF(OR($B109="",I109="",F109="UPC Not Found"),"",I109-F109)</f>
        <v/>
      </c>
      <c r="K109" s="9" t="str">
        <f aca="false">IF($B109="","",IF(AND(G109="",H109=""),"Not Counted",IF(OR(G109="",H109=""),"Partially Counted",IF(J109=0,"Match",IF(J109&gt;0,"Overage","Shortage")))))</f>
        <v/>
      </c>
      <c r="L109" s="9" t="str">
        <f aca="false">IF($B109="","",IF(AND(L109&lt;&gt;"",L109&lt;&gt;0),L109,$B$4))</f>
        <v/>
      </c>
      <c r="M109" s="12"/>
      <c r="N109" s="12"/>
      <c r="O109" s="12"/>
    </row>
    <row r="110" customFormat="false" ht="15" hidden="false" customHeight="false" outlineLevel="0" collapsed="false">
      <c r="A110" s="7" t="str">
        <f aca="true">IF($B110="","",IF(AND(A110&lt;&gt;"",A110&lt;&gt;0),A110,TODAY()))</f>
        <v/>
      </c>
      <c r="B110" s="8"/>
      <c r="C110" s="9" t="str">
        <f aca="false">IF($B110="","",IF(AND(C110&lt;&gt;"",C110&lt;&gt;0,C110&lt;&gt;"UPC Not Found"),C110,IFERROR(INDEX('Product Master'!$B$2:$B$1000,MATCH($B110,'Product Master'!$A$2:$A$1000,0)),"UPC Not Found")))</f>
        <v/>
      </c>
      <c r="D110" s="9" t="str">
        <f aca="false">IF($B110="","",IF(AND(D110&lt;&gt;"",D110&lt;&gt;0,D110&lt;&gt;"UPC Not Found"),D110,IFERROR(INDEX('Product Master'!$C$2:$C$1000,MATCH($B110,'Product Master'!$A$2:$A$1000,0)),"UPC Not Found")))</f>
        <v/>
      </c>
      <c r="E110" s="9" t="str">
        <f aca="false">IF($B110="","",IF(AND(E110&lt;&gt;"",E110&lt;&gt;0,E110&lt;&gt;"UPC Not Found"),E110,IFERROR(INDEX('Product Master'!$D$2:$D$1000,MATCH($B110,'Product Master'!$A$2:$A$1000,0)),"UPC Not Found")))</f>
        <v/>
      </c>
      <c r="F110" s="10" t="str">
        <f aca="false">IF($B110="","",IF(AND(F110&lt;&gt;"",F110&lt;&gt;0,F110&lt;&gt;"UPC Not Found"),F110,IFERROR(INDEX('Product Master'!$E$2:$E$1000,MATCH($B110,'Product Master'!$A$2:$A$1000,0)),"UPC Not Found")))</f>
        <v/>
      </c>
      <c r="G110" s="11"/>
      <c r="H110" s="11"/>
      <c r="I110" s="10" t="str">
        <f aca="false">IF($B110="","",IF(AND(G110="",H110=""),"",G110+H110))</f>
        <v/>
      </c>
      <c r="J110" s="10" t="str">
        <f aca="false">IF(OR($B110="",I110="",F110="UPC Not Found"),"",I110-F110)</f>
        <v/>
      </c>
      <c r="K110" s="9" t="str">
        <f aca="false">IF($B110="","",IF(AND(G110="",H110=""),"Not Counted",IF(OR(G110="",H110=""),"Partially Counted",IF(J110=0,"Match",IF(J110&gt;0,"Overage","Shortage")))))</f>
        <v/>
      </c>
      <c r="L110" s="9" t="str">
        <f aca="false">IF($B110="","",IF(AND(L110&lt;&gt;"",L110&lt;&gt;0),L110,$B$4))</f>
        <v/>
      </c>
      <c r="M110" s="12"/>
      <c r="N110" s="12"/>
      <c r="O110" s="12"/>
    </row>
    <row r="111" customFormat="false" ht="15" hidden="false" customHeight="false" outlineLevel="0" collapsed="false">
      <c r="A111" s="7" t="str">
        <f aca="true">IF($B111="","",IF(AND(A111&lt;&gt;"",A111&lt;&gt;0),A111,TODAY()))</f>
        <v/>
      </c>
      <c r="B111" s="8"/>
      <c r="C111" s="9" t="str">
        <f aca="false">IF($B111="","",IF(AND(C111&lt;&gt;"",C111&lt;&gt;0,C111&lt;&gt;"UPC Not Found"),C111,IFERROR(INDEX('Product Master'!$B$2:$B$1000,MATCH($B111,'Product Master'!$A$2:$A$1000,0)),"UPC Not Found")))</f>
        <v/>
      </c>
      <c r="D111" s="9" t="str">
        <f aca="false">IF($B111="","",IF(AND(D111&lt;&gt;"",D111&lt;&gt;0,D111&lt;&gt;"UPC Not Found"),D111,IFERROR(INDEX('Product Master'!$C$2:$C$1000,MATCH($B111,'Product Master'!$A$2:$A$1000,0)),"UPC Not Found")))</f>
        <v/>
      </c>
      <c r="E111" s="9" t="str">
        <f aca="false">IF($B111="","",IF(AND(E111&lt;&gt;"",E111&lt;&gt;0,E111&lt;&gt;"UPC Not Found"),E111,IFERROR(INDEX('Product Master'!$D$2:$D$1000,MATCH($B111,'Product Master'!$A$2:$A$1000,0)),"UPC Not Found")))</f>
        <v/>
      </c>
      <c r="F111" s="10" t="str">
        <f aca="false">IF($B111="","",IF(AND(F111&lt;&gt;"",F111&lt;&gt;0,F111&lt;&gt;"UPC Not Found"),F111,IFERROR(INDEX('Product Master'!$E$2:$E$1000,MATCH($B111,'Product Master'!$A$2:$A$1000,0)),"UPC Not Found")))</f>
        <v/>
      </c>
      <c r="G111" s="11"/>
      <c r="H111" s="11"/>
      <c r="I111" s="10" t="str">
        <f aca="false">IF($B111="","",IF(AND(G111="",H111=""),"",G111+H111))</f>
        <v/>
      </c>
      <c r="J111" s="10" t="str">
        <f aca="false">IF(OR($B111="",I111="",F111="UPC Not Found"),"",I111-F111)</f>
        <v/>
      </c>
      <c r="K111" s="9" t="str">
        <f aca="false">IF($B111="","",IF(AND(G111="",H111=""),"Not Counted",IF(OR(G111="",H111=""),"Partially Counted",IF(J111=0,"Match",IF(J111&gt;0,"Overage","Shortage")))))</f>
        <v/>
      </c>
      <c r="L111" s="9" t="str">
        <f aca="false">IF($B111="","",IF(AND(L111&lt;&gt;"",L111&lt;&gt;0),L111,$B$4))</f>
        <v/>
      </c>
      <c r="M111" s="12"/>
      <c r="N111" s="12"/>
      <c r="O111" s="12"/>
    </row>
    <row r="112" customFormat="false" ht="15" hidden="false" customHeight="false" outlineLevel="0" collapsed="false">
      <c r="A112" s="7" t="str">
        <f aca="true">IF($B112="","",IF(AND(A112&lt;&gt;"",A112&lt;&gt;0),A112,TODAY()))</f>
        <v/>
      </c>
      <c r="B112" s="8"/>
      <c r="C112" s="9" t="str">
        <f aca="false">IF($B112="","",IF(AND(C112&lt;&gt;"",C112&lt;&gt;0,C112&lt;&gt;"UPC Not Found"),C112,IFERROR(INDEX('Product Master'!$B$2:$B$1000,MATCH($B112,'Product Master'!$A$2:$A$1000,0)),"UPC Not Found")))</f>
        <v/>
      </c>
      <c r="D112" s="9" t="str">
        <f aca="false">IF($B112="","",IF(AND(D112&lt;&gt;"",D112&lt;&gt;0,D112&lt;&gt;"UPC Not Found"),D112,IFERROR(INDEX('Product Master'!$C$2:$C$1000,MATCH($B112,'Product Master'!$A$2:$A$1000,0)),"UPC Not Found")))</f>
        <v/>
      </c>
      <c r="E112" s="9" t="str">
        <f aca="false">IF($B112="","",IF(AND(E112&lt;&gt;"",E112&lt;&gt;0,E112&lt;&gt;"UPC Not Found"),E112,IFERROR(INDEX('Product Master'!$D$2:$D$1000,MATCH($B112,'Product Master'!$A$2:$A$1000,0)),"UPC Not Found")))</f>
        <v/>
      </c>
      <c r="F112" s="10" t="str">
        <f aca="false">IF($B112="","",IF(AND(F112&lt;&gt;"",F112&lt;&gt;0,F112&lt;&gt;"UPC Not Found"),F112,IFERROR(INDEX('Product Master'!$E$2:$E$1000,MATCH($B112,'Product Master'!$A$2:$A$1000,0)),"UPC Not Found")))</f>
        <v/>
      </c>
      <c r="G112" s="11"/>
      <c r="H112" s="11"/>
      <c r="I112" s="10" t="str">
        <f aca="false">IF($B112="","",IF(AND(G112="",H112=""),"",G112+H112))</f>
        <v/>
      </c>
      <c r="J112" s="10" t="str">
        <f aca="false">IF(OR($B112="",I112="",F112="UPC Not Found"),"",I112-F112)</f>
        <v/>
      </c>
      <c r="K112" s="9" t="str">
        <f aca="false">IF($B112="","",IF(AND(G112="",H112=""),"Not Counted",IF(OR(G112="",H112=""),"Partially Counted",IF(J112=0,"Match",IF(J112&gt;0,"Overage","Shortage")))))</f>
        <v/>
      </c>
      <c r="L112" s="9" t="str">
        <f aca="false">IF($B112="","",IF(AND(L112&lt;&gt;"",L112&lt;&gt;0),L112,$B$4))</f>
        <v/>
      </c>
      <c r="M112" s="12"/>
      <c r="N112" s="12"/>
      <c r="O112" s="12"/>
    </row>
    <row r="113" customFormat="false" ht="15" hidden="false" customHeight="false" outlineLevel="0" collapsed="false">
      <c r="A113" s="7" t="str">
        <f aca="true">IF($B113="","",IF(AND(A113&lt;&gt;"",A113&lt;&gt;0),A113,TODAY()))</f>
        <v/>
      </c>
      <c r="B113" s="8"/>
      <c r="C113" s="9" t="str">
        <f aca="false">IF($B113="","",IF(AND(C113&lt;&gt;"",C113&lt;&gt;0,C113&lt;&gt;"UPC Not Found"),C113,IFERROR(INDEX('Product Master'!$B$2:$B$1000,MATCH($B113,'Product Master'!$A$2:$A$1000,0)),"UPC Not Found")))</f>
        <v/>
      </c>
      <c r="D113" s="9" t="str">
        <f aca="false">IF($B113="","",IF(AND(D113&lt;&gt;"",D113&lt;&gt;0,D113&lt;&gt;"UPC Not Found"),D113,IFERROR(INDEX('Product Master'!$C$2:$C$1000,MATCH($B113,'Product Master'!$A$2:$A$1000,0)),"UPC Not Found")))</f>
        <v/>
      </c>
      <c r="E113" s="9" t="str">
        <f aca="false">IF($B113="","",IF(AND(E113&lt;&gt;"",E113&lt;&gt;0,E113&lt;&gt;"UPC Not Found"),E113,IFERROR(INDEX('Product Master'!$D$2:$D$1000,MATCH($B113,'Product Master'!$A$2:$A$1000,0)),"UPC Not Found")))</f>
        <v/>
      </c>
      <c r="F113" s="10" t="str">
        <f aca="false">IF($B113="","",IF(AND(F113&lt;&gt;"",F113&lt;&gt;0,F113&lt;&gt;"UPC Not Found"),F113,IFERROR(INDEX('Product Master'!$E$2:$E$1000,MATCH($B113,'Product Master'!$A$2:$A$1000,0)),"UPC Not Found")))</f>
        <v/>
      </c>
      <c r="G113" s="11"/>
      <c r="H113" s="11"/>
      <c r="I113" s="10" t="str">
        <f aca="false">IF($B113="","",IF(AND(G113="",H113=""),"",G113+H113))</f>
        <v/>
      </c>
      <c r="J113" s="10" t="str">
        <f aca="false">IF(OR($B113="",I113="",F113="UPC Not Found"),"",I113-F113)</f>
        <v/>
      </c>
      <c r="K113" s="9" t="str">
        <f aca="false">IF($B113="","",IF(AND(G113="",H113=""),"Not Counted",IF(OR(G113="",H113=""),"Partially Counted",IF(J113=0,"Match",IF(J113&gt;0,"Overage","Shortage")))))</f>
        <v/>
      </c>
      <c r="L113" s="9" t="str">
        <f aca="false">IF($B113="","",IF(AND(L113&lt;&gt;"",L113&lt;&gt;0),L113,$B$4))</f>
        <v/>
      </c>
      <c r="M113" s="12"/>
      <c r="N113" s="12"/>
      <c r="O113" s="12"/>
    </row>
    <row r="114" customFormat="false" ht="15" hidden="false" customHeight="false" outlineLevel="0" collapsed="false">
      <c r="A114" s="7" t="str">
        <f aca="true">IF($B114="","",IF(AND(A114&lt;&gt;"",A114&lt;&gt;0),A114,TODAY()))</f>
        <v/>
      </c>
      <c r="B114" s="8"/>
      <c r="C114" s="9" t="str">
        <f aca="false">IF($B114="","",IF(AND(C114&lt;&gt;"",C114&lt;&gt;0,C114&lt;&gt;"UPC Not Found"),C114,IFERROR(INDEX('Product Master'!$B$2:$B$1000,MATCH($B114,'Product Master'!$A$2:$A$1000,0)),"UPC Not Found")))</f>
        <v/>
      </c>
      <c r="D114" s="9" t="str">
        <f aca="false">IF($B114="","",IF(AND(D114&lt;&gt;"",D114&lt;&gt;0,D114&lt;&gt;"UPC Not Found"),D114,IFERROR(INDEX('Product Master'!$C$2:$C$1000,MATCH($B114,'Product Master'!$A$2:$A$1000,0)),"UPC Not Found")))</f>
        <v/>
      </c>
      <c r="E114" s="9" t="str">
        <f aca="false">IF($B114="","",IF(AND(E114&lt;&gt;"",E114&lt;&gt;0,E114&lt;&gt;"UPC Not Found"),E114,IFERROR(INDEX('Product Master'!$D$2:$D$1000,MATCH($B114,'Product Master'!$A$2:$A$1000,0)),"UPC Not Found")))</f>
        <v/>
      </c>
      <c r="F114" s="10" t="str">
        <f aca="false">IF($B114="","",IF(AND(F114&lt;&gt;"",F114&lt;&gt;0,F114&lt;&gt;"UPC Not Found"),F114,IFERROR(INDEX('Product Master'!$E$2:$E$1000,MATCH($B114,'Product Master'!$A$2:$A$1000,0)),"UPC Not Found")))</f>
        <v/>
      </c>
      <c r="G114" s="11"/>
      <c r="H114" s="11"/>
      <c r="I114" s="10" t="str">
        <f aca="false">IF($B114="","",IF(AND(G114="",H114=""),"",G114+H114))</f>
        <v/>
      </c>
      <c r="J114" s="10" t="str">
        <f aca="false">IF(OR($B114="",I114="",F114="UPC Not Found"),"",I114-F114)</f>
        <v/>
      </c>
      <c r="K114" s="9" t="str">
        <f aca="false">IF($B114="","",IF(AND(G114="",H114=""),"Not Counted",IF(OR(G114="",H114=""),"Partially Counted",IF(J114=0,"Match",IF(J114&gt;0,"Overage","Shortage")))))</f>
        <v/>
      </c>
      <c r="L114" s="9" t="str">
        <f aca="false">IF($B114="","",IF(AND(L114&lt;&gt;"",L114&lt;&gt;0),L114,$B$4))</f>
        <v/>
      </c>
      <c r="M114" s="12"/>
      <c r="N114" s="12"/>
      <c r="O114" s="12"/>
    </row>
    <row r="115" customFormat="false" ht="15" hidden="false" customHeight="false" outlineLevel="0" collapsed="false">
      <c r="A115" s="7" t="str">
        <f aca="true">IF($B115="","",IF(AND(A115&lt;&gt;"",A115&lt;&gt;0),A115,TODAY()))</f>
        <v/>
      </c>
      <c r="B115" s="8"/>
      <c r="C115" s="9" t="str">
        <f aca="false">IF($B115="","",IF(AND(C115&lt;&gt;"",C115&lt;&gt;0,C115&lt;&gt;"UPC Not Found"),C115,IFERROR(INDEX('Product Master'!$B$2:$B$1000,MATCH($B115,'Product Master'!$A$2:$A$1000,0)),"UPC Not Found")))</f>
        <v/>
      </c>
      <c r="D115" s="9" t="str">
        <f aca="false">IF($B115="","",IF(AND(D115&lt;&gt;"",D115&lt;&gt;0,D115&lt;&gt;"UPC Not Found"),D115,IFERROR(INDEX('Product Master'!$C$2:$C$1000,MATCH($B115,'Product Master'!$A$2:$A$1000,0)),"UPC Not Found")))</f>
        <v/>
      </c>
      <c r="E115" s="9" t="str">
        <f aca="false">IF($B115="","",IF(AND(E115&lt;&gt;"",E115&lt;&gt;0,E115&lt;&gt;"UPC Not Found"),E115,IFERROR(INDEX('Product Master'!$D$2:$D$1000,MATCH($B115,'Product Master'!$A$2:$A$1000,0)),"UPC Not Found")))</f>
        <v/>
      </c>
      <c r="F115" s="10" t="str">
        <f aca="false">IF($B115="","",IF(AND(F115&lt;&gt;"",F115&lt;&gt;0,F115&lt;&gt;"UPC Not Found"),F115,IFERROR(INDEX('Product Master'!$E$2:$E$1000,MATCH($B115,'Product Master'!$A$2:$A$1000,0)),"UPC Not Found")))</f>
        <v/>
      </c>
      <c r="G115" s="11"/>
      <c r="H115" s="11"/>
      <c r="I115" s="10" t="str">
        <f aca="false">IF($B115="","",IF(AND(G115="",H115=""),"",G115+H115))</f>
        <v/>
      </c>
      <c r="J115" s="10" t="str">
        <f aca="false">IF(OR($B115="",I115="",F115="UPC Not Found"),"",I115-F115)</f>
        <v/>
      </c>
      <c r="K115" s="9" t="str">
        <f aca="false">IF($B115="","",IF(AND(G115="",H115=""),"Not Counted",IF(OR(G115="",H115=""),"Partially Counted",IF(J115=0,"Match",IF(J115&gt;0,"Overage","Shortage")))))</f>
        <v/>
      </c>
      <c r="L115" s="9" t="str">
        <f aca="false">IF($B115="","",IF(AND(L115&lt;&gt;"",L115&lt;&gt;0),L115,$B$4))</f>
        <v/>
      </c>
      <c r="M115" s="12"/>
      <c r="N115" s="12"/>
      <c r="O115" s="12"/>
    </row>
    <row r="116" customFormat="false" ht="15" hidden="false" customHeight="false" outlineLevel="0" collapsed="false">
      <c r="A116" s="7" t="str">
        <f aca="true">IF($B116="","",IF(AND(A116&lt;&gt;"",A116&lt;&gt;0),A116,TODAY()))</f>
        <v/>
      </c>
      <c r="B116" s="8"/>
      <c r="C116" s="9" t="str">
        <f aca="false">IF($B116="","",IF(AND(C116&lt;&gt;"",C116&lt;&gt;0,C116&lt;&gt;"UPC Not Found"),C116,IFERROR(INDEX('Product Master'!$B$2:$B$1000,MATCH($B116,'Product Master'!$A$2:$A$1000,0)),"UPC Not Found")))</f>
        <v/>
      </c>
      <c r="D116" s="9" t="str">
        <f aca="false">IF($B116="","",IF(AND(D116&lt;&gt;"",D116&lt;&gt;0,D116&lt;&gt;"UPC Not Found"),D116,IFERROR(INDEX('Product Master'!$C$2:$C$1000,MATCH($B116,'Product Master'!$A$2:$A$1000,0)),"UPC Not Found")))</f>
        <v/>
      </c>
      <c r="E116" s="9" t="str">
        <f aca="false">IF($B116="","",IF(AND(E116&lt;&gt;"",E116&lt;&gt;0,E116&lt;&gt;"UPC Not Found"),E116,IFERROR(INDEX('Product Master'!$D$2:$D$1000,MATCH($B116,'Product Master'!$A$2:$A$1000,0)),"UPC Not Found")))</f>
        <v/>
      </c>
      <c r="F116" s="10" t="str">
        <f aca="false">IF($B116="","",IF(AND(F116&lt;&gt;"",F116&lt;&gt;0,F116&lt;&gt;"UPC Not Found"),F116,IFERROR(INDEX('Product Master'!$E$2:$E$1000,MATCH($B116,'Product Master'!$A$2:$A$1000,0)),"UPC Not Found")))</f>
        <v/>
      </c>
      <c r="G116" s="11"/>
      <c r="H116" s="11"/>
      <c r="I116" s="10" t="str">
        <f aca="false">IF($B116="","",IF(AND(G116="",H116=""),"",G116+H116))</f>
        <v/>
      </c>
      <c r="J116" s="10" t="str">
        <f aca="false">IF(OR($B116="",I116="",F116="UPC Not Found"),"",I116-F116)</f>
        <v/>
      </c>
      <c r="K116" s="9" t="str">
        <f aca="false">IF($B116="","",IF(AND(G116="",H116=""),"Not Counted",IF(OR(G116="",H116=""),"Partially Counted",IF(J116=0,"Match",IF(J116&gt;0,"Overage","Shortage")))))</f>
        <v/>
      </c>
      <c r="L116" s="9" t="str">
        <f aca="false">IF($B116="","",IF(AND(L116&lt;&gt;"",L116&lt;&gt;0),L116,$B$4))</f>
        <v/>
      </c>
      <c r="M116" s="12"/>
      <c r="N116" s="12"/>
      <c r="O116" s="12"/>
    </row>
    <row r="117" customFormat="false" ht="15" hidden="false" customHeight="false" outlineLevel="0" collapsed="false">
      <c r="A117" s="7" t="str">
        <f aca="true">IF($B117="","",IF(AND(A117&lt;&gt;"",A117&lt;&gt;0),A117,TODAY()))</f>
        <v/>
      </c>
      <c r="B117" s="8"/>
      <c r="C117" s="9" t="str">
        <f aca="false">IF($B117="","",IF(AND(C117&lt;&gt;"",C117&lt;&gt;0,C117&lt;&gt;"UPC Not Found"),C117,IFERROR(INDEX('Product Master'!$B$2:$B$1000,MATCH($B117,'Product Master'!$A$2:$A$1000,0)),"UPC Not Found")))</f>
        <v/>
      </c>
      <c r="D117" s="9" t="str">
        <f aca="false">IF($B117="","",IF(AND(D117&lt;&gt;"",D117&lt;&gt;0,D117&lt;&gt;"UPC Not Found"),D117,IFERROR(INDEX('Product Master'!$C$2:$C$1000,MATCH($B117,'Product Master'!$A$2:$A$1000,0)),"UPC Not Found")))</f>
        <v/>
      </c>
      <c r="E117" s="9" t="str">
        <f aca="false">IF($B117="","",IF(AND(E117&lt;&gt;"",E117&lt;&gt;0,E117&lt;&gt;"UPC Not Found"),E117,IFERROR(INDEX('Product Master'!$D$2:$D$1000,MATCH($B117,'Product Master'!$A$2:$A$1000,0)),"UPC Not Found")))</f>
        <v/>
      </c>
      <c r="F117" s="10" t="str">
        <f aca="false">IF($B117="","",IF(AND(F117&lt;&gt;"",F117&lt;&gt;0,F117&lt;&gt;"UPC Not Found"),F117,IFERROR(INDEX('Product Master'!$E$2:$E$1000,MATCH($B117,'Product Master'!$A$2:$A$1000,0)),"UPC Not Found")))</f>
        <v/>
      </c>
      <c r="G117" s="11"/>
      <c r="H117" s="11"/>
      <c r="I117" s="10" t="str">
        <f aca="false">IF($B117="","",IF(AND(G117="",H117=""),"",G117+H117))</f>
        <v/>
      </c>
      <c r="J117" s="10" t="str">
        <f aca="false">IF(OR($B117="",I117="",F117="UPC Not Found"),"",I117-F117)</f>
        <v/>
      </c>
      <c r="K117" s="9" t="str">
        <f aca="false">IF($B117="","",IF(AND(G117="",H117=""),"Not Counted",IF(OR(G117="",H117=""),"Partially Counted",IF(J117=0,"Match",IF(J117&gt;0,"Overage","Shortage")))))</f>
        <v/>
      </c>
      <c r="L117" s="9" t="str">
        <f aca="false">IF($B117="","",IF(AND(L117&lt;&gt;"",L117&lt;&gt;0),L117,$B$4))</f>
        <v/>
      </c>
      <c r="M117" s="12"/>
      <c r="N117" s="12"/>
      <c r="O117" s="12"/>
    </row>
    <row r="118" customFormat="false" ht="15" hidden="false" customHeight="false" outlineLevel="0" collapsed="false">
      <c r="A118" s="7" t="str">
        <f aca="true">IF($B118="","",IF(AND(A118&lt;&gt;"",A118&lt;&gt;0),A118,TODAY()))</f>
        <v/>
      </c>
      <c r="B118" s="8"/>
      <c r="C118" s="9" t="str">
        <f aca="false">IF($B118="","",IF(AND(C118&lt;&gt;"",C118&lt;&gt;0,C118&lt;&gt;"UPC Not Found"),C118,IFERROR(INDEX('Product Master'!$B$2:$B$1000,MATCH($B118,'Product Master'!$A$2:$A$1000,0)),"UPC Not Found")))</f>
        <v/>
      </c>
      <c r="D118" s="9" t="str">
        <f aca="false">IF($B118="","",IF(AND(D118&lt;&gt;"",D118&lt;&gt;0,D118&lt;&gt;"UPC Not Found"),D118,IFERROR(INDEX('Product Master'!$C$2:$C$1000,MATCH($B118,'Product Master'!$A$2:$A$1000,0)),"UPC Not Found")))</f>
        <v/>
      </c>
      <c r="E118" s="9" t="str">
        <f aca="false">IF($B118="","",IF(AND(E118&lt;&gt;"",E118&lt;&gt;0,E118&lt;&gt;"UPC Not Found"),E118,IFERROR(INDEX('Product Master'!$D$2:$D$1000,MATCH($B118,'Product Master'!$A$2:$A$1000,0)),"UPC Not Found")))</f>
        <v/>
      </c>
      <c r="F118" s="10" t="str">
        <f aca="false">IF($B118="","",IF(AND(F118&lt;&gt;"",F118&lt;&gt;0,F118&lt;&gt;"UPC Not Found"),F118,IFERROR(INDEX('Product Master'!$E$2:$E$1000,MATCH($B118,'Product Master'!$A$2:$A$1000,0)),"UPC Not Found")))</f>
        <v/>
      </c>
      <c r="G118" s="11"/>
      <c r="H118" s="11"/>
      <c r="I118" s="10" t="str">
        <f aca="false">IF($B118="","",IF(AND(G118="",H118=""),"",G118+H118))</f>
        <v/>
      </c>
      <c r="J118" s="10" t="str">
        <f aca="false">IF(OR($B118="",I118="",F118="UPC Not Found"),"",I118-F118)</f>
        <v/>
      </c>
      <c r="K118" s="9" t="str">
        <f aca="false">IF($B118="","",IF(AND(G118="",H118=""),"Not Counted",IF(OR(G118="",H118=""),"Partially Counted",IF(J118=0,"Match",IF(J118&gt;0,"Overage","Shortage")))))</f>
        <v/>
      </c>
      <c r="L118" s="9" t="str">
        <f aca="false">IF($B118="","",IF(AND(L118&lt;&gt;"",L118&lt;&gt;0),L118,$B$4))</f>
        <v/>
      </c>
      <c r="M118" s="12"/>
      <c r="N118" s="12"/>
      <c r="O118" s="12"/>
    </row>
    <row r="119" customFormat="false" ht="15" hidden="false" customHeight="false" outlineLevel="0" collapsed="false">
      <c r="A119" s="7" t="str">
        <f aca="true">IF($B119="","",IF(AND(A119&lt;&gt;"",A119&lt;&gt;0),A119,TODAY()))</f>
        <v/>
      </c>
      <c r="B119" s="8"/>
      <c r="C119" s="9" t="str">
        <f aca="false">IF($B119="","",IF(AND(C119&lt;&gt;"",C119&lt;&gt;0,C119&lt;&gt;"UPC Not Found"),C119,IFERROR(INDEX('Product Master'!$B$2:$B$1000,MATCH($B119,'Product Master'!$A$2:$A$1000,0)),"UPC Not Found")))</f>
        <v/>
      </c>
      <c r="D119" s="9" t="str">
        <f aca="false">IF($B119="","",IF(AND(D119&lt;&gt;"",D119&lt;&gt;0,D119&lt;&gt;"UPC Not Found"),D119,IFERROR(INDEX('Product Master'!$C$2:$C$1000,MATCH($B119,'Product Master'!$A$2:$A$1000,0)),"UPC Not Found")))</f>
        <v/>
      </c>
      <c r="E119" s="9" t="str">
        <f aca="false">IF($B119="","",IF(AND(E119&lt;&gt;"",E119&lt;&gt;0,E119&lt;&gt;"UPC Not Found"),E119,IFERROR(INDEX('Product Master'!$D$2:$D$1000,MATCH($B119,'Product Master'!$A$2:$A$1000,0)),"UPC Not Found")))</f>
        <v/>
      </c>
      <c r="F119" s="10" t="str">
        <f aca="false">IF($B119="","",IF(AND(F119&lt;&gt;"",F119&lt;&gt;0,F119&lt;&gt;"UPC Not Found"),F119,IFERROR(INDEX('Product Master'!$E$2:$E$1000,MATCH($B119,'Product Master'!$A$2:$A$1000,0)),"UPC Not Found")))</f>
        <v/>
      </c>
      <c r="G119" s="11"/>
      <c r="H119" s="11"/>
      <c r="I119" s="10" t="str">
        <f aca="false">IF($B119="","",IF(AND(G119="",H119=""),"",G119+H119))</f>
        <v/>
      </c>
      <c r="J119" s="10" t="str">
        <f aca="false">IF(OR($B119="",I119="",F119="UPC Not Found"),"",I119-F119)</f>
        <v/>
      </c>
      <c r="K119" s="9" t="str">
        <f aca="false">IF($B119="","",IF(AND(G119="",H119=""),"Not Counted",IF(OR(G119="",H119=""),"Partially Counted",IF(J119=0,"Match",IF(J119&gt;0,"Overage","Shortage")))))</f>
        <v/>
      </c>
      <c r="L119" s="9" t="str">
        <f aca="false">IF($B119="","",IF(AND(L119&lt;&gt;"",L119&lt;&gt;0),L119,$B$4))</f>
        <v/>
      </c>
      <c r="M119" s="12"/>
      <c r="N119" s="12"/>
      <c r="O119" s="12"/>
    </row>
    <row r="120" customFormat="false" ht="15" hidden="false" customHeight="false" outlineLevel="0" collapsed="false">
      <c r="A120" s="7" t="str">
        <f aca="true">IF($B120="","",IF(AND(A120&lt;&gt;"",A120&lt;&gt;0),A120,TODAY()))</f>
        <v/>
      </c>
      <c r="B120" s="8"/>
      <c r="C120" s="9" t="str">
        <f aca="false">IF($B120="","",IF(AND(C120&lt;&gt;"",C120&lt;&gt;0,C120&lt;&gt;"UPC Not Found"),C120,IFERROR(INDEX('Product Master'!$B$2:$B$1000,MATCH($B120,'Product Master'!$A$2:$A$1000,0)),"UPC Not Found")))</f>
        <v/>
      </c>
      <c r="D120" s="9" t="str">
        <f aca="false">IF($B120="","",IF(AND(D120&lt;&gt;"",D120&lt;&gt;0,D120&lt;&gt;"UPC Not Found"),D120,IFERROR(INDEX('Product Master'!$C$2:$C$1000,MATCH($B120,'Product Master'!$A$2:$A$1000,0)),"UPC Not Found")))</f>
        <v/>
      </c>
      <c r="E120" s="9" t="str">
        <f aca="false">IF($B120="","",IF(AND(E120&lt;&gt;"",E120&lt;&gt;0,E120&lt;&gt;"UPC Not Found"),E120,IFERROR(INDEX('Product Master'!$D$2:$D$1000,MATCH($B120,'Product Master'!$A$2:$A$1000,0)),"UPC Not Found")))</f>
        <v/>
      </c>
      <c r="F120" s="10" t="str">
        <f aca="false">IF($B120="","",IF(AND(F120&lt;&gt;"",F120&lt;&gt;0,F120&lt;&gt;"UPC Not Found"),F120,IFERROR(INDEX('Product Master'!$E$2:$E$1000,MATCH($B120,'Product Master'!$A$2:$A$1000,0)),"UPC Not Found")))</f>
        <v/>
      </c>
      <c r="G120" s="11"/>
      <c r="H120" s="11"/>
      <c r="I120" s="10" t="str">
        <f aca="false">IF($B120="","",IF(AND(G120="",H120=""),"",G120+H120))</f>
        <v/>
      </c>
      <c r="J120" s="10" t="str">
        <f aca="false">IF(OR($B120="",I120="",F120="UPC Not Found"),"",I120-F120)</f>
        <v/>
      </c>
      <c r="K120" s="9" t="str">
        <f aca="false">IF($B120="","",IF(AND(G120="",H120=""),"Not Counted",IF(OR(G120="",H120=""),"Partially Counted",IF(J120=0,"Match",IF(J120&gt;0,"Overage","Shortage")))))</f>
        <v/>
      </c>
      <c r="L120" s="9" t="str">
        <f aca="false">IF($B120="","",IF(AND(L120&lt;&gt;"",L120&lt;&gt;0),L120,$B$4))</f>
        <v/>
      </c>
      <c r="M120" s="12"/>
      <c r="N120" s="12"/>
      <c r="O120" s="12"/>
    </row>
    <row r="121" customFormat="false" ht="15" hidden="false" customHeight="false" outlineLevel="0" collapsed="false">
      <c r="A121" s="7" t="str">
        <f aca="true">IF($B121="","",IF(AND(A121&lt;&gt;"",A121&lt;&gt;0),A121,TODAY()))</f>
        <v/>
      </c>
      <c r="B121" s="8"/>
      <c r="C121" s="9" t="str">
        <f aca="false">IF($B121="","",IF(AND(C121&lt;&gt;"",C121&lt;&gt;0,C121&lt;&gt;"UPC Not Found"),C121,IFERROR(INDEX('Product Master'!$B$2:$B$1000,MATCH($B121,'Product Master'!$A$2:$A$1000,0)),"UPC Not Found")))</f>
        <v/>
      </c>
      <c r="D121" s="9" t="str">
        <f aca="false">IF($B121="","",IF(AND(D121&lt;&gt;"",D121&lt;&gt;0,D121&lt;&gt;"UPC Not Found"),D121,IFERROR(INDEX('Product Master'!$C$2:$C$1000,MATCH($B121,'Product Master'!$A$2:$A$1000,0)),"UPC Not Found")))</f>
        <v/>
      </c>
      <c r="E121" s="9" t="str">
        <f aca="false">IF($B121="","",IF(AND(E121&lt;&gt;"",E121&lt;&gt;0,E121&lt;&gt;"UPC Not Found"),E121,IFERROR(INDEX('Product Master'!$D$2:$D$1000,MATCH($B121,'Product Master'!$A$2:$A$1000,0)),"UPC Not Found")))</f>
        <v/>
      </c>
      <c r="F121" s="10" t="str">
        <f aca="false">IF($B121="","",IF(AND(F121&lt;&gt;"",F121&lt;&gt;0,F121&lt;&gt;"UPC Not Found"),F121,IFERROR(INDEX('Product Master'!$E$2:$E$1000,MATCH($B121,'Product Master'!$A$2:$A$1000,0)),"UPC Not Found")))</f>
        <v/>
      </c>
      <c r="G121" s="11"/>
      <c r="H121" s="11"/>
      <c r="I121" s="10" t="str">
        <f aca="false">IF($B121="","",IF(AND(G121="",H121=""),"",G121+H121))</f>
        <v/>
      </c>
      <c r="J121" s="10" t="str">
        <f aca="false">IF(OR($B121="",I121="",F121="UPC Not Found"),"",I121-F121)</f>
        <v/>
      </c>
      <c r="K121" s="9" t="str">
        <f aca="false">IF($B121="","",IF(AND(G121="",H121=""),"Not Counted",IF(OR(G121="",H121=""),"Partially Counted",IF(J121=0,"Match",IF(J121&gt;0,"Overage","Shortage")))))</f>
        <v/>
      </c>
      <c r="L121" s="9" t="str">
        <f aca="false">IF($B121="","",IF(AND(L121&lt;&gt;"",L121&lt;&gt;0),L121,$B$4))</f>
        <v/>
      </c>
      <c r="M121" s="12"/>
      <c r="N121" s="12"/>
      <c r="O121" s="12"/>
    </row>
    <row r="122" customFormat="false" ht="15" hidden="false" customHeight="false" outlineLevel="0" collapsed="false">
      <c r="A122" s="7" t="str">
        <f aca="true">IF($B122="","",IF(AND(A122&lt;&gt;"",A122&lt;&gt;0),A122,TODAY()))</f>
        <v/>
      </c>
      <c r="B122" s="8"/>
      <c r="C122" s="9" t="str">
        <f aca="false">IF($B122="","",IF(AND(C122&lt;&gt;"",C122&lt;&gt;0,C122&lt;&gt;"UPC Not Found"),C122,IFERROR(INDEX('Product Master'!$B$2:$B$1000,MATCH($B122,'Product Master'!$A$2:$A$1000,0)),"UPC Not Found")))</f>
        <v/>
      </c>
      <c r="D122" s="9" t="str">
        <f aca="false">IF($B122="","",IF(AND(D122&lt;&gt;"",D122&lt;&gt;0,D122&lt;&gt;"UPC Not Found"),D122,IFERROR(INDEX('Product Master'!$C$2:$C$1000,MATCH($B122,'Product Master'!$A$2:$A$1000,0)),"UPC Not Found")))</f>
        <v/>
      </c>
      <c r="E122" s="9" t="str">
        <f aca="false">IF($B122="","",IF(AND(E122&lt;&gt;"",E122&lt;&gt;0,E122&lt;&gt;"UPC Not Found"),E122,IFERROR(INDEX('Product Master'!$D$2:$D$1000,MATCH($B122,'Product Master'!$A$2:$A$1000,0)),"UPC Not Found")))</f>
        <v/>
      </c>
      <c r="F122" s="10" t="str">
        <f aca="false">IF($B122="","",IF(AND(F122&lt;&gt;"",F122&lt;&gt;0,F122&lt;&gt;"UPC Not Found"),F122,IFERROR(INDEX('Product Master'!$E$2:$E$1000,MATCH($B122,'Product Master'!$A$2:$A$1000,0)),"UPC Not Found")))</f>
        <v/>
      </c>
      <c r="G122" s="11"/>
      <c r="H122" s="11"/>
      <c r="I122" s="10" t="str">
        <f aca="false">IF($B122="","",IF(AND(G122="",H122=""),"",G122+H122))</f>
        <v/>
      </c>
      <c r="J122" s="10" t="str">
        <f aca="false">IF(OR($B122="",I122="",F122="UPC Not Found"),"",I122-F122)</f>
        <v/>
      </c>
      <c r="K122" s="9" t="str">
        <f aca="false">IF($B122="","",IF(AND(G122="",H122=""),"Not Counted",IF(OR(G122="",H122=""),"Partially Counted",IF(J122=0,"Match",IF(J122&gt;0,"Overage","Shortage")))))</f>
        <v/>
      </c>
      <c r="L122" s="9" t="str">
        <f aca="false">IF($B122="","",IF(AND(L122&lt;&gt;"",L122&lt;&gt;0),L122,$B$4))</f>
        <v/>
      </c>
      <c r="M122" s="12"/>
      <c r="N122" s="12"/>
      <c r="O122" s="12"/>
    </row>
    <row r="123" customFormat="false" ht="15" hidden="false" customHeight="false" outlineLevel="0" collapsed="false">
      <c r="A123" s="7" t="str">
        <f aca="true">IF($B123="","",IF(AND(A123&lt;&gt;"",A123&lt;&gt;0),A123,TODAY()))</f>
        <v/>
      </c>
      <c r="B123" s="8"/>
      <c r="C123" s="9" t="str">
        <f aca="false">IF($B123="","",IF(AND(C123&lt;&gt;"",C123&lt;&gt;0,C123&lt;&gt;"UPC Not Found"),C123,IFERROR(INDEX('Product Master'!$B$2:$B$1000,MATCH($B123,'Product Master'!$A$2:$A$1000,0)),"UPC Not Found")))</f>
        <v/>
      </c>
      <c r="D123" s="9" t="str">
        <f aca="false">IF($B123="","",IF(AND(D123&lt;&gt;"",D123&lt;&gt;0,D123&lt;&gt;"UPC Not Found"),D123,IFERROR(INDEX('Product Master'!$C$2:$C$1000,MATCH($B123,'Product Master'!$A$2:$A$1000,0)),"UPC Not Found")))</f>
        <v/>
      </c>
      <c r="E123" s="9" t="str">
        <f aca="false">IF($B123="","",IF(AND(E123&lt;&gt;"",E123&lt;&gt;0,E123&lt;&gt;"UPC Not Found"),E123,IFERROR(INDEX('Product Master'!$D$2:$D$1000,MATCH($B123,'Product Master'!$A$2:$A$1000,0)),"UPC Not Found")))</f>
        <v/>
      </c>
      <c r="F123" s="10" t="str">
        <f aca="false">IF($B123="","",IF(AND(F123&lt;&gt;"",F123&lt;&gt;0,F123&lt;&gt;"UPC Not Found"),F123,IFERROR(INDEX('Product Master'!$E$2:$E$1000,MATCH($B123,'Product Master'!$A$2:$A$1000,0)),"UPC Not Found")))</f>
        <v/>
      </c>
      <c r="G123" s="11"/>
      <c r="H123" s="11"/>
      <c r="I123" s="10" t="str">
        <f aca="false">IF($B123="","",IF(AND(G123="",H123=""),"",G123+H123))</f>
        <v/>
      </c>
      <c r="J123" s="10" t="str">
        <f aca="false">IF(OR($B123="",I123="",F123="UPC Not Found"),"",I123-F123)</f>
        <v/>
      </c>
      <c r="K123" s="9" t="str">
        <f aca="false">IF($B123="","",IF(AND(G123="",H123=""),"Not Counted",IF(OR(G123="",H123=""),"Partially Counted",IF(J123=0,"Match",IF(J123&gt;0,"Overage","Shortage")))))</f>
        <v/>
      </c>
      <c r="L123" s="9" t="str">
        <f aca="false">IF($B123="","",IF(AND(L123&lt;&gt;"",L123&lt;&gt;0),L123,$B$4))</f>
        <v/>
      </c>
      <c r="M123" s="12"/>
      <c r="N123" s="12"/>
      <c r="O123" s="12"/>
    </row>
    <row r="124" customFormat="false" ht="15" hidden="false" customHeight="false" outlineLevel="0" collapsed="false">
      <c r="A124" s="7" t="str">
        <f aca="true">IF($B124="","",IF(AND(A124&lt;&gt;"",A124&lt;&gt;0),A124,TODAY()))</f>
        <v/>
      </c>
      <c r="B124" s="8"/>
      <c r="C124" s="9" t="str">
        <f aca="false">IF($B124="","",IF(AND(C124&lt;&gt;"",C124&lt;&gt;0,C124&lt;&gt;"UPC Not Found"),C124,IFERROR(INDEX('Product Master'!$B$2:$B$1000,MATCH($B124,'Product Master'!$A$2:$A$1000,0)),"UPC Not Found")))</f>
        <v/>
      </c>
      <c r="D124" s="9" t="str">
        <f aca="false">IF($B124="","",IF(AND(D124&lt;&gt;"",D124&lt;&gt;0,D124&lt;&gt;"UPC Not Found"),D124,IFERROR(INDEX('Product Master'!$C$2:$C$1000,MATCH($B124,'Product Master'!$A$2:$A$1000,0)),"UPC Not Found")))</f>
        <v/>
      </c>
      <c r="E124" s="9" t="str">
        <f aca="false">IF($B124="","",IF(AND(E124&lt;&gt;"",E124&lt;&gt;0,E124&lt;&gt;"UPC Not Found"),E124,IFERROR(INDEX('Product Master'!$D$2:$D$1000,MATCH($B124,'Product Master'!$A$2:$A$1000,0)),"UPC Not Found")))</f>
        <v/>
      </c>
      <c r="F124" s="10" t="str">
        <f aca="false">IF($B124="","",IF(AND(F124&lt;&gt;"",F124&lt;&gt;0,F124&lt;&gt;"UPC Not Found"),F124,IFERROR(INDEX('Product Master'!$E$2:$E$1000,MATCH($B124,'Product Master'!$A$2:$A$1000,0)),"UPC Not Found")))</f>
        <v/>
      </c>
      <c r="G124" s="11"/>
      <c r="H124" s="11"/>
      <c r="I124" s="10" t="str">
        <f aca="false">IF($B124="","",IF(AND(G124="",H124=""),"",G124+H124))</f>
        <v/>
      </c>
      <c r="J124" s="10" t="str">
        <f aca="false">IF(OR($B124="",I124="",F124="UPC Not Found"),"",I124-F124)</f>
        <v/>
      </c>
      <c r="K124" s="9" t="str">
        <f aca="false">IF($B124="","",IF(AND(G124="",H124=""),"Not Counted",IF(OR(G124="",H124=""),"Partially Counted",IF(J124=0,"Match",IF(J124&gt;0,"Overage","Shortage")))))</f>
        <v/>
      </c>
      <c r="L124" s="9" t="str">
        <f aca="false">IF($B124="","",IF(AND(L124&lt;&gt;"",L124&lt;&gt;0),L124,$B$4))</f>
        <v/>
      </c>
      <c r="M124" s="12"/>
      <c r="N124" s="12"/>
      <c r="O124" s="12"/>
    </row>
    <row r="125" customFormat="false" ht="15" hidden="false" customHeight="false" outlineLevel="0" collapsed="false">
      <c r="A125" s="7" t="str">
        <f aca="true">IF($B125="","",IF(AND(A125&lt;&gt;"",A125&lt;&gt;0),A125,TODAY()))</f>
        <v/>
      </c>
      <c r="B125" s="8"/>
      <c r="C125" s="9" t="str">
        <f aca="false">IF($B125="","",IF(AND(C125&lt;&gt;"",C125&lt;&gt;0,C125&lt;&gt;"UPC Not Found"),C125,IFERROR(INDEX('Product Master'!$B$2:$B$1000,MATCH($B125,'Product Master'!$A$2:$A$1000,0)),"UPC Not Found")))</f>
        <v/>
      </c>
      <c r="D125" s="9" t="str">
        <f aca="false">IF($B125="","",IF(AND(D125&lt;&gt;"",D125&lt;&gt;0,D125&lt;&gt;"UPC Not Found"),D125,IFERROR(INDEX('Product Master'!$C$2:$C$1000,MATCH($B125,'Product Master'!$A$2:$A$1000,0)),"UPC Not Found")))</f>
        <v/>
      </c>
      <c r="E125" s="9" t="str">
        <f aca="false">IF($B125="","",IF(AND(E125&lt;&gt;"",E125&lt;&gt;0,E125&lt;&gt;"UPC Not Found"),E125,IFERROR(INDEX('Product Master'!$D$2:$D$1000,MATCH($B125,'Product Master'!$A$2:$A$1000,0)),"UPC Not Found")))</f>
        <v/>
      </c>
      <c r="F125" s="10" t="str">
        <f aca="false">IF($B125="","",IF(AND(F125&lt;&gt;"",F125&lt;&gt;0,F125&lt;&gt;"UPC Not Found"),F125,IFERROR(INDEX('Product Master'!$E$2:$E$1000,MATCH($B125,'Product Master'!$A$2:$A$1000,0)),"UPC Not Found")))</f>
        <v/>
      </c>
      <c r="G125" s="11"/>
      <c r="H125" s="11"/>
      <c r="I125" s="10" t="str">
        <f aca="false">IF($B125="","",IF(AND(G125="",H125=""),"",G125+H125))</f>
        <v/>
      </c>
      <c r="J125" s="10" t="str">
        <f aca="false">IF(OR($B125="",I125="",F125="UPC Not Found"),"",I125-F125)</f>
        <v/>
      </c>
      <c r="K125" s="9" t="str">
        <f aca="false">IF($B125="","",IF(AND(G125="",H125=""),"Not Counted",IF(OR(G125="",H125=""),"Partially Counted",IF(J125=0,"Match",IF(J125&gt;0,"Overage","Shortage")))))</f>
        <v/>
      </c>
      <c r="L125" s="9" t="str">
        <f aca="false">IF($B125="","",IF(AND(L125&lt;&gt;"",L125&lt;&gt;0),L125,$B$4))</f>
        <v/>
      </c>
      <c r="M125" s="12"/>
      <c r="N125" s="12"/>
      <c r="O125" s="12"/>
    </row>
    <row r="126" customFormat="false" ht="15" hidden="false" customHeight="false" outlineLevel="0" collapsed="false">
      <c r="A126" s="7" t="str">
        <f aca="true">IF($B126="","",IF(AND(A126&lt;&gt;"",A126&lt;&gt;0),A126,TODAY()))</f>
        <v/>
      </c>
      <c r="B126" s="8"/>
      <c r="C126" s="9" t="str">
        <f aca="false">IF($B126="","",IF(AND(C126&lt;&gt;"",C126&lt;&gt;0,C126&lt;&gt;"UPC Not Found"),C126,IFERROR(INDEX('Product Master'!$B$2:$B$1000,MATCH($B126,'Product Master'!$A$2:$A$1000,0)),"UPC Not Found")))</f>
        <v/>
      </c>
      <c r="D126" s="9" t="str">
        <f aca="false">IF($B126="","",IF(AND(D126&lt;&gt;"",D126&lt;&gt;0,D126&lt;&gt;"UPC Not Found"),D126,IFERROR(INDEX('Product Master'!$C$2:$C$1000,MATCH($B126,'Product Master'!$A$2:$A$1000,0)),"UPC Not Found")))</f>
        <v/>
      </c>
      <c r="E126" s="9" t="str">
        <f aca="false">IF($B126="","",IF(AND(E126&lt;&gt;"",E126&lt;&gt;0,E126&lt;&gt;"UPC Not Found"),E126,IFERROR(INDEX('Product Master'!$D$2:$D$1000,MATCH($B126,'Product Master'!$A$2:$A$1000,0)),"UPC Not Found")))</f>
        <v/>
      </c>
      <c r="F126" s="10" t="str">
        <f aca="false">IF($B126="","",IF(AND(F126&lt;&gt;"",F126&lt;&gt;0,F126&lt;&gt;"UPC Not Found"),F126,IFERROR(INDEX('Product Master'!$E$2:$E$1000,MATCH($B126,'Product Master'!$A$2:$A$1000,0)),"UPC Not Found")))</f>
        <v/>
      </c>
      <c r="G126" s="11"/>
      <c r="H126" s="11"/>
      <c r="I126" s="10" t="str">
        <f aca="false">IF($B126="","",IF(AND(G126="",H126=""),"",G126+H126))</f>
        <v/>
      </c>
      <c r="J126" s="10" t="str">
        <f aca="false">IF(OR($B126="",I126="",F126="UPC Not Found"),"",I126-F126)</f>
        <v/>
      </c>
      <c r="K126" s="9" t="str">
        <f aca="false">IF($B126="","",IF(AND(G126="",H126=""),"Not Counted",IF(OR(G126="",H126=""),"Partially Counted",IF(J126=0,"Match",IF(J126&gt;0,"Overage","Shortage")))))</f>
        <v/>
      </c>
      <c r="L126" s="9" t="str">
        <f aca="false">IF($B126="","",IF(AND(L126&lt;&gt;"",L126&lt;&gt;0),L126,$B$4))</f>
        <v/>
      </c>
      <c r="M126" s="12"/>
      <c r="N126" s="12"/>
      <c r="O126" s="12"/>
    </row>
    <row r="127" customFormat="false" ht="15" hidden="false" customHeight="false" outlineLevel="0" collapsed="false">
      <c r="A127" s="7" t="str">
        <f aca="true">IF($B127="","",IF(AND(A127&lt;&gt;"",A127&lt;&gt;0),A127,TODAY()))</f>
        <v/>
      </c>
      <c r="B127" s="8"/>
      <c r="C127" s="9" t="str">
        <f aca="false">IF($B127="","",IF(AND(C127&lt;&gt;"",C127&lt;&gt;0,C127&lt;&gt;"UPC Not Found"),C127,IFERROR(INDEX('Product Master'!$B$2:$B$1000,MATCH($B127,'Product Master'!$A$2:$A$1000,0)),"UPC Not Found")))</f>
        <v/>
      </c>
      <c r="D127" s="9" t="str">
        <f aca="false">IF($B127="","",IF(AND(D127&lt;&gt;"",D127&lt;&gt;0,D127&lt;&gt;"UPC Not Found"),D127,IFERROR(INDEX('Product Master'!$C$2:$C$1000,MATCH($B127,'Product Master'!$A$2:$A$1000,0)),"UPC Not Found")))</f>
        <v/>
      </c>
      <c r="E127" s="9" t="str">
        <f aca="false">IF($B127="","",IF(AND(E127&lt;&gt;"",E127&lt;&gt;0,E127&lt;&gt;"UPC Not Found"),E127,IFERROR(INDEX('Product Master'!$D$2:$D$1000,MATCH($B127,'Product Master'!$A$2:$A$1000,0)),"UPC Not Found")))</f>
        <v/>
      </c>
      <c r="F127" s="10" t="str">
        <f aca="false">IF($B127="","",IF(AND(F127&lt;&gt;"",F127&lt;&gt;0,F127&lt;&gt;"UPC Not Found"),F127,IFERROR(INDEX('Product Master'!$E$2:$E$1000,MATCH($B127,'Product Master'!$A$2:$A$1000,0)),"UPC Not Found")))</f>
        <v/>
      </c>
      <c r="G127" s="11"/>
      <c r="H127" s="11"/>
      <c r="I127" s="10" t="str">
        <f aca="false">IF($B127="","",IF(AND(G127="",H127=""),"",G127+H127))</f>
        <v/>
      </c>
      <c r="J127" s="10" t="str">
        <f aca="false">IF(OR($B127="",I127="",F127="UPC Not Found"),"",I127-F127)</f>
        <v/>
      </c>
      <c r="K127" s="9" t="str">
        <f aca="false">IF($B127="","",IF(AND(G127="",H127=""),"Not Counted",IF(OR(G127="",H127=""),"Partially Counted",IF(J127=0,"Match",IF(J127&gt;0,"Overage","Shortage")))))</f>
        <v/>
      </c>
      <c r="L127" s="9" t="str">
        <f aca="false">IF($B127="","",IF(AND(L127&lt;&gt;"",L127&lt;&gt;0),L127,$B$4))</f>
        <v/>
      </c>
      <c r="M127" s="12"/>
      <c r="N127" s="12"/>
      <c r="O127" s="12"/>
    </row>
    <row r="128" customFormat="false" ht="15" hidden="false" customHeight="false" outlineLevel="0" collapsed="false">
      <c r="A128" s="7" t="str">
        <f aca="true">IF($B128="","",IF(AND(A128&lt;&gt;"",A128&lt;&gt;0),A128,TODAY()))</f>
        <v/>
      </c>
      <c r="B128" s="8"/>
      <c r="C128" s="9" t="str">
        <f aca="false">IF($B128="","",IF(AND(C128&lt;&gt;"",C128&lt;&gt;0,C128&lt;&gt;"UPC Not Found"),C128,IFERROR(INDEX('Product Master'!$B$2:$B$1000,MATCH($B128,'Product Master'!$A$2:$A$1000,0)),"UPC Not Found")))</f>
        <v/>
      </c>
      <c r="D128" s="9" t="str">
        <f aca="false">IF($B128="","",IF(AND(D128&lt;&gt;"",D128&lt;&gt;0,D128&lt;&gt;"UPC Not Found"),D128,IFERROR(INDEX('Product Master'!$C$2:$C$1000,MATCH($B128,'Product Master'!$A$2:$A$1000,0)),"UPC Not Found")))</f>
        <v/>
      </c>
      <c r="E128" s="9" t="str">
        <f aca="false">IF($B128="","",IF(AND(E128&lt;&gt;"",E128&lt;&gt;0,E128&lt;&gt;"UPC Not Found"),E128,IFERROR(INDEX('Product Master'!$D$2:$D$1000,MATCH($B128,'Product Master'!$A$2:$A$1000,0)),"UPC Not Found")))</f>
        <v/>
      </c>
      <c r="F128" s="10" t="str">
        <f aca="false">IF($B128="","",IF(AND(F128&lt;&gt;"",F128&lt;&gt;0,F128&lt;&gt;"UPC Not Found"),F128,IFERROR(INDEX('Product Master'!$E$2:$E$1000,MATCH($B128,'Product Master'!$A$2:$A$1000,0)),"UPC Not Found")))</f>
        <v/>
      </c>
      <c r="G128" s="11"/>
      <c r="H128" s="11"/>
      <c r="I128" s="10" t="str">
        <f aca="false">IF($B128="","",IF(AND(G128="",H128=""),"",G128+H128))</f>
        <v/>
      </c>
      <c r="J128" s="10" t="str">
        <f aca="false">IF(OR($B128="",I128="",F128="UPC Not Found"),"",I128-F128)</f>
        <v/>
      </c>
      <c r="K128" s="9" t="str">
        <f aca="false">IF($B128="","",IF(AND(G128="",H128=""),"Not Counted",IF(OR(G128="",H128=""),"Partially Counted",IF(J128=0,"Match",IF(J128&gt;0,"Overage","Shortage")))))</f>
        <v/>
      </c>
      <c r="L128" s="9" t="str">
        <f aca="false">IF($B128="","",IF(AND(L128&lt;&gt;"",L128&lt;&gt;0),L128,$B$4))</f>
        <v/>
      </c>
      <c r="M128" s="12"/>
      <c r="N128" s="12"/>
      <c r="O128" s="12"/>
    </row>
    <row r="129" customFormat="false" ht="15" hidden="false" customHeight="false" outlineLevel="0" collapsed="false">
      <c r="A129" s="7" t="str">
        <f aca="true">IF($B129="","",IF(AND(A129&lt;&gt;"",A129&lt;&gt;0),A129,TODAY()))</f>
        <v/>
      </c>
      <c r="B129" s="8"/>
      <c r="C129" s="9" t="str">
        <f aca="false">IF($B129="","",IF(AND(C129&lt;&gt;"",C129&lt;&gt;0,C129&lt;&gt;"UPC Not Found"),C129,IFERROR(INDEX('Product Master'!$B$2:$B$1000,MATCH($B129,'Product Master'!$A$2:$A$1000,0)),"UPC Not Found")))</f>
        <v/>
      </c>
      <c r="D129" s="9" t="str">
        <f aca="false">IF($B129="","",IF(AND(D129&lt;&gt;"",D129&lt;&gt;0,D129&lt;&gt;"UPC Not Found"),D129,IFERROR(INDEX('Product Master'!$C$2:$C$1000,MATCH($B129,'Product Master'!$A$2:$A$1000,0)),"UPC Not Found")))</f>
        <v/>
      </c>
      <c r="E129" s="9" t="str">
        <f aca="false">IF($B129="","",IF(AND(E129&lt;&gt;"",E129&lt;&gt;0,E129&lt;&gt;"UPC Not Found"),E129,IFERROR(INDEX('Product Master'!$D$2:$D$1000,MATCH($B129,'Product Master'!$A$2:$A$1000,0)),"UPC Not Found")))</f>
        <v/>
      </c>
      <c r="F129" s="10" t="str">
        <f aca="false">IF($B129="","",IF(AND(F129&lt;&gt;"",F129&lt;&gt;0,F129&lt;&gt;"UPC Not Found"),F129,IFERROR(INDEX('Product Master'!$E$2:$E$1000,MATCH($B129,'Product Master'!$A$2:$A$1000,0)),"UPC Not Found")))</f>
        <v/>
      </c>
      <c r="G129" s="11"/>
      <c r="H129" s="11"/>
      <c r="I129" s="10" t="str">
        <f aca="false">IF($B129="","",IF(AND(G129="",H129=""),"",G129+H129))</f>
        <v/>
      </c>
      <c r="J129" s="10" t="str">
        <f aca="false">IF(OR($B129="",I129="",F129="UPC Not Found"),"",I129-F129)</f>
        <v/>
      </c>
      <c r="K129" s="9" t="str">
        <f aca="false">IF($B129="","",IF(AND(G129="",H129=""),"Not Counted",IF(OR(G129="",H129=""),"Partially Counted",IF(J129=0,"Match",IF(J129&gt;0,"Overage","Shortage")))))</f>
        <v/>
      </c>
      <c r="L129" s="9" t="str">
        <f aca="false">IF($B129="","",IF(AND(L129&lt;&gt;"",L129&lt;&gt;0),L129,$B$4))</f>
        <v/>
      </c>
      <c r="M129" s="12"/>
      <c r="N129" s="12"/>
      <c r="O129" s="12"/>
    </row>
    <row r="130" customFormat="false" ht="15" hidden="false" customHeight="false" outlineLevel="0" collapsed="false">
      <c r="A130" s="7" t="str">
        <f aca="true">IF($B130="","",IF(AND(A130&lt;&gt;"",A130&lt;&gt;0),A130,TODAY()))</f>
        <v/>
      </c>
      <c r="B130" s="8"/>
      <c r="C130" s="9" t="str">
        <f aca="false">IF($B130="","",IF(AND(C130&lt;&gt;"",C130&lt;&gt;0,C130&lt;&gt;"UPC Not Found"),C130,IFERROR(INDEX('Product Master'!$B$2:$B$1000,MATCH($B130,'Product Master'!$A$2:$A$1000,0)),"UPC Not Found")))</f>
        <v/>
      </c>
      <c r="D130" s="9" t="str">
        <f aca="false">IF($B130="","",IF(AND(D130&lt;&gt;"",D130&lt;&gt;0,D130&lt;&gt;"UPC Not Found"),D130,IFERROR(INDEX('Product Master'!$C$2:$C$1000,MATCH($B130,'Product Master'!$A$2:$A$1000,0)),"UPC Not Found")))</f>
        <v/>
      </c>
      <c r="E130" s="9" t="str">
        <f aca="false">IF($B130="","",IF(AND(E130&lt;&gt;"",E130&lt;&gt;0,E130&lt;&gt;"UPC Not Found"),E130,IFERROR(INDEX('Product Master'!$D$2:$D$1000,MATCH($B130,'Product Master'!$A$2:$A$1000,0)),"UPC Not Found")))</f>
        <v/>
      </c>
      <c r="F130" s="10" t="str">
        <f aca="false">IF($B130="","",IF(AND(F130&lt;&gt;"",F130&lt;&gt;0,F130&lt;&gt;"UPC Not Found"),F130,IFERROR(INDEX('Product Master'!$E$2:$E$1000,MATCH($B130,'Product Master'!$A$2:$A$1000,0)),"UPC Not Found")))</f>
        <v/>
      </c>
      <c r="G130" s="11"/>
      <c r="H130" s="11"/>
      <c r="I130" s="10" t="str">
        <f aca="false">IF($B130="","",IF(AND(G130="",H130=""),"",G130+H130))</f>
        <v/>
      </c>
      <c r="J130" s="10" t="str">
        <f aca="false">IF(OR($B130="",I130="",F130="UPC Not Found"),"",I130-F130)</f>
        <v/>
      </c>
      <c r="K130" s="9" t="str">
        <f aca="false">IF($B130="","",IF(AND(G130="",H130=""),"Not Counted",IF(OR(G130="",H130=""),"Partially Counted",IF(J130=0,"Match",IF(J130&gt;0,"Overage","Shortage")))))</f>
        <v/>
      </c>
      <c r="L130" s="9" t="str">
        <f aca="false">IF($B130="","",IF(AND(L130&lt;&gt;"",L130&lt;&gt;0),L130,$B$4))</f>
        <v/>
      </c>
      <c r="M130" s="12"/>
      <c r="N130" s="12"/>
      <c r="O130" s="12"/>
    </row>
    <row r="131" customFormat="false" ht="15" hidden="false" customHeight="false" outlineLevel="0" collapsed="false">
      <c r="A131" s="7" t="str">
        <f aca="true">IF($B131="","",IF(AND(A131&lt;&gt;"",A131&lt;&gt;0),A131,TODAY()))</f>
        <v/>
      </c>
      <c r="B131" s="8"/>
      <c r="C131" s="9" t="str">
        <f aca="false">IF($B131="","",IF(AND(C131&lt;&gt;"",C131&lt;&gt;0,C131&lt;&gt;"UPC Not Found"),C131,IFERROR(INDEX('Product Master'!$B$2:$B$1000,MATCH($B131,'Product Master'!$A$2:$A$1000,0)),"UPC Not Found")))</f>
        <v/>
      </c>
      <c r="D131" s="9" t="str">
        <f aca="false">IF($B131="","",IF(AND(D131&lt;&gt;"",D131&lt;&gt;0,D131&lt;&gt;"UPC Not Found"),D131,IFERROR(INDEX('Product Master'!$C$2:$C$1000,MATCH($B131,'Product Master'!$A$2:$A$1000,0)),"UPC Not Found")))</f>
        <v/>
      </c>
      <c r="E131" s="9" t="str">
        <f aca="false">IF($B131="","",IF(AND(E131&lt;&gt;"",E131&lt;&gt;0,E131&lt;&gt;"UPC Not Found"),E131,IFERROR(INDEX('Product Master'!$D$2:$D$1000,MATCH($B131,'Product Master'!$A$2:$A$1000,0)),"UPC Not Found")))</f>
        <v/>
      </c>
      <c r="F131" s="10" t="str">
        <f aca="false">IF($B131="","",IF(AND(F131&lt;&gt;"",F131&lt;&gt;0,F131&lt;&gt;"UPC Not Found"),F131,IFERROR(INDEX('Product Master'!$E$2:$E$1000,MATCH($B131,'Product Master'!$A$2:$A$1000,0)),"UPC Not Found")))</f>
        <v/>
      </c>
      <c r="G131" s="11"/>
      <c r="H131" s="11"/>
      <c r="I131" s="10" t="str">
        <f aca="false">IF($B131="","",IF(AND(G131="",H131=""),"",G131+H131))</f>
        <v/>
      </c>
      <c r="J131" s="10" t="str">
        <f aca="false">IF(OR($B131="",I131="",F131="UPC Not Found"),"",I131-F131)</f>
        <v/>
      </c>
      <c r="K131" s="9" t="str">
        <f aca="false">IF($B131="","",IF(AND(G131="",H131=""),"Not Counted",IF(OR(G131="",H131=""),"Partially Counted",IF(J131=0,"Match",IF(J131&gt;0,"Overage","Shortage")))))</f>
        <v/>
      </c>
      <c r="L131" s="9" t="str">
        <f aca="false">IF($B131="","",IF(AND(L131&lt;&gt;"",L131&lt;&gt;0),L131,$B$4))</f>
        <v/>
      </c>
      <c r="M131" s="12"/>
      <c r="N131" s="12"/>
      <c r="O131" s="12"/>
    </row>
    <row r="132" customFormat="false" ht="15" hidden="false" customHeight="false" outlineLevel="0" collapsed="false">
      <c r="A132" s="7" t="str">
        <f aca="true">IF($B132="","",IF(AND(A132&lt;&gt;"",A132&lt;&gt;0),A132,TODAY()))</f>
        <v/>
      </c>
      <c r="B132" s="8"/>
      <c r="C132" s="9" t="str">
        <f aca="false">IF($B132="","",IF(AND(C132&lt;&gt;"",C132&lt;&gt;0,C132&lt;&gt;"UPC Not Found"),C132,IFERROR(INDEX('Product Master'!$B$2:$B$1000,MATCH($B132,'Product Master'!$A$2:$A$1000,0)),"UPC Not Found")))</f>
        <v/>
      </c>
      <c r="D132" s="9" t="str">
        <f aca="false">IF($B132="","",IF(AND(D132&lt;&gt;"",D132&lt;&gt;0,D132&lt;&gt;"UPC Not Found"),D132,IFERROR(INDEX('Product Master'!$C$2:$C$1000,MATCH($B132,'Product Master'!$A$2:$A$1000,0)),"UPC Not Found")))</f>
        <v/>
      </c>
      <c r="E132" s="9" t="str">
        <f aca="false">IF($B132="","",IF(AND(E132&lt;&gt;"",E132&lt;&gt;0,E132&lt;&gt;"UPC Not Found"),E132,IFERROR(INDEX('Product Master'!$D$2:$D$1000,MATCH($B132,'Product Master'!$A$2:$A$1000,0)),"UPC Not Found")))</f>
        <v/>
      </c>
      <c r="F132" s="10" t="str">
        <f aca="false">IF($B132="","",IF(AND(F132&lt;&gt;"",F132&lt;&gt;0,F132&lt;&gt;"UPC Not Found"),F132,IFERROR(INDEX('Product Master'!$E$2:$E$1000,MATCH($B132,'Product Master'!$A$2:$A$1000,0)),"UPC Not Found")))</f>
        <v/>
      </c>
      <c r="G132" s="11"/>
      <c r="H132" s="11"/>
      <c r="I132" s="10" t="str">
        <f aca="false">IF($B132="","",IF(AND(G132="",H132=""),"",G132+H132))</f>
        <v/>
      </c>
      <c r="J132" s="10" t="str">
        <f aca="false">IF(OR($B132="",I132="",F132="UPC Not Found"),"",I132-F132)</f>
        <v/>
      </c>
      <c r="K132" s="9" t="str">
        <f aca="false">IF($B132="","",IF(AND(G132="",H132=""),"Not Counted",IF(OR(G132="",H132=""),"Partially Counted",IF(J132=0,"Match",IF(J132&gt;0,"Overage","Shortage")))))</f>
        <v/>
      </c>
      <c r="L132" s="9" t="str">
        <f aca="false">IF($B132="","",IF(AND(L132&lt;&gt;"",L132&lt;&gt;0),L132,$B$4))</f>
        <v/>
      </c>
      <c r="M132" s="12"/>
      <c r="N132" s="12"/>
      <c r="O132" s="12"/>
    </row>
    <row r="133" customFormat="false" ht="15" hidden="false" customHeight="false" outlineLevel="0" collapsed="false">
      <c r="A133" s="7" t="str">
        <f aca="true">IF($B133="","",IF(AND(A133&lt;&gt;"",A133&lt;&gt;0),A133,TODAY()))</f>
        <v/>
      </c>
      <c r="B133" s="8"/>
      <c r="C133" s="9" t="str">
        <f aca="false">IF($B133="","",IF(AND(C133&lt;&gt;"",C133&lt;&gt;0,C133&lt;&gt;"UPC Not Found"),C133,IFERROR(INDEX('Product Master'!$B$2:$B$1000,MATCH($B133,'Product Master'!$A$2:$A$1000,0)),"UPC Not Found")))</f>
        <v/>
      </c>
      <c r="D133" s="9" t="str">
        <f aca="false">IF($B133="","",IF(AND(D133&lt;&gt;"",D133&lt;&gt;0,D133&lt;&gt;"UPC Not Found"),D133,IFERROR(INDEX('Product Master'!$C$2:$C$1000,MATCH($B133,'Product Master'!$A$2:$A$1000,0)),"UPC Not Found")))</f>
        <v/>
      </c>
      <c r="E133" s="9" t="str">
        <f aca="false">IF($B133="","",IF(AND(E133&lt;&gt;"",E133&lt;&gt;0,E133&lt;&gt;"UPC Not Found"),E133,IFERROR(INDEX('Product Master'!$D$2:$D$1000,MATCH($B133,'Product Master'!$A$2:$A$1000,0)),"UPC Not Found")))</f>
        <v/>
      </c>
      <c r="F133" s="10" t="str">
        <f aca="false">IF($B133="","",IF(AND(F133&lt;&gt;"",F133&lt;&gt;0,F133&lt;&gt;"UPC Not Found"),F133,IFERROR(INDEX('Product Master'!$E$2:$E$1000,MATCH($B133,'Product Master'!$A$2:$A$1000,0)),"UPC Not Found")))</f>
        <v/>
      </c>
      <c r="G133" s="11"/>
      <c r="H133" s="11"/>
      <c r="I133" s="10" t="str">
        <f aca="false">IF($B133="","",IF(AND(G133="",H133=""),"",G133+H133))</f>
        <v/>
      </c>
      <c r="J133" s="10" t="str">
        <f aca="false">IF(OR($B133="",I133="",F133="UPC Not Found"),"",I133-F133)</f>
        <v/>
      </c>
      <c r="K133" s="9" t="str">
        <f aca="false">IF($B133="","",IF(AND(G133="",H133=""),"Not Counted",IF(OR(G133="",H133=""),"Partially Counted",IF(J133=0,"Match",IF(J133&gt;0,"Overage","Shortage")))))</f>
        <v/>
      </c>
      <c r="L133" s="9" t="str">
        <f aca="false">IF($B133="","",IF(AND(L133&lt;&gt;"",L133&lt;&gt;0),L133,$B$4))</f>
        <v/>
      </c>
      <c r="M133" s="12"/>
      <c r="N133" s="12"/>
      <c r="O133" s="12"/>
    </row>
    <row r="134" customFormat="false" ht="15" hidden="false" customHeight="false" outlineLevel="0" collapsed="false">
      <c r="A134" s="7" t="str">
        <f aca="true">IF($B134="","",IF(AND(A134&lt;&gt;"",A134&lt;&gt;0),A134,TODAY()))</f>
        <v/>
      </c>
      <c r="B134" s="8"/>
      <c r="C134" s="9" t="str">
        <f aca="false">IF($B134="","",IF(AND(C134&lt;&gt;"",C134&lt;&gt;0,C134&lt;&gt;"UPC Not Found"),C134,IFERROR(INDEX('Product Master'!$B$2:$B$1000,MATCH($B134,'Product Master'!$A$2:$A$1000,0)),"UPC Not Found")))</f>
        <v/>
      </c>
      <c r="D134" s="9" t="str">
        <f aca="false">IF($B134="","",IF(AND(D134&lt;&gt;"",D134&lt;&gt;0,D134&lt;&gt;"UPC Not Found"),D134,IFERROR(INDEX('Product Master'!$C$2:$C$1000,MATCH($B134,'Product Master'!$A$2:$A$1000,0)),"UPC Not Found")))</f>
        <v/>
      </c>
      <c r="E134" s="9" t="str">
        <f aca="false">IF($B134="","",IF(AND(E134&lt;&gt;"",E134&lt;&gt;0,E134&lt;&gt;"UPC Not Found"),E134,IFERROR(INDEX('Product Master'!$D$2:$D$1000,MATCH($B134,'Product Master'!$A$2:$A$1000,0)),"UPC Not Found")))</f>
        <v/>
      </c>
      <c r="F134" s="10" t="str">
        <f aca="false">IF($B134="","",IF(AND(F134&lt;&gt;"",F134&lt;&gt;0,F134&lt;&gt;"UPC Not Found"),F134,IFERROR(INDEX('Product Master'!$E$2:$E$1000,MATCH($B134,'Product Master'!$A$2:$A$1000,0)),"UPC Not Found")))</f>
        <v/>
      </c>
      <c r="G134" s="11"/>
      <c r="H134" s="11"/>
      <c r="I134" s="10" t="str">
        <f aca="false">IF($B134="","",IF(AND(G134="",H134=""),"",G134+H134))</f>
        <v/>
      </c>
      <c r="J134" s="10" t="str">
        <f aca="false">IF(OR($B134="",I134="",F134="UPC Not Found"),"",I134-F134)</f>
        <v/>
      </c>
      <c r="K134" s="9" t="str">
        <f aca="false">IF($B134="","",IF(AND(G134="",H134=""),"Not Counted",IF(OR(G134="",H134=""),"Partially Counted",IF(J134=0,"Match",IF(J134&gt;0,"Overage","Shortage")))))</f>
        <v/>
      </c>
      <c r="L134" s="9" t="str">
        <f aca="false">IF($B134="","",IF(AND(L134&lt;&gt;"",L134&lt;&gt;0),L134,$B$4))</f>
        <v/>
      </c>
      <c r="M134" s="12"/>
      <c r="N134" s="12"/>
      <c r="O134" s="12"/>
    </row>
    <row r="135" customFormat="false" ht="15" hidden="false" customHeight="false" outlineLevel="0" collapsed="false">
      <c r="A135" s="7" t="str">
        <f aca="true">IF($B135="","",IF(AND(A135&lt;&gt;"",A135&lt;&gt;0),A135,TODAY()))</f>
        <v/>
      </c>
      <c r="B135" s="8"/>
      <c r="C135" s="9" t="str">
        <f aca="false">IF($B135="","",IF(AND(C135&lt;&gt;"",C135&lt;&gt;0,C135&lt;&gt;"UPC Not Found"),C135,IFERROR(INDEX('Product Master'!$B$2:$B$1000,MATCH($B135,'Product Master'!$A$2:$A$1000,0)),"UPC Not Found")))</f>
        <v/>
      </c>
      <c r="D135" s="9" t="str">
        <f aca="false">IF($B135="","",IF(AND(D135&lt;&gt;"",D135&lt;&gt;0,D135&lt;&gt;"UPC Not Found"),D135,IFERROR(INDEX('Product Master'!$C$2:$C$1000,MATCH($B135,'Product Master'!$A$2:$A$1000,0)),"UPC Not Found")))</f>
        <v/>
      </c>
      <c r="E135" s="9" t="str">
        <f aca="false">IF($B135="","",IF(AND(E135&lt;&gt;"",E135&lt;&gt;0,E135&lt;&gt;"UPC Not Found"),E135,IFERROR(INDEX('Product Master'!$D$2:$D$1000,MATCH($B135,'Product Master'!$A$2:$A$1000,0)),"UPC Not Found")))</f>
        <v/>
      </c>
      <c r="F135" s="10" t="str">
        <f aca="false">IF($B135="","",IF(AND(F135&lt;&gt;"",F135&lt;&gt;0,F135&lt;&gt;"UPC Not Found"),F135,IFERROR(INDEX('Product Master'!$E$2:$E$1000,MATCH($B135,'Product Master'!$A$2:$A$1000,0)),"UPC Not Found")))</f>
        <v/>
      </c>
      <c r="G135" s="11"/>
      <c r="H135" s="11"/>
      <c r="I135" s="10" t="str">
        <f aca="false">IF($B135="","",IF(AND(G135="",H135=""),"",G135+H135))</f>
        <v/>
      </c>
      <c r="J135" s="10" t="str">
        <f aca="false">IF(OR($B135="",I135="",F135="UPC Not Found"),"",I135-F135)</f>
        <v/>
      </c>
      <c r="K135" s="9" t="str">
        <f aca="false">IF($B135="","",IF(AND(G135="",H135=""),"Not Counted",IF(OR(G135="",H135=""),"Partially Counted",IF(J135=0,"Match",IF(J135&gt;0,"Overage","Shortage")))))</f>
        <v/>
      </c>
      <c r="L135" s="9" t="str">
        <f aca="false">IF($B135="","",IF(AND(L135&lt;&gt;"",L135&lt;&gt;0),L135,$B$4))</f>
        <v/>
      </c>
      <c r="M135" s="12"/>
      <c r="N135" s="12"/>
      <c r="O135" s="12"/>
    </row>
    <row r="136" customFormat="false" ht="15" hidden="false" customHeight="false" outlineLevel="0" collapsed="false">
      <c r="A136" s="7" t="str">
        <f aca="true">IF($B136="","",IF(AND(A136&lt;&gt;"",A136&lt;&gt;0),A136,TODAY()))</f>
        <v/>
      </c>
      <c r="B136" s="8"/>
      <c r="C136" s="9" t="str">
        <f aca="false">IF($B136="","",IF(AND(C136&lt;&gt;"",C136&lt;&gt;0,C136&lt;&gt;"UPC Not Found"),C136,IFERROR(INDEX('Product Master'!$B$2:$B$1000,MATCH($B136,'Product Master'!$A$2:$A$1000,0)),"UPC Not Found")))</f>
        <v/>
      </c>
      <c r="D136" s="9" t="str">
        <f aca="false">IF($B136="","",IF(AND(D136&lt;&gt;"",D136&lt;&gt;0,D136&lt;&gt;"UPC Not Found"),D136,IFERROR(INDEX('Product Master'!$C$2:$C$1000,MATCH($B136,'Product Master'!$A$2:$A$1000,0)),"UPC Not Found")))</f>
        <v/>
      </c>
      <c r="E136" s="9" t="str">
        <f aca="false">IF($B136="","",IF(AND(E136&lt;&gt;"",E136&lt;&gt;0,E136&lt;&gt;"UPC Not Found"),E136,IFERROR(INDEX('Product Master'!$D$2:$D$1000,MATCH($B136,'Product Master'!$A$2:$A$1000,0)),"UPC Not Found")))</f>
        <v/>
      </c>
      <c r="F136" s="10" t="str">
        <f aca="false">IF($B136="","",IF(AND(F136&lt;&gt;"",F136&lt;&gt;0,F136&lt;&gt;"UPC Not Found"),F136,IFERROR(INDEX('Product Master'!$E$2:$E$1000,MATCH($B136,'Product Master'!$A$2:$A$1000,0)),"UPC Not Found")))</f>
        <v/>
      </c>
      <c r="G136" s="11"/>
      <c r="H136" s="11"/>
      <c r="I136" s="10" t="str">
        <f aca="false">IF($B136="","",IF(AND(G136="",H136=""),"",G136+H136))</f>
        <v/>
      </c>
      <c r="J136" s="10" t="str">
        <f aca="false">IF(OR($B136="",I136="",F136="UPC Not Found"),"",I136-F136)</f>
        <v/>
      </c>
      <c r="K136" s="9" t="str">
        <f aca="false">IF($B136="","",IF(AND(G136="",H136=""),"Not Counted",IF(OR(G136="",H136=""),"Partially Counted",IF(J136=0,"Match",IF(J136&gt;0,"Overage","Shortage")))))</f>
        <v/>
      </c>
      <c r="L136" s="9" t="str">
        <f aca="false">IF($B136="","",IF(AND(L136&lt;&gt;"",L136&lt;&gt;0),L136,$B$4))</f>
        <v/>
      </c>
      <c r="M136" s="12"/>
      <c r="N136" s="12"/>
      <c r="O136" s="12"/>
    </row>
    <row r="137" customFormat="false" ht="15" hidden="false" customHeight="false" outlineLevel="0" collapsed="false">
      <c r="A137" s="7" t="str">
        <f aca="true">IF($B137="","",IF(AND(A137&lt;&gt;"",A137&lt;&gt;0),A137,TODAY()))</f>
        <v/>
      </c>
      <c r="B137" s="8"/>
      <c r="C137" s="9" t="str">
        <f aca="false">IF($B137="","",IF(AND(C137&lt;&gt;"",C137&lt;&gt;0,C137&lt;&gt;"UPC Not Found"),C137,IFERROR(INDEX('Product Master'!$B$2:$B$1000,MATCH($B137,'Product Master'!$A$2:$A$1000,0)),"UPC Not Found")))</f>
        <v/>
      </c>
      <c r="D137" s="9" t="str">
        <f aca="false">IF($B137="","",IF(AND(D137&lt;&gt;"",D137&lt;&gt;0,D137&lt;&gt;"UPC Not Found"),D137,IFERROR(INDEX('Product Master'!$C$2:$C$1000,MATCH($B137,'Product Master'!$A$2:$A$1000,0)),"UPC Not Found")))</f>
        <v/>
      </c>
      <c r="E137" s="9" t="str">
        <f aca="false">IF($B137="","",IF(AND(E137&lt;&gt;"",E137&lt;&gt;0,E137&lt;&gt;"UPC Not Found"),E137,IFERROR(INDEX('Product Master'!$D$2:$D$1000,MATCH($B137,'Product Master'!$A$2:$A$1000,0)),"UPC Not Found")))</f>
        <v/>
      </c>
      <c r="F137" s="10" t="str">
        <f aca="false">IF($B137="","",IF(AND(F137&lt;&gt;"",F137&lt;&gt;0,F137&lt;&gt;"UPC Not Found"),F137,IFERROR(INDEX('Product Master'!$E$2:$E$1000,MATCH($B137,'Product Master'!$A$2:$A$1000,0)),"UPC Not Found")))</f>
        <v/>
      </c>
      <c r="G137" s="11"/>
      <c r="H137" s="11"/>
      <c r="I137" s="10" t="str">
        <f aca="false">IF($B137="","",IF(AND(G137="",H137=""),"",G137+H137))</f>
        <v/>
      </c>
      <c r="J137" s="10" t="str">
        <f aca="false">IF(OR($B137="",I137="",F137="UPC Not Found"),"",I137-F137)</f>
        <v/>
      </c>
      <c r="K137" s="9" t="str">
        <f aca="false">IF($B137="","",IF(AND(G137="",H137=""),"Not Counted",IF(OR(G137="",H137=""),"Partially Counted",IF(J137=0,"Match",IF(J137&gt;0,"Overage","Shortage")))))</f>
        <v/>
      </c>
      <c r="L137" s="9" t="str">
        <f aca="false">IF($B137="","",IF(AND(L137&lt;&gt;"",L137&lt;&gt;0),L137,$B$4))</f>
        <v/>
      </c>
      <c r="M137" s="12"/>
      <c r="N137" s="12"/>
      <c r="O137" s="12"/>
    </row>
    <row r="138" customFormat="false" ht="15" hidden="false" customHeight="false" outlineLevel="0" collapsed="false">
      <c r="A138" s="7" t="str">
        <f aca="true">IF($B138="","",IF(AND(A138&lt;&gt;"",A138&lt;&gt;0),A138,TODAY()))</f>
        <v/>
      </c>
      <c r="B138" s="8"/>
      <c r="C138" s="9" t="str">
        <f aca="false">IF($B138="","",IF(AND(C138&lt;&gt;"",C138&lt;&gt;0,C138&lt;&gt;"UPC Not Found"),C138,IFERROR(INDEX('Product Master'!$B$2:$B$1000,MATCH($B138,'Product Master'!$A$2:$A$1000,0)),"UPC Not Found")))</f>
        <v/>
      </c>
      <c r="D138" s="9" t="str">
        <f aca="false">IF($B138="","",IF(AND(D138&lt;&gt;"",D138&lt;&gt;0,D138&lt;&gt;"UPC Not Found"),D138,IFERROR(INDEX('Product Master'!$C$2:$C$1000,MATCH($B138,'Product Master'!$A$2:$A$1000,0)),"UPC Not Found")))</f>
        <v/>
      </c>
      <c r="E138" s="9" t="str">
        <f aca="false">IF($B138="","",IF(AND(E138&lt;&gt;"",E138&lt;&gt;0,E138&lt;&gt;"UPC Not Found"),E138,IFERROR(INDEX('Product Master'!$D$2:$D$1000,MATCH($B138,'Product Master'!$A$2:$A$1000,0)),"UPC Not Found")))</f>
        <v/>
      </c>
      <c r="F138" s="10" t="str">
        <f aca="false">IF($B138="","",IF(AND(F138&lt;&gt;"",F138&lt;&gt;0,F138&lt;&gt;"UPC Not Found"),F138,IFERROR(INDEX('Product Master'!$E$2:$E$1000,MATCH($B138,'Product Master'!$A$2:$A$1000,0)),"UPC Not Found")))</f>
        <v/>
      </c>
      <c r="G138" s="11"/>
      <c r="H138" s="11"/>
      <c r="I138" s="10" t="str">
        <f aca="false">IF($B138="","",IF(AND(G138="",H138=""),"",G138+H138))</f>
        <v/>
      </c>
      <c r="J138" s="10" t="str">
        <f aca="false">IF(OR($B138="",I138="",F138="UPC Not Found"),"",I138-F138)</f>
        <v/>
      </c>
      <c r="K138" s="9" t="str">
        <f aca="false">IF($B138="","",IF(AND(G138="",H138=""),"Not Counted",IF(OR(G138="",H138=""),"Partially Counted",IF(J138=0,"Match",IF(J138&gt;0,"Overage","Shortage")))))</f>
        <v/>
      </c>
      <c r="L138" s="9" t="str">
        <f aca="false">IF($B138="","",IF(AND(L138&lt;&gt;"",L138&lt;&gt;0),L138,$B$4))</f>
        <v/>
      </c>
      <c r="M138" s="12"/>
      <c r="N138" s="12"/>
      <c r="O138" s="12"/>
    </row>
    <row r="139" customFormat="false" ht="15" hidden="false" customHeight="false" outlineLevel="0" collapsed="false">
      <c r="A139" s="7" t="str">
        <f aca="true">IF($B139="","",IF(AND(A139&lt;&gt;"",A139&lt;&gt;0),A139,TODAY()))</f>
        <v/>
      </c>
      <c r="B139" s="8"/>
      <c r="C139" s="9" t="str">
        <f aca="false">IF($B139="","",IF(AND(C139&lt;&gt;"",C139&lt;&gt;0,C139&lt;&gt;"UPC Not Found"),C139,IFERROR(INDEX('Product Master'!$B$2:$B$1000,MATCH($B139,'Product Master'!$A$2:$A$1000,0)),"UPC Not Found")))</f>
        <v/>
      </c>
      <c r="D139" s="9" t="str">
        <f aca="false">IF($B139="","",IF(AND(D139&lt;&gt;"",D139&lt;&gt;0,D139&lt;&gt;"UPC Not Found"),D139,IFERROR(INDEX('Product Master'!$C$2:$C$1000,MATCH($B139,'Product Master'!$A$2:$A$1000,0)),"UPC Not Found")))</f>
        <v/>
      </c>
      <c r="E139" s="9" t="str">
        <f aca="false">IF($B139="","",IF(AND(E139&lt;&gt;"",E139&lt;&gt;0,E139&lt;&gt;"UPC Not Found"),E139,IFERROR(INDEX('Product Master'!$D$2:$D$1000,MATCH($B139,'Product Master'!$A$2:$A$1000,0)),"UPC Not Found")))</f>
        <v/>
      </c>
      <c r="F139" s="10" t="str">
        <f aca="false">IF($B139="","",IF(AND(F139&lt;&gt;"",F139&lt;&gt;0,F139&lt;&gt;"UPC Not Found"),F139,IFERROR(INDEX('Product Master'!$E$2:$E$1000,MATCH($B139,'Product Master'!$A$2:$A$1000,0)),"UPC Not Found")))</f>
        <v/>
      </c>
      <c r="G139" s="11"/>
      <c r="H139" s="11"/>
      <c r="I139" s="10" t="str">
        <f aca="false">IF($B139="","",IF(AND(G139="",H139=""),"",G139+H139))</f>
        <v/>
      </c>
      <c r="J139" s="10" t="str">
        <f aca="false">IF(OR($B139="",I139="",F139="UPC Not Found"),"",I139-F139)</f>
        <v/>
      </c>
      <c r="K139" s="9" t="str">
        <f aca="false">IF($B139="","",IF(AND(G139="",H139=""),"Not Counted",IF(OR(G139="",H139=""),"Partially Counted",IF(J139=0,"Match",IF(J139&gt;0,"Overage","Shortage")))))</f>
        <v/>
      </c>
      <c r="L139" s="9" t="str">
        <f aca="false">IF($B139="","",IF(AND(L139&lt;&gt;"",L139&lt;&gt;0),L139,$B$4))</f>
        <v/>
      </c>
      <c r="M139" s="12"/>
      <c r="N139" s="12"/>
      <c r="O139" s="12"/>
    </row>
    <row r="140" customFormat="false" ht="15" hidden="false" customHeight="false" outlineLevel="0" collapsed="false">
      <c r="A140" s="7" t="str">
        <f aca="true">IF($B140="","",IF(AND(A140&lt;&gt;"",A140&lt;&gt;0),A140,TODAY()))</f>
        <v/>
      </c>
      <c r="B140" s="8"/>
      <c r="C140" s="9" t="str">
        <f aca="false">IF($B140="","",IF(AND(C140&lt;&gt;"",C140&lt;&gt;0,C140&lt;&gt;"UPC Not Found"),C140,IFERROR(INDEX('Product Master'!$B$2:$B$1000,MATCH($B140,'Product Master'!$A$2:$A$1000,0)),"UPC Not Found")))</f>
        <v/>
      </c>
      <c r="D140" s="9" t="str">
        <f aca="false">IF($B140="","",IF(AND(D140&lt;&gt;"",D140&lt;&gt;0,D140&lt;&gt;"UPC Not Found"),D140,IFERROR(INDEX('Product Master'!$C$2:$C$1000,MATCH($B140,'Product Master'!$A$2:$A$1000,0)),"UPC Not Found")))</f>
        <v/>
      </c>
      <c r="E140" s="9" t="str">
        <f aca="false">IF($B140="","",IF(AND(E140&lt;&gt;"",E140&lt;&gt;0,E140&lt;&gt;"UPC Not Found"),E140,IFERROR(INDEX('Product Master'!$D$2:$D$1000,MATCH($B140,'Product Master'!$A$2:$A$1000,0)),"UPC Not Found")))</f>
        <v/>
      </c>
      <c r="F140" s="10" t="str">
        <f aca="false">IF($B140="","",IF(AND(F140&lt;&gt;"",F140&lt;&gt;0,F140&lt;&gt;"UPC Not Found"),F140,IFERROR(INDEX('Product Master'!$E$2:$E$1000,MATCH($B140,'Product Master'!$A$2:$A$1000,0)),"UPC Not Found")))</f>
        <v/>
      </c>
      <c r="G140" s="11"/>
      <c r="H140" s="11"/>
      <c r="I140" s="10" t="str">
        <f aca="false">IF($B140="","",IF(AND(G140="",H140=""),"",G140+H140))</f>
        <v/>
      </c>
      <c r="J140" s="10" t="str">
        <f aca="false">IF(OR($B140="",I140="",F140="UPC Not Found"),"",I140-F140)</f>
        <v/>
      </c>
      <c r="K140" s="9" t="str">
        <f aca="false">IF($B140="","",IF(AND(G140="",H140=""),"Not Counted",IF(OR(G140="",H140=""),"Partially Counted",IF(J140=0,"Match",IF(J140&gt;0,"Overage","Shortage")))))</f>
        <v/>
      </c>
      <c r="L140" s="9" t="str">
        <f aca="false">IF($B140="","",IF(AND(L140&lt;&gt;"",L140&lt;&gt;0),L140,$B$4))</f>
        <v/>
      </c>
      <c r="M140" s="12"/>
      <c r="N140" s="12"/>
      <c r="O140" s="12"/>
    </row>
    <row r="141" customFormat="false" ht="15" hidden="false" customHeight="false" outlineLevel="0" collapsed="false">
      <c r="A141" s="7" t="str">
        <f aca="true">IF($B141="","",IF(AND(A141&lt;&gt;"",A141&lt;&gt;0),A141,TODAY()))</f>
        <v/>
      </c>
      <c r="B141" s="8"/>
      <c r="C141" s="9" t="str">
        <f aca="false">IF($B141="","",IF(AND(C141&lt;&gt;"",C141&lt;&gt;0,C141&lt;&gt;"UPC Not Found"),C141,IFERROR(INDEX('Product Master'!$B$2:$B$1000,MATCH($B141,'Product Master'!$A$2:$A$1000,0)),"UPC Not Found")))</f>
        <v/>
      </c>
      <c r="D141" s="9" t="str">
        <f aca="false">IF($B141="","",IF(AND(D141&lt;&gt;"",D141&lt;&gt;0,D141&lt;&gt;"UPC Not Found"),D141,IFERROR(INDEX('Product Master'!$C$2:$C$1000,MATCH($B141,'Product Master'!$A$2:$A$1000,0)),"UPC Not Found")))</f>
        <v/>
      </c>
      <c r="E141" s="9" t="str">
        <f aca="false">IF($B141="","",IF(AND(E141&lt;&gt;"",E141&lt;&gt;0,E141&lt;&gt;"UPC Not Found"),E141,IFERROR(INDEX('Product Master'!$D$2:$D$1000,MATCH($B141,'Product Master'!$A$2:$A$1000,0)),"UPC Not Found")))</f>
        <v/>
      </c>
      <c r="F141" s="10" t="str">
        <f aca="false">IF($B141="","",IF(AND(F141&lt;&gt;"",F141&lt;&gt;0,F141&lt;&gt;"UPC Not Found"),F141,IFERROR(INDEX('Product Master'!$E$2:$E$1000,MATCH($B141,'Product Master'!$A$2:$A$1000,0)),"UPC Not Found")))</f>
        <v/>
      </c>
      <c r="G141" s="11"/>
      <c r="H141" s="11"/>
      <c r="I141" s="10" t="str">
        <f aca="false">IF($B141="","",IF(AND(G141="",H141=""),"",G141+H141))</f>
        <v/>
      </c>
      <c r="J141" s="10" t="str">
        <f aca="false">IF(OR($B141="",I141="",F141="UPC Not Found"),"",I141-F141)</f>
        <v/>
      </c>
      <c r="K141" s="9" t="str">
        <f aca="false">IF($B141="","",IF(AND(G141="",H141=""),"Not Counted",IF(OR(G141="",H141=""),"Partially Counted",IF(J141=0,"Match",IF(J141&gt;0,"Overage","Shortage")))))</f>
        <v/>
      </c>
      <c r="L141" s="9" t="str">
        <f aca="false">IF($B141="","",IF(AND(L141&lt;&gt;"",L141&lt;&gt;0),L141,$B$4))</f>
        <v/>
      </c>
      <c r="M141" s="12"/>
      <c r="N141" s="12"/>
      <c r="O141" s="12"/>
    </row>
    <row r="142" customFormat="false" ht="15" hidden="false" customHeight="false" outlineLevel="0" collapsed="false">
      <c r="A142" s="7" t="str">
        <f aca="true">IF($B142="","",IF(AND(A142&lt;&gt;"",A142&lt;&gt;0),A142,TODAY()))</f>
        <v/>
      </c>
      <c r="B142" s="8"/>
      <c r="C142" s="9" t="str">
        <f aca="false">IF($B142="","",IF(AND(C142&lt;&gt;"",C142&lt;&gt;0,C142&lt;&gt;"UPC Not Found"),C142,IFERROR(INDEX('Product Master'!$B$2:$B$1000,MATCH($B142,'Product Master'!$A$2:$A$1000,0)),"UPC Not Found")))</f>
        <v/>
      </c>
      <c r="D142" s="9" t="str">
        <f aca="false">IF($B142="","",IF(AND(D142&lt;&gt;"",D142&lt;&gt;0,D142&lt;&gt;"UPC Not Found"),D142,IFERROR(INDEX('Product Master'!$C$2:$C$1000,MATCH($B142,'Product Master'!$A$2:$A$1000,0)),"UPC Not Found")))</f>
        <v/>
      </c>
      <c r="E142" s="9" t="str">
        <f aca="false">IF($B142="","",IF(AND(E142&lt;&gt;"",E142&lt;&gt;0,E142&lt;&gt;"UPC Not Found"),E142,IFERROR(INDEX('Product Master'!$D$2:$D$1000,MATCH($B142,'Product Master'!$A$2:$A$1000,0)),"UPC Not Found")))</f>
        <v/>
      </c>
      <c r="F142" s="10" t="str">
        <f aca="false">IF($B142="","",IF(AND(F142&lt;&gt;"",F142&lt;&gt;0,F142&lt;&gt;"UPC Not Found"),F142,IFERROR(INDEX('Product Master'!$E$2:$E$1000,MATCH($B142,'Product Master'!$A$2:$A$1000,0)),"UPC Not Found")))</f>
        <v/>
      </c>
      <c r="G142" s="11"/>
      <c r="H142" s="11"/>
      <c r="I142" s="10" t="str">
        <f aca="false">IF($B142="","",IF(AND(G142="",H142=""),"",G142+H142))</f>
        <v/>
      </c>
      <c r="J142" s="10" t="str">
        <f aca="false">IF(OR($B142="",I142="",F142="UPC Not Found"),"",I142-F142)</f>
        <v/>
      </c>
      <c r="K142" s="9" t="str">
        <f aca="false">IF($B142="","",IF(AND(G142="",H142=""),"Not Counted",IF(OR(G142="",H142=""),"Partially Counted",IF(J142=0,"Match",IF(J142&gt;0,"Overage","Shortage")))))</f>
        <v/>
      </c>
      <c r="L142" s="9" t="str">
        <f aca="false">IF($B142="","",IF(AND(L142&lt;&gt;"",L142&lt;&gt;0),L142,$B$4))</f>
        <v/>
      </c>
      <c r="M142" s="12"/>
      <c r="N142" s="12"/>
      <c r="O142" s="12"/>
    </row>
    <row r="143" customFormat="false" ht="15" hidden="false" customHeight="false" outlineLevel="0" collapsed="false">
      <c r="A143" s="7" t="str">
        <f aca="true">IF($B143="","",IF(AND(A143&lt;&gt;"",A143&lt;&gt;0),A143,TODAY()))</f>
        <v/>
      </c>
      <c r="B143" s="8"/>
      <c r="C143" s="9" t="str">
        <f aca="false">IF($B143="","",IF(AND(C143&lt;&gt;"",C143&lt;&gt;0,C143&lt;&gt;"UPC Not Found"),C143,IFERROR(INDEX('Product Master'!$B$2:$B$1000,MATCH($B143,'Product Master'!$A$2:$A$1000,0)),"UPC Not Found")))</f>
        <v/>
      </c>
      <c r="D143" s="9" t="str">
        <f aca="false">IF($B143="","",IF(AND(D143&lt;&gt;"",D143&lt;&gt;0,D143&lt;&gt;"UPC Not Found"),D143,IFERROR(INDEX('Product Master'!$C$2:$C$1000,MATCH($B143,'Product Master'!$A$2:$A$1000,0)),"UPC Not Found")))</f>
        <v/>
      </c>
      <c r="E143" s="9" t="str">
        <f aca="false">IF($B143="","",IF(AND(E143&lt;&gt;"",E143&lt;&gt;0,E143&lt;&gt;"UPC Not Found"),E143,IFERROR(INDEX('Product Master'!$D$2:$D$1000,MATCH($B143,'Product Master'!$A$2:$A$1000,0)),"UPC Not Found")))</f>
        <v/>
      </c>
      <c r="F143" s="10" t="str">
        <f aca="false">IF($B143="","",IF(AND(F143&lt;&gt;"",F143&lt;&gt;0,F143&lt;&gt;"UPC Not Found"),F143,IFERROR(INDEX('Product Master'!$E$2:$E$1000,MATCH($B143,'Product Master'!$A$2:$A$1000,0)),"UPC Not Found")))</f>
        <v/>
      </c>
      <c r="G143" s="11"/>
      <c r="H143" s="11"/>
      <c r="I143" s="10" t="str">
        <f aca="false">IF($B143="","",IF(AND(G143="",H143=""),"",G143+H143))</f>
        <v/>
      </c>
      <c r="J143" s="10" t="str">
        <f aca="false">IF(OR($B143="",I143="",F143="UPC Not Found"),"",I143-F143)</f>
        <v/>
      </c>
      <c r="K143" s="9" t="str">
        <f aca="false">IF($B143="","",IF(AND(G143="",H143=""),"Not Counted",IF(OR(G143="",H143=""),"Partially Counted",IF(J143=0,"Match",IF(J143&gt;0,"Overage","Shortage")))))</f>
        <v/>
      </c>
      <c r="L143" s="9" t="str">
        <f aca="false">IF($B143="","",IF(AND(L143&lt;&gt;"",L143&lt;&gt;0),L143,$B$4))</f>
        <v/>
      </c>
      <c r="M143" s="12"/>
      <c r="N143" s="12"/>
      <c r="O143" s="12"/>
    </row>
    <row r="144" customFormat="false" ht="15" hidden="false" customHeight="false" outlineLevel="0" collapsed="false">
      <c r="A144" s="7" t="str">
        <f aca="true">IF($B144="","",IF(AND(A144&lt;&gt;"",A144&lt;&gt;0),A144,TODAY()))</f>
        <v/>
      </c>
      <c r="B144" s="8"/>
      <c r="C144" s="9" t="str">
        <f aca="false">IF($B144="","",IF(AND(C144&lt;&gt;"",C144&lt;&gt;0,C144&lt;&gt;"UPC Not Found"),C144,IFERROR(INDEX('Product Master'!$B$2:$B$1000,MATCH($B144,'Product Master'!$A$2:$A$1000,0)),"UPC Not Found")))</f>
        <v/>
      </c>
      <c r="D144" s="9" t="str">
        <f aca="false">IF($B144="","",IF(AND(D144&lt;&gt;"",D144&lt;&gt;0,D144&lt;&gt;"UPC Not Found"),D144,IFERROR(INDEX('Product Master'!$C$2:$C$1000,MATCH($B144,'Product Master'!$A$2:$A$1000,0)),"UPC Not Found")))</f>
        <v/>
      </c>
      <c r="E144" s="9" t="str">
        <f aca="false">IF($B144="","",IF(AND(E144&lt;&gt;"",E144&lt;&gt;0,E144&lt;&gt;"UPC Not Found"),E144,IFERROR(INDEX('Product Master'!$D$2:$D$1000,MATCH($B144,'Product Master'!$A$2:$A$1000,0)),"UPC Not Found")))</f>
        <v/>
      </c>
      <c r="F144" s="10" t="str">
        <f aca="false">IF($B144="","",IF(AND(F144&lt;&gt;"",F144&lt;&gt;0,F144&lt;&gt;"UPC Not Found"),F144,IFERROR(INDEX('Product Master'!$E$2:$E$1000,MATCH($B144,'Product Master'!$A$2:$A$1000,0)),"UPC Not Found")))</f>
        <v/>
      </c>
      <c r="G144" s="11"/>
      <c r="H144" s="11"/>
      <c r="I144" s="10" t="str">
        <f aca="false">IF($B144="","",IF(AND(G144="",H144=""),"",G144+H144))</f>
        <v/>
      </c>
      <c r="J144" s="10" t="str">
        <f aca="false">IF(OR($B144="",I144="",F144="UPC Not Found"),"",I144-F144)</f>
        <v/>
      </c>
      <c r="K144" s="9" t="str">
        <f aca="false">IF($B144="","",IF(AND(G144="",H144=""),"Not Counted",IF(OR(G144="",H144=""),"Partially Counted",IF(J144=0,"Match",IF(J144&gt;0,"Overage","Shortage")))))</f>
        <v/>
      </c>
      <c r="L144" s="9" t="str">
        <f aca="false">IF($B144="","",IF(AND(L144&lt;&gt;"",L144&lt;&gt;0),L144,$B$4))</f>
        <v/>
      </c>
      <c r="M144" s="12"/>
      <c r="N144" s="12"/>
      <c r="O144" s="12"/>
    </row>
    <row r="145" customFormat="false" ht="15" hidden="false" customHeight="false" outlineLevel="0" collapsed="false">
      <c r="A145" s="7" t="str">
        <f aca="true">IF($B145="","",IF(AND(A145&lt;&gt;"",A145&lt;&gt;0),A145,TODAY()))</f>
        <v/>
      </c>
      <c r="B145" s="8"/>
      <c r="C145" s="9" t="str">
        <f aca="false">IF($B145="","",IF(AND(C145&lt;&gt;"",C145&lt;&gt;0,C145&lt;&gt;"UPC Not Found"),C145,IFERROR(INDEX('Product Master'!$B$2:$B$1000,MATCH($B145,'Product Master'!$A$2:$A$1000,0)),"UPC Not Found")))</f>
        <v/>
      </c>
      <c r="D145" s="9" t="str">
        <f aca="false">IF($B145="","",IF(AND(D145&lt;&gt;"",D145&lt;&gt;0,D145&lt;&gt;"UPC Not Found"),D145,IFERROR(INDEX('Product Master'!$C$2:$C$1000,MATCH($B145,'Product Master'!$A$2:$A$1000,0)),"UPC Not Found")))</f>
        <v/>
      </c>
      <c r="E145" s="9" t="str">
        <f aca="false">IF($B145="","",IF(AND(E145&lt;&gt;"",E145&lt;&gt;0,E145&lt;&gt;"UPC Not Found"),E145,IFERROR(INDEX('Product Master'!$D$2:$D$1000,MATCH($B145,'Product Master'!$A$2:$A$1000,0)),"UPC Not Found")))</f>
        <v/>
      </c>
      <c r="F145" s="10" t="str">
        <f aca="false">IF($B145="","",IF(AND(F145&lt;&gt;"",F145&lt;&gt;0,F145&lt;&gt;"UPC Not Found"),F145,IFERROR(INDEX('Product Master'!$E$2:$E$1000,MATCH($B145,'Product Master'!$A$2:$A$1000,0)),"UPC Not Found")))</f>
        <v/>
      </c>
      <c r="G145" s="11"/>
      <c r="H145" s="11"/>
      <c r="I145" s="10" t="str">
        <f aca="false">IF($B145="","",IF(AND(G145="",H145=""),"",G145+H145))</f>
        <v/>
      </c>
      <c r="J145" s="10" t="str">
        <f aca="false">IF(OR($B145="",I145="",F145="UPC Not Found"),"",I145-F145)</f>
        <v/>
      </c>
      <c r="K145" s="9" t="str">
        <f aca="false">IF($B145="","",IF(AND(G145="",H145=""),"Not Counted",IF(OR(G145="",H145=""),"Partially Counted",IF(J145=0,"Match",IF(J145&gt;0,"Overage","Shortage")))))</f>
        <v/>
      </c>
      <c r="L145" s="9" t="str">
        <f aca="false">IF($B145="","",IF(AND(L145&lt;&gt;"",L145&lt;&gt;0),L145,$B$4))</f>
        <v/>
      </c>
      <c r="M145" s="12"/>
      <c r="N145" s="12"/>
      <c r="O145" s="12"/>
    </row>
    <row r="146" customFormat="false" ht="15" hidden="false" customHeight="false" outlineLevel="0" collapsed="false">
      <c r="A146" s="7" t="str">
        <f aca="true">IF($B146="","",IF(AND(A146&lt;&gt;"",A146&lt;&gt;0),A146,TODAY()))</f>
        <v/>
      </c>
      <c r="B146" s="8"/>
      <c r="C146" s="9" t="str">
        <f aca="false">IF($B146="","",IF(AND(C146&lt;&gt;"",C146&lt;&gt;0,C146&lt;&gt;"UPC Not Found"),C146,IFERROR(INDEX('Product Master'!$B$2:$B$1000,MATCH($B146,'Product Master'!$A$2:$A$1000,0)),"UPC Not Found")))</f>
        <v/>
      </c>
      <c r="D146" s="9" t="str">
        <f aca="false">IF($B146="","",IF(AND(D146&lt;&gt;"",D146&lt;&gt;0,D146&lt;&gt;"UPC Not Found"),D146,IFERROR(INDEX('Product Master'!$C$2:$C$1000,MATCH($B146,'Product Master'!$A$2:$A$1000,0)),"UPC Not Found")))</f>
        <v/>
      </c>
      <c r="E146" s="9" t="str">
        <f aca="false">IF($B146="","",IF(AND(E146&lt;&gt;"",E146&lt;&gt;0,E146&lt;&gt;"UPC Not Found"),E146,IFERROR(INDEX('Product Master'!$D$2:$D$1000,MATCH($B146,'Product Master'!$A$2:$A$1000,0)),"UPC Not Found")))</f>
        <v/>
      </c>
      <c r="F146" s="10" t="str">
        <f aca="false">IF($B146="","",IF(AND(F146&lt;&gt;"",F146&lt;&gt;0,F146&lt;&gt;"UPC Not Found"),F146,IFERROR(INDEX('Product Master'!$E$2:$E$1000,MATCH($B146,'Product Master'!$A$2:$A$1000,0)),"UPC Not Found")))</f>
        <v/>
      </c>
      <c r="G146" s="11"/>
      <c r="H146" s="11"/>
      <c r="I146" s="10" t="str">
        <f aca="false">IF($B146="","",IF(AND(G146="",H146=""),"",G146+H146))</f>
        <v/>
      </c>
      <c r="J146" s="10" t="str">
        <f aca="false">IF(OR($B146="",I146="",F146="UPC Not Found"),"",I146-F146)</f>
        <v/>
      </c>
      <c r="K146" s="9" t="str">
        <f aca="false">IF($B146="","",IF(AND(G146="",H146=""),"Not Counted",IF(OR(G146="",H146=""),"Partially Counted",IF(J146=0,"Match",IF(J146&gt;0,"Overage","Shortage")))))</f>
        <v/>
      </c>
      <c r="L146" s="9" t="str">
        <f aca="false">IF($B146="","",IF(AND(L146&lt;&gt;"",L146&lt;&gt;0),L146,$B$4))</f>
        <v/>
      </c>
      <c r="M146" s="12"/>
      <c r="N146" s="12"/>
      <c r="O146" s="12"/>
    </row>
    <row r="147" customFormat="false" ht="15" hidden="false" customHeight="false" outlineLevel="0" collapsed="false">
      <c r="A147" s="7" t="str">
        <f aca="true">IF($B147="","",IF(AND(A147&lt;&gt;"",A147&lt;&gt;0),A147,TODAY()))</f>
        <v/>
      </c>
      <c r="B147" s="8"/>
      <c r="C147" s="9" t="str">
        <f aca="false">IF($B147="","",IF(AND(C147&lt;&gt;"",C147&lt;&gt;0,C147&lt;&gt;"UPC Not Found"),C147,IFERROR(INDEX('Product Master'!$B$2:$B$1000,MATCH($B147,'Product Master'!$A$2:$A$1000,0)),"UPC Not Found")))</f>
        <v/>
      </c>
      <c r="D147" s="9" t="str">
        <f aca="false">IF($B147="","",IF(AND(D147&lt;&gt;"",D147&lt;&gt;0,D147&lt;&gt;"UPC Not Found"),D147,IFERROR(INDEX('Product Master'!$C$2:$C$1000,MATCH($B147,'Product Master'!$A$2:$A$1000,0)),"UPC Not Found")))</f>
        <v/>
      </c>
      <c r="E147" s="9" t="str">
        <f aca="false">IF($B147="","",IF(AND(E147&lt;&gt;"",E147&lt;&gt;0,E147&lt;&gt;"UPC Not Found"),E147,IFERROR(INDEX('Product Master'!$D$2:$D$1000,MATCH($B147,'Product Master'!$A$2:$A$1000,0)),"UPC Not Found")))</f>
        <v/>
      </c>
      <c r="F147" s="10" t="str">
        <f aca="false">IF($B147="","",IF(AND(F147&lt;&gt;"",F147&lt;&gt;0,F147&lt;&gt;"UPC Not Found"),F147,IFERROR(INDEX('Product Master'!$E$2:$E$1000,MATCH($B147,'Product Master'!$A$2:$A$1000,0)),"UPC Not Found")))</f>
        <v/>
      </c>
      <c r="G147" s="11"/>
      <c r="H147" s="11"/>
      <c r="I147" s="10" t="str">
        <f aca="false">IF($B147="","",IF(AND(G147="",H147=""),"",G147+H147))</f>
        <v/>
      </c>
      <c r="J147" s="10" t="str">
        <f aca="false">IF(OR($B147="",I147="",F147="UPC Not Found"),"",I147-F147)</f>
        <v/>
      </c>
      <c r="K147" s="9" t="str">
        <f aca="false">IF($B147="","",IF(AND(G147="",H147=""),"Not Counted",IF(OR(G147="",H147=""),"Partially Counted",IF(J147=0,"Match",IF(J147&gt;0,"Overage","Shortage")))))</f>
        <v/>
      </c>
      <c r="L147" s="9" t="str">
        <f aca="false">IF($B147="","",IF(AND(L147&lt;&gt;"",L147&lt;&gt;0),L147,$B$4))</f>
        <v/>
      </c>
      <c r="M147" s="12"/>
      <c r="N147" s="12"/>
      <c r="O147" s="12"/>
    </row>
    <row r="148" customFormat="false" ht="15" hidden="false" customHeight="false" outlineLevel="0" collapsed="false">
      <c r="A148" s="7" t="str">
        <f aca="true">IF($B148="","",IF(AND(A148&lt;&gt;"",A148&lt;&gt;0),A148,TODAY()))</f>
        <v/>
      </c>
      <c r="B148" s="8"/>
      <c r="C148" s="9" t="str">
        <f aca="false">IF($B148="","",IF(AND(C148&lt;&gt;"",C148&lt;&gt;0,C148&lt;&gt;"UPC Not Found"),C148,IFERROR(INDEX('Product Master'!$B$2:$B$1000,MATCH($B148,'Product Master'!$A$2:$A$1000,0)),"UPC Not Found")))</f>
        <v/>
      </c>
      <c r="D148" s="9" t="str">
        <f aca="false">IF($B148="","",IF(AND(D148&lt;&gt;"",D148&lt;&gt;0,D148&lt;&gt;"UPC Not Found"),D148,IFERROR(INDEX('Product Master'!$C$2:$C$1000,MATCH($B148,'Product Master'!$A$2:$A$1000,0)),"UPC Not Found")))</f>
        <v/>
      </c>
      <c r="E148" s="9" t="str">
        <f aca="false">IF($B148="","",IF(AND(E148&lt;&gt;"",E148&lt;&gt;0,E148&lt;&gt;"UPC Not Found"),E148,IFERROR(INDEX('Product Master'!$D$2:$D$1000,MATCH($B148,'Product Master'!$A$2:$A$1000,0)),"UPC Not Found")))</f>
        <v/>
      </c>
      <c r="F148" s="10" t="str">
        <f aca="false">IF($B148="","",IF(AND(F148&lt;&gt;"",F148&lt;&gt;0,F148&lt;&gt;"UPC Not Found"),F148,IFERROR(INDEX('Product Master'!$E$2:$E$1000,MATCH($B148,'Product Master'!$A$2:$A$1000,0)),"UPC Not Found")))</f>
        <v/>
      </c>
      <c r="G148" s="11"/>
      <c r="H148" s="11"/>
      <c r="I148" s="10" t="str">
        <f aca="false">IF($B148="","",IF(AND(G148="",H148=""),"",G148+H148))</f>
        <v/>
      </c>
      <c r="J148" s="10" t="str">
        <f aca="false">IF(OR($B148="",I148="",F148="UPC Not Found"),"",I148-F148)</f>
        <v/>
      </c>
      <c r="K148" s="9" t="str">
        <f aca="false">IF($B148="","",IF(AND(G148="",H148=""),"Not Counted",IF(OR(G148="",H148=""),"Partially Counted",IF(J148=0,"Match",IF(J148&gt;0,"Overage","Shortage")))))</f>
        <v/>
      </c>
      <c r="L148" s="9" t="str">
        <f aca="false">IF($B148="","",IF(AND(L148&lt;&gt;"",L148&lt;&gt;0),L148,$B$4))</f>
        <v/>
      </c>
      <c r="M148" s="12"/>
      <c r="N148" s="12"/>
      <c r="O148" s="12"/>
    </row>
    <row r="149" customFormat="false" ht="15" hidden="false" customHeight="false" outlineLevel="0" collapsed="false">
      <c r="A149" s="7" t="str">
        <f aca="true">IF($B149="","",IF(AND(A149&lt;&gt;"",A149&lt;&gt;0),A149,TODAY()))</f>
        <v/>
      </c>
      <c r="B149" s="8"/>
      <c r="C149" s="9" t="str">
        <f aca="false">IF($B149="","",IF(AND(C149&lt;&gt;"",C149&lt;&gt;0,C149&lt;&gt;"UPC Not Found"),C149,IFERROR(INDEX('Product Master'!$B$2:$B$1000,MATCH($B149,'Product Master'!$A$2:$A$1000,0)),"UPC Not Found")))</f>
        <v/>
      </c>
      <c r="D149" s="9" t="str">
        <f aca="false">IF($B149="","",IF(AND(D149&lt;&gt;"",D149&lt;&gt;0,D149&lt;&gt;"UPC Not Found"),D149,IFERROR(INDEX('Product Master'!$C$2:$C$1000,MATCH($B149,'Product Master'!$A$2:$A$1000,0)),"UPC Not Found")))</f>
        <v/>
      </c>
      <c r="E149" s="9" t="str">
        <f aca="false">IF($B149="","",IF(AND(E149&lt;&gt;"",E149&lt;&gt;0,E149&lt;&gt;"UPC Not Found"),E149,IFERROR(INDEX('Product Master'!$D$2:$D$1000,MATCH($B149,'Product Master'!$A$2:$A$1000,0)),"UPC Not Found")))</f>
        <v/>
      </c>
      <c r="F149" s="10" t="str">
        <f aca="false">IF($B149="","",IF(AND(F149&lt;&gt;"",F149&lt;&gt;0,F149&lt;&gt;"UPC Not Found"),F149,IFERROR(INDEX('Product Master'!$E$2:$E$1000,MATCH($B149,'Product Master'!$A$2:$A$1000,0)),"UPC Not Found")))</f>
        <v/>
      </c>
      <c r="G149" s="11"/>
      <c r="H149" s="11"/>
      <c r="I149" s="10" t="str">
        <f aca="false">IF($B149="","",IF(AND(G149="",H149=""),"",G149+H149))</f>
        <v/>
      </c>
      <c r="J149" s="10" t="str">
        <f aca="false">IF(OR($B149="",I149="",F149="UPC Not Found"),"",I149-F149)</f>
        <v/>
      </c>
      <c r="K149" s="9" t="str">
        <f aca="false">IF($B149="","",IF(AND(G149="",H149=""),"Not Counted",IF(OR(G149="",H149=""),"Partially Counted",IF(J149=0,"Match",IF(J149&gt;0,"Overage","Shortage")))))</f>
        <v/>
      </c>
      <c r="L149" s="9" t="str">
        <f aca="false">IF($B149="","",IF(AND(L149&lt;&gt;"",L149&lt;&gt;0),L149,$B$4))</f>
        <v/>
      </c>
      <c r="M149" s="12"/>
      <c r="N149" s="12"/>
      <c r="O149" s="12"/>
    </row>
    <row r="150" customFormat="false" ht="15" hidden="false" customHeight="false" outlineLevel="0" collapsed="false">
      <c r="A150" s="7" t="str">
        <f aca="true">IF($B150="","",IF(AND(A150&lt;&gt;"",A150&lt;&gt;0),A150,TODAY()))</f>
        <v/>
      </c>
      <c r="B150" s="8"/>
      <c r="C150" s="9" t="str">
        <f aca="false">IF($B150="","",IF(AND(C150&lt;&gt;"",C150&lt;&gt;0,C150&lt;&gt;"UPC Not Found"),C150,IFERROR(INDEX('Product Master'!$B$2:$B$1000,MATCH($B150,'Product Master'!$A$2:$A$1000,0)),"UPC Not Found")))</f>
        <v/>
      </c>
      <c r="D150" s="9" t="str">
        <f aca="false">IF($B150="","",IF(AND(D150&lt;&gt;"",D150&lt;&gt;0,D150&lt;&gt;"UPC Not Found"),D150,IFERROR(INDEX('Product Master'!$C$2:$C$1000,MATCH($B150,'Product Master'!$A$2:$A$1000,0)),"UPC Not Found")))</f>
        <v/>
      </c>
      <c r="E150" s="9" t="str">
        <f aca="false">IF($B150="","",IF(AND(E150&lt;&gt;"",E150&lt;&gt;0,E150&lt;&gt;"UPC Not Found"),E150,IFERROR(INDEX('Product Master'!$D$2:$D$1000,MATCH($B150,'Product Master'!$A$2:$A$1000,0)),"UPC Not Found")))</f>
        <v/>
      </c>
      <c r="F150" s="10" t="str">
        <f aca="false">IF($B150="","",IF(AND(F150&lt;&gt;"",F150&lt;&gt;0,F150&lt;&gt;"UPC Not Found"),F150,IFERROR(INDEX('Product Master'!$E$2:$E$1000,MATCH($B150,'Product Master'!$A$2:$A$1000,0)),"UPC Not Found")))</f>
        <v/>
      </c>
      <c r="G150" s="11"/>
      <c r="H150" s="11"/>
      <c r="I150" s="10" t="str">
        <f aca="false">IF($B150="","",IF(AND(G150="",H150=""),"",G150+H150))</f>
        <v/>
      </c>
      <c r="J150" s="10" t="str">
        <f aca="false">IF(OR($B150="",I150="",F150="UPC Not Found"),"",I150-F150)</f>
        <v/>
      </c>
      <c r="K150" s="9" t="str">
        <f aca="false">IF($B150="","",IF(AND(G150="",H150=""),"Not Counted",IF(OR(G150="",H150=""),"Partially Counted",IF(J150=0,"Match",IF(J150&gt;0,"Overage","Shortage")))))</f>
        <v/>
      </c>
      <c r="L150" s="9" t="str">
        <f aca="false">IF($B150="","",IF(AND(L150&lt;&gt;"",L150&lt;&gt;0),L150,$B$4))</f>
        <v/>
      </c>
      <c r="M150" s="12"/>
      <c r="N150" s="12"/>
      <c r="O150" s="12"/>
    </row>
    <row r="151" customFormat="false" ht="15" hidden="false" customHeight="false" outlineLevel="0" collapsed="false">
      <c r="A151" s="7" t="str">
        <f aca="true">IF($B151="","",IF(AND(A151&lt;&gt;"",A151&lt;&gt;0),A151,TODAY()))</f>
        <v/>
      </c>
      <c r="B151" s="8"/>
      <c r="C151" s="9" t="str">
        <f aca="false">IF($B151="","",IF(AND(C151&lt;&gt;"",C151&lt;&gt;0,C151&lt;&gt;"UPC Not Found"),C151,IFERROR(INDEX('Product Master'!$B$2:$B$1000,MATCH($B151,'Product Master'!$A$2:$A$1000,0)),"UPC Not Found")))</f>
        <v/>
      </c>
      <c r="D151" s="9" t="str">
        <f aca="false">IF($B151="","",IF(AND(D151&lt;&gt;"",D151&lt;&gt;0,D151&lt;&gt;"UPC Not Found"),D151,IFERROR(INDEX('Product Master'!$C$2:$C$1000,MATCH($B151,'Product Master'!$A$2:$A$1000,0)),"UPC Not Found")))</f>
        <v/>
      </c>
      <c r="E151" s="9" t="str">
        <f aca="false">IF($B151="","",IF(AND(E151&lt;&gt;"",E151&lt;&gt;0,E151&lt;&gt;"UPC Not Found"),E151,IFERROR(INDEX('Product Master'!$D$2:$D$1000,MATCH($B151,'Product Master'!$A$2:$A$1000,0)),"UPC Not Found")))</f>
        <v/>
      </c>
      <c r="F151" s="10" t="str">
        <f aca="false">IF($B151="","",IF(AND(F151&lt;&gt;"",F151&lt;&gt;0,F151&lt;&gt;"UPC Not Found"),F151,IFERROR(INDEX('Product Master'!$E$2:$E$1000,MATCH($B151,'Product Master'!$A$2:$A$1000,0)),"UPC Not Found")))</f>
        <v/>
      </c>
      <c r="G151" s="11"/>
      <c r="H151" s="11"/>
      <c r="I151" s="10" t="str">
        <f aca="false">IF($B151="","",IF(AND(G151="",H151=""),"",G151+H151))</f>
        <v/>
      </c>
      <c r="J151" s="10" t="str">
        <f aca="false">IF(OR($B151="",I151="",F151="UPC Not Found"),"",I151-F151)</f>
        <v/>
      </c>
      <c r="K151" s="9" t="str">
        <f aca="false">IF($B151="","",IF(AND(G151="",H151=""),"Not Counted",IF(OR(G151="",H151=""),"Partially Counted",IF(J151=0,"Match",IF(J151&gt;0,"Overage","Shortage")))))</f>
        <v/>
      </c>
      <c r="L151" s="9" t="str">
        <f aca="false">IF($B151="","",IF(AND(L151&lt;&gt;"",L151&lt;&gt;0),L151,$B$4))</f>
        <v/>
      </c>
      <c r="M151" s="12"/>
      <c r="N151" s="12"/>
      <c r="O151" s="12"/>
    </row>
    <row r="152" customFormat="false" ht="15" hidden="false" customHeight="false" outlineLevel="0" collapsed="false">
      <c r="A152" s="7" t="str">
        <f aca="true">IF($B152="","",IF(AND(A152&lt;&gt;"",A152&lt;&gt;0),A152,TODAY()))</f>
        <v/>
      </c>
      <c r="B152" s="8"/>
      <c r="C152" s="9" t="str">
        <f aca="false">IF($B152="","",IF(AND(C152&lt;&gt;"",C152&lt;&gt;0,C152&lt;&gt;"UPC Not Found"),C152,IFERROR(INDEX('Product Master'!$B$2:$B$1000,MATCH($B152,'Product Master'!$A$2:$A$1000,0)),"UPC Not Found")))</f>
        <v/>
      </c>
      <c r="D152" s="9" t="str">
        <f aca="false">IF($B152="","",IF(AND(D152&lt;&gt;"",D152&lt;&gt;0,D152&lt;&gt;"UPC Not Found"),D152,IFERROR(INDEX('Product Master'!$C$2:$C$1000,MATCH($B152,'Product Master'!$A$2:$A$1000,0)),"UPC Not Found")))</f>
        <v/>
      </c>
      <c r="E152" s="9" t="str">
        <f aca="false">IF($B152="","",IF(AND(E152&lt;&gt;"",E152&lt;&gt;0,E152&lt;&gt;"UPC Not Found"),E152,IFERROR(INDEX('Product Master'!$D$2:$D$1000,MATCH($B152,'Product Master'!$A$2:$A$1000,0)),"UPC Not Found")))</f>
        <v/>
      </c>
      <c r="F152" s="10" t="str">
        <f aca="false">IF($B152="","",IF(AND(F152&lt;&gt;"",F152&lt;&gt;0,F152&lt;&gt;"UPC Not Found"),F152,IFERROR(INDEX('Product Master'!$E$2:$E$1000,MATCH($B152,'Product Master'!$A$2:$A$1000,0)),"UPC Not Found")))</f>
        <v/>
      </c>
      <c r="G152" s="11"/>
      <c r="H152" s="11"/>
      <c r="I152" s="10" t="str">
        <f aca="false">IF($B152="","",IF(AND(G152="",H152=""),"",G152+H152))</f>
        <v/>
      </c>
      <c r="J152" s="10" t="str">
        <f aca="false">IF(OR($B152="",I152="",F152="UPC Not Found"),"",I152-F152)</f>
        <v/>
      </c>
      <c r="K152" s="9" t="str">
        <f aca="false">IF($B152="","",IF(AND(G152="",H152=""),"Not Counted",IF(OR(G152="",H152=""),"Partially Counted",IF(J152=0,"Match",IF(J152&gt;0,"Overage","Shortage")))))</f>
        <v/>
      </c>
      <c r="L152" s="9" t="str">
        <f aca="false">IF($B152="","",IF(AND(L152&lt;&gt;"",L152&lt;&gt;0),L152,$B$4))</f>
        <v/>
      </c>
      <c r="M152" s="12"/>
      <c r="N152" s="12"/>
      <c r="O152" s="12"/>
    </row>
    <row r="153" customFormat="false" ht="15" hidden="false" customHeight="false" outlineLevel="0" collapsed="false">
      <c r="A153" s="7" t="str">
        <f aca="true">IF($B153="","",IF(AND(A153&lt;&gt;"",A153&lt;&gt;0),A153,TODAY()))</f>
        <v/>
      </c>
      <c r="B153" s="8"/>
      <c r="C153" s="9" t="str">
        <f aca="false">IF($B153="","",IF(AND(C153&lt;&gt;"",C153&lt;&gt;0,C153&lt;&gt;"UPC Not Found"),C153,IFERROR(INDEX('Product Master'!$B$2:$B$1000,MATCH($B153,'Product Master'!$A$2:$A$1000,0)),"UPC Not Found")))</f>
        <v/>
      </c>
      <c r="D153" s="9" t="str">
        <f aca="false">IF($B153="","",IF(AND(D153&lt;&gt;"",D153&lt;&gt;0,D153&lt;&gt;"UPC Not Found"),D153,IFERROR(INDEX('Product Master'!$C$2:$C$1000,MATCH($B153,'Product Master'!$A$2:$A$1000,0)),"UPC Not Found")))</f>
        <v/>
      </c>
      <c r="E153" s="9" t="str">
        <f aca="false">IF($B153="","",IF(AND(E153&lt;&gt;"",E153&lt;&gt;0,E153&lt;&gt;"UPC Not Found"),E153,IFERROR(INDEX('Product Master'!$D$2:$D$1000,MATCH($B153,'Product Master'!$A$2:$A$1000,0)),"UPC Not Found")))</f>
        <v/>
      </c>
      <c r="F153" s="10" t="str">
        <f aca="false">IF($B153="","",IF(AND(F153&lt;&gt;"",F153&lt;&gt;0,F153&lt;&gt;"UPC Not Found"),F153,IFERROR(INDEX('Product Master'!$E$2:$E$1000,MATCH($B153,'Product Master'!$A$2:$A$1000,0)),"UPC Not Found")))</f>
        <v/>
      </c>
      <c r="G153" s="11"/>
      <c r="H153" s="11"/>
      <c r="I153" s="10" t="str">
        <f aca="false">IF($B153="","",IF(AND(G153="",H153=""),"",G153+H153))</f>
        <v/>
      </c>
      <c r="J153" s="10" t="str">
        <f aca="false">IF(OR($B153="",I153="",F153="UPC Not Found"),"",I153-F153)</f>
        <v/>
      </c>
      <c r="K153" s="9" t="str">
        <f aca="false">IF($B153="","",IF(AND(G153="",H153=""),"Not Counted",IF(OR(G153="",H153=""),"Partially Counted",IF(J153=0,"Match",IF(J153&gt;0,"Overage","Shortage")))))</f>
        <v/>
      </c>
      <c r="L153" s="9" t="str">
        <f aca="false">IF($B153="","",IF(AND(L153&lt;&gt;"",L153&lt;&gt;0),L153,$B$4))</f>
        <v/>
      </c>
      <c r="M153" s="12"/>
      <c r="N153" s="12"/>
      <c r="O153" s="12"/>
    </row>
    <row r="154" customFormat="false" ht="15" hidden="false" customHeight="false" outlineLevel="0" collapsed="false">
      <c r="A154" s="7" t="str">
        <f aca="true">IF($B154="","",IF(AND(A154&lt;&gt;"",A154&lt;&gt;0),A154,TODAY()))</f>
        <v/>
      </c>
      <c r="B154" s="8"/>
      <c r="C154" s="9" t="str">
        <f aca="false">IF($B154="","",IF(AND(C154&lt;&gt;"",C154&lt;&gt;0,C154&lt;&gt;"UPC Not Found"),C154,IFERROR(INDEX('Product Master'!$B$2:$B$1000,MATCH($B154,'Product Master'!$A$2:$A$1000,0)),"UPC Not Found")))</f>
        <v/>
      </c>
      <c r="D154" s="9" t="str">
        <f aca="false">IF($B154="","",IF(AND(D154&lt;&gt;"",D154&lt;&gt;0,D154&lt;&gt;"UPC Not Found"),D154,IFERROR(INDEX('Product Master'!$C$2:$C$1000,MATCH($B154,'Product Master'!$A$2:$A$1000,0)),"UPC Not Found")))</f>
        <v/>
      </c>
      <c r="E154" s="9" t="str">
        <f aca="false">IF($B154="","",IF(AND(E154&lt;&gt;"",E154&lt;&gt;0,E154&lt;&gt;"UPC Not Found"),E154,IFERROR(INDEX('Product Master'!$D$2:$D$1000,MATCH($B154,'Product Master'!$A$2:$A$1000,0)),"UPC Not Found")))</f>
        <v/>
      </c>
      <c r="F154" s="10" t="str">
        <f aca="false">IF($B154="","",IF(AND(F154&lt;&gt;"",F154&lt;&gt;0,F154&lt;&gt;"UPC Not Found"),F154,IFERROR(INDEX('Product Master'!$E$2:$E$1000,MATCH($B154,'Product Master'!$A$2:$A$1000,0)),"UPC Not Found")))</f>
        <v/>
      </c>
      <c r="G154" s="11"/>
      <c r="H154" s="11"/>
      <c r="I154" s="10" t="str">
        <f aca="false">IF($B154="","",IF(AND(G154="",H154=""),"",G154+H154))</f>
        <v/>
      </c>
      <c r="J154" s="10" t="str">
        <f aca="false">IF(OR($B154="",I154="",F154="UPC Not Found"),"",I154-F154)</f>
        <v/>
      </c>
      <c r="K154" s="9" t="str">
        <f aca="false">IF($B154="","",IF(AND(G154="",H154=""),"Not Counted",IF(OR(G154="",H154=""),"Partially Counted",IF(J154=0,"Match",IF(J154&gt;0,"Overage","Shortage")))))</f>
        <v/>
      </c>
      <c r="L154" s="9" t="str">
        <f aca="false">IF($B154="","",IF(AND(L154&lt;&gt;"",L154&lt;&gt;0),L154,$B$4))</f>
        <v/>
      </c>
      <c r="M154" s="12"/>
      <c r="N154" s="12"/>
      <c r="O154" s="12"/>
    </row>
    <row r="155" customFormat="false" ht="15" hidden="false" customHeight="false" outlineLevel="0" collapsed="false">
      <c r="A155" s="7" t="str">
        <f aca="true">IF($B155="","",IF(AND(A155&lt;&gt;"",A155&lt;&gt;0),A155,TODAY()))</f>
        <v/>
      </c>
      <c r="B155" s="8"/>
      <c r="C155" s="9" t="str">
        <f aca="false">IF($B155="","",IF(AND(C155&lt;&gt;"",C155&lt;&gt;0,C155&lt;&gt;"UPC Not Found"),C155,IFERROR(INDEX('Product Master'!$B$2:$B$1000,MATCH($B155,'Product Master'!$A$2:$A$1000,0)),"UPC Not Found")))</f>
        <v/>
      </c>
      <c r="D155" s="9" t="str">
        <f aca="false">IF($B155="","",IF(AND(D155&lt;&gt;"",D155&lt;&gt;0,D155&lt;&gt;"UPC Not Found"),D155,IFERROR(INDEX('Product Master'!$C$2:$C$1000,MATCH($B155,'Product Master'!$A$2:$A$1000,0)),"UPC Not Found")))</f>
        <v/>
      </c>
      <c r="E155" s="9" t="str">
        <f aca="false">IF($B155="","",IF(AND(E155&lt;&gt;"",E155&lt;&gt;0,E155&lt;&gt;"UPC Not Found"),E155,IFERROR(INDEX('Product Master'!$D$2:$D$1000,MATCH($B155,'Product Master'!$A$2:$A$1000,0)),"UPC Not Found")))</f>
        <v/>
      </c>
      <c r="F155" s="10" t="str">
        <f aca="false">IF($B155="","",IF(AND(F155&lt;&gt;"",F155&lt;&gt;0,F155&lt;&gt;"UPC Not Found"),F155,IFERROR(INDEX('Product Master'!$E$2:$E$1000,MATCH($B155,'Product Master'!$A$2:$A$1000,0)),"UPC Not Found")))</f>
        <v/>
      </c>
      <c r="G155" s="11"/>
      <c r="H155" s="11"/>
      <c r="I155" s="10" t="str">
        <f aca="false">IF($B155="","",IF(AND(G155="",H155=""),"",G155+H155))</f>
        <v/>
      </c>
      <c r="J155" s="10" t="str">
        <f aca="false">IF(OR($B155="",I155="",F155="UPC Not Found"),"",I155-F155)</f>
        <v/>
      </c>
      <c r="K155" s="9" t="str">
        <f aca="false">IF($B155="","",IF(AND(G155="",H155=""),"Not Counted",IF(OR(G155="",H155=""),"Partially Counted",IF(J155=0,"Match",IF(J155&gt;0,"Overage","Shortage")))))</f>
        <v/>
      </c>
      <c r="L155" s="9" t="str">
        <f aca="false">IF($B155="","",IF(AND(L155&lt;&gt;"",L155&lt;&gt;0),L155,$B$4))</f>
        <v/>
      </c>
      <c r="M155" s="12"/>
      <c r="N155" s="12"/>
      <c r="O155" s="12"/>
    </row>
    <row r="156" customFormat="false" ht="15" hidden="false" customHeight="false" outlineLevel="0" collapsed="false">
      <c r="A156" s="7" t="str">
        <f aca="true">IF($B156="","",IF(AND(A156&lt;&gt;"",A156&lt;&gt;0),A156,TODAY()))</f>
        <v/>
      </c>
      <c r="B156" s="8"/>
      <c r="C156" s="9" t="str">
        <f aca="false">IF($B156="","",IF(AND(C156&lt;&gt;"",C156&lt;&gt;0,C156&lt;&gt;"UPC Not Found"),C156,IFERROR(INDEX('Product Master'!$B$2:$B$1000,MATCH($B156,'Product Master'!$A$2:$A$1000,0)),"UPC Not Found")))</f>
        <v/>
      </c>
      <c r="D156" s="9" t="str">
        <f aca="false">IF($B156="","",IF(AND(D156&lt;&gt;"",D156&lt;&gt;0,D156&lt;&gt;"UPC Not Found"),D156,IFERROR(INDEX('Product Master'!$C$2:$C$1000,MATCH($B156,'Product Master'!$A$2:$A$1000,0)),"UPC Not Found")))</f>
        <v/>
      </c>
      <c r="E156" s="9" t="str">
        <f aca="false">IF($B156="","",IF(AND(E156&lt;&gt;"",E156&lt;&gt;0,E156&lt;&gt;"UPC Not Found"),E156,IFERROR(INDEX('Product Master'!$D$2:$D$1000,MATCH($B156,'Product Master'!$A$2:$A$1000,0)),"UPC Not Found")))</f>
        <v/>
      </c>
      <c r="F156" s="10" t="str">
        <f aca="false">IF($B156="","",IF(AND(F156&lt;&gt;"",F156&lt;&gt;0,F156&lt;&gt;"UPC Not Found"),F156,IFERROR(INDEX('Product Master'!$E$2:$E$1000,MATCH($B156,'Product Master'!$A$2:$A$1000,0)),"UPC Not Found")))</f>
        <v/>
      </c>
      <c r="G156" s="11"/>
      <c r="H156" s="11"/>
      <c r="I156" s="10" t="str">
        <f aca="false">IF($B156="","",IF(AND(G156="",H156=""),"",G156+H156))</f>
        <v/>
      </c>
      <c r="J156" s="10" t="str">
        <f aca="false">IF(OR($B156="",I156="",F156="UPC Not Found"),"",I156-F156)</f>
        <v/>
      </c>
      <c r="K156" s="9" t="str">
        <f aca="false">IF($B156="","",IF(AND(G156="",H156=""),"Not Counted",IF(OR(G156="",H156=""),"Partially Counted",IF(J156=0,"Match",IF(J156&gt;0,"Overage","Shortage")))))</f>
        <v/>
      </c>
      <c r="L156" s="9" t="str">
        <f aca="false">IF($B156="","",IF(AND(L156&lt;&gt;"",L156&lt;&gt;0),L156,$B$4))</f>
        <v/>
      </c>
      <c r="M156" s="12"/>
      <c r="N156" s="12"/>
      <c r="O156" s="12"/>
    </row>
    <row r="157" customFormat="false" ht="15" hidden="false" customHeight="false" outlineLevel="0" collapsed="false">
      <c r="A157" s="7" t="str">
        <f aca="true">IF($B157="","",IF(AND(A157&lt;&gt;"",A157&lt;&gt;0),A157,TODAY()))</f>
        <v/>
      </c>
      <c r="B157" s="8"/>
      <c r="C157" s="9" t="str">
        <f aca="false">IF($B157="","",IF(AND(C157&lt;&gt;"",C157&lt;&gt;0,C157&lt;&gt;"UPC Not Found"),C157,IFERROR(INDEX('Product Master'!$B$2:$B$1000,MATCH($B157,'Product Master'!$A$2:$A$1000,0)),"UPC Not Found")))</f>
        <v/>
      </c>
      <c r="D157" s="9" t="str">
        <f aca="false">IF($B157="","",IF(AND(D157&lt;&gt;"",D157&lt;&gt;0,D157&lt;&gt;"UPC Not Found"),D157,IFERROR(INDEX('Product Master'!$C$2:$C$1000,MATCH($B157,'Product Master'!$A$2:$A$1000,0)),"UPC Not Found")))</f>
        <v/>
      </c>
      <c r="E157" s="9" t="str">
        <f aca="false">IF($B157="","",IF(AND(E157&lt;&gt;"",E157&lt;&gt;0,E157&lt;&gt;"UPC Not Found"),E157,IFERROR(INDEX('Product Master'!$D$2:$D$1000,MATCH($B157,'Product Master'!$A$2:$A$1000,0)),"UPC Not Found")))</f>
        <v/>
      </c>
      <c r="F157" s="10" t="str">
        <f aca="false">IF($B157="","",IF(AND(F157&lt;&gt;"",F157&lt;&gt;0,F157&lt;&gt;"UPC Not Found"),F157,IFERROR(INDEX('Product Master'!$E$2:$E$1000,MATCH($B157,'Product Master'!$A$2:$A$1000,0)),"UPC Not Found")))</f>
        <v/>
      </c>
      <c r="G157" s="11"/>
      <c r="H157" s="11"/>
      <c r="I157" s="10" t="str">
        <f aca="false">IF($B157="","",IF(AND(G157="",H157=""),"",G157+H157))</f>
        <v/>
      </c>
      <c r="J157" s="10" t="str">
        <f aca="false">IF(OR($B157="",I157="",F157="UPC Not Found"),"",I157-F157)</f>
        <v/>
      </c>
      <c r="K157" s="9" t="str">
        <f aca="false">IF($B157="","",IF(AND(G157="",H157=""),"Not Counted",IF(OR(G157="",H157=""),"Partially Counted",IF(J157=0,"Match",IF(J157&gt;0,"Overage","Shortage")))))</f>
        <v/>
      </c>
      <c r="L157" s="9" t="str">
        <f aca="false">IF($B157="","",IF(AND(L157&lt;&gt;"",L157&lt;&gt;0),L157,$B$4))</f>
        <v/>
      </c>
      <c r="M157" s="12"/>
      <c r="N157" s="12"/>
      <c r="O157" s="12"/>
    </row>
    <row r="158" customFormat="false" ht="15" hidden="false" customHeight="false" outlineLevel="0" collapsed="false">
      <c r="A158" s="7" t="str">
        <f aca="true">IF($B158="","",IF(AND(A158&lt;&gt;"",A158&lt;&gt;0),A158,TODAY()))</f>
        <v/>
      </c>
      <c r="B158" s="8"/>
      <c r="C158" s="9" t="str">
        <f aca="false">IF($B158="","",IF(AND(C158&lt;&gt;"",C158&lt;&gt;0,C158&lt;&gt;"UPC Not Found"),C158,IFERROR(INDEX('Product Master'!$B$2:$B$1000,MATCH($B158,'Product Master'!$A$2:$A$1000,0)),"UPC Not Found")))</f>
        <v/>
      </c>
      <c r="D158" s="9" t="str">
        <f aca="false">IF($B158="","",IF(AND(D158&lt;&gt;"",D158&lt;&gt;0,D158&lt;&gt;"UPC Not Found"),D158,IFERROR(INDEX('Product Master'!$C$2:$C$1000,MATCH($B158,'Product Master'!$A$2:$A$1000,0)),"UPC Not Found")))</f>
        <v/>
      </c>
      <c r="E158" s="9" t="str">
        <f aca="false">IF($B158="","",IF(AND(E158&lt;&gt;"",E158&lt;&gt;0,E158&lt;&gt;"UPC Not Found"),E158,IFERROR(INDEX('Product Master'!$D$2:$D$1000,MATCH($B158,'Product Master'!$A$2:$A$1000,0)),"UPC Not Found")))</f>
        <v/>
      </c>
      <c r="F158" s="10" t="str">
        <f aca="false">IF($B158="","",IF(AND(F158&lt;&gt;"",F158&lt;&gt;0,F158&lt;&gt;"UPC Not Found"),F158,IFERROR(INDEX('Product Master'!$E$2:$E$1000,MATCH($B158,'Product Master'!$A$2:$A$1000,0)),"UPC Not Found")))</f>
        <v/>
      </c>
      <c r="G158" s="11"/>
      <c r="H158" s="11"/>
      <c r="I158" s="10" t="str">
        <f aca="false">IF($B158="","",IF(AND(G158="",H158=""),"",G158+H158))</f>
        <v/>
      </c>
      <c r="J158" s="10" t="str">
        <f aca="false">IF(OR($B158="",I158="",F158="UPC Not Found"),"",I158-F158)</f>
        <v/>
      </c>
      <c r="K158" s="9" t="str">
        <f aca="false">IF($B158="","",IF(AND(G158="",H158=""),"Not Counted",IF(OR(G158="",H158=""),"Partially Counted",IF(J158=0,"Match",IF(J158&gt;0,"Overage","Shortage")))))</f>
        <v/>
      </c>
      <c r="L158" s="9" t="str">
        <f aca="false">IF($B158="","",IF(AND(L158&lt;&gt;"",L158&lt;&gt;0),L158,$B$4))</f>
        <v/>
      </c>
      <c r="M158" s="12"/>
      <c r="N158" s="12"/>
      <c r="O158" s="12"/>
    </row>
    <row r="159" customFormat="false" ht="15" hidden="false" customHeight="false" outlineLevel="0" collapsed="false">
      <c r="A159" s="7" t="str">
        <f aca="true">IF($B159="","",IF(AND(A159&lt;&gt;"",A159&lt;&gt;0),A159,TODAY()))</f>
        <v/>
      </c>
      <c r="B159" s="8"/>
      <c r="C159" s="9" t="str">
        <f aca="false">IF($B159="","",IF(AND(C159&lt;&gt;"",C159&lt;&gt;0,C159&lt;&gt;"UPC Not Found"),C159,IFERROR(INDEX('Product Master'!$B$2:$B$1000,MATCH($B159,'Product Master'!$A$2:$A$1000,0)),"UPC Not Found")))</f>
        <v/>
      </c>
      <c r="D159" s="9" t="str">
        <f aca="false">IF($B159="","",IF(AND(D159&lt;&gt;"",D159&lt;&gt;0,D159&lt;&gt;"UPC Not Found"),D159,IFERROR(INDEX('Product Master'!$C$2:$C$1000,MATCH($B159,'Product Master'!$A$2:$A$1000,0)),"UPC Not Found")))</f>
        <v/>
      </c>
      <c r="E159" s="9" t="str">
        <f aca="false">IF($B159="","",IF(AND(E159&lt;&gt;"",E159&lt;&gt;0,E159&lt;&gt;"UPC Not Found"),E159,IFERROR(INDEX('Product Master'!$D$2:$D$1000,MATCH($B159,'Product Master'!$A$2:$A$1000,0)),"UPC Not Found")))</f>
        <v/>
      </c>
      <c r="F159" s="10" t="str">
        <f aca="false">IF($B159="","",IF(AND(F159&lt;&gt;"",F159&lt;&gt;0,F159&lt;&gt;"UPC Not Found"),F159,IFERROR(INDEX('Product Master'!$E$2:$E$1000,MATCH($B159,'Product Master'!$A$2:$A$1000,0)),"UPC Not Found")))</f>
        <v/>
      </c>
      <c r="G159" s="11"/>
      <c r="H159" s="11"/>
      <c r="I159" s="10" t="str">
        <f aca="false">IF($B159="","",IF(AND(G159="",H159=""),"",G159+H159))</f>
        <v/>
      </c>
      <c r="J159" s="10" t="str">
        <f aca="false">IF(OR($B159="",I159="",F159="UPC Not Found"),"",I159-F159)</f>
        <v/>
      </c>
      <c r="K159" s="9" t="str">
        <f aca="false">IF($B159="","",IF(AND(G159="",H159=""),"Not Counted",IF(OR(G159="",H159=""),"Partially Counted",IF(J159=0,"Match",IF(J159&gt;0,"Overage","Shortage")))))</f>
        <v/>
      </c>
      <c r="L159" s="9" t="str">
        <f aca="false">IF($B159="","",IF(AND(L159&lt;&gt;"",L159&lt;&gt;0),L159,$B$4))</f>
        <v/>
      </c>
      <c r="M159" s="12"/>
      <c r="N159" s="12"/>
      <c r="O159" s="12"/>
    </row>
    <row r="160" customFormat="false" ht="15" hidden="false" customHeight="false" outlineLevel="0" collapsed="false">
      <c r="A160" s="7" t="str">
        <f aca="true">IF($B160="","",IF(AND(A160&lt;&gt;"",A160&lt;&gt;0),A160,TODAY()))</f>
        <v/>
      </c>
      <c r="B160" s="8"/>
      <c r="C160" s="9" t="str">
        <f aca="false">IF($B160="","",IF(AND(C160&lt;&gt;"",C160&lt;&gt;0,C160&lt;&gt;"UPC Not Found"),C160,IFERROR(INDEX('Product Master'!$B$2:$B$1000,MATCH($B160,'Product Master'!$A$2:$A$1000,0)),"UPC Not Found")))</f>
        <v/>
      </c>
      <c r="D160" s="9" t="str">
        <f aca="false">IF($B160="","",IF(AND(D160&lt;&gt;"",D160&lt;&gt;0,D160&lt;&gt;"UPC Not Found"),D160,IFERROR(INDEX('Product Master'!$C$2:$C$1000,MATCH($B160,'Product Master'!$A$2:$A$1000,0)),"UPC Not Found")))</f>
        <v/>
      </c>
      <c r="E160" s="9" t="str">
        <f aca="false">IF($B160="","",IF(AND(E160&lt;&gt;"",E160&lt;&gt;0,E160&lt;&gt;"UPC Not Found"),E160,IFERROR(INDEX('Product Master'!$D$2:$D$1000,MATCH($B160,'Product Master'!$A$2:$A$1000,0)),"UPC Not Found")))</f>
        <v/>
      </c>
      <c r="F160" s="10" t="str">
        <f aca="false">IF($B160="","",IF(AND(F160&lt;&gt;"",F160&lt;&gt;0,F160&lt;&gt;"UPC Not Found"),F160,IFERROR(INDEX('Product Master'!$E$2:$E$1000,MATCH($B160,'Product Master'!$A$2:$A$1000,0)),"UPC Not Found")))</f>
        <v/>
      </c>
      <c r="G160" s="11"/>
      <c r="H160" s="11"/>
      <c r="I160" s="10" t="str">
        <f aca="false">IF($B160="","",IF(AND(G160="",H160=""),"",G160+H160))</f>
        <v/>
      </c>
      <c r="J160" s="10" t="str">
        <f aca="false">IF(OR($B160="",I160="",F160="UPC Not Found"),"",I160-F160)</f>
        <v/>
      </c>
      <c r="K160" s="9" t="str">
        <f aca="false">IF($B160="","",IF(AND(G160="",H160=""),"Not Counted",IF(OR(G160="",H160=""),"Partially Counted",IF(J160=0,"Match",IF(J160&gt;0,"Overage","Shortage")))))</f>
        <v/>
      </c>
      <c r="L160" s="9" t="str">
        <f aca="false">IF($B160="","",IF(AND(L160&lt;&gt;"",L160&lt;&gt;0),L160,$B$4))</f>
        <v/>
      </c>
      <c r="M160" s="12"/>
      <c r="N160" s="12"/>
      <c r="O160" s="12"/>
    </row>
    <row r="161" customFormat="false" ht="15" hidden="false" customHeight="false" outlineLevel="0" collapsed="false">
      <c r="A161" s="7" t="str">
        <f aca="true">IF($B161="","",IF(AND(A161&lt;&gt;"",A161&lt;&gt;0),A161,TODAY()))</f>
        <v/>
      </c>
      <c r="B161" s="8"/>
      <c r="C161" s="9" t="str">
        <f aca="false">IF($B161="","",IF(AND(C161&lt;&gt;"",C161&lt;&gt;0,C161&lt;&gt;"UPC Not Found"),C161,IFERROR(INDEX('Product Master'!$B$2:$B$1000,MATCH($B161,'Product Master'!$A$2:$A$1000,0)),"UPC Not Found")))</f>
        <v/>
      </c>
      <c r="D161" s="9" t="str">
        <f aca="false">IF($B161="","",IF(AND(D161&lt;&gt;"",D161&lt;&gt;0,D161&lt;&gt;"UPC Not Found"),D161,IFERROR(INDEX('Product Master'!$C$2:$C$1000,MATCH($B161,'Product Master'!$A$2:$A$1000,0)),"UPC Not Found")))</f>
        <v/>
      </c>
      <c r="E161" s="9" t="str">
        <f aca="false">IF($B161="","",IF(AND(E161&lt;&gt;"",E161&lt;&gt;0,E161&lt;&gt;"UPC Not Found"),E161,IFERROR(INDEX('Product Master'!$D$2:$D$1000,MATCH($B161,'Product Master'!$A$2:$A$1000,0)),"UPC Not Found")))</f>
        <v/>
      </c>
      <c r="F161" s="10" t="str">
        <f aca="false">IF($B161="","",IF(AND(F161&lt;&gt;"",F161&lt;&gt;0,F161&lt;&gt;"UPC Not Found"),F161,IFERROR(INDEX('Product Master'!$E$2:$E$1000,MATCH($B161,'Product Master'!$A$2:$A$1000,0)),"UPC Not Found")))</f>
        <v/>
      </c>
      <c r="G161" s="11"/>
      <c r="H161" s="11"/>
      <c r="I161" s="10" t="str">
        <f aca="false">IF($B161="","",IF(AND(G161="",H161=""),"",G161+H161))</f>
        <v/>
      </c>
      <c r="J161" s="10" t="str">
        <f aca="false">IF(OR($B161="",I161="",F161="UPC Not Found"),"",I161-F161)</f>
        <v/>
      </c>
      <c r="K161" s="9" t="str">
        <f aca="false">IF($B161="","",IF(AND(G161="",H161=""),"Not Counted",IF(OR(G161="",H161=""),"Partially Counted",IF(J161=0,"Match",IF(J161&gt;0,"Overage","Shortage")))))</f>
        <v/>
      </c>
      <c r="L161" s="9" t="str">
        <f aca="false">IF($B161="","",IF(AND(L161&lt;&gt;"",L161&lt;&gt;0),L161,$B$4))</f>
        <v/>
      </c>
      <c r="M161" s="12"/>
      <c r="N161" s="12"/>
      <c r="O161" s="12"/>
    </row>
    <row r="162" customFormat="false" ht="15" hidden="false" customHeight="false" outlineLevel="0" collapsed="false">
      <c r="A162" s="7" t="str">
        <f aca="true">IF($B162="","",IF(AND(A162&lt;&gt;"",A162&lt;&gt;0),A162,TODAY()))</f>
        <v/>
      </c>
      <c r="B162" s="8"/>
      <c r="C162" s="9" t="str">
        <f aca="false">IF($B162="","",IF(AND(C162&lt;&gt;"",C162&lt;&gt;0,C162&lt;&gt;"UPC Not Found"),C162,IFERROR(INDEX('Product Master'!$B$2:$B$1000,MATCH($B162,'Product Master'!$A$2:$A$1000,0)),"UPC Not Found")))</f>
        <v/>
      </c>
      <c r="D162" s="9" t="str">
        <f aca="false">IF($B162="","",IF(AND(D162&lt;&gt;"",D162&lt;&gt;0,D162&lt;&gt;"UPC Not Found"),D162,IFERROR(INDEX('Product Master'!$C$2:$C$1000,MATCH($B162,'Product Master'!$A$2:$A$1000,0)),"UPC Not Found")))</f>
        <v/>
      </c>
      <c r="E162" s="9" t="str">
        <f aca="false">IF($B162="","",IF(AND(E162&lt;&gt;"",E162&lt;&gt;0,E162&lt;&gt;"UPC Not Found"),E162,IFERROR(INDEX('Product Master'!$D$2:$D$1000,MATCH($B162,'Product Master'!$A$2:$A$1000,0)),"UPC Not Found")))</f>
        <v/>
      </c>
      <c r="F162" s="10" t="str">
        <f aca="false">IF($B162="","",IF(AND(F162&lt;&gt;"",F162&lt;&gt;0,F162&lt;&gt;"UPC Not Found"),F162,IFERROR(INDEX('Product Master'!$E$2:$E$1000,MATCH($B162,'Product Master'!$A$2:$A$1000,0)),"UPC Not Found")))</f>
        <v/>
      </c>
      <c r="G162" s="11"/>
      <c r="H162" s="11"/>
      <c r="I162" s="10" t="str">
        <f aca="false">IF($B162="","",IF(AND(G162="",H162=""),"",G162+H162))</f>
        <v/>
      </c>
      <c r="J162" s="10" t="str">
        <f aca="false">IF(OR($B162="",I162="",F162="UPC Not Found"),"",I162-F162)</f>
        <v/>
      </c>
      <c r="K162" s="9" t="str">
        <f aca="false">IF($B162="","",IF(AND(G162="",H162=""),"Not Counted",IF(OR(G162="",H162=""),"Partially Counted",IF(J162=0,"Match",IF(J162&gt;0,"Overage","Shortage")))))</f>
        <v/>
      </c>
      <c r="L162" s="9" t="str">
        <f aca="false">IF($B162="","",IF(AND(L162&lt;&gt;"",L162&lt;&gt;0),L162,$B$4))</f>
        <v/>
      </c>
      <c r="M162" s="12"/>
      <c r="N162" s="12"/>
      <c r="O162" s="12"/>
    </row>
    <row r="163" customFormat="false" ht="15" hidden="false" customHeight="false" outlineLevel="0" collapsed="false">
      <c r="A163" s="7" t="str">
        <f aca="true">IF($B163="","",IF(AND(A163&lt;&gt;"",A163&lt;&gt;0),A163,TODAY()))</f>
        <v/>
      </c>
      <c r="B163" s="8"/>
      <c r="C163" s="9" t="str">
        <f aca="false">IF($B163="","",IF(AND(C163&lt;&gt;"",C163&lt;&gt;0,C163&lt;&gt;"UPC Not Found"),C163,IFERROR(INDEX('Product Master'!$B$2:$B$1000,MATCH($B163,'Product Master'!$A$2:$A$1000,0)),"UPC Not Found")))</f>
        <v/>
      </c>
      <c r="D163" s="9" t="str">
        <f aca="false">IF($B163="","",IF(AND(D163&lt;&gt;"",D163&lt;&gt;0,D163&lt;&gt;"UPC Not Found"),D163,IFERROR(INDEX('Product Master'!$C$2:$C$1000,MATCH($B163,'Product Master'!$A$2:$A$1000,0)),"UPC Not Found")))</f>
        <v/>
      </c>
      <c r="E163" s="9" t="str">
        <f aca="false">IF($B163="","",IF(AND(E163&lt;&gt;"",E163&lt;&gt;0,E163&lt;&gt;"UPC Not Found"),E163,IFERROR(INDEX('Product Master'!$D$2:$D$1000,MATCH($B163,'Product Master'!$A$2:$A$1000,0)),"UPC Not Found")))</f>
        <v/>
      </c>
      <c r="F163" s="10" t="str">
        <f aca="false">IF($B163="","",IF(AND(F163&lt;&gt;"",F163&lt;&gt;0,F163&lt;&gt;"UPC Not Found"),F163,IFERROR(INDEX('Product Master'!$E$2:$E$1000,MATCH($B163,'Product Master'!$A$2:$A$1000,0)),"UPC Not Found")))</f>
        <v/>
      </c>
      <c r="G163" s="11"/>
      <c r="H163" s="11"/>
      <c r="I163" s="10" t="str">
        <f aca="false">IF($B163="","",IF(AND(G163="",H163=""),"",G163+H163))</f>
        <v/>
      </c>
      <c r="J163" s="10" t="str">
        <f aca="false">IF(OR($B163="",I163="",F163="UPC Not Found"),"",I163-F163)</f>
        <v/>
      </c>
      <c r="K163" s="9" t="str">
        <f aca="false">IF($B163="","",IF(AND(G163="",H163=""),"Not Counted",IF(OR(G163="",H163=""),"Partially Counted",IF(J163=0,"Match",IF(J163&gt;0,"Overage","Shortage")))))</f>
        <v/>
      </c>
      <c r="L163" s="9" t="str">
        <f aca="false">IF($B163="","",IF(AND(L163&lt;&gt;"",L163&lt;&gt;0),L163,$B$4))</f>
        <v/>
      </c>
      <c r="M163" s="12"/>
      <c r="N163" s="12"/>
      <c r="O163" s="12"/>
    </row>
    <row r="164" customFormat="false" ht="15" hidden="false" customHeight="false" outlineLevel="0" collapsed="false">
      <c r="A164" s="7" t="str">
        <f aca="true">IF($B164="","",IF(AND(A164&lt;&gt;"",A164&lt;&gt;0),A164,TODAY()))</f>
        <v/>
      </c>
      <c r="B164" s="8"/>
      <c r="C164" s="9" t="str">
        <f aca="false">IF($B164="","",IF(AND(C164&lt;&gt;"",C164&lt;&gt;0,C164&lt;&gt;"UPC Not Found"),C164,IFERROR(INDEX('Product Master'!$B$2:$B$1000,MATCH($B164,'Product Master'!$A$2:$A$1000,0)),"UPC Not Found")))</f>
        <v/>
      </c>
      <c r="D164" s="9" t="str">
        <f aca="false">IF($B164="","",IF(AND(D164&lt;&gt;"",D164&lt;&gt;0,D164&lt;&gt;"UPC Not Found"),D164,IFERROR(INDEX('Product Master'!$C$2:$C$1000,MATCH($B164,'Product Master'!$A$2:$A$1000,0)),"UPC Not Found")))</f>
        <v/>
      </c>
      <c r="E164" s="9" t="str">
        <f aca="false">IF($B164="","",IF(AND(E164&lt;&gt;"",E164&lt;&gt;0,E164&lt;&gt;"UPC Not Found"),E164,IFERROR(INDEX('Product Master'!$D$2:$D$1000,MATCH($B164,'Product Master'!$A$2:$A$1000,0)),"UPC Not Found")))</f>
        <v/>
      </c>
      <c r="F164" s="10" t="str">
        <f aca="false">IF($B164="","",IF(AND(F164&lt;&gt;"",F164&lt;&gt;0,F164&lt;&gt;"UPC Not Found"),F164,IFERROR(INDEX('Product Master'!$E$2:$E$1000,MATCH($B164,'Product Master'!$A$2:$A$1000,0)),"UPC Not Found")))</f>
        <v/>
      </c>
      <c r="G164" s="11"/>
      <c r="H164" s="11"/>
      <c r="I164" s="10" t="str">
        <f aca="false">IF($B164="","",IF(AND(G164="",H164=""),"",G164+H164))</f>
        <v/>
      </c>
      <c r="J164" s="10" t="str">
        <f aca="false">IF(OR($B164="",I164="",F164="UPC Not Found"),"",I164-F164)</f>
        <v/>
      </c>
      <c r="K164" s="9" t="str">
        <f aca="false">IF($B164="","",IF(AND(G164="",H164=""),"Not Counted",IF(OR(G164="",H164=""),"Partially Counted",IF(J164=0,"Match",IF(J164&gt;0,"Overage","Shortage")))))</f>
        <v/>
      </c>
      <c r="L164" s="9" t="str">
        <f aca="false">IF($B164="","",IF(AND(L164&lt;&gt;"",L164&lt;&gt;0),L164,$B$4))</f>
        <v/>
      </c>
      <c r="M164" s="12"/>
      <c r="N164" s="12"/>
      <c r="O164" s="12"/>
    </row>
    <row r="165" customFormat="false" ht="15" hidden="false" customHeight="false" outlineLevel="0" collapsed="false">
      <c r="A165" s="7" t="str">
        <f aca="true">IF($B165="","",IF(AND(A165&lt;&gt;"",A165&lt;&gt;0),A165,TODAY()))</f>
        <v/>
      </c>
      <c r="B165" s="8"/>
      <c r="C165" s="9" t="str">
        <f aca="false">IF($B165="","",IF(AND(C165&lt;&gt;"",C165&lt;&gt;0,C165&lt;&gt;"UPC Not Found"),C165,IFERROR(INDEX('Product Master'!$B$2:$B$1000,MATCH($B165,'Product Master'!$A$2:$A$1000,0)),"UPC Not Found")))</f>
        <v/>
      </c>
      <c r="D165" s="9" t="str">
        <f aca="false">IF($B165="","",IF(AND(D165&lt;&gt;"",D165&lt;&gt;0,D165&lt;&gt;"UPC Not Found"),D165,IFERROR(INDEX('Product Master'!$C$2:$C$1000,MATCH($B165,'Product Master'!$A$2:$A$1000,0)),"UPC Not Found")))</f>
        <v/>
      </c>
      <c r="E165" s="9" t="str">
        <f aca="false">IF($B165="","",IF(AND(E165&lt;&gt;"",E165&lt;&gt;0,E165&lt;&gt;"UPC Not Found"),E165,IFERROR(INDEX('Product Master'!$D$2:$D$1000,MATCH($B165,'Product Master'!$A$2:$A$1000,0)),"UPC Not Found")))</f>
        <v/>
      </c>
      <c r="F165" s="10" t="str">
        <f aca="false">IF($B165="","",IF(AND(F165&lt;&gt;"",F165&lt;&gt;0,F165&lt;&gt;"UPC Not Found"),F165,IFERROR(INDEX('Product Master'!$E$2:$E$1000,MATCH($B165,'Product Master'!$A$2:$A$1000,0)),"UPC Not Found")))</f>
        <v/>
      </c>
      <c r="G165" s="11"/>
      <c r="H165" s="11"/>
      <c r="I165" s="10" t="str">
        <f aca="false">IF($B165="","",IF(AND(G165="",H165=""),"",G165+H165))</f>
        <v/>
      </c>
      <c r="J165" s="10" t="str">
        <f aca="false">IF(OR($B165="",I165="",F165="UPC Not Found"),"",I165-F165)</f>
        <v/>
      </c>
      <c r="K165" s="9" t="str">
        <f aca="false">IF($B165="","",IF(AND(G165="",H165=""),"Not Counted",IF(OR(G165="",H165=""),"Partially Counted",IF(J165=0,"Match",IF(J165&gt;0,"Overage","Shortage")))))</f>
        <v/>
      </c>
      <c r="L165" s="9" t="str">
        <f aca="false">IF($B165="","",IF(AND(L165&lt;&gt;"",L165&lt;&gt;0),L165,$B$4))</f>
        <v/>
      </c>
      <c r="M165" s="12"/>
      <c r="N165" s="12"/>
      <c r="O165" s="12"/>
    </row>
    <row r="166" customFormat="false" ht="15" hidden="false" customHeight="false" outlineLevel="0" collapsed="false">
      <c r="A166" s="7" t="str">
        <f aca="true">IF($B166="","",IF(AND(A166&lt;&gt;"",A166&lt;&gt;0),A166,TODAY()))</f>
        <v/>
      </c>
      <c r="B166" s="8"/>
      <c r="C166" s="9" t="str">
        <f aca="false">IF($B166="","",IF(AND(C166&lt;&gt;"",C166&lt;&gt;0,C166&lt;&gt;"UPC Not Found"),C166,IFERROR(INDEX('Product Master'!$B$2:$B$1000,MATCH($B166,'Product Master'!$A$2:$A$1000,0)),"UPC Not Found")))</f>
        <v/>
      </c>
      <c r="D166" s="9" t="str">
        <f aca="false">IF($B166="","",IF(AND(D166&lt;&gt;"",D166&lt;&gt;0,D166&lt;&gt;"UPC Not Found"),D166,IFERROR(INDEX('Product Master'!$C$2:$C$1000,MATCH($B166,'Product Master'!$A$2:$A$1000,0)),"UPC Not Found")))</f>
        <v/>
      </c>
      <c r="E166" s="9" t="str">
        <f aca="false">IF($B166="","",IF(AND(E166&lt;&gt;"",E166&lt;&gt;0,E166&lt;&gt;"UPC Not Found"),E166,IFERROR(INDEX('Product Master'!$D$2:$D$1000,MATCH($B166,'Product Master'!$A$2:$A$1000,0)),"UPC Not Found")))</f>
        <v/>
      </c>
      <c r="F166" s="10" t="str">
        <f aca="false">IF($B166="","",IF(AND(F166&lt;&gt;"",F166&lt;&gt;0,F166&lt;&gt;"UPC Not Found"),F166,IFERROR(INDEX('Product Master'!$E$2:$E$1000,MATCH($B166,'Product Master'!$A$2:$A$1000,0)),"UPC Not Found")))</f>
        <v/>
      </c>
      <c r="G166" s="11"/>
      <c r="H166" s="11"/>
      <c r="I166" s="10" t="str">
        <f aca="false">IF($B166="","",IF(AND(G166="",H166=""),"",G166+H166))</f>
        <v/>
      </c>
      <c r="J166" s="10" t="str">
        <f aca="false">IF(OR($B166="",I166="",F166="UPC Not Found"),"",I166-F166)</f>
        <v/>
      </c>
      <c r="K166" s="9" t="str">
        <f aca="false">IF($B166="","",IF(AND(G166="",H166=""),"Not Counted",IF(OR(G166="",H166=""),"Partially Counted",IF(J166=0,"Match",IF(J166&gt;0,"Overage","Shortage")))))</f>
        <v/>
      </c>
      <c r="L166" s="9" t="str">
        <f aca="false">IF($B166="","",IF(AND(L166&lt;&gt;"",L166&lt;&gt;0),L166,$B$4))</f>
        <v/>
      </c>
      <c r="M166" s="12"/>
      <c r="N166" s="12"/>
      <c r="O166" s="12"/>
    </row>
    <row r="167" customFormat="false" ht="15" hidden="false" customHeight="false" outlineLevel="0" collapsed="false">
      <c r="A167" s="7" t="str">
        <f aca="true">IF($B167="","",IF(AND(A167&lt;&gt;"",A167&lt;&gt;0),A167,TODAY()))</f>
        <v/>
      </c>
      <c r="B167" s="8"/>
      <c r="C167" s="9" t="str">
        <f aca="false">IF($B167="","",IF(AND(C167&lt;&gt;"",C167&lt;&gt;0,C167&lt;&gt;"UPC Not Found"),C167,IFERROR(INDEX('Product Master'!$B$2:$B$1000,MATCH($B167,'Product Master'!$A$2:$A$1000,0)),"UPC Not Found")))</f>
        <v/>
      </c>
      <c r="D167" s="9" t="str">
        <f aca="false">IF($B167="","",IF(AND(D167&lt;&gt;"",D167&lt;&gt;0,D167&lt;&gt;"UPC Not Found"),D167,IFERROR(INDEX('Product Master'!$C$2:$C$1000,MATCH($B167,'Product Master'!$A$2:$A$1000,0)),"UPC Not Found")))</f>
        <v/>
      </c>
      <c r="E167" s="9" t="str">
        <f aca="false">IF($B167="","",IF(AND(E167&lt;&gt;"",E167&lt;&gt;0,E167&lt;&gt;"UPC Not Found"),E167,IFERROR(INDEX('Product Master'!$D$2:$D$1000,MATCH($B167,'Product Master'!$A$2:$A$1000,0)),"UPC Not Found")))</f>
        <v/>
      </c>
      <c r="F167" s="10" t="str">
        <f aca="false">IF($B167="","",IF(AND(F167&lt;&gt;"",F167&lt;&gt;0,F167&lt;&gt;"UPC Not Found"),F167,IFERROR(INDEX('Product Master'!$E$2:$E$1000,MATCH($B167,'Product Master'!$A$2:$A$1000,0)),"UPC Not Found")))</f>
        <v/>
      </c>
      <c r="G167" s="11"/>
      <c r="H167" s="11"/>
      <c r="I167" s="10" t="str">
        <f aca="false">IF($B167="","",IF(AND(G167="",H167=""),"",G167+H167))</f>
        <v/>
      </c>
      <c r="J167" s="10" t="str">
        <f aca="false">IF(OR($B167="",I167="",F167="UPC Not Found"),"",I167-F167)</f>
        <v/>
      </c>
      <c r="K167" s="9" t="str">
        <f aca="false">IF($B167="","",IF(AND(G167="",H167=""),"Not Counted",IF(OR(G167="",H167=""),"Partially Counted",IF(J167=0,"Match",IF(J167&gt;0,"Overage","Shortage")))))</f>
        <v/>
      </c>
      <c r="L167" s="9" t="str">
        <f aca="false">IF($B167="","",IF(AND(L167&lt;&gt;"",L167&lt;&gt;0),L167,$B$4))</f>
        <v/>
      </c>
      <c r="M167" s="12"/>
      <c r="N167" s="12"/>
      <c r="O167" s="12"/>
    </row>
    <row r="168" customFormat="false" ht="15" hidden="false" customHeight="false" outlineLevel="0" collapsed="false">
      <c r="A168" s="7" t="str">
        <f aca="true">IF($B168="","",IF(AND(A168&lt;&gt;"",A168&lt;&gt;0),A168,TODAY()))</f>
        <v/>
      </c>
      <c r="B168" s="8"/>
      <c r="C168" s="9" t="str">
        <f aca="false">IF($B168="","",IF(AND(C168&lt;&gt;"",C168&lt;&gt;0,C168&lt;&gt;"UPC Not Found"),C168,IFERROR(INDEX('Product Master'!$B$2:$B$1000,MATCH($B168,'Product Master'!$A$2:$A$1000,0)),"UPC Not Found")))</f>
        <v/>
      </c>
      <c r="D168" s="9" t="str">
        <f aca="false">IF($B168="","",IF(AND(D168&lt;&gt;"",D168&lt;&gt;0,D168&lt;&gt;"UPC Not Found"),D168,IFERROR(INDEX('Product Master'!$C$2:$C$1000,MATCH($B168,'Product Master'!$A$2:$A$1000,0)),"UPC Not Found")))</f>
        <v/>
      </c>
      <c r="E168" s="9" t="str">
        <f aca="false">IF($B168="","",IF(AND(E168&lt;&gt;"",E168&lt;&gt;0,E168&lt;&gt;"UPC Not Found"),E168,IFERROR(INDEX('Product Master'!$D$2:$D$1000,MATCH($B168,'Product Master'!$A$2:$A$1000,0)),"UPC Not Found")))</f>
        <v/>
      </c>
      <c r="F168" s="10" t="str">
        <f aca="false">IF($B168="","",IF(AND(F168&lt;&gt;"",F168&lt;&gt;0,F168&lt;&gt;"UPC Not Found"),F168,IFERROR(INDEX('Product Master'!$E$2:$E$1000,MATCH($B168,'Product Master'!$A$2:$A$1000,0)),"UPC Not Found")))</f>
        <v/>
      </c>
      <c r="G168" s="11"/>
      <c r="H168" s="11"/>
      <c r="I168" s="10" t="str">
        <f aca="false">IF($B168="","",IF(AND(G168="",H168=""),"",G168+H168))</f>
        <v/>
      </c>
      <c r="J168" s="10" t="str">
        <f aca="false">IF(OR($B168="",I168="",F168="UPC Not Found"),"",I168-F168)</f>
        <v/>
      </c>
      <c r="K168" s="9" t="str">
        <f aca="false">IF($B168="","",IF(AND(G168="",H168=""),"Not Counted",IF(OR(G168="",H168=""),"Partially Counted",IF(J168=0,"Match",IF(J168&gt;0,"Overage","Shortage")))))</f>
        <v/>
      </c>
      <c r="L168" s="9" t="str">
        <f aca="false">IF($B168="","",IF(AND(L168&lt;&gt;"",L168&lt;&gt;0),L168,$B$4))</f>
        <v/>
      </c>
      <c r="M168" s="12"/>
      <c r="N168" s="12"/>
      <c r="O168" s="12"/>
    </row>
    <row r="169" customFormat="false" ht="15" hidden="false" customHeight="false" outlineLevel="0" collapsed="false">
      <c r="A169" s="7" t="str">
        <f aca="true">IF($B169="","",IF(AND(A169&lt;&gt;"",A169&lt;&gt;0),A169,TODAY()))</f>
        <v/>
      </c>
      <c r="B169" s="8"/>
      <c r="C169" s="9" t="str">
        <f aca="false">IF($B169="","",IF(AND(C169&lt;&gt;"",C169&lt;&gt;0,C169&lt;&gt;"UPC Not Found"),C169,IFERROR(INDEX('Product Master'!$B$2:$B$1000,MATCH($B169,'Product Master'!$A$2:$A$1000,0)),"UPC Not Found")))</f>
        <v/>
      </c>
      <c r="D169" s="9" t="str">
        <f aca="false">IF($B169="","",IF(AND(D169&lt;&gt;"",D169&lt;&gt;0,D169&lt;&gt;"UPC Not Found"),D169,IFERROR(INDEX('Product Master'!$C$2:$C$1000,MATCH($B169,'Product Master'!$A$2:$A$1000,0)),"UPC Not Found")))</f>
        <v/>
      </c>
      <c r="E169" s="9" t="str">
        <f aca="false">IF($B169="","",IF(AND(E169&lt;&gt;"",E169&lt;&gt;0,E169&lt;&gt;"UPC Not Found"),E169,IFERROR(INDEX('Product Master'!$D$2:$D$1000,MATCH($B169,'Product Master'!$A$2:$A$1000,0)),"UPC Not Found")))</f>
        <v/>
      </c>
      <c r="F169" s="10" t="str">
        <f aca="false">IF($B169="","",IF(AND(F169&lt;&gt;"",F169&lt;&gt;0,F169&lt;&gt;"UPC Not Found"),F169,IFERROR(INDEX('Product Master'!$E$2:$E$1000,MATCH($B169,'Product Master'!$A$2:$A$1000,0)),"UPC Not Found")))</f>
        <v/>
      </c>
      <c r="G169" s="11"/>
      <c r="H169" s="11"/>
      <c r="I169" s="10" t="str">
        <f aca="false">IF($B169="","",IF(AND(G169="",H169=""),"",G169+H169))</f>
        <v/>
      </c>
      <c r="J169" s="10" t="str">
        <f aca="false">IF(OR($B169="",I169="",F169="UPC Not Found"),"",I169-F169)</f>
        <v/>
      </c>
      <c r="K169" s="9" t="str">
        <f aca="false">IF($B169="","",IF(AND(G169="",H169=""),"Not Counted",IF(OR(G169="",H169=""),"Partially Counted",IF(J169=0,"Match",IF(J169&gt;0,"Overage","Shortage")))))</f>
        <v/>
      </c>
      <c r="L169" s="9" t="str">
        <f aca="false">IF($B169="","",IF(AND(L169&lt;&gt;"",L169&lt;&gt;0),L169,$B$4))</f>
        <v/>
      </c>
      <c r="M169" s="12"/>
      <c r="N169" s="12"/>
      <c r="O169" s="12"/>
    </row>
    <row r="170" customFormat="false" ht="15" hidden="false" customHeight="false" outlineLevel="0" collapsed="false">
      <c r="A170" s="7" t="str">
        <f aca="true">IF($B170="","",IF(AND(A170&lt;&gt;"",A170&lt;&gt;0),A170,TODAY()))</f>
        <v/>
      </c>
      <c r="B170" s="8"/>
      <c r="C170" s="9" t="str">
        <f aca="false">IF($B170="","",IF(AND(C170&lt;&gt;"",C170&lt;&gt;0,C170&lt;&gt;"UPC Not Found"),C170,IFERROR(INDEX('Product Master'!$B$2:$B$1000,MATCH($B170,'Product Master'!$A$2:$A$1000,0)),"UPC Not Found")))</f>
        <v/>
      </c>
      <c r="D170" s="9" t="str">
        <f aca="false">IF($B170="","",IF(AND(D170&lt;&gt;"",D170&lt;&gt;0,D170&lt;&gt;"UPC Not Found"),D170,IFERROR(INDEX('Product Master'!$C$2:$C$1000,MATCH($B170,'Product Master'!$A$2:$A$1000,0)),"UPC Not Found")))</f>
        <v/>
      </c>
      <c r="E170" s="9" t="str">
        <f aca="false">IF($B170="","",IF(AND(E170&lt;&gt;"",E170&lt;&gt;0,E170&lt;&gt;"UPC Not Found"),E170,IFERROR(INDEX('Product Master'!$D$2:$D$1000,MATCH($B170,'Product Master'!$A$2:$A$1000,0)),"UPC Not Found")))</f>
        <v/>
      </c>
      <c r="F170" s="10" t="str">
        <f aca="false">IF($B170="","",IF(AND(F170&lt;&gt;"",F170&lt;&gt;0,F170&lt;&gt;"UPC Not Found"),F170,IFERROR(INDEX('Product Master'!$E$2:$E$1000,MATCH($B170,'Product Master'!$A$2:$A$1000,0)),"UPC Not Found")))</f>
        <v/>
      </c>
      <c r="G170" s="11"/>
      <c r="H170" s="11"/>
      <c r="I170" s="10" t="str">
        <f aca="false">IF($B170="","",IF(AND(G170="",H170=""),"",G170+H170))</f>
        <v/>
      </c>
      <c r="J170" s="10" t="str">
        <f aca="false">IF(OR($B170="",I170="",F170="UPC Not Found"),"",I170-F170)</f>
        <v/>
      </c>
      <c r="K170" s="9" t="str">
        <f aca="false">IF($B170="","",IF(AND(G170="",H170=""),"Not Counted",IF(OR(G170="",H170=""),"Partially Counted",IF(J170=0,"Match",IF(J170&gt;0,"Overage","Shortage")))))</f>
        <v/>
      </c>
      <c r="L170" s="9" t="str">
        <f aca="false">IF($B170="","",IF(AND(L170&lt;&gt;"",L170&lt;&gt;0),L170,$B$4))</f>
        <v/>
      </c>
      <c r="M170" s="12"/>
      <c r="N170" s="12"/>
      <c r="O170" s="12"/>
    </row>
    <row r="171" customFormat="false" ht="15" hidden="false" customHeight="false" outlineLevel="0" collapsed="false">
      <c r="A171" s="7" t="str">
        <f aca="true">IF($B171="","",IF(AND(A171&lt;&gt;"",A171&lt;&gt;0),A171,TODAY()))</f>
        <v/>
      </c>
      <c r="B171" s="8"/>
      <c r="C171" s="9" t="str">
        <f aca="false">IF($B171="","",IF(AND(C171&lt;&gt;"",C171&lt;&gt;0,C171&lt;&gt;"UPC Not Found"),C171,IFERROR(INDEX('Product Master'!$B$2:$B$1000,MATCH($B171,'Product Master'!$A$2:$A$1000,0)),"UPC Not Found")))</f>
        <v/>
      </c>
      <c r="D171" s="9" t="str">
        <f aca="false">IF($B171="","",IF(AND(D171&lt;&gt;"",D171&lt;&gt;0,D171&lt;&gt;"UPC Not Found"),D171,IFERROR(INDEX('Product Master'!$C$2:$C$1000,MATCH($B171,'Product Master'!$A$2:$A$1000,0)),"UPC Not Found")))</f>
        <v/>
      </c>
      <c r="E171" s="9" t="str">
        <f aca="false">IF($B171="","",IF(AND(E171&lt;&gt;"",E171&lt;&gt;0,E171&lt;&gt;"UPC Not Found"),E171,IFERROR(INDEX('Product Master'!$D$2:$D$1000,MATCH($B171,'Product Master'!$A$2:$A$1000,0)),"UPC Not Found")))</f>
        <v/>
      </c>
      <c r="F171" s="10" t="str">
        <f aca="false">IF($B171="","",IF(AND(F171&lt;&gt;"",F171&lt;&gt;0,F171&lt;&gt;"UPC Not Found"),F171,IFERROR(INDEX('Product Master'!$E$2:$E$1000,MATCH($B171,'Product Master'!$A$2:$A$1000,0)),"UPC Not Found")))</f>
        <v/>
      </c>
      <c r="G171" s="11"/>
      <c r="H171" s="11"/>
      <c r="I171" s="10" t="str">
        <f aca="false">IF($B171="","",IF(AND(G171="",H171=""),"",G171+H171))</f>
        <v/>
      </c>
      <c r="J171" s="10" t="str">
        <f aca="false">IF(OR($B171="",I171="",F171="UPC Not Found"),"",I171-F171)</f>
        <v/>
      </c>
      <c r="K171" s="9" t="str">
        <f aca="false">IF($B171="","",IF(AND(G171="",H171=""),"Not Counted",IF(OR(G171="",H171=""),"Partially Counted",IF(J171=0,"Match",IF(J171&gt;0,"Overage","Shortage")))))</f>
        <v/>
      </c>
      <c r="L171" s="9" t="str">
        <f aca="false">IF($B171="","",IF(AND(L171&lt;&gt;"",L171&lt;&gt;0),L171,$B$4))</f>
        <v/>
      </c>
      <c r="M171" s="12"/>
      <c r="N171" s="12"/>
      <c r="O171" s="12"/>
    </row>
    <row r="172" customFormat="false" ht="15" hidden="false" customHeight="false" outlineLevel="0" collapsed="false">
      <c r="A172" s="7" t="str">
        <f aca="true">IF($B172="","",IF(AND(A172&lt;&gt;"",A172&lt;&gt;0),A172,TODAY()))</f>
        <v/>
      </c>
      <c r="B172" s="8"/>
      <c r="C172" s="9" t="str">
        <f aca="false">IF($B172="","",IF(AND(C172&lt;&gt;"",C172&lt;&gt;0,C172&lt;&gt;"UPC Not Found"),C172,IFERROR(INDEX('Product Master'!$B$2:$B$1000,MATCH($B172,'Product Master'!$A$2:$A$1000,0)),"UPC Not Found")))</f>
        <v/>
      </c>
      <c r="D172" s="9" t="str">
        <f aca="false">IF($B172="","",IF(AND(D172&lt;&gt;"",D172&lt;&gt;0,D172&lt;&gt;"UPC Not Found"),D172,IFERROR(INDEX('Product Master'!$C$2:$C$1000,MATCH($B172,'Product Master'!$A$2:$A$1000,0)),"UPC Not Found")))</f>
        <v/>
      </c>
      <c r="E172" s="9" t="str">
        <f aca="false">IF($B172="","",IF(AND(E172&lt;&gt;"",E172&lt;&gt;0,E172&lt;&gt;"UPC Not Found"),E172,IFERROR(INDEX('Product Master'!$D$2:$D$1000,MATCH($B172,'Product Master'!$A$2:$A$1000,0)),"UPC Not Found")))</f>
        <v/>
      </c>
      <c r="F172" s="10" t="str">
        <f aca="false">IF($B172="","",IF(AND(F172&lt;&gt;"",F172&lt;&gt;0,F172&lt;&gt;"UPC Not Found"),F172,IFERROR(INDEX('Product Master'!$E$2:$E$1000,MATCH($B172,'Product Master'!$A$2:$A$1000,0)),"UPC Not Found")))</f>
        <v/>
      </c>
      <c r="G172" s="11"/>
      <c r="H172" s="11"/>
      <c r="I172" s="10" t="str">
        <f aca="false">IF($B172="","",IF(AND(G172="",H172=""),"",G172+H172))</f>
        <v/>
      </c>
      <c r="J172" s="10" t="str">
        <f aca="false">IF(OR($B172="",I172="",F172="UPC Not Found"),"",I172-F172)</f>
        <v/>
      </c>
      <c r="K172" s="9" t="str">
        <f aca="false">IF($B172="","",IF(AND(G172="",H172=""),"Not Counted",IF(OR(G172="",H172=""),"Partially Counted",IF(J172=0,"Match",IF(J172&gt;0,"Overage","Shortage")))))</f>
        <v/>
      </c>
      <c r="L172" s="9" t="str">
        <f aca="false">IF($B172="","",IF(AND(L172&lt;&gt;"",L172&lt;&gt;0),L172,$B$4))</f>
        <v/>
      </c>
      <c r="M172" s="12"/>
      <c r="N172" s="12"/>
      <c r="O172" s="12"/>
    </row>
    <row r="173" customFormat="false" ht="15" hidden="false" customHeight="false" outlineLevel="0" collapsed="false">
      <c r="A173" s="7" t="str">
        <f aca="true">IF($B173="","",IF(AND(A173&lt;&gt;"",A173&lt;&gt;0),A173,TODAY()))</f>
        <v/>
      </c>
      <c r="B173" s="8"/>
      <c r="C173" s="9" t="str">
        <f aca="false">IF($B173="","",IF(AND(C173&lt;&gt;"",C173&lt;&gt;0,C173&lt;&gt;"UPC Not Found"),C173,IFERROR(INDEX('Product Master'!$B$2:$B$1000,MATCH($B173,'Product Master'!$A$2:$A$1000,0)),"UPC Not Found")))</f>
        <v/>
      </c>
      <c r="D173" s="9" t="str">
        <f aca="false">IF($B173="","",IF(AND(D173&lt;&gt;"",D173&lt;&gt;0,D173&lt;&gt;"UPC Not Found"),D173,IFERROR(INDEX('Product Master'!$C$2:$C$1000,MATCH($B173,'Product Master'!$A$2:$A$1000,0)),"UPC Not Found")))</f>
        <v/>
      </c>
      <c r="E173" s="9" t="str">
        <f aca="false">IF($B173="","",IF(AND(E173&lt;&gt;"",E173&lt;&gt;0,E173&lt;&gt;"UPC Not Found"),E173,IFERROR(INDEX('Product Master'!$D$2:$D$1000,MATCH($B173,'Product Master'!$A$2:$A$1000,0)),"UPC Not Found")))</f>
        <v/>
      </c>
      <c r="F173" s="10" t="str">
        <f aca="false">IF($B173="","",IF(AND(F173&lt;&gt;"",F173&lt;&gt;0,F173&lt;&gt;"UPC Not Found"),F173,IFERROR(INDEX('Product Master'!$E$2:$E$1000,MATCH($B173,'Product Master'!$A$2:$A$1000,0)),"UPC Not Found")))</f>
        <v/>
      </c>
      <c r="G173" s="11"/>
      <c r="H173" s="11"/>
      <c r="I173" s="10" t="str">
        <f aca="false">IF($B173="","",IF(AND(G173="",H173=""),"",G173+H173))</f>
        <v/>
      </c>
      <c r="J173" s="10" t="str">
        <f aca="false">IF(OR($B173="",I173="",F173="UPC Not Found"),"",I173-F173)</f>
        <v/>
      </c>
      <c r="K173" s="9" t="str">
        <f aca="false">IF($B173="","",IF(AND(G173="",H173=""),"Not Counted",IF(OR(G173="",H173=""),"Partially Counted",IF(J173=0,"Match",IF(J173&gt;0,"Overage","Shortage")))))</f>
        <v/>
      </c>
      <c r="L173" s="9" t="str">
        <f aca="false">IF($B173="","",IF(AND(L173&lt;&gt;"",L173&lt;&gt;0),L173,$B$4))</f>
        <v/>
      </c>
      <c r="M173" s="12"/>
      <c r="N173" s="12"/>
      <c r="O173" s="12"/>
    </row>
    <row r="174" customFormat="false" ht="15" hidden="false" customHeight="false" outlineLevel="0" collapsed="false">
      <c r="A174" s="7" t="str">
        <f aca="true">IF($B174="","",IF(AND(A174&lt;&gt;"",A174&lt;&gt;0),A174,TODAY()))</f>
        <v/>
      </c>
      <c r="B174" s="8"/>
      <c r="C174" s="9" t="str">
        <f aca="false">IF($B174="","",IF(AND(C174&lt;&gt;"",C174&lt;&gt;0,C174&lt;&gt;"UPC Not Found"),C174,IFERROR(INDEX('Product Master'!$B$2:$B$1000,MATCH($B174,'Product Master'!$A$2:$A$1000,0)),"UPC Not Found")))</f>
        <v/>
      </c>
      <c r="D174" s="9" t="str">
        <f aca="false">IF($B174="","",IF(AND(D174&lt;&gt;"",D174&lt;&gt;0,D174&lt;&gt;"UPC Not Found"),D174,IFERROR(INDEX('Product Master'!$C$2:$C$1000,MATCH($B174,'Product Master'!$A$2:$A$1000,0)),"UPC Not Found")))</f>
        <v/>
      </c>
      <c r="E174" s="9" t="str">
        <f aca="false">IF($B174="","",IF(AND(E174&lt;&gt;"",E174&lt;&gt;0,E174&lt;&gt;"UPC Not Found"),E174,IFERROR(INDEX('Product Master'!$D$2:$D$1000,MATCH($B174,'Product Master'!$A$2:$A$1000,0)),"UPC Not Found")))</f>
        <v/>
      </c>
      <c r="F174" s="10" t="str">
        <f aca="false">IF($B174="","",IF(AND(F174&lt;&gt;"",F174&lt;&gt;0,F174&lt;&gt;"UPC Not Found"),F174,IFERROR(INDEX('Product Master'!$E$2:$E$1000,MATCH($B174,'Product Master'!$A$2:$A$1000,0)),"UPC Not Found")))</f>
        <v/>
      </c>
      <c r="G174" s="11"/>
      <c r="H174" s="11"/>
      <c r="I174" s="10" t="str">
        <f aca="false">IF($B174="","",IF(AND(G174="",H174=""),"",G174+H174))</f>
        <v/>
      </c>
      <c r="J174" s="10" t="str">
        <f aca="false">IF(OR($B174="",I174="",F174="UPC Not Found"),"",I174-F174)</f>
        <v/>
      </c>
      <c r="K174" s="9" t="str">
        <f aca="false">IF($B174="","",IF(AND(G174="",H174=""),"Not Counted",IF(OR(G174="",H174=""),"Partially Counted",IF(J174=0,"Match",IF(J174&gt;0,"Overage","Shortage")))))</f>
        <v/>
      </c>
      <c r="L174" s="9" t="str">
        <f aca="false">IF($B174="","",IF(AND(L174&lt;&gt;"",L174&lt;&gt;0),L174,$B$4))</f>
        <v/>
      </c>
      <c r="M174" s="12"/>
      <c r="N174" s="12"/>
      <c r="O174" s="12"/>
    </row>
    <row r="175" customFormat="false" ht="15" hidden="false" customHeight="false" outlineLevel="0" collapsed="false">
      <c r="A175" s="7" t="str">
        <f aca="true">IF($B175="","",IF(AND(A175&lt;&gt;"",A175&lt;&gt;0),A175,TODAY()))</f>
        <v/>
      </c>
      <c r="B175" s="8"/>
      <c r="C175" s="9" t="str">
        <f aca="false">IF($B175="","",IF(AND(C175&lt;&gt;"",C175&lt;&gt;0,C175&lt;&gt;"UPC Not Found"),C175,IFERROR(INDEX('Product Master'!$B$2:$B$1000,MATCH($B175,'Product Master'!$A$2:$A$1000,0)),"UPC Not Found")))</f>
        <v/>
      </c>
      <c r="D175" s="9" t="str">
        <f aca="false">IF($B175="","",IF(AND(D175&lt;&gt;"",D175&lt;&gt;0,D175&lt;&gt;"UPC Not Found"),D175,IFERROR(INDEX('Product Master'!$C$2:$C$1000,MATCH($B175,'Product Master'!$A$2:$A$1000,0)),"UPC Not Found")))</f>
        <v/>
      </c>
      <c r="E175" s="9" t="str">
        <f aca="false">IF($B175="","",IF(AND(E175&lt;&gt;"",E175&lt;&gt;0,E175&lt;&gt;"UPC Not Found"),E175,IFERROR(INDEX('Product Master'!$D$2:$D$1000,MATCH($B175,'Product Master'!$A$2:$A$1000,0)),"UPC Not Found")))</f>
        <v/>
      </c>
      <c r="F175" s="10" t="str">
        <f aca="false">IF($B175="","",IF(AND(F175&lt;&gt;"",F175&lt;&gt;0,F175&lt;&gt;"UPC Not Found"),F175,IFERROR(INDEX('Product Master'!$E$2:$E$1000,MATCH($B175,'Product Master'!$A$2:$A$1000,0)),"UPC Not Found")))</f>
        <v/>
      </c>
      <c r="G175" s="11"/>
      <c r="H175" s="11"/>
      <c r="I175" s="10" t="str">
        <f aca="false">IF($B175="","",IF(AND(G175="",H175=""),"",G175+H175))</f>
        <v/>
      </c>
      <c r="J175" s="10" t="str">
        <f aca="false">IF(OR($B175="",I175="",F175="UPC Not Found"),"",I175-F175)</f>
        <v/>
      </c>
      <c r="K175" s="9" t="str">
        <f aca="false">IF($B175="","",IF(AND(G175="",H175=""),"Not Counted",IF(OR(G175="",H175=""),"Partially Counted",IF(J175=0,"Match",IF(J175&gt;0,"Overage","Shortage")))))</f>
        <v/>
      </c>
      <c r="L175" s="9" t="str">
        <f aca="false">IF($B175="","",IF(AND(L175&lt;&gt;"",L175&lt;&gt;0),L175,$B$4))</f>
        <v/>
      </c>
      <c r="M175" s="12"/>
      <c r="N175" s="12"/>
      <c r="O175" s="12"/>
    </row>
    <row r="176" customFormat="false" ht="15" hidden="false" customHeight="false" outlineLevel="0" collapsed="false">
      <c r="A176" s="7" t="str">
        <f aca="true">IF($B176="","",IF(AND(A176&lt;&gt;"",A176&lt;&gt;0),A176,TODAY()))</f>
        <v/>
      </c>
      <c r="B176" s="8"/>
      <c r="C176" s="9" t="str">
        <f aca="false">IF($B176="","",IF(AND(C176&lt;&gt;"",C176&lt;&gt;0,C176&lt;&gt;"UPC Not Found"),C176,IFERROR(INDEX('Product Master'!$B$2:$B$1000,MATCH($B176,'Product Master'!$A$2:$A$1000,0)),"UPC Not Found")))</f>
        <v/>
      </c>
      <c r="D176" s="9" t="str">
        <f aca="false">IF($B176="","",IF(AND(D176&lt;&gt;"",D176&lt;&gt;0,D176&lt;&gt;"UPC Not Found"),D176,IFERROR(INDEX('Product Master'!$C$2:$C$1000,MATCH($B176,'Product Master'!$A$2:$A$1000,0)),"UPC Not Found")))</f>
        <v/>
      </c>
      <c r="E176" s="9" t="str">
        <f aca="false">IF($B176="","",IF(AND(E176&lt;&gt;"",E176&lt;&gt;0,E176&lt;&gt;"UPC Not Found"),E176,IFERROR(INDEX('Product Master'!$D$2:$D$1000,MATCH($B176,'Product Master'!$A$2:$A$1000,0)),"UPC Not Found")))</f>
        <v/>
      </c>
      <c r="F176" s="10" t="str">
        <f aca="false">IF($B176="","",IF(AND(F176&lt;&gt;"",F176&lt;&gt;0,F176&lt;&gt;"UPC Not Found"),F176,IFERROR(INDEX('Product Master'!$E$2:$E$1000,MATCH($B176,'Product Master'!$A$2:$A$1000,0)),"UPC Not Found")))</f>
        <v/>
      </c>
      <c r="G176" s="11"/>
      <c r="H176" s="11"/>
      <c r="I176" s="10" t="str">
        <f aca="false">IF($B176="","",IF(AND(G176="",H176=""),"",G176+H176))</f>
        <v/>
      </c>
      <c r="J176" s="10" t="str">
        <f aca="false">IF(OR($B176="",I176="",F176="UPC Not Found"),"",I176-F176)</f>
        <v/>
      </c>
      <c r="K176" s="9" t="str">
        <f aca="false">IF($B176="","",IF(AND(G176="",H176=""),"Not Counted",IF(OR(G176="",H176=""),"Partially Counted",IF(J176=0,"Match",IF(J176&gt;0,"Overage","Shortage")))))</f>
        <v/>
      </c>
      <c r="L176" s="9" t="str">
        <f aca="false">IF($B176="","",IF(AND(L176&lt;&gt;"",L176&lt;&gt;0),L176,$B$4))</f>
        <v/>
      </c>
      <c r="M176" s="12"/>
      <c r="N176" s="12"/>
      <c r="O176" s="12"/>
    </row>
    <row r="177" customFormat="false" ht="15" hidden="false" customHeight="false" outlineLevel="0" collapsed="false">
      <c r="A177" s="7" t="str">
        <f aca="true">IF($B177="","",IF(AND(A177&lt;&gt;"",A177&lt;&gt;0),A177,TODAY()))</f>
        <v/>
      </c>
      <c r="B177" s="8"/>
      <c r="C177" s="9" t="str">
        <f aca="false">IF($B177="","",IF(AND(C177&lt;&gt;"",C177&lt;&gt;0,C177&lt;&gt;"UPC Not Found"),C177,IFERROR(INDEX('Product Master'!$B$2:$B$1000,MATCH($B177,'Product Master'!$A$2:$A$1000,0)),"UPC Not Found")))</f>
        <v/>
      </c>
      <c r="D177" s="9" t="str">
        <f aca="false">IF($B177="","",IF(AND(D177&lt;&gt;"",D177&lt;&gt;0,D177&lt;&gt;"UPC Not Found"),D177,IFERROR(INDEX('Product Master'!$C$2:$C$1000,MATCH($B177,'Product Master'!$A$2:$A$1000,0)),"UPC Not Found")))</f>
        <v/>
      </c>
      <c r="E177" s="9" t="str">
        <f aca="false">IF($B177="","",IF(AND(E177&lt;&gt;"",E177&lt;&gt;0,E177&lt;&gt;"UPC Not Found"),E177,IFERROR(INDEX('Product Master'!$D$2:$D$1000,MATCH($B177,'Product Master'!$A$2:$A$1000,0)),"UPC Not Found")))</f>
        <v/>
      </c>
      <c r="F177" s="10" t="str">
        <f aca="false">IF($B177="","",IF(AND(F177&lt;&gt;"",F177&lt;&gt;0,F177&lt;&gt;"UPC Not Found"),F177,IFERROR(INDEX('Product Master'!$E$2:$E$1000,MATCH($B177,'Product Master'!$A$2:$A$1000,0)),"UPC Not Found")))</f>
        <v/>
      </c>
      <c r="G177" s="11"/>
      <c r="H177" s="11"/>
      <c r="I177" s="10" t="str">
        <f aca="false">IF($B177="","",IF(AND(G177="",H177=""),"",G177+H177))</f>
        <v/>
      </c>
      <c r="J177" s="10" t="str">
        <f aca="false">IF(OR($B177="",I177="",F177="UPC Not Found"),"",I177-F177)</f>
        <v/>
      </c>
      <c r="K177" s="9" t="str">
        <f aca="false">IF($B177="","",IF(AND(G177="",H177=""),"Not Counted",IF(OR(G177="",H177=""),"Partially Counted",IF(J177=0,"Match",IF(J177&gt;0,"Overage","Shortage")))))</f>
        <v/>
      </c>
      <c r="L177" s="9" t="str">
        <f aca="false">IF($B177="","",IF(AND(L177&lt;&gt;"",L177&lt;&gt;0),L177,$B$4))</f>
        <v/>
      </c>
      <c r="M177" s="12"/>
      <c r="N177" s="12"/>
      <c r="O177" s="12"/>
    </row>
    <row r="178" customFormat="false" ht="15" hidden="false" customHeight="false" outlineLevel="0" collapsed="false">
      <c r="A178" s="7" t="str">
        <f aca="true">IF($B178="","",IF(AND(A178&lt;&gt;"",A178&lt;&gt;0),A178,TODAY()))</f>
        <v/>
      </c>
      <c r="B178" s="8"/>
      <c r="C178" s="9" t="str">
        <f aca="false">IF($B178="","",IF(AND(C178&lt;&gt;"",C178&lt;&gt;0,C178&lt;&gt;"UPC Not Found"),C178,IFERROR(INDEX('Product Master'!$B$2:$B$1000,MATCH($B178,'Product Master'!$A$2:$A$1000,0)),"UPC Not Found")))</f>
        <v/>
      </c>
      <c r="D178" s="9" t="str">
        <f aca="false">IF($B178="","",IF(AND(D178&lt;&gt;"",D178&lt;&gt;0,D178&lt;&gt;"UPC Not Found"),D178,IFERROR(INDEX('Product Master'!$C$2:$C$1000,MATCH($B178,'Product Master'!$A$2:$A$1000,0)),"UPC Not Found")))</f>
        <v/>
      </c>
      <c r="E178" s="9" t="str">
        <f aca="false">IF($B178="","",IF(AND(E178&lt;&gt;"",E178&lt;&gt;0,E178&lt;&gt;"UPC Not Found"),E178,IFERROR(INDEX('Product Master'!$D$2:$D$1000,MATCH($B178,'Product Master'!$A$2:$A$1000,0)),"UPC Not Found")))</f>
        <v/>
      </c>
      <c r="F178" s="10" t="str">
        <f aca="false">IF($B178="","",IF(AND(F178&lt;&gt;"",F178&lt;&gt;0,F178&lt;&gt;"UPC Not Found"),F178,IFERROR(INDEX('Product Master'!$E$2:$E$1000,MATCH($B178,'Product Master'!$A$2:$A$1000,0)),"UPC Not Found")))</f>
        <v/>
      </c>
      <c r="G178" s="11"/>
      <c r="H178" s="11"/>
      <c r="I178" s="10" t="str">
        <f aca="false">IF($B178="","",IF(AND(G178="",H178=""),"",G178+H178))</f>
        <v/>
      </c>
      <c r="J178" s="10" t="str">
        <f aca="false">IF(OR($B178="",I178="",F178="UPC Not Found"),"",I178-F178)</f>
        <v/>
      </c>
      <c r="K178" s="9" t="str">
        <f aca="false">IF($B178="","",IF(AND(G178="",H178=""),"Not Counted",IF(OR(G178="",H178=""),"Partially Counted",IF(J178=0,"Match",IF(J178&gt;0,"Overage","Shortage")))))</f>
        <v/>
      </c>
      <c r="L178" s="9" t="str">
        <f aca="false">IF($B178="","",IF(AND(L178&lt;&gt;"",L178&lt;&gt;0),L178,$B$4))</f>
        <v/>
      </c>
      <c r="M178" s="12"/>
      <c r="N178" s="12"/>
      <c r="O178" s="12"/>
    </row>
    <row r="179" customFormat="false" ht="15" hidden="false" customHeight="false" outlineLevel="0" collapsed="false">
      <c r="A179" s="7" t="str">
        <f aca="true">IF($B179="","",IF(AND(A179&lt;&gt;"",A179&lt;&gt;0),A179,TODAY()))</f>
        <v/>
      </c>
      <c r="B179" s="8"/>
      <c r="C179" s="9" t="str">
        <f aca="false">IF($B179="","",IF(AND(C179&lt;&gt;"",C179&lt;&gt;0,C179&lt;&gt;"UPC Not Found"),C179,IFERROR(INDEX('Product Master'!$B$2:$B$1000,MATCH($B179,'Product Master'!$A$2:$A$1000,0)),"UPC Not Found")))</f>
        <v/>
      </c>
      <c r="D179" s="9" t="str">
        <f aca="false">IF($B179="","",IF(AND(D179&lt;&gt;"",D179&lt;&gt;0,D179&lt;&gt;"UPC Not Found"),D179,IFERROR(INDEX('Product Master'!$C$2:$C$1000,MATCH($B179,'Product Master'!$A$2:$A$1000,0)),"UPC Not Found")))</f>
        <v/>
      </c>
      <c r="E179" s="9" t="str">
        <f aca="false">IF($B179="","",IF(AND(E179&lt;&gt;"",E179&lt;&gt;0,E179&lt;&gt;"UPC Not Found"),E179,IFERROR(INDEX('Product Master'!$D$2:$D$1000,MATCH($B179,'Product Master'!$A$2:$A$1000,0)),"UPC Not Found")))</f>
        <v/>
      </c>
      <c r="F179" s="10" t="str">
        <f aca="false">IF($B179="","",IF(AND(F179&lt;&gt;"",F179&lt;&gt;0,F179&lt;&gt;"UPC Not Found"),F179,IFERROR(INDEX('Product Master'!$E$2:$E$1000,MATCH($B179,'Product Master'!$A$2:$A$1000,0)),"UPC Not Found")))</f>
        <v/>
      </c>
      <c r="G179" s="11"/>
      <c r="H179" s="11"/>
      <c r="I179" s="10" t="str">
        <f aca="false">IF($B179="","",IF(AND(G179="",H179=""),"",G179+H179))</f>
        <v/>
      </c>
      <c r="J179" s="10" t="str">
        <f aca="false">IF(OR($B179="",I179="",F179="UPC Not Found"),"",I179-F179)</f>
        <v/>
      </c>
      <c r="K179" s="9" t="str">
        <f aca="false">IF($B179="","",IF(AND(G179="",H179=""),"Not Counted",IF(OR(G179="",H179=""),"Partially Counted",IF(J179=0,"Match",IF(J179&gt;0,"Overage","Shortage")))))</f>
        <v/>
      </c>
      <c r="L179" s="9" t="str">
        <f aca="false">IF($B179="","",IF(AND(L179&lt;&gt;"",L179&lt;&gt;0),L179,$B$4))</f>
        <v/>
      </c>
      <c r="M179" s="12"/>
      <c r="N179" s="12"/>
      <c r="O179" s="12"/>
    </row>
    <row r="180" customFormat="false" ht="15" hidden="false" customHeight="false" outlineLevel="0" collapsed="false">
      <c r="A180" s="7" t="str">
        <f aca="true">IF($B180="","",IF(AND(A180&lt;&gt;"",A180&lt;&gt;0),A180,TODAY()))</f>
        <v/>
      </c>
      <c r="B180" s="8"/>
      <c r="C180" s="9" t="str">
        <f aca="false">IF($B180="","",IF(AND(C180&lt;&gt;"",C180&lt;&gt;0,C180&lt;&gt;"UPC Not Found"),C180,IFERROR(INDEX('Product Master'!$B$2:$B$1000,MATCH($B180,'Product Master'!$A$2:$A$1000,0)),"UPC Not Found")))</f>
        <v/>
      </c>
      <c r="D180" s="9" t="str">
        <f aca="false">IF($B180="","",IF(AND(D180&lt;&gt;"",D180&lt;&gt;0,D180&lt;&gt;"UPC Not Found"),D180,IFERROR(INDEX('Product Master'!$C$2:$C$1000,MATCH($B180,'Product Master'!$A$2:$A$1000,0)),"UPC Not Found")))</f>
        <v/>
      </c>
      <c r="E180" s="9" t="str">
        <f aca="false">IF($B180="","",IF(AND(E180&lt;&gt;"",E180&lt;&gt;0,E180&lt;&gt;"UPC Not Found"),E180,IFERROR(INDEX('Product Master'!$D$2:$D$1000,MATCH($B180,'Product Master'!$A$2:$A$1000,0)),"UPC Not Found")))</f>
        <v/>
      </c>
      <c r="F180" s="10" t="str">
        <f aca="false">IF($B180="","",IF(AND(F180&lt;&gt;"",F180&lt;&gt;0,F180&lt;&gt;"UPC Not Found"),F180,IFERROR(INDEX('Product Master'!$E$2:$E$1000,MATCH($B180,'Product Master'!$A$2:$A$1000,0)),"UPC Not Found")))</f>
        <v/>
      </c>
      <c r="G180" s="11"/>
      <c r="H180" s="11"/>
      <c r="I180" s="10" t="str">
        <f aca="false">IF($B180="","",IF(AND(G180="",H180=""),"",G180+H180))</f>
        <v/>
      </c>
      <c r="J180" s="10" t="str">
        <f aca="false">IF(OR($B180="",I180="",F180="UPC Not Found"),"",I180-F180)</f>
        <v/>
      </c>
      <c r="K180" s="9" t="str">
        <f aca="false">IF($B180="","",IF(AND(G180="",H180=""),"Not Counted",IF(OR(G180="",H180=""),"Partially Counted",IF(J180=0,"Match",IF(J180&gt;0,"Overage","Shortage")))))</f>
        <v/>
      </c>
      <c r="L180" s="9" t="str">
        <f aca="false">IF($B180="","",IF(AND(L180&lt;&gt;"",L180&lt;&gt;0),L180,$B$4))</f>
        <v/>
      </c>
      <c r="M180" s="12"/>
      <c r="N180" s="12"/>
      <c r="O180" s="12"/>
    </row>
    <row r="181" customFormat="false" ht="15" hidden="false" customHeight="false" outlineLevel="0" collapsed="false">
      <c r="A181" s="7" t="str">
        <f aca="true">IF($B181="","",IF(AND(A181&lt;&gt;"",A181&lt;&gt;0),A181,TODAY()))</f>
        <v/>
      </c>
      <c r="B181" s="8"/>
      <c r="C181" s="9" t="str">
        <f aca="false">IF($B181="","",IF(AND(C181&lt;&gt;"",C181&lt;&gt;0,C181&lt;&gt;"UPC Not Found"),C181,IFERROR(INDEX('Product Master'!$B$2:$B$1000,MATCH($B181,'Product Master'!$A$2:$A$1000,0)),"UPC Not Found")))</f>
        <v/>
      </c>
      <c r="D181" s="9" t="str">
        <f aca="false">IF($B181="","",IF(AND(D181&lt;&gt;"",D181&lt;&gt;0,D181&lt;&gt;"UPC Not Found"),D181,IFERROR(INDEX('Product Master'!$C$2:$C$1000,MATCH($B181,'Product Master'!$A$2:$A$1000,0)),"UPC Not Found")))</f>
        <v/>
      </c>
      <c r="E181" s="9" t="str">
        <f aca="false">IF($B181="","",IF(AND(E181&lt;&gt;"",E181&lt;&gt;0,E181&lt;&gt;"UPC Not Found"),E181,IFERROR(INDEX('Product Master'!$D$2:$D$1000,MATCH($B181,'Product Master'!$A$2:$A$1000,0)),"UPC Not Found")))</f>
        <v/>
      </c>
      <c r="F181" s="10" t="str">
        <f aca="false">IF($B181="","",IF(AND(F181&lt;&gt;"",F181&lt;&gt;0,F181&lt;&gt;"UPC Not Found"),F181,IFERROR(INDEX('Product Master'!$E$2:$E$1000,MATCH($B181,'Product Master'!$A$2:$A$1000,0)),"UPC Not Found")))</f>
        <v/>
      </c>
      <c r="G181" s="11"/>
      <c r="H181" s="11"/>
      <c r="I181" s="10" t="str">
        <f aca="false">IF($B181="","",IF(AND(G181="",H181=""),"",G181+H181))</f>
        <v/>
      </c>
      <c r="J181" s="10" t="str">
        <f aca="false">IF(OR($B181="",I181="",F181="UPC Not Found"),"",I181-F181)</f>
        <v/>
      </c>
      <c r="K181" s="9" t="str">
        <f aca="false">IF($B181="","",IF(AND(G181="",H181=""),"Not Counted",IF(OR(G181="",H181=""),"Partially Counted",IF(J181=0,"Match",IF(J181&gt;0,"Overage","Shortage")))))</f>
        <v/>
      </c>
      <c r="L181" s="9" t="str">
        <f aca="false">IF($B181="","",IF(AND(L181&lt;&gt;"",L181&lt;&gt;0),L181,$B$4))</f>
        <v/>
      </c>
      <c r="M181" s="12"/>
      <c r="N181" s="12"/>
      <c r="O181" s="12"/>
    </row>
    <row r="182" customFormat="false" ht="15" hidden="false" customHeight="false" outlineLevel="0" collapsed="false">
      <c r="A182" s="7" t="str">
        <f aca="true">IF($B182="","",IF(AND(A182&lt;&gt;"",A182&lt;&gt;0),A182,TODAY()))</f>
        <v/>
      </c>
      <c r="B182" s="8"/>
      <c r="C182" s="9" t="str">
        <f aca="false">IF($B182="","",IF(AND(C182&lt;&gt;"",C182&lt;&gt;0,C182&lt;&gt;"UPC Not Found"),C182,IFERROR(INDEX('Product Master'!$B$2:$B$1000,MATCH($B182,'Product Master'!$A$2:$A$1000,0)),"UPC Not Found")))</f>
        <v/>
      </c>
      <c r="D182" s="9" t="str">
        <f aca="false">IF($B182="","",IF(AND(D182&lt;&gt;"",D182&lt;&gt;0,D182&lt;&gt;"UPC Not Found"),D182,IFERROR(INDEX('Product Master'!$C$2:$C$1000,MATCH($B182,'Product Master'!$A$2:$A$1000,0)),"UPC Not Found")))</f>
        <v/>
      </c>
      <c r="E182" s="9" t="str">
        <f aca="false">IF($B182="","",IF(AND(E182&lt;&gt;"",E182&lt;&gt;0,E182&lt;&gt;"UPC Not Found"),E182,IFERROR(INDEX('Product Master'!$D$2:$D$1000,MATCH($B182,'Product Master'!$A$2:$A$1000,0)),"UPC Not Found")))</f>
        <v/>
      </c>
      <c r="F182" s="10" t="str">
        <f aca="false">IF($B182="","",IF(AND(F182&lt;&gt;"",F182&lt;&gt;0,F182&lt;&gt;"UPC Not Found"),F182,IFERROR(INDEX('Product Master'!$E$2:$E$1000,MATCH($B182,'Product Master'!$A$2:$A$1000,0)),"UPC Not Found")))</f>
        <v/>
      </c>
      <c r="G182" s="11"/>
      <c r="H182" s="11"/>
      <c r="I182" s="10" t="str">
        <f aca="false">IF($B182="","",IF(AND(G182="",H182=""),"",G182+H182))</f>
        <v/>
      </c>
      <c r="J182" s="10" t="str">
        <f aca="false">IF(OR($B182="",I182="",F182="UPC Not Found"),"",I182-F182)</f>
        <v/>
      </c>
      <c r="K182" s="9" t="str">
        <f aca="false">IF($B182="","",IF(AND(G182="",H182=""),"Not Counted",IF(OR(G182="",H182=""),"Partially Counted",IF(J182=0,"Match",IF(J182&gt;0,"Overage","Shortage")))))</f>
        <v/>
      </c>
      <c r="L182" s="9" t="str">
        <f aca="false">IF($B182="","",IF(AND(L182&lt;&gt;"",L182&lt;&gt;0),L182,$B$4))</f>
        <v/>
      </c>
      <c r="M182" s="12"/>
      <c r="N182" s="12"/>
      <c r="O182" s="12"/>
    </row>
    <row r="183" customFormat="false" ht="15" hidden="false" customHeight="false" outlineLevel="0" collapsed="false">
      <c r="A183" s="7" t="str">
        <f aca="true">IF($B183="","",IF(AND(A183&lt;&gt;"",A183&lt;&gt;0),A183,TODAY()))</f>
        <v/>
      </c>
      <c r="B183" s="8"/>
      <c r="C183" s="9" t="str">
        <f aca="false">IF($B183="","",IF(AND(C183&lt;&gt;"",C183&lt;&gt;0,C183&lt;&gt;"UPC Not Found"),C183,IFERROR(INDEX('Product Master'!$B$2:$B$1000,MATCH($B183,'Product Master'!$A$2:$A$1000,0)),"UPC Not Found")))</f>
        <v/>
      </c>
      <c r="D183" s="9" t="str">
        <f aca="false">IF($B183="","",IF(AND(D183&lt;&gt;"",D183&lt;&gt;0,D183&lt;&gt;"UPC Not Found"),D183,IFERROR(INDEX('Product Master'!$C$2:$C$1000,MATCH($B183,'Product Master'!$A$2:$A$1000,0)),"UPC Not Found")))</f>
        <v/>
      </c>
      <c r="E183" s="9" t="str">
        <f aca="false">IF($B183="","",IF(AND(E183&lt;&gt;"",E183&lt;&gt;0,E183&lt;&gt;"UPC Not Found"),E183,IFERROR(INDEX('Product Master'!$D$2:$D$1000,MATCH($B183,'Product Master'!$A$2:$A$1000,0)),"UPC Not Found")))</f>
        <v/>
      </c>
      <c r="F183" s="10" t="str">
        <f aca="false">IF($B183="","",IF(AND(F183&lt;&gt;"",F183&lt;&gt;0,F183&lt;&gt;"UPC Not Found"),F183,IFERROR(INDEX('Product Master'!$E$2:$E$1000,MATCH($B183,'Product Master'!$A$2:$A$1000,0)),"UPC Not Found")))</f>
        <v/>
      </c>
      <c r="G183" s="11"/>
      <c r="H183" s="11"/>
      <c r="I183" s="10" t="str">
        <f aca="false">IF($B183="","",IF(AND(G183="",H183=""),"",G183+H183))</f>
        <v/>
      </c>
      <c r="J183" s="10" t="str">
        <f aca="false">IF(OR($B183="",I183="",F183="UPC Not Found"),"",I183-F183)</f>
        <v/>
      </c>
      <c r="K183" s="9" t="str">
        <f aca="false">IF($B183="","",IF(AND(G183="",H183=""),"Not Counted",IF(OR(G183="",H183=""),"Partially Counted",IF(J183=0,"Match",IF(J183&gt;0,"Overage","Shortage")))))</f>
        <v/>
      </c>
      <c r="L183" s="9" t="str">
        <f aca="false">IF($B183="","",IF(AND(L183&lt;&gt;"",L183&lt;&gt;0),L183,$B$4))</f>
        <v/>
      </c>
      <c r="M183" s="12"/>
      <c r="N183" s="12"/>
      <c r="O183" s="12"/>
    </row>
    <row r="184" customFormat="false" ht="15" hidden="false" customHeight="false" outlineLevel="0" collapsed="false">
      <c r="A184" s="7" t="str">
        <f aca="true">IF($B184="","",IF(AND(A184&lt;&gt;"",A184&lt;&gt;0),A184,TODAY()))</f>
        <v/>
      </c>
      <c r="B184" s="8"/>
      <c r="C184" s="9" t="str">
        <f aca="false">IF($B184="","",IF(AND(C184&lt;&gt;"",C184&lt;&gt;0,C184&lt;&gt;"UPC Not Found"),C184,IFERROR(INDEX('Product Master'!$B$2:$B$1000,MATCH($B184,'Product Master'!$A$2:$A$1000,0)),"UPC Not Found")))</f>
        <v/>
      </c>
      <c r="D184" s="9" t="str">
        <f aca="false">IF($B184="","",IF(AND(D184&lt;&gt;"",D184&lt;&gt;0,D184&lt;&gt;"UPC Not Found"),D184,IFERROR(INDEX('Product Master'!$C$2:$C$1000,MATCH($B184,'Product Master'!$A$2:$A$1000,0)),"UPC Not Found")))</f>
        <v/>
      </c>
      <c r="E184" s="9" t="str">
        <f aca="false">IF($B184="","",IF(AND(E184&lt;&gt;"",E184&lt;&gt;0,E184&lt;&gt;"UPC Not Found"),E184,IFERROR(INDEX('Product Master'!$D$2:$D$1000,MATCH($B184,'Product Master'!$A$2:$A$1000,0)),"UPC Not Found")))</f>
        <v/>
      </c>
      <c r="F184" s="10" t="str">
        <f aca="false">IF($B184="","",IF(AND(F184&lt;&gt;"",F184&lt;&gt;0,F184&lt;&gt;"UPC Not Found"),F184,IFERROR(INDEX('Product Master'!$E$2:$E$1000,MATCH($B184,'Product Master'!$A$2:$A$1000,0)),"UPC Not Found")))</f>
        <v/>
      </c>
      <c r="G184" s="11"/>
      <c r="H184" s="11"/>
      <c r="I184" s="10" t="str">
        <f aca="false">IF($B184="","",IF(AND(G184="",H184=""),"",G184+H184))</f>
        <v/>
      </c>
      <c r="J184" s="10" t="str">
        <f aca="false">IF(OR($B184="",I184="",F184="UPC Not Found"),"",I184-F184)</f>
        <v/>
      </c>
      <c r="K184" s="9" t="str">
        <f aca="false">IF($B184="","",IF(AND(G184="",H184=""),"Not Counted",IF(OR(G184="",H184=""),"Partially Counted",IF(J184=0,"Match",IF(J184&gt;0,"Overage","Shortage")))))</f>
        <v/>
      </c>
      <c r="L184" s="9" t="str">
        <f aca="false">IF($B184="","",IF(AND(L184&lt;&gt;"",L184&lt;&gt;0),L184,$B$4))</f>
        <v/>
      </c>
      <c r="M184" s="12"/>
      <c r="N184" s="12"/>
      <c r="O184" s="12"/>
    </row>
    <row r="185" customFormat="false" ht="15" hidden="false" customHeight="false" outlineLevel="0" collapsed="false">
      <c r="A185" s="7" t="str">
        <f aca="true">IF($B185="","",IF(AND(A185&lt;&gt;"",A185&lt;&gt;0),A185,TODAY()))</f>
        <v/>
      </c>
      <c r="B185" s="8"/>
      <c r="C185" s="9" t="str">
        <f aca="false">IF($B185="","",IF(AND(C185&lt;&gt;"",C185&lt;&gt;0,C185&lt;&gt;"UPC Not Found"),C185,IFERROR(INDEX('Product Master'!$B$2:$B$1000,MATCH($B185,'Product Master'!$A$2:$A$1000,0)),"UPC Not Found")))</f>
        <v/>
      </c>
      <c r="D185" s="9" t="str">
        <f aca="false">IF($B185="","",IF(AND(D185&lt;&gt;"",D185&lt;&gt;0,D185&lt;&gt;"UPC Not Found"),D185,IFERROR(INDEX('Product Master'!$C$2:$C$1000,MATCH($B185,'Product Master'!$A$2:$A$1000,0)),"UPC Not Found")))</f>
        <v/>
      </c>
      <c r="E185" s="9" t="str">
        <f aca="false">IF($B185="","",IF(AND(E185&lt;&gt;"",E185&lt;&gt;0,E185&lt;&gt;"UPC Not Found"),E185,IFERROR(INDEX('Product Master'!$D$2:$D$1000,MATCH($B185,'Product Master'!$A$2:$A$1000,0)),"UPC Not Found")))</f>
        <v/>
      </c>
      <c r="F185" s="10" t="str">
        <f aca="false">IF($B185="","",IF(AND(F185&lt;&gt;"",F185&lt;&gt;0,F185&lt;&gt;"UPC Not Found"),F185,IFERROR(INDEX('Product Master'!$E$2:$E$1000,MATCH($B185,'Product Master'!$A$2:$A$1000,0)),"UPC Not Found")))</f>
        <v/>
      </c>
      <c r="G185" s="11"/>
      <c r="H185" s="11"/>
      <c r="I185" s="10" t="str">
        <f aca="false">IF($B185="","",IF(AND(G185="",H185=""),"",G185+H185))</f>
        <v/>
      </c>
      <c r="J185" s="10" t="str">
        <f aca="false">IF(OR($B185="",I185="",F185="UPC Not Found"),"",I185-F185)</f>
        <v/>
      </c>
      <c r="K185" s="9" t="str">
        <f aca="false">IF($B185="","",IF(AND(G185="",H185=""),"Not Counted",IF(OR(G185="",H185=""),"Partially Counted",IF(J185=0,"Match",IF(J185&gt;0,"Overage","Shortage")))))</f>
        <v/>
      </c>
      <c r="L185" s="9" t="str">
        <f aca="false">IF($B185="","",IF(AND(L185&lt;&gt;"",L185&lt;&gt;0),L185,$B$4))</f>
        <v/>
      </c>
      <c r="M185" s="12"/>
      <c r="N185" s="12"/>
      <c r="O185" s="12"/>
    </row>
    <row r="186" customFormat="false" ht="15" hidden="false" customHeight="false" outlineLevel="0" collapsed="false">
      <c r="A186" s="7" t="str">
        <f aca="true">IF($B186="","",IF(AND(A186&lt;&gt;"",A186&lt;&gt;0),A186,TODAY()))</f>
        <v/>
      </c>
      <c r="B186" s="8"/>
      <c r="C186" s="9" t="str">
        <f aca="false">IF($B186="","",IF(AND(C186&lt;&gt;"",C186&lt;&gt;0,C186&lt;&gt;"UPC Not Found"),C186,IFERROR(INDEX('Product Master'!$B$2:$B$1000,MATCH($B186,'Product Master'!$A$2:$A$1000,0)),"UPC Not Found")))</f>
        <v/>
      </c>
      <c r="D186" s="9" t="str">
        <f aca="false">IF($B186="","",IF(AND(D186&lt;&gt;"",D186&lt;&gt;0,D186&lt;&gt;"UPC Not Found"),D186,IFERROR(INDEX('Product Master'!$C$2:$C$1000,MATCH($B186,'Product Master'!$A$2:$A$1000,0)),"UPC Not Found")))</f>
        <v/>
      </c>
      <c r="E186" s="9" t="str">
        <f aca="false">IF($B186="","",IF(AND(E186&lt;&gt;"",E186&lt;&gt;0,E186&lt;&gt;"UPC Not Found"),E186,IFERROR(INDEX('Product Master'!$D$2:$D$1000,MATCH($B186,'Product Master'!$A$2:$A$1000,0)),"UPC Not Found")))</f>
        <v/>
      </c>
      <c r="F186" s="10" t="str">
        <f aca="false">IF($B186="","",IF(AND(F186&lt;&gt;"",F186&lt;&gt;0,F186&lt;&gt;"UPC Not Found"),F186,IFERROR(INDEX('Product Master'!$E$2:$E$1000,MATCH($B186,'Product Master'!$A$2:$A$1000,0)),"UPC Not Found")))</f>
        <v/>
      </c>
      <c r="G186" s="11"/>
      <c r="H186" s="11"/>
      <c r="I186" s="10" t="str">
        <f aca="false">IF($B186="","",IF(AND(G186="",H186=""),"",G186+H186))</f>
        <v/>
      </c>
      <c r="J186" s="10" t="str">
        <f aca="false">IF(OR($B186="",I186="",F186="UPC Not Found"),"",I186-F186)</f>
        <v/>
      </c>
      <c r="K186" s="9" t="str">
        <f aca="false">IF($B186="","",IF(AND(G186="",H186=""),"Not Counted",IF(OR(G186="",H186=""),"Partially Counted",IF(J186=0,"Match",IF(J186&gt;0,"Overage","Shortage")))))</f>
        <v/>
      </c>
      <c r="L186" s="9" t="str">
        <f aca="false">IF($B186="","",IF(AND(L186&lt;&gt;"",L186&lt;&gt;0),L186,$B$4))</f>
        <v/>
      </c>
      <c r="M186" s="12"/>
      <c r="N186" s="12"/>
      <c r="O186" s="12"/>
    </row>
    <row r="187" customFormat="false" ht="15" hidden="false" customHeight="false" outlineLevel="0" collapsed="false">
      <c r="A187" s="7" t="str">
        <f aca="true">IF($B187="","",IF(AND(A187&lt;&gt;"",A187&lt;&gt;0),A187,TODAY()))</f>
        <v/>
      </c>
      <c r="B187" s="8"/>
      <c r="C187" s="9" t="str">
        <f aca="false">IF($B187="","",IF(AND(C187&lt;&gt;"",C187&lt;&gt;0,C187&lt;&gt;"UPC Not Found"),C187,IFERROR(INDEX('Product Master'!$B$2:$B$1000,MATCH($B187,'Product Master'!$A$2:$A$1000,0)),"UPC Not Found")))</f>
        <v/>
      </c>
      <c r="D187" s="9" t="str">
        <f aca="false">IF($B187="","",IF(AND(D187&lt;&gt;"",D187&lt;&gt;0,D187&lt;&gt;"UPC Not Found"),D187,IFERROR(INDEX('Product Master'!$C$2:$C$1000,MATCH($B187,'Product Master'!$A$2:$A$1000,0)),"UPC Not Found")))</f>
        <v/>
      </c>
      <c r="E187" s="9" t="str">
        <f aca="false">IF($B187="","",IF(AND(E187&lt;&gt;"",E187&lt;&gt;0,E187&lt;&gt;"UPC Not Found"),E187,IFERROR(INDEX('Product Master'!$D$2:$D$1000,MATCH($B187,'Product Master'!$A$2:$A$1000,0)),"UPC Not Found")))</f>
        <v/>
      </c>
      <c r="F187" s="10" t="str">
        <f aca="false">IF($B187="","",IF(AND(F187&lt;&gt;"",F187&lt;&gt;0,F187&lt;&gt;"UPC Not Found"),F187,IFERROR(INDEX('Product Master'!$E$2:$E$1000,MATCH($B187,'Product Master'!$A$2:$A$1000,0)),"UPC Not Found")))</f>
        <v/>
      </c>
      <c r="G187" s="11"/>
      <c r="H187" s="11"/>
      <c r="I187" s="10" t="str">
        <f aca="false">IF($B187="","",IF(AND(G187="",H187=""),"",G187+H187))</f>
        <v/>
      </c>
      <c r="J187" s="10" t="str">
        <f aca="false">IF(OR($B187="",I187="",F187="UPC Not Found"),"",I187-F187)</f>
        <v/>
      </c>
      <c r="K187" s="9" t="str">
        <f aca="false">IF($B187="","",IF(AND(G187="",H187=""),"Not Counted",IF(OR(G187="",H187=""),"Partially Counted",IF(J187=0,"Match",IF(J187&gt;0,"Overage","Shortage")))))</f>
        <v/>
      </c>
      <c r="L187" s="9" t="str">
        <f aca="false">IF($B187="","",IF(AND(L187&lt;&gt;"",L187&lt;&gt;0),L187,$B$4))</f>
        <v/>
      </c>
      <c r="M187" s="12"/>
      <c r="N187" s="12"/>
      <c r="O187" s="12"/>
    </row>
    <row r="188" customFormat="false" ht="15" hidden="false" customHeight="false" outlineLevel="0" collapsed="false">
      <c r="A188" s="7" t="str">
        <f aca="true">IF($B188="","",IF(AND(A188&lt;&gt;"",A188&lt;&gt;0),A188,TODAY()))</f>
        <v/>
      </c>
      <c r="B188" s="8"/>
      <c r="C188" s="9" t="str">
        <f aca="false">IF($B188="","",IF(AND(C188&lt;&gt;"",C188&lt;&gt;0,C188&lt;&gt;"UPC Not Found"),C188,IFERROR(INDEX('Product Master'!$B$2:$B$1000,MATCH($B188,'Product Master'!$A$2:$A$1000,0)),"UPC Not Found")))</f>
        <v/>
      </c>
      <c r="D188" s="9" t="str">
        <f aca="false">IF($B188="","",IF(AND(D188&lt;&gt;"",D188&lt;&gt;0,D188&lt;&gt;"UPC Not Found"),D188,IFERROR(INDEX('Product Master'!$C$2:$C$1000,MATCH($B188,'Product Master'!$A$2:$A$1000,0)),"UPC Not Found")))</f>
        <v/>
      </c>
      <c r="E188" s="9" t="str">
        <f aca="false">IF($B188="","",IF(AND(E188&lt;&gt;"",E188&lt;&gt;0,E188&lt;&gt;"UPC Not Found"),E188,IFERROR(INDEX('Product Master'!$D$2:$D$1000,MATCH($B188,'Product Master'!$A$2:$A$1000,0)),"UPC Not Found")))</f>
        <v/>
      </c>
      <c r="F188" s="10" t="str">
        <f aca="false">IF($B188="","",IF(AND(F188&lt;&gt;"",F188&lt;&gt;0,F188&lt;&gt;"UPC Not Found"),F188,IFERROR(INDEX('Product Master'!$E$2:$E$1000,MATCH($B188,'Product Master'!$A$2:$A$1000,0)),"UPC Not Found")))</f>
        <v/>
      </c>
      <c r="G188" s="11"/>
      <c r="H188" s="11"/>
      <c r="I188" s="10" t="str">
        <f aca="false">IF($B188="","",IF(AND(G188="",H188=""),"",G188+H188))</f>
        <v/>
      </c>
      <c r="J188" s="10" t="str">
        <f aca="false">IF(OR($B188="",I188="",F188="UPC Not Found"),"",I188-F188)</f>
        <v/>
      </c>
      <c r="K188" s="9" t="str">
        <f aca="false">IF($B188="","",IF(AND(G188="",H188=""),"Not Counted",IF(OR(G188="",H188=""),"Partially Counted",IF(J188=0,"Match",IF(J188&gt;0,"Overage","Shortage")))))</f>
        <v/>
      </c>
      <c r="L188" s="9" t="str">
        <f aca="false">IF($B188="","",IF(AND(L188&lt;&gt;"",L188&lt;&gt;0),L188,$B$4))</f>
        <v/>
      </c>
      <c r="M188" s="12"/>
      <c r="N188" s="12"/>
      <c r="O188" s="12"/>
    </row>
    <row r="189" customFormat="false" ht="15" hidden="false" customHeight="false" outlineLevel="0" collapsed="false">
      <c r="A189" s="7" t="str">
        <f aca="true">IF($B189="","",IF(AND(A189&lt;&gt;"",A189&lt;&gt;0),A189,TODAY()))</f>
        <v/>
      </c>
      <c r="B189" s="8"/>
      <c r="C189" s="9" t="str">
        <f aca="false">IF($B189="","",IF(AND(C189&lt;&gt;"",C189&lt;&gt;0,C189&lt;&gt;"UPC Not Found"),C189,IFERROR(INDEX('Product Master'!$B$2:$B$1000,MATCH($B189,'Product Master'!$A$2:$A$1000,0)),"UPC Not Found")))</f>
        <v/>
      </c>
      <c r="D189" s="9" t="str">
        <f aca="false">IF($B189="","",IF(AND(D189&lt;&gt;"",D189&lt;&gt;0,D189&lt;&gt;"UPC Not Found"),D189,IFERROR(INDEX('Product Master'!$C$2:$C$1000,MATCH($B189,'Product Master'!$A$2:$A$1000,0)),"UPC Not Found")))</f>
        <v/>
      </c>
      <c r="E189" s="9" t="str">
        <f aca="false">IF($B189="","",IF(AND(E189&lt;&gt;"",E189&lt;&gt;0,E189&lt;&gt;"UPC Not Found"),E189,IFERROR(INDEX('Product Master'!$D$2:$D$1000,MATCH($B189,'Product Master'!$A$2:$A$1000,0)),"UPC Not Found")))</f>
        <v/>
      </c>
      <c r="F189" s="10" t="str">
        <f aca="false">IF($B189="","",IF(AND(F189&lt;&gt;"",F189&lt;&gt;0,F189&lt;&gt;"UPC Not Found"),F189,IFERROR(INDEX('Product Master'!$E$2:$E$1000,MATCH($B189,'Product Master'!$A$2:$A$1000,0)),"UPC Not Found")))</f>
        <v/>
      </c>
      <c r="G189" s="11"/>
      <c r="H189" s="11"/>
      <c r="I189" s="10" t="str">
        <f aca="false">IF($B189="","",IF(AND(G189="",H189=""),"",G189+H189))</f>
        <v/>
      </c>
      <c r="J189" s="10" t="str">
        <f aca="false">IF(OR($B189="",I189="",F189="UPC Not Found"),"",I189-F189)</f>
        <v/>
      </c>
      <c r="K189" s="9" t="str">
        <f aca="false">IF($B189="","",IF(AND(G189="",H189=""),"Not Counted",IF(OR(G189="",H189=""),"Partially Counted",IF(J189=0,"Match",IF(J189&gt;0,"Overage","Shortage")))))</f>
        <v/>
      </c>
      <c r="L189" s="9" t="str">
        <f aca="false">IF($B189="","",IF(AND(L189&lt;&gt;"",L189&lt;&gt;0),L189,$B$4))</f>
        <v/>
      </c>
      <c r="M189" s="12"/>
      <c r="N189" s="12"/>
      <c r="O189" s="12"/>
    </row>
    <row r="190" customFormat="false" ht="15" hidden="false" customHeight="false" outlineLevel="0" collapsed="false">
      <c r="A190" s="7" t="str">
        <f aca="true">IF($B190="","",IF(AND(A190&lt;&gt;"",A190&lt;&gt;0),A190,TODAY()))</f>
        <v/>
      </c>
      <c r="B190" s="8"/>
      <c r="C190" s="9" t="str">
        <f aca="false">IF($B190="","",IF(AND(C190&lt;&gt;"",C190&lt;&gt;0,C190&lt;&gt;"UPC Not Found"),C190,IFERROR(INDEX('Product Master'!$B$2:$B$1000,MATCH($B190,'Product Master'!$A$2:$A$1000,0)),"UPC Not Found")))</f>
        <v/>
      </c>
      <c r="D190" s="9" t="str">
        <f aca="false">IF($B190="","",IF(AND(D190&lt;&gt;"",D190&lt;&gt;0,D190&lt;&gt;"UPC Not Found"),D190,IFERROR(INDEX('Product Master'!$C$2:$C$1000,MATCH($B190,'Product Master'!$A$2:$A$1000,0)),"UPC Not Found")))</f>
        <v/>
      </c>
      <c r="E190" s="9" t="str">
        <f aca="false">IF($B190="","",IF(AND(E190&lt;&gt;"",E190&lt;&gt;0,E190&lt;&gt;"UPC Not Found"),E190,IFERROR(INDEX('Product Master'!$D$2:$D$1000,MATCH($B190,'Product Master'!$A$2:$A$1000,0)),"UPC Not Found")))</f>
        <v/>
      </c>
      <c r="F190" s="10" t="str">
        <f aca="false">IF($B190="","",IF(AND(F190&lt;&gt;"",F190&lt;&gt;0,F190&lt;&gt;"UPC Not Found"),F190,IFERROR(INDEX('Product Master'!$E$2:$E$1000,MATCH($B190,'Product Master'!$A$2:$A$1000,0)),"UPC Not Found")))</f>
        <v/>
      </c>
      <c r="G190" s="11"/>
      <c r="H190" s="11"/>
      <c r="I190" s="10" t="str">
        <f aca="false">IF($B190="","",IF(AND(G190="",H190=""),"",G190+H190))</f>
        <v/>
      </c>
      <c r="J190" s="10" t="str">
        <f aca="false">IF(OR($B190="",I190="",F190="UPC Not Found"),"",I190-F190)</f>
        <v/>
      </c>
      <c r="K190" s="9" t="str">
        <f aca="false">IF($B190="","",IF(AND(G190="",H190=""),"Not Counted",IF(OR(G190="",H190=""),"Partially Counted",IF(J190=0,"Match",IF(J190&gt;0,"Overage","Shortage")))))</f>
        <v/>
      </c>
      <c r="L190" s="9" t="str">
        <f aca="false">IF($B190="","",IF(AND(L190&lt;&gt;"",L190&lt;&gt;0),L190,$B$4))</f>
        <v/>
      </c>
      <c r="M190" s="12"/>
      <c r="N190" s="12"/>
      <c r="O190" s="12"/>
    </row>
    <row r="191" customFormat="false" ht="15" hidden="false" customHeight="false" outlineLevel="0" collapsed="false">
      <c r="A191" s="7" t="str">
        <f aca="true">IF($B191="","",IF(AND(A191&lt;&gt;"",A191&lt;&gt;0),A191,TODAY()))</f>
        <v/>
      </c>
      <c r="B191" s="8"/>
      <c r="C191" s="9" t="str">
        <f aca="false">IF($B191="","",IF(AND(C191&lt;&gt;"",C191&lt;&gt;0,C191&lt;&gt;"UPC Not Found"),C191,IFERROR(INDEX('Product Master'!$B$2:$B$1000,MATCH($B191,'Product Master'!$A$2:$A$1000,0)),"UPC Not Found")))</f>
        <v/>
      </c>
      <c r="D191" s="9" t="str">
        <f aca="false">IF($B191="","",IF(AND(D191&lt;&gt;"",D191&lt;&gt;0,D191&lt;&gt;"UPC Not Found"),D191,IFERROR(INDEX('Product Master'!$C$2:$C$1000,MATCH($B191,'Product Master'!$A$2:$A$1000,0)),"UPC Not Found")))</f>
        <v/>
      </c>
      <c r="E191" s="9" t="str">
        <f aca="false">IF($B191="","",IF(AND(E191&lt;&gt;"",E191&lt;&gt;0,E191&lt;&gt;"UPC Not Found"),E191,IFERROR(INDEX('Product Master'!$D$2:$D$1000,MATCH($B191,'Product Master'!$A$2:$A$1000,0)),"UPC Not Found")))</f>
        <v/>
      </c>
      <c r="F191" s="10" t="str">
        <f aca="false">IF($B191="","",IF(AND(F191&lt;&gt;"",F191&lt;&gt;0,F191&lt;&gt;"UPC Not Found"),F191,IFERROR(INDEX('Product Master'!$E$2:$E$1000,MATCH($B191,'Product Master'!$A$2:$A$1000,0)),"UPC Not Found")))</f>
        <v/>
      </c>
      <c r="G191" s="11"/>
      <c r="H191" s="11"/>
      <c r="I191" s="10" t="str">
        <f aca="false">IF($B191="","",IF(AND(G191="",H191=""),"",G191+H191))</f>
        <v/>
      </c>
      <c r="J191" s="10" t="str">
        <f aca="false">IF(OR($B191="",I191="",F191="UPC Not Found"),"",I191-F191)</f>
        <v/>
      </c>
      <c r="K191" s="9" t="str">
        <f aca="false">IF($B191="","",IF(AND(G191="",H191=""),"Not Counted",IF(OR(G191="",H191=""),"Partially Counted",IF(J191=0,"Match",IF(J191&gt;0,"Overage","Shortage")))))</f>
        <v/>
      </c>
      <c r="L191" s="9" t="str">
        <f aca="false">IF($B191="","",IF(AND(L191&lt;&gt;"",L191&lt;&gt;0),L191,$B$4))</f>
        <v/>
      </c>
      <c r="M191" s="12"/>
      <c r="N191" s="12"/>
      <c r="O191" s="12"/>
    </row>
    <row r="192" customFormat="false" ht="15" hidden="false" customHeight="false" outlineLevel="0" collapsed="false">
      <c r="A192" s="7" t="str">
        <f aca="true">IF($B192="","",IF(AND(A192&lt;&gt;"",A192&lt;&gt;0),A192,TODAY()))</f>
        <v/>
      </c>
      <c r="B192" s="8"/>
      <c r="C192" s="9" t="str">
        <f aca="false">IF($B192="","",IF(AND(C192&lt;&gt;"",C192&lt;&gt;0,C192&lt;&gt;"UPC Not Found"),C192,IFERROR(INDEX('Product Master'!$B$2:$B$1000,MATCH($B192,'Product Master'!$A$2:$A$1000,0)),"UPC Not Found")))</f>
        <v/>
      </c>
      <c r="D192" s="9" t="str">
        <f aca="false">IF($B192="","",IF(AND(D192&lt;&gt;"",D192&lt;&gt;0,D192&lt;&gt;"UPC Not Found"),D192,IFERROR(INDEX('Product Master'!$C$2:$C$1000,MATCH($B192,'Product Master'!$A$2:$A$1000,0)),"UPC Not Found")))</f>
        <v/>
      </c>
      <c r="E192" s="9" t="str">
        <f aca="false">IF($B192="","",IF(AND(E192&lt;&gt;"",E192&lt;&gt;0,E192&lt;&gt;"UPC Not Found"),E192,IFERROR(INDEX('Product Master'!$D$2:$D$1000,MATCH($B192,'Product Master'!$A$2:$A$1000,0)),"UPC Not Found")))</f>
        <v/>
      </c>
      <c r="F192" s="10" t="str">
        <f aca="false">IF($B192="","",IF(AND(F192&lt;&gt;"",F192&lt;&gt;0,F192&lt;&gt;"UPC Not Found"),F192,IFERROR(INDEX('Product Master'!$E$2:$E$1000,MATCH($B192,'Product Master'!$A$2:$A$1000,0)),"UPC Not Found")))</f>
        <v/>
      </c>
      <c r="G192" s="11"/>
      <c r="H192" s="11"/>
      <c r="I192" s="10" t="str">
        <f aca="false">IF($B192="","",IF(AND(G192="",H192=""),"",G192+H192))</f>
        <v/>
      </c>
      <c r="J192" s="10" t="str">
        <f aca="false">IF(OR($B192="",I192="",F192="UPC Not Found"),"",I192-F192)</f>
        <v/>
      </c>
      <c r="K192" s="9" t="str">
        <f aca="false">IF($B192="","",IF(AND(G192="",H192=""),"Not Counted",IF(OR(G192="",H192=""),"Partially Counted",IF(J192=0,"Match",IF(J192&gt;0,"Overage","Shortage")))))</f>
        <v/>
      </c>
      <c r="L192" s="9" t="str">
        <f aca="false">IF($B192="","",IF(AND(L192&lt;&gt;"",L192&lt;&gt;0),L192,$B$4))</f>
        <v/>
      </c>
      <c r="M192" s="12"/>
      <c r="N192" s="12"/>
      <c r="O192" s="12"/>
    </row>
    <row r="193" customFormat="false" ht="15" hidden="false" customHeight="false" outlineLevel="0" collapsed="false">
      <c r="A193" s="7" t="str">
        <f aca="true">IF($B193="","",IF(AND(A193&lt;&gt;"",A193&lt;&gt;0),A193,TODAY()))</f>
        <v/>
      </c>
      <c r="B193" s="8"/>
      <c r="C193" s="9" t="str">
        <f aca="false">IF($B193="","",IF(AND(C193&lt;&gt;"",C193&lt;&gt;0,C193&lt;&gt;"UPC Not Found"),C193,IFERROR(INDEX('Product Master'!$B$2:$B$1000,MATCH($B193,'Product Master'!$A$2:$A$1000,0)),"UPC Not Found")))</f>
        <v/>
      </c>
      <c r="D193" s="9" t="str">
        <f aca="false">IF($B193="","",IF(AND(D193&lt;&gt;"",D193&lt;&gt;0,D193&lt;&gt;"UPC Not Found"),D193,IFERROR(INDEX('Product Master'!$C$2:$C$1000,MATCH($B193,'Product Master'!$A$2:$A$1000,0)),"UPC Not Found")))</f>
        <v/>
      </c>
      <c r="E193" s="9" t="str">
        <f aca="false">IF($B193="","",IF(AND(E193&lt;&gt;"",E193&lt;&gt;0,E193&lt;&gt;"UPC Not Found"),E193,IFERROR(INDEX('Product Master'!$D$2:$D$1000,MATCH($B193,'Product Master'!$A$2:$A$1000,0)),"UPC Not Found")))</f>
        <v/>
      </c>
      <c r="F193" s="10" t="str">
        <f aca="false">IF($B193="","",IF(AND(F193&lt;&gt;"",F193&lt;&gt;0,F193&lt;&gt;"UPC Not Found"),F193,IFERROR(INDEX('Product Master'!$E$2:$E$1000,MATCH($B193,'Product Master'!$A$2:$A$1000,0)),"UPC Not Found")))</f>
        <v/>
      </c>
      <c r="G193" s="11"/>
      <c r="H193" s="11"/>
      <c r="I193" s="10" t="str">
        <f aca="false">IF($B193="","",IF(AND(G193="",H193=""),"",G193+H193))</f>
        <v/>
      </c>
      <c r="J193" s="10" t="str">
        <f aca="false">IF(OR($B193="",I193="",F193="UPC Not Found"),"",I193-F193)</f>
        <v/>
      </c>
      <c r="K193" s="9" t="str">
        <f aca="false">IF($B193="","",IF(AND(G193="",H193=""),"Not Counted",IF(OR(G193="",H193=""),"Partially Counted",IF(J193=0,"Match",IF(J193&gt;0,"Overage","Shortage")))))</f>
        <v/>
      </c>
      <c r="L193" s="9" t="str">
        <f aca="false">IF($B193="","",IF(AND(L193&lt;&gt;"",L193&lt;&gt;0),L193,$B$4))</f>
        <v/>
      </c>
      <c r="M193" s="12"/>
      <c r="N193" s="12"/>
      <c r="O193" s="12"/>
    </row>
    <row r="194" customFormat="false" ht="15" hidden="false" customHeight="false" outlineLevel="0" collapsed="false">
      <c r="A194" s="7" t="str">
        <f aca="true">IF($B194="","",IF(AND(A194&lt;&gt;"",A194&lt;&gt;0),A194,TODAY()))</f>
        <v/>
      </c>
      <c r="B194" s="8"/>
      <c r="C194" s="9" t="str">
        <f aca="false">IF($B194="","",IF(AND(C194&lt;&gt;"",C194&lt;&gt;0,C194&lt;&gt;"UPC Not Found"),C194,IFERROR(INDEX('Product Master'!$B$2:$B$1000,MATCH($B194,'Product Master'!$A$2:$A$1000,0)),"UPC Not Found")))</f>
        <v/>
      </c>
      <c r="D194" s="9" t="str">
        <f aca="false">IF($B194="","",IF(AND(D194&lt;&gt;"",D194&lt;&gt;0,D194&lt;&gt;"UPC Not Found"),D194,IFERROR(INDEX('Product Master'!$C$2:$C$1000,MATCH($B194,'Product Master'!$A$2:$A$1000,0)),"UPC Not Found")))</f>
        <v/>
      </c>
      <c r="E194" s="9" t="str">
        <f aca="false">IF($B194="","",IF(AND(E194&lt;&gt;"",E194&lt;&gt;0,E194&lt;&gt;"UPC Not Found"),E194,IFERROR(INDEX('Product Master'!$D$2:$D$1000,MATCH($B194,'Product Master'!$A$2:$A$1000,0)),"UPC Not Found")))</f>
        <v/>
      </c>
      <c r="F194" s="10" t="str">
        <f aca="false">IF($B194="","",IF(AND(F194&lt;&gt;"",F194&lt;&gt;0,F194&lt;&gt;"UPC Not Found"),F194,IFERROR(INDEX('Product Master'!$E$2:$E$1000,MATCH($B194,'Product Master'!$A$2:$A$1000,0)),"UPC Not Found")))</f>
        <v/>
      </c>
      <c r="G194" s="11"/>
      <c r="H194" s="11"/>
      <c r="I194" s="10" t="str">
        <f aca="false">IF($B194="","",IF(AND(G194="",H194=""),"",G194+H194))</f>
        <v/>
      </c>
      <c r="J194" s="10" t="str">
        <f aca="false">IF(OR($B194="",I194="",F194="UPC Not Found"),"",I194-F194)</f>
        <v/>
      </c>
      <c r="K194" s="9" t="str">
        <f aca="false">IF($B194="","",IF(AND(G194="",H194=""),"Not Counted",IF(OR(G194="",H194=""),"Partially Counted",IF(J194=0,"Match",IF(J194&gt;0,"Overage","Shortage")))))</f>
        <v/>
      </c>
      <c r="L194" s="9" t="str">
        <f aca="false">IF($B194="","",IF(AND(L194&lt;&gt;"",L194&lt;&gt;0),L194,$B$4))</f>
        <v/>
      </c>
      <c r="M194" s="12"/>
      <c r="N194" s="12"/>
      <c r="O194" s="12"/>
    </row>
    <row r="195" customFormat="false" ht="15" hidden="false" customHeight="false" outlineLevel="0" collapsed="false">
      <c r="A195" s="7" t="str">
        <f aca="true">IF($B195="","",IF(AND(A195&lt;&gt;"",A195&lt;&gt;0),A195,TODAY()))</f>
        <v/>
      </c>
      <c r="B195" s="8"/>
      <c r="C195" s="9" t="str">
        <f aca="false">IF($B195="","",IF(AND(C195&lt;&gt;"",C195&lt;&gt;0,C195&lt;&gt;"UPC Not Found"),C195,IFERROR(INDEX('Product Master'!$B$2:$B$1000,MATCH($B195,'Product Master'!$A$2:$A$1000,0)),"UPC Not Found")))</f>
        <v/>
      </c>
      <c r="D195" s="9" t="str">
        <f aca="false">IF($B195="","",IF(AND(D195&lt;&gt;"",D195&lt;&gt;0,D195&lt;&gt;"UPC Not Found"),D195,IFERROR(INDEX('Product Master'!$C$2:$C$1000,MATCH($B195,'Product Master'!$A$2:$A$1000,0)),"UPC Not Found")))</f>
        <v/>
      </c>
      <c r="E195" s="9" t="str">
        <f aca="false">IF($B195="","",IF(AND(E195&lt;&gt;"",E195&lt;&gt;0,E195&lt;&gt;"UPC Not Found"),E195,IFERROR(INDEX('Product Master'!$D$2:$D$1000,MATCH($B195,'Product Master'!$A$2:$A$1000,0)),"UPC Not Found")))</f>
        <v/>
      </c>
      <c r="F195" s="10" t="str">
        <f aca="false">IF($B195="","",IF(AND(F195&lt;&gt;"",F195&lt;&gt;0,F195&lt;&gt;"UPC Not Found"),F195,IFERROR(INDEX('Product Master'!$E$2:$E$1000,MATCH($B195,'Product Master'!$A$2:$A$1000,0)),"UPC Not Found")))</f>
        <v/>
      </c>
      <c r="G195" s="11"/>
      <c r="H195" s="11"/>
      <c r="I195" s="10" t="str">
        <f aca="false">IF($B195="","",IF(AND(G195="",H195=""),"",G195+H195))</f>
        <v/>
      </c>
      <c r="J195" s="10" t="str">
        <f aca="false">IF(OR($B195="",I195="",F195="UPC Not Found"),"",I195-F195)</f>
        <v/>
      </c>
      <c r="K195" s="9" t="str">
        <f aca="false">IF($B195="","",IF(AND(G195="",H195=""),"Not Counted",IF(OR(G195="",H195=""),"Partially Counted",IF(J195=0,"Match",IF(J195&gt;0,"Overage","Shortage")))))</f>
        <v/>
      </c>
      <c r="L195" s="9" t="str">
        <f aca="false">IF($B195="","",IF(AND(L195&lt;&gt;"",L195&lt;&gt;0),L195,$B$4))</f>
        <v/>
      </c>
      <c r="M195" s="12"/>
      <c r="N195" s="12"/>
      <c r="O195" s="12"/>
    </row>
    <row r="196" customFormat="false" ht="15" hidden="false" customHeight="false" outlineLevel="0" collapsed="false">
      <c r="A196" s="7" t="str">
        <f aca="true">IF($B196="","",IF(AND(A196&lt;&gt;"",A196&lt;&gt;0),A196,TODAY()))</f>
        <v/>
      </c>
      <c r="B196" s="8"/>
      <c r="C196" s="9" t="str">
        <f aca="false">IF($B196="","",IF(AND(C196&lt;&gt;"",C196&lt;&gt;0,C196&lt;&gt;"UPC Not Found"),C196,IFERROR(INDEX('Product Master'!$B$2:$B$1000,MATCH($B196,'Product Master'!$A$2:$A$1000,0)),"UPC Not Found")))</f>
        <v/>
      </c>
      <c r="D196" s="9" t="str">
        <f aca="false">IF($B196="","",IF(AND(D196&lt;&gt;"",D196&lt;&gt;0,D196&lt;&gt;"UPC Not Found"),D196,IFERROR(INDEX('Product Master'!$C$2:$C$1000,MATCH($B196,'Product Master'!$A$2:$A$1000,0)),"UPC Not Found")))</f>
        <v/>
      </c>
      <c r="E196" s="9" t="str">
        <f aca="false">IF($B196="","",IF(AND(E196&lt;&gt;"",E196&lt;&gt;0,E196&lt;&gt;"UPC Not Found"),E196,IFERROR(INDEX('Product Master'!$D$2:$D$1000,MATCH($B196,'Product Master'!$A$2:$A$1000,0)),"UPC Not Found")))</f>
        <v/>
      </c>
      <c r="F196" s="10" t="str">
        <f aca="false">IF($B196="","",IF(AND(F196&lt;&gt;"",F196&lt;&gt;0,F196&lt;&gt;"UPC Not Found"),F196,IFERROR(INDEX('Product Master'!$E$2:$E$1000,MATCH($B196,'Product Master'!$A$2:$A$1000,0)),"UPC Not Found")))</f>
        <v/>
      </c>
      <c r="G196" s="11"/>
      <c r="H196" s="11"/>
      <c r="I196" s="10" t="str">
        <f aca="false">IF($B196="","",IF(AND(G196="",H196=""),"",G196+H196))</f>
        <v/>
      </c>
      <c r="J196" s="10" t="str">
        <f aca="false">IF(OR($B196="",I196="",F196="UPC Not Found"),"",I196-F196)</f>
        <v/>
      </c>
      <c r="K196" s="9" t="str">
        <f aca="false">IF($B196="","",IF(AND(G196="",H196=""),"Not Counted",IF(OR(G196="",H196=""),"Partially Counted",IF(J196=0,"Match",IF(J196&gt;0,"Overage","Shortage")))))</f>
        <v/>
      </c>
      <c r="L196" s="9" t="str">
        <f aca="false">IF($B196="","",IF(AND(L196&lt;&gt;"",L196&lt;&gt;0),L196,$B$4))</f>
        <v/>
      </c>
      <c r="M196" s="12"/>
      <c r="N196" s="12"/>
      <c r="O196" s="12"/>
    </row>
    <row r="197" customFormat="false" ht="15" hidden="false" customHeight="false" outlineLevel="0" collapsed="false">
      <c r="A197" s="7" t="str">
        <f aca="true">IF($B197="","",IF(AND(A197&lt;&gt;"",A197&lt;&gt;0),A197,TODAY()))</f>
        <v/>
      </c>
      <c r="B197" s="8"/>
      <c r="C197" s="9" t="str">
        <f aca="false">IF($B197="","",IF(AND(C197&lt;&gt;"",C197&lt;&gt;0,C197&lt;&gt;"UPC Not Found"),C197,IFERROR(INDEX('Product Master'!$B$2:$B$1000,MATCH($B197,'Product Master'!$A$2:$A$1000,0)),"UPC Not Found")))</f>
        <v/>
      </c>
      <c r="D197" s="9" t="str">
        <f aca="false">IF($B197="","",IF(AND(D197&lt;&gt;"",D197&lt;&gt;0,D197&lt;&gt;"UPC Not Found"),D197,IFERROR(INDEX('Product Master'!$C$2:$C$1000,MATCH($B197,'Product Master'!$A$2:$A$1000,0)),"UPC Not Found")))</f>
        <v/>
      </c>
      <c r="E197" s="9" t="str">
        <f aca="false">IF($B197="","",IF(AND(E197&lt;&gt;"",E197&lt;&gt;0,E197&lt;&gt;"UPC Not Found"),E197,IFERROR(INDEX('Product Master'!$D$2:$D$1000,MATCH($B197,'Product Master'!$A$2:$A$1000,0)),"UPC Not Found")))</f>
        <v/>
      </c>
      <c r="F197" s="10" t="str">
        <f aca="false">IF($B197="","",IF(AND(F197&lt;&gt;"",F197&lt;&gt;0,F197&lt;&gt;"UPC Not Found"),F197,IFERROR(INDEX('Product Master'!$E$2:$E$1000,MATCH($B197,'Product Master'!$A$2:$A$1000,0)),"UPC Not Found")))</f>
        <v/>
      </c>
      <c r="G197" s="11"/>
      <c r="H197" s="11"/>
      <c r="I197" s="10" t="str">
        <f aca="false">IF($B197="","",IF(AND(G197="",H197=""),"",G197+H197))</f>
        <v/>
      </c>
      <c r="J197" s="10" t="str">
        <f aca="false">IF(OR($B197="",I197="",F197="UPC Not Found"),"",I197-F197)</f>
        <v/>
      </c>
      <c r="K197" s="9" t="str">
        <f aca="false">IF($B197="","",IF(AND(G197="",H197=""),"Not Counted",IF(OR(G197="",H197=""),"Partially Counted",IF(J197=0,"Match",IF(J197&gt;0,"Overage","Shortage")))))</f>
        <v/>
      </c>
      <c r="L197" s="9" t="str">
        <f aca="false">IF($B197="","",IF(AND(L197&lt;&gt;"",L197&lt;&gt;0),L197,$B$4))</f>
        <v/>
      </c>
      <c r="M197" s="12"/>
      <c r="N197" s="12"/>
      <c r="O197" s="12"/>
    </row>
    <row r="198" customFormat="false" ht="15" hidden="false" customHeight="false" outlineLevel="0" collapsed="false">
      <c r="A198" s="7" t="str">
        <f aca="true">IF($B198="","",IF(AND(A198&lt;&gt;"",A198&lt;&gt;0),A198,TODAY()))</f>
        <v/>
      </c>
      <c r="B198" s="8"/>
      <c r="C198" s="9" t="str">
        <f aca="false">IF($B198="","",IF(AND(C198&lt;&gt;"",C198&lt;&gt;0,C198&lt;&gt;"UPC Not Found"),C198,IFERROR(INDEX('Product Master'!$B$2:$B$1000,MATCH($B198,'Product Master'!$A$2:$A$1000,0)),"UPC Not Found")))</f>
        <v/>
      </c>
      <c r="D198" s="9" t="str">
        <f aca="false">IF($B198="","",IF(AND(D198&lt;&gt;"",D198&lt;&gt;0,D198&lt;&gt;"UPC Not Found"),D198,IFERROR(INDEX('Product Master'!$C$2:$C$1000,MATCH($B198,'Product Master'!$A$2:$A$1000,0)),"UPC Not Found")))</f>
        <v/>
      </c>
      <c r="E198" s="9" t="str">
        <f aca="false">IF($B198="","",IF(AND(E198&lt;&gt;"",E198&lt;&gt;0,E198&lt;&gt;"UPC Not Found"),E198,IFERROR(INDEX('Product Master'!$D$2:$D$1000,MATCH($B198,'Product Master'!$A$2:$A$1000,0)),"UPC Not Found")))</f>
        <v/>
      </c>
      <c r="F198" s="10" t="str">
        <f aca="false">IF($B198="","",IF(AND(F198&lt;&gt;"",F198&lt;&gt;0,F198&lt;&gt;"UPC Not Found"),F198,IFERROR(INDEX('Product Master'!$E$2:$E$1000,MATCH($B198,'Product Master'!$A$2:$A$1000,0)),"UPC Not Found")))</f>
        <v/>
      </c>
      <c r="G198" s="11"/>
      <c r="H198" s="11"/>
      <c r="I198" s="10" t="str">
        <f aca="false">IF($B198="","",IF(AND(G198="",H198=""),"",G198+H198))</f>
        <v/>
      </c>
      <c r="J198" s="10" t="str">
        <f aca="false">IF(OR($B198="",I198="",F198="UPC Not Found"),"",I198-F198)</f>
        <v/>
      </c>
      <c r="K198" s="9" t="str">
        <f aca="false">IF($B198="","",IF(AND(G198="",H198=""),"Not Counted",IF(OR(G198="",H198=""),"Partially Counted",IF(J198=0,"Match",IF(J198&gt;0,"Overage","Shortage")))))</f>
        <v/>
      </c>
      <c r="L198" s="9" t="str">
        <f aca="false">IF($B198="","",IF(AND(L198&lt;&gt;"",L198&lt;&gt;0),L198,$B$4))</f>
        <v/>
      </c>
      <c r="M198" s="12"/>
      <c r="N198" s="12"/>
      <c r="O198" s="12"/>
    </row>
    <row r="199" customFormat="false" ht="15" hidden="false" customHeight="false" outlineLevel="0" collapsed="false">
      <c r="A199" s="7" t="str">
        <f aca="true">IF($B199="","",IF(AND(A199&lt;&gt;"",A199&lt;&gt;0),A199,TODAY()))</f>
        <v/>
      </c>
      <c r="B199" s="8"/>
      <c r="C199" s="9" t="str">
        <f aca="false">IF($B199="","",IF(AND(C199&lt;&gt;"",C199&lt;&gt;0,C199&lt;&gt;"UPC Not Found"),C199,IFERROR(INDEX('Product Master'!$B$2:$B$1000,MATCH($B199,'Product Master'!$A$2:$A$1000,0)),"UPC Not Found")))</f>
        <v/>
      </c>
      <c r="D199" s="9" t="str">
        <f aca="false">IF($B199="","",IF(AND(D199&lt;&gt;"",D199&lt;&gt;0,D199&lt;&gt;"UPC Not Found"),D199,IFERROR(INDEX('Product Master'!$C$2:$C$1000,MATCH($B199,'Product Master'!$A$2:$A$1000,0)),"UPC Not Found")))</f>
        <v/>
      </c>
      <c r="E199" s="9" t="str">
        <f aca="false">IF($B199="","",IF(AND(E199&lt;&gt;"",E199&lt;&gt;0,E199&lt;&gt;"UPC Not Found"),E199,IFERROR(INDEX('Product Master'!$D$2:$D$1000,MATCH($B199,'Product Master'!$A$2:$A$1000,0)),"UPC Not Found")))</f>
        <v/>
      </c>
      <c r="F199" s="10" t="str">
        <f aca="false">IF($B199="","",IF(AND(F199&lt;&gt;"",F199&lt;&gt;0,F199&lt;&gt;"UPC Not Found"),F199,IFERROR(INDEX('Product Master'!$E$2:$E$1000,MATCH($B199,'Product Master'!$A$2:$A$1000,0)),"UPC Not Found")))</f>
        <v/>
      </c>
      <c r="G199" s="11"/>
      <c r="H199" s="11"/>
      <c r="I199" s="10" t="str">
        <f aca="false">IF($B199="","",IF(AND(G199="",H199=""),"",G199+H199))</f>
        <v/>
      </c>
      <c r="J199" s="10" t="str">
        <f aca="false">IF(OR($B199="",I199="",F199="UPC Not Found"),"",I199-F199)</f>
        <v/>
      </c>
      <c r="K199" s="9" t="str">
        <f aca="false">IF($B199="","",IF(AND(G199="",H199=""),"Not Counted",IF(OR(G199="",H199=""),"Partially Counted",IF(J199=0,"Match",IF(J199&gt;0,"Overage","Shortage")))))</f>
        <v/>
      </c>
      <c r="L199" s="9" t="str">
        <f aca="false">IF($B199="","",IF(AND(L199&lt;&gt;"",L199&lt;&gt;0),L199,$B$4))</f>
        <v/>
      </c>
      <c r="M199" s="12"/>
      <c r="N199" s="12"/>
      <c r="O199" s="12"/>
    </row>
    <row r="200" customFormat="false" ht="15" hidden="false" customHeight="false" outlineLevel="0" collapsed="false">
      <c r="A200" s="7" t="str">
        <f aca="true">IF($B200="","",IF(AND(A200&lt;&gt;"",A200&lt;&gt;0),A200,TODAY()))</f>
        <v/>
      </c>
      <c r="B200" s="8"/>
      <c r="C200" s="9" t="str">
        <f aca="false">IF($B200="","",IF(AND(C200&lt;&gt;"",C200&lt;&gt;0,C200&lt;&gt;"UPC Not Found"),C200,IFERROR(INDEX('Product Master'!$B$2:$B$1000,MATCH($B200,'Product Master'!$A$2:$A$1000,0)),"UPC Not Found")))</f>
        <v/>
      </c>
      <c r="D200" s="9" t="str">
        <f aca="false">IF($B200="","",IF(AND(D200&lt;&gt;"",D200&lt;&gt;0,D200&lt;&gt;"UPC Not Found"),D200,IFERROR(INDEX('Product Master'!$C$2:$C$1000,MATCH($B200,'Product Master'!$A$2:$A$1000,0)),"UPC Not Found")))</f>
        <v/>
      </c>
      <c r="E200" s="9" t="str">
        <f aca="false">IF($B200="","",IF(AND(E200&lt;&gt;"",E200&lt;&gt;0,E200&lt;&gt;"UPC Not Found"),E200,IFERROR(INDEX('Product Master'!$D$2:$D$1000,MATCH($B200,'Product Master'!$A$2:$A$1000,0)),"UPC Not Found")))</f>
        <v/>
      </c>
      <c r="F200" s="10" t="str">
        <f aca="false">IF($B200="","",IF(AND(F200&lt;&gt;"",F200&lt;&gt;0,F200&lt;&gt;"UPC Not Found"),F200,IFERROR(INDEX('Product Master'!$E$2:$E$1000,MATCH($B200,'Product Master'!$A$2:$A$1000,0)),"UPC Not Found")))</f>
        <v/>
      </c>
      <c r="G200" s="11"/>
      <c r="H200" s="11"/>
      <c r="I200" s="10" t="str">
        <f aca="false">IF($B200="","",IF(AND(G200="",H200=""),"",G200+H200))</f>
        <v/>
      </c>
      <c r="J200" s="10" t="str">
        <f aca="false">IF(OR($B200="",I200="",F200="UPC Not Found"),"",I200-F200)</f>
        <v/>
      </c>
      <c r="K200" s="9" t="str">
        <f aca="false">IF($B200="","",IF(AND(G200="",H200=""),"Not Counted",IF(OR(G200="",H200=""),"Partially Counted",IF(J200=0,"Match",IF(J200&gt;0,"Overage","Shortage")))))</f>
        <v/>
      </c>
      <c r="L200" s="9" t="str">
        <f aca="false">IF($B200="","",IF(AND(L200&lt;&gt;"",L200&lt;&gt;0),L200,$B$4))</f>
        <v/>
      </c>
      <c r="M200" s="12"/>
      <c r="N200" s="12"/>
      <c r="O200" s="12"/>
    </row>
    <row r="201" customFormat="false" ht="15" hidden="false" customHeight="false" outlineLevel="0" collapsed="false">
      <c r="A201" s="7" t="str">
        <f aca="true">IF($B201="","",IF(AND(A201&lt;&gt;"",A201&lt;&gt;0),A201,TODAY()))</f>
        <v/>
      </c>
      <c r="B201" s="8"/>
      <c r="C201" s="9" t="str">
        <f aca="false">IF($B201="","",IF(AND(C201&lt;&gt;"",C201&lt;&gt;0,C201&lt;&gt;"UPC Not Found"),C201,IFERROR(INDEX('Product Master'!$B$2:$B$1000,MATCH($B201,'Product Master'!$A$2:$A$1000,0)),"UPC Not Found")))</f>
        <v/>
      </c>
      <c r="D201" s="9" t="str">
        <f aca="false">IF($B201="","",IF(AND(D201&lt;&gt;"",D201&lt;&gt;0,D201&lt;&gt;"UPC Not Found"),D201,IFERROR(INDEX('Product Master'!$C$2:$C$1000,MATCH($B201,'Product Master'!$A$2:$A$1000,0)),"UPC Not Found")))</f>
        <v/>
      </c>
      <c r="E201" s="9" t="str">
        <f aca="false">IF($B201="","",IF(AND(E201&lt;&gt;"",E201&lt;&gt;0,E201&lt;&gt;"UPC Not Found"),E201,IFERROR(INDEX('Product Master'!$D$2:$D$1000,MATCH($B201,'Product Master'!$A$2:$A$1000,0)),"UPC Not Found")))</f>
        <v/>
      </c>
      <c r="F201" s="10" t="str">
        <f aca="false">IF($B201="","",IF(AND(F201&lt;&gt;"",F201&lt;&gt;0,F201&lt;&gt;"UPC Not Found"),F201,IFERROR(INDEX('Product Master'!$E$2:$E$1000,MATCH($B201,'Product Master'!$A$2:$A$1000,0)),"UPC Not Found")))</f>
        <v/>
      </c>
      <c r="G201" s="11"/>
      <c r="H201" s="11"/>
      <c r="I201" s="10" t="str">
        <f aca="false">IF($B201="","",IF(AND(G201="",H201=""),"",G201+H201))</f>
        <v/>
      </c>
      <c r="J201" s="10" t="str">
        <f aca="false">IF(OR($B201="",I201="",F201="UPC Not Found"),"",I201-F201)</f>
        <v/>
      </c>
      <c r="K201" s="9" t="str">
        <f aca="false">IF($B201="","",IF(AND(G201="",H201=""),"Not Counted",IF(OR(G201="",H201=""),"Partially Counted",IF(J201=0,"Match",IF(J201&gt;0,"Overage","Shortage")))))</f>
        <v/>
      </c>
      <c r="L201" s="9" t="str">
        <f aca="false">IF($B201="","",IF(AND(L201&lt;&gt;"",L201&lt;&gt;0),L201,$B$4))</f>
        <v/>
      </c>
      <c r="M201" s="12"/>
      <c r="N201" s="12"/>
      <c r="O201" s="12"/>
    </row>
    <row r="202" customFormat="false" ht="15" hidden="false" customHeight="false" outlineLevel="0" collapsed="false">
      <c r="A202" s="7" t="str">
        <f aca="true">IF($B202="","",IF(AND(A202&lt;&gt;"",A202&lt;&gt;0),A202,TODAY()))</f>
        <v/>
      </c>
      <c r="B202" s="8"/>
      <c r="C202" s="9" t="str">
        <f aca="false">IF($B202="","",IF(AND(C202&lt;&gt;"",C202&lt;&gt;0,C202&lt;&gt;"UPC Not Found"),C202,IFERROR(INDEX('Product Master'!$B$2:$B$1000,MATCH($B202,'Product Master'!$A$2:$A$1000,0)),"UPC Not Found")))</f>
        <v/>
      </c>
      <c r="D202" s="9" t="str">
        <f aca="false">IF($B202="","",IF(AND(D202&lt;&gt;"",D202&lt;&gt;0,D202&lt;&gt;"UPC Not Found"),D202,IFERROR(INDEX('Product Master'!$C$2:$C$1000,MATCH($B202,'Product Master'!$A$2:$A$1000,0)),"UPC Not Found")))</f>
        <v/>
      </c>
      <c r="E202" s="9" t="str">
        <f aca="false">IF($B202="","",IF(AND(E202&lt;&gt;"",E202&lt;&gt;0,E202&lt;&gt;"UPC Not Found"),E202,IFERROR(INDEX('Product Master'!$D$2:$D$1000,MATCH($B202,'Product Master'!$A$2:$A$1000,0)),"UPC Not Found")))</f>
        <v/>
      </c>
      <c r="F202" s="10" t="str">
        <f aca="false">IF($B202="","",IF(AND(F202&lt;&gt;"",F202&lt;&gt;0,F202&lt;&gt;"UPC Not Found"),F202,IFERROR(INDEX('Product Master'!$E$2:$E$1000,MATCH($B202,'Product Master'!$A$2:$A$1000,0)),"UPC Not Found")))</f>
        <v/>
      </c>
      <c r="G202" s="11"/>
      <c r="H202" s="11"/>
      <c r="I202" s="10" t="str">
        <f aca="false">IF($B202="","",IF(AND(G202="",H202=""),"",G202+H202))</f>
        <v/>
      </c>
      <c r="J202" s="10" t="str">
        <f aca="false">IF(OR($B202="",I202="",F202="UPC Not Found"),"",I202-F202)</f>
        <v/>
      </c>
      <c r="K202" s="9" t="str">
        <f aca="false">IF($B202="","",IF(AND(G202="",H202=""),"Not Counted",IF(OR(G202="",H202=""),"Partially Counted",IF(J202=0,"Match",IF(J202&gt;0,"Overage","Shortage")))))</f>
        <v/>
      </c>
      <c r="L202" s="9" t="str">
        <f aca="false">IF($B202="","",IF(AND(L202&lt;&gt;"",L202&lt;&gt;0),L202,$B$4))</f>
        <v/>
      </c>
      <c r="M202" s="12"/>
      <c r="N202" s="12"/>
      <c r="O202" s="12"/>
    </row>
    <row r="203" customFormat="false" ht="15" hidden="false" customHeight="false" outlineLevel="0" collapsed="false">
      <c r="A203" s="7" t="str">
        <f aca="true">IF($B203="","",IF(AND(A203&lt;&gt;"",A203&lt;&gt;0),A203,TODAY()))</f>
        <v/>
      </c>
      <c r="B203" s="8"/>
      <c r="C203" s="9" t="str">
        <f aca="false">IF($B203="","",IF(AND(C203&lt;&gt;"",C203&lt;&gt;0,C203&lt;&gt;"UPC Not Found"),C203,IFERROR(INDEX('Product Master'!$B$2:$B$1000,MATCH($B203,'Product Master'!$A$2:$A$1000,0)),"UPC Not Found")))</f>
        <v/>
      </c>
      <c r="D203" s="9" t="str">
        <f aca="false">IF($B203="","",IF(AND(D203&lt;&gt;"",D203&lt;&gt;0,D203&lt;&gt;"UPC Not Found"),D203,IFERROR(INDEX('Product Master'!$C$2:$C$1000,MATCH($B203,'Product Master'!$A$2:$A$1000,0)),"UPC Not Found")))</f>
        <v/>
      </c>
      <c r="E203" s="9" t="str">
        <f aca="false">IF($B203="","",IF(AND(E203&lt;&gt;"",E203&lt;&gt;0,E203&lt;&gt;"UPC Not Found"),E203,IFERROR(INDEX('Product Master'!$D$2:$D$1000,MATCH($B203,'Product Master'!$A$2:$A$1000,0)),"UPC Not Found")))</f>
        <v/>
      </c>
      <c r="F203" s="10" t="str">
        <f aca="false">IF($B203="","",IF(AND(F203&lt;&gt;"",F203&lt;&gt;0,F203&lt;&gt;"UPC Not Found"),F203,IFERROR(INDEX('Product Master'!$E$2:$E$1000,MATCH($B203,'Product Master'!$A$2:$A$1000,0)),"UPC Not Found")))</f>
        <v/>
      </c>
      <c r="G203" s="11"/>
      <c r="H203" s="11"/>
      <c r="I203" s="10" t="str">
        <f aca="false">IF($B203="","",IF(AND(G203="",H203=""),"",G203+H203))</f>
        <v/>
      </c>
      <c r="J203" s="10" t="str">
        <f aca="false">IF(OR($B203="",I203="",F203="UPC Not Found"),"",I203-F203)</f>
        <v/>
      </c>
      <c r="K203" s="9" t="str">
        <f aca="false">IF($B203="","",IF(AND(G203="",H203=""),"Not Counted",IF(OR(G203="",H203=""),"Partially Counted",IF(J203=0,"Match",IF(J203&gt;0,"Overage","Shortage")))))</f>
        <v/>
      </c>
      <c r="L203" s="9" t="str">
        <f aca="false">IF($B203="","",IF(AND(L203&lt;&gt;"",L203&lt;&gt;0),L203,$B$4))</f>
        <v/>
      </c>
      <c r="M203" s="12"/>
      <c r="N203" s="12"/>
      <c r="O203" s="12"/>
    </row>
    <row r="204" customFormat="false" ht="15" hidden="false" customHeight="false" outlineLevel="0" collapsed="false">
      <c r="A204" s="7" t="str">
        <f aca="true">IF($B204="","",IF(AND(A204&lt;&gt;"",A204&lt;&gt;0),A204,TODAY()))</f>
        <v/>
      </c>
      <c r="B204" s="8"/>
      <c r="C204" s="9" t="str">
        <f aca="false">IF($B204="","",IF(AND(C204&lt;&gt;"",C204&lt;&gt;0,C204&lt;&gt;"UPC Not Found"),C204,IFERROR(INDEX('Product Master'!$B$2:$B$1000,MATCH($B204,'Product Master'!$A$2:$A$1000,0)),"UPC Not Found")))</f>
        <v/>
      </c>
      <c r="D204" s="9" t="str">
        <f aca="false">IF($B204="","",IF(AND(D204&lt;&gt;"",D204&lt;&gt;0,D204&lt;&gt;"UPC Not Found"),D204,IFERROR(INDEX('Product Master'!$C$2:$C$1000,MATCH($B204,'Product Master'!$A$2:$A$1000,0)),"UPC Not Found")))</f>
        <v/>
      </c>
      <c r="E204" s="9" t="str">
        <f aca="false">IF($B204="","",IF(AND(E204&lt;&gt;"",E204&lt;&gt;0,E204&lt;&gt;"UPC Not Found"),E204,IFERROR(INDEX('Product Master'!$D$2:$D$1000,MATCH($B204,'Product Master'!$A$2:$A$1000,0)),"UPC Not Found")))</f>
        <v/>
      </c>
      <c r="F204" s="10" t="str">
        <f aca="false">IF($B204="","",IF(AND(F204&lt;&gt;"",F204&lt;&gt;0,F204&lt;&gt;"UPC Not Found"),F204,IFERROR(INDEX('Product Master'!$E$2:$E$1000,MATCH($B204,'Product Master'!$A$2:$A$1000,0)),"UPC Not Found")))</f>
        <v/>
      </c>
      <c r="G204" s="11"/>
      <c r="H204" s="11"/>
      <c r="I204" s="10" t="str">
        <f aca="false">IF($B204="","",IF(AND(G204="",H204=""),"",G204+H204))</f>
        <v/>
      </c>
      <c r="J204" s="10" t="str">
        <f aca="false">IF(OR($B204="",I204="",F204="UPC Not Found"),"",I204-F204)</f>
        <v/>
      </c>
      <c r="K204" s="9" t="str">
        <f aca="false">IF($B204="","",IF(AND(G204="",H204=""),"Not Counted",IF(OR(G204="",H204=""),"Partially Counted",IF(J204=0,"Match",IF(J204&gt;0,"Overage","Shortage")))))</f>
        <v/>
      </c>
      <c r="L204" s="9" t="str">
        <f aca="false">IF($B204="","",IF(AND(L204&lt;&gt;"",L204&lt;&gt;0),L204,$B$4))</f>
        <v/>
      </c>
      <c r="M204" s="12"/>
      <c r="N204" s="12"/>
      <c r="O204" s="12"/>
    </row>
    <row r="205" customFormat="false" ht="15" hidden="false" customHeight="false" outlineLevel="0" collapsed="false">
      <c r="A205" s="7" t="str">
        <f aca="true">IF($B205="","",IF(AND(A205&lt;&gt;"",A205&lt;&gt;0),A205,TODAY()))</f>
        <v/>
      </c>
      <c r="B205" s="8"/>
      <c r="C205" s="9" t="str">
        <f aca="false">IF($B205="","",IF(AND(C205&lt;&gt;"",C205&lt;&gt;0,C205&lt;&gt;"UPC Not Found"),C205,IFERROR(INDEX('Product Master'!$B$2:$B$1000,MATCH($B205,'Product Master'!$A$2:$A$1000,0)),"UPC Not Found")))</f>
        <v/>
      </c>
      <c r="D205" s="9" t="str">
        <f aca="false">IF($B205="","",IF(AND(D205&lt;&gt;"",D205&lt;&gt;0,D205&lt;&gt;"UPC Not Found"),D205,IFERROR(INDEX('Product Master'!$C$2:$C$1000,MATCH($B205,'Product Master'!$A$2:$A$1000,0)),"UPC Not Found")))</f>
        <v/>
      </c>
      <c r="E205" s="9" t="str">
        <f aca="false">IF($B205="","",IF(AND(E205&lt;&gt;"",E205&lt;&gt;0,E205&lt;&gt;"UPC Not Found"),E205,IFERROR(INDEX('Product Master'!$D$2:$D$1000,MATCH($B205,'Product Master'!$A$2:$A$1000,0)),"UPC Not Found")))</f>
        <v/>
      </c>
      <c r="F205" s="10" t="str">
        <f aca="false">IF($B205="","",IF(AND(F205&lt;&gt;"",F205&lt;&gt;0,F205&lt;&gt;"UPC Not Found"),F205,IFERROR(INDEX('Product Master'!$E$2:$E$1000,MATCH($B205,'Product Master'!$A$2:$A$1000,0)),"UPC Not Found")))</f>
        <v/>
      </c>
      <c r="G205" s="11"/>
      <c r="H205" s="11"/>
      <c r="I205" s="10" t="str">
        <f aca="false">IF($B205="","",IF(AND(G205="",H205=""),"",G205+H205))</f>
        <v/>
      </c>
      <c r="J205" s="10" t="str">
        <f aca="false">IF(OR($B205="",I205="",F205="UPC Not Found"),"",I205-F205)</f>
        <v/>
      </c>
      <c r="K205" s="9" t="str">
        <f aca="false">IF($B205="","",IF(AND(G205="",H205=""),"Not Counted",IF(OR(G205="",H205=""),"Partially Counted",IF(J205=0,"Match",IF(J205&gt;0,"Overage","Shortage")))))</f>
        <v/>
      </c>
      <c r="L205" s="9" t="str">
        <f aca="false">IF($B205="","",IF(AND(L205&lt;&gt;"",L205&lt;&gt;0),L205,$B$4))</f>
        <v/>
      </c>
      <c r="M205" s="12"/>
      <c r="N205" s="12"/>
      <c r="O205" s="12"/>
    </row>
    <row r="206" customFormat="false" ht="15" hidden="false" customHeight="false" outlineLevel="0" collapsed="false">
      <c r="A206" s="7" t="str">
        <f aca="true">IF($B206="","",IF(AND(A206&lt;&gt;"",A206&lt;&gt;0),A206,TODAY()))</f>
        <v/>
      </c>
      <c r="B206" s="8"/>
      <c r="C206" s="9" t="str">
        <f aca="false">IF($B206="","",IF(AND(C206&lt;&gt;"",C206&lt;&gt;0,C206&lt;&gt;"UPC Not Found"),C206,IFERROR(INDEX('Product Master'!$B$2:$B$1000,MATCH($B206,'Product Master'!$A$2:$A$1000,0)),"UPC Not Found")))</f>
        <v/>
      </c>
      <c r="D206" s="9" t="str">
        <f aca="false">IF($B206="","",IF(AND(D206&lt;&gt;"",D206&lt;&gt;0,D206&lt;&gt;"UPC Not Found"),D206,IFERROR(INDEX('Product Master'!$C$2:$C$1000,MATCH($B206,'Product Master'!$A$2:$A$1000,0)),"UPC Not Found")))</f>
        <v/>
      </c>
      <c r="E206" s="9" t="str">
        <f aca="false">IF($B206="","",IF(AND(E206&lt;&gt;"",E206&lt;&gt;0,E206&lt;&gt;"UPC Not Found"),E206,IFERROR(INDEX('Product Master'!$D$2:$D$1000,MATCH($B206,'Product Master'!$A$2:$A$1000,0)),"UPC Not Found")))</f>
        <v/>
      </c>
      <c r="F206" s="10" t="str">
        <f aca="false">IF($B206="","",IF(AND(F206&lt;&gt;"",F206&lt;&gt;0,F206&lt;&gt;"UPC Not Found"),F206,IFERROR(INDEX('Product Master'!$E$2:$E$1000,MATCH($B206,'Product Master'!$A$2:$A$1000,0)),"UPC Not Found")))</f>
        <v/>
      </c>
      <c r="G206" s="11"/>
      <c r="H206" s="11"/>
      <c r="I206" s="10" t="str">
        <f aca="false">IF($B206="","",IF(AND(G206="",H206=""),"",G206+H206))</f>
        <v/>
      </c>
      <c r="J206" s="10" t="str">
        <f aca="false">IF(OR($B206="",I206="",F206="UPC Not Found"),"",I206-F206)</f>
        <v/>
      </c>
      <c r="K206" s="9" t="str">
        <f aca="false">IF($B206="","",IF(AND(G206="",H206=""),"Not Counted",IF(OR(G206="",H206=""),"Partially Counted",IF(J206=0,"Match",IF(J206&gt;0,"Overage","Shortage")))))</f>
        <v/>
      </c>
      <c r="L206" s="9" t="str">
        <f aca="false">IF($B206="","",IF(AND(L206&lt;&gt;"",L206&lt;&gt;0),L206,$B$4))</f>
        <v/>
      </c>
      <c r="M206" s="12"/>
      <c r="N206" s="12"/>
      <c r="O206" s="12"/>
    </row>
  </sheetData>
  <mergeCells count="2">
    <mergeCell ref="A1:O1"/>
    <mergeCell ref="A2:O2"/>
  </mergeCells>
  <conditionalFormatting sqref="A7:O206">
    <cfRule type="expression" priority="2" aboveAverage="0" equalAverage="0" bottom="0" percent="0" rank="0" text="" dxfId="8">
      <formula>AND($A7&lt;&gt;"",(TODAY()-$A7)&lt;=14)</formula>
    </cfRule>
    <cfRule type="expression" priority="3" aboveAverage="0" equalAverage="0" bottom="0" percent="0" rank="0" text="" dxfId="9">
      <formula>AND($A7&lt;&gt;"",(TODAY()-$A7)&gt;=15,(TODAY()-$A7)&lt;=28)</formula>
    </cfRule>
    <cfRule type="expression" priority="4" aboveAverage="0" equalAverage="0" bottom="0" percent="0" rank="0" text="" dxfId="10">
      <formula>AND($A7&lt;&gt;"",(TODAY()-$A7)&gt;=29)</formula>
    </cfRule>
  </conditionalFormatting>
  <conditionalFormatting sqref="B7:B206">
    <cfRule type="expression" priority="5" aboveAverage="0" equalAverage="0" bottom="0" percent="0" rank="0" text="" dxfId="11">
      <formula>$C7="UPC Not Found"</formula>
    </cfRule>
  </conditionalFormatting>
  <dataValidations count="4">
    <dataValidation allowBlank="true" errorStyle="stop" operator="between" showDropDown="false" showErrorMessage="false" showInputMessage="false" sqref="B4" type="list">
      <formula1>Lists!$A$2:$A$31</formula1>
      <formula2>0</formula2>
    </dataValidation>
    <dataValidation allowBlank="true" errorStyle="stop" operator="between" showDropDown="false" showErrorMessage="false" showInputMessage="false" sqref="L7:L206" type="list">
      <formula1>Lists!$A$2:$A$31</formula1>
      <formula2>0</formula2>
    </dataValidation>
    <dataValidation allowBlank="true" errorStyle="stop" operator="between" showDropDown="false" showErrorMessage="false" showInputMessage="false" sqref="M7:M206" type="list">
      <formula1>Lists!$C$2:$C$31</formula1>
      <formula2>0</formula2>
    </dataValidation>
    <dataValidation allowBlank="true" errorStyle="stop" operator="between" showDropDown="false" showErrorMessage="false" showInputMessage="false" sqref="N7:N206" type="list">
      <formula1>Lists!$C$2:$C$31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8"/>
    <col collapsed="false" customWidth="true" hidden="false" outlineLevel="0" max="3" min="3" style="0" width="28"/>
    <col collapsed="false" customWidth="true" hidden="false" outlineLevel="0" max="4" min="4" style="0" width="34"/>
    <col collapsed="false" customWidth="true" hidden="false" outlineLevel="0" max="5" min="5" style="0" width="18"/>
    <col collapsed="false" customWidth="true" hidden="false" outlineLevel="0" max="7" min="7" style="0" width="26"/>
    <col collapsed="false" customWidth="true" hidden="false" outlineLevel="0" max="8" min="8" style="0" width="4"/>
  </cols>
  <sheetData>
    <row r="1" customFormat="false" ht="21.75" hidden="false" customHeight="true" outlineLevel="0" collapsed="false">
      <c r="A1" s="6" t="s">
        <v>6</v>
      </c>
      <c r="B1" s="6" t="s">
        <v>7</v>
      </c>
      <c r="C1" s="6" t="s">
        <v>8</v>
      </c>
      <c r="D1" s="6" t="s">
        <v>9</v>
      </c>
      <c r="E1" s="6" t="s">
        <v>29</v>
      </c>
      <c r="G1" s="13" t="s">
        <v>30</v>
      </c>
      <c r="H1" s="13"/>
    </row>
    <row r="2" customFormat="false" ht="60" hidden="false" customHeight="true" outlineLevel="0" collapsed="false">
      <c r="A2" s="14" t="s">
        <v>31</v>
      </c>
      <c r="B2" s="15" t="s">
        <v>32</v>
      </c>
      <c r="C2" s="15" t="s">
        <v>33</v>
      </c>
      <c r="D2" s="15" t="s">
        <v>34</v>
      </c>
      <c r="E2" s="16" t="n">
        <v>180</v>
      </c>
      <c r="G2" s="17" t="s">
        <v>35</v>
      </c>
      <c r="H2" s="17"/>
    </row>
    <row r="3" customFormat="false" ht="15" hidden="false" customHeight="false" outlineLevel="0" collapsed="false">
      <c r="A3" s="18" t="s">
        <v>26</v>
      </c>
      <c r="B3" s="19" t="s">
        <v>36</v>
      </c>
      <c r="C3" s="19" t="s">
        <v>37</v>
      </c>
      <c r="D3" s="19" t="s">
        <v>38</v>
      </c>
      <c r="E3" s="20" t="n">
        <v>96</v>
      </c>
      <c r="G3" s="21"/>
    </row>
    <row r="4" customFormat="false" ht="15" hidden="false" customHeight="false" outlineLevel="0" collapsed="false">
      <c r="A4" s="14" t="s">
        <v>23</v>
      </c>
      <c r="B4" s="15" t="s">
        <v>39</v>
      </c>
      <c r="C4" s="15" t="s">
        <v>40</v>
      </c>
      <c r="D4" s="15" t="s">
        <v>41</v>
      </c>
      <c r="E4" s="16" t="n">
        <v>60</v>
      </c>
      <c r="G4" s="22"/>
    </row>
    <row r="5" customFormat="false" ht="15" hidden="false" customHeight="false" outlineLevel="0" collapsed="false">
      <c r="A5" s="18" t="s">
        <v>42</v>
      </c>
      <c r="B5" s="19" t="s">
        <v>43</v>
      </c>
      <c r="C5" s="19" t="s">
        <v>44</v>
      </c>
      <c r="D5" s="19" t="s">
        <v>45</v>
      </c>
      <c r="E5" s="20" t="n">
        <v>45</v>
      </c>
      <c r="G5" s="22"/>
    </row>
    <row r="6" customFormat="false" ht="15" hidden="false" customHeight="false" outlineLevel="0" collapsed="false">
      <c r="A6" s="14" t="s">
        <v>46</v>
      </c>
      <c r="B6" s="15" t="s">
        <v>47</v>
      </c>
      <c r="C6" s="15" t="s">
        <v>48</v>
      </c>
      <c r="D6" s="15" t="s">
        <v>49</v>
      </c>
      <c r="E6" s="16" t="n">
        <v>72</v>
      </c>
      <c r="G6" s="22"/>
    </row>
    <row r="7" customFormat="false" ht="15" hidden="false" customHeight="false" outlineLevel="0" collapsed="false">
      <c r="A7" s="18" t="s">
        <v>20</v>
      </c>
      <c r="B7" s="19" t="s">
        <v>50</v>
      </c>
      <c r="C7" s="19" t="s">
        <v>51</v>
      </c>
      <c r="D7" s="19" t="s">
        <v>52</v>
      </c>
      <c r="E7" s="20" t="n">
        <v>9</v>
      </c>
      <c r="G7" s="22"/>
    </row>
    <row r="8" customFormat="false" ht="15" hidden="false" customHeight="false" outlineLevel="0" collapsed="false">
      <c r="A8" s="14"/>
      <c r="B8" s="15"/>
      <c r="C8" s="15"/>
      <c r="D8" s="15"/>
      <c r="E8" s="16"/>
      <c r="G8" s="22"/>
    </row>
    <row r="9" customFormat="false" ht="15" hidden="false" customHeight="false" outlineLevel="0" collapsed="false">
      <c r="A9" s="18"/>
      <c r="B9" s="19"/>
      <c r="C9" s="19"/>
      <c r="D9" s="19"/>
      <c r="E9" s="20"/>
      <c r="G9" s="22"/>
    </row>
    <row r="10" customFormat="false" ht="15" hidden="false" customHeight="false" outlineLevel="0" collapsed="false">
      <c r="A10" s="14"/>
      <c r="B10" s="15"/>
      <c r="C10" s="15"/>
      <c r="D10" s="15"/>
      <c r="E10" s="16"/>
      <c r="G10" s="22"/>
    </row>
    <row r="11" customFormat="false" ht="15" hidden="false" customHeight="false" outlineLevel="0" collapsed="false">
      <c r="A11" s="18"/>
      <c r="B11" s="19"/>
      <c r="C11" s="19"/>
      <c r="D11" s="19"/>
      <c r="E11" s="20"/>
      <c r="G11" s="22"/>
    </row>
    <row r="12" customFormat="false" ht="15" hidden="false" customHeight="false" outlineLevel="0" collapsed="false">
      <c r="A12" s="14"/>
      <c r="B12" s="15"/>
      <c r="C12" s="15"/>
      <c r="D12" s="15"/>
      <c r="E12" s="16"/>
      <c r="G12" s="22"/>
    </row>
    <row r="13" customFormat="false" ht="15" hidden="false" customHeight="false" outlineLevel="0" collapsed="false">
      <c r="A13" s="18"/>
      <c r="B13" s="19"/>
      <c r="C13" s="19"/>
      <c r="D13" s="19"/>
      <c r="E13" s="20"/>
      <c r="G13" s="22"/>
    </row>
    <row r="14" customFormat="false" ht="15" hidden="false" customHeight="false" outlineLevel="0" collapsed="false">
      <c r="A14" s="14"/>
      <c r="B14" s="15"/>
      <c r="C14" s="15"/>
      <c r="D14" s="15"/>
      <c r="E14" s="16"/>
      <c r="G14" s="22"/>
    </row>
    <row r="15" customFormat="false" ht="15" hidden="false" customHeight="false" outlineLevel="0" collapsed="false">
      <c r="A15" s="18"/>
      <c r="B15" s="19"/>
      <c r="C15" s="19"/>
      <c r="D15" s="19"/>
      <c r="E15" s="20"/>
      <c r="G15" s="22"/>
    </row>
    <row r="16" customFormat="false" ht="15" hidden="false" customHeight="false" outlineLevel="0" collapsed="false">
      <c r="A16" s="14"/>
      <c r="B16" s="15"/>
      <c r="C16" s="15"/>
      <c r="D16" s="15"/>
      <c r="E16" s="16"/>
      <c r="G16" s="22"/>
    </row>
    <row r="17" customFormat="false" ht="15" hidden="false" customHeight="false" outlineLevel="0" collapsed="false">
      <c r="A17" s="18"/>
      <c r="B17" s="19"/>
      <c r="C17" s="19"/>
      <c r="D17" s="19"/>
      <c r="E17" s="20"/>
      <c r="G17" s="22"/>
    </row>
    <row r="18" customFormat="false" ht="15" hidden="false" customHeight="false" outlineLevel="0" collapsed="false">
      <c r="A18" s="14"/>
      <c r="B18" s="15"/>
      <c r="C18" s="15"/>
      <c r="D18" s="15"/>
      <c r="E18" s="16"/>
      <c r="G18" s="22"/>
    </row>
    <row r="19" customFormat="false" ht="15" hidden="false" customHeight="false" outlineLevel="0" collapsed="false">
      <c r="A19" s="18"/>
      <c r="B19" s="19"/>
      <c r="C19" s="19"/>
      <c r="D19" s="19"/>
      <c r="E19" s="20"/>
      <c r="G19" s="22"/>
    </row>
    <row r="20" customFormat="false" ht="15" hidden="false" customHeight="false" outlineLevel="0" collapsed="false">
      <c r="A20" s="14"/>
      <c r="B20" s="15"/>
      <c r="C20" s="15"/>
      <c r="D20" s="15"/>
      <c r="E20" s="16"/>
      <c r="G20" s="22"/>
    </row>
    <row r="21" customFormat="false" ht="15" hidden="false" customHeight="false" outlineLevel="0" collapsed="false">
      <c r="A21" s="18"/>
      <c r="B21" s="19"/>
      <c r="C21" s="19"/>
      <c r="D21" s="19"/>
      <c r="E21" s="20"/>
      <c r="G21" s="22"/>
    </row>
    <row r="22" customFormat="false" ht="15" hidden="false" customHeight="false" outlineLevel="0" collapsed="false">
      <c r="A22" s="14"/>
      <c r="B22" s="15"/>
      <c r="C22" s="15"/>
      <c r="D22" s="15"/>
      <c r="E22" s="16"/>
      <c r="G22" s="22"/>
    </row>
    <row r="23" customFormat="false" ht="15" hidden="false" customHeight="false" outlineLevel="0" collapsed="false">
      <c r="A23" s="18"/>
      <c r="B23" s="19"/>
      <c r="C23" s="19"/>
      <c r="D23" s="19"/>
      <c r="E23" s="20"/>
      <c r="G23" s="22"/>
    </row>
    <row r="24" customFormat="false" ht="15" hidden="false" customHeight="false" outlineLevel="0" collapsed="false">
      <c r="A24" s="14"/>
      <c r="B24" s="15"/>
      <c r="C24" s="15"/>
      <c r="D24" s="15"/>
      <c r="E24" s="16"/>
      <c r="G24" s="22"/>
    </row>
    <row r="25" customFormat="false" ht="15" hidden="false" customHeight="false" outlineLevel="0" collapsed="false">
      <c r="A25" s="18"/>
      <c r="B25" s="19"/>
      <c r="C25" s="19"/>
      <c r="D25" s="19"/>
      <c r="E25" s="20"/>
      <c r="G25" s="22"/>
    </row>
    <row r="26" customFormat="false" ht="15" hidden="false" customHeight="false" outlineLevel="0" collapsed="false">
      <c r="A26" s="14"/>
      <c r="B26" s="15"/>
      <c r="C26" s="15"/>
      <c r="D26" s="15"/>
      <c r="E26" s="16"/>
      <c r="G26" s="22"/>
    </row>
    <row r="27" customFormat="false" ht="15" hidden="false" customHeight="false" outlineLevel="0" collapsed="false">
      <c r="A27" s="18"/>
      <c r="B27" s="19"/>
      <c r="C27" s="19"/>
      <c r="D27" s="19"/>
      <c r="E27" s="20"/>
      <c r="G27" s="22"/>
    </row>
    <row r="28" customFormat="false" ht="15" hidden="false" customHeight="false" outlineLevel="0" collapsed="false">
      <c r="A28" s="14"/>
      <c r="B28" s="15"/>
      <c r="C28" s="15"/>
      <c r="D28" s="15"/>
      <c r="E28" s="16"/>
      <c r="G28" s="22"/>
    </row>
    <row r="29" customFormat="false" ht="15" hidden="false" customHeight="false" outlineLevel="0" collapsed="false">
      <c r="A29" s="18"/>
      <c r="B29" s="19"/>
      <c r="C29" s="19"/>
      <c r="D29" s="19"/>
      <c r="E29" s="20"/>
      <c r="G29" s="22"/>
    </row>
    <row r="30" customFormat="false" ht="15" hidden="false" customHeight="false" outlineLevel="0" collapsed="false">
      <c r="A30" s="14"/>
      <c r="B30" s="15"/>
      <c r="C30" s="15"/>
      <c r="D30" s="15"/>
      <c r="E30" s="16"/>
      <c r="G30" s="22"/>
    </row>
    <row r="31" customFormat="false" ht="15" hidden="false" customHeight="false" outlineLevel="0" collapsed="false">
      <c r="A31" s="18"/>
      <c r="B31" s="19"/>
      <c r="C31" s="19"/>
      <c r="D31" s="19"/>
      <c r="E31" s="20"/>
      <c r="G31" s="22"/>
    </row>
    <row r="32" customFormat="false" ht="15" hidden="false" customHeight="false" outlineLevel="0" collapsed="false">
      <c r="A32" s="14"/>
      <c r="B32" s="15"/>
      <c r="C32" s="15"/>
      <c r="D32" s="15"/>
      <c r="E32" s="16"/>
      <c r="G32" s="22"/>
    </row>
    <row r="33" customFormat="false" ht="15" hidden="false" customHeight="false" outlineLevel="0" collapsed="false">
      <c r="A33" s="18"/>
      <c r="B33" s="19"/>
      <c r="C33" s="19"/>
      <c r="D33" s="19"/>
      <c r="E33" s="20"/>
      <c r="G33" s="22"/>
    </row>
    <row r="34" customFormat="false" ht="15" hidden="false" customHeight="false" outlineLevel="0" collapsed="false">
      <c r="A34" s="14"/>
      <c r="B34" s="15"/>
      <c r="C34" s="15"/>
      <c r="D34" s="15"/>
      <c r="E34" s="16"/>
      <c r="G34" s="22"/>
    </row>
    <row r="35" customFormat="false" ht="15" hidden="false" customHeight="false" outlineLevel="0" collapsed="false">
      <c r="A35" s="18"/>
      <c r="B35" s="19"/>
      <c r="C35" s="19"/>
      <c r="D35" s="19"/>
      <c r="E35" s="20"/>
      <c r="G35" s="22"/>
    </row>
    <row r="36" customFormat="false" ht="15" hidden="false" customHeight="false" outlineLevel="0" collapsed="false">
      <c r="A36" s="14"/>
      <c r="B36" s="15"/>
      <c r="C36" s="15"/>
      <c r="D36" s="15"/>
      <c r="E36" s="16"/>
      <c r="G36" s="22"/>
    </row>
    <row r="37" customFormat="false" ht="15" hidden="false" customHeight="false" outlineLevel="0" collapsed="false">
      <c r="A37" s="18"/>
      <c r="B37" s="19"/>
      <c r="C37" s="19"/>
      <c r="D37" s="19"/>
      <c r="E37" s="20"/>
      <c r="G37" s="22"/>
    </row>
    <row r="38" customFormat="false" ht="15" hidden="false" customHeight="false" outlineLevel="0" collapsed="false">
      <c r="A38" s="14"/>
      <c r="B38" s="15"/>
      <c r="C38" s="15"/>
      <c r="D38" s="15"/>
      <c r="E38" s="16"/>
      <c r="G38" s="22"/>
    </row>
    <row r="39" customFormat="false" ht="15" hidden="false" customHeight="false" outlineLevel="0" collapsed="false">
      <c r="A39" s="18"/>
      <c r="B39" s="19"/>
      <c r="C39" s="19"/>
      <c r="D39" s="19"/>
      <c r="E39" s="20"/>
      <c r="G39" s="22"/>
    </row>
    <row r="40" customFormat="false" ht="15" hidden="false" customHeight="false" outlineLevel="0" collapsed="false">
      <c r="A40" s="14"/>
      <c r="B40" s="15"/>
      <c r="C40" s="15"/>
      <c r="D40" s="15"/>
      <c r="E40" s="16"/>
      <c r="G40" s="22"/>
    </row>
    <row r="41" customFormat="false" ht="15" hidden="false" customHeight="false" outlineLevel="0" collapsed="false">
      <c r="A41" s="18"/>
      <c r="B41" s="19"/>
      <c r="C41" s="19"/>
      <c r="D41" s="19"/>
      <c r="E41" s="20"/>
      <c r="G41" s="22"/>
    </row>
    <row r="42" customFormat="false" ht="15" hidden="false" customHeight="false" outlineLevel="0" collapsed="false">
      <c r="A42" s="14"/>
      <c r="B42" s="15"/>
      <c r="C42" s="15"/>
      <c r="D42" s="15"/>
      <c r="E42" s="16"/>
      <c r="G42" s="22"/>
    </row>
    <row r="43" customFormat="false" ht="15" hidden="false" customHeight="false" outlineLevel="0" collapsed="false">
      <c r="A43" s="18"/>
      <c r="B43" s="19"/>
      <c r="C43" s="19"/>
      <c r="D43" s="19"/>
      <c r="E43" s="20"/>
      <c r="G43" s="22"/>
    </row>
    <row r="44" customFormat="false" ht="15" hidden="false" customHeight="false" outlineLevel="0" collapsed="false">
      <c r="A44" s="14"/>
      <c r="B44" s="15"/>
      <c r="C44" s="15"/>
      <c r="D44" s="15"/>
      <c r="E44" s="16"/>
      <c r="G44" s="22"/>
    </row>
    <row r="45" customFormat="false" ht="15" hidden="false" customHeight="false" outlineLevel="0" collapsed="false">
      <c r="A45" s="18"/>
      <c r="B45" s="19"/>
      <c r="C45" s="19"/>
      <c r="D45" s="19"/>
      <c r="E45" s="20"/>
      <c r="G45" s="22"/>
    </row>
    <row r="46" customFormat="false" ht="15" hidden="false" customHeight="false" outlineLevel="0" collapsed="false">
      <c r="A46" s="14"/>
      <c r="B46" s="15"/>
      <c r="C46" s="15"/>
      <c r="D46" s="15"/>
      <c r="E46" s="16"/>
      <c r="G46" s="22"/>
    </row>
    <row r="47" customFormat="false" ht="15" hidden="false" customHeight="false" outlineLevel="0" collapsed="false">
      <c r="A47" s="18"/>
      <c r="B47" s="19"/>
      <c r="C47" s="19"/>
      <c r="D47" s="19"/>
      <c r="E47" s="20"/>
      <c r="G47" s="22"/>
    </row>
    <row r="48" customFormat="false" ht="15" hidden="false" customHeight="false" outlineLevel="0" collapsed="false">
      <c r="A48" s="14"/>
      <c r="B48" s="15"/>
      <c r="C48" s="15"/>
      <c r="D48" s="15"/>
      <c r="E48" s="16"/>
      <c r="G48" s="22"/>
    </row>
    <row r="49" customFormat="false" ht="15" hidden="false" customHeight="false" outlineLevel="0" collapsed="false">
      <c r="A49" s="18"/>
      <c r="B49" s="19"/>
      <c r="C49" s="19"/>
      <c r="D49" s="19"/>
      <c r="E49" s="20"/>
      <c r="G49" s="22"/>
    </row>
    <row r="50" customFormat="false" ht="15" hidden="false" customHeight="false" outlineLevel="0" collapsed="false">
      <c r="A50" s="14"/>
      <c r="B50" s="15"/>
      <c r="C50" s="15"/>
      <c r="D50" s="15"/>
      <c r="E50" s="16"/>
      <c r="G50" s="22"/>
    </row>
    <row r="51" customFormat="false" ht="15" hidden="false" customHeight="false" outlineLevel="0" collapsed="false">
      <c r="A51" s="18"/>
      <c r="B51" s="19"/>
      <c r="C51" s="19"/>
      <c r="D51" s="19"/>
      <c r="E51" s="20"/>
      <c r="G51" s="22"/>
    </row>
    <row r="52" customFormat="false" ht="15" hidden="false" customHeight="false" outlineLevel="0" collapsed="false">
      <c r="A52" s="14"/>
      <c r="B52" s="15"/>
      <c r="C52" s="15"/>
      <c r="D52" s="15"/>
      <c r="E52" s="16"/>
      <c r="G52" s="22"/>
    </row>
    <row r="53" customFormat="false" ht="15" hidden="false" customHeight="false" outlineLevel="0" collapsed="false">
      <c r="A53" s="18"/>
      <c r="B53" s="19"/>
      <c r="C53" s="19"/>
      <c r="D53" s="19"/>
      <c r="E53" s="20"/>
      <c r="G53" s="22"/>
    </row>
    <row r="54" customFormat="false" ht="15" hidden="false" customHeight="false" outlineLevel="0" collapsed="false">
      <c r="A54" s="14"/>
      <c r="B54" s="15"/>
      <c r="C54" s="15"/>
      <c r="D54" s="15"/>
      <c r="E54" s="16"/>
      <c r="G54" s="22"/>
    </row>
    <row r="55" customFormat="false" ht="15" hidden="false" customHeight="false" outlineLevel="0" collapsed="false">
      <c r="A55" s="18"/>
      <c r="B55" s="19"/>
      <c r="C55" s="19"/>
      <c r="D55" s="19"/>
      <c r="E55" s="20"/>
      <c r="G55" s="22"/>
    </row>
    <row r="56" customFormat="false" ht="15" hidden="false" customHeight="false" outlineLevel="0" collapsed="false">
      <c r="A56" s="14"/>
      <c r="B56" s="15"/>
      <c r="C56" s="15"/>
      <c r="D56" s="15"/>
      <c r="E56" s="16"/>
      <c r="G56" s="22"/>
    </row>
    <row r="57" customFormat="false" ht="15" hidden="false" customHeight="false" outlineLevel="0" collapsed="false">
      <c r="A57" s="18"/>
      <c r="B57" s="19"/>
      <c r="C57" s="19"/>
      <c r="D57" s="19"/>
      <c r="E57" s="20"/>
      <c r="G57" s="22"/>
    </row>
    <row r="58" customFormat="false" ht="15" hidden="false" customHeight="false" outlineLevel="0" collapsed="false">
      <c r="A58" s="14"/>
      <c r="B58" s="15"/>
      <c r="C58" s="15"/>
      <c r="D58" s="15"/>
      <c r="E58" s="16"/>
      <c r="G58" s="22"/>
    </row>
    <row r="59" customFormat="false" ht="15" hidden="false" customHeight="false" outlineLevel="0" collapsed="false">
      <c r="A59" s="18"/>
      <c r="B59" s="19"/>
      <c r="C59" s="19"/>
      <c r="D59" s="19"/>
      <c r="E59" s="20"/>
      <c r="G59" s="22"/>
    </row>
    <row r="60" customFormat="false" ht="15" hidden="false" customHeight="false" outlineLevel="0" collapsed="false">
      <c r="A60" s="14"/>
      <c r="B60" s="15"/>
      <c r="C60" s="15"/>
      <c r="D60" s="15"/>
      <c r="E60" s="16"/>
      <c r="G60" s="22"/>
    </row>
    <row r="61" customFormat="false" ht="15" hidden="false" customHeight="false" outlineLevel="0" collapsed="false">
      <c r="A61" s="18"/>
      <c r="B61" s="19"/>
      <c r="C61" s="19"/>
      <c r="D61" s="19"/>
      <c r="E61" s="20"/>
      <c r="G61" s="22"/>
    </row>
    <row r="62" customFormat="false" ht="15" hidden="false" customHeight="false" outlineLevel="0" collapsed="false">
      <c r="A62" s="14"/>
      <c r="B62" s="15"/>
      <c r="C62" s="15"/>
      <c r="D62" s="15"/>
      <c r="E62" s="16"/>
      <c r="G62" s="22"/>
    </row>
    <row r="63" customFormat="false" ht="15" hidden="false" customHeight="false" outlineLevel="0" collapsed="false">
      <c r="A63" s="18"/>
      <c r="B63" s="19"/>
      <c r="C63" s="19"/>
      <c r="D63" s="19"/>
      <c r="E63" s="20"/>
      <c r="G63" s="22"/>
    </row>
    <row r="64" customFormat="false" ht="15" hidden="false" customHeight="false" outlineLevel="0" collapsed="false">
      <c r="A64" s="14"/>
      <c r="B64" s="15"/>
      <c r="C64" s="15"/>
      <c r="D64" s="15"/>
      <c r="E64" s="16"/>
      <c r="G64" s="22"/>
    </row>
    <row r="65" customFormat="false" ht="15" hidden="false" customHeight="false" outlineLevel="0" collapsed="false">
      <c r="A65" s="18"/>
      <c r="B65" s="19"/>
      <c r="C65" s="19"/>
      <c r="D65" s="19"/>
      <c r="E65" s="20"/>
      <c r="G65" s="22"/>
    </row>
    <row r="66" customFormat="false" ht="15" hidden="false" customHeight="false" outlineLevel="0" collapsed="false">
      <c r="A66" s="14"/>
      <c r="B66" s="15"/>
      <c r="C66" s="15"/>
      <c r="D66" s="15"/>
      <c r="E66" s="16"/>
      <c r="G66" s="22"/>
    </row>
    <row r="67" customFormat="false" ht="15" hidden="false" customHeight="false" outlineLevel="0" collapsed="false">
      <c r="A67" s="18"/>
      <c r="B67" s="19"/>
      <c r="C67" s="19"/>
      <c r="D67" s="19"/>
      <c r="E67" s="20"/>
      <c r="G67" s="22"/>
    </row>
    <row r="68" customFormat="false" ht="15" hidden="false" customHeight="false" outlineLevel="0" collapsed="false">
      <c r="A68" s="14"/>
      <c r="B68" s="15"/>
      <c r="C68" s="15"/>
      <c r="D68" s="15"/>
      <c r="E68" s="16"/>
      <c r="G68" s="22"/>
    </row>
    <row r="69" customFormat="false" ht="15" hidden="false" customHeight="false" outlineLevel="0" collapsed="false">
      <c r="A69" s="18"/>
      <c r="B69" s="19"/>
      <c r="C69" s="19"/>
      <c r="D69" s="19"/>
      <c r="E69" s="20"/>
      <c r="G69" s="22"/>
    </row>
    <row r="70" customFormat="false" ht="15" hidden="false" customHeight="false" outlineLevel="0" collapsed="false">
      <c r="A70" s="14"/>
      <c r="B70" s="15"/>
      <c r="C70" s="15"/>
      <c r="D70" s="15"/>
      <c r="E70" s="16"/>
      <c r="G70" s="22"/>
    </row>
    <row r="71" customFormat="false" ht="15" hidden="false" customHeight="false" outlineLevel="0" collapsed="false">
      <c r="A71" s="18"/>
      <c r="B71" s="19"/>
      <c r="C71" s="19"/>
      <c r="D71" s="19"/>
      <c r="E71" s="20"/>
      <c r="G71" s="22"/>
    </row>
    <row r="72" customFormat="false" ht="15" hidden="false" customHeight="false" outlineLevel="0" collapsed="false">
      <c r="A72" s="14"/>
      <c r="B72" s="15"/>
      <c r="C72" s="15"/>
      <c r="D72" s="15"/>
      <c r="E72" s="16"/>
      <c r="G72" s="22"/>
    </row>
    <row r="73" customFormat="false" ht="15" hidden="false" customHeight="false" outlineLevel="0" collapsed="false">
      <c r="A73" s="18"/>
      <c r="B73" s="19"/>
      <c r="C73" s="19"/>
      <c r="D73" s="19"/>
      <c r="E73" s="20"/>
      <c r="G73" s="22"/>
    </row>
    <row r="74" customFormat="false" ht="15" hidden="false" customHeight="false" outlineLevel="0" collapsed="false">
      <c r="A74" s="14"/>
      <c r="B74" s="15"/>
      <c r="C74" s="15"/>
      <c r="D74" s="15"/>
      <c r="E74" s="16"/>
      <c r="G74" s="22"/>
    </row>
    <row r="75" customFormat="false" ht="15" hidden="false" customHeight="false" outlineLevel="0" collapsed="false">
      <c r="A75" s="18"/>
      <c r="B75" s="19"/>
      <c r="C75" s="19"/>
      <c r="D75" s="19"/>
      <c r="E75" s="20"/>
      <c r="G75" s="22"/>
    </row>
    <row r="76" customFormat="false" ht="15" hidden="false" customHeight="false" outlineLevel="0" collapsed="false">
      <c r="A76" s="14"/>
      <c r="B76" s="15"/>
      <c r="C76" s="15"/>
      <c r="D76" s="15"/>
      <c r="E76" s="16"/>
      <c r="G76" s="22"/>
    </row>
    <row r="77" customFormat="false" ht="15" hidden="false" customHeight="false" outlineLevel="0" collapsed="false">
      <c r="A77" s="18"/>
      <c r="B77" s="19"/>
      <c r="C77" s="19"/>
      <c r="D77" s="19"/>
      <c r="E77" s="20"/>
      <c r="G77" s="22"/>
    </row>
    <row r="78" customFormat="false" ht="15" hidden="false" customHeight="false" outlineLevel="0" collapsed="false">
      <c r="A78" s="14"/>
      <c r="B78" s="15"/>
      <c r="C78" s="15"/>
      <c r="D78" s="15"/>
      <c r="E78" s="16"/>
      <c r="G78" s="22"/>
    </row>
    <row r="79" customFormat="false" ht="15" hidden="false" customHeight="false" outlineLevel="0" collapsed="false">
      <c r="A79" s="18"/>
      <c r="B79" s="19"/>
      <c r="C79" s="19"/>
      <c r="D79" s="19"/>
      <c r="E79" s="20"/>
      <c r="G79" s="22"/>
    </row>
    <row r="80" customFormat="false" ht="15" hidden="false" customHeight="false" outlineLevel="0" collapsed="false">
      <c r="A80" s="14"/>
      <c r="B80" s="15"/>
      <c r="C80" s="15"/>
      <c r="D80" s="15"/>
      <c r="E80" s="16"/>
      <c r="G80" s="22"/>
    </row>
    <row r="81" customFormat="false" ht="15" hidden="false" customHeight="false" outlineLevel="0" collapsed="false">
      <c r="A81" s="18"/>
      <c r="B81" s="19"/>
      <c r="C81" s="19"/>
      <c r="D81" s="19"/>
      <c r="E81" s="20"/>
      <c r="G81" s="22"/>
    </row>
    <row r="82" customFormat="false" ht="15" hidden="false" customHeight="false" outlineLevel="0" collapsed="false">
      <c r="A82" s="14"/>
      <c r="B82" s="15"/>
      <c r="C82" s="15"/>
      <c r="D82" s="15"/>
      <c r="E82" s="16"/>
      <c r="G82" s="22"/>
    </row>
    <row r="83" customFormat="false" ht="15" hidden="false" customHeight="false" outlineLevel="0" collapsed="false">
      <c r="A83" s="18"/>
      <c r="B83" s="19"/>
      <c r="C83" s="19"/>
      <c r="D83" s="19"/>
      <c r="E83" s="20"/>
      <c r="G83" s="22"/>
    </row>
    <row r="84" customFormat="false" ht="15" hidden="false" customHeight="false" outlineLevel="0" collapsed="false">
      <c r="A84" s="14"/>
      <c r="B84" s="15"/>
      <c r="C84" s="15"/>
      <c r="D84" s="15"/>
      <c r="E84" s="16"/>
      <c r="G84" s="22"/>
    </row>
    <row r="85" customFormat="false" ht="15" hidden="false" customHeight="false" outlineLevel="0" collapsed="false">
      <c r="A85" s="18"/>
      <c r="B85" s="19"/>
      <c r="C85" s="19"/>
      <c r="D85" s="19"/>
      <c r="E85" s="20"/>
      <c r="G85" s="22"/>
    </row>
    <row r="86" customFormat="false" ht="15" hidden="false" customHeight="false" outlineLevel="0" collapsed="false">
      <c r="A86" s="14"/>
      <c r="B86" s="15"/>
      <c r="C86" s="15"/>
      <c r="D86" s="15"/>
      <c r="E86" s="16"/>
      <c r="G86" s="22"/>
    </row>
    <row r="87" customFormat="false" ht="15" hidden="false" customHeight="false" outlineLevel="0" collapsed="false">
      <c r="A87" s="18"/>
      <c r="B87" s="19"/>
      <c r="C87" s="19"/>
      <c r="D87" s="19"/>
      <c r="E87" s="20"/>
      <c r="G87" s="22"/>
    </row>
    <row r="88" customFormat="false" ht="15" hidden="false" customHeight="false" outlineLevel="0" collapsed="false">
      <c r="A88" s="14"/>
      <c r="B88" s="15"/>
      <c r="C88" s="15"/>
      <c r="D88" s="15"/>
      <c r="E88" s="16"/>
      <c r="G88" s="22"/>
    </row>
    <row r="89" customFormat="false" ht="15" hidden="false" customHeight="false" outlineLevel="0" collapsed="false">
      <c r="A89" s="18"/>
      <c r="B89" s="19"/>
      <c r="C89" s="19"/>
      <c r="D89" s="19"/>
      <c r="E89" s="20"/>
      <c r="G89" s="22"/>
    </row>
    <row r="90" customFormat="false" ht="15" hidden="false" customHeight="false" outlineLevel="0" collapsed="false">
      <c r="A90" s="14"/>
      <c r="B90" s="15"/>
      <c r="C90" s="15"/>
      <c r="D90" s="15"/>
      <c r="E90" s="16"/>
      <c r="G90" s="22"/>
    </row>
    <row r="91" customFormat="false" ht="15" hidden="false" customHeight="false" outlineLevel="0" collapsed="false">
      <c r="A91" s="18"/>
      <c r="B91" s="19"/>
      <c r="C91" s="19"/>
      <c r="D91" s="19"/>
      <c r="E91" s="20"/>
      <c r="G91" s="22"/>
    </row>
    <row r="92" customFormat="false" ht="15" hidden="false" customHeight="false" outlineLevel="0" collapsed="false">
      <c r="A92" s="14"/>
      <c r="B92" s="15"/>
      <c r="C92" s="15"/>
      <c r="D92" s="15"/>
      <c r="E92" s="16"/>
      <c r="G92" s="22"/>
    </row>
    <row r="93" customFormat="false" ht="15" hidden="false" customHeight="false" outlineLevel="0" collapsed="false">
      <c r="A93" s="18"/>
      <c r="B93" s="19"/>
      <c r="C93" s="19"/>
      <c r="D93" s="19"/>
      <c r="E93" s="20"/>
      <c r="G93" s="22"/>
    </row>
    <row r="94" customFormat="false" ht="15" hidden="false" customHeight="false" outlineLevel="0" collapsed="false">
      <c r="A94" s="14"/>
      <c r="B94" s="15"/>
      <c r="C94" s="15"/>
      <c r="D94" s="15"/>
      <c r="E94" s="16"/>
      <c r="G94" s="22"/>
    </row>
    <row r="95" customFormat="false" ht="15" hidden="false" customHeight="false" outlineLevel="0" collapsed="false">
      <c r="A95" s="18"/>
      <c r="B95" s="19"/>
      <c r="C95" s="19"/>
      <c r="D95" s="19"/>
      <c r="E95" s="20"/>
      <c r="G95" s="22"/>
    </row>
    <row r="96" customFormat="false" ht="15" hidden="false" customHeight="false" outlineLevel="0" collapsed="false">
      <c r="A96" s="14"/>
      <c r="B96" s="15"/>
      <c r="C96" s="15"/>
      <c r="D96" s="15"/>
      <c r="E96" s="16"/>
      <c r="G96" s="22"/>
    </row>
    <row r="97" customFormat="false" ht="15" hidden="false" customHeight="false" outlineLevel="0" collapsed="false">
      <c r="A97" s="18"/>
      <c r="B97" s="19"/>
      <c r="C97" s="19"/>
      <c r="D97" s="19"/>
      <c r="E97" s="20"/>
      <c r="G97" s="22"/>
    </row>
    <row r="98" customFormat="false" ht="15" hidden="false" customHeight="false" outlineLevel="0" collapsed="false">
      <c r="A98" s="14"/>
      <c r="B98" s="15"/>
      <c r="C98" s="15"/>
      <c r="D98" s="15"/>
      <c r="E98" s="16"/>
      <c r="G98" s="22"/>
    </row>
    <row r="99" customFormat="false" ht="15" hidden="false" customHeight="false" outlineLevel="0" collapsed="false">
      <c r="A99" s="18"/>
      <c r="B99" s="19"/>
      <c r="C99" s="19"/>
      <c r="D99" s="19"/>
      <c r="E99" s="20"/>
      <c r="G99" s="22"/>
    </row>
    <row r="100" customFormat="false" ht="15" hidden="false" customHeight="false" outlineLevel="0" collapsed="false">
      <c r="A100" s="14"/>
      <c r="B100" s="15"/>
      <c r="C100" s="15"/>
      <c r="D100" s="15"/>
      <c r="E100" s="16"/>
      <c r="G100" s="22"/>
    </row>
    <row r="101" customFormat="false" ht="15" hidden="false" customHeight="false" outlineLevel="0" collapsed="false">
      <c r="A101" s="18"/>
      <c r="B101" s="19"/>
      <c r="C101" s="19"/>
      <c r="D101" s="19"/>
      <c r="E101" s="20"/>
      <c r="G101" s="22"/>
    </row>
    <row r="102" customFormat="false" ht="15" hidden="false" customHeight="false" outlineLevel="0" collapsed="false">
      <c r="A102" s="14"/>
      <c r="B102" s="15"/>
      <c r="C102" s="15"/>
      <c r="D102" s="15"/>
      <c r="E102" s="16"/>
      <c r="G102" s="22"/>
    </row>
    <row r="103" customFormat="false" ht="15" hidden="false" customHeight="false" outlineLevel="0" collapsed="false">
      <c r="A103" s="18"/>
      <c r="B103" s="19"/>
      <c r="C103" s="19"/>
      <c r="D103" s="19"/>
      <c r="E103" s="20"/>
      <c r="G103" s="22"/>
    </row>
    <row r="104" customFormat="false" ht="15" hidden="false" customHeight="false" outlineLevel="0" collapsed="false">
      <c r="A104" s="14"/>
      <c r="B104" s="15"/>
      <c r="C104" s="15"/>
      <c r="D104" s="15"/>
      <c r="E104" s="16"/>
      <c r="G104" s="22"/>
    </row>
    <row r="105" customFormat="false" ht="15" hidden="false" customHeight="false" outlineLevel="0" collapsed="false">
      <c r="A105" s="18"/>
      <c r="B105" s="19"/>
      <c r="C105" s="19"/>
      <c r="D105" s="19"/>
      <c r="E105" s="20"/>
      <c r="G105" s="22"/>
    </row>
    <row r="106" customFormat="false" ht="15" hidden="false" customHeight="false" outlineLevel="0" collapsed="false">
      <c r="A106" s="14"/>
      <c r="B106" s="15"/>
      <c r="C106" s="15"/>
      <c r="D106" s="15"/>
      <c r="E106" s="16"/>
      <c r="G106" s="22"/>
    </row>
    <row r="107" customFormat="false" ht="15" hidden="false" customHeight="false" outlineLevel="0" collapsed="false">
      <c r="A107" s="18"/>
      <c r="B107" s="19"/>
      <c r="C107" s="19"/>
      <c r="D107" s="19"/>
      <c r="E107" s="20"/>
      <c r="G107" s="22"/>
    </row>
    <row r="108" customFormat="false" ht="15" hidden="false" customHeight="false" outlineLevel="0" collapsed="false">
      <c r="A108" s="14"/>
      <c r="B108" s="15"/>
      <c r="C108" s="15"/>
      <c r="D108" s="15"/>
      <c r="E108" s="16"/>
      <c r="G108" s="22"/>
    </row>
    <row r="109" customFormat="false" ht="15" hidden="false" customHeight="false" outlineLevel="0" collapsed="false">
      <c r="A109" s="18"/>
      <c r="B109" s="19"/>
      <c r="C109" s="19"/>
      <c r="D109" s="19"/>
      <c r="E109" s="20"/>
      <c r="G109" s="22"/>
    </row>
    <row r="110" customFormat="false" ht="15" hidden="false" customHeight="false" outlineLevel="0" collapsed="false">
      <c r="A110" s="14"/>
      <c r="B110" s="15"/>
      <c r="C110" s="15"/>
      <c r="D110" s="15"/>
      <c r="E110" s="16"/>
      <c r="G110" s="22"/>
    </row>
    <row r="111" customFormat="false" ht="15" hidden="false" customHeight="false" outlineLevel="0" collapsed="false">
      <c r="A111" s="18"/>
      <c r="B111" s="19"/>
      <c r="C111" s="19"/>
      <c r="D111" s="19"/>
      <c r="E111" s="20"/>
      <c r="G111" s="22"/>
    </row>
    <row r="112" customFormat="false" ht="15" hidden="false" customHeight="false" outlineLevel="0" collapsed="false">
      <c r="A112" s="14"/>
      <c r="B112" s="15"/>
      <c r="C112" s="15"/>
      <c r="D112" s="15"/>
      <c r="E112" s="16"/>
      <c r="G112" s="22"/>
    </row>
    <row r="113" customFormat="false" ht="15" hidden="false" customHeight="false" outlineLevel="0" collapsed="false">
      <c r="A113" s="18"/>
      <c r="B113" s="19"/>
      <c r="C113" s="19"/>
      <c r="D113" s="19"/>
      <c r="E113" s="20"/>
      <c r="G113" s="22"/>
    </row>
    <row r="114" customFormat="false" ht="15" hidden="false" customHeight="false" outlineLevel="0" collapsed="false">
      <c r="A114" s="14"/>
      <c r="B114" s="15"/>
      <c r="C114" s="15"/>
      <c r="D114" s="15"/>
      <c r="E114" s="16"/>
      <c r="G114" s="22"/>
    </row>
    <row r="115" customFormat="false" ht="15" hidden="false" customHeight="false" outlineLevel="0" collapsed="false">
      <c r="A115" s="18"/>
      <c r="B115" s="19"/>
      <c r="C115" s="19"/>
      <c r="D115" s="19"/>
      <c r="E115" s="20"/>
      <c r="G115" s="22"/>
    </row>
    <row r="116" customFormat="false" ht="15" hidden="false" customHeight="false" outlineLevel="0" collapsed="false">
      <c r="A116" s="14"/>
      <c r="B116" s="15"/>
      <c r="C116" s="15"/>
      <c r="D116" s="15"/>
      <c r="E116" s="16"/>
      <c r="G116" s="22"/>
    </row>
    <row r="117" customFormat="false" ht="15" hidden="false" customHeight="false" outlineLevel="0" collapsed="false">
      <c r="A117" s="18"/>
      <c r="B117" s="19"/>
      <c r="C117" s="19"/>
      <c r="D117" s="19"/>
      <c r="E117" s="20"/>
      <c r="G117" s="22"/>
    </row>
    <row r="118" customFormat="false" ht="15" hidden="false" customHeight="false" outlineLevel="0" collapsed="false">
      <c r="A118" s="14"/>
      <c r="B118" s="15"/>
      <c r="C118" s="15"/>
      <c r="D118" s="15"/>
      <c r="E118" s="16"/>
      <c r="G118" s="22"/>
    </row>
    <row r="119" customFormat="false" ht="15" hidden="false" customHeight="false" outlineLevel="0" collapsed="false">
      <c r="A119" s="18"/>
      <c r="B119" s="19"/>
      <c r="C119" s="19"/>
      <c r="D119" s="19"/>
      <c r="E119" s="20"/>
      <c r="G119" s="22"/>
    </row>
    <row r="120" customFormat="false" ht="15" hidden="false" customHeight="false" outlineLevel="0" collapsed="false">
      <c r="A120" s="14"/>
      <c r="B120" s="15"/>
      <c r="C120" s="15"/>
      <c r="D120" s="15"/>
      <c r="E120" s="16"/>
      <c r="G120" s="22"/>
    </row>
    <row r="121" customFormat="false" ht="15" hidden="false" customHeight="false" outlineLevel="0" collapsed="false">
      <c r="A121" s="18"/>
      <c r="B121" s="19"/>
      <c r="C121" s="19"/>
      <c r="D121" s="19"/>
      <c r="E121" s="20"/>
      <c r="G121" s="22"/>
    </row>
    <row r="122" customFormat="false" ht="15" hidden="false" customHeight="false" outlineLevel="0" collapsed="false">
      <c r="A122" s="14"/>
      <c r="B122" s="15"/>
      <c r="C122" s="15"/>
      <c r="D122" s="15"/>
      <c r="E122" s="16"/>
      <c r="G122" s="22"/>
    </row>
    <row r="123" customFormat="false" ht="15" hidden="false" customHeight="false" outlineLevel="0" collapsed="false">
      <c r="A123" s="18"/>
      <c r="B123" s="19"/>
      <c r="C123" s="19"/>
      <c r="D123" s="19"/>
      <c r="E123" s="20"/>
      <c r="G123" s="22"/>
    </row>
    <row r="124" customFormat="false" ht="15" hidden="false" customHeight="false" outlineLevel="0" collapsed="false">
      <c r="A124" s="14"/>
      <c r="B124" s="15"/>
      <c r="C124" s="15"/>
      <c r="D124" s="15"/>
      <c r="E124" s="16"/>
      <c r="G124" s="22"/>
    </row>
    <row r="125" customFormat="false" ht="15" hidden="false" customHeight="false" outlineLevel="0" collapsed="false">
      <c r="A125" s="18"/>
      <c r="B125" s="19"/>
      <c r="C125" s="19"/>
      <c r="D125" s="19"/>
      <c r="E125" s="20"/>
      <c r="G125" s="22"/>
    </row>
    <row r="126" customFormat="false" ht="15" hidden="false" customHeight="false" outlineLevel="0" collapsed="false">
      <c r="A126" s="14"/>
      <c r="B126" s="15"/>
      <c r="C126" s="15"/>
      <c r="D126" s="15"/>
      <c r="E126" s="16"/>
      <c r="G126" s="22"/>
    </row>
    <row r="127" customFormat="false" ht="15" hidden="false" customHeight="false" outlineLevel="0" collapsed="false">
      <c r="A127" s="18"/>
      <c r="B127" s="19"/>
      <c r="C127" s="19"/>
      <c r="D127" s="19"/>
      <c r="E127" s="20"/>
      <c r="G127" s="22"/>
    </row>
    <row r="128" customFormat="false" ht="15" hidden="false" customHeight="false" outlineLevel="0" collapsed="false">
      <c r="A128" s="14"/>
      <c r="B128" s="15"/>
      <c r="C128" s="15"/>
      <c r="D128" s="15"/>
      <c r="E128" s="16"/>
      <c r="G128" s="22"/>
    </row>
    <row r="129" customFormat="false" ht="15" hidden="false" customHeight="false" outlineLevel="0" collapsed="false">
      <c r="A129" s="18"/>
      <c r="B129" s="19"/>
      <c r="C129" s="19"/>
      <c r="D129" s="19"/>
      <c r="E129" s="20"/>
      <c r="G129" s="22"/>
    </row>
    <row r="130" customFormat="false" ht="15" hidden="false" customHeight="false" outlineLevel="0" collapsed="false">
      <c r="A130" s="14"/>
      <c r="B130" s="15"/>
      <c r="C130" s="15"/>
      <c r="D130" s="15"/>
      <c r="E130" s="16"/>
      <c r="G130" s="22"/>
    </row>
    <row r="131" customFormat="false" ht="15" hidden="false" customHeight="false" outlineLevel="0" collapsed="false">
      <c r="A131" s="18"/>
      <c r="B131" s="19"/>
      <c r="C131" s="19"/>
      <c r="D131" s="19"/>
      <c r="E131" s="20"/>
      <c r="G131" s="22"/>
    </row>
    <row r="132" customFormat="false" ht="15" hidden="false" customHeight="false" outlineLevel="0" collapsed="false">
      <c r="A132" s="14"/>
      <c r="B132" s="15"/>
      <c r="C132" s="15"/>
      <c r="D132" s="15"/>
      <c r="E132" s="16"/>
      <c r="G132" s="22"/>
    </row>
    <row r="133" customFormat="false" ht="15" hidden="false" customHeight="false" outlineLevel="0" collapsed="false">
      <c r="A133" s="18"/>
      <c r="B133" s="19"/>
      <c r="C133" s="19"/>
      <c r="D133" s="19"/>
      <c r="E133" s="20"/>
      <c r="G133" s="22"/>
    </row>
    <row r="134" customFormat="false" ht="15" hidden="false" customHeight="false" outlineLevel="0" collapsed="false">
      <c r="A134" s="14"/>
      <c r="B134" s="15"/>
      <c r="C134" s="15"/>
      <c r="D134" s="15"/>
      <c r="E134" s="16"/>
      <c r="G134" s="22"/>
    </row>
    <row r="135" customFormat="false" ht="15" hidden="false" customHeight="false" outlineLevel="0" collapsed="false">
      <c r="A135" s="18"/>
      <c r="B135" s="19"/>
      <c r="C135" s="19"/>
      <c r="D135" s="19"/>
      <c r="E135" s="20"/>
      <c r="G135" s="22"/>
    </row>
    <row r="136" customFormat="false" ht="15" hidden="false" customHeight="false" outlineLevel="0" collapsed="false">
      <c r="A136" s="14"/>
      <c r="B136" s="15"/>
      <c r="C136" s="15"/>
      <c r="D136" s="15"/>
      <c r="E136" s="16"/>
      <c r="G136" s="22"/>
    </row>
    <row r="137" customFormat="false" ht="15" hidden="false" customHeight="false" outlineLevel="0" collapsed="false">
      <c r="A137" s="18"/>
      <c r="B137" s="19"/>
      <c r="C137" s="19"/>
      <c r="D137" s="19"/>
      <c r="E137" s="20"/>
      <c r="G137" s="22"/>
    </row>
    <row r="138" customFormat="false" ht="15" hidden="false" customHeight="false" outlineLevel="0" collapsed="false">
      <c r="A138" s="14"/>
      <c r="B138" s="15"/>
      <c r="C138" s="15"/>
      <c r="D138" s="15"/>
      <c r="E138" s="16"/>
      <c r="G138" s="22"/>
    </row>
    <row r="139" customFormat="false" ht="15" hidden="false" customHeight="false" outlineLevel="0" collapsed="false">
      <c r="A139" s="18"/>
      <c r="B139" s="19"/>
      <c r="C139" s="19"/>
      <c r="D139" s="19"/>
      <c r="E139" s="20"/>
      <c r="G139" s="22"/>
    </row>
    <row r="140" customFormat="false" ht="15" hidden="false" customHeight="false" outlineLevel="0" collapsed="false">
      <c r="A140" s="14"/>
      <c r="B140" s="15"/>
      <c r="C140" s="15"/>
      <c r="D140" s="15"/>
      <c r="E140" s="16"/>
      <c r="G140" s="22"/>
    </row>
    <row r="141" customFormat="false" ht="15" hidden="false" customHeight="false" outlineLevel="0" collapsed="false">
      <c r="A141" s="18"/>
      <c r="B141" s="19"/>
      <c r="C141" s="19"/>
      <c r="D141" s="19"/>
      <c r="E141" s="20"/>
      <c r="G141" s="22"/>
    </row>
    <row r="142" customFormat="false" ht="15" hidden="false" customHeight="false" outlineLevel="0" collapsed="false">
      <c r="A142" s="14"/>
      <c r="B142" s="15"/>
      <c r="C142" s="15"/>
      <c r="D142" s="15"/>
      <c r="E142" s="16"/>
      <c r="G142" s="22"/>
    </row>
    <row r="143" customFormat="false" ht="15" hidden="false" customHeight="false" outlineLevel="0" collapsed="false">
      <c r="A143" s="18"/>
      <c r="B143" s="19"/>
      <c r="C143" s="19"/>
      <c r="D143" s="19"/>
      <c r="E143" s="20"/>
      <c r="G143" s="22"/>
    </row>
    <row r="144" customFormat="false" ht="15" hidden="false" customHeight="false" outlineLevel="0" collapsed="false">
      <c r="A144" s="14"/>
      <c r="B144" s="15"/>
      <c r="C144" s="15"/>
      <c r="D144" s="15"/>
      <c r="E144" s="16"/>
      <c r="G144" s="22"/>
    </row>
    <row r="145" customFormat="false" ht="15" hidden="false" customHeight="false" outlineLevel="0" collapsed="false">
      <c r="A145" s="18"/>
      <c r="B145" s="19"/>
      <c r="C145" s="19"/>
      <c r="D145" s="19"/>
      <c r="E145" s="20"/>
      <c r="G145" s="22"/>
    </row>
    <row r="146" customFormat="false" ht="15" hidden="false" customHeight="false" outlineLevel="0" collapsed="false">
      <c r="A146" s="14"/>
      <c r="B146" s="15"/>
      <c r="C146" s="15"/>
      <c r="D146" s="15"/>
      <c r="E146" s="16"/>
      <c r="G146" s="22"/>
    </row>
    <row r="147" customFormat="false" ht="15" hidden="false" customHeight="false" outlineLevel="0" collapsed="false">
      <c r="A147" s="18"/>
      <c r="B147" s="19"/>
      <c r="C147" s="19"/>
      <c r="D147" s="19"/>
      <c r="E147" s="20"/>
      <c r="G147" s="22"/>
    </row>
    <row r="148" customFormat="false" ht="15" hidden="false" customHeight="false" outlineLevel="0" collapsed="false">
      <c r="A148" s="14"/>
      <c r="B148" s="15"/>
      <c r="C148" s="15"/>
      <c r="D148" s="15"/>
      <c r="E148" s="16"/>
      <c r="G148" s="22"/>
    </row>
    <row r="149" customFormat="false" ht="15" hidden="false" customHeight="false" outlineLevel="0" collapsed="false">
      <c r="A149" s="18"/>
      <c r="B149" s="19"/>
      <c r="C149" s="19"/>
      <c r="D149" s="19"/>
      <c r="E149" s="20"/>
      <c r="G149" s="22"/>
    </row>
    <row r="150" customFormat="false" ht="15" hidden="false" customHeight="false" outlineLevel="0" collapsed="false">
      <c r="A150" s="14"/>
      <c r="B150" s="15"/>
      <c r="C150" s="15"/>
      <c r="D150" s="15"/>
      <c r="E150" s="16"/>
      <c r="G150" s="22"/>
    </row>
    <row r="151" customFormat="false" ht="15" hidden="false" customHeight="false" outlineLevel="0" collapsed="false">
      <c r="A151" s="18"/>
      <c r="B151" s="19"/>
      <c r="C151" s="19"/>
      <c r="D151" s="19"/>
      <c r="E151" s="20"/>
      <c r="G151" s="22"/>
    </row>
    <row r="152" customFormat="false" ht="15" hidden="false" customHeight="false" outlineLevel="0" collapsed="false">
      <c r="A152" s="14"/>
      <c r="B152" s="15"/>
      <c r="C152" s="15"/>
      <c r="D152" s="15"/>
      <c r="E152" s="16"/>
      <c r="G152" s="22"/>
    </row>
    <row r="153" customFormat="false" ht="15" hidden="false" customHeight="false" outlineLevel="0" collapsed="false">
      <c r="A153" s="18"/>
      <c r="B153" s="19"/>
      <c r="C153" s="19"/>
      <c r="D153" s="19"/>
      <c r="E153" s="20"/>
    </row>
    <row r="154" customFormat="false" ht="15" hidden="false" customHeight="false" outlineLevel="0" collapsed="false">
      <c r="A154" s="14"/>
      <c r="B154" s="15"/>
      <c r="C154" s="15"/>
      <c r="D154" s="15"/>
      <c r="E154" s="16"/>
    </row>
    <row r="155" customFormat="false" ht="15" hidden="false" customHeight="false" outlineLevel="0" collapsed="false">
      <c r="A155" s="18"/>
      <c r="B155" s="19"/>
      <c r="C155" s="19"/>
      <c r="D155" s="19"/>
      <c r="E155" s="20"/>
    </row>
    <row r="156" customFormat="false" ht="15" hidden="false" customHeight="false" outlineLevel="0" collapsed="false">
      <c r="A156" s="14"/>
      <c r="B156" s="15"/>
      <c r="C156" s="15"/>
      <c r="D156" s="15"/>
      <c r="E156" s="16"/>
    </row>
    <row r="157" customFormat="false" ht="15" hidden="false" customHeight="false" outlineLevel="0" collapsed="false">
      <c r="A157" s="18"/>
      <c r="B157" s="19"/>
      <c r="C157" s="19"/>
      <c r="D157" s="19"/>
      <c r="E157" s="20"/>
    </row>
    <row r="158" customFormat="false" ht="15" hidden="false" customHeight="false" outlineLevel="0" collapsed="false">
      <c r="A158" s="14"/>
      <c r="B158" s="15"/>
      <c r="C158" s="15"/>
      <c r="D158" s="15"/>
      <c r="E158" s="16"/>
    </row>
    <row r="159" customFormat="false" ht="15" hidden="false" customHeight="false" outlineLevel="0" collapsed="false">
      <c r="A159" s="18"/>
      <c r="B159" s="19"/>
      <c r="C159" s="19"/>
      <c r="D159" s="19"/>
      <c r="E159" s="20"/>
    </row>
    <row r="160" customFormat="false" ht="15" hidden="false" customHeight="false" outlineLevel="0" collapsed="false">
      <c r="A160" s="14"/>
      <c r="B160" s="15"/>
      <c r="C160" s="15"/>
      <c r="D160" s="15"/>
      <c r="E160" s="16"/>
    </row>
    <row r="161" customFormat="false" ht="15" hidden="false" customHeight="false" outlineLevel="0" collapsed="false">
      <c r="A161" s="18"/>
      <c r="B161" s="19"/>
      <c r="C161" s="19"/>
      <c r="D161" s="19"/>
      <c r="E161" s="20"/>
    </row>
    <row r="162" customFormat="false" ht="15" hidden="false" customHeight="false" outlineLevel="0" collapsed="false">
      <c r="A162" s="14"/>
      <c r="B162" s="15"/>
      <c r="C162" s="15"/>
      <c r="D162" s="15"/>
      <c r="E162" s="16"/>
    </row>
    <row r="163" customFormat="false" ht="15" hidden="false" customHeight="false" outlineLevel="0" collapsed="false">
      <c r="A163" s="18"/>
      <c r="B163" s="19"/>
      <c r="C163" s="19"/>
      <c r="D163" s="19"/>
      <c r="E163" s="20"/>
    </row>
    <row r="164" customFormat="false" ht="15" hidden="false" customHeight="false" outlineLevel="0" collapsed="false">
      <c r="A164" s="14"/>
      <c r="B164" s="15"/>
      <c r="C164" s="15"/>
      <c r="D164" s="15"/>
      <c r="E164" s="16"/>
    </row>
    <row r="165" customFormat="false" ht="15" hidden="false" customHeight="false" outlineLevel="0" collapsed="false">
      <c r="A165" s="18"/>
      <c r="B165" s="19"/>
      <c r="C165" s="19"/>
      <c r="D165" s="19"/>
      <c r="E165" s="20"/>
    </row>
    <row r="166" customFormat="false" ht="15" hidden="false" customHeight="false" outlineLevel="0" collapsed="false">
      <c r="A166" s="14"/>
      <c r="B166" s="15"/>
      <c r="C166" s="15"/>
      <c r="D166" s="15"/>
      <c r="E166" s="16"/>
    </row>
    <row r="167" customFormat="false" ht="15" hidden="false" customHeight="false" outlineLevel="0" collapsed="false">
      <c r="A167" s="18"/>
      <c r="B167" s="19"/>
      <c r="C167" s="19"/>
      <c r="D167" s="19"/>
      <c r="E167" s="20"/>
    </row>
    <row r="168" customFormat="false" ht="15" hidden="false" customHeight="false" outlineLevel="0" collapsed="false">
      <c r="A168" s="14"/>
      <c r="B168" s="15"/>
      <c r="C168" s="15"/>
      <c r="D168" s="15"/>
      <c r="E168" s="16"/>
    </row>
    <row r="169" customFormat="false" ht="15" hidden="false" customHeight="false" outlineLevel="0" collapsed="false">
      <c r="A169" s="18"/>
      <c r="B169" s="19"/>
      <c r="C169" s="19"/>
      <c r="D169" s="19"/>
      <c r="E169" s="20"/>
    </row>
    <row r="170" customFormat="false" ht="15" hidden="false" customHeight="false" outlineLevel="0" collapsed="false">
      <c r="A170" s="14"/>
      <c r="B170" s="15"/>
      <c r="C170" s="15"/>
      <c r="D170" s="15"/>
      <c r="E170" s="16"/>
    </row>
    <row r="171" customFormat="false" ht="15" hidden="false" customHeight="false" outlineLevel="0" collapsed="false">
      <c r="A171" s="18"/>
      <c r="B171" s="19"/>
      <c r="C171" s="19"/>
      <c r="D171" s="19"/>
      <c r="E171" s="20"/>
    </row>
    <row r="172" customFormat="false" ht="15" hidden="false" customHeight="false" outlineLevel="0" collapsed="false">
      <c r="A172" s="14"/>
      <c r="B172" s="15"/>
      <c r="C172" s="15"/>
      <c r="D172" s="15"/>
      <c r="E172" s="16"/>
    </row>
    <row r="173" customFormat="false" ht="15" hidden="false" customHeight="false" outlineLevel="0" collapsed="false">
      <c r="A173" s="18"/>
      <c r="B173" s="19"/>
      <c r="C173" s="19"/>
      <c r="D173" s="19"/>
      <c r="E173" s="20"/>
    </row>
    <row r="174" customFormat="false" ht="15" hidden="false" customHeight="false" outlineLevel="0" collapsed="false">
      <c r="A174" s="14"/>
      <c r="B174" s="15"/>
      <c r="C174" s="15"/>
      <c r="D174" s="15"/>
      <c r="E174" s="16"/>
    </row>
    <row r="175" customFormat="false" ht="15" hidden="false" customHeight="false" outlineLevel="0" collapsed="false">
      <c r="A175" s="18"/>
      <c r="B175" s="19"/>
      <c r="C175" s="19"/>
      <c r="D175" s="19"/>
      <c r="E175" s="20"/>
    </row>
    <row r="176" customFormat="false" ht="15" hidden="false" customHeight="false" outlineLevel="0" collapsed="false">
      <c r="A176" s="14"/>
      <c r="B176" s="15"/>
      <c r="C176" s="15"/>
      <c r="D176" s="15"/>
      <c r="E176" s="16"/>
    </row>
    <row r="177" customFormat="false" ht="15" hidden="false" customHeight="false" outlineLevel="0" collapsed="false">
      <c r="A177" s="18"/>
      <c r="B177" s="19"/>
      <c r="C177" s="19"/>
      <c r="D177" s="19"/>
      <c r="E177" s="20"/>
    </row>
    <row r="178" customFormat="false" ht="15" hidden="false" customHeight="false" outlineLevel="0" collapsed="false">
      <c r="A178" s="14"/>
      <c r="B178" s="15"/>
      <c r="C178" s="15"/>
      <c r="D178" s="15"/>
      <c r="E178" s="16"/>
    </row>
    <row r="179" customFormat="false" ht="15" hidden="false" customHeight="false" outlineLevel="0" collapsed="false">
      <c r="A179" s="18"/>
      <c r="B179" s="19"/>
      <c r="C179" s="19"/>
      <c r="D179" s="19"/>
      <c r="E179" s="20"/>
    </row>
    <row r="180" customFormat="false" ht="15" hidden="false" customHeight="false" outlineLevel="0" collapsed="false">
      <c r="A180" s="14"/>
      <c r="B180" s="15"/>
      <c r="C180" s="15"/>
      <c r="D180" s="15"/>
      <c r="E180" s="16"/>
    </row>
    <row r="181" customFormat="false" ht="15" hidden="false" customHeight="false" outlineLevel="0" collapsed="false">
      <c r="A181" s="18"/>
      <c r="B181" s="19"/>
      <c r="C181" s="19"/>
      <c r="D181" s="19"/>
      <c r="E181" s="20"/>
    </row>
    <row r="182" customFormat="false" ht="15" hidden="false" customHeight="false" outlineLevel="0" collapsed="false">
      <c r="A182" s="14"/>
      <c r="B182" s="15"/>
      <c r="C182" s="15"/>
      <c r="D182" s="15"/>
      <c r="E182" s="16"/>
    </row>
    <row r="183" customFormat="false" ht="15" hidden="false" customHeight="false" outlineLevel="0" collapsed="false">
      <c r="A183" s="18"/>
      <c r="B183" s="19"/>
      <c r="C183" s="19"/>
      <c r="D183" s="19"/>
      <c r="E183" s="20"/>
    </row>
    <row r="184" customFormat="false" ht="15" hidden="false" customHeight="false" outlineLevel="0" collapsed="false">
      <c r="A184" s="14"/>
      <c r="B184" s="15"/>
      <c r="C184" s="15"/>
      <c r="D184" s="15"/>
      <c r="E184" s="16"/>
    </row>
    <row r="185" customFormat="false" ht="15" hidden="false" customHeight="false" outlineLevel="0" collapsed="false">
      <c r="A185" s="18"/>
      <c r="B185" s="19"/>
      <c r="C185" s="19"/>
      <c r="D185" s="19"/>
      <c r="E185" s="20"/>
    </row>
    <row r="186" customFormat="false" ht="15" hidden="false" customHeight="false" outlineLevel="0" collapsed="false">
      <c r="A186" s="14"/>
      <c r="B186" s="15"/>
      <c r="C186" s="15"/>
      <c r="D186" s="15"/>
      <c r="E186" s="16"/>
    </row>
    <row r="187" customFormat="false" ht="15" hidden="false" customHeight="false" outlineLevel="0" collapsed="false">
      <c r="A187" s="18"/>
      <c r="B187" s="19"/>
      <c r="C187" s="19"/>
      <c r="D187" s="19"/>
      <c r="E187" s="20"/>
    </row>
    <row r="188" customFormat="false" ht="15" hidden="false" customHeight="false" outlineLevel="0" collapsed="false">
      <c r="A188" s="14"/>
      <c r="B188" s="15"/>
      <c r="C188" s="15"/>
      <c r="D188" s="15"/>
      <c r="E188" s="16"/>
    </row>
    <row r="189" customFormat="false" ht="15" hidden="false" customHeight="false" outlineLevel="0" collapsed="false">
      <c r="A189" s="18"/>
      <c r="B189" s="19"/>
      <c r="C189" s="19"/>
      <c r="D189" s="19"/>
      <c r="E189" s="20"/>
    </row>
    <row r="190" customFormat="false" ht="15" hidden="false" customHeight="false" outlineLevel="0" collapsed="false">
      <c r="A190" s="14"/>
      <c r="B190" s="15"/>
      <c r="C190" s="15"/>
      <c r="D190" s="15"/>
      <c r="E190" s="16"/>
    </row>
    <row r="191" customFormat="false" ht="15" hidden="false" customHeight="false" outlineLevel="0" collapsed="false">
      <c r="A191" s="18"/>
      <c r="B191" s="19"/>
      <c r="C191" s="19"/>
      <c r="D191" s="19"/>
      <c r="E191" s="20"/>
    </row>
    <row r="192" customFormat="false" ht="15" hidden="false" customHeight="false" outlineLevel="0" collapsed="false">
      <c r="A192" s="14"/>
      <c r="B192" s="15"/>
      <c r="C192" s="15"/>
      <c r="D192" s="15"/>
      <c r="E192" s="16"/>
    </row>
    <row r="193" customFormat="false" ht="15" hidden="false" customHeight="false" outlineLevel="0" collapsed="false">
      <c r="A193" s="18"/>
      <c r="B193" s="19"/>
      <c r="C193" s="19"/>
      <c r="D193" s="19"/>
      <c r="E193" s="20"/>
    </row>
    <row r="194" customFormat="false" ht="15" hidden="false" customHeight="false" outlineLevel="0" collapsed="false">
      <c r="A194" s="14"/>
      <c r="B194" s="15"/>
      <c r="C194" s="15"/>
      <c r="D194" s="15"/>
      <c r="E194" s="16"/>
    </row>
    <row r="195" customFormat="false" ht="15" hidden="false" customHeight="false" outlineLevel="0" collapsed="false">
      <c r="A195" s="18"/>
      <c r="B195" s="19"/>
      <c r="C195" s="19"/>
      <c r="D195" s="19"/>
      <c r="E195" s="20"/>
    </row>
    <row r="196" customFormat="false" ht="15" hidden="false" customHeight="false" outlineLevel="0" collapsed="false">
      <c r="A196" s="14"/>
      <c r="B196" s="15"/>
      <c r="C196" s="15"/>
      <c r="D196" s="15"/>
      <c r="E196" s="16"/>
    </row>
    <row r="197" customFormat="false" ht="15" hidden="false" customHeight="false" outlineLevel="0" collapsed="false">
      <c r="A197" s="18"/>
      <c r="B197" s="19"/>
      <c r="C197" s="19"/>
      <c r="D197" s="19"/>
      <c r="E197" s="20"/>
    </row>
    <row r="198" customFormat="false" ht="15" hidden="false" customHeight="false" outlineLevel="0" collapsed="false">
      <c r="A198" s="14"/>
      <c r="B198" s="15"/>
      <c r="C198" s="15"/>
      <c r="D198" s="15"/>
      <c r="E198" s="16"/>
    </row>
    <row r="199" customFormat="false" ht="15" hidden="false" customHeight="false" outlineLevel="0" collapsed="false">
      <c r="A199" s="18"/>
      <c r="B199" s="19"/>
      <c r="C199" s="19"/>
      <c r="D199" s="19"/>
      <c r="E199" s="20"/>
    </row>
    <row r="200" customFormat="false" ht="15" hidden="false" customHeight="false" outlineLevel="0" collapsed="false">
      <c r="A200" s="14"/>
      <c r="B200" s="15"/>
      <c r="C200" s="15"/>
      <c r="D200" s="15"/>
      <c r="E200" s="16"/>
    </row>
    <row r="201" customFormat="false" ht="15" hidden="false" customHeight="false" outlineLevel="0" collapsed="false">
      <c r="A201" s="18"/>
      <c r="B201" s="19"/>
      <c r="C201" s="19"/>
      <c r="D201" s="19"/>
      <c r="E201" s="20"/>
    </row>
    <row r="202" customFormat="false" ht="15" hidden="false" customHeight="false" outlineLevel="0" collapsed="false">
      <c r="A202" s="14"/>
      <c r="B202" s="15"/>
      <c r="C202" s="15"/>
      <c r="D202" s="15"/>
      <c r="E202" s="16"/>
    </row>
    <row r="203" customFormat="false" ht="15" hidden="false" customHeight="false" outlineLevel="0" collapsed="false">
      <c r="A203" s="18"/>
      <c r="B203" s="19"/>
      <c r="C203" s="19"/>
      <c r="D203" s="19"/>
      <c r="E203" s="20"/>
    </row>
    <row r="204" customFormat="false" ht="15" hidden="false" customHeight="false" outlineLevel="0" collapsed="false">
      <c r="A204" s="14"/>
      <c r="B204" s="15"/>
      <c r="C204" s="15"/>
      <c r="D204" s="15"/>
      <c r="E204" s="16"/>
    </row>
    <row r="205" customFormat="false" ht="15" hidden="false" customHeight="false" outlineLevel="0" collapsed="false">
      <c r="A205" s="18"/>
      <c r="B205" s="19"/>
      <c r="C205" s="19"/>
      <c r="D205" s="19"/>
      <c r="E205" s="20"/>
    </row>
    <row r="206" customFormat="false" ht="15" hidden="false" customHeight="false" outlineLevel="0" collapsed="false">
      <c r="A206" s="14"/>
      <c r="B206" s="15"/>
      <c r="C206" s="15"/>
      <c r="D206" s="15"/>
      <c r="E206" s="16"/>
    </row>
    <row r="207" customFormat="false" ht="15" hidden="false" customHeight="false" outlineLevel="0" collapsed="false">
      <c r="A207" s="18"/>
      <c r="B207" s="19"/>
      <c r="C207" s="19"/>
      <c r="D207" s="19"/>
      <c r="E207" s="20"/>
    </row>
    <row r="208" customFormat="false" ht="15" hidden="false" customHeight="false" outlineLevel="0" collapsed="false">
      <c r="A208" s="14"/>
      <c r="B208" s="15"/>
      <c r="C208" s="15"/>
      <c r="D208" s="15"/>
      <c r="E208" s="16"/>
    </row>
    <row r="209" customFormat="false" ht="15" hidden="false" customHeight="false" outlineLevel="0" collapsed="false">
      <c r="A209" s="18"/>
      <c r="B209" s="19"/>
      <c r="C209" s="19"/>
      <c r="D209" s="19"/>
      <c r="E209" s="20"/>
    </row>
    <row r="210" customFormat="false" ht="15" hidden="false" customHeight="false" outlineLevel="0" collapsed="false">
      <c r="A210" s="14"/>
      <c r="B210" s="15"/>
      <c r="C210" s="15"/>
      <c r="D210" s="15"/>
      <c r="E210" s="16"/>
    </row>
    <row r="211" customFormat="false" ht="15" hidden="false" customHeight="false" outlineLevel="0" collapsed="false">
      <c r="A211" s="18"/>
      <c r="B211" s="19"/>
      <c r="C211" s="19"/>
      <c r="D211" s="19"/>
      <c r="E211" s="20"/>
    </row>
    <row r="212" customFormat="false" ht="15" hidden="false" customHeight="false" outlineLevel="0" collapsed="false">
      <c r="A212" s="14"/>
      <c r="B212" s="15"/>
      <c r="C212" s="15"/>
      <c r="D212" s="15"/>
      <c r="E212" s="16"/>
    </row>
    <row r="213" customFormat="false" ht="15" hidden="false" customHeight="false" outlineLevel="0" collapsed="false">
      <c r="A213" s="18"/>
      <c r="B213" s="19"/>
      <c r="C213" s="19"/>
      <c r="D213" s="19"/>
      <c r="E213" s="20"/>
    </row>
    <row r="214" customFormat="false" ht="15" hidden="false" customHeight="false" outlineLevel="0" collapsed="false">
      <c r="A214" s="14"/>
      <c r="B214" s="15"/>
      <c r="C214" s="15"/>
      <c r="D214" s="15"/>
      <c r="E214" s="16"/>
    </row>
    <row r="215" customFormat="false" ht="15" hidden="false" customHeight="false" outlineLevel="0" collapsed="false">
      <c r="A215" s="18"/>
      <c r="B215" s="19"/>
      <c r="C215" s="19"/>
      <c r="D215" s="19"/>
      <c r="E215" s="20"/>
    </row>
    <row r="216" customFormat="false" ht="15" hidden="false" customHeight="false" outlineLevel="0" collapsed="false">
      <c r="A216" s="14"/>
      <c r="B216" s="15"/>
      <c r="C216" s="15"/>
      <c r="D216" s="15"/>
      <c r="E216" s="16"/>
    </row>
    <row r="217" customFormat="false" ht="15" hidden="false" customHeight="false" outlineLevel="0" collapsed="false">
      <c r="A217" s="18"/>
      <c r="B217" s="19"/>
      <c r="C217" s="19"/>
      <c r="D217" s="19"/>
      <c r="E217" s="20"/>
    </row>
    <row r="218" customFormat="false" ht="15" hidden="false" customHeight="false" outlineLevel="0" collapsed="false">
      <c r="A218" s="14"/>
      <c r="B218" s="15"/>
      <c r="C218" s="15"/>
      <c r="D218" s="15"/>
      <c r="E218" s="16"/>
    </row>
    <row r="219" customFormat="false" ht="15" hidden="false" customHeight="false" outlineLevel="0" collapsed="false">
      <c r="A219" s="18"/>
      <c r="B219" s="19"/>
      <c r="C219" s="19"/>
      <c r="D219" s="19"/>
      <c r="E219" s="20"/>
    </row>
    <row r="220" customFormat="false" ht="15" hidden="false" customHeight="false" outlineLevel="0" collapsed="false">
      <c r="A220" s="14"/>
      <c r="B220" s="15"/>
      <c r="C220" s="15"/>
      <c r="D220" s="15"/>
      <c r="E220" s="16"/>
    </row>
    <row r="221" customFormat="false" ht="15" hidden="false" customHeight="false" outlineLevel="0" collapsed="false">
      <c r="A221" s="18"/>
      <c r="B221" s="19"/>
      <c r="C221" s="19"/>
      <c r="D221" s="19"/>
      <c r="E221" s="20"/>
    </row>
    <row r="222" customFormat="false" ht="15" hidden="false" customHeight="false" outlineLevel="0" collapsed="false">
      <c r="A222" s="14"/>
      <c r="B222" s="15"/>
      <c r="C222" s="15"/>
      <c r="D222" s="15"/>
      <c r="E222" s="16"/>
    </row>
    <row r="223" customFormat="false" ht="15" hidden="false" customHeight="false" outlineLevel="0" collapsed="false">
      <c r="A223" s="18"/>
      <c r="B223" s="19"/>
      <c r="C223" s="19"/>
      <c r="D223" s="19"/>
      <c r="E223" s="20"/>
    </row>
    <row r="224" customFormat="false" ht="15" hidden="false" customHeight="false" outlineLevel="0" collapsed="false">
      <c r="A224" s="14"/>
      <c r="B224" s="15"/>
      <c r="C224" s="15"/>
      <c r="D224" s="15"/>
      <c r="E224" s="16"/>
    </row>
    <row r="225" customFormat="false" ht="15" hidden="false" customHeight="false" outlineLevel="0" collapsed="false">
      <c r="A225" s="18"/>
      <c r="B225" s="19"/>
      <c r="C225" s="19"/>
      <c r="D225" s="19"/>
      <c r="E225" s="20"/>
    </row>
    <row r="226" customFormat="false" ht="15" hidden="false" customHeight="false" outlineLevel="0" collapsed="false">
      <c r="A226" s="14"/>
      <c r="B226" s="15"/>
      <c r="C226" s="15"/>
      <c r="D226" s="15"/>
      <c r="E226" s="16"/>
    </row>
    <row r="227" customFormat="false" ht="15" hidden="false" customHeight="false" outlineLevel="0" collapsed="false">
      <c r="A227" s="18"/>
      <c r="B227" s="19"/>
      <c r="C227" s="19"/>
      <c r="D227" s="19"/>
      <c r="E227" s="20"/>
    </row>
    <row r="228" customFormat="false" ht="15" hidden="false" customHeight="false" outlineLevel="0" collapsed="false">
      <c r="A228" s="14"/>
      <c r="B228" s="15"/>
      <c r="C228" s="15"/>
      <c r="D228" s="15"/>
      <c r="E228" s="16"/>
    </row>
    <row r="229" customFormat="false" ht="15" hidden="false" customHeight="false" outlineLevel="0" collapsed="false">
      <c r="A229" s="18"/>
      <c r="B229" s="19"/>
      <c r="C229" s="19"/>
      <c r="D229" s="19"/>
      <c r="E229" s="20"/>
    </row>
    <row r="230" customFormat="false" ht="15" hidden="false" customHeight="false" outlineLevel="0" collapsed="false">
      <c r="A230" s="14"/>
      <c r="B230" s="15"/>
      <c r="C230" s="15"/>
      <c r="D230" s="15"/>
      <c r="E230" s="16"/>
    </row>
    <row r="231" customFormat="false" ht="15" hidden="false" customHeight="false" outlineLevel="0" collapsed="false">
      <c r="A231" s="18"/>
      <c r="B231" s="19"/>
      <c r="C231" s="19"/>
      <c r="D231" s="19"/>
      <c r="E231" s="20"/>
    </row>
    <row r="232" customFormat="false" ht="15" hidden="false" customHeight="false" outlineLevel="0" collapsed="false">
      <c r="A232" s="14"/>
      <c r="B232" s="15"/>
      <c r="C232" s="15"/>
      <c r="D232" s="15"/>
      <c r="E232" s="16"/>
    </row>
    <row r="233" customFormat="false" ht="15" hidden="false" customHeight="false" outlineLevel="0" collapsed="false">
      <c r="A233" s="18"/>
      <c r="B233" s="19"/>
      <c r="C233" s="19"/>
      <c r="D233" s="19"/>
      <c r="E233" s="20"/>
    </row>
    <row r="234" customFormat="false" ht="15" hidden="false" customHeight="false" outlineLevel="0" collapsed="false">
      <c r="A234" s="14"/>
      <c r="B234" s="15"/>
      <c r="C234" s="15"/>
      <c r="D234" s="15"/>
      <c r="E234" s="16"/>
    </row>
    <row r="235" customFormat="false" ht="15" hidden="false" customHeight="false" outlineLevel="0" collapsed="false">
      <c r="A235" s="18"/>
      <c r="B235" s="19"/>
      <c r="C235" s="19"/>
      <c r="D235" s="19"/>
      <c r="E235" s="20"/>
    </row>
    <row r="236" customFormat="false" ht="15" hidden="false" customHeight="false" outlineLevel="0" collapsed="false">
      <c r="A236" s="14"/>
      <c r="B236" s="15"/>
      <c r="C236" s="15"/>
      <c r="D236" s="15"/>
      <c r="E236" s="16"/>
    </row>
    <row r="237" customFormat="false" ht="15" hidden="false" customHeight="false" outlineLevel="0" collapsed="false">
      <c r="A237" s="18"/>
      <c r="B237" s="19"/>
      <c r="C237" s="19"/>
      <c r="D237" s="19"/>
      <c r="E237" s="20"/>
    </row>
    <row r="238" customFormat="false" ht="15" hidden="false" customHeight="false" outlineLevel="0" collapsed="false">
      <c r="A238" s="14"/>
      <c r="B238" s="15"/>
      <c r="C238" s="15"/>
      <c r="D238" s="15"/>
      <c r="E238" s="16"/>
    </row>
    <row r="239" customFormat="false" ht="15" hidden="false" customHeight="false" outlineLevel="0" collapsed="false">
      <c r="A239" s="18"/>
      <c r="B239" s="19"/>
      <c r="C239" s="19"/>
      <c r="D239" s="19"/>
      <c r="E239" s="20"/>
    </row>
    <row r="240" customFormat="false" ht="15" hidden="false" customHeight="false" outlineLevel="0" collapsed="false">
      <c r="A240" s="14"/>
      <c r="B240" s="15"/>
      <c r="C240" s="15"/>
      <c r="D240" s="15"/>
      <c r="E240" s="16"/>
    </row>
    <row r="241" customFormat="false" ht="15" hidden="false" customHeight="false" outlineLevel="0" collapsed="false">
      <c r="A241" s="18"/>
      <c r="B241" s="19"/>
      <c r="C241" s="19"/>
      <c r="D241" s="19"/>
      <c r="E241" s="20"/>
    </row>
    <row r="242" customFormat="false" ht="15" hidden="false" customHeight="false" outlineLevel="0" collapsed="false">
      <c r="A242" s="14"/>
      <c r="B242" s="15"/>
      <c r="C242" s="15"/>
      <c r="D242" s="15"/>
      <c r="E242" s="16"/>
    </row>
    <row r="243" customFormat="false" ht="15" hidden="false" customHeight="false" outlineLevel="0" collapsed="false">
      <c r="A243" s="18"/>
      <c r="B243" s="19"/>
      <c r="C243" s="19"/>
      <c r="D243" s="19"/>
      <c r="E243" s="20"/>
    </row>
    <row r="244" customFormat="false" ht="15" hidden="false" customHeight="false" outlineLevel="0" collapsed="false">
      <c r="A244" s="14"/>
      <c r="B244" s="15"/>
      <c r="C244" s="15"/>
      <c r="D244" s="15"/>
      <c r="E244" s="16"/>
    </row>
    <row r="245" customFormat="false" ht="15" hidden="false" customHeight="false" outlineLevel="0" collapsed="false">
      <c r="A245" s="18"/>
      <c r="B245" s="19"/>
      <c r="C245" s="19"/>
      <c r="D245" s="19"/>
      <c r="E245" s="20"/>
    </row>
    <row r="246" customFormat="false" ht="15" hidden="false" customHeight="false" outlineLevel="0" collapsed="false">
      <c r="A246" s="14"/>
      <c r="B246" s="15"/>
      <c r="C246" s="15"/>
      <c r="D246" s="15"/>
      <c r="E246" s="16"/>
    </row>
    <row r="247" customFormat="false" ht="15" hidden="false" customHeight="false" outlineLevel="0" collapsed="false">
      <c r="A247" s="18"/>
      <c r="B247" s="19"/>
      <c r="C247" s="19"/>
      <c r="D247" s="19"/>
      <c r="E247" s="20"/>
    </row>
    <row r="248" customFormat="false" ht="15" hidden="false" customHeight="false" outlineLevel="0" collapsed="false">
      <c r="A248" s="14"/>
      <c r="B248" s="15"/>
      <c r="C248" s="15"/>
      <c r="D248" s="15"/>
      <c r="E248" s="16"/>
    </row>
    <row r="249" customFormat="false" ht="15" hidden="false" customHeight="false" outlineLevel="0" collapsed="false">
      <c r="A249" s="18"/>
      <c r="B249" s="19"/>
      <c r="C249" s="19"/>
      <c r="D249" s="19"/>
      <c r="E249" s="20"/>
    </row>
    <row r="250" customFormat="false" ht="15" hidden="false" customHeight="false" outlineLevel="0" collapsed="false">
      <c r="A250" s="14"/>
      <c r="B250" s="15"/>
      <c r="C250" s="15"/>
      <c r="D250" s="15"/>
      <c r="E250" s="16"/>
    </row>
    <row r="251" customFormat="false" ht="15" hidden="false" customHeight="false" outlineLevel="0" collapsed="false">
      <c r="A251" s="18"/>
      <c r="B251" s="19"/>
      <c r="C251" s="19"/>
      <c r="D251" s="19"/>
      <c r="E251" s="20"/>
    </row>
    <row r="252" customFormat="false" ht="15" hidden="false" customHeight="false" outlineLevel="0" collapsed="false">
      <c r="A252" s="14"/>
      <c r="B252" s="15"/>
      <c r="C252" s="15"/>
      <c r="D252" s="15"/>
      <c r="E252" s="16"/>
    </row>
    <row r="253" customFormat="false" ht="15" hidden="false" customHeight="false" outlineLevel="0" collapsed="false">
      <c r="A253" s="18"/>
      <c r="B253" s="19"/>
      <c r="C253" s="19"/>
      <c r="D253" s="19"/>
      <c r="E253" s="20"/>
    </row>
    <row r="254" customFormat="false" ht="15" hidden="false" customHeight="false" outlineLevel="0" collapsed="false">
      <c r="A254" s="14"/>
      <c r="B254" s="15"/>
      <c r="C254" s="15"/>
      <c r="D254" s="15"/>
      <c r="E254" s="16"/>
    </row>
    <row r="255" customFormat="false" ht="15" hidden="false" customHeight="false" outlineLevel="0" collapsed="false">
      <c r="A255" s="18"/>
      <c r="B255" s="19"/>
      <c r="C255" s="19"/>
      <c r="D255" s="19"/>
      <c r="E255" s="20"/>
    </row>
    <row r="256" customFormat="false" ht="15" hidden="false" customHeight="false" outlineLevel="0" collapsed="false">
      <c r="A256" s="14"/>
      <c r="B256" s="15"/>
      <c r="C256" s="15"/>
      <c r="D256" s="15"/>
      <c r="E256" s="16"/>
    </row>
    <row r="257" customFormat="false" ht="15" hidden="false" customHeight="false" outlineLevel="0" collapsed="false">
      <c r="A257" s="18"/>
      <c r="B257" s="19"/>
      <c r="C257" s="19"/>
      <c r="D257" s="19"/>
      <c r="E257" s="20"/>
    </row>
    <row r="258" customFormat="false" ht="15" hidden="false" customHeight="false" outlineLevel="0" collapsed="false">
      <c r="A258" s="14"/>
      <c r="B258" s="15"/>
      <c r="C258" s="15"/>
      <c r="D258" s="15"/>
      <c r="E258" s="16"/>
    </row>
    <row r="259" customFormat="false" ht="15" hidden="false" customHeight="false" outlineLevel="0" collapsed="false">
      <c r="A259" s="18"/>
      <c r="B259" s="19"/>
      <c r="C259" s="19"/>
      <c r="D259" s="19"/>
      <c r="E259" s="20"/>
    </row>
    <row r="260" customFormat="false" ht="15" hidden="false" customHeight="false" outlineLevel="0" collapsed="false">
      <c r="A260" s="14"/>
      <c r="B260" s="15"/>
      <c r="C260" s="15"/>
      <c r="D260" s="15"/>
      <c r="E260" s="16"/>
    </row>
    <row r="261" customFormat="false" ht="15" hidden="false" customHeight="false" outlineLevel="0" collapsed="false">
      <c r="A261" s="18"/>
      <c r="B261" s="19"/>
      <c r="C261" s="19"/>
      <c r="D261" s="19"/>
      <c r="E261" s="20"/>
    </row>
    <row r="262" customFormat="false" ht="15" hidden="false" customHeight="false" outlineLevel="0" collapsed="false">
      <c r="A262" s="14"/>
      <c r="B262" s="15"/>
      <c r="C262" s="15"/>
      <c r="D262" s="15"/>
      <c r="E262" s="16"/>
    </row>
    <row r="263" customFormat="false" ht="15" hidden="false" customHeight="false" outlineLevel="0" collapsed="false">
      <c r="A263" s="18"/>
      <c r="B263" s="19"/>
      <c r="C263" s="19"/>
      <c r="D263" s="19"/>
      <c r="E263" s="20"/>
    </row>
    <row r="264" customFormat="false" ht="15" hidden="false" customHeight="false" outlineLevel="0" collapsed="false">
      <c r="A264" s="14"/>
      <c r="B264" s="15"/>
      <c r="C264" s="15"/>
      <c r="D264" s="15"/>
      <c r="E264" s="16"/>
    </row>
    <row r="265" customFormat="false" ht="15" hidden="false" customHeight="false" outlineLevel="0" collapsed="false">
      <c r="A265" s="18"/>
      <c r="B265" s="19"/>
      <c r="C265" s="19"/>
      <c r="D265" s="19"/>
      <c r="E265" s="20"/>
    </row>
    <row r="266" customFormat="false" ht="15" hidden="false" customHeight="false" outlineLevel="0" collapsed="false">
      <c r="A266" s="14"/>
      <c r="B266" s="15"/>
      <c r="C266" s="15"/>
      <c r="D266" s="15"/>
      <c r="E266" s="16"/>
    </row>
    <row r="267" customFormat="false" ht="15" hidden="false" customHeight="false" outlineLevel="0" collapsed="false">
      <c r="A267" s="18"/>
      <c r="B267" s="19"/>
      <c r="C267" s="19"/>
      <c r="D267" s="19"/>
      <c r="E267" s="20"/>
    </row>
    <row r="268" customFormat="false" ht="15" hidden="false" customHeight="false" outlineLevel="0" collapsed="false">
      <c r="A268" s="14"/>
      <c r="B268" s="15"/>
      <c r="C268" s="15"/>
      <c r="D268" s="15"/>
      <c r="E268" s="16"/>
    </row>
    <row r="269" customFormat="false" ht="15" hidden="false" customHeight="false" outlineLevel="0" collapsed="false">
      <c r="A269" s="18"/>
      <c r="B269" s="19"/>
      <c r="C269" s="19"/>
      <c r="D269" s="19"/>
      <c r="E269" s="20"/>
    </row>
    <row r="270" customFormat="false" ht="15" hidden="false" customHeight="false" outlineLevel="0" collapsed="false">
      <c r="A270" s="14"/>
      <c r="B270" s="15"/>
      <c r="C270" s="15"/>
      <c r="D270" s="15"/>
      <c r="E270" s="16"/>
    </row>
    <row r="271" customFormat="false" ht="15" hidden="false" customHeight="false" outlineLevel="0" collapsed="false">
      <c r="A271" s="18"/>
      <c r="B271" s="19"/>
      <c r="C271" s="19"/>
      <c r="D271" s="19"/>
      <c r="E271" s="20"/>
    </row>
    <row r="272" customFormat="false" ht="15" hidden="false" customHeight="false" outlineLevel="0" collapsed="false">
      <c r="A272" s="14"/>
      <c r="B272" s="15"/>
      <c r="C272" s="15"/>
      <c r="D272" s="15"/>
      <c r="E272" s="16"/>
    </row>
    <row r="273" customFormat="false" ht="15" hidden="false" customHeight="false" outlineLevel="0" collapsed="false">
      <c r="A273" s="18"/>
      <c r="B273" s="19"/>
      <c r="C273" s="19"/>
      <c r="D273" s="19"/>
      <c r="E273" s="20"/>
    </row>
    <row r="274" customFormat="false" ht="15" hidden="false" customHeight="false" outlineLevel="0" collapsed="false">
      <c r="A274" s="14"/>
      <c r="B274" s="15"/>
      <c r="C274" s="15"/>
      <c r="D274" s="15"/>
      <c r="E274" s="16"/>
    </row>
    <row r="275" customFormat="false" ht="15" hidden="false" customHeight="false" outlineLevel="0" collapsed="false">
      <c r="A275" s="18"/>
      <c r="B275" s="19"/>
      <c r="C275" s="19"/>
      <c r="D275" s="19"/>
      <c r="E275" s="20"/>
    </row>
    <row r="276" customFormat="false" ht="15" hidden="false" customHeight="false" outlineLevel="0" collapsed="false">
      <c r="A276" s="14"/>
      <c r="B276" s="15"/>
      <c r="C276" s="15"/>
      <c r="D276" s="15"/>
      <c r="E276" s="16"/>
    </row>
    <row r="277" customFormat="false" ht="15" hidden="false" customHeight="false" outlineLevel="0" collapsed="false">
      <c r="A277" s="18"/>
      <c r="B277" s="19"/>
      <c r="C277" s="19"/>
      <c r="D277" s="19"/>
      <c r="E277" s="20"/>
    </row>
    <row r="278" customFormat="false" ht="15" hidden="false" customHeight="false" outlineLevel="0" collapsed="false">
      <c r="A278" s="14"/>
      <c r="B278" s="15"/>
      <c r="C278" s="15"/>
      <c r="D278" s="15"/>
      <c r="E278" s="16"/>
    </row>
    <row r="279" customFormat="false" ht="15" hidden="false" customHeight="false" outlineLevel="0" collapsed="false">
      <c r="A279" s="18"/>
      <c r="B279" s="19"/>
      <c r="C279" s="19"/>
      <c r="D279" s="19"/>
      <c r="E279" s="20"/>
    </row>
    <row r="280" customFormat="false" ht="15" hidden="false" customHeight="false" outlineLevel="0" collapsed="false">
      <c r="A280" s="14"/>
      <c r="B280" s="15"/>
      <c r="C280" s="15"/>
      <c r="D280" s="15"/>
      <c r="E280" s="16"/>
    </row>
    <row r="281" customFormat="false" ht="15" hidden="false" customHeight="false" outlineLevel="0" collapsed="false">
      <c r="A281" s="18"/>
      <c r="B281" s="19"/>
      <c r="C281" s="19"/>
      <c r="D281" s="19"/>
      <c r="E281" s="20"/>
    </row>
    <row r="282" customFormat="false" ht="15" hidden="false" customHeight="false" outlineLevel="0" collapsed="false">
      <c r="A282" s="14"/>
      <c r="B282" s="15"/>
      <c r="C282" s="15"/>
      <c r="D282" s="15"/>
      <c r="E282" s="16"/>
    </row>
    <row r="283" customFormat="false" ht="15" hidden="false" customHeight="false" outlineLevel="0" collapsed="false">
      <c r="A283" s="18"/>
      <c r="B283" s="19"/>
      <c r="C283" s="19"/>
      <c r="D283" s="19"/>
      <c r="E283" s="20"/>
    </row>
    <row r="284" customFormat="false" ht="15" hidden="false" customHeight="false" outlineLevel="0" collapsed="false">
      <c r="A284" s="14"/>
      <c r="B284" s="15"/>
      <c r="C284" s="15"/>
      <c r="D284" s="15"/>
      <c r="E284" s="16"/>
    </row>
    <row r="285" customFormat="false" ht="15" hidden="false" customHeight="false" outlineLevel="0" collapsed="false">
      <c r="A285" s="18"/>
      <c r="B285" s="19"/>
      <c r="C285" s="19"/>
      <c r="D285" s="19"/>
      <c r="E285" s="20"/>
    </row>
    <row r="286" customFormat="false" ht="15" hidden="false" customHeight="false" outlineLevel="0" collapsed="false">
      <c r="A286" s="14"/>
      <c r="B286" s="15"/>
      <c r="C286" s="15"/>
      <c r="D286" s="15"/>
      <c r="E286" s="16"/>
    </row>
    <row r="287" customFormat="false" ht="15" hidden="false" customHeight="false" outlineLevel="0" collapsed="false">
      <c r="A287" s="18"/>
      <c r="B287" s="19"/>
      <c r="C287" s="19"/>
      <c r="D287" s="19"/>
      <c r="E287" s="20"/>
    </row>
    <row r="288" customFormat="false" ht="15" hidden="false" customHeight="false" outlineLevel="0" collapsed="false">
      <c r="A288" s="14"/>
      <c r="B288" s="15"/>
      <c r="C288" s="15"/>
      <c r="D288" s="15"/>
      <c r="E288" s="16"/>
    </row>
    <row r="289" customFormat="false" ht="15" hidden="false" customHeight="false" outlineLevel="0" collapsed="false">
      <c r="A289" s="18"/>
      <c r="B289" s="19"/>
      <c r="C289" s="19"/>
      <c r="D289" s="19"/>
      <c r="E289" s="20"/>
    </row>
    <row r="290" customFormat="false" ht="15" hidden="false" customHeight="false" outlineLevel="0" collapsed="false">
      <c r="A290" s="14"/>
      <c r="B290" s="15"/>
      <c r="C290" s="15"/>
      <c r="D290" s="15"/>
      <c r="E290" s="16"/>
    </row>
    <row r="291" customFormat="false" ht="15" hidden="false" customHeight="false" outlineLevel="0" collapsed="false">
      <c r="A291" s="18"/>
      <c r="B291" s="19"/>
      <c r="C291" s="19"/>
      <c r="D291" s="19"/>
      <c r="E291" s="20"/>
    </row>
    <row r="292" customFormat="false" ht="15" hidden="false" customHeight="false" outlineLevel="0" collapsed="false">
      <c r="A292" s="14"/>
      <c r="B292" s="15"/>
      <c r="C292" s="15"/>
      <c r="D292" s="15"/>
      <c r="E292" s="16"/>
    </row>
    <row r="293" customFormat="false" ht="15" hidden="false" customHeight="false" outlineLevel="0" collapsed="false">
      <c r="A293" s="18"/>
      <c r="B293" s="19"/>
      <c r="C293" s="19"/>
      <c r="D293" s="19"/>
      <c r="E293" s="20"/>
    </row>
    <row r="294" customFormat="false" ht="15" hidden="false" customHeight="false" outlineLevel="0" collapsed="false">
      <c r="A294" s="14"/>
      <c r="B294" s="15"/>
      <c r="C294" s="15"/>
      <c r="D294" s="15"/>
      <c r="E294" s="16"/>
    </row>
    <row r="295" customFormat="false" ht="15" hidden="false" customHeight="false" outlineLevel="0" collapsed="false">
      <c r="A295" s="18"/>
      <c r="B295" s="19"/>
      <c r="C295" s="19"/>
      <c r="D295" s="19"/>
      <c r="E295" s="20"/>
    </row>
    <row r="296" customFormat="false" ht="15" hidden="false" customHeight="false" outlineLevel="0" collapsed="false">
      <c r="A296" s="14"/>
      <c r="B296" s="15"/>
      <c r="C296" s="15"/>
      <c r="D296" s="15"/>
      <c r="E296" s="16"/>
    </row>
    <row r="297" customFormat="false" ht="15" hidden="false" customHeight="false" outlineLevel="0" collapsed="false">
      <c r="A297" s="18"/>
      <c r="B297" s="19"/>
      <c r="C297" s="19"/>
      <c r="D297" s="19"/>
      <c r="E297" s="20"/>
    </row>
    <row r="298" customFormat="false" ht="15" hidden="false" customHeight="false" outlineLevel="0" collapsed="false">
      <c r="A298" s="14"/>
      <c r="B298" s="15"/>
      <c r="C298" s="15"/>
      <c r="D298" s="15"/>
      <c r="E298" s="16"/>
    </row>
    <row r="299" customFormat="false" ht="15" hidden="false" customHeight="false" outlineLevel="0" collapsed="false">
      <c r="A299" s="18"/>
      <c r="B299" s="19"/>
      <c r="C299" s="19"/>
      <c r="D299" s="19"/>
      <c r="E299" s="20"/>
    </row>
    <row r="300" customFormat="false" ht="15" hidden="false" customHeight="false" outlineLevel="0" collapsed="false">
      <c r="A300" s="14"/>
      <c r="B300" s="15"/>
      <c r="C300" s="15"/>
      <c r="D300" s="15"/>
      <c r="E300" s="16"/>
    </row>
    <row r="301" customFormat="false" ht="15" hidden="false" customHeight="false" outlineLevel="0" collapsed="false">
      <c r="A301" s="18"/>
      <c r="B301" s="19"/>
      <c r="C301" s="19"/>
      <c r="D301" s="19"/>
      <c r="E301" s="20"/>
    </row>
    <row r="302" customFormat="false" ht="15" hidden="false" customHeight="false" outlineLevel="0" collapsed="false">
      <c r="A302" s="14"/>
      <c r="B302" s="15"/>
      <c r="C302" s="15"/>
      <c r="D302" s="15"/>
      <c r="E302" s="16"/>
    </row>
    <row r="303" customFormat="false" ht="15" hidden="false" customHeight="false" outlineLevel="0" collapsed="false">
      <c r="A303" s="18"/>
      <c r="B303" s="19"/>
      <c r="C303" s="19"/>
      <c r="D303" s="19"/>
      <c r="E303" s="20"/>
    </row>
    <row r="304" customFormat="false" ht="15" hidden="false" customHeight="false" outlineLevel="0" collapsed="false">
      <c r="A304" s="14"/>
      <c r="B304" s="15"/>
      <c r="C304" s="15"/>
      <c r="D304" s="15"/>
      <c r="E304" s="16"/>
    </row>
    <row r="305" customFormat="false" ht="15" hidden="false" customHeight="false" outlineLevel="0" collapsed="false">
      <c r="A305" s="18"/>
      <c r="B305" s="19"/>
      <c r="C305" s="19"/>
      <c r="D305" s="19"/>
      <c r="E305" s="20"/>
    </row>
    <row r="306" customFormat="false" ht="15" hidden="false" customHeight="false" outlineLevel="0" collapsed="false">
      <c r="A306" s="14"/>
      <c r="B306" s="15"/>
      <c r="C306" s="15"/>
      <c r="D306" s="15"/>
      <c r="E306" s="16"/>
    </row>
    <row r="307" customFormat="false" ht="15" hidden="false" customHeight="false" outlineLevel="0" collapsed="false">
      <c r="A307" s="18"/>
      <c r="B307" s="19"/>
      <c r="C307" s="19"/>
      <c r="D307" s="19"/>
      <c r="E307" s="20"/>
    </row>
    <row r="308" customFormat="false" ht="15" hidden="false" customHeight="false" outlineLevel="0" collapsed="false">
      <c r="A308" s="14"/>
      <c r="B308" s="15"/>
      <c r="C308" s="15"/>
      <c r="D308" s="15"/>
      <c r="E308" s="16"/>
    </row>
    <row r="309" customFormat="false" ht="15" hidden="false" customHeight="false" outlineLevel="0" collapsed="false">
      <c r="A309" s="18"/>
      <c r="B309" s="19"/>
      <c r="C309" s="19"/>
      <c r="D309" s="19"/>
      <c r="E309" s="20"/>
    </row>
    <row r="310" customFormat="false" ht="15" hidden="false" customHeight="false" outlineLevel="0" collapsed="false">
      <c r="A310" s="14"/>
      <c r="B310" s="15"/>
      <c r="C310" s="15"/>
      <c r="D310" s="15"/>
      <c r="E310" s="16"/>
    </row>
    <row r="311" customFormat="false" ht="15" hidden="false" customHeight="false" outlineLevel="0" collapsed="false">
      <c r="A311" s="18"/>
      <c r="B311" s="19"/>
      <c r="C311" s="19"/>
      <c r="D311" s="19"/>
      <c r="E311" s="20"/>
    </row>
    <row r="312" customFormat="false" ht="15" hidden="false" customHeight="false" outlineLevel="0" collapsed="false">
      <c r="A312" s="14"/>
      <c r="B312" s="15"/>
      <c r="C312" s="15"/>
      <c r="D312" s="15"/>
      <c r="E312" s="16"/>
    </row>
    <row r="313" customFormat="false" ht="15" hidden="false" customHeight="false" outlineLevel="0" collapsed="false">
      <c r="A313" s="18"/>
      <c r="B313" s="19"/>
      <c r="C313" s="19"/>
      <c r="D313" s="19"/>
      <c r="E313" s="20"/>
    </row>
    <row r="314" customFormat="false" ht="15" hidden="false" customHeight="false" outlineLevel="0" collapsed="false">
      <c r="A314" s="14"/>
      <c r="B314" s="15"/>
      <c r="C314" s="15"/>
      <c r="D314" s="15"/>
      <c r="E314" s="16"/>
    </row>
    <row r="315" customFormat="false" ht="15" hidden="false" customHeight="false" outlineLevel="0" collapsed="false">
      <c r="A315" s="18"/>
      <c r="B315" s="19"/>
      <c r="C315" s="19"/>
      <c r="D315" s="19"/>
      <c r="E315" s="20"/>
    </row>
    <row r="316" customFormat="false" ht="15" hidden="false" customHeight="false" outlineLevel="0" collapsed="false">
      <c r="A316" s="14"/>
      <c r="B316" s="15"/>
      <c r="C316" s="15"/>
      <c r="D316" s="15"/>
      <c r="E316" s="16"/>
    </row>
    <row r="317" customFormat="false" ht="15" hidden="false" customHeight="false" outlineLevel="0" collapsed="false">
      <c r="A317" s="18"/>
      <c r="B317" s="19"/>
      <c r="C317" s="19"/>
      <c r="D317" s="19"/>
      <c r="E317" s="20"/>
    </row>
    <row r="318" customFormat="false" ht="15" hidden="false" customHeight="false" outlineLevel="0" collapsed="false">
      <c r="A318" s="14"/>
      <c r="B318" s="15"/>
      <c r="C318" s="15"/>
      <c r="D318" s="15"/>
      <c r="E318" s="16"/>
    </row>
    <row r="319" customFormat="false" ht="15" hidden="false" customHeight="false" outlineLevel="0" collapsed="false">
      <c r="A319" s="18"/>
      <c r="B319" s="19"/>
      <c r="C319" s="19"/>
      <c r="D319" s="19"/>
      <c r="E319" s="20"/>
    </row>
    <row r="320" customFormat="false" ht="15" hidden="false" customHeight="false" outlineLevel="0" collapsed="false">
      <c r="A320" s="14"/>
      <c r="B320" s="15"/>
      <c r="C320" s="15"/>
      <c r="D320" s="15"/>
      <c r="E320" s="16"/>
    </row>
    <row r="321" customFormat="false" ht="15" hidden="false" customHeight="false" outlineLevel="0" collapsed="false">
      <c r="A321" s="18"/>
      <c r="B321" s="19"/>
      <c r="C321" s="19"/>
      <c r="D321" s="19"/>
      <c r="E321" s="20"/>
    </row>
    <row r="322" customFormat="false" ht="15" hidden="false" customHeight="false" outlineLevel="0" collapsed="false">
      <c r="A322" s="14"/>
      <c r="B322" s="15"/>
      <c r="C322" s="15"/>
      <c r="D322" s="15"/>
      <c r="E322" s="16"/>
    </row>
    <row r="323" customFormat="false" ht="15" hidden="false" customHeight="false" outlineLevel="0" collapsed="false">
      <c r="A323" s="18"/>
      <c r="B323" s="19"/>
      <c r="C323" s="19"/>
      <c r="D323" s="19"/>
      <c r="E323" s="20"/>
    </row>
    <row r="324" customFormat="false" ht="15" hidden="false" customHeight="false" outlineLevel="0" collapsed="false">
      <c r="A324" s="14"/>
      <c r="B324" s="15"/>
      <c r="C324" s="15"/>
      <c r="D324" s="15"/>
      <c r="E324" s="16"/>
    </row>
    <row r="325" customFormat="false" ht="15" hidden="false" customHeight="false" outlineLevel="0" collapsed="false">
      <c r="A325" s="18"/>
      <c r="B325" s="19"/>
      <c r="C325" s="19"/>
      <c r="D325" s="19"/>
      <c r="E325" s="20"/>
    </row>
    <row r="326" customFormat="false" ht="15" hidden="false" customHeight="false" outlineLevel="0" collapsed="false">
      <c r="A326" s="14"/>
      <c r="B326" s="15"/>
      <c r="C326" s="15"/>
      <c r="D326" s="15"/>
      <c r="E326" s="16"/>
    </row>
    <row r="327" customFormat="false" ht="15" hidden="false" customHeight="false" outlineLevel="0" collapsed="false">
      <c r="A327" s="18"/>
      <c r="B327" s="19"/>
      <c r="C327" s="19"/>
      <c r="D327" s="19"/>
      <c r="E327" s="20"/>
    </row>
    <row r="328" customFormat="false" ht="15" hidden="false" customHeight="false" outlineLevel="0" collapsed="false">
      <c r="A328" s="14"/>
      <c r="B328" s="15"/>
      <c r="C328" s="15"/>
      <c r="D328" s="15"/>
      <c r="E328" s="16"/>
    </row>
    <row r="329" customFormat="false" ht="15" hidden="false" customHeight="false" outlineLevel="0" collapsed="false">
      <c r="A329" s="18"/>
      <c r="B329" s="19"/>
      <c r="C329" s="19"/>
      <c r="D329" s="19"/>
      <c r="E329" s="20"/>
    </row>
    <row r="330" customFormat="false" ht="15" hidden="false" customHeight="false" outlineLevel="0" collapsed="false">
      <c r="A330" s="14"/>
      <c r="B330" s="15"/>
      <c r="C330" s="15"/>
      <c r="D330" s="15"/>
      <c r="E330" s="16"/>
    </row>
    <row r="331" customFormat="false" ht="15" hidden="false" customHeight="false" outlineLevel="0" collapsed="false">
      <c r="A331" s="18"/>
      <c r="B331" s="19"/>
      <c r="C331" s="19"/>
      <c r="D331" s="19"/>
      <c r="E331" s="20"/>
    </row>
    <row r="332" customFormat="false" ht="15" hidden="false" customHeight="false" outlineLevel="0" collapsed="false">
      <c r="A332" s="14"/>
      <c r="B332" s="15"/>
      <c r="C332" s="15"/>
      <c r="D332" s="15"/>
      <c r="E332" s="16"/>
    </row>
    <row r="333" customFormat="false" ht="15" hidden="false" customHeight="false" outlineLevel="0" collapsed="false">
      <c r="A333" s="18"/>
      <c r="B333" s="19"/>
      <c r="C333" s="19"/>
      <c r="D333" s="19"/>
      <c r="E333" s="20"/>
    </row>
    <row r="334" customFormat="false" ht="15" hidden="false" customHeight="false" outlineLevel="0" collapsed="false">
      <c r="A334" s="14"/>
      <c r="B334" s="15"/>
      <c r="C334" s="15"/>
      <c r="D334" s="15"/>
      <c r="E334" s="16"/>
    </row>
    <row r="335" customFormat="false" ht="15" hidden="false" customHeight="false" outlineLevel="0" collapsed="false">
      <c r="A335" s="18"/>
      <c r="B335" s="19"/>
      <c r="C335" s="19"/>
      <c r="D335" s="19"/>
      <c r="E335" s="20"/>
    </row>
    <row r="336" customFormat="false" ht="15" hidden="false" customHeight="false" outlineLevel="0" collapsed="false">
      <c r="A336" s="14"/>
      <c r="B336" s="15"/>
      <c r="C336" s="15"/>
      <c r="D336" s="15"/>
      <c r="E336" s="16"/>
    </row>
    <row r="337" customFormat="false" ht="15" hidden="false" customHeight="false" outlineLevel="0" collapsed="false">
      <c r="A337" s="18"/>
      <c r="B337" s="19"/>
      <c r="C337" s="19"/>
      <c r="D337" s="19"/>
      <c r="E337" s="20"/>
    </row>
    <row r="338" customFormat="false" ht="15" hidden="false" customHeight="false" outlineLevel="0" collapsed="false">
      <c r="A338" s="14"/>
      <c r="B338" s="15"/>
      <c r="C338" s="15"/>
      <c r="D338" s="15"/>
      <c r="E338" s="16"/>
    </row>
    <row r="339" customFormat="false" ht="15" hidden="false" customHeight="false" outlineLevel="0" collapsed="false">
      <c r="A339" s="18"/>
      <c r="B339" s="19"/>
      <c r="C339" s="19"/>
      <c r="D339" s="19"/>
      <c r="E339" s="20"/>
    </row>
    <row r="340" customFormat="false" ht="15" hidden="false" customHeight="false" outlineLevel="0" collapsed="false">
      <c r="A340" s="14"/>
      <c r="B340" s="15"/>
      <c r="C340" s="15"/>
      <c r="D340" s="15"/>
      <c r="E340" s="16"/>
    </row>
    <row r="341" customFormat="false" ht="15" hidden="false" customHeight="false" outlineLevel="0" collapsed="false">
      <c r="A341" s="18"/>
      <c r="B341" s="19"/>
      <c r="C341" s="19"/>
      <c r="D341" s="19"/>
      <c r="E341" s="20"/>
    </row>
    <row r="342" customFormat="false" ht="15" hidden="false" customHeight="false" outlineLevel="0" collapsed="false">
      <c r="A342" s="14"/>
      <c r="B342" s="15"/>
      <c r="C342" s="15"/>
      <c r="D342" s="15"/>
      <c r="E342" s="16"/>
    </row>
    <row r="343" customFormat="false" ht="15" hidden="false" customHeight="false" outlineLevel="0" collapsed="false">
      <c r="A343" s="18"/>
      <c r="B343" s="19"/>
      <c r="C343" s="19"/>
      <c r="D343" s="19"/>
      <c r="E343" s="20"/>
    </row>
    <row r="344" customFormat="false" ht="15" hidden="false" customHeight="false" outlineLevel="0" collapsed="false">
      <c r="A344" s="14"/>
      <c r="B344" s="15"/>
      <c r="C344" s="15"/>
      <c r="D344" s="15"/>
      <c r="E344" s="16"/>
    </row>
    <row r="345" customFormat="false" ht="15" hidden="false" customHeight="false" outlineLevel="0" collapsed="false">
      <c r="A345" s="18"/>
      <c r="B345" s="19"/>
      <c r="C345" s="19"/>
      <c r="D345" s="19"/>
      <c r="E345" s="20"/>
    </row>
    <row r="346" customFormat="false" ht="15" hidden="false" customHeight="false" outlineLevel="0" collapsed="false">
      <c r="A346" s="14"/>
      <c r="B346" s="15"/>
      <c r="C346" s="15"/>
      <c r="D346" s="15"/>
      <c r="E346" s="16"/>
    </row>
    <row r="347" customFormat="false" ht="15" hidden="false" customHeight="false" outlineLevel="0" collapsed="false">
      <c r="A347" s="18"/>
      <c r="B347" s="19"/>
      <c r="C347" s="19"/>
      <c r="D347" s="19"/>
      <c r="E347" s="20"/>
    </row>
    <row r="348" customFormat="false" ht="15" hidden="false" customHeight="false" outlineLevel="0" collapsed="false">
      <c r="A348" s="14"/>
      <c r="B348" s="15"/>
      <c r="C348" s="15"/>
      <c r="D348" s="15"/>
      <c r="E348" s="16"/>
    </row>
    <row r="349" customFormat="false" ht="15" hidden="false" customHeight="false" outlineLevel="0" collapsed="false">
      <c r="A349" s="18"/>
      <c r="B349" s="19"/>
      <c r="C349" s="19"/>
      <c r="D349" s="19"/>
      <c r="E349" s="20"/>
    </row>
    <row r="350" customFormat="false" ht="15" hidden="false" customHeight="false" outlineLevel="0" collapsed="false">
      <c r="A350" s="14"/>
      <c r="B350" s="15"/>
      <c r="C350" s="15"/>
      <c r="D350" s="15"/>
      <c r="E350" s="16"/>
    </row>
    <row r="351" customFormat="false" ht="15" hidden="false" customHeight="false" outlineLevel="0" collapsed="false">
      <c r="A351" s="18"/>
      <c r="B351" s="19"/>
      <c r="C351" s="19"/>
      <c r="D351" s="19"/>
      <c r="E351" s="20"/>
    </row>
    <row r="352" customFormat="false" ht="15" hidden="false" customHeight="false" outlineLevel="0" collapsed="false">
      <c r="A352" s="14"/>
      <c r="B352" s="15"/>
      <c r="C352" s="15"/>
      <c r="D352" s="15"/>
      <c r="E352" s="16"/>
    </row>
    <row r="353" customFormat="false" ht="15" hidden="false" customHeight="false" outlineLevel="0" collapsed="false">
      <c r="A353" s="18"/>
      <c r="B353" s="19"/>
      <c r="C353" s="19"/>
      <c r="D353" s="19"/>
      <c r="E353" s="20"/>
    </row>
    <row r="354" customFormat="false" ht="15" hidden="false" customHeight="false" outlineLevel="0" collapsed="false">
      <c r="A354" s="14"/>
      <c r="B354" s="15"/>
      <c r="C354" s="15"/>
      <c r="D354" s="15"/>
      <c r="E354" s="16"/>
    </row>
    <row r="355" customFormat="false" ht="15" hidden="false" customHeight="false" outlineLevel="0" collapsed="false">
      <c r="A355" s="18"/>
      <c r="B355" s="19"/>
      <c r="C355" s="19"/>
      <c r="D355" s="19"/>
      <c r="E355" s="20"/>
    </row>
    <row r="356" customFormat="false" ht="15" hidden="false" customHeight="false" outlineLevel="0" collapsed="false">
      <c r="A356" s="14"/>
      <c r="B356" s="15"/>
      <c r="C356" s="15"/>
      <c r="D356" s="15"/>
      <c r="E356" s="16"/>
    </row>
    <row r="357" customFormat="false" ht="15" hidden="false" customHeight="false" outlineLevel="0" collapsed="false">
      <c r="A357" s="18"/>
      <c r="B357" s="19"/>
      <c r="C357" s="19"/>
      <c r="D357" s="19"/>
      <c r="E357" s="20"/>
    </row>
    <row r="358" customFormat="false" ht="15" hidden="false" customHeight="false" outlineLevel="0" collapsed="false">
      <c r="A358" s="14"/>
      <c r="B358" s="15"/>
      <c r="C358" s="15"/>
      <c r="D358" s="15"/>
      <c r="E358" s="16"/>
    </row>
    <row r="359" customFormat="false" ht="15" hidden="false" customHeight="false" outlineLevel="0" collapsed="false">
      <c r="A359" s="18"/>
      <c r="B359" s="19"/>
      <c r="C359" s="19"/>
      <c r="D359" s="19"/>
      <c r="E359" s="20"/>
    </row>
    <row r="360" customFormat="false" ht="15" hidden="false" customHeight="false" outlineLevel="0" collapsed="false">
      <c r="A360" s="14"/>
      <c r="B360" s="15"/>
      <c r="C360" s="15"/>
      <c r="D360" s="15"/>
      <c r="E360" s="16"/>
    </row>
    <row r="361" customFormat="false" ht="15" hidden="false" customHeight="false" outlineLevel="0" collapsed="false">
      <c r="A361" s="18"/>
      <c r="B361" s="19"/>
      <c r="C361" s="19"/>
      <c r="D361" s="19"/>
      <c r="E361" s="20"/>
    </row>
    <row r="362" customFormat="false" ht="15" hidden="false" customHeight="false" outlineLevel="0" collapsed="false">
      <c r="A362" s="14"/>
      <c r="B362" s="15"/>
      <c r="C362" s="15"/>
      <c r="D362" s="15"/>
      <c r="E362" s="16"/>
    </row>
    <row r="363" customFormat="false" ht="15" hidden="false" customHeight="false" outlineLevel="0" collapsed="false">
      <c r="A363" s="18"/>
      <c r="B363" s="19"/>
      <c r="C363" s="19"/>
      <c r="D363" s="19"/>
      <c r="E363" s="20"/>
    </row>
    <row r="364" customFormat="false" ht="15" hidden="false" customHeight="false" outlineLevel="0" collapsed="false">
      <c r="A364" s="14"/>
      <c r="B364" s="15"/>
      <c r="C364" s="15"/>
      <c r="D364" s="15"/>
      <c r="E364" s="16"/>
    </row>
    <row r="365" customFormat="false" ht="15" hidden="false" customHeight="false" outlineLevel="0" collapsed="false">
      <c r="A365" s="18"/>
      <c r="B365" s="19"/>
      <c r="C365" s="19"/>
      <c r="D365" s="19"/>
      <c r="E365" s="20"/>
    </row>
    <row r="366" customFormat="false" ht="15" hidden="false" customHeight="false" outlineLevel="0" collapsed="false">
      <c r="A366" s="14"/>
      <c r="B366" s="15"/>
      <c r="C366" s="15"/>
      <c r="D366" s="15"/>
      <c r="E366" s="16"/>
    </row>
    <row r="367" customFormat="false" ht="15" hidden="false" customHeight="false" outlineLevel="0" collapsed="false">
      <c r="A367" s="18"/>
      <c r="B367" s="19"/>
      <c r="C367" s="19"/>
      <c r="D367" s="19"/>
      <c r="E367" s="20"/>
    </row>
    <row r="368" customFormat="false" ht="15" hidden="false" customHeight="false" outlineLevel="0" collapsed="false">
      <c r="A368" s="14"/>
      <c r="B368" s="15"/>
      <c r="C368" s="15"/>
      <c r="D368" s="15"/>
      <c r="E368" s="16"/>
    </row>
    <row r="369" customFormat="false" ht="15" hidden="false" customHeight="false" outlineLevel="0" collapsed="false">
      <c r="A369" s="18"/>
      <c r="B369" s="19"/>
      <c r="C369" s="19"/>
      <c r="D369" s="19"/>
      <c r="E369" s="20"/>
    </row>
    <row r="370" customFormat="false" ht="15" hidden="false" customHeight="false" outlineLevel="0" collapsed="false">
      <c r="A370" s="14"/>
      <c r="B370" s="15"/>
      <c r="C370" s="15"/>
      <c r="D370" s="15"/>
      <c r="E370" s="16"/>
    </row>
    <row r="371" customFormat="false" ht="15" hidden="false" customHeight="false" outlineLevel="0" collapsed="false">
      <c r="A371" s="18"/>
      <c r="B371" s="19"/>
      <c r="C371" s="19"/>
      <c r="D371" s="19"/>
      <c r="E371" s="20"/>
    </row>
    <row r="372" customFormat="false" ht="15" hidden="false" customHeight="false" outlineLevel="0" collapsed="false">
      <c r="A372" s="14"/>
      <c r="B372" s="15"/>
      <c r="C372" s="15"/>
      <c r="D372" s="15"/>
      <c r="E372" s="16"/>
    </row>
    <row r="373" customFormat="false" ht="15" hidden="false" customHeight="false" outlineLevel="0" collapsed="false">
      <c r="A373" s="18"/>
      <c r="B373" s="19"/>
      <c r="C373" s="19"/>
      <c r="D373" s="19"/>
      <c r="E373" s="20"/>
    </row>
    <row r="374" customFormat="false" ht="15" hidden="false" customHeight="false" outlineLevel="0" collapsed="false">
      <c r="A374" s="14"/>
      <c r="B374" s="15"/>
      <c r="C374" s="15"/>
      <c r="D374" s="15"/>
      <c r="E374" s="16"/>
    </row>
    <row r="375" customFormat="false" ht="15" hidden="false" customHeight="false" outlineLevel="0" collapsed="false">
      <c r="A375" s="18"/>
      <c r="B375" s="19"/>
      <c r="C375" s="19"/>
      <c r="D375" s="19"/>
      <c r="E375" s="20"/>
    </row>
    <row r="376" customFormat="false" ht="15" hidden="false" customHeight="false" outlineLevel="0" collapsed="false">
      <c r="A376" s="14"/>
      <c r="B376" s="15"/>
      <c r="C376" s="15"/>
      <c r="D376" s="15"/>
      <c r="E376" s="16"/>
    </row>
    <row r="377" customFormat="false" ht="15" hidden="false" customHeight="false" outlineLevel="0" collapsed="false">
      <c r="A377" s="18"/>
      <c r="B377" s="19"/>
      <c r="C377" s="19"/>
      <c r="D377" s="19"/>
      <c r="E377" s="20"/>
    </row>
    <row r="378" customFormat="false" ht="15" hidden="false" customHeight="false" outlineLevel="0" collapsed="false">
      <c r="A378" s="14"/>
      <c r="B378" s="15"/>
      <c r="C378" s="15"/>
      <c r="D378" s="15"/>
      <c r="E378" s="16"/>
    </row>
    <row r="379" customFormat="false" ht="15" hidden="false" customHeight="false" outlineLevel="0" collapsed="false">
      <c r="A379" s="18"/>
      <c r="B379" s="19"/>
      <c r="C379" s="19"/>
      <c r="D379" s="19"/>
      <c r="E379" s="20"/>
    </row>
    <row r="380" customFormat="false" ht="15" hidden="false" customHeight="false" outlineLevel="0" collapsed="false">
      <c r="A380" s="14"/>
      <c r="B380" s="15"/>
      <c r="C380" s="15"/>
      <c r="D380" s="15"/>
      <c r="E380" s="16"/>
    </row>
    <row r="381" customFormat="false" ht="15" hidden="false" customHeight="false" outlineLevel="0" collapsed="false">
      <c r="A381" s="18"/>
      <c r="B381" s="19"/>
      <c r="C381" s="19"/>
      <c r="D381" s="19"/>
      <c r="E381" s="20"/>
    </row>
    <row r="382" customFormat="false" ht="15" hidden="false" customHeight="false" outlineLevel="0" collapsed="false">
      <c r="A382" s="14"/>
      <c r="B382" s="15"/>
      <c r="C382" s="15"/>
      <c r="D382" s="15"/>
      <c r="E382" s="16"/>
    </row>
    <row r="383" customFormat="false" ht="15" hidden="false" customHeight="false" outlineLevel="0" collapsed="false">
      <c r="A383" s="18"/>
      <c r="B383" s="19"/>
      <c r="C383" s="19"/>
      <c r="D383" s="19"/>
      <c r="E383" s="20"/>
    </row>
    <row r="384" customFormat="false" ht="15" hidden="false" customHeight="false" outlineLevel="0" collapsed="false">
      <c r="A384" s="14"/>
      <c r="B384" s="15"/>
      <c r="C384" s="15"/>
      <c r="D384" s="15"/>
      <c r="E384" s="16"/>
    </row>
    <row r="385" customFormat="false" ht="15" hidden="false" customHeight="false" outlineLevel="0" collapsed="false">
      <c r="A385" s="18"/>
      <c r="B385" s="19"/>
      <c r="C385" s="19"/>
      <c r="D385" s="19"/>
      <c r="E385" s="20"/>
    </row>
    <row r="386" customFormat="false" ht="15" hidden="false" customHeight="false" outlineLevel="0" collapsed="false">
      <c r="A386" s="14"/>
      <c r="B386" s="15"/>
      <c r="C386" s="15"/>
      <c r="D386" s="15"/>
      <c r="E386" s="16"/>
    </row>
    <row r="387" customFormat="false" ht="15" hidden="false" customHeight="false" outlineLevel="0" collapsed="false">
      <c r="A387" s="18"/>
      <c r="B387" s="19"/>
      <c r="C387" s="19"/>
      <c r="D387" s="19"/>
      <c r="E387" s="20"/>
    </row>
    <row r="388" customFormat="false" ht="15" hidden="false" customHeight="false" outlineLevel="0" collapsed="false">
      <c r="A388" s="14"/>
      <c r="B388" s="15"/>
      <c r="C388" s="15"/>
      <c r="D388" s="15"/>
      <c r="E388" s="16"/>
    </row>
    <row r="389" customFormat="false" ht="15" hidden="false" customHeight="false" outlineLevel="0" collapsed="false">
      <c r="A389" s="18"/>
      <c r="B389" s="19"/>
      <c r="C389" s="19"/>
      <c r="D389" s="19"/>
      <c r="E389" s="20"/>
    </row>
    <row r="390" customFormat="false" ht="15" hidden="false" customHeight="false" outlineLevel="0" collapsed="false">
      <c r="A390" s="14"/>
      <c r="B390" s="15"/>
      <c r="C390" s="15"/>
      <c r="D390" s="15"/>
      <c r="E390" s="16"/>
    </row>
    <row r="391" customFormat="false" ht="15" hidden="false" customHeight="false" outlineLevel="0" collapsed="false">
      <c r="A391" s="18"/>
      <c r="B391" s="19"/>
      <c r="C391" s="19"/>
      <c r="D391" s="19"/>
      <c r="E391" s="20"/>
    </row>
    <row r="392" customFormat="false" ht="15" hidden="false" customHeight="false" outlineLevel="0" collapsed="false">
      <c r="A392" s="14"/>
      <c r="B392" s="15"/>
      <c r="C392" s="15"/>
      <c r="D392" s="15"/>
      <c r="E392" s="16"/>
    </row>
    <row r="393" customFormat="false" ht="15" hidden="false" customHeight="false" outlineLevel="0" collapsed="false">
      <c r="A393" s="18"/>
      <c r="B393" s="19"/>
      <c r="C393" s="19"/>
      <c r="D393" s="19"/>
      <c r="E393" s="20"/>
    </row>
    <row r="394" customFormat="false" ht="15" hidden="false" customHeight="false" outlineLevel="0" collapsed="false">
      <c r="A394" s="14"/>
      <c r="B394" s="15"/>
      <c r="C394" s="15"/>
      <c r="D394" s="15"/>
      <c r="E394" s="16"/>
    </row>
    <row r="395" customFormat="false" ht="15" hidden="false" customHeight="false" outlineLevel="0" collapsed="false">
      <c r="A395" s="18"/>
      <c r="B395" s="19"/>
      <c r="C395" s="19"/>
      <c r="D395" s="19"/>
      <c r="E395" s="20"/>
    </row>
    <row r="396" customFormat="false" ht="15" hidden="false" customHeight="false" outlineLevel="0" collapsed="false">
      <c r="A396" s="14"/>
      <c r="B396" s="15"/>
      <c r="C396" s="15"/>
      <c r="D396" s="15"/>
      <c r="E396" s="16"/>
    </row>
    <row r="397" customFormat="false" ht="15" hidden="false" customHeight="false" outlineLevel="0" collapsed="false">
      <c r="A397" s="18"/>
      <c r="B397" s="19"/>
      <c r="C397" s="19"/>
      <c r="D397" s="19"/>
      <c r="E397" s="20"/>
    </row>
    <row r="398" customFormat="false" ht="15" hidden="false" customHeight="false" outlineLevel="0" collapsed="false">
      <c r="A398" s="14"/>
      <c r="B398" s="15"/>
      <c r="C398" s="15"/>
      <c r="D398" s="15"/>
      <c r="E398" s="16"/>
    </row>
    <row r="399" customFormat="false" ht="15" hidden="false" customHeight="false" outlineLevel="0" collapsed="false">
      <c r="A399" s="18"/>
      <c r="B399" s="19"/>
      <c r="C399" s="19"/>
      <c r="D399" s="19"/>
      <c r="E399" s="20"/>
    </row>
    <row r="400" customFormat="false" ht="15" hidden="false" customHeight="false" outlineLevel="0" collapsed="false">
      <c r="A400" s="14"/>
      <c r="B400" s="15"/>
      <c r="C400" s="15"/>
      <c r="D400" s="15"/>
      <c r="E400" s="16"/>
    </row>
    <row r="401" customFormat="false" ht="15" hidden="false" customHeight="false" outlineLevel="0" collapsed="false">
      <c r="A401" s="18"/>
      <c r="B401" s="19"/>
      <c r="C401" s="19"/>
      <c r="D401" s="19"/>
      <c r="E401" s="20"/>
    </row>
    <row r="402" customFormat="false" ht="15" hidden="false" customHeight="false" outlineLevel="0" collapsed="false">
      <c r="A402" s="14"/>
      <c r="B402" s="15"/>
      <c r="C402" s="15"/>
      <c r="D402" s="15"/>
      <c r="E402" s="16"/>
    </row>
    <row r="403" customFormat="false" ht="15" hidden="false" customHeight="false" outlineLevel="0" collapsed="false">
      <c r="A403" s="18"/>
      <c r="B403" s="19"/>
      <c r="C403" s="19"/>
      <c r="D403" s="19"/>
      <c r="E403" s="20"/>
    </row>
    <row r="404" customFormat="false" ht="15" hidden="false" customHeight="false" outlineLevel="0" collapsed="false">
      <c r="A404" s="14"/>
      <c r="B404" s="15"/>
      <c r="C404" s="15"/>
      <c r="D404" s="15"/>
      <c r="E404" s="16"/>
    </row>
    <row r="405" customFormat="false" ht="15" hidden="false" customHeight="false" outlineLevel="0" collapsed="false">
      <c r="A405" s="18"/>
      <c r="B405" s="19"/>
      <c r="C405" s="19"/>
      <c r="D405" s="19"/>
      <c r="E405" s="20"/>
    </row>
    <row r="406" customFormat="false" ht="15" hidden="false" customHeight="false" outlineLevel="0" collapsed="false">
      <c r="A406" s="14"/>
      <c r="B406" s="15"/>
      <c r="C406" s="15"/>
      <c r="D406" s="15"/>
      <c r="E406" s="16"/>
    </row>
    <row r="407" customFormat="false" ht="15" hidden="false" customHeight="false" outlineLevel="0" collapsed="false">
      <c r="A407" s="18"/>
      <c r="B407" s="19"/>
      <c r="C407" s="19"/>
      <c r="D407" s="19"/>
      <c r="E407" s="20"/>
    </row>
    <row r="408" customFormat="false" ht="15" hidden="false" customHeight="false" outlineLevel="0" collapsed="false">
      <c r="A408" s="14"/>
      <c r="B408" s="15"/>
      <c r="C408" s="15"/>
      <c r="D408" s="15"/>
      <c r="E408" s="16"/>
    </row>
    <row r="409" customFormat="false" ht="15" hidden="false" customHeight="false" outlineLevel="0" collapsed="false">
      <c r="A409" s="18"/>
      <c r="B409" s="19"/>
      <c r="C409" s="19"/>
      <c r="D409" s="19"/>
      <c r="E409" s="20"/>
    </row>
    <row r="410" customFormat="false" ht="15" hidden="false" customHeight="false" outlineLevel="0" collapsed="false">
      <c r="A410" s="14"/>
      <c r="B410" s="15"/>
      <c r="C410" s="15"/>
      <c r="D410" s="15"/>
      <c r="E410" s="16"/>
    </row>
    <row r="411" customFormat="false" ht="15" hidden="false" customHeight="false" outlineLevel="0" collapsed="false">
      <c r="A411" s="18"/>
      <c r="B411" s="19"/>
      <c r="C411" s="19"/>
      <c r="D411" s="19"/>
      <c r="E411" s="20"/>
    </row>
    <row r="412" customFormat="false" ht="15" hidden="false" customHeight="false" outlineLevel="0" collapsed="false">
      <c r="A412" s="14"/>
      <c r="B412" s="15"/>
      <c r="C412" s="15"/>
      <c r="D412" s="15"/>
      <c r="E412" s="16"/>
    </row>
    <row r="413" customFormat="false" ht="15" hidden="false" customHeight="false" outlineLevel="0" collapsed="false">
      <c r="A413" s="18"/>
      <c r="B413" s="19"/>
      <c r="C413" s="19"/>
      <c r="D413" s="19"/>
      <c r="E413" s="20"/>
    </row>
    <row r="414" customFormat="false" ht="15" hidden="false" customHeight="false" outlineLevel="0" collapsed="false">
      <c r="A414" s="14"/>
      <c r="B414" s="15"/>
      <c r="C414" s="15"/>
      <c r="D414" s="15"/>
      <c r="E414" s="16"/>
    </row>
    <row r="415" customFormat="false" ht="15" hidden="false" customHeight="false" outlineLevel="0" collapsed="false">
      <c r="A415" s="18"/>
      <c r="B415" s="19"/>
      <c r="C415" s="19"/>
      <c r="D415" s="19"/>
      <c r="E415" s="20"/>
    </row>
    <row r="416" customFormat="false" ht="15" hidden="false" customHeight="false" outlineLevel="0" collapsed="false">
      <c r="A416" s="14"/>
      <c r="B416" s="15"/>
      <c r="C416" s="15"/>
      <c r="D416" s="15"/>
      <c r="E416" s="16"/>
    </row>
    <row r="417" customFormat="false" ht="15" hidden="false" customHeight="false" outlineLevel="0" collapsed="false">
      <c r="A417" s="18"/>
      <c r="B417" s="19"/>
      <c r="C417" s="19"/>
      <c r="D417" s="19"/>
      <c r="E417" s="20"/>
    </row>
    <row r="418" customFormat="false" ht="15" hidden="false" customHeight="false" outlineLevel="0" collapsed="false">
      <c r="A418" s="14"/>
      <c r="B418" s="15"/>
      <c r="C418" s="15"/>
      <c r="D418" s="15"/>
      <c r="E418" s="16"/>
    </row>
    <row r="419" customFormat="false" ht="15" hidden="false" customHeight="false" outlineLevel="0" collapsed="false">
      <c r="A419" s="18"/>
      <c r="B419" s="19"/>
      <c r="C419" s="19"/>
      <c r="D419" s="19"/>
      <c r="E419" s="20"/>
    </row>
    <row r="420" customFormat="false" ht="15" hidden="false" customHeight="false" outlineLevel="0" collapsed="false">
      <c r="A420" s="14"/>
      <c r="B420" s="15"/>
      <c r="C420" s="15"/>
      <c r="D420" s="15"/>
      <c r="E420" s="16"/>
    </row>
    <row r="421" customFormat="false" ht="15" hidden="false" customHeight="false" outlineLevel="0" collapsed="false">
      <c r="A421" s="18"/>
      <c r="B421" s="19"/>
      <c r="C421" s="19"/>
      <c r="D421" s="19"/>
      <c r="E421" s="20"/>
    </row>
    <row r="422" customFormat="false" ht="15" hidden="false" customHeight="false" outlineLevel="0" collapsed="false">
      <c r="A422" s="14"/>
      <c r="B422" s="15"/>
      <c r="C422" s="15"/>
      <c r="D422" s="15"/>
      <c r="E422" s="16"/>
    </row>
    <row r="423" customFormat="false" ht="15" hidden="false" customHeight="false" outlineLevel="0" collapsed="false">
      <c r="A423" s="18"/>
      <c r="B423" s="19"/>
      <c r="C423" s="19"/>
      <c r="D423" s="19"/>
      <c r="E423" s="20"/>
    </row>
    <row r="424" customFormat="false" ht="15" hidden="false" customHeight="false" outlineLevel="0" collapsed="false">
      <c r="A424" s="14"/>
      <c r="B424" s="15"/>
      <c r="C424" s="15"/>
      <c r="D424" s="15"/>
      <c r="E424" s="16"/>
    </row>
    <row r="425" customFormat="false" ht="15" hidden="false" customHeight="false" outlineLevel="0" collapsed="false">
      <c r="A425" s="18"/>
      <c r="B425" s="19"/>
      <c r="C425" s="19"/>
      <c r="D425" s="19"/>
      <c r="E425" s="20"/>
    </row>
    <row r="426" customFormat="false" ht="15" hidden="false" customHeight="false" outlineLevel="0" collapsed="false">
      <c r="A426" s="14"/>
      <c r="B426" s="15"/>
      <c r="C426" s="15"/>
      <c r="D426" s="15"/>
      <c r="E426" s="16"/>
    </row>
    <row r="427" customFormat="false" ht="15" hidden="false" customHeight="false" outlineLevel="0" collapsed="false">
      <c r="A427" s="18"/>
      <c r="B427" s="19"/>
      <c r="C427" s="19"/>
      <c r="D427" s="19"/>
      <c r="E427" s="20"/>
    </row>
    <row r="428" customFormat="false" ht="15" hidden="false" customHeight="false" outlineLevel="0" collapsed="false">
      <c r="A428" s="14"/>
      <c r="B428" s="15"/>
      <c r="C428" s="15"/>
      <c r="D428" s="15"/>
      <c r="E428" s="16"/>
    </row>
    <row r="429" customFormat="false" ht="15" hidden="false" customHeight="false" outlineLevel="0" collapsed="false">
      <c r="A429" s="18"/>
      <c r="B429" s="19"/>
      <c r="C429" s="19"/>
      <c r="D429" s="19"/>
      <c r="E429" s="20"/>
    </row>
    <row r="430" customFormat="false" ht="15" hidden="false" customHeight="false" outlineLevel="0" collapsed="false">
      <c r="A430" s="14"/>
      <c r="B430" s="15"/>
      <c r="C430" s="15"/>
      <c r="D430" s="15"/>
      <c r="E430" s="16"/>
    </row>
    <row r="431" customFormat="false" ht="15" hidden="false" customHeight="false" outlineLevel="0" collapsed="false">
      <c r="A431" s="18"/>
      <c r="B431" s="19"/>
      <c r="C431" s="19"/>
      <c r="D431" s="19"/>
      <c r="E431" s="20"/>
    </row>
    <row r="432" customFormat="false" ht="15" hidden="false" customHeight="false" outlineLevel="0" collapsed="false">
      <c r="A432" s="14"/>
      <c r="B432" s="15"/>
      <c r="C432" s="15"/>
      <c r="D432" s="15"/>
      <c r="E432" s="16"/>
    </row>
    <row r="433" customFormat="false" ht="15" hidden="false" customHeight="false" outlineLevel="0" collapsed="false">
      <c r="A433" s="18"/>
      <c r="B433" s="19"/>
      <c r="C433" s="19"/>
      <c r="D433" s="19"/>
      <c r="E433" s="20"/>
    </row>
    <row r="434" customFormat="false" ht="15" hidden="false" customHeight="false" outlineLevel="0" collapsed="false">
      <c r="A434" s="14"/>
      <c r="B434" s="15"/>
      <c r="C434" s="15"/>
      <c r="D434" s="15"/>
      <c r="E434" s="16"/>
    </row>
    <row r="435" customFormat="false" ht="15" hidden="false" customHeight="false" outlineLevel="0" collapsed="false">
      <c r="A435" s="18"/>
      <c r="B435" s="19"/>
      <c r="C435" s="19"/>
      <c r="D435" s="19"/>
      <c r="E435" s="20"/>
    </row>
    <row r="436" customFormat="false" ht="15" hidden="false" customHeight="false" outlineLevel="0" collapsed="false">
      <c r="A436" s="14"/>
      <c r="B436" s="15"/>
      <c r="C436" s="15"/>
      <c r="D436" s="15"/>
      <c r="E436" s="16"/>
    </row>
    <row r="437" customFormat="false" ht="15" hidden="false" customHeight="false" outlineLevel="0" collapsed="false">
      <c r="A437" s="18"/>
      <c r="B437" s="19"/>
      <c r="C437" s="19"/>
      <c r="D437" s="19"/>
      <c r="E437" s="20"/>
    </row>
    <row r="438" customFormat="false" ht="15" hidden="false" customHeight="false" outlineLevel="0" collapsed="false">
      <c r="A438" s="14"/>
      <c r="B438" s="15"/>
      <c r="C438" s="15"/>
      <c r="D438" s="15"/>
      <c r="E438" s="16"/>
    </row>
    <row r="439" customFormat="false" ht="15" hidden="false" customHeight="false" outlineLevel="0" collapsed="false">
      <c r="A439" s="18"/>
      <c r="B439" s="19"/>
      <c r="C439" s="19"/>
      <c r="D439" s="19"/>
      <c r="E439" s="20"/>
    </row>
    <row r="440" customFormat="false" ht="15" hidden="false" customHeight="false" outlineLevel="0" collapsed="false">
      <c r="A440" s="14"/>
      <c r="B440" s="15"/>
      <c r="C440" s="15"/>
      <c r="D440" s="15"/>
      <c r="E440" s="16"/>
    </row>
    <row r="441" customFormat="false" ht="15" hidden="false" customHeight="false" outlineLevel="0" collapsed="false">
      <c r="A441" s="18"/>
      <c r="B441" s="19"/>
      <c r="C441" s="19"/>
      <c r="D441" s="19"/>
      <c r="E441" s="20"/>
    </row>
    <row r="442" customFormat="false" ht="15" hidden="false" customHeight="false" outlineLevel="0" collapsed="false">
      <c r="A442" s="14"/>
      <c r="B442" s="15"/>
      <c r="C442" s="15"/>
      <c r="D442" s="15"/>
      <c r="E442" s="16"/>
    </row>
    <row r="443" customFormat="false" ht="15" hidden="false" customHeight="false" outlineLevel="0" collapsed="false">
      <c r="A443" s="18"/>
      <c r="B443" s="19"/>
      <c r="C443" s="19"/>
      <c r="D443" s="19"/>
      <c r="E443" s="20"/>
    </row>
    <row r="444" customFormat="false" ht="15" hidden="false" customHeight="false" outlineLevel="0" collapsed="false">
      <c r="A444" s="14"/>
      <c r="B444" s="15"/>
      <c r="C444" s="15"/>
      <c r="D444" s="15"/>
      <c r="E444" s="16"/>
    </row>
    <row r="445" customFormat="false" ht="15" hidden="false" customHeight="false" outlineLevel="0" collapsed="false">
      <c r="A445" s="18"/>
      <c r="B445" s="19"/>
      <c r="C445" s="19"/>
      <c r="D445" s="19"/>
      <c r="E445" s="20"/>
    </row>
    <row r="446" customFormat="false" ht="15" hidden="false" customHeight="false" outlineLevel="0" collapsed="false">
      <c r="A446" s="14"/>
      <c r="B446" s="15"/>
      <c r="C446" s="15"/>
      <c r="D446" s="15"/>
      <c r="E446" s="16"/>
    </row>
    <row r="447" customFormat="false" ht="15" hidden="false" customHeight="false" outlineLevel="0" collapsed="false">
      <c r="A447" s="18"/>
      <c r="B447" s="19"/>
      <c r="C447" s="19"/>
      <c r="D447" s="19"/>
      <c r="E447" s="20"/>
    </row>
    <row r="448" customFormat="false" ht="15" hidden="false" customHeight="false" outlineLevel="0" collapsed="false">
      <c r="A448" s="14"/>
      <c r="B448" s="15"/>
      <c r="C448" s="15"/>
      <c r="D448" s="15"/>
      <c r="E448" s="16"/>
    </row>
    <row r="449" customFormat="false" ht="15" hidden="false" customHeight="false" outlineLevel="0" collapsed="false">
      <c r="A449" s="18"/>
      <c r="B449" s="19"/>
      <c r="C449" s="19"/>
      <c r="D449" s="19"/>
      <c r="E449" s="20"/>
    </row>
    <row r="450" customFormat="false" ht="15" hidden="false" customHeight="false" outlineLevel="0" collapsed="false">
      <c r="A450" s="14"/>
      <c r="B450" s="15"/>
      <c r="C450" s="15"/>
      <c r="D450" s="15"/>
      <c r="E450" s="16"/>
    </row>
    <row r="451" customFormat="false" ht="15" hidden="false" customHeight="false" outlineLevel="0" collapsed="false">
      <c r="A451" s="18"/>
      <c r="B451" s="19"/>
      <c r="C451" s="19"/>
      <c r="D451" s="19"/>
      <c r="E451" s="20"/>
    </row>
    <row r="452" customFormat="false" ht="15" hidden="false" customHeight="false" outlineLevel="0" collapsed="false">
      <c r="A452" s="14"/>
      <c r="B452" s="15"/>
      <c r="C452" s="15"/>
      <c r="D452" s="15"/>
      <c r="E452" s="16"/>
    </row>
    <row r="453" customFormat="false" ht="15" hidden="false" customHeight="false" outlineLevel="0" collapsed="false">
      <c r="A453" s="18"/>
      <c r="B453" s="19"/>
      <c r="C453" s="19"/>
      <c r="D453" s="19"/>
      <c r="E453" s="20"/>
    </row>
    <row r="454" customFormat="false" ht="15" hidden="false" customHeight="false" outlineLevel="0" collapsed="false">
      <c r="A454" s="14"/>
      <c r="B454" s="15"/>
      <c r="C454" s="15"/>
      <c r="D454" s="15"/>
      <c r="E454" s="16"/>
    </row>
    <row r="455" customFormat="false" ht="15" hidden="false" customHeight="false" outlineLevel="0" collapsed="false">
      <c r="A455" s="18"/>
      <c r="B455" s="19"/>
      <c r="C455" s="19"/>
      <c r="D455" s="19"/>
      <c r="E455" s="20"/>
    </row>
    <row r="456" customFormat="false" ht="15" hidden="false" customHeight="false" outlineLevel="0" collapsed="false">
      <c r="A456" s="14"/>
      <c r="B456" s="15"/>
      <c r="C456" s="15"/>
      <c r="D456" s="15"/>
      <c r="E456" s="16"/>
    </row>
    <row r="457" customFormat="false" ht="15" hidden="false" customHeight="false" outlineLevel="0" collapsed="false">
      <c r="A457" s="18"/>
      <c r="B457" s="19"/>
      <c r="C457" s="19"/>
      <c r="D457" s="19"/>
      <c r="E457" s="20"/>
    </row>
    <row r="458" customFormat="false" ht="15" hidden="false" customHeight="false" outlineLevel="0" collapsed="false">
      <c r="A458" s="14"/>
      <c r="B458" s="15"/>
      <c r="C458" s="15"/>
      <c r="D458" s="15"/>
      <c r="E458" s="16"/>
    </row>
    <row r="459" customFormat="false" ht="15" hidden="false" customHeight="false" outlineLevel="0" collapsed="false">
      <c r="A459" s="18"/>
      <c r="B459" s="19"/>
      <c r="C459" s="19"/>
      <c r="D459" s="19"/>
      <c r="E459" s="20"/>
    </row>
    <row r="460" customFormat="false" ht="15" hidden="false" customHeight="false" outlineLevel="0" collapsed="false">
      <c r="A460" s="14"/>
      <c r="B460" s="15"/>
      <c r="C460" s="15"/>
      <c r="D460" s="15"/>
      <c r="E460" s="16"/>
    </row>
    <row r="461" customFormat="false" ht="15" hidden="false" customHeight="false" outlineLevel="0" collapsed="false">
      <c r="A461" s="18"/>
      <c r="B461" s="19"/>
      <c r="C461" s="19"/>
      <c r="D461" s="19"/>
      <c r="E461" s="20"/>
    </row>
    <row r="462" customFormat="false" ht="15" hidden="false" customHeight="false" outlineLevel="0" collapsed="false">
      <c r="A462" s="14"/>
      <c r="B462" s="15"/>
      <c r="C462" s="15"/>
      <c r="D462" s="15"/>
      <c r="E462" s="16"/>
    </row>
    <row r="463" customFormat="false" ht="15" hidden="false" customHeight="false" outlineLevel="0" collapsed="false">
      <c r="A463" s="18"/>
      <c r="B463" s="19"/>
      <c r="C463" s="19"/>
      <c r="D463" s="19"/>
      <c r="E463" s="20"/>
    </row>
    <row r="464" customFormat="false" ht="15" hidden="false" customHeight="false" outlineLevel="0" collapsed="false">
      <c r="A464" s="14"/>
      <c r="B464" s="15"/>
      <c r="C464" s="15"/>
      <c r="D464" s="15"/>
      <c r="E464" s="16"/>
    </row>
    <row r="465" customFormat="false" ht="15" hidden="false" customHeight="false" outlineLevel="0" collapsed="false">
      <c r="A465" s="18"/>
      <c r="B465" s="19"/>
      <c r="C465" s="19"/>
      <c r="D465" s="19"/>
      <c r="E465" s="20"/>
    </row>
    <row r="466" customFormat="false" ht="15" hidden="false" customHeight="false" outlineLevel="0" collapsed="false">
      <c r="A466" s="14"/>
      <c r="B466" s="15"/>
      <c r="C466" s="15"/>
      <c r="D466" s="15"/>
      <c r="E466" s="16"/>
    </row>
    <row r="467" customFormat="false" ht="15" hidden="false" customHeight="false" outlineLevel="0" collapsed="false">
      <c r="A467" s="18"/>
      <c r="B467" s="19"/>
      <c r="C467" s="19"/>
      <c r="D467" s="19"/>
      <c r="E467" s="20"/>
    </row>
    <row r="468" customFormat="false" ht="15" hidden="false" customHeight="false" outlineLevel="0" collapsed="false">
      <c r="A468" s="14"/>
      <c r="B468" s="15"/>
      <c r="C468" s="15"/>
      <c r="D468" s="15"/>
      <c r="E468" s="16"/>
    </row>
    <row r="469" customFormat="false" ht="15" hidden="false" customHeight="false" outlineLevel="0" collapsed="false">
      <c r="A469" s="18"/>
      <c r="B469" s="19"/>
      <c r="C469" s="19"/>
      <c r="D469" s="19"/>
      <c r="E469" s="20"/>
    </row>
    <row r="470" customFormat="false" ht="15" hidden="false" customHeight="false" outlineLevel="0" collapsed="false">
      <c r="A470" s="14"/>
      <c r="B470" s="15"/>
      <c r="C470" s="15"/>
      <c r="D470" s="15"/>
      <c r="E470" s="16"/>
    </row>
    <row r="471" customFormat="false" ht="15" hidden="false" customHeight="false" outlineLevel="0" collapsed="false">
      <c r="A471" s="18"/>
      <c r="B471" s="19"/>
      <c r="C471" s="19"/>
      <c r="D471" s="19"/>
      <c r="E471" s="20"/>
    </row>
    <row r="472" customFormat="false" ht="15" hidden="false" customHeight="false" outlineLevel="0" collapsed="false">
      <c r="A472" s="14"/>
      <c r="B472" s="15"/>
      <c r="C472" s="15"/>
      <c r="D472" s="15"/>
      <c r="E472" s="16"/>
    </row>
    <row r="473" customFormat="false" ht="15" hidden="false" customHeight="false" outlineLevel="0" collapsed="false">
      <c r="A473" s="18"/>
      <c r="B473" s="19"/>
      <c r="C473" s="19"/>
      <c r="D473" s="19"/>
      <c r="E473" s="20"/>
    </row>
    <row r="474" customFormat="false" ht="15" hidden="false" customHeight="false" outlineLevel="0" collapsed="false">
      <c r="A474" s="14"/>
      <c r="B474" s="15"/>
      <c r="C474" s="15"/>
      <c r="D474" s="15"/>
      <c r="E474" s="16"/>
    </row>
    <row r="475" customFormat="false" ht="15" hidden="false" customHeight="false" outlineLevel="0" collapsed="false">
      <c r="A475" s="18"/>
      <c r="B475" s="19"/>
      <c r="C475" s="19"/>
      <c r="D475" s="19"/>
      <c r="E475" s="20"/>
    </row>
    <row r="476" customFormat="false" ht="15" hidden="false" customHeight="false" outlineLevel="0" collapsed="false">
      <c r="A476" s="14"/>
      <c r="B476" s="15"/>
      <c r="C476" s="15"/>
      <c r="D476" s="15"/>
      <c r="E476" s="16"/>
    </row>
    <row r="477" customFormat="false" ht="15" hidden="false" customHeight="false" outlineLevel="0" collapsed="false">
      <c r="A477" s="18"/>
      <c r="B477" s="19"/>
      <c r="C477" s="19"/>
      <c r="D477" s="19"/>
      <c r="E477" s="20"/>
    </row>
    <row r="478" customFormat="false" ht="15" hidden="false" customHeight="false" outlineLevel="0" collapsed="false">
      <c r="A478" s="14"/>
      <c r="B478" s="15"/>
      <c r="C478" s="15"/>
      <c r="D478" s="15"/>
      <c r="E478" s="16"/>
    </row>
    <row r="479" customFormat="false" ht="15" hidden="false" customHeight="false" outlineLevel="0" collapsed="false">
      <c r="A479" s="18"/>
      <c r="B479" s="19"/>
      <c r="C479" s="19"/>
      <c r="D479" s="19"/>
      <c r="E479" s="20"/>
    </row>
    <row r="480" customFormat="false" ht="15" hidden="false" customHeight="false" outlineLevel="0" collapsed="false">
      <c r="A480" s="14"/>
      <c r="B480" s="15"/>
      <c r="C480" s="15"/>
      <c r="D480" s="15"/>
      <c r="E480" s="16"/>
    </row>
    <row r="481" customFormat="false" ht="15" hidden="false" customHeight="false" outlineLevel="0" collapsed="false">
      <c r="A481" s="18"/>
      <c r="B481" s="19"/>
      <c r="C481" s="19"/>
      <c r="D481" s="19"/>
      <c r="E481" s="20"/>
    </row>
    <row r="482" customFormat="false" ht="15" hidden="false" customHeight="false" outlineLevel="0" collapsed="false">
      <c r="A482" s="14"/>
      <c r="B482" s="15"/>
      <c r="C482" s="15"/>
      <c r="D482" s="15"/>
      <c r="E482" s="16"/>
    </row>
    <row r="483" customFormat="false" ht="15" hidden="false" customHeight="false" outlineLevel="0" collapsed="false">
      <c r="A483" s="18"/>
      <c r="B483" s="19"/>
      <c r="C483" s="19"/>
      <c r="D483" s="19"/>
      <c r="E483" s="20"/>
    </row>
    <row r="484" customFormat="false" ht="15" hidden="false" customHeight="false" outlineLevel="0" collapsed="false">
      <c r="A484" s="14"/>
      <c r="B484" s="15"/>
      <c r="C484" s="15"/>
      <c r="D484" s="15"/>
      <c r="E484" s="16"/>
    </row>
    <row r="485" customFormat="false" ht="15" hidden="false" customHeight="false" outlineLevel="0" collapsed="false">
      <c r="A485" s="18"/>
      <c r="B485" s="19"/>
      <c r="C485" s="19"/>
      <c r="D485" s="19"/>
      <c r="E485" s="20"/>
    </row>
    <row r="486" customFormat="false" ht="15" hidden="false" customHeight="false" outlineLevel="0" collapsed="false">
      <c r="A486" s="14"/>
      <c r="B486" s="15"/>
      <c r="C486" s="15"/>
      <c r="D486" s="15"/>
      <c r="E486" s="16"/>
    </row>
    <row r="487" customFormat="false" ht="15" hidden="false" customHeight="false" outlineLevel="0" collapsed="false">
      <c r="A487" s="18"/>
      <c r="B487" s="19"/>
      <c r="C487" s="19"/>
      <c r="D487" s="19"/>
      <c r="E487" s="20"/>
    </row>
    <row r="488" customFormat="false" ht="15" hidden="false" customHeight="false" outlineLevel="0" collapsed="false">
      <c r="A488" s="14"/>
      <c r="B488" s="15"/>
      <c r="C488" s="15"/>
      <c r="D488" s="15"/>
      <c r="E488" s="16"/>
    </row>
    <row r="489" customFormat="false" ht="15" hidden="false" customHeight="false" outlineLevel="0" collapsed="false">
      <c r="A489" s="18"/>
      <c r="B489" s="19"/>
      <c r="C489" s="19"/>
      <c r="D489" s="19"/>
      <c r="E489" s="20"/>
    </row>
    <row r="490" customFormat="false" ht="15" hidden="false" customHeight="false" outlineLevel="0" collapsed="false">
      <c r="A490" s="14"/>
      <c r="B490" s="15"/>
      <c r="C490" s="15"/>
      <c r="D490" s="15"/>
      <c r="E490" s="16"/>
    </row>
    <row r="491" customFormat="false" ht="15" hidden="false" customHeight="false" outlineLevel="0" collapsed="false">
      <c r="A491" s="18"/>
      <c r="B491" s="19"/>
      <c r="C491" s="19"/>
      <c r="D491" s="19"/>
      <c r="E491" s="20"/>
    </row>
    <row r="492" customFormat="false" ht="15" hidden="false" customHeight="false" outlineLevel="0" collapsed="false">
      <c r="A492" s="14"/>
      <c r="B492" s="15"/>
      <c r="C492" s="15"/>
      <c r="D492" s="15"/>
      <c r="E492" s="16"/>
    </row>
    <row r="493" customFormat="false" ht="15" hidden="false" customHeight="false" outlineLevel="0" collapsed="false">
      <c r="A493" s="18"/>
      <c r="B493" s="19"/>
      <c r="C493" s="19"/>
      <c r="D493" s="19"/>
      <c r="E493" s="20"/>
    </row>
    <row r="494" customFormat="false" ht="15" hidden="false" customHeight="false" outlineLevel="0" collapsed="false">
      <c r="A494" s="14"/>
      <c r="B494" s="15"/>
      <c r="C494" s="15"/>
      <c r="D494" s="15"/>
      <c r="E494" s="16"/>
    </row>
    <row r="495" customFormat="false" ht="15" hidden="false" customHeight="false" outlineLevel="0" collapsed="false">
      <c r="A495" s="18"/>
      <c r="B495" s="19"/>
      <c r="C495" s="19"/>
      <c r="D495" s="19"/>
      <c r="E495" s="20"/>
    </row>
    <row r="496" customFormat="false" ht="15" hidden="false" customHeight="false" outlineLevel="0" collapsed="false">
      <c r="A496" s="14"/>
      <c r="B496" s="15"/>
      <c r="C496" s="15"/>
      <c r="D496" s="15"/>
      <c r="E496" s="16"/>
    </row>
    <row r="497" customFormat="false" ht="15" hidden="false" customHeight="false" outlineLevel="0" collapsed="false">
      <c r="A497" s="18"/>
      <c r="B497" s="19"/>
      <c r="C497" s="19"/>
      <c r="D497" s="19"/>
      <c r="E497" s="20"/>
    </row>
    <row r="498" customFormat="false" ht="15" hidden="false" customHeight="false" outlineLevel="0" collapsed="false">
      <c r="A498" s="14"/>
      <c r="B498" s="15"/>
      <c r="C498" s="15"/>
      <c r="D498" s="15"/>
      <c r="E498" s="16"/>
    </row>
    <row r="499" customFormat="false" ht="15" hidden="false" customHeight="false" outlineLevel="0" collapsed="false">
      <c r="A499" s="18"/>
      <c r="B499" s="19"/>
      <c r="C499" s="19"/>
      <c r="D499" s="19"/>
      <c r="E499" s="20"/>
    </row>
    <row r="500" customFormat="false" ht="15" hidden="false" customHeight="false" outlineLevel="0" collapsed="false">
      <c r="A500" s="14"/>
      <c r="B500" s="15"/>
      <c r="C500" s="15"/>
      <c r="D500" s="15"/>
      <c r="E500" s="16"/>
    </row>
    <row r="501" customFormat="false" ht="15" hidden="false" customHeight="false" outlineLevel="0" collapsed="false">
      <c r="A501" s="18"/>
      <c r="B501" s="19"/>
      <c r="C501" s="19"/>
      <c r="D501" s="19"/>
      <c r="E501" s="20"/>
    </row>
    <row r="502" customFormat="false" ht="15" hidden="false" customHeight="false" outlineLevel="0" collapsed="false">
      <c r="A502" s="14"/>
      <c r="B502" s="15"/>
      <c r="C502" s="15"/>
      <c r="D502" s="15"/>
      <c r="E502" s="16"/>
    </row>
    <row r="503" customFormat="false" ht="15" hidden="false" customHeight="false" outlineLevel="0" collapsed="false">
      <c r="A503" s="18"/>
      <c r="B503" s="19"/>
      <c r="C503" s="19"/>
      <c r="D503" s="19"/>
      <c r="E503" s="20"/>
    </row>
    <row r="504" customFormat="false" ht="15" hidden="false" customHeight="false" outlineLevel="0" collapsed="false">
      <c r="A504" s="14"/>
      <c r="B504" s="15"/>
      <c r="C504" s="15"/>
      <c r="D504" s="15"/>
      <c r="E504" s="16"/>
    </row>
    <row r="505" customFormat="false" ht="15" hidden="false" customHeight="false" outlineLevel="0" collapsed="false">
      <c r="A505" s="18"/>
      <c r="B505" s="19"/>
      <c r="C505" s="19"/>
      <c r="D505" s="19"/>
      <c r="E505" s="20"/>
    </row>
    <row r="506" customFormat="false" ht="15" hidden="false" customHeight="false" outlineLevel="0" collapsed="false">
      <c r="A506" s="14"/>
      <c r="B506" s="15"/>
      <c r="C506" s="15"/>
      <c r="D506" s="15"/>
      <c r="E506" s="16"/>
    </row>
    <row r="507" customFormat="false" ht="15" hidden="false" customHeight="false" outlineLevel="0" collapsed="false">
      <c r="A507" s="18"/>
      <c r="B507" s="19"/>
      <c r="C507" s="19"/>
      <c r="D507" s="19"/>
      <c r="E507" s="20"/>
    </row>
    <row r="508" customFormat="false" ht="15" hidden="false" customHeight="false" outlineLevel="0" collapsed="false">
      <c r="A508" s="14"/>
      <c r="B508" s="15"/>
      <c r="C508" s="15"/>
      <c r="D508" s="15"/>
      <c r="E508" s="16"/>
    </row>
    <row r="509" customFormat="false" ht="15" hidden="false" customHeight="false" outlineLevel="0" collapsed="false">
      <c r="A509" s="18"/>
      <c r="B509" s="19"/>
      <c r="C509" s="19"/>
      <c r="D509" s="19"/>
      <c r="E509" s="20"/>
    </row>
    <row r="510" customFormat="false" ht="15" hidden="false" customHeight="false" outlineLevel="0" collapsed="false">
      <c r="A510" s="14"/>
      <c r="B510" s="15"/>
      <c r="C510" s="15"/>
      <c r="D510" s="15"/>
      <c r="E510" s="16"/>
    </row>
    <row r="511" customFormat="false" ht="15" hidden="false" customHeight="false" outlineLevel="0" collapsed="false">
      <c r="A511" s="18"/>
      <c r="B511" s="19"/>
      <c r="C511" s="19"/>
      <c r="D511" s="19"/>
      <c r="E511" s="20"/>
    </row>
    <row r="512" customFormat="false" ht="15" hidden="false" customHeight="false" outlineLevel="0" collapsed="false">
      <c r="A512" s="14"/>
      <c r="B512" s="15"/>
      <c r="C512" s="15"/>
      <c r="D512" s="15"/>
      <c r="E512" s="16"/>
    </row>
    <row r="513" customFormat="false" ht="15" hidden="false" customHeight="false" outlineLevel="0" collapsed="false">
      <c r="A513" s="18"/>
      <c r="B513" s="19"/>
      <c r="C513" s="19"/>
      <c r="D513" s="19"/>
      <c r="E513" s="20"/>
    </row>
    <row r="514" customFormat="false" ht="15" hidden="false" customHeight="false" outlineLevel="0" collapsed="false">
      <c r="A514" s="14"/>
      <c r="B514" s="15"/>
      <c r="C514" s="15"/>
      <c r="D514" s="15"/>
      <c r="E514" s="16"/>
    </row>
    <row r="515" customFormat="false" ht="15" hidden="false" customHeight="false" outlineLevel="0" collapsed="false">
      <c r="A515" s="18"/>
      <c r="B515" s="19"/>
      <c r="C515" s="19"/>
      <c r="D515" s="19"/>
      <c r="E515" s="20"/>
    </row>
    <row r="516" customFormat="false" ht="15" hidden="false" customHeight="false" outlineLevel="0" collapsed="false">
      <c r="A516" s="14"/>
      <c r="B516" s="15"/>
      <c r="C516" s="15"/>
      <c r="D516" s="15"/>
      <c r="E516" s="16"/>
    </row>
    <row r="517" customFormat="false" ht="15" hidden="false" customHeight="false" outlineLevel="0" collapsed="false">
      <c r="A517" s="18"/>
      <c r="B517" s="19"/>
      <c r="C517" s="19"/>
      <c r="D517" s="19"/>
      <c r="E517" s="20"/>
    </row>
    <row r="518" customFormat="false" ht="15" hidden="false" customHeight="false" outlineLevel="0" collapsed="false">
      <c r="A518" s="14"/>
      <c r="B518" s="15"/>
      <c r="C518" s="15"/>
      <c r="D518" s="15"/>
      <c r="E518" s="16"/>
    </row>
    <row r="519" customFormat="false" ht="15" hidden="false" customHeight="false" outlineLevel="0" collapsed="false">
      <c r="A519" s="18"/>
      <c r="B519" s="19"/>
      <c r="C519" s="19"/>
      <c r="D519" s="19"/>
      <c r="E519" s="20"/>
    </row>
    <row r="520" customFormat="false" ht="15" hidden="false" customHeight="false" outlineLevel="0" collapsed="false">
      <c r="A520" s="14"/>
      <c r="B520" s="15"/>
      <c r="C520" s="15"/>
      <c r="D520" s="15"/>
      <c r="E520" s="16"/>
    </row>
    <row r="521" customFormat="false" ht="15" hidden="false" customHeight="false" outlineLevel="0" collapsed="false">
      <c r="A521" s="18"/>
      <c r="B521" s="19"/>
      <c r="C521" s="19"/>
      <c r="D521" s="19"/>
      <c r="E521" s="20"/>
    </row>
    <row r="522" customFormat="false" ht="15" hidden="false" customHeight="false" outlineLevel="0" collapsed="false">
      <c r="A522" s="14"/>
      <c r="B522" s="15"/>
      <c r="C522" s="15"/>
      <c r="D522" s="15"/>
      <c r="E522" s="16"/>
    </row>
    <row r="523" customFormat="false" ht="15" hidden="false" customHeight="false" outlineLevel="0" collapsed="false">
      <c r="A523" s="18"/>
      <c r="B523" s="19"/>
      <c r="C523" s="19"/>
      <c r="D523" s="19"/>
      <c r="E523" s="20"/>
    </row>
    <row r="524" customFormat="false" ht="15" hidden="false" customHeight="false" outlineLevel="0" collapsed="false">
      <c r="A524" s="14"/>
      <c r="B524" s="15"/>
      <c r="C524" s="15"/>
      <c r="D524" s="15"/>
      <c r="E524" s="16"/>
    </row>
    <row r="525" customFormat="false" ht="15" hidden="false" customHeight="false" outlineLevel="0" collapsed="false">
      <c r="A525" s="18"/>
      <c r="B525" s="19"/>
      <c r="C525" s="19"/>
      <c r="D525" s="19"/>
      <c r="E525" s="20"/>
    </row>
    <row r="526" customFormat="false" ht="15" hidden="false" customHeight="false" outlineLevel="0" collapsed="false">
      <c r="A526" s="14"/>
      <c r="B526" s="15"/>
      <c r="C526" s="15"/>
      <c r="D526" s="15"/>
      <c r="E526" s="16"/>
    </row>
    <row r="527" customFormat="false" ht="15" hidden="false" customHeight="false" outlineLevel="0" collapsed="false">
      <c r="A527" s="18"/>
      <c r="B527" s="19"/>
      <c r="C527" s="19"/>
      <c r="D527" s="19"/>
      <c r="E527" s="20"/>
    </row>
    <row r="528" customFormat="false" ht="15" hidden="false" customHeight="false" outlineLevel="0" collapsed="false">
      <c r="A528" s="14"/>
      <c r="B528" s="15"/>
      <c r="C528" s="15"/>
      <c r="D528" s="15"/>
      <c r="E528" s="16"/>
    </row>
    <row r="529" customFormat="false" ht="15" hidden="false" customHeight="false" outlineLevel="0" collapsed="false">
      <c r="A529" s="18"/>
      <c r="B529" s="19"/>
      <c r="C529" s="19"/>
      <c r="D529" s="19"/>
      <c r="E529" s="20"/>
    </row>
    <row r="530" customFormat="false" ht="15" hidden="false" customHeight="false" outlineLevel="0" collapsed="false">
      <c r="A530" s="14"/>
      <c r="B530" s="15"/>
      <c r="C530" s="15"/>
      <c r="D530" s="15"/>
      <c r="E530" s="16"/>
    </row>
    <row r="531" customFormat="false" ht="15" hidden="false" customHeight="false" outlineLevel="0" collapsed="false">
      <c r="A531" s="18"/>
      <c r="B531" s="19"/>
      <c r="C531" s="19"/>
      <c r="D531" s="19"/>
      <c r="E531" s="20"/>
    </row>
    <row r="532" customFormat="false" ht="15" hidden="false" customHeight="false" outlineLevel="0" collapsed="false">
      <c r="A532" s="14"/>
      <c r="B532" s="15"/>
      <c r="C532" s="15"/>
      <c r="D532" s="15"/>
      <c r="E532" s="16"/>
    </row>
    <row r="533" customFormat="false" ht="15" hidden="false" customHeight="false" outlineLevel="0" collapsed="false">
      <c r="A533" s="18"/>
      <c r="B533" s="19"/>
      <c r="C533" s="19"/>
      <c r="D533" s="19"/>
      <c r="E533" s="20"/>
    </row>
    <row r="534" customFormat="false" ht="15" hidden="false" customHeight="false" outlineLevel="0" collapsed="false">
      <c r="A534" s="14"/>
      <c r="B534" s="15"/>
      <c r="C534" s="15"/>
      <c r="D534" s="15"/>
      <c r="E534" s="16"/>
    </row>
    <row r="535" customFormat="false" ht="15" hidden="false" customHeight="false" outlineLevel="0" collapsed="false">
      <c r="A535" s="18"/>
      <c r="B535" s="19"/>
      <c r="C535" s="19"/>
      <c r="D535" s="19"/>
      <c r="E535" s="20"/>
    </row>
    <row r="536" customFormat="false" ht="15" hidden="false" customHeight="false" outlineLevel="0" collapsed="false">
      <c r="A536" s="14"/>
      <c r="B536" s="15"/>
      <c r="C536" s="15"/>
      <c r="D536" s="15"/>
      <c r="E536" s="16"/>
    </row>
    <row r="537" customFormat="false" ht="15" hidden="false" customHeight="false" outlineLevel="0" collapsed="false">
      <c r="A537" s="18"/>
      <c r="B537" s="19"/>
      <c r="C537" s="19"/>
      <c r="D537" s="19"/>
      <c r="E537" s="20"/>
    </row>
    <row r="538" customFormat="false" ht="15" hidden="false" customHeight="false" outlineLevel="0" collapsed="false">
      <c r="A538" s="14"/>
      <c r="B538" s="15"/>
      <c r="C538" s="15"/>
      <c r="D538" s="15"/>
      <c r="E538" s="16"/>
    </row>
    <row r="539" customFormat="false" ht="15" hidden="false" customHeight="false" outlineLevel="0" collapsed="false">
      <c r="A539" s="18"/>
      <c r="B539" s="19"/>
      <c r="C539" s="19"/>
      <c r="D539" s="19"/>
      <c r="E539" s="20"/>
    </row>
    <row r="540" customFormat="false" ht="15" hidden="false" customHeight="false" outlineLevel="0" collapsed="false">
      <c r="A540" s="14"/>
      <c r="B540" s="15"/>
      <c r="C540" s="15"/>
      <c r="D540" s="15"/>
      <c r="E540" s="16"/>
    </row>
    <row r="541" customFormat="false" ht="15" hidden="false" customHeight="false" outlineLevel="0" collapsed="false">
      <c r="A541" s="18"/>
      <c r="B541" s="19"/>
      <c r="C541" s="19"/>
      <c r="D541" s="19"/>
      <c r="E541" s="20"/>
    </row>
    <row r="542" customFormat="false" ht="15" hidden="false" customHeight="false" outlineLevel="0" collapsed="false">
      <c r="A542" s="14"/>
      <c r="B542" s="15"/>
      <c r="C542" s="15"/>
      <c r="D542" s="15"/>
      <c r="E542" s="16"/>
    </row>
    <row r="543" customFormat="false" ht="15" hidden="false" customHeight="false" outlineLevel="0" collapsed="false">
      <c r="A543" s="18"/>
      <c r="B543" s="19"/>
      <c r="C543" s="19"/>
      <c r="D543" s="19"/>
      <c r="E543" s="20"/>
    </row>
    <row r="544" customFormat="false" ht="15" hidden="false" customHeight="false" outlineLevel="0" collapsed="false">
      <c r="A544" s="14"/>
      <c r="B544" s="15"/>
      <c r="C544" s="15"/>
      <c r="D544" s="15"/>
      <c r="E544" s="16"/>
    </row>
    <row r="545" customFormat="false" ht="15" hidden="false" customHeight="false" outlineLevel="0" collapsed="false">
      <c r="A545" s="18"/>
      <c r="B545" s="19"/>
      <c r="C545" s="19"/>
      <c r="D545" s="19"/>
      <c r="E545" s="20"/>
    </row>
    <row r="546" customFormat="false" ht="15" hidden="false" customHeight="false" outlineLevel="0" collapsed="false">
      <c r="A546" s="14"/>
      <c r="B546" s="15"/>
      <c r="C546" s="15"/>
      <c r="D546" s="15"/>
      <c r="E546" s="16"/>
    </row>
    <row r="547" customFormat="false" ht="15" hidden="false" customHeight="false" outlineLevel="0" collapsed="false">
      <c r="A547" s="18"/>
      <c r="B547" s="19"/>
      <c r="C547" s="19"/>
      <c r="D547" s="19"/>
      <c r="E547" s="20"/>
    </row>
    <row r="548" customFormat="false" ht="15" hidden="false" customHeight="false" outlineLevel="0" collapsed="false">
      <c r="A548" s="14"/>
      <c r="B548" s="15"/>
      <c r="C548" s="15"/>
      <c r="D548" s="15"/>
      <c r="E548" s="16"/>
    </row>
    <row r="549" customFormat="false" ht="15" hidden="false" customHeight="false" outlineLevel="0" collapsed="false">
      <c r="A549" s="18"/>
      <c r="B549" s="19"/>
      <c r="C549" s="19"/>
      <c r="D549" s="19"/>
      <c r="E549" s="20"/>
    </row>
    <row r="550" customFormat="false" ht="15" hidden="false" customHeight="false" outlineLevel="0" collapsed="false">
      <c r="A550" s="14"/>
      <c r="B550" s="15"/>
      <c r="C550" s="15"/>
      <c r="D550" s="15"/>
      <c r="E550" s="16"/>
    </row>
    <row r="551" customFormat="false" ht="15" hidden="false" customHeight="false" outlineLevel="0" collapsed="false">
      <c r="A551" s="18"/>
      <c r="B551" s="19"/>
      <c r="C551" s="19"/>
      <c r="D551" s="19"/>
      <c r="E551" s="20"/>
    </row>
    <row r="552" customFormat="false" ht="15" hidden="false" customHeight="false" outlineLevel="0" collapsed="false">
      <c r="A552" s="14"/>
      <c r="B552" s="15"/>
      <c r="C552" s="15"/>
      <c r="D552" s="15"/>
      <c r="E552" s="16"/>
    </row>
    <row r="553" customFormat="false" ht="15" hidden="false" customHeight="false" outlineLevel="0" collapsed="false">
      <c r="A553" s="18"/>
      <c r="B553" s="19"/>
      <c r="C553" s="19"/>
      <c r="D553" s="19"/>
      <c r="E553" s="20"/>
    </row>
    <row r="554" customFormat="false" ht="15" hidden="false" customHeight="false" outlineLevel="0" collapsed="false">
      <c r="A554" s="14"/>
      <c r="B554" s="15"/>
      <c r="C554" s="15"/>
      <c r="D554" s="15"/>
      <c r="E554" s="16"/>
    </row>
    <row r="555" customFormat="false" ht="15" hidden="false" customHeight="false" outlineLevel="0" collapsed="false">
      <c r="A555" s="18"/>
      <c r="B555" s="19"/>
      <c r="C555" s="19"/>
      <c r="D555" s="19"/>
      <c r="E555" s="20"/>
    </row>
    <row r="556" customFormat="false" ht="15" hidden="false" customHeight="false" outlineLevel="0" collapsed="false">
      <c r="A556" s="14"/>
      <c r="B556" s="15"/>
      <c r="C556" s="15"/>
      <c r="D556" s="15"/>
      <c r="E556" s="16"/>
    </row>
    <row r="557" customFormat="false" ht="15" hidden="false" customHeight="false" outlineLevel="0" collapsed="false">
      <c r="A557" s="18"/>
      <c r="B557" s="19"/>
      <c r="C557" s="19"/>
      <c r="D557" s="19"/>
      <c r="E557" s="20"/>
    </row>
    <row r="558" customFormat="false" ht="15" hidden="false" customHeight="false" outlineLevel="0" collapsed="false">
      <c r="A558" s="14"/>
      <c r="B558" s="15"/>
      <c r="C558" s="15"/>
      <c r="D558" s="15"/>
      <c r="E558" s="16"/>
    </row>
    <row r="559" customFormat="false" ht="15" hidden="false" customHeight="false" outlineLevel="0" collapsed="false">
      <c r="A559" s="18"/>
      <c r="B559" s="19"/>
      <c r="C559" s="19"/>
      <c r="D559" s="19"/>
      <c r="E559" s="20"/>
    </row>
    <row r="560" customFormat="false" ht="15" hidden="false" customHeight="false" outlineLevel="0" collapsed="false">
      <c r="A560" s="14"/>
      <c r="B560" s="15"/>
      <c r="C560" s="15"/>
      <c r="D560" s="15"/>
      <c r="E560" s="16"/>
    </row>
    <row r="561" customFormat="false" ht="15" hidden="false" customHeight="false" outlineLevel="0" collapsed="false">
      <c r="A561" s="18"/>
      <c r="B561" s="19"/>
      <c r="C561" s="19"/>
      <c r="D561" s="19"/>
      <c r="E561" s="20"/>
    </row>
    <row r="562" customFormat="false" ht="15" hidden="false" customHeight="false" outlineLevel="0" collapsed="false">
      <c r="A562" s="14"/>
      <c r="B562" s="15"/>
      <c r="C562" s="15"/>
      <c r="D562" s="15"/>
      <c r="E562" s="16"/>
    </row>
    <row r="563" customFormat="false" ht="15" hidden="false" customHeight="false" outlineLevel="0" collapsed="false">
      <c r="A563" s="18"/>
      <c r="B563" s="19"/>
      <c r="C563" s="19"/>
      <c r="D563" s="19"/>
      <c r="E563" s="20"/>
    </row>
    <row r="564" customFormat="false" ht="15" hidden="false" customHeight="false" outlineLevel="0" collapsed="false">
      <c r="A564" s="14"/>
      <c r="B564" s="15"/>
      <c r="C564" s="15"/>
      <c r="D564" s="15"/>
      <c r="E564" s="16"/>
    </row>
    <row r="565" customFormat="false" ht="15" hidden="false" customHeight="false" outlineLevel="0" collapsed="false">
      <c r="A565" s="18"/>
      <c r="B565" s="19"/>
      <c r="C565" s="19"/>
      <c r="D565" s="19"/>
      <c r="E565" s="20"/>
    </row>
    <row r="566" customFormat="false" ht="15" hidden="false" customHeight="false" outlineLevel="0" collapsed="false">
      <c r="A566" s="14"/>
      <c r="B566" s="15"/>
      <c r="C566" s="15"/>
      <c r="D566" s="15"/>
      <c r="E566" s="16"/>
    </row>
    <row r="567" customFormat="false" ht="15" hidden="false" customHeight="false" outlineLevel="0" collapsed="false">
      <c r="A567" s="18"/>
      <c r="B567" s="19"/>
      <c r="C567" s="19"/>
      <c r="D567" s="19"/>
      <c r="E567" s="20"/>
    </row>
    <row r="568" customFormat="false" ht="15" hidden="false" customHeight="false" outlineLevel="0" collapsed="false">
      <c r="A568" s="14"/>
      <c r="B568" s="15"/>
      <c r="C568" s="15"/>
      <c r="D568" s="15"/>
      <c r="E568" s="16"/>
    </row>
    <row r="569" customFormat="false" ht="15" hidden="false" customHeight="false" outlineLevel="0" collapsed="false">
      <c r="A569" s="18"/>
      <c r="B569" s="19"/>
      <c r="C569" s="19"/>
      <c r="D569" s="19"/>
      <c r="E569" s="20"/>
    </row>
    <row r="570" customFormat="false" ht="15" hidden="false" customHeight="false" outlineLevel="0" collapsed="false">
      <c r="A570" s="14"/>
      <c r="B570" s="15"/>
      <c r="C570" s="15"/>
      <c r="D570" s="15"/>
      <c r="E570" s="16"/>
    </row>
    <row r="571" customFormat="false" ht="15" hidden="false" customHeight="false" outlineLevel="0" collapsed="false">
      <c r="A571" s="18"/>
      <c r="B571" s="19"/>
      <c r="C571" s="19"/>
      <c r="D571" s="19"/>
      <c r="E571" s="20"/>
    </row>
    <row r="572" customFormat="false" ht="15" hidden="false" customHeight="false" outlineLevel="0" collapsed="false">
      <c r="A572" s="14"/>
      <c r="B572" s="15"/>
      <c r="C572" s="15"/>
      <c r="D572" s="15"/>
      <c r="E572" s="16"/>
    </row>
    <row r="573" customFormat="false" ht="15" hidden="false" customHeight="false" outlineLevel="0" collapsed="false">
      <c r="A573" s="18"/>
      <c r="B573" s="19"/>
      <c r="C573" s="19"/>
      <c r="D573" s="19"/>
      <c r="E573" s="20"/>
    </row>
    <row r="574" customFormat="false" ht="15" hidden="false" customHeight="false" outlineLevel="0" collapsed="false">
      <c r="A574" s="14"/>
      <c r="B574" s="15"/>
      <c r="C574" s="15"/>
      <c r="D574" s="15"/>
      <c r="E574" s="16"/>
    </row>
    <row r="575" customFormat="false" ht="15" hidden="false" customHeight="false" outlineLevel="0" collapsed="false">
      <c r="A575" s="18"/>
      <c r="B575" s="19"/>
      <c r="C575" s="19"/>
      <c r="D575" s="19"/>
      <c r="E575" s="20"/>
    </row>
    <row r="576" customFormat="false" ht="15" hidden="false" customHeight="false" outlineLevel="0" collapsed="false">
      <c r="A576" s="14"/>
      <c r="B576" s="15"/>
      <c r="C576" s="15"/>
      <c r="D576" s="15"/>
      <c r="E576" s="16"/>
    </row>
    <row r="577" customFormat="false" ht="15" hidden="false" customHeight="false" outlineLevel="0" collapsed="false">
      <c r="A577" s="18"/>
      <c r="B577" s="19"/>
      <c r="C577" s="19"/>
      <c r="D577" s="19"/>
      <c r="E577" s="20"/>
    </row>
    <row r="578" customFormat="false" ht="15" hidden="false" customHeight="false" outlineLevel="0" collapsed="false">
      <c r="A578" s="14"/>
      <c r="B578" s="15"/>
      <c r="C578" s="15"/>
      <c r="D578" s="15"/>
      <c r="E578" s="16"/>
    </row>
    <row r="579" customFormat="false" ht="15" hidden="false" customHeight="false" outlineLevel="0" collapsed="false">
      <c r="A579" s="18"/>
      <c r="B579" s="19"/>
      <c r="C579" s="19"/>
      <c r="D579" s="19"/>
      <c r="E579" s="20"/>
    </row>
    <row r="580" customFormat="false" ht="15" hidden="false" customHeight="false" outlineLevel="0" collapsed="false">
      <c r="A580" s="14"/>
      <c r="B580" s="15"/>
      <c r="C580" s="15"/>
      <c r="D580" s="15"/>
      <c r="E580" s="16"/>
    </row>
    <row r="581" customFormat="false" ht="15" hidden="false" customHeight="false" outlineLevel="0" collapsed="false">
      <c r="A581" s="18"/>
      <c r="B581" s="19"/>
      <c r="C581" s="19"/>
      <c r="D581" s="19"/>
      <c r="E581" s="20"/>
    </row>
    <row r="582" customFormat="false" ht="15" hidden="false" customHeight="false" outlineLevel="0" collapsed="false">
      <c r="A582" s="14"/>
      <c r="B582" s="15"/>
      <c r="C582" s="15"/>
      <c r="D582" s="15"/>
      <c r="E582" s="16"/>
    </row>
    <row r="583" customFormat="false" ht="15" hidden="false" customHeight="false" outlineLevel="0" collapsed="false">
      <c r="A583" s="18"/>
      <c r="B583" s="19"/>
      <c r="C583" s="19"/>
      <c r="D583" s="19"/>
      <c r="E583" s="20"/>
    </row>
    <row r="584" customFormat="false" ht="15" hidden="false" customHeight="false" outlineLevel="0" collapsed="false">
      <c r="A584" s="14"/>
      <c r="B584" s="15"/>
      <c r="C584" s="15"/>
      <c r="D584" s="15"/>
      <c r="E584" s="16"/>
    </row>
    <row r="585" customFormat="false" ht="15" hidden="false" customHeight="false" outlineLevel="0" collapsed="false">
      <c r="A585" s="18"/>
      <c r="B585" s="19"/>
      <c r="C585" s="19"/>
      <c r="D585" s="19"/>
      <c r="E585" s="20"/>
    </row>
    <row r="586" customFormat="false" ht="15" hidden="false" customHeight="false" outlineLevel="0" collapsed="false">
      <c r="A586" s="14"/>
      <c r="B586" s="15"/>
      <c r="C586" s="15"/>
      <c r="D586" s="15"/>
      <c r="E586" s="16"/>
    </row>
    <row r="587" customFormat="false" ht="15" hidden="false" customHeight="false" outlineLevel="0" collapsed="false">
      <c r="A587" s="18"/>
      <c r="B587" s="19"/>
      <c r="C587" s="19"/>
      <c r="D587" s="19"/>
      <c r="E587" s="20"/>
    </row>
    <row r="588" customFormat="false" ht="15" hidden="false" customHeight="false" outlineLevel="0" collapsed="false">
      <c r="A588" s="14"/>
      <c r="B588" s="15"/>
      <c r="C588" s="15"/>
      <c r="D588" s="15"/>
      <c r="E588" s="16"/>
    </row>
    <row r="589" customFormat="false" ht="15" hidden="false" customHeight="false" outlineLevel="0" collapsed="false">
      <c r="A589" s="18"/>
      <c r="B589" s="19"/>
      <c r="C589" s="19"/>
      <c r="D589" s="19"/>
      <c r="E589" s="20"/>
    </row>
    <row r="590" customFormat="false" ht="15" hidden="false" customHeight="false" outlineLevel="0" collapsed="false">
      <c r="A590" s="14"/>
      <c r="B590" s="15"/>
      <c r="C590" s="15"/>
      <c r="D590" s="15"/>
      <c r="E590" s="16"/>
    </row>
    <row r="591" customFormat="false" ht="15" hidden="false" customHeight="false" outlineLevel="0" collapsed="false">
      <c r="A591" s="18"/>
      <c r="B591" s="19"/>
      <c r="C591" s="19"/>
      <c r="D591" s="19"/>
      <c r="E591" s="20"/>
    </row>
    <row r="592" customFormat="false" ht="15" hidden="false" customHeight="false" outlineLevel="0" collapsed="false">
      <c r="A592" s="14"/>
      <c r="B592" s="15"/>
      <c r="C592" s="15"/>
      <c r="D592" s="15"/>
      <c r="E592" s="16"/>
    </row>
    <row r="593" customFormat="false" ht="15" hidden="false" customHeight="false" outlineLevel="0" collapsed="false">
      <c r="A593" s="18"/>
      <c r="B593" s="19"/>
      <c r="C593" s="19"/>
      <c r="D593" s="19"/>
      <c r="E593" s="20"/>
    </row>
    <row r="594" customFormat="false" ht="15" hidden="false" customHeight="false" outlineLevel="0" collapsed="false">
      <c r="A594" s="14"/>
      <c r="B594" s="15"/>
      <c r="C594" s="15"/>
      <c r="D594" s="15"/>
      <c r="E594" s="16"/>
    </row>
    <row r="595" customFormat="false" ht="15" hidden="false" customHeight="false" outlineLevel="0" collapsed="false">
      <c r="A595" s="18"/>
      <c r="B595" s="19"/>
      <c r="C595" s="19"/>
      <c r="D595" s="19"/>
      <c r="E595" s="20"/>
    </row>
    <row r="596" customFormat="false" ht="15" hidden="false" customHeight="false" outlineLevel="0" collapsed="false">
      <c r="A596" s="14"/>
      <c r="B596" s="15"/>
      <c r="C596" s="15"/>
      <c r="D596" s="15"/>
      <c r="E596" s="16"/>
    </row>
    <row r="597" customFormat="false" ht="15" hidden="false" customHeight="false" outlineLevel="0" collapsed="false">
      <c r="A597" s="18"/>
      <c r="B597" s="19"/>
      <c r="C597" s="19"/>
      <c r="D597" s="19"/>
      <c r="E597" s="20"/>
    </row>
    <row r="598" customFormat="false" ht="15" hidden="false" customHeight="false" outlineLevel="0" collapsed="false">
      <c r="A598" s="14"/>
      <c r="B598" s="15"/>
      <c r="C598" s="15"/>
      <c r="D598" s="15"/>
      <c r="E598" s="16"/>
    </row>
    <row r="599" customFormat="false" ht="15" hidden="false" customHeight="false" outlineLevel="0" collapsed="false">
      <c r="A599" s="18"/>
      <c r="B599" s="19"/>
      <c r="C599" s="19"/>
      <c r="D599" s="19"/>
      <c r="E599" s="20"/>
    </row>
    <row r="600" customFormat="false" ht="15" hidden="false" customHeight="false" outlineLevel="0" collapsed="false">
      <c r="A600" s="14"/>
      <c r="B600" s="15"/>
      <c r="C600" s="15"/>
      <c r="D600" s="15"/>
      <c r="E600" s="16"/>
    </row>
    <row r="601" customFormat="false" ht="15" hidden="false" customHeight="false" outlineLevel="0" collapsed="false">
      <c r="A601" s="18"/>
      <c r="B601" s="19"/>
      <c r="C601" s="19"/>
      <c r="D601" s="19"/>
      <c r="E601" s="20"/>
    </row>
    <row r="602" customFormat="false" ht="15" hidden="false" customHeight="false" outlineLevel="0" collapsed="false">
      <c r="A602" s="14"/>
      <c r="B602" s="15"/>
      <c r="C602" s="15"/>
      <c r="D602" s="15"/>
      <c r="E602" s="16"/>
    </row>
    <row r="603" customFormat="false" ht="15" hidden="false" customHeight="false" outlineLevel="0" collapsed="false">
      <c r="A603" s="18"/>
      <c r="B603" s="19"/>
      <c r="C603" s="19"/>
      <c r="D603" s="19"/>
      <c r="E603" s="20"/>
    </row>
    <row r="604" customFormat="false" ht="15" hidden="false" customHeight="false" outlineLevel="0" collapsed="false">
      <c r="A604" s="14"/>
      <c r="B604" s="15"/>
      <c r="C604" s="15"/>
      <c r="D604" s="15"/>
      <c r="E604" s="16"/>
    </row>
    <row r="605" customFormat="false" ht="15" hidden="false" customHeight="false" outlineLevel="0" collapsed="false">
      <c r="A605" s="18"/>
      <c r="B605" s="19"/>
      <c r="C605" s="19"/>
      <c r="D605" s="19"/>
      <c r="E605" s="20"/>
    </row>
    <row r="606" customFormat="false" ht="15" hidden="false" customHeight="false" outlineLevel="0" collapsed="false">
      <c r="A606" s="14"/>
      <c r="B606" s="15"/>
      <c r="C606" s="15"/>
      <c r="D606" s="15"/>
      <c r="E606" s="16"/>
    </row>
    <row r="607" customFormat="false" ht="15" hidden="false" customHeight="false" outlineLevel="0" collapsed="false">
      <c r="A607" s="18"/>
      <c r="B607" s="19"/>
      <c r="C607" s="19"/>
      <c r="D607" s="19"/>
      <c r="E607" s="20"/>
    </row>
    <row r="608" customFormat="false" ht="15" hidden="false" customHeight="false" outlineLevel="0" collapsed="false">
      <c r="A608" s="14"/>
      <c r="B608" s="15"/>
      <c r="C608" s="15"/>
      <c r="D608" s="15"/>
      <c r="E608" s="16"/>
    </row>
    <row r="609" customFormat="false" ht="15" hidden="false" customHeight="false" outlineLevel="0" collapsed="false">
      <c r="A609" s="18"/>
      <c r="B609" s="19"/>
      <c r="C609" s="19"/>
      <c r="D609" s="19"/>
      <c r="E609" s="20"/>
    </row>
    <row r="610" customFormat="false" ht="15" hidden="false" customHeight="false" outlineLevel="0" collapsed="false">
      <c r="A610" s="14"/>
      <c r="B610" s="15"/>
      <c r="C610" s="15"/>
      <c r="D610" s="15"/>
      <c r="E610" s="16"/>
    </row>
    <row r="611" customFormat="false" ht="15" hidden="false" customHeight="false" outlineLevel="0" collapsed="false">
      <c r="A611" s="18"/>
      <c r="B611" s="19"/>
      <c r="C611" s="19"/>
      <c r="D611" s="19"/>
      <c r="E611" s="20"/>
    </row>
    <row r="612" customFormat="false" ht="15" hidden="false" customHeight="false" outlineLevel="0" collapsed="false">
      <c r="A612" s="14"/>
      <c r="B612" s="15"/>
      <c r="C612" s="15"/>
      <c r="D612" s="15"/>
      <c r="E612" s="16"/>
    </row>
    <row r="613" customFormat="false" ht="15" hidden="false" customHeight="false" outlineLevel="0" collapsed="false">
      <c r="A613" s="18"/>
      <c r="B613" s="19"/>
      <c r="C613" s="19"/>
      <c r="D613" s="19"/>
      <c r="E613" s="20"/>
    </row>
    <row r="614" customFormat="false" ht="15" hidden="false" customHeight="false" outlineLevel="0" collapsed="false">
      <c r="A614" s="14"/>
      <c r="B614" s="15"/>
      <c r="C614" s="15"/>
      <c r="D614" s="15"/>
      <c r="E614" s="16"/>
    </row>
    <row r="615" customFormat="false" ht="15" hidden="false" customHeight="false" outlineLevel="0" collapsed="false">
      <c r="A615" s="18"/>
      <c r="B615" s="19"/>
      <c r="C615" s="19"/>
      <c r="D615" s="19"/>
      <c r="E615" s="20"/>
    </row>
    <row r="616" customFormat="false" ht="15" hidden="false" customHeight="false" outlineLevel="0" collapsed="false">
      <c r="A616" s="14"/>
      <c r="B616" s="15"/>
      <c r="C616" s="15"/>
      <c r="D616" s="15"/>
      <c r="E616" s="16"/>
    </row>
    <row r="617" customFormat="false" ht="15" hidden="false" customHeight="false" outlineLevel="0" collapsed="false">
      <c r="A617" s="18"/>
      <c r="B617" s="19"/>
      <c r="C617" s="19"/>
      <c r="D617" s="19"/>
      <c r="E617" s="20"/>
    </row>
    <row r="618" customFormat="false" ht="15" hidden="false" customHeight="false" outlineLevel="0" collapsed="false">
      <c r="A618" s="14"/>
      <c r="B618" s="15"/>
      <c r="C618" s="15"/>
      <c r="D618" s="15"/>
      <c r="E618" s="16"/>
    </row>
    <row r="619" customFormat="false" ht="15" hidden="false" customHeight="false" outlineLevel="0" collapsed="false">
      <c r="A619" s="18"/>
      <c r="B619" s="19"/>
      <c r="C619" s="19"/>
      <c r="D619" s="19"/>
      <c r="E619" s="20"/>
    </row>
    <row r="620" customFormat="false" ht="15" hidden="false" customHeight="false" outlineLevel="0" collapsed="false">
      <c r="A620" s="14"/>
      <c r="B620" s="15"/>
      <c r="C620" s="15"/>
      <c r="D620" s="15"/>
      <c r="E620" s="16"/>
    </row>
    <row r="621" customFormat="false" ht="15" hidden="false" customHeight="false" outlineLevel="0" collapsed="false">
      <c r="A621" s="18"/>
      <c r="B621" s="19"/>
      <c r="C621" s="19"/>
      <c r="D621" s="19"/>
      <c r="E621" s="20"/>
    </row>
    <row r="622" customFormat="false" ht="15" hidden="false" customHeight="false" outlineLevel="0" collapsed="false">
      <c r="A622" s="14"/>
      <c r="B622" s="15"/>
      <c r="C622" s="15"/>
      <c r="D622" s="15"/>
      <c r="E622" s="16"/>
    </row>
    <row r="623" customFormat="false" ht="15" hidden="false" customHeight="false" outlineLevel="0" collapsed="false">
      <c r="A623" s="18"/>
      <c r="B623" s="19"/>
      <c r="C623" s="19"/>
      <c r="D623" s="19"/>
      <c r="E623" s="20"/>
    </row>
    <row r="624" customFormat="false" ht="15" hidden="false" customHeight="false" outlineLevel="0" collapsed="false">
      <c r="A624" s="14"/>
      <c r="B624" s="15"/>
      <c r="C624" s="15"/>
      <c r="D624" s="15"/>
      <c r="E624" s="16"/>
    </row>
    <row r="625" customFormat="false" ht="15" hidden="false" customHeight="false" outlineLevel="0" collapsed="false">
      <c r="A625" s="18"/>
      <c r="B625" s="19"/>
      <c r="C625" s="19"/>
      <c r="D625" s="19"/>
      <c r="E625" s="20"/>
    </row>
    <row r="626" customFormat="false" ht="15" hidden="false" customHeight="false" outlineLevel="0" collapsed="false">
      <c r="A626" s="14"/>
      <c r="B626" s="15"/>
      <c r="C626" s="15"/>
      <c r="D626" s="15"/>
      <c r="E626" s="16"/>
    </row>
    <row r="627" customFormat="false" ht="15" hidden="false" customHeight="false" outlineLevel="0" collapsed="false">
      <c r="A627" s="18"/>
      <c r="B627" s="19"/>
      <c r="C627" s="19"/>
      <c r="D627" s="19"/>
      <c r="E627" s="20"/>
    </row>
    <row r="628" customFormat="false" ht="15" hidden="false" customHeight="false" outlineLevel="0" collapsed="false">
      <c r="A628" s="14"/>
      <c r="B628" s="15"/>
      <c r="C628" s="15"/>
      <c r="D628" s="15"/>
      <c r="E628" s="16"/>
    </row>
    <row r="629" customFormat="false" ht="15" hidden="false" customHeight="false" outlineLevel="0" collapsed="false">
      <c r="A629" s="18"/>
      <c r="B629" s="19"/>
      <c r="C629" s="19"/>
      <c r="D629" s="19"/>
      <c r="E629" s="20"/>
    </row>
    <row r="630" customFormat="false" ht="15" hidden="false" customHeight="false" outlineLevel="0" collapsed="false">
      <c r="A630" s="14"/>
      <c r="B630" s="15"/>
      <c r="C630" s="15"/>
      <c r="D630" s="15"/>
      <c r="E630" s="16"/>
    </row>
    <row r="631" customFormat="false" ht="15" hidden="false" customHeight="false" outlineLevel="0" collapsed="false">
      <c r="A631" s="18"/>
      <c r="B631" s="19"/>
      <c r="C631" s="19"/>
      <c r="D631" s="19"/>
      <c r="E631" s="20"/>
    </row>
    <row r="632" customFormat="false" ht="15" hidden="false" customHeight="false" outlineLevel="0" collapsed="false">
      <c r="A632" s="14"/>
      <c r="B632" s="15"/>
      <c r="C632" s="15"/>
      <c r="D632" s="15"/>
      <c r="E632" s="16"/>
    </row>
    <row r="633" customFormat="false" ht="15" hidden="false" customHeight="false" outlineLevel="0" collapsed="false">
      <c r="A633" s="18"/>
      <c r="B633" s="19"/>
      <c r="C633" s="19"/>
      <c r="D633" s="19"/>
      <c r="E633" s="20"/>
    </row>
    <row r="634" customFormat="false" ht="15" hidden="false" customHeight="false" outlineLevel="0" collapsed="false">
      <c r="A634" s="14"/>
      <c r="B634" s="15"/>
      <c r="C634" s="15"/>
      <c r="D634" s="15"/>
      <c r="E634" s="16"/>
    </row>
    <row r="635" customFormat="false" ht="15" hidden="false" customHeight="false" outlineLevel="0" collapsed="false">
      <c r="A635" s="18"/>
      <c r="B635" s="19"/>
      <c r="C635" s="19"/>
      <c r="D635" s="19"/>
      <c r="E635" s="20"/>
    </row>
    <row r="636" customFormat="false" ht="15" hidden="false" customHeight="false" outlineLevel="0" collapsed="false">
      <c r="A636" s="14"/>
      <c r="B636" s="15"/>
      <c r="C636" s="15"/>
      <c r="D636" s="15"/>
      <c r="E636" s="16"/>
    </row>
    <row r="637" customFormat="false" ht="15" hidden="false" customHeight="false" outlineLevel="0" collapsed="false">
      <c r="A637" s="18"/>
      <c r="B637" s="19"/>
      <c r="C637" s="19"/>
      <c r="D637" s="19"/>
      <c r="E637" s="20"/>
    </row>
    <row r="638" customFormat="false" ht="15" hidden="false" customHeight="false" outlineLevel="0" collapsed="false">
      <c r="A638" s="14"/>
      <c r="B638" s="15"/>
      <c r="C638" s="15"/>
      <c r="D638" s="15"/>
      <c r="E638" s="16"/>
    </row>
    <row r="639" customFormat="false" ht="15" hidden="false" customHeight="false" outlineLevel="0" collapsed="false">
      <c r="A639" s="18"/>
      <c r="B639" s="19"/>
      <c r="C639" s="19"/>
      <c r="D639" s="19"/>
      <c r="E639" s="20"/>
    </row>
    <row r="640" customFormat="false" ht="15" hidden="false" customHeight="false" outlineLevel="0" collapsed="false">
      <c r="A640" s="14"/>
      <c r="B640" s="15"/>
      <c r="C640" s="15"/>
      <c r="D640" s="15"/>
      <c r="E640" s="16"/>
    </row>
    <row r="641" customFormat="false" ht="15" hidden="false" customHeight="false" outlineLevel="0" collapsed="false">
      <c r="A641" s="18"/>
      <c r="B641" s="19"/>
      <c r="C641" s="19"/>
      <c r="D641" s="19"/>
      <c r="E641" s="20"/>
    </row>
    <row r="642" customFormat="false" ht="15" hidden="false" customHeight="false" outlineLevel="0" collapsed="false">
      <c r="A642" s="14"/>
      <c r="B642" s="15"/>
      <c r="C642" s="15"/>
      <c r="D642" s="15"/>
      <c r="E642" s="16"/>
    </row>
    <row r="643" customFormat="false" ht="15" hidden="false" customHeight="false" outlineLevel="0" collapsed="false">
      <c r="A643" s="18"/>
      <c r="B643" s="19"/>
      <c r="C643" s="19"/>
      <c r="D643" s="19"/>
      <c r="E643" s="20"/>
    </row>
    <row r="644" customFormat="false" ht="15" hidden="false" customHeight="false" outlineLevel="0" collapsed="false">
      <c r="A644" s="14"/>
      <c r="B644" s="15"/>
      <c r="C644" s="15"/>
      <c r="D644" s="15"/>
      <c r="E644" s="16"/>
    </row>
    <row r="645" customFormat="false" ht="15" hidden="false" customHeight="false" outlineLevel="0" collapsed="false">
      <c r="A645" s="18"/>
      <c r="B645" s="19"/>
      <c r="C645" s="19"/>
      <c r="D645" s="19"/>
      <c r="E645" s="20"/>
    </row>
    <row r="646" customFormat="false" ht="15" hidden="false" customHeight="false" outlineLevel="0" collapsed="false">
      <c r="A646" s="14"/>
      <c r="B646" s="15"/>
      <c r="C646" s="15"/>
      <c r="D646" s="15"/>
      <c r="E646" s="16"/>
    </row>
    <row r="647" customFormat="false" ht="15" hidden="false" customHeight="false" outlineLevel="0" collapsed="false">
      <c r="A647" s="18"/>
      <c r="B647" s="19"/>
      <c r="C647" s="19"/>
      <c r="D647" s="19"/>
      <c r="E647" s="20"/>
    </row>
    <row r="648" customFormat="false" ht="15" hidden="false" customHeight="false" outlineLevel="0" collapsed="false">
      <c r="A648" s="14"/>
      <c r="B648" s="15"/>
      <c r="C648" s="15"/>
      <c r="D648" s="15"/>
      <c r="E648" s="16"/>
    </row>
    <row r="649" customFormat="false" ht="15" hidden="false" customHeight="false" outlineLevel="0" collapsed="false">
      <c r="A649" s="18"/>
      <c r="B649" s="19"/>
      <c r="C649" s="19"/>
      <c r="D649" s="19"/>
      <c r="E649" s="20"/>
    </row>
    <row r="650" customFormat="false" ht="15" hidden="false" customHeight="false" outlineLevel="0" collapsed="false">
      <c r="A650" s="14"/>
      <c r="B650" s="15"/>
      <c r="C650" s="15"/>
      <c r="D650" s="15"/>
      <c r="E650" s="16"/>
    </row>
    <row r="651" customFormat="false" ht="15" hidden="false" customHeight="false" outlineLevel="0" collapsed="false">
      <c r="A651" s="18"/>
      <c r="B651" s="19"/>
      <c r="C651" s="19"/>
      <c r="D651" s="19"/>
      <c r="E651" s="20"/>
    </row>
    <row r="652" customFormat="false" ht="15" hidden="false" customHeight="false" outlineLevel="0" collapsed="false">
      <c r="A652" s="14"/>
      <c r="B652" s="15"/>
      <c r="C652" s="15"/>
      <c r="D652" s="15"/>
      <c r="E652" s="16"/>
    </row>
    <row r="653" customFormat="false" ht="15" hidden="false" customHeight="false" outlineLevel="0" collapsed="false">
      <c r="A653" s="18"/>
      <c r="B653" s="19"/>
      <c r="C653" s="19"/>
      <c r="D653" s="19"/>
      <c r="E653" s="20"/>
    </row>
    <row r="654" customFormat="false" ht="15" hidden="false" customHeight="false" outlineLevel="0" collapsed="false">
      <c r="A654" s="14"/>
      <c r="B654" s="15"/>
      <c r="C654" s="15"/>
      <c r="D654" s="15"/>
      <c r="E654" s="16"/>
    </row>
    <row r="655" customFormat="false" ht="15" hidden="false" customHeight="false" outlineLevel="0" collapsed="false">
      <c r="A655" s="18"/>
      <c r="B655" s="19"/>
      <c r="C655" s="19"/>
      <c r="D655" s="19"/>
      <c r="E655" s="20"/>
    </row>
    <row r="656" customFormat="false" ht="15" hidden="false" customHeight="false" outlineLevel="0" collapsed="false">
      <c r="A656" s="14"/>
      <c r="B656" s="15"/>
      <c r="C656" s="15"/>
      <c r="D656" s="15"/>
      <c r="E656" s="16"/>
    </row>
    <row r="657" customFormat="false" ht="15" hidden="false" customHeight="false" outlineLevel="0" collapsed="false">
      <c r="A657" s="18"/>
      <c r="B657" s="19"/>
      <c r="C657" s="19"/>
      <c r="D657" s="19"/>
      <c r="E657" s="20"/>
    </row>
    <row r="658" customFormat="false" ht="15" hidden="false" customHeight="false" outlineLevel="0" collapsed="false">
      <c r="A658" s="14"/>
      <c r="B658" s="15"/>
      <c r="C658" s="15"/>
      <c r="D658" s="15"/>
      <c r="E658" s="16"/>
    </row>
    <row r="659" customFormat="false" ht="15" hidden="false" customHeight="false" outlineLevel="0" collapsed="false">
      <c r="A659" s="18"/>
      <c r="B659" s="19"/>
      <c r="C659" s="19"/>
      <c r="D659" s="19"/>
      <c r="E659" s="20"/>
    </row>
    <row r="660" customFormat="false" ht="15" hidden="false" customHeight="false" outlineLevel="0" collapsed="false">
      <c r="A660" s="14"/>
      <c r="B660" s="15"/>
      <c r="C660" s="15"/>
      <c r="D660" s="15"/>
      <c r="E660" s="16"/>
    </row>
    <row r="661" customFormat="false" ht="15" hidden="false" customHeight="false" outlineLevel="0" collapsed="false">
      <c r="A661" s="18"/>
      <c r="B661" s="19"/>
      <c r="C661" s="19"/>
      <c r="D661" s="19"/>
      <c r="E661" s="20"/>
    </row>
    <row r="662" customFormat="false" ht="15" hidden="false" customHeight="false" outlineLevel="0" collapsed="false">
      <c r="A662" s="14"/>
      <c r="B662" s="15"/>
      <c r="C662" s="15"/>
      <c r="D662" s="15"/>
      <c r="E662" s="16"/>
    </row>
    <row r="663" customFormat="false" ht="15" hidden="false" customHeight="false" outlineLevel="0" collapsed="false">
      <c r="A663" s="18"/>
      <c r="B663" s="19"/>
      <c r="C663" s="19"/>
      <c r="D663" s="19"/>
      <c r="E663" s="20"/>
    </row>
    <row r="664" customFormat="false" ht="15" hidden="false" customHeight="false" outlineLevel="0" collapsed="false">
      <c r="A664" s="14"/>
      <c r="B664" s="15"/>
      <c r="C664" s="15"/>
      <c r="D664" s="15"/>
      <c r="E664" s="16"/>
    </row>
    <row r="665" customFormat="false" ht="15" hidden="false" customHeight="false" outlineLevel="0" collapsed="false">
      <c r="A665" s="18"/>
      <c r="B665" s="19"/>
      <c r="C665" s="19"/>
      <c r="D665" s="19"/>
      <c r="E665" s="20"/>
    </row>
    <row r="666" customFormat="false" ht="15" hidden="false" customHeight="false" outlineLevel="0" collapsed="false">
      <c r="A666" s="14"/>
      <c r="B666" s="15"/>
      <c r="C666" s="15"/>
      <c r="D666" s="15"/>
      <c r="E666" s="16"/>
    </row>
    <row r="667" customFormat="false" ht="15" hidden="false" customHeight="false" outlineLevel="0" collapsed="false">
      <c r="A667" s="18"/>
      <c r="B667" s="19"/>
      <c r="C667" s="19"/>
      <c r="D667" s="19"/>
      <c r="E667" s="20"/>
    </row>
    <row r="668" customFormat="false" ht="15" hidden="false" customHeight="false" outlineLevel="0" collapsed="false">
      <c r="A668" s="14"/>
      <c r="B668" s="15"/>
      <c r="C668" s="15"/>
      <c r="D668" s="15"/>
      <c r="E668" s="16"/>
    </row>
    <row r="669" customFormat="false" ht="15" hidden="false" customHeight="false" outlineLevel="0" collapsed="false">
      <c r="A669" s="18"/>
      <c r="B669" s="19"/>
      <c r="C669" s="19"/>
      <c r="D669" s="19"/>
      <c r="E669" s="20"/>
    </row>
    <row r="670" customFormat="false" ht="15" hidden="false" customHeight="false" outlineLevel="0" collapsed="false">
      <c r="A670" s="14"/>
      <c r="B670" s="15"/>
      <c r="C670" s="15"/>
      <c r="D670" s="15"/>
      <c r="E670" s="16"/>
    </row>
    <row r="671" customFormat="false" ht="15" hidden="false" customHeight="false" outlineLevel="0" collapsed="false">
      <c r="A671" s="18"/>
      <c r="B671" s="19"/>
      <c r="C671" s="19"/>
      <c r="D671" s="19"/>
      <c r="E671" s="20"/>
    </row>
    <row r="672" customFormat="false" ht="15" hidden="false" customHeight="false" outlineLevel="0" collapsed="false">
      <c r="A672" s="14"/>
      <c r="B672" s="15"/>
      <c r="C672" s="15"/>
      <c r="D672" s="15"/>
      <c r="E672" s="16"/>
    </row>
    <row r="673" customFormat="false" ht="15" hidden="false" customHeight="false" outlineLevel="0" collapsed="false">
      <c r="A673" s="18"/>
      <c r="B673" s="19"/>
      <c r="C673" s="19"/>
      <c r="D673" s="19"/>
      <c r="E673" s="20"/>
    </row>
    <row r="674" customFormat="false" ht="15" hidden="false" customHeight="false" outlineLevel="0" collapsed="false">
      <c r="A674" s="14"/>
      <c r="B674" s="15"/>
      <c r="C674" s="15"/>
      <c r="D674" s="15"/>
      <c r="E674" s="16"/>
    </row>
    <row r="675" customFormat="false" ht="15" hidden="false" customHeight="false" outlineLevel="0" collapsed="false">
      <c r="A675" s="18"/>
      <c r="B675" s="19"/>
      <c r="C675" s="19"/>
      <c r="D675" s="19"/>
      <c r="E675" s="20"/>
    </row>
    <row r="676" customFormat="false" ht="15" hidden="false" customHeight="false" outlineLevel="0" collapsed="false">
      <c r="A676" s="14"/>
      <c r="B676" s="15"/>
      <c r="C676" s="15"/>
      <c r="D676" s="15"/>
      <c r="E676" s="16"/>
    </row>
    <row r="677" customFormat="false" ht="15" hidden="false" customHeight="false" outlineLevel="0" collapsed="false">
      <c r="A677" s="18"/>
      <c r="B677" s="19"/>
      <c r="C677" s="19"/>
      <c r="D677" s="19"/>
      <c r="E677" s="20"/>
    </row>
    <row r="678" customFormat="false" ht="15" hidden="false" customHeight="false" outlineLevel="0" collapsed="false">
      <c r="A678" s="14"/>
      <c r="B678" s="15"/>
      <c r="C678" s="15"/>
      <c r="D678" s="15"/>
      <c r="E678" s="16"/>
    </row>
    <row r="679" customFormat="false" ht="15" hidden="false" customHeight="false" outlineLevel="0" collapsed="false">
      <c r="A679" s="18"/>
      <c r="B679" s="19"/>
      <c r="C679" s="19"/>
      <c r="D679" s="19"/>
      <c r="E679" s="20"/>
    </row>
    <row r="680" customFormat="false" ht="15" hidden="false" customHeight="false" outlineLevel="0" collapsed="false">
      <c r="A680" s="14"/>
      <c r="B680" s="15"/>
      <c r="C680" s="15"/>
      <c r="D680" s="15"/>
      <c r="E680" s="16"/>
    </row>
    <row r="681" customFormat="false" ht="15" hidden="false" customHeight="false" outlineLevel="0" collapsed="false">
      <c r="A681" s="18"/>
      <c r="B681" s="19"/>
      <c r="C681" s="19"/>
      <c r="D681" s="19"/>
      <c r="E681" s="20"/>
    </row>
    <row r="682" customFormat="false" ht="15" hidden="false" customHeight="false" outlineLevel="0" collapsed="false">
      <c r="A682" s="14"/>
      <c r="B682" s="15"/>
      <c r="C682" s="15"/>
      <c r="D682" s="15"/>
      <c r="E682" s="16"/>
    </row>
    <row r="683" customFormat="false" ht="15" hidden="false" customHeight="false" outlineLevel="0" collapsed="false">
      <c r="A683" s="18"/>
      <c r="B683" s="19"/>
      <c r="C683" s="19"/>
      <c r="D683" s="19"/>
      <c r="E683" s="20"/>
    </row>
    <row r="684" customFormat="false" ht="15" hidden="false" customHeight="false" outlineLevel="0" collapsed="false">
      <c r="A684" s="14"/>
      <c r="B684" s="15"/>
      <c r="C684" s="15"/>
      <c r="D684" s="15"/>
      <c r="E684" s="16"/>
    </row>
    <row r="685" customFormat="false" ht="15" hidden="false" customHeight="false" outlineLevel="0" collapsed="false">
      <c r="A685" s="18"/>
      <c r="B685" s="19"/>
      <c r="C685" s="19"/>
      <c r="D685" s="19"/>
      <c r="E685" s="20"/>
    </row>
    <row r="686" customFormat="false" ht="15" hidden="false" customHeight="false" outlineLevel="0" collapsed="false">
      <c r="A686" s="14"/>
      <c r="B686" s="15"/>
      <c r="C686" s="15"/>
      <c r="D686" s="15"/>
      <c r="E686" s="16"/>
    </row>
    <row r="687" customFormat="false" ht="15" hidden="false" customHeight="false" outlineLevel="0" collapsed="false">
      <c r="A687" s="18"/>
      <c r="B687" s="19"/>
      <c r="C687" s="19"/>
      <c r="D687" s="19"/>
      <c r="E687" s="20"/>
    </row>
    <row r="688" customFormat="false" ht="15" hidden="false" customHeight="false" outlineLevel="0" collapsed="false">
      <c r="A688" s="14"/>
      <c r="B688" s="15"/>
      <c r="C688" s="15"/>
      <c r="D688" s="15"/>
      <c r="E688" s="16"/>
    </row>
    <row r="689" customFormat="false" ht="15" hidden="false" customHeight="false" outlineLevel="0" collapsed="false">
      <c r="A689" s="18"/>
      <c r="B689" s="19"/>
      <c r="C689" s="19"/>
      <c r="D689" s="19"/>
      <c r="E689" s="20"/>
    </row>
    <row r="690" customFormat="false" ht="15" hidden="false" customHeight="false" outlineLevel="0" collapsed="false">
      <c r="A690" s="14"/>
      <c r="B690" s="15"/>
      <c r="C690" s="15"/>
      <c r="D690" s="15"/>
      <c r="E690" s="16"/>
    </row>
    <row r="691" customFormat="false" ht="15" hidden="false" customHeight="false" outlineLevel="0" collapsed="false">
      <c r="A691" s="18"/>
      <c r="B691" s="19"/>
      <c r="C691" s="19"/>
      <c r="D691" s="19"/>
      <c r="E691" s="20"/>
    </row>
    <row r="692" customFormat="false" ht="15" hidden="false" customHeight="false" outlineLevel="0" collapsed="false">
      <c r="A692" s="14"/>
      <c r="B692" s="15"/>
      <c r="C692" s="15"/>
      <c r="D692" s="15"/>
      <c r="E692" s="16"/>
    </row>
    <row r="693" customFormat="false" ht="15" hidden="false" customHeight="false" outlineLevel="0" collapsed="false">
      <c r="A693" s="18"/>
      <c r="B693" s="19"/>
      <c r="C693" s="19"/>
      <c r="D693" s="19"/>
      <c r="E693" s="20"/>
    </row>
    <row r="694" customFormat="false" ht="15" hidden="false" customHeight="false" outlineLevel="0" collapsed="false">
      <c r="A694" s="14"/>
      <c r="B694" s="15"/>
      <c r="C694" s="15"/>
      <c r="D694" s="15"/>
      <c r="E694" s="16"/>
    </row>
    <row r="695" customFormat="false" ht="15" hidden="false" customHeight="false" outlineLevel="0" collapsed="false">
      <c r="A695" s="18"/>
      <c r="B695" s="19"/>
      <c r="C695" s="19"/>
      <c r="D695" s="19"/>
      <c r="E695" s="20"/>
    </row>
    <row r="696" customFormat="false" ht="15" hidden="false" customHeight="false" outlineLevel="0" collapsed="false">
      <c r="A696" s="14"/>
      <c r="B696" s="15"/>
      <c r="C696" s="15"/>
      <c r="D696" s="15"/>
      <c r="E696" s="16"/>
    </row>
    <row r="697" customFormat="false" ht="15" hidden="false" customHeight="false" outlineLevel="0" collapsed="false">
      <c r="A697" s="18"/>
      <c r="B697" s="19"/>
      <c r="C697" s="19"/>
      <c r="D697" s="19"/>
      <c r="E697" s="20"/>
    </row>
    <row r="698" customFormat="false" ht="15" hidden="false" customHeight="false" outlineLevel="0" collapsed="false">
      <c r="A698" s="14"/>
      <c r="B698" s="15"/>
      <c r="C698" s="15"/>
      <c r="D698" s="15"/>
      <c r="E698" s="16"/>
    </row>
    <row r="699" customFormat="false" ht="15" hidden="false" customHeight="false" outlineLevel="0" collapsed="false">
      <c r="A699" s="18"/>
      <c r="B699" s="19"/>
      <c r="C699" s="19"/>
      <c r="D699" s="19"/>
      <c r="E699" s="20"/>
    </row>
    <row r="700" customFormat="false" ht="15" hidden="false" customHeight="false" outlineLevel="0" collapsed="false">
      <c r="A700" s="14"/>
      <c r="B700" s="15"/>
      <c r="C700" s="15"/>
      <c r="D700" s="15"/>
      <c r="E700" s="16"/>
    </row>
    <row r="701" customFormat="false" ht="15" hidden="false" customHeight="false" outlineLevel="0" collapsed="false">
      <c r="A701" s="18"/>
      <c r="B701" s="19"/>
      <c r="C701" s="19"/>
      <c r="D701" s="19"/>
      <c r="E701" s="20"/>
    </row>
    <row r="702" customFormat="false" ht="15" hidden="false" customHeight="false" outlineLevel="0" collapsed="false">
      <c r="A702" s="14"/>
      <c r="B702" s="15"/>
      <c r="C702" s="15"/>
      <c r="D702" s="15"/>
      <c r="E702" s="16"/>
    </row>
    <row r="703" customFormat="false" ht="15" hidden="false" customHeight="false" outlineLevel="0" collapsed="false">
      <c r="A703" s="18"/>
      <c r="B703" s="19"/>
      <c r="C703" s="19"/>
      <c r="D703" s="19"/>
      <c r="E703" s="20"/>
    </row>
    <row r="704" customFormat="false" ht="15" hidden="false" customHeight="false" outlineLevel="0" collapsed="false">
      <c r="A704" s="14"/>
      <c r="B704" s="15"/>
      <c r="C704" s="15"/>
      <c r="D704" s="15"/>
      <c r="E704" s="16"/>
    </row>
    <row r="705" customFormat="false" ht="15" hidden="false" customHeight="false" outlineLevel="0" collapsed="false">
      <c r="A705" s="18"/>
      <c r="B705" s="19"/>
      <c r="C705" s="19"/>
      <c r="D705" s="19"/>
      <c r="E705" s="20"/>
    </row>
    <row r="706" customFormat="false" ht="15" hidden="false" customHeight="false" outlineLevel="0" collapsed="false">
      <c r="A706" s="14"/>
      <c r="B706" s="15"/>
      <c r="C706" s="15"/>
      <c r="D706" s="15"/>
      <c r="E706" s="16"/>
    </row>
    <row r="707" customFormat="false" ht="15" hidden="false" customHeight="false" outlineLevel="0" collapsed="false">
      <c r="A707" s="18"/>
      <c r="B707" s="19"/>
      <c r="C707" s="19"/>
      <c r="D707" s="19"/>
      <c r="E707" s="20"/>
    </row>
    <row r="708" customFormat="false" ht="15" hidden="false" customHeight="false" outlineLevel="0" collapsed="false">
      <c r="A708" s="14"/>
      <c r="B708" s="15"/>
      <c r="C708" s="15"/>
      <c r="D708" s="15"/>
      <c r="E708" s="16"/>
    </row>
    <row r="709" customFormat="false" ht="15" hidden="false" customHeight="false" outlineLevel="0" collapsed="false">
      <c r="A709" s="18"/>
      <c r="B709" s="19"/>
      <c r="C709" s="19"/>
      <c r="D709" s="19"/>
      <c r="E709" s="20"/>
    </row>
    <row r="710" customFormat="false" ht="15" hidden="false" customHeight="false" outlineLevel="0" collapsed="false">
      <c r="A710" s="14"/>
      <c r="B710" s="15"/>
      <c r="C710" s="15"/>
      <c r="D710" s="15"/>
      <c r="E710" s="16"/>
    </row>
    <row r="711" customFormat="false" ht="15" hidden="false" customHeight="false" outlineLevel="0" collapsed="false">
      <c r="A711" s="18"/>
      <c r="B711" s="19"/>
      <c r="C711" s="19"/>
      <c r="D711" s="19"/>
      <c r="E711" s="20"/>
    </row>
    <row r="712" customFormat="false" ht="15" hidden="false" customHeight="false" outlineLevel="0" collapsed="false">
      <c r="A712" s="14"/>
      <c r="B712" s="15"/>
      <c r="C712" s="15"/>
      <c r="D712" s="15"/>
      <c r="E712" s="16"/>
    </row>
    <row r="713" customFormat="false" ht="15" hidden="false" customHeight="false" outlineLevel="0" collapsed="false">
      <c r="A713" s="18"/>
      <c r="B713" s="19"/>
      <c r="C713" s="19"/>
      <c r="D713" s="19"/>
      <c r="E713" s="20"/>
    </row>
    <row r="714" customFormat="false" ht="15" hidden="false" customHeight="false" outlineLevel="0" collapsed="false">
      <c r="A714" s="14"/>
      <c r="B714" s="15"/>
      <c r="C714" s="15"/>
      <c r="D714" s="15"/>
      <c r="E714" s="16"/>
    </row>
    <row r="715" customFormat="false" ht="15" hidden="false" customHeight="false" outlineLevel="0" collapsed="false">
      <c r="A715" s="18"/>
      <c r="B715" s="19"/>
      <c r="C715" s="19"/>
      <c r="D715" s="19"/>
      <c r="E715" s="20"/>
    </row>
    <row r="716" customFormat="false" ht="15" hidden="false" customHeight="false" outlineLevel="0" collapsed="false">
      <c r="A716" s="14"/>
      <c r="B716" s="15"/>
      <c r="C716" s="15"/>
      <c r="D716" s="15"/>
      <c r="E716" s="16"/>
    </row>
    <row r="717" customFormat="false" ht="15" hidden="false" customHeight="false" outlineLevel="0" collapsed="false">
      <c r="A717" s="18"/>
      <c r="B717" s="19"/>
      <c r="C717" s="19"/>
      <c r="D717" s="19"/>
      <c r="E717" s="20"/>
    </row>
    <row r="718" customFormat="false" ht="15" hidden="false" customHeight="false" outlineLevel="0" collapsed="false">
      <c r="A718" s="14"/>
      <c r="B718" s="15"/>
      <c r="C718" s="15"/>
      <c r="D718" s="15"/>
      <c r="E718" s="16"/>
    </row>
    <row r="719" customFormat="false" ht="15" hidden="false" customHeight="false" outlineLevel="0" collapsed="false">
      <c r="A719" s="18"/>
      <c r="B719" s="19"/>
      <c r="C719" s="19"/>
      <c r="D719" s="19"/>
      <c r="E719" s="20"/>
    </row>
    <row r="720" customFormat="false" ht="15" hidden="false" customHeight="false" outlineLevel="0" collapsed="false">
      <c r="A720" s="14"/>
      <c r="B720" s="15"/>
      <c r="C720" s="15"/>
      <c r="D720" s="15"/>
      <c r="E720" s="16"/>
    </row>
    <row r="721" customFormat="false" ht="15" hidden="false" customHeight="false" outlineLevel="0" collapsed="false">
      <c r="A721" s="18"/>
      <c r="B721" s="19"/>
      <c r="C721" s="19"/>
      <c r="D721" s="19"/>
      <c r="E721" s="20"/>
    </row>
    <row r="722" customFormat="false" ht="15" hidden="false" customHeight="false" outlineLevel="0" collapsed="false">
      <c r="A722" s="14"/>
      <c r="B722" s="15"/>
      <c r="C722" s="15"/>
      <c r="D722" s="15"/>
      <c r="E722" s="16"/>
    </row>
    <row r="723" customFormat="false" ht="15" hidden="false" customHeight="false" outlineLevel="0" collapsed="false">
      <c r="A723" s="18"/>
      <c r="B723" s="19"/>
      <c r="C723" s="19"/>
      <c r="D723" s="19"/>
      <c r="E723" s="20"/>
    </row>
    <row r="724" customFormat="false" ht="15" hidden="false" customHeight="false" outlineLevel="0" collapsed="false">
      <c r="A724" s="14"/>
      <c r="B724" s="15"/>
      <c r="C724" s="15"/>
      <c r="D724" s="15"/>
      <c r="E724" s="16"/>
    </row>
    <row r="725" customFormat="false" ht="15" hidden="false" customHeight="false" outlineLevel="0" collapsed="false">
      <c r="A725" s="18"/>
      <c r="B725" s="19"/>
      <c r="C725" s="19"/>
      <c r="D725" s="19"/>
      <c r="E725" s="20"/>
    </row>
    <row r="726" customFormat="false" ht="15" hidden="false" customHeight="false" outlineLevel="0" collapsed="false">
      <c r="A726" s="14"/>
      <c r="B726" s="15"/>
      <c r="C726" s="15"/>
      <c r="D726" s="15"/>
      <c r="E726" s="16"/>
    </row>
    <row r="727" customFormat="false" ht="15" hidden="false" customHeight="false" outlineLevel="0" collapsed="false">
      <c r="A727" s="18"/>
      <c r="B727" s="19"/>
      <c r="C727" s="19"/>
      <c r="D727" s="19"/>
      <c r="E727" s="20"/>
    </row>
    <row r="728" customFormat="false" ht="15" hidden="false" customHeight="false" outlineLevel="0" collapsed="false">
      <c r="A728" s="14"/>
      <c r="B728" s="15"/>
      <c r="C728" s="15"/>
      <c r="D728" s="15"/>
      <c r="E728" s="16"/>
    </row>
    <row r="729" customFormat="false" ht="15" hidden="false" customHeight="false" outlineLevel="0" collapsed="false">
      <c r="A729" s="18"/>
      <c r="B729" s="19"/>
      <c r="C729" s="19"/>
      <c r="D729" s="19"/>
      <c r="E729" s="20"/>
    </row>
    <row r="730" customFormat="false" ht="15" hidden="false" customHeight="false" outlineLevel="0" collapsed="false">
      <c r="A730" s="14"/>
      <c r="B730" s="15"/>
      <c r="C730" s="15"/>
      <c r="D730" s="15"/>
      <c r="E730" s="16"/>
    </row>
    <row r="731" customFormat="false" ht="15" hidden="false" customHeight="false" outlineLevel="0" collapsed="false">
      <c r="A731" s="18"/>
      <c r="B731" s="19"/>
      <c r="C731" s="19"/>
      <c r="D731" s="19"/>
      <c r="E731" s="20"/>
    </row>
    <row r="732" customFormat="false" ht="15" hidden="false" customHeight="false" outlineLevel="0" collapsed="false">
      <c r="A732" s="14"/>
      <c r="B732" s="15"/>
      <c r="C732" s="15"/>
      <c r="D732" s="15"/>
      <c r="E732" s="16"/>
    </row>
    <row r="733" customFormat="false" ht="15" hidden="false" customHeight="false" outlineLevel="0" collapsed="false">
      <c r="A733" s="18"/>
      <c r="B733" s="19"/>
      <c r="C733" s="19"/>
      <c r="D733" s="19"/>
      <c r="E733" s="20"/>
    </row>
    <row r="734" customFormat="false" ht="15" hidden="false" customHeight="false" outlineLevel="0" collapsed="false">
      <c r="A734" s="14"/>
      <c r="B734" s="15"/>
      <c r="C734" s="15"/>
      <c r="D734" s="15"/>
      <c r="E734" s="16"/>
    </row>
    <row r="735" customFormat="false" ht="15" hidden="false" customHeight="false" outlineLevel="0" collapsed="false">
      <c r="A735" s="18"/>
      <c r="B735" s="19"/>
      <c r="C735" s="19"/>
      <c r="D735" s="19"/>
      <c r="E735" s="20"/>
    </row>
    <row r="736" customFormat="false" ht="15" hidden="false" customHeight="false" outlineLevel="0" collapsed="false">
      <c r="A736" s="14"/>
      <c r="B736" s="15"/>
      <c r="C736" s="15"/>
      <c r="D736" s="15"/>
      <c r="E736" s="16"/>
    </row>
    <row r="737" customFormat="false" ht="15" hidden="false" customHeight="false" outlineLevel="0" collapsed="false">
      <c r="A737" s="18"/>
      <c r="B737" s="19"/>
      <c r="C737" s="19"/>
      <c r="D737" s="19"/>
      <c r="E737" s="20"/>
    </row>
    <row r="738" customFormat="false" ht="15" hidden="false" customHeight="false" outlineLevel="0" collapsed="false">
      <c r="A738" s="14"/>
      <c r="B738" s="15"/>
      <c r="C738" s="15"/>
      <c r="D738" s="15"/>
      <c r="E738" s="16"/>
    </row>
    <row r="739" customFormat="false" ht="15" hidden="false" customHeight="false" outlineLevel="0" collapsed="false">
      <c r="A739" s="18"/>
      <c r="B739" s="19"/>
      <c r="C739" s="19"/>
      <c r="D739" s="19"/>
      <c r="E739" s="20"/>
    </row>
    <row r="740" customFormat="false" ht="15" hidden="false" customHeight="false" outlineLevel="0" collapsed="false">
      <c r="A740" s="14"/>
      <c r="B740" s="15"/>
      <c r="C740" s="15"/>
      <c r="D740" s="15"/>
      <c r="E740" s="16"/>
    </row>
    <row r="741" customFormat="false" ht="15" hidden="false" customHeight="false" outlineLevel="0" collapsed="false">
      <c r="A741" s="18"/>
      <c r="B741" s="19"/>
      <c r="C741" s="19"/>
      <c r="D741" s="19"/>
      <c r="E741" s="20"/>
    </row>
    <row r="742" customFormat="false" ht="15" hidden="false" customHeight="false" outlineLevel="0" collapsed="false">
      <c r="A742" s="14"/>
      <c r="B742" s="15"/>
      <c r="C742" s="15"/>
      <c r="D742" s="15"/>
      <c r="E742" s="16"/>
    </row>
    <row r="743" customFormat="false" ht="15" hidden="false" customHeight="false" outlineLevel="0" collapsed="false">
      <c r="A743" s="18"/>
      <c r="B743" s="19"/>
      <c r="C743" s="19"/>
      <c r="D743" s="19"/>
      <c r="E743" s="20"/>
    </row>
    <row r="744" customFormat="false" ht="15" hidden="false" customHeight="false" outlineLevel="0" collapsed="false">
      <c r="A744" s="14"/>
      <c r="B744" s="15"/>
      <c r="C744" s="15"/>
      <c r="D744" s="15"/>
      <c r="E744" s="16"/>
    </row>
    <row r="745" customFormat="false" ht="15" hidden="false" customHeight="false" outlineLevel="0" collapsed="false">
      <c r="A745" s="18"/>
      <c r="B745" s="19"/>
      <c r="C745" s="19"/>
      <c r="D745" s="19"/>
      <c r="E745" s="20"/>
    </row>
    <row r="746" customFormat="false" ht="15" hidden="false" customHeight="false" outlineLevel="0" collapsed="false">
      <c r="A746" s="14"/>
      <c r="B746" s="15"/>
      <c r="C746" s="15"/>
      <c r="D746" s="15"/>
      <c r="E746" s="16"/>
    </row>
    <row r="747" customFormat="false" ht="15" hidden="false" customHeight="false" outlineLevel="0" collapsed="false">
      <c r="A747" s="18"/>
      <c r="B747" s="19"/>
      <c r="C747" s="19"/>
      <c r="D747" s="19"/>
      <c r="E747" s="20"/>
    </row>
    <row r="748" customFormat="false" ht="15" hidden="false" customHeight="false" outlineLevel="0" collapsed="false">
      <c r="A748" s="14"/>
      <c r="B748" s="15"/>
      <c r="C748" s="15"/>
      <c r="D748" s="15"/>
      <c r="E748" s="16"/>
    </row>
    <row r="749" customFormat="false" ht="15" hidden="false" customHeight="false" outlineLevel="0" collapsed="false">
      <c r="A749" s="18"/>
      <c r="B749" s="19"/>
      <c r="C749" s="19"/>
      <c r="D749" s="19"/>
      <c r="E749" s="20"/>
    </row>
    <row r="750" customFormat="false" ht="15" hidden="false" customHeight="false" outlineLevel="0" collapsed="false">
      <c r="A750" s="14"/>
      <c r="B750" s="15"/>
      <c r="C750" s="15"/>
      <c r="D750" s="15"/>
      <c r="E750" s="16"/>
    </row>
    <row r="751" customFormat="false" ht="15" hidden="false" customHeight="false" outlineLevel="0" collapsed="false">
      <c r="A751" s="18"/>
      <c r="B751" s="19"/>
      <c r="C751" s="19"/>
      <c r="D751" s="19"/>
      <c r="E751" s="20"/>
    </row>
    <row r="752" customFormat="false" ht="15" hidden="false" customHeight="false" outlineLevel="0" collapsed="false">
      <c r="A752" s="14"/>
      <c r="B752" s="15"/>
      <c r="C752" s="15"/>
      <c r="D752" s="15"/>
      <c r="E752" s="16"/>
    </row>
    <row r="753" customFormat="false" ht="15" hidden="false" customHeight="false" outlineLevel="0" collapsed="false">
      <c r="A753" s="18"/>
      <c r="B753" s="19"/>
      <c r="C753" s="19"/>
      <c r="D753" s="19"/>
      <c r="E753" s="20"/>
    </row>
    <row r="754" customFormat="false" ht="15" hidden="false" customHeight="false" outlineLevel="0" collapsed="false">
      <c r="A754" s="14"/>
      <c r="B754" s="15"/>
      <c r="C754" s="15"/>
      <c r="D754" s="15"/>
      <c r="E754" s="16"/>
    </row>
    <row r="755" customFormat="false" ht="15" hidden="false" customHeight="false" outlineLevel="0" collapsed="false">
      <c r="A755" s="18"/>
      <c r="B755" s="19"/>
      <c r="C755" s="19"/>
      <c r="D755" s="19"/>
      <c r="E755" s="20"/>
    </row>
    <row r="756" customFormat="false" ht="15" hidden="false" customHeight="false" outlineLevel="0" collapsed="false">
      <c r="A756" s="14"/>
      <c r="B756" s="15"/>
      <c r="C756" s="15"/>
      <c r="D756" s="15"/>
      <c r="E756" s="16"/>
    </row>
    <row r="757" customFormat="false" ht="15" hidden="false" customHeight="false" outlineLevel="0" collapsed="false">
      <c r="A757" s="18"/>
      <c r="B757" s="19"/>
      <c r="C757" s="19"/>
      <c r="D757" s="19"/>
      <c r="E757" s="20"/>
    </row>
    <row r="758" customFormat="false" ht="15" hidden="false" customHeight="false" outlineLevel="0" collapsed="false">
      <c r="A758" s="14"/>
      <c r="B758" s="15"/>
      <c r="C758" s="15"/>
      <c r="D758" s="15"/>
      <c r="E758" s="16"/>
    </row>
    <row r="759" customFormat="false" ht="15" hidden="false" customHeight="false" outlineLevel="0" collapsed="false">
      <c r="A759" s="18"/>
      <c r="B759" s="19"/>
      <c r="C759" s="19"/>
      <c r="D759" s="19"/>
      <c r="E759" s="20"/>
    </row>
    <row r="760" customFormat="false" ht="15" hidden="false" customHeight="false" outlineLevel="0" collapsed="false">
      <c r="A760" s="14"/>
      <c r="B760" s="15"/>
      <c r="C760" s="15"/>
      <c r="D760" s="15"/>
      <c r="E760" s="16"/>
    </row>
    <row r="761" customFormat="false" ht="15" hidden="false" customHeight="false" outlineLevel="0" collapsed="false">
      <c r="A761" s="18"/>
      <c r="B761" s="19"/>
      <c r="C761" s="19"/>
      <c r="D761" s="19"/>
      <c r="E761" s="20"/>
    </row>
    <row r="762" customFormat="false" ht="15" hidden="false" customHeight="false" outlineLevel="0" collapsed="false">
      <c r="A762" s="14"/>
      <c r="B762" s="15"/>
      <c r="C762" s="15"/>
      <c r="D762" s="15"/>
      <c r="E762" s="16"/>
    </row>
    <row r="763" customFormat="false" ht="15" hidden="false" customHeight="false" outlineLevel="0" collapsed="false">
      <c r="A763" s="18"/>
      <c r="B763" s="19"/>
      <c r="C763" s="19"/>
      <c r="D763" s="19"/>
      <c r="E763" s="20"/>
    </row>
    <row r="764" customFormat="false" ht="15" hidden="false" customHeight="false" outlineLevel="0" collapsed="false">
      <c r="A764" s="14"/>
      <c r="B764" s="15"/>
      <c r="C764" s="15"/>
      <c r="D764" s="15"/>
      <c r="E764" s="16"/>
    </row>
    <row r="765" customFormat="false" ht="15" hidden="false" customHeight="false" outlineLevel="0" collapsed="false">
      <c r="A765" s="18"/>
      <c r="B765" s="19"/>
      <c r="C765" s="19"/>
      <c r="D765" s="19"/>
      <c r="E765" s="20"/>
    </row>
    <row r="766" customFormat="false" ht="15" hidden="false" customHeight="false" outlineLevel="0" collapsed="false">
      <c r="A766" s="14"/>
      <c r="B766" s="15"/>
      <c r="C766" s="15"/>
      <c r="D766" s="15"/>
      <c r="E766" s="16"/>
    </row>
    <row r="767" customFormat="false" ht="15" hidden="false" customHeight="false" outlineLevel="0" collapsed="false">
      <c r="A767" s="18"/>
      <c r="B767" s="19"/>
      <c r="C767" s="19"/>
      <c r="D767" s="19"/>
      <c r="E767" s="20"/>
    </row>
    <row r="768" customFormat="false" ht="15" hidden="false" customHeight="false" outlineLevel="0" collapsed="false">
      <c r="A768" s="14"/>
      <c r="B768" s="15"/>
      <c r="C768" s="15"/>
      <c r="D768" s="15"/>
      <c r="E768" s="16"/>
    </row>
    <row r="769" customFormat="false" ht="15" hidden="false" customHeight="false" outlineLevel="0" collapsed="false">
      <c r="A769" s="18"/>
      <c r="B769" s="19"/>
      <c r="C769" s="19"/>
      <c r="D769" s="19"/>
      <c r="E769" s="20"/>
    </row>
    <row r="770" customFormat="false" ht="15" hidden="false" customHeight="false" outlineLevel="0" collapsed="false">
      <c r="A770" s="14"/>
      <c r="B770" s="15"/>
      <c r="C770" s="15"/>
      <c r="D770" s="15"/>
      <c r="E770" s="16"/>
    </row>
    <row r="771" customFormat="false" ht="15" hidden="false" customHeight="false" outlineLevel="0" collapsed="false">
      <c r="A771" s="18"/>
      <c r="B771" s="19"/>
      <c r="C771" s="19"/>
      <c r="D771" s="19"/>
      <c r="E771" s="20"/>
    </row>
    <row r="772" customFormat="false" ht="15" hidden="false" customHeight="false" outlineLevel="0" collapsed="false">
      <c r="A772" s="14"/>
      <c r="B772" s="15"/>
      <c r="C772" s="15"/>
      <c r="D772" s="15"/>
      <c r="E772" s="16"/>
    </row>
    <row r="773" customFormat="false" ht="15" hidden="false" customHeight="false" outlineLevel="0" collapsed="false">
      <c r="A773" s="18"/>
      <c r="B773" s="19"/>
      <c r="C773" s="19"/>
      <c r="D773" s="19"/>
      <c r="E773" s="20"/>
    </row>
    <row r="774" customFormat="false" ht="15" hidden="false" customHeight="false" outlineLevel="0" collapsed="false">
      <c r="A774" s="14"/>
      <c r="B774" s="15"/>
      <c r="C774" s="15"/>
      <c r="D774" s="15"/>
      <c r="E774" s="16"/>
    </row>
    <row r="775" customFormat="false" ht="15" hidden="false" customHeight="false" outlineLevel="0" collapsed="false">
      <c r="A775" s="18"/>
      <c r="B775" s="19"/>
      <c r="C775" s="19"/>
      <c r="D775" s="19"/>
      <c r="E775" s="20"/>
    </row>
    <row r="776" customFormat="false" ht="15" hidden="false" customHeight="false" outlineLevel="0" collapsed="false">
      <c r="A776" s="14"/>
      <c r="B776" s="15"/>
      <c r="C776" s="15"/>
      <c r="D776" s="15"/>
      <c r="E776" s="16"/>
    </row>
    <row r="777" customFormat="false" ht="15" hidden="false" customHeight="false" outlineLevel="0" collapsed="false">
      <c r="A777" s="18"/>
      <c r="B777" s="19"/>
      <c r="C777" s="19"/>
      <c r="D777" s="19"/>
      <c r="E777" s="20"/>
    </row>
    <row r="778" customFormat="false" ht="15" hidden="false" customHeight="false" outlineLevel="0" collapsed="false">
      <c r="A778" s="14"/>
      <c r="B778" s="15"/>
      <c r="C778" s="15"/>
      <c r="D778" s="15"/>
      <c r="E778" s="16"/>
    </row>
    <row r="779" customFormat="false" ht="15" hidden="false" customHeight="false" outlineLevel="0" collapsed="false">
      <c r="A779" s="18"/>
      <c r="B779" s="19"/>
      <c r="C779" s="19"/>
      <c r="D779" s="19"/>
      <c r="E779" s="20"/>
    </row>
    <row r="780" customFormat="false" ht="15" hidden="false" customHeight="false" outlineLevel="0" collapsed="false">
      <c r="A780" s="14"/>
      <c r="B780" s="15"/>
      <c r="C780" s="15"/>
      <c r="D780" s="15"/>
      <c r="E780" s="16"/>
    </row>
    <row r="781" customFormat="false" ht="15" hidden="false" customHeight="false" outlineLevel="0" collapsed="false">
      <c r="A781" s="18"/>
      <c r="B781" s="19"/>
      <c r="C781" s="19"/>
      <c r="D781" s="19"/>
      <c r="E781" s="20"/>
    </row>
    <row r="782" customFormat="false" ht="15" hidden="false" customHeight="false" outlineLevel="0" collapsed="false">
      <c r="A782" s="14"/>
      <c r="B782" s="15"/>
      <c r="C782" s="15"/>
      <c r="D782" s="15"/>
      <c r="E782" s="16"/>
    </row>
    <row r="783" customFormat="false" ht="15" hidden="false" customHeight="false" outlineLevel="0" collapsed="false">
      <c r="A783" s="18"/>
      <c r="B783" s="19"/>
      <c r="C783" s="19"/>
      <c r="D783" s="19"/>
      <c r="E783" s="20"/>
    </row>
    <row r="784" customFormat="false" ht="15" hidden="false" customHeight="false" outlineLevel="0" collapsed="false">
      <c r="A784" s="14"/>
      <c r="B784" s="15"/>
      <c r="C784" s="15"/>
      <c r="D784" s="15"/>
      <c r="E784" s="16"/>
    </row>
    <row r="785" customFormat="false" ht="15" hidden="false" customHeight="false" outlineLevel="0" collapsed="false">
      <c r="A785" s="18"/>
      <c r="B785" s="19"/>
      <c r="C785" s="19"/>
      <c r="D785" s="19"/>
      <c r="E785" s="20"/>
    </row>
    <row r="786" customFormat="false" ht="15" hidden="false" customHeight="false" outlineLevel="0" collapsed="false">
      <c r="A786" s="14"/>
      <c r="B786" s="15"/>
      <c r="C786" s="15"/>
      <c r="D786" s="15"/>
      <c r="E786" s="16"/>
    </row>
    <row r="787" customFormat="false" ht="15" hidden="false" customHeight="false" outlineLevel="0" collapsed="false">
      <c r="A787" s="18"/>
      <c r="B787" s="19"/>
      <c r="C787" s="19"/>
      <c r="D787" s="19"/>
      <c r="E787" s="20"/>
    </row>
    <row r="788" customFormat="false" ht="15" hidden="false" customHeight="false" outlineLevel="0" collapsed="false">
      <c r="A788" s="14"/>
      <c r="B788" s="15"/>
      <c r="C788" s="15"/>
      <c r="D788" s="15"/>
      <c r="E788" s="16"/>
    </row>
    <row r="789" customFormat="false" ht="15" hidden="false" customHeight="false" outlineLevel="0" collapsed="false">
      <c r="A789" s="18"/>
      <c r="B789" s="19"/>
      <c r="C789" s="19"/>
      <c r="D789" s="19"/>
      <c r="E789" s="20"/>
    </row>
    <row r="790" customFormat="false" ht="15" hidden="false" customHeight="false" outlineLevel="0" collapsed="false">
      <c r="A790" s="14"/>
      <c r="B790" s="15"/>
      <c r="C790" s="15"/>
      <c r="D790" s="15"/>
      <c r="E790" s="16"/>
    </row>
    <row r="791" customFormat="false" ht="15" hidden="false" customHeight="false" outlineLevel="0" collapsed="false">
      <c r="A791" s="18"/>
      <c r="B791" s="19"/>
      <c r="C791" s="19"/>
      <c r="D791" s="19"/>
      <c r="E791" s="20"/>
    </row>
    <row r="792" customFormat="false" ht="15" hidden="false" customHeight="false" outlineLevel="0" collapsed="false">
      <c r="A792" s="14"/>
      <c r="B792" s="15"/>
      <c r="C792" s="15"/>
      <c r="D792" s="15"/>
      <c r="E792" s="16"/>
    </row>
    <row r="793" customFormat="false" ht="15" hidden="false" customHeight="false" outlineLevel="0" collapsed="false">
      <c r="A793" s="18"/>
      <c r="B793" s="19"/>
      <c r="C793" s="19"/>
      <c r="D793" s="19"/>
      <c r="E793" s="20"/>
    </row>
    <row r="794" customFormat="false" ht="15" hidden="false" customHeight="false" outlineLevel="0" collapsed="false">
      <c r="A794" s="14"/>
      <c r="B794" s="15"/>
      <c r="C794" s="15"/>
      <c r="D794" s="15"/>
      <c r="E794" s="16"/>
    </row>
    <row r="795" customFormat="false" ht="15" hidden="false" customHeight="false" outlineLevel="0" collapsed="false">
      <c r="A795" s="18"/>
      <c r="B795" s="19"/>
      <c r="C795" s="19"/>
      <c r="D795" s="19"/>
      <c r="E795" s="20"/>
    </row>
    <row r="796" customFormat="false" ht="15" hidden="false" customHeight="false" outlineLevel="0" collapsed="false">
      <c r="A796" s="14"/>
      <c r="B796" s="15"/>
      <c r="C796" s="15"/>
      <c r="D796" s="15"/>
      <c r="E796" s="16"/>
    </row>
    <row r="797" customFormat="false" ht="15" hidden="false" customHeight="false" outlineLevel="0" collapsed="false">
      <c r="A797" s="18"/>
      <c r="B797" s="19"/>
      <c r="C797" s="19"/>
      <c r="D797" s="19"/>
      <c r="E797" s="20"/>
    </row>
    <row r="798" customFormat="false" ht="15" hidden="false" customHeight="false" outlineLevel="0" collapsed="false">
      <c r="A798" s="14"/>
      <c r="B798" s="15"/>
      <c r="C798" s="15"/>
      <c r="D798" s="15"/>
      <c r="E798" s="16"/>
    </row>
    <row r="799" customFormat="false" ht="15" hidden="false" customHeight="false" outlineLevel="0" collapsed="false">
      <c r="A799" s="18"/>
      <c r="B799" s="19"/>
      <c r="C799" s="19"/>
      <c r="D799" s="19"/>
      <c r="E799" s="20"/>
    </row>
    <row r="800" customFormat="false" ht="15" hidden="false" customHeight="false" outlineLevel="0" collapsed="false">
      <c r="A800" s="14"/>
      <c r="B800" s="15"/>
      <c r="C800" s="15"/>
      <c r="D800" s="15"/>
      <c r="E800" s="16"/>
    </row>
    <row r="801" customFormat="false" ht="15" hidden="false" customHeight="false" outlineLevel="0" collapsed="false">
      <c r="A801" s="18"/>
      <c r="B801" s="19"/>
      <c r="C801" s="19"/>
      <c r="D801" s="19"/>
      <c r="E801" s="20"/>
    </row>
    <row r="802" customFormat="false" ht="15" hidden="false" customHeight="false" outlineLevel="0" collapsed="false">
      <c r="A802" s="14"/>
      <c r="B802" s="15"/>
      <c r="C802" s="15"/>
      <c r="D802" s="15"/>
      <c r="E802" s="16"/>
    </row>
    <row r="803" customFormat="false" ht="15" hidden="false" customHeight="false" outlineLevel="0" collapsed="false">
      <c r="A803" s="18"/>
      <c r="B803" s="19"/>
      <c r="C803" s="19"/>
      <c r="D803" s="19"/>
      <c r="E803" s="20"/>
    </row>
    <row r="804" customFormat="false" ht="15" hidden="false" customHeight="false" outlineLevel="0" collapsed="false">
      <c r="A804" s="14"/>
      <c r="B804" s="15"/>
      <c r="C804" s="15"/>
      <c r="D804" s="15"/>
      <c r="E804" s="16"/>
    </row>
    <row r="805" customFormat="false" ht="15" hidden="false" customHeight="false" outlineLevel="0" collapsed="false">
      <c r="A805" s="18"/>
      <c r="B805" s="19"/>
      <c r="C805" s="19"/>
      <c r="D805" s="19"/>
      <c r="E805" s="20"/>
    </row>
    <row r="806" customFormat="false" ht="15" hidden="false" customHeight="false" outlineLevel="0" collapsed="false">
      <c r="A806" s="14"/>
      <c r="B806" s="15"/>
      <c r="C806" s="15"/>
      <c r="D806" s="15"/>
      <c r="E806" s="16"/>
    </row>
    <row r="807" customFormat="false" ht="15" hidden="false" customHeight="false" outlineLevel="0" collapsed="false">
      <c r="A807" s="18"/>
      <c r="B807" s="19"/>
      <c r="C807" s="19"/>
      <c r="D807" s="19"/>
      <c r="E807" s="20"/>
    </row>
    <row r="808" customFormat="false" ht="15" hidden="false" customHeight="false" outlineLevel="0" collapsed="false">
      <c r="A808" s="14"/>
      <c r="B808" s="15"/>
      <c r="C808" s="15"/>
      <c r="D808" s="15"/>
      <c r="E808" s="16"/>
    </row>
    <row r="809" customFormat="false" ht="15" hidden="false" customHeight="false" outlineLevel="0" collapsed="false">
      <c r="A809" s="18"/>
      <c r="B809" s="19"/>
      <c r="C809" s="19"/>
      <c r="D809" s="19"/>
      <c r="E809" s="20"/>
    </row>
    <row r="810" customFormat="false" ht="15" hidden="false" customHeight="false" outlineLevel="0" collapsed="false">
      <c r="A810" s="14"/>
      <c r="B810" s="15"/>
      <c r="C810" s="15"/>
      <c r="D810" s="15"/>
      <c r="E810" s="16"/>
    </row>
    <row r="811" customFormat="false" ht="15" hidden="false" customHeight="false" outlineLevel="0" collapsed="false">
      <c r="A811" s="18"/>
      <c r="B811" s="19"/>
      <c r="C811" s="19"/>
      <c r="D811" s="19"/>
      <c r="E811" s="20"/>
    </row>
    <row r="812" customFormat="false" ht="15" hidden="false" customHeight="false" outlineLevel="0" collapsed="false">
      <c r="A812" s="14"/>
      <c r="B812" s="15"/>
      <c r="C812" s="15"/>
      <c r="D812" s="15"/>
      <c r="E812" s="16"/>
    </row>
    <row r="813" customFormat="false" ht="15" hidden="false" customHeight="false" outlineLevel="0" collapsed="false">
      <c r="A813" s="18"/>
      <c r="B813" s="19"/>
      <c r="C813" s="19"/>
      <c r="D813" s="19"/>
      <c r="E813" s="20"/>
    </row>
    <row r="814" customFormat="false" ht="15" hidden="false" customHeight="false" outlineLevel="0" collapsed="false">
      <c r="A814" s="14"/>
      <c r="B814" s="15"/>
      <c r="C814" s="15"/>
      <c r="D814" s="15"/>
      <c r="E814" s="16"/>
    </row>
    <row r="815" customFormat="false" ht="15" hidden="false" customHeight="false" outlineLevel="0" collapsed="false">
      <c r="A815" s="18"/>
      <c r="B815" s="19"/>
      <c r="C815" s="19"/>
      <c r="D815" s="19"/>
      <c r="E815" s="20"/>
    </row>
    <row r="816" customFormat="false" ht="15" hidden="false" customHeight="false" outlineLevel="0" collapsed="false">
      <c r="A816" s="14"/>
      <c r="B816" s="15"/>
      <c r="C816" s="15"/>
      <c r="D816" s="15"/>
      <c r="E816" s="16"/>
    </row>
    <row r="817" customFormat="false" ht="15" hidden="false" customHeight="false" outlineLevel="0" collapsed="false">
      <c r="A817" s="18"/>
      <c r="B817" s="19"/>
      <c r="C817" s="19"/>
      <c r="D817" s="19"/>
      <c r="E817" s="20"/>
    </row>
    <row r="818" customFormat="false" ht="15" hidden="false" customHeight="false" outlineLevel="0" collapsed="false">
      <c r="A818" s="14"/>
      <c r="B818" s="15"/>
      <c r="C818" s="15"/>
      <c r="D818" s="15"/>
      <c r="E818" s="16"/>
    </row>
    <row r="819" customFormat="false" ht="15" hidden="false" customHeight="false" outlineLevel="0" collapsed="false">
      <c r="A819" s="18"/>
      <c r="B819" s="19"/>
      <c r="C819" s="19"/>
      <c r="D819" s="19"/>
      <c r="E819" s="20"/>
    </row>
    <row r="820" customFormat="false" ht="15" hidden="false" customHeight="false" outlineLevel="0" collapsed="false">
      <c r="A820" s="14"/>
      <c r="B820" s="15"/>
      <c r="C820" s="15"/>
      <c r="D820" s="15"/>
      <c r="E820" s="16"/>
    </row>
    <row r="821" customFormat="false" ht="15" hidden="false" customHeight="false" outlineLevel="0" collapsed="false">
      <c r="A821" s="18"/>
      <c r="B821" s="19"/>
      <c r="C821" s="19"/>
      <c r="D821" s="19"/>
      <c r="E821" s="20"/>
    </row>
    <row r="822" customFormat="false" ht="15" hidden="false" customHeight="false" outlineLevel="0" collapsed="false">
      <c r="A822" s="14"/>
      <c r="B822" s="15"/>
      <c r="C822" s="15"/>
      <c r="D822" s="15"/>
      <c r="E822" s="16"/>
    </row>
    <row r="823" customFormat="false" ht="15" hidden="false" customHeight="false" outlineLevel="0" collapsed="false">
      <c r="A823" s="18"/>
      <c r="B823" s="19"/>
      <c r="C823" s="19"/>
      <c r="D823" s="19"/>
      <c r="E823" s="20"/>
    </row>
    <row r="824" customFormat="false" ht="15" hidden="false" customHeight="false" outlineLevel="0" collapsed="false">
      <c r="A824" s="14"/>
      <c r="B824" s="15"/>
      <c r="C824" s="15"/>
      <c r="D824" s="15"/>
      <c r="E824" s="16"/>
    </row>
    <row r="825" customFormat="false" ht="15" hidden="false" customHeight="false" outlineLevel="0" collapsed="false">
      <c r="A825" s="18"/>
      <c r="B825" s="19"/>
      <c r="C825" s="19"/>
      <c r="D825" s="19"/>
      <c r="E825" s="20"/>
    </row>
    <row r="826" customFormat="false" ht="15" hidden="false" customHeight="false" outlineLevel="0" collapsed="false">
      <c r="A826" s="14"/>
      <c r="B826" s="15"/>
      <c r="C826" s="15"/>
      <c r="D826" s="15"/>
      <c r="E826" s="16"/>
    </row>
    <row r="827" customFormat="false" ht="15" hidden="false" customHeight="false" outlineLevel="0" collapsed="false">
      <c r="A827" s="18"/>
      <c r="B827" s="19"/>
      <c r="C827" s="19"/>
      <c r="D827" s="19"/>
      <c r="E827" s="20"/>
    </row>
    <row r="828" customFormat="false" ht="15" hidden="false" customHeight="false" outlineLevel="0" collapsed="false">
      <c r="A828" s="14"/>
      <c r="B828" s="15"/>
      <c r="C828" s="15"/>
      <c r="D828" s="15"/>
      <c r="E828" s="16"/>
    </row>
    <row r="829" customFormat="false" ht="15" hidden="false" customHeight="false" outlineLevel="0" collapsed="false">
      <c r="A829" s="18"/>
      <c r="B829" s="19"/>
      <c r="C829" s="19"/>
      <c r="D829" s="19"/>
      <c r="E829" s="20"/>
    </row>
    <row r="830" customFormat="false" ht="15" hidden="false" customHeight="false" outlineLevel="0" collapsed="false">
      <c r="A830" s="14"/>
      <c r="B830" s="15"/>
      <c r="C830" s="15"/>
      <c r="D830" s="15"/>
      <c r="E830" s="16"/>
    </row>
    <row r="831" customFormat="false" ht="15" hidden="false" customHeight="false" outlineLevel="0" collapsed="false">
      <c r="A831" s="18"/>
      <c r="B831" s="19"/>
      <c r="C831" s="19"/>
      <c r="D831" s="19"/>
      <c r="E831" s="20"/>
    </row>
    <row r="832" customFormat="false" ht="15" hidden="false" customHeight="false" outlineLevel="0" collapsed="false">
      <c r="A832" s="14"/>
      <c r="B832" s="15"/>
      <c r="C832" s="15"/>
      <c r="D832" s="15"/>
      <c r="E832" s="16"/>
    </row>
    <row r="833" customFormat="false" ht="15" hidden="false" customHeight="false" outlineLevel="0" collapsed="false">
      <c r="A833" s="18"/>
      <c r="B833" s="19"/>
      <c r="C833" s="19"/>
      <c r="D833" s="19"/>
      <c r="E833" s="20"/>
    </row>
    <row r="834" customFormat="false" ht="15" hidden="false" customHeight="false" outlineLevel="0" collapsed="false">
      <c r="A834" s="14"/>
      <c r="B834" s="15"/>
      <c r="C834" s="15"/>
      <c r="D834" s="15"/>
      <c r="E834" s="16"/>
    </row>
    <row r="835" customFormat="false" ht="15" hidden="false" customHeight="false" outlineLevel="0" collapsed="false">
      <c r="A835" s="18"/>
      <c r="B835" s="19"/>
      <c r="C835" s="19"/>
      <c r="D835" s="19"/>
      <c r="E835" s="20"/>
    </row>
    <row r="836" customFormat="false" ht="15" hidden="false" customHeight="false" outlineLevel="0" collapsed="false">
      <c r="A836" s="14"/>
      <c r="B836" s="15"/>
      <c r="C836" s="15"/>
      <c r="D836" s="15"/>
      <c r="E836" s="16"/>
    </row>
    <row r="837" customFormat="false" ht="15" hidden="false" customHeight="false" outlineLevel="0" collapsed="false">
      <c r="A837" s="18"/>
      <c r="B837" s="19"/>
      <c r="C837" s="19"/>
      <c r="D837" s="19"/>
      <c r="E837" s="20"/>
    </row>
    <row r="838" customFormat="false" ht="15" hidden="false" customHeight="false" outlineLevel="0" collapsed="false">
      <c r="A838" s="14"/>
      <c r="B838" s="15"/>
      <c r="C838" s="15"/>
      <c r="D838" s="15"/>
      <c r="E838" s="16"/>
    </row>
    <row r="839" customFormat="false" ht="15" hidden="false" customHeight="false" outlineLevel="0" collapsed="false">
      <c r="A839" s="18"/>
      <c r="B839" s="19"/>
      <c r="C839" s="19"/>
      <c r="D839" s="19"/>
      <c r="E839" s="20"/>
    </row>
    <row r="840" customFormat="false" ht="15" hidden="false" customHeight="false" outlineLevel="0" collapsed="false">
      <c r="A840" s="14"/>
      <c r="B840" s="15"/>
      <c r="C840" s="15"/>
      <c r="D840" s="15"/>
      <c r="E840" s="16"/>
    </row>
    <row r="841" customFormat="false" ht="15" hidden="false" customHeight="false" outlineLevel="0" collapsed="false">
      <c r="A841" s="18"/>
      <c r="B841" s="19"/>
      <c r="C841" s="19"/>
      <c r="D841" s="19"/>
      <c r="E841" s="20"/>
    </row>
    <row r="842" customFormat="false" ht="15" hidden="false" customHeight="false" outlineLevel="0" collapsed="false">
      <c r="A842" s="14"/>
      <c r="B842" s="15"/>
      <c r="C842" s="15"/>
      <c r="D842" s="15"/>
      <c r="E842" s="16"/>
    </row>
    <row r="843" customFormat="false" ht="15" hidden="false" customHeight="false" outlineLevel="0" collapsed="false">
      <c r="A843" s="18"/>
      <c r="B843" s="19"/>
      <c r="C843" s="19"/>
      <c r="D843" s="19"/>
      <c r="E843" s="20"/>
    </row>
    <row r="844" customFormat="false" ht="15" hidden="false" customHeight="false" outlineLevel="0" collapsed="false">
      <c r="A844" s="14"/>
      <c r="B844" s="15"/>
      <c r="C844" s="15"/>
      <c r="D844" s="15"/>
      <c r="E844" s="16"/>
    </row>
    <row r="845" customFormat="false" ht="15" hidden="false" customHeight="false" outlineLevel="0" collapsed="false">
      <c r="A845" s="18"/>
      <c r="B845" s="19"/>
      <c r="C845" s="19"/>
      <c r="D845" s="19"/>
      <c r="E845" s="20"/>
    </row>
    <row r="846" customFormat="false" ht="15" hidden="false" customHeight="false" outlineLevel="0" collapsed="false">
      <c r="A846" s="14"/>
      <c r="B846" s="15"/>
      <c r="C846" s="15"/>
      <c r="D846" s="15"/>
      <c r="E846" s="16"/>
    </row>
    <row r="847" customFormat="false" ht="15" hidden="false" customHeight="false" outlineLevel="0" collapsed="false">
      <c r="A847" s="18"/>
      <c r="B847" s="19"/>
      <c r="C847" s="19"/>
      <c r="D847" s="19"/>
      <c r="E847" s="20"/>
    </row>
    <row r="848" customFormat="false" ht="15" hidden="false" customHeight="false" outlineLevel="0" collapsed="false">
      <c r="A848" s="14"/>
      <c r="B848" s="15"/>
      <c r="C848" s="15"/>
      <c r="D848" s="15"/>
      <c r="E848" s="16"/>
    </row>
    <row r="849" customFormat="false" ht="15" hidden="false" customHeight="false" outlineLevel="0" collapsed="false">
      <c r="A849" s="18"/>
      <c r="B849" s="19"/>
      <c r="C849" s="19"/>
      <c r="D849" s="19"/>
      <c r="E849" s="20"/>
    </row>
    <row r="850" customFormat="false" ht="15" hidden="false" customHeight="false" outlineLevel="0" collapsed="false">
      <c r="A850" s="14"/>
      <c r="B850" s="15"/>
      <c r="C850" s="15"/>
      <c r="D850" s="15"/>
      <c r="E850" s="16"/>
    </row>
    <row r="851" customFormat="false" ht="15" hidden="false" customHeight="false" outlineLevel="0" collapsed="false">
      <c r="A851" s="18"/>
      <c r="B851" s="19"/>
      <c r="C851" s="19"/>
      <c r="D851" s="19"/>
      <c r="E851" s="20"/>
    </row>
    <row r="852" customFormat="false" ht="15" hidden="false" customHeight="false" outlineLevel="0" collapsed="false">
      <c r="A852" s="14"/>
      <c r="B852" s="15"/>
      <c r="C852" s="15"/>
      <c r="D852" s="15"/>
      <c r="E852" s="16"/>
    </row>
    <row r="853" customFormat="false" ht="15" hidden="false" customHeight="false" outlineLevel="0" collapsed="false">
      <c r="A853" s="18"/>
      <c r="B853" s="19"/>
      <c r="C853" s="19"/>
      <c r="D853" s="19"/>
      <c r="E853" s="20"/>
    </row>
    <row r="854" customFormat="false" ht="15" hidden="false" customHeight="false" outlineLevel="0" collapsed="false">
      <c r="A854" s="14"/>
      <c r="B854" s="15"/>
      <c r="C854" s="15"/>
      <c r="D854" s="15"/>
      <c r="E854" s="16"/>
    </row>
    <row r="855" customFormat="false" ht="15" hidden="false" customHeight="false" outlineLevel="0" collapsed="false">
      <c r="A855" s="18"/>
      <c r="B855" s="19"/>
      <c r="C855" s="19"/>
      <c r="D855" s="19"/>
      <c r="E855" s="20"/>
    </row>
    <row r="856" customFormat="false" ht="15" hidden="false" customHeight="false" outlineLevel="0" collapsed="false">
      <c r="A856" s="14"/>
      <c r="B856" s="15"/>
      <c r="C856" s="15"/>
      <c r="D856" s="15"/>
      <c r="E856" s="16"/>
    </row>
    <row r="857" customFormat="false" ht="15" hidden="false" customHeight="false" outlineLevel="0" collapsed="false">
      <c r="A857" s="18"/>
      <c r="B857" s="19"/>
      <c r="C857" s="19"/>
      <c r="D857" s="19"/>
      <c r="E857" s="20"/>
    </row>
    <row r="858" customFormat="false" ht="15" hidden="false" customHeight="false" outlineLevel="0" collapsed="false">
      <c r="A858" s="14"/>
      <c r="B858" s="15"/>
      <c r="C858" s="15"/>
      <c r="D858" s="15"/>
      <c r="E858" s="16"/>
    </row>
    <row r="859" customFormat="false" ht="15" hidden="false" customHeight="false" outlineLevel="0" collapsed="false">
      <c r="A859" s="18"/>
      <c r="B859" s="19"/>
      <c r="C859" s="19"/>
      <c r="D859" s="19"/>
      <c r="E859" s="20"/>
    </row>
    <row r="860" customFormat="false" ht="15" hidden="false" customHeight="false" outlineLevel="0" collapsed="false">
      <c r="A860" s="14"/>
      <c r="B860" s="15"/>
      <c r="C860" s="15"/>
      <c r="D860" s="15"/>
      <c r="E860" s="16"/>
    </row>
    <row r="861" customFormat="false" ht="15" hidden="false" customHeight="false" outlineLevel="0" collapsed="false">
      <c r="A861" s="18"/>
      <c r="B861" s="19"/>
      <c r="C861" s="19"/>
      <c r="D861" s="19"/>
      <c r="E861" s="20"/>
    </row>
    <row r="862" customFormat="false" ht="15" hidden="false" customHeight="false" outlineLevel="0" collapsed="false">
      <c r="A862" s="14"/>
      <c r="B862" s="15"/>
      <c r="C862" s="15"/>
      <c r="D862" s="15"/>
      <c r="E862" s="16"/>
    </row>
    <row r="863" customFormat="false" ht="15" hidden="false" customHeight="false" outlineLevel="0" collapsed="false">
      <c r="A863" s="18"/>
      <c r="B863" s="19"/>
      <c r="C863" s="19"/>
      <c r="D863" s="19"/>
      <c r="E863" s="20"/>
    </row>
    <row r="864" customFormat="false" ht="15" hidden="false" customHeight="false" outlineLevel="0" collapsed="false">
      <c r="A864" s="14"/>
      <c r="B864" s="15"/>
      <c r="C864" s="15"/>
      <c r="D864" s="15"/>
      <c r="E864" s="16"/>
    </row>
    <row r="865" customFormat="false" ht="15" hidden="false" customHeight="false" outlineLevel="0" collapsed="false">
      <c r="A865" s="18"/>
      <c r="B865" s="19"/>
      <c r="C865" s="19"/>
      <c r="D865" s="19"/>
      <c r="E865" s="20"/>
    </row>
    <row r="866" customFormat="false" ht="15" hidden="false" customHeight="false" outlineLevel="0" collapsed="false">
      <c r="A866" s="14"/>
      <c r="B866" s="15"/>
      <c r="C866" s="15"/>
      <c r="D866" s="15"/>
      <c r="E866" s="16"/>
    </row>
    <row r="867" customFormat="false" ht="15" hidden="false" customHeight="false" outlineLevel="0" collapsed="false">
      <c r="A867" s="18"/>
      <c r="B867" s="19"/>
      <c r="C867" s="19"/>
      <c r="D867" s="19"/>
      <c r="E867" s="20"/>
    </row>
    <row r="868" customFormat="false" ht="15" hidden="false" customHeight="false" outlineLevel="0" collapsed="false">
      <c r="A868" s="14"/>
      <c r="B868" s="15"/>
      <c r="C868" s="15"/>
      <c r="D868" s="15"/>
      <c r="E868" s="16"/>
    </row>
    <row r="869" customFormat="false" ht="15" hidden="false" customHeight="false" outlineLevel="0" collapsed="false">
      <c r="A869" s="18"/>
      <c r="B869" s="19"/>
      <c r="C869" s="19"/>
      <c r="D869" s="19"/>
      <c r="E869" s="20"/>
    </row>
    <row r="870" customFormat="false" ht="15" hidden="false" customHeight="false" outlineLevel="0" collapsed="false">
      <c r="A870" s="14"/>
      <c r="B870" s="15"/>
      <c r="C870" s="15"/>
      <c r="D870" s="15"/>
      <c r="E870" s="16"/>
    </row>
    <row r="871" customFormat="false" ht="15" hidden="false" customHeight="false" outlineLevel="0" collapsed="false">
      <c r="A871" s="18"/>
      <c r="B871" s="19"/>
      <c r="C871" s="19"/>
      <c r="D871" s="19"/>
      <c r="E871" s="20"/>
    </row>
    <row r="872" customFormat="false" ht="15" hidden="false" customHeight="false" outlineLevel="0" collapsed="false">
      <c r="A872" s="14"/>
      <c r="B872" s="15"/>
      <c r="C872" s="15"/>
      <c r="D872" s="15"/>
      <c r="E872" s="16"/>
    </row>
    <row r="873" customFormat="false" ht="15" hidden="false" customHeight="false" outlineLevel="0" collapsed="false">
      <c r="A873" s="18"/>
      <c r="B873" s="19"/>
      <c r="C873" s="19"/>
      <c r="D873" s="19"/>
      <c r="E873" s="20"/>
    </row>
    <row r="874" customFormat="false" ht="15" hidden="false" customHeight="false" outlineLevel="0" collapsed="false">
      <c r="A874" s="14"/>
      <c r="B874" s="15"/>
      <c r="C874" s="15"/>
      <c r="D874" s="15"/>
      <c r="E874" s="16"/>
    </row>
    <row r="875" customFormat="false" ht="15" hidden="false" customHeight="false" outlineLevel="0" collapsed="false">
      <c r="A875" s="18"/>
      <c r="B875" s="19"/>
      <c r="C875" s="19"/>
      <c r="D875" s="19"/>
      <c r="E875" s="20"/>
    </row>
    <row r="876" customFormat="false" ht="15" hidden="false" customHeight="false" outlineLevel="0" collapsed="false">
      <c r="A876" s="14"/>
      <c r="B876" s="15"/>
      <c r="C876" s="15"/>
      <c r="D876" s="15"/>
      <c r="E876" s="16"/>
    </row>
    <row r="877" customFormat="false" ht="15" hidden="false" customHeight="false" outlineLevel="0" collapsed="false">
      <c r="A877" s="18"/>
      <c r="B877" s="19"/>
      <c r="C877" s="19"/>
      <c r="D877" s="19"/>
      <c r="E877" s="20"/>
    </row>
    <row r="878" customFormat="false" ht="15" hidden="false" customHeight="false" outlineLevel="0" collapsed="false">
      <c r="A878" s="14"/>
      <c r="B878" s="15"/>
      <c r="C878" s="15"/>
      <c r="D878" s="15"/>
      <c r="E878" s="16"/>
    </row>
    <row r="879" customFormat="false" ht="15" hidden="false" customHeight="false" outlineLevel="0" collapsed="false">
      <c r="A879" s="18"/>
      <c r="B879" s="19"/>
      <c r="C879" s="19"/>
      <c r="D879" s="19"/>
      <c r="E879" s="20"/>
    </row>
    <row r="880" customFormat="false" ht="15" hidden="false" customHeight="false" outlineLevel="0" collapsed="false">
      <c r="A880" s="14"/>
      <c r="B880" s="15"/>
      <c r="C880" s="15"/>
      <c r="D880" s="15"/>
      <c r="E880" s="16"/>
    </row>
    <row r="881" customFormat="false" ht="15" hidden="false" customHeight="false" outlineLevel="0" collapsed="false">
      <c r="A881" s="18"/>
      <c r="B881" s="19"/>
      <c r="C881" s="19"/>
      <c r="D881" s="19"/>
      <c r="E881" s="20"/>
    </row>
    <row r="882" customFormat="false" ht="15" hidden="false" customHeight="false" outlineLevel="0" collapsed="false">
      <c r="A882" s="14"/>
      <c r="B882" s="15"/>
      <c r="C882" s="15"/>
      <c r="D882" s="15"/>
      <c r="E882" s="16"/>
    </row>
    <row r="883" customFormat="false" ht="15" hidden="false" customHeight="false" outlineLevel="0" collapsed="false">
      <c r="A883" s="18"/>
      <c r="B883" s="19"/>
      <c r="C883" s="19"/>
      <c r="D883" s="19"/>
      <c r="E883" s="20"/>
    </row>
    <row r="884" customFormat="false" ht="15" hidden="false" customHeight="false" outlineLevel="0" collapsed="false">
      <c r="A884" s="14"/>
      <c r="B884" s="15"/>
      <c r="C884" s="15"/>
      <c r="D884" s="15"/>
      <c r="E884" s="16"/>
    </row>
    <row r="885" customFormat="false" ht="15" hidden="false" customHeight="false" outlineLevel="0" collapsed="false">
      <c r="A885" s="18"/>
      <c r="B885" s="19"/>
      <c r="C885" s="19"/>
      <c r="D885" s="19"/>
      <c r="E885" s="20"/>
    </row>
    <row r="886" customFormat="false" ht="15" hidden="false" customHeight="false" outlineLevel="0" collapsed="false">
      <c r="A886" s="14"/>
      <c r="B886" s="15"/>
      <c r="C886" s="15"/>
      <c r="D886" s="15"/>
      <c r="E886" s="16"/>
    </row>
    <row r="887" customFormat="false" ht="15" hidden="false" customHeight="false" outlineLevel="0" collapsed="false">
      <c r="A887" s="18"/>
      <c r="B887" s="19"/>
      <c r="C887" s="19"/>
      <c r="D887" s="19"/>
      <c r="E887" s="20"/>
    </row>
    <row r="888" customFormat="false" ht="15" hidden="false" customHeight="false" outlineLevel="0" collapsed="false">
      <c r="A888" s="14"/>
      <c r="B888" s="15"/>
      <c r="C888" s="15"/>
      <c r="D888" s="15"/>
      <c r="E888" s="16"/>
    </row>
    <row r="889" customFormat="false" ht="15" hidden="false" customHeight="false" outlineLevel="0" collapsed="false">
      <c r="A889" s="18"/>
      <c r="B889" s="19"/>
      <c r="C889" s="19"/>
      <c r="D889" s="19"/>
      <c r="E889" s="20"/>
    </row>
    <row r="890" customFormat="false" ht="15" hidden="false" customHeight="false" outlineLevel="0" collapsed="false">
      <c r="A890" s="14"/>
      <c r="B890" s="15"/>
      <c r="C890" s="15"/>
      <c r="D890" s="15"/>
      <c r="E890" s="16"/>
    </row>
    <row r="891" customFormat="false" ht="15" hidden="false" customHeight="false" outlineLevel="0" collapsed="false">
      <c r="A891" s="18"/>
      <c r="B891" s="19"/>
      <c r="C891" s="19"/>
      <c r="D891" s="19"/>
      <c r="E891" s="20"/>
    </row>
    <row r="892" customFormat="false" ht="15" hidden="false" customHeight="false" outlineLevel="0" collapsed="false">
      <c r="A892" s="14"/>
      <c r="B892" s="15"/>
      <c r="C892" s="15"/>
      <c r="D892" s="15"/>
      <c r="E892" s="16"/>
    </row>
    <row r="893" customFormat="false" ht="15" hidden="false" customHeight="false" outlineLevel="0" collapsed="false">
      <c r="A893" s="18"/>
      <c r="B893" s="19"/>
      <c r="C893" s="19"/>
      <c r="D893" s="19"/>
      <c r="E893" s="20"/>
    </row>
    <row r="894" customFormat="false" ht="15" hidden="false" customHeight="false" outlineLevel="0" collapsed="false">
      <c r="A894" s="14"/>
      <c r="B894" s="15"/>
      <c r="C894" s="15"/>
      <c r="D894" s="15"/>
      <c r="E894" s="16"/>
    </row>
    <row r="895" customFormat="false" ht="15" hidden="false" customHeight="false" outlineLevel="0" collapsed="false">
      <c r="A895" s="18"/>
      <c r="B895" s="19"/>
      <c r="C895" s="19"/>
      <c r="D895" s="19"/>
      <c r="E895" s="20"/>
    </row>
    <row r="896" customFormat="false" ht="15" hidden="false" customHeight="false" outlineLevel="0" collapsed="false">
      <c r="A896" s="14"/>
      <c r="B896" s="15"/>
      <c r="C896" s="15"/>
      <c r="D896" s="15"/>
      <c r="E896" s="16"/>
    </row>
    <row r="897" customFormat="false" ht="15" hidden="false" customHeight="false" outlineLevel="0" collapsed="false">
      <c r="A897" s="18"/>
      <c r="B897" s="19"/>
      <c r="C897" s="19"/>
      <c r="D897" s="19"/>
      <c r="E897" s="20"/>
    </row>
    <row r="898" customFormat="false" ht="15" hidden="false" customHeight="false" outlineLevel="0" collapsed="false">
      <c r="A898" s="14"/>
      <c r="B898" s="15"/>
      <c r="C898" s="15"/>
      <c r="D898" s="15"/>
      <c r="E898" s="16"/>
    </row>
    <row r="899" customFormat="false" ht="15" hidden="false" customHeight="false" outlineLevel="0" collapsed="false">
      <c r="A899" s="18"/>
      <c r="B899" s="19"/>
      <c r="C899" s="19"/>
      <c r="D899" s="19"/>
      <c r="E899" s="20"/>
    </row>
    <row r="900" customFormat="false" ht="15" hidden="false" customHeight="false" outlineLevel="0" collapsed="false">
      <c r="A900" s="14"/>
      <c r="B900" s="15"/>
      <c r="C900" s="15"/>
      <c r="D900" s="15"/>
      <c r="E900" s="16"/>
    </row>
    <row r="901" customFormat="false" ht="15" hidden="false" customHeight="false" outlineLevel="0" collapsed="false">
      <c r="A901" s="18"/>
      <c r="B901" s="19"/>
      <c r="C901" s="19"/>
      <c r="D901" s="19"/>
      <c r="E901" s="20"/>
    </row>
    <row r="902" customFormat="false" ht="15" hidden="false" customHeight="false" outlineLevel="0" collapsed="false">
      <c r="A902" s="14"/>
      <c r="B902" s="15"/>
      <c r="C902" s="15"/>
      <c r="D902" s="15"/>
      <c r="E902" s="16"/>
    </row>
    <row r="903" customFormat="false" ht="15" hidden="false" customHeight="false" outlineLevel="0" collapsed="false">
      <c r="A903" s="18"/>
      <c r="B903" s="19"/>
      <c r="C903" s="19"/>
      <c r="D903" s="19"/>
      <c r="E903" s="20"/>
    </row>
    <row r="904" customFormat="false" ht="15" hidden="false" customHeight="false" outlineLevel="0" collapsed="false">
      <c r="A904" s="14"/>
      <c r="B904" s="15"/>
      <c r="C904" s="15"/>
      <c r="D904" s="15"/>
      <c r="E904" s="16"/>
    </row>
    <row r="905" customFormat="false" ht="15" hidden="false" customHeight="false" outlineLevel="0" collapsed="false">
      <c r="A905" s="18"/>
      <c r="B905" s="19"/>
      <c r="C905" s="19"/>
      <c r="D905" s="19"/>
      <c r="E905" s="20"/>
    </row>
    <row r="906" customFormat="false" ht="15" hidden="false" customHeight="false" outlineLevel="0" collapsed="false">
      <c r="A906" s="14"/>
      <c r="B906" s="15"/>
      <c r="C906" s="15"/>
      <c r="D906" s="15"/>
      <c r="E906" s="16"/>
    </row>
    <row r="907" customFormat="false" ht="15" hidden="false" customHeight="false" outlineLevel="0" collapsed="false">
      <c r="A907" s="18"/>
      <c r="B907" s="19"/>
      <c r="C907" s="19"/>
      <c r="D907" s="19"/>
      <c r="E907" s="20"/>
    </row>
    <row r="908" customFormat="false" ht="15" hidden="false" customHeight="false" outlineLevel="0" collapsed="false">
      <c r="A908" s="14"/>
      <c r="B908" s="15"/>
      <c r="C908" s="15"/>
      <c r="D908" s="15"/>
      <c r="E908" s="16"/>
    </row>
    <row r="909" customFormat="false" ht="15" hidden="false" customHeight="false" outlineLevel="0" collapsed="false">
      <c r="A909" s="18"/>
      <c r="B909" s="19"/>
      <c r="C909" s="19"/>
      <c r="D909" s="19"/>
      <c r="E909" s="20"/>
    </row>
    <row r="910" customFormat="false" ht="15" hidden="false" customHeight="false" outlineLevel="0" collapsed="false">
      <c r="A910" s="14"/>
      <c r="B910" s="15"/>
      <c r="C910" s="15"/>
      <c r="D910" s="15"/>
      <c r="E910" s="16"/>
    </row>
    <row r="911" customFormat="false" ht="15" hidden="false" customHeight="false" outlineLevel="0" collapsed="false">
      <c r="A911" s="18"/>
      <c r="B911" s="19"/>
      <c r="C911" s="19"/>
      <c r="D911" s="19"/>
      <c r="E911" s="20"/>
    </row>
    <row r="912" customFormat="false" ht="15" hidden="false" customHeight="false" outlineLevel="0" collapsed="false">
      <c r="A912" s="14"/>
      <c r="B912" s="15"/>
      <c r="C912" s="15"/>
      <c r="D912" s="15"/>
      <c r="E912" s="16"/>
    </row>
    <row r="913" customFormat="false" ht="15" hidden="false" customHeight="false" outlineLevel="0" collapsed="false">
      <c r="A913" s="18"/>
      <c r="B913" s="19"/>
      <c r="C913" s="19"/>
      <c r="D913" s="19"/>
      <c r="E913" s="20"/>
    </row>
    <row r="914" customFormat="false" ht="15" hidden="false" customHeight="false" outlineLevel="0" collapsed="false">
      <c r="A914" s="14"/>
      <c r="B914" s="15"/>
      <c r="C914" s="15"/>
      <c r="D914" s="15"/>
      <c r="E914" s="16"/>
    </row>
    <row r="915" customFormat="false" ht="15" hidden="false" customHeight="false" outlineLevel="0" collapsed="false">
      <c r="A915" s="18"/>
      <c r="B915" s="19"/>
      <c r="C915" s="19"/>
      <c r="D915" s="19"/>
      <c r="E915" s="20"/>
    </row>
    <row r="916" customFormat="false" ht="15" hidden="false" customHeight="false" outlineLevel="0" collapsed="false">
      <c r="A916" s="14"/>
      <c r="B916" s="15"/>
      <c r="C916" s="15"/>
      <c r="D916" s="15"/>
      <c r="E916" s="16"/>
    </row>
    <row r="917" customFormat="false" ht="15" hidden="false" customHeight="false" outlineLevel="0" collapsed="false">
      <c r="A917" s="18"/>
      <c r="B917" s="19"/>
      <c r="C917" s="19"/>
      <c r="D917" s="19"/>
      <c r="E917" s="20"/>
    </row>
    <row r="918" customFormat="false" ht="15" hidden="false" customHeight="false" outlineLevel="0" collapsed="false">
      <c r="A918" s="14"/>
      <c r="B918" s="15"/>
      <c r="C918" s="15"/>
      <c r="D918" s="15"/>
      <c r="E918" s="16"/>
    </row>
    <row r="919" customFormat="false" ht="15" hidden="false" customHeight="false" outlineLevel="0" collapsed="false">
      <c r="A919" s="18"/>
      <c r="B919" s="19"/>
      <c r="C919" s="19"/>
      <c r="D919" s="19"/>
      <c r="E919" s="20"/>
    </row>
    <row r="920" customFormat="false" ht="15" hidden="false" customHeight="false" outlineLevel="0" collapsed="false">
      <c r="A920" s="14"/>
      <c r="B920" s="15"/>
      <c r="C920" s="15"/>
      <c r="D920" s="15"/>
      <c r="E920" s="16"/>
    </row>
    <row r="921" customFormat="false" ht="15" hidden="false" customHeight="false" outlineLevel="0" collapsed="false">
      <c r="A921" s="18"/>
      <c r="B921" s="19"/>
      <c r="C921" s="19"/>
      <c r="D921" s="19"/>
      <c r="E921" s="20"/>
    </row>
    <row r="922" customFormat="false" ht="15" hidden="false" customHeight="false" outlineLevel="0" collapsed="false">
      <c r="A922" s="14"/>
      <c r="B922" s="15"/>
      <c r="C922" s="15"/>
      <c r="D922" s="15"/>
      <c r="E922" s="16"/>
    </row>
    <row r="923" customFormat="false" ht="15" hidden="false" customHeight="false" outlineLevel="0" collapsed="false">
      <c r="A923" s="18"/>
      <c r="B923" s="19"/>
      <c r="C923" s="19"/>
      <c r="D923" s="19"/>
      <c r="E923" s="20"/>
    </row>
    <row r="924" customFormat="false" ht="15" hidden="false" customHeight="false" outlineLevel="0" collapsed="false">
      <c r="A924" s="14"/>
      <c r="B924" s="15"/>
      <c r="C924" s="15"/>
      <c r="D924" s="15"/>
      <c r="E924" s="16"/>
    </row>
    <row r="925" customFormat="false" ht="15" hidden="false" customHeight="false" outlineLevel="0" collapsed="false">
      <c r="A925" s="18"/>
      <c r="B925" s="19"/>
      <c r="C925" s="19"/>
      <c r="D925" s="19"/>
      <c r="E925" s="20"/>
    </row>
    <row r="926" customFormat="false" ht="15" hidden="false" customHeight="false" outlineLevel="0" collapsed="false">
      <c r="A926" s="14"/>
      <c r="B926" s="15"/>
      <c r="C926" s="15"/>
      <c r="D926" s="15"/>
      <c r="E926" s="16"/>
    </row>
    <row r="927" customFormat="false" ht="15" hidden="false" customHeight="false" outlineLevel="0" collapsed="false">
      <c r="A927" s="18"/>
      <c r="B927" s="19"/>
      <c r="C927" s="19"/>
      <c r="D927" s="19"/>
      <c r="E927" s="20"/>
    </row>
    <row r="928" customFormat="false" ht="15" hidden="false" customHeight="false" outlineLevel="0" collapsed="false">
      <c r="A928" s="14"/>
      <c r="B928" s="15"/>
      <c r="C928" s="15"/>
      <c r="D928" s="15"/>
      <c r="E928" s="16"/>
    </row>
    <row r="929" customFormat="false" ht="15" hidden="false" customHeight="false" outlineLevel="0" collapsed="false">
      <c r="A929" s="18"/>
      <c r="B929" s="19"/>
      <c r="C929" s="19"/>
      <c r="D929" s="19"/>
      <c r="E929" s="20"/>
    </row>
    <row r="930" customFormat="false" ht="15" hidden="false" customHeight="false" outlineLevel="0" collapsed="false">
      <c r="A930" s="14"/>
      <c r="B930" s="15"/>
      <c r="C930" s="15"/>
      <c r="D930" s="15"/>
      <c r="E930" s="16"/>
    </row>
    <row r="931" customFormat="false" ht="15" hidden="false" customHeight="false" outlineLevel="0" collapsed="false">
      <c r="A931" s="18"/>
      <c r="B931" s="19"/>
      <c r="C931" s="19"/>
      <c r="D931" s="19"/>
      <c r="E931" s="20"/>
    </row>
    <row r="932" customFormat="false" ht="15" hidden="false" customHeight="false" outlineLevel="0" collapsed="false">
      <c r="A932" s="14"/>
      <c r="B932" s="15"/>
      <c r="C932" s="15"/>
      <c r="D932" s="15"/>
      <c r="E932" s="16"/>
    </row>
    <row r="933" customFormat="false" ht="15" hidden="false" customHeight="false" outlineLevel="0" collapsed="false">
      <c r="A933" s="18"/>
      <c r="B933" s="19"/>
      <c r="C933" s="19"/>
      <c r="D933" s="19"/>
      <c r="E933" s="20"/>
    </row>
    <row r="934" customFormat="false" ht="15" hidden="false" customHeight="false" outlineLevel="0" collapsed="false">
      <c r="A934" s="14"/>
      <c r="B934" s="15"/>
      <c r="C934" s="15"/>
      <c r="D934" s="15"/>
      <c r="E934" s="16"/>
    </row>
    <row r="935" customFormat="false" ht="15" hidden="false" customHeight="false" outlineLevel="0" collapsed="false">
      <c r="A935" s="18"/>
      <c r="B935" s="19"/>
      <c r="C935" s="19"/>
      <c r="D935" s="19"/>
      <c r="E935" s="20"/>
    </row>
    <row r="936" customFormat="false" ht="15" hidden="false" customHeight="false" outlineLevel="0" collapsed="false">
      <c r="A936" s="14"/>
      <c r="B936" s="15"/>
      <c r="C936" s="15"/>
      <c r="D936" s="15"/>
      <c r="E936" s="16"/>
    </row>
    <row r="937" customFormat="false" ht="15" hidden="false" customHeight="false" outlineLevel="0" collapsed="false">
      <c r="A937" s="18"/>
      <c r="B937" s="19"/>
      <c r="C937" s="19"/>
      <c r="D937" s="19"/>
      <c r="E937" s="20"/>
    </row>
    <row r="938" customFormat="false" ht="15" hidden="false" customHeight="false" outlineLevel="0" collapsed="false">
      <c r="A938" s="14"/>
      <c r="B938" s="15"/>
      <c r="C938" s="15"/>
      <c r="D938" s="15"/>
      <c r="E938" s="16"/>
    </row>
    <row r="939" customFormat="false" ht="15" hidden="false" customHeight="false" outlineLevel="0" collapsed="false">
      <c r="A939" s="18"/>
      <c r="B939" s="19"/>
      <c r="C939" s="19"/>
      <c r="D939" s="19"/>
      <c r="E939" s="20"/>
    </row>
    <row r="940" customFormat="false" ht="15" hidden="false" customHeight="false" outlineLevel="0" collapsed="false">
      <c r="A940" s="14"/>
      <c r="B940" s="15"/>
      <c r="C940" s="15"/>
      <c r="D940" s="15"/>
      <c r="E940" s="16"/>
    </row>
    <row r="941" customFormat="false" ht="15" hidden="false" customHeight="false" outlineLevel="0" collapsed="false">
      <c r="A941" s="18"/>
      <c r="B941" s="19"/>
      <c r="C941" s="19"/>
      <c r="D941" s="19"/>
      <c r="E941" s="20"/>
    </row>
    <row r="942" customFormat="false" ht="15" hidden="false" customHeight="false" outlineLevel="0" collapsed="false">
      <c r="A942" s="14"/>
      <c r="B942" s="15"/>
      <c r="C942" s="15"/>
      <c r="D942" s="15"/>
      <c r="E942" s="16"/>
    </row>
    <row r="943" customFormat="false" ht="15" hidden="false" customHeight="false" outlineLevel="0" collapsed="false">
      <c r="A943" s="18"/>
      <c r="B943" s="19"/>
      <c r="C943" s="19"/>
      <c r="D943" s="19"/>
      <c r="E943" s="20"/>
    </row>
    <row r="944" customFormat="false" ht="15" hidden="false" customHeight="false" outlineLevel="0" collapsed="false">
      <c r="A944" s="14"/>
      <c r="B944" s="15"/>
      <c r="C944" s="15"/>
      <c r="D944" s="15"/>
      <c r="E944" s="16"/>
    </row>
    <row r="945" customFormat="false" ht="15" hidden="false" customHeight="false" outlineLevel="0" collapsed="false">
      <c r="A945" s="18"/>
      <c r="B945" s="19"/>
      <c r="C945" s="19"/>
      <c r="D945" s="19"/>
      <c r="E945" s="20"/>
    </row>
    <row r="946" customFormat="false" ht="15" hidden="false" customHeight="false" outlineLevel="0" collapsed="false">
      <c r="A946" s="14"/>
      <c r="B946" s="15"/>
      <c r="C946" s="15"/>
      <c r="D946" s="15"/>
      <c r="E946" s="16"/>
    </row>
    <row r="947" customFormat="false" ht="15" hidden="false" customHeight="false" outlineLevel="0" collapsed="false">
      <c r="A947" s="18"/>
      <c r="B947" s="19"/>
      <c r="C947" s="19"/>
      <c r="D947" s="19"/>
      <c r="E947" s="20"/>
    </row>
    <row r="948" customFormat="false" ht="15" hidden="false" customHeight="false" outlineLevel="0" collapsed="false">
      <c r="A948" s="14"/>
      <c r="B948" s="15"/>
      <c r="C948" s="15"/>
      <c r="D948" s="15"/>
      <c r="E948" s="16"/>
    </row>
    <row r="949" customFormat="false" ht="15" hidden="false" customHeight="false" outlineLevel="0" collapsed="false">
      <c r="A949" s="18"/>
      <c r="B949" s="19"/>
      <c r="C949" s="19"/>
      <c r="D949" s="19"/>
      <c r="E949" s="20"/>
    </row>
    <row r="950" customFormat="false" ht="15" hidden="false" customHeight="false" outlineLevel="0" collapsed="false">
      <c r="A950" s="14"/>
      <c r="B950" s="15"/>
      <c r="C950" s="15"/>
      <c r="D950" s="15"/>
      <c r="E950" s="16"/>
    </row>
    <row r="951" customFormat="false" ht="15" hidden="false" customHeight="false" outlineLevel="0" collapsed="false">
      <c r="A951" s="18"/>
      <c r="B951" s="19"/>
      <c r="C951" s="19"/>
      <c r="D951" s="19"/>
      <c r="E951" s="20"/>
    </row>
    <row r="952" customFormat="false" ht="15" hidden="false" customHeight="false" outlineLevel="0" collapsed="false">
      <c r="A952" s="14"/>
      <c r="B952" s="15"/>
      <c r="C952" s="15"/>
      <c r="D952" s="15"/>
      <c r="E952" s="16"/>
    </row>
    <row r="953" customFormat="false" ht="15" hidden="false" customHeight="false" outlineLevel="0" collapsed="false">
      <c r="A953" s="18"/>
      <c r="B953" s="19"/>
      <c r="C953" s="19"/>
      <c r="D953" s="19"/>
      <c r="E953" s="20"/>
    </row>
    <row r="954" customFormat="false" ht="15" hidden="false" customHeight="false" outlineLevel="0" collapsed="false">
      <c r="A954" s="14"/>
      <c r="B954" s="15"/>
      <c r="C954" s="15"/>
      <c r="D954" s="15"/>
      <c r="E954" s="16"/>
    </row>
    <row r="955" customFormat="false" ht="15" hidden="false" customHeight="false" outlineLevel="0" collapsed="false">
      <c r="A955" s="18"/>
      <c r="B955" s="19"/>
      <c r="C955" s="19"/>
      <c r="D955" s="19"/>
      <c r="E955" s="20"/>
    </row>
    <row r="956" customFormat="false" ht="15" hidden="false" customHeight="false" outlineLevel="0" collapsed="false">
      <c r="A956" s="14"/>
      <c r="B956" s="15"/>
      <c r="C956" s="15"/>
      <c r="D956" s="15"/>
      <c r="E956" s="16"/>
    </row>
    <row r="957" customFormat="false" ht="15" hidden="false" customHeight="false" outlineLevel="0" collapsed="false">
      <c r="A957" s="18"/>
      <c r="B957" s="19"/>
      <c r="C957" s="19"/>
      <c r="D957" s="19"/>
      <c r="E957" s="20"/>
    </row>
    <row r="958" customFormat="false" ht="15" hidden="false" customHeight="false" outlineLevel="0" collapsed="false">
      <c r="A958" s="14"/>
      <c r="B958" s="15"/>
      <c r="C958" s="15"/>
      <c r="D958" s="15"/>
      <c r="E958" s="16"/>
    </row>
    <row r="959" customFormat="false" ht="15" hidden="false" customHeight="false" outlineLevel="0" collapsed="false">
      <c r="A959" s="18"/>
      <c r="B959" s="19"/>
      <c r="C959" s="19"/>
      <c r="D959" s="19"/>
      <c r="E959" s="20"/>
    </row>
    <row r="960" customFormat="false" ht="15" hidden="false" customHeight="false" outlineLevel="0" collapsed="false">
      <c r="A960" s="14"/>
      <c r="B960" s="15"/>
      <c r="C960" s="15"/>
      <c r="D960" s="15"/>
      <c r="E960" s="16"/>
    </row>
    <row r="961" customFormat="false" ht="15" hidden="false" customHeight="false" outlineLevel="0" collapsed="false">
      <c r="A961" s="18"/>
      <c r="B961" s="19"/>
      <c r="C961" s="19"/>
      <c r="D961" s="19"/>
      <c r="E961" s="20"/>
    </row>
    <row r="962" customFormat="false" ht="15" hidden="false" customHeight="false" outlineLevel="0" collapsed="false">
      <c r="A962" s="14"/>
      <c r="B962" s="15"/>
      <c r="C962" s="15"/>
      <c r="D962" s="15"/>
      <c r="E962" s="16"/>
    </row>
    <row r="963" customFormat="false" ht="15" hidden="false" customHeight="false" outlineLevel="0" collapsed="false">
      <c r="A963" s="18"/>
      <c r="B963" s="19"/>
      <c r="C963" s="19"/>
      <c r="D963" s="19"/>
      <c r="E963" s="20"/>
    </row>
    <row r="964" customFormat="false" ht="15" hidden="false" customHeight="false" outlineLevel="0" collapsed="false">
      <c r="A964" s="14"/>
      <c r="B964" s="15"/>
      <c r="C964" s="15"/>
      <c r="D964" s="15"/>
      <c r="E964" s="16"/>
    </row>
    <row r="965" customFormat="false" ht="15" hidden="false" customHeight="false" outlineLevel="0" collapsed="false">
      <c r="A965" s="18"/>
      <c r="B965" s="19"/>
      <c r="C965" s="19"/>
      <c r="D965" s="19"/>
      <c r="E965" s="20"/>
    </row>
    <row r="966" customFormat="false" ht="15" hidden="false" customHeight="false" outlineLevel="0" collapsed="false">
      <c r="A966" s="14"/>
      <c r="B966" s="15"/>
      <c r="C966" s="15"/>
      <c r="D966" s="15"/>
      <c r="E966" s="16"/>
    </row>
    <row r="967" customFormat="false" ht="15" hidden="false" customHeight="false" outlineLevel="0" collapsed="false">
      <c r="A967" s="18"/>
      <c r="B967" s="19"/>
      <c r="C967" s="19"/>
      <c r="D967" s="19"/>
      <c r="E967" s="20"/>
    </row>
    <row r="968" customFormat="false" ht="15" hidden="false" customHeight="false" outlineLevel="0" collapsed="false">
      <c r="A968" s="14"/>
      <c r="B968" s="15"/>
      <c r="C968" s="15"/>
      <c r="D968" s="15"/>
      <c r="E968" s="16"/>
    </row>
    <row r="969" customFormat="false" ht="15" hidden="false" customHeight="false" outlineLevel="0" collapsed="false">
      <c r="A969" s="18"/>
      <c r="B969" s="19"/>
      <c r="C969" s="19"/>
      <c r="D969" s="19"/>
      <c r="E969" s="20"/>
    </row>
    <row r="970" customFormat="false" ht="15" hidden="false" customHeight="false" outlineLevel="0" collapsed="false">
      <c r="A970" s="14"/>
      <c r="B970" s="15"/>
      <c r="C970" s="15"/>
      <c r="D970" s="15"/>
      <c r="E970" s="16"/>
    </row>
    <row r="971" customFormat="false" ht="15" hidden="false" customHeight="false" outlineLevel="0" collapsed="false">
      <c r="A971" s="18"/>
      <c r="B971" s="19"/>
      <c r="C971" s="19"/>
      <c r="D971" s="19"/>
      <c r="E971" s="20"/>
    </row>
    <row r="972" customFormat="false" ht="15" hidden="false" customHeight="false" outlineLevel="0" collapsed="false">
      <c r="A972" s="14"/>
      <c r="B972" s="15"/>
      <c r="C972" s="15"/>
      <c r="D972" s="15"/>
      <c r="E972" s="16"/>
    </row>
    <row r="973" customFormat="false" ht="15" hidden="false" customHeight="false" outlineLevel="0" collapsed="false">
      <c r="A973" s="18"/>
      <c r="B973" s="19"/>
      <c r="C973" s="19"/>
      <c r="D973" s="19"/>
      <c r="E973" s="20"/>
    </row>
    <row r="974" customFormat="false" ht="15" hidden="false" customHeight="false" outlineLevel="0" collapsed="false">
      <c r="A974" s="14"/>
      <c r="B974" s="15"/>
      <c r="C974" s="15"/>
      <c r="D974" s="15"/>
      <c r="E974" s="16"/>
    </row>
    <row r="975" customFormat="false" ht="15" hidden="false" customHeight="false" outlineLevel="0" collapsed="false">
      <c r="A975" s="18"/>
      <c r="B975" s="19"/>
      <c r="C975" s="19"/>
      <c r="D975" s="19"/>
      <c r="E975" s="20"/>
    </row>
    <row r="976" customFormat="false" ht="15" hidden="false" customHeight="false" outlineLevel="0" collapsed="false">
      <c r="A976" s="14"/>
      <c r="B976" s="15"/>
      <c r="C976" s="15"/>
      <c r="D976" s="15"/>
      <c r="E976" s="16"/>
    </row>
    <row r="977" customFormat="false" ht="15" hidden="false" customHeight="false" outlineLevel="0" collapsed="false">
      <c r="A977" s="18"/>
      <c r="B977" s="19"/>
      <c r="C977" s="19"/>
      <c r="D977" s="19"/>
      <c r="E977" s="20"/>
    </row>
    <row r="978" customFormat="false" ht="15" hidden="false" customHeight="false" outlineLevel="0" collapsed="false">
      <c r="A978" s="14"/>
      <c r="B978" s="15"/>
      <c r="C978" s="15"/>
      <c r="D978" s="15"/>
      <c r="E978" s="16"/>
    </row>
    <row r="979" customFormat="false" ht="15" hidden="false" customHeight="false" outlineLevel="0" collapsed="false">
      <c r="A979" s="18"/>
      <c r="B979" s="19"/>
      <c r="C979" s="19"/>
      <c r="D979" s="19"/>
      <c r="E979" s="20"/>
    </row>
    <row r="980" customFormat="false" ht="15" hidden="false" customHeight="false" outlineLevel="0" collapsed="false">
      <c r="A980" s="14"/>
      <c r="B980" s="15"/>
      <c r="C980" s="15"/>
      <c r="D980" s="15"/>
      <c r="E980" s="16"/>
    </row>
    <row r="981" customFormat="false" ht="15" hidden="false" customHeight="false" outlineLevel="0" collapsed="false">
      <c r="A981" s="18"/>
      <c r="B981" s="19"/>
      <c r="C981" s="19"/>
      <c r="D981" s="19"/>
      <c r="E981" s="20"/>
    </row>
    <row r="982" customFormat="false" ht="15" hidden="false" customHeight="false" outlineLevel="0" collapsed="false">
      <c r="A982" s="14"/>
      <c r="B982" s="15"/>
      <c r="C982" s="15"/>
      <c r="D982" s="15"/>
      <c r="E982" s="16"/>
    </row>
    <row r="983" customFormat="false" ht="15" hidden="false" customHeight="false" outlineLevel="0" collapsed="false">
      <c r="A983" s="18"/>
      <c r="B983" s="19"/>
      <c r="C983" s="19"/>
      <c r="D983" s="19"/>
      <c r="E983" s="20"/>
    </row>
    <row r="984" customFormat="false" ht="15" hidden="false" customHeight="false" outlineLevel="0" collapsed="false">
      <c r="A984" s="14"/>
      <c r="B984" s="15"/>
      <c r="C984" s="15"/>
      <c r="D984" s="15"/>
      <c r="E984" s="16"/>
    </row>
    <row r="985" customFormat="false" ht="15" hidden="false" customHeight="false" outlineLevel="0" collapsed="false">
      <c r="A985" s="18"/>
      <c r="B985" s="19"/>
      <c r="C985" s="19"/>
      <c r="D985" s="19"/>
      <c r="E985" s="20"/>
    </row>
    <row r="986" customFormat="false" ht="15" hidden="false" customHeight="false" outlineLevel="0" collapsed="false">
      <c r="A986" s="14"/>
      <c r="B986" s="15"/>
      <c r="C986" s="15"/>
      <c r="D986" s="15"/>
      <c r="E986" s="16"/>
    </row>
    <row r="987" customFormat="false" ht="15" hidden="false" customHeight="false" outlineLevel="0" collapsed="false">
      <c r="A987" s="18"/>
      <c r="B987" s="19"/>
      <c r="C987" s="19"/>
      <c r="D987" s="19"/>
      <c r="E987" s="20"/>
    </row>
    <row r="988" customFormat="false" ht="15" hidden="false" customHeight="false" outlineLevel="0" collapsed="false">
      <c r="A988" s="14"/>
      <c r="B988" s="15"/>
      <c r="C988" s="15"/>
      <c r="D988" s="15"/>
      <c r="E988" s="16"/>
    </row>
    <row r="989" customFormat="false" ht="15" hidden="false" customHeight="false" outlineLevel="0" collapsed="false">
      <c r="A989" s="18"/>
      <c r="B989" s="19"/>
      <c r="C989" s="19"/>
      <c r="D989" s="19"/>
      <c r="E989" s="20"/>
    </row>
    <row r="990" customFormat="false" ht="15" hidden="false" customHeight="false" outlineLevel="0" collapsed="false">
      <c r="A990" s="14"/>
      <c r="B990" s="15"/>
      <c r="C990" s="15"/>
      <c r="D990" s="15"/>
      <c r="E990" s="16"/>
    </row>
    <row r="991" customFormat="false" ht="15" hidden="false" customHeight="false" outlineLevel="0" collapsed="false">
      <c r="A991" s="18"/>
      <c r="B991" s="19"/>
      <c r="C991" s="19"/>
      <c r="D991" s="19"/>
      <c r="E991" s="20"/>
    </row>
    <row r="992" customFormat="false" ht="15" hidden="false" customHeight="false" outlineLevel="0" collapsed="false">
      <c r="A992" s="14"/>
      <c r="B992" s="15"/>
      <c r="C992" s="15"/>
      <c r="D992" s="15"/>
      <c r="E992" s="16"/>
    </row>
    <row r="993" customFormat="false" ht="15" hidden="false" customHeight="false" outlineLevel="0" collapsed="false">
      <c r="A993" s="18"/>
      <c r="B993" s="19"/>
      <c r="C993" s="19"/>
      <c r="D993" s="19"/>
      <c r="E993" s="20"/>
    </row>
    <row r="994" customFormat="false" ht="15" hidden="false" customHeight="false" outlineLevel="0" collapsed="false">
      <c r="A994" s="14"/>
      <c r="B994" s="15"/>
      <c r="C994" s="15"/>
      <c r="D994" s="15"/>
      <c r="E994" s="16"/>
    </row>
    <row r="995" customFormat="false" ht="15" hidden="false" customHeight="false" outlineLevel="0" collapsed="false">
      <c r="A995" s="18"/>
      <c r="B995" s="19"/>
      <c r="C995" s="19"/>
      <c r="D995" s="19"/>
      <c r="E995" s="20"/>
    </row>
    <row r="996" customFormat="false" ht="15" hidden="false" customHeight="false" outlineLevel="0" collapsed="false">
      <c r="A996" s="14"/>
      <c r="B996" s="15"/>
      <c r="C996" s="15"/>
      <c r="D996" s="15"/>
      <c r="E996" s="16"/>
    </row>
    <row r="997" customFormat="false" ht="15" hidden="false" customHeight="false" outlineLevel="0" collapsed="false">
      <c r="A997" s="18"/>
      <c r="B997" s="19"/>
      <c r="C997" s="19"/>
      <c r="D997" s="19"/>
      <c r="E997" s="20"/>
    </row>
    <row r="998" customFormat="false" ht="15" hidden="false" customHeight="false" outlineLevel="0" collapsed="false">
      <c r="A998" s="14"/>
      <c r="B998" s="15"/>
      <c r="C998" s="15"/>
      <c r="D998" s="15"/>
      <c r="E998" s="16"/>
    </row>
    <row r="999" customFormat="false" ht="15" hidden="false" customHeight="false" outlineLevel="0" collapsed="false">
      <c r="A999" s="18"/>
      <c r="B999" s="19"/>
      <c r="C999" s="19"/>
      <c r="D999" s="19"/>
      <c r="E999" s="20"/>
    </row>
    <row r="1000" customFormat="false" ht="15" hidden="false" customHeight="false" outlineLevel="0" collapsed="false">
      <c r="A1000" s="14"/>
      <c r="B1000" s="15"/>
      <c r="C1000" s="15"/>
      <c r="D1000" s="15"/>
      <c r="E1000" s="16"/>
    </row>
  </sheetData>
  <autoFilter ref="A1:E1000"/>
  <mergeCells count="2">
    <mergeCell ref="G1:H1"/>
    <mergeCell ref="G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3" min="2" style="0" width="20"/>
  </cols>
  <sheetData>
    <row r="1" customFormat="false" ht="15" hidden="false" customHeight="false" outlineLevel="0" collapsed="false">
      <c r="A1" s="6" t="s">
        <v>16</v>
      </c>
      <c r="B1" s="6" t="s">
        <v>53</v>
      </c>
      <c r="C1" s="6" t="s">
        <v>53</v>
      </c>
    </row>
    <row r="2" customFormat="false" ht="15" hidden="false" customHeight="false" outlineLevel="0" collapsed="false">
      <c r="A2" s="19" t="s">
        <v>3</v>
      </c>
      <c r="B2" s="19" t="s">
        <v>24</v>
      </c>
      <c r="C2" s="19" t="s">
        <v>24</v>
      </c>
    </row>
    <row r="3" customFormat="false" ht="15" hidden="false" customHeight="false" outlineLevel="0" collapsed="false">
      <c r="A3" s="19" t="s">
        <v>54</v>
      </c>
      <c r="B3" s="19" t="s">
        <v>21</v>
      </c>
      <c r="C3" s="19" t="s">
        <v>21</v>
      </c>
    </row>
    <row r="4" customFormat="false" ht="15" hidden="false" customHeight="false" outlineLevel="0" collapsed="false">
      <c r="A4" s="19" t="s">
        <v>55</v>
      </c>
      <c r="B4" s="19" t="s">
        <v>27</v>
      </c>
      <c r="C4" s="19" t="s">
        <v>27</v>
      </c>
    </row>
    <row r="5" customFormat="false" ht="15" hidden="false" customHeight="false" outlineLevel="0" collapsed="false">
      <c r="A5" s="19"/>
      <c r="B5" s="19"/>
      <c r="C5" s="19"/>
    </row>
    <row r="6" customFormat="false" ht="15" hidden="false" customHeight="false" outlineLevel="0" collapsed="false">
      <c r="A6" s="19"/>
      <c r="B6" s="19"/>
      <c r="C6" s="19"/>
    </row>
    <row r="7" customFormat="false" ht="15" hidden="false" customHeight="false" outlineLevel="0" collapsed="false">
      <c r="A7" s="19"/>
      <c r="B7" s="19"/>
      <c r="C7" s="19"/>
    </row>
    <row r="8" customFormat="false" ht="15" hidden="false" customHeight="false" outlineLevel="0" collapsed="false">
      <c r="A8" s="19"/>
      <c r="B8" s="19"/>
      <c r="C8" s="19"/>
    </row>
    <row r="9" customFormat="false" ht="15" hidden="false" customHeight="false" outlineLevel="0" collapsed="false">
      <c r="A9" s="19"/>
      <c r="B9" s="19"/>
      <c r="C9" s="19"/>
    </row>
    <row r="10" customFormat="false" ht="15" hidden="false" customHeight="false" outlineLevel="0" collapsed="false">
      <c r="A10" s="19"/>
      <c r="B10" s="19"/>
      <c r="C10" s="19"/>
    </row>
    <row r="11" customFormat="false" ht="15" hidden="false" customHeight="false" outlineLevel="0" collapsed="false">
      <c r="A11" s="19"/>
      <c r="B11" s="19"/>
      <c r="C11" s="19"/>
    </row>
    <row r="12" customFormat="false" ht="15" hidden="false" customHeight="false" outlineLevel="0" collapsed="false">
      <c r="A12" s="19"/>
      <c r="B12" s="19"/>
      <c r="C12" s="19"/>
    </row>
    <row r="13" customFormat="false" ht="15" hidden="false" customHeight="false" outlineLevel="0" collapsed="false">
      <c r="A13" s="19"/>
      <c r="B13" s="19"/>
      <c r="C13" s="19"/>
    </row>
    <row r="14" customFormat="false" ht="15" hidden="false" customHeight="false" outlineLevel="0" collapsed="false">
      <c r="A14" s="19"/>
      <c r="B14" s="19"/>
      <c r="C14" s="19"/>
    </row>
    <row r="15" customFormat="false" ht="15" hidden="false" customHeight="false" outlineLevel="0" collapsed="false">
      <c r="A15" s="19"/>
      <c r="B15" s="19"/>
      <c r="C15" s="19"/>
    </row>
    <row r="16" customFormat="false" ht="15" hidden="false" customHeight="false" outlineLevel="0" collapsed="false">
      <c r="A16" s="19"/>
      <c r="B16" s="19"/>
      <c r="C16" s="19"/>
    </row>
    <row r="17" customFormat="false" ht="15" hidden="false" customHeight="false" outlineLevel="0" collapsed="false">
      <c r="A17" s="19"/>
      <c r="B17" s="19"/>
      <c r="C17" s="19"/>
    </row>
    <row r="18" customFormat="false" ht="15" hidden="false" customHeight="false" outlineLevel="0" collapsed="false">
      <c r="A18" s="19"/>
      <c r="B18" s="19"/>
      <c r="C18" s="19"/>
    </row>
    <row r="19" customFormat="false" ht="15" hidden="false" customHeight="false" outlineLevel="0" collapsed="false">
      <c r="A19" s="19"/>
      <c r="B19" s="19"/>
      <c r="C19" s="19"/>
    </row>
    <row r="20" customFormat="false" ht="15" hidden="false" customHeight="false" outlineLevel="0" collapsed="false">
      <c r="A20" s="19"/>
      <c r="B20" s="19"/>
      <c r="C20" s="19"/>
    </row>
    <row r="21" customFormat="false" ht="15" hidden="false" customHeight="false" outlineLevel="0" collapsed="false">
      <c r="A21" s="19"/>
      <c r="B21" s="19"/>
      <c r="C21" s="19"/>
    </row>
    <row r="22" customFormat="false" ht="15" hidden="false" customHeight="false" outlineLevel="0" collapsed="false">
      <c r="A22" s="19"/>
      <c r="B22" s="19"/>
      <c r="C22" s="19"/>
    </row>
    <row r="23" customFormat="false" ht="15" hidden="false" customHeight="false" outlineLevel="0" collapsed="false">
      <c r="A23" s="19"/>
      <c r="B23" s="19"/>
      <c r="C23" s="19"/>
    </row>
    <row r="24" customFormat="false" ht="15" hidden="false" customHeight="false" outlineLevel="0" collapsed="false">
      <c r="A24" s="19"/>
      <c r="B24" s="19"/>
      <c r="C24" s="19"/>
    </row>
    <row r="25" customFormat="false" ht="15" hidden="false" customHeight="false" outlineLevel="0" collapsed="false">
      <c r="A25" s="19"/>
      <c r="B25" s="19"/>
      <c r="C25" s="19"/>
    </row>
    <row r="26" customFormat="false" ht="15" hidden="false" customHeight="false" outlineLevel="0" collapsed="false">
      <c r="A26" s="19"/>
      <c r="B26" s="19"/>
      <c r="C26" s="19"/>
    </row>
    <row r="27" customFormat="false" ht="15" hidden="false" customHeight="false" outlineLevel="0" collapsed="false">
      <c r="A27" s="19"/>
      <c r="B27" s="19"/>
      <c r="C27" s="19"/>
    </row>
    <row r="28" customFormat="false" ht="15" hidden="false" customHeight="false" outlineLevel="0" collapsed="false">
      <c r="A28" s="19"/>
      <c r="B28" s="19"/>
      <c r="C28" s="19"/>
    </row>
    <row r="29" customFormat="false" ht="15" hidden="false" customHeight="false" outlineLevel="0" collapsed="false">
      <c r="A29" s="19"/>
      <c r="B29" s="19"/>
      <c r="C29" s="19"/>
    </row>
    <row r="30" customFormat="false" ht="15" hidden="false" customHeight="false" outlineLevel="0" collapsed="false">
      <c r="A30" s="19"/>
      <c r="B30" s="19"/>
      <c r="C30" s="19"/>
    </row>
    <row r="31" customFormat="false" ht="15" hidden="false" customHeight="false" outlineLevel="0" collapsed="false">
      <c r="A31" s="19"/>
      <c r="B31" s="19"/>
      <c r="C31"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5"/>
  </cols>
  <sheetData>
    <row r="1" customFormat="false" ht="17.35" hidden="false" customHeight="false" outlineLevel="0" collapsed="false">
      <c r="A1" s="23" t="s">
        <v>56</v>
      </c>
    </row>
    <row r="2" customFormat="false" ht="15" hidden="false" customHeight="false" outlineLevel="0" collapsed="false">
      <c r="A2" s="9"/>
    </row>
    <row r="3" customFormat="false" ht="15" hidden="false" customHeight="false" outlineLevel="0" collapsed="false">
      <c r="A3" s="24" t="s">
        <v>57</v>
      </c>
    </row>
    <row r="4" customFormat="false" ht="15" hidden="false" customHeight="false" outlineLevel="0" collapsed="false">
      <c r="A4" s="9" t="s">
        <v>58</v>
      </c>
    </row>
    <row r="5" customFormat="false" ht="15" hidden="false" customHeight="false" outlineLevel="0" collapsed="false">
      <c r="A5" s="9" t="s">
        <v>59</v>
      </c>
    </row>
    <row r="6" customFormat="false" ht="15" hidden="false" customHeight="false" outlineLevel="0" collapsed="false">
      <c r="A6" s="9" t="s">
        <v>60</v>
      </c>
    </row>
    <row r="7" customFormat="false" ht="15" hidden="false" customHeight="false" outlineLevel="0" collapsed="false">
      <c r="A7" s="9" t="s">
        <v>61</v>
      </c>
    </row>
    <row r="8" customFormat="false" ht="15" hidden="false" customHeight="false" outlineLevel="0" collapsed="false">
      <c r="A8" s="9" t="s">
        <v>62</v>
      </c>
    </row>
    <row r="9" customFormat="false" ht="15" hidden="false" customHeight="false" outlineLevel="0" collapsed="false">
      <c r="A9" s="9" t="s">
        <v>63</v>
      </c>
    </row>
    <row r="10" customFormat="false" ht="15" hidden="false" customHeight="false" outlineLevel="0" collapsed="false">
      <c r="A10" s="9" t="s">
        <v>64</v>
      </c>
    </row>
    <row r="11" customFormat="false" ht="15" hidden="false" customHeight="false" outlineLevel="0" collapsed="false">
      <c r="A11" s="9" t="s">
        <v>65</v>
      </c>
    </row>
    <row r="12" customFormat="false" ht="15" hidden="false" customHeight="false" outlineLevel="0" collapsed="false">
      <c r="A12" s="9" t="s">
        <v>66</v>
      </c>
    </row>
    <row r="13" customFormat="false" ht="15" hidden="false" customHeight="false" outlineLevel="0" collapsed="false">
      <c r="A13" s="9" t="s">
        <v>67</v>
      </c>
    </row>
    <row r="14" customFormat="false" ht="15" hidden="false" customHeight="false" outlineLevel="0" collapsed="false">
      <c r="A14" s="9" t="s">
        <v>68</v>
      </c>
    </row>
    <row r="15" customFormat="false" ht="15" hidden="false" customHeight="false" outlineLevel="0" collapsed="false">
      <c r="A15" s="9" t="s">
        <v>69</v>
      </c>
    </row>
    <row r="16" customFormat="false" ht="15" hidden="false" customHeight="false" outlineLevel="0" collapsed="false">
      <c r="A16" s="9" t="s">
        <v>70</v>
      </c>
    </row>
    <row r="17" customFormat="false" ht="15" hidden="false" customHeight="false" outlineLevel="0" collapsed="false">
      <c r="A17" s="9"/>
    </row>
    <row r="18" customFormat="false" ht="15" hidden="false" customHeight="false" outlineLevel="0" collapsed="false">
      <c r="A18" s="9" t="s">
        <v>71</v>
      </c>
    </row>
    <row r="19" customFormat="false" ht="15" hidden="false" customHeight="false" outlineLevel="0" collapsed="false">
      <c r="A19" s="9" t="s">
        <v>72</v>
      </c>
    </row>
    <row r="20" customFormat="false" ht="15" hidden="false" customHeight="false" outlineLevel="0" collapsed="false">
      <c r="A20" s="9" t="s">
        <v>73</v>
      </c>
    </row>
    <row r="21" customFormat="false" ht="15" hidden="false" customHeight="false" outlineLevel="0" collapsed="false">
      <c r="A21" s="9" t="s">
        <v>74</v>
      </c>
    </row>
    <row r="22" customFormat="false" ht="15" hidden="false" customHeight="false" outlineLevel="0" collapsed="false">
      <c r="A22" s="9" t="s">
        <v>75</v>
      </c>
    </row>
    <row r="23" customFormat="false" ht="15" hidden="false" customHeight="false" outlineLevel="0" collapsed="false">
      <c r="A23" s="9" t="s">
        <v>76</v>
      </c>
    </row>
    <row r="24" customFormat="false" ht="15" hidden="false" customHeight="false" outlineLevel="0" collapsed="false">
      <c r="A24" s="9"/>
    </row>
    <row r="25" customFormat="false" ht="15" hidden="false" customHeight="false" outlineLevel="0" collapsed="false">
      <c r="A25" s="24" t="s">
        <v>77</v>
      </c>
    </row>
    <row r="26" customFormat="false" ht="15" hidden="false" customHeight="false" outlineLevel="0" collapsed="false">
      <c r="A26" s="9" t="s">
        <v>78</v>
      </c>
    </row>
    <row r="27" customFormat="false" ht="15" hidden="false" customHeight="false" outlineLevel="0" collapsed="false">
      <c r="A27" s="9" t="s">
        <v>79</v>
      </c>
    </row>
    <row r="28" customFormat="false" ht="15" hidden="false" customHeight="false" outlineLevel="0" collapsed="false">
      <c r="A28" s="9" t="s">
        <v>80</v>
      </c>
    </row>
    <row r="29" customFormat="false" ht="15" hidden="false" customHeight="false" outlineLevel="0" collapsed="false">
      <c r="A29" s="9"/>
    </row>
    <row r="30" customFormat="false" ht="15" hidden="false" customHeight="false" outlineLevel="0" collapsed="false">
      <c r="A30" s="24" t="s">
        <v>81</v>
      </c>
    </row>
    <row r="31" customFormat="false" ht="15" hidden="false" customHeight="false" outlineLevel="0" collapsed="false">
      <c r="A31" s="9" t="s">
        <v>82</v>
      </c>
    </row>
    <row r="32" customFormat="false" ht="15" hidden="false" customHeight="false" outlineLevel="0" collapsed="false">
      <c r="A32" s="9" t="s">
        <v>83</v>
      </c>
    </row>
    <row r="33" customFormat="false" ht="15" hidden="false" customHeight="false" outlineLevel="0" collapsed="false">
      <c r="A33" s="9" t="s">
        <v>84</v>
      </c>
    </row>
    <row r="34" customFormat="false" ht="15" hidden="false" customHeight="false" outlineLevel="0" collapsed="false">
      <c r="A34" s="9"/>
    </row>
    <row r="35" customFormat="false" ht="15" hidden="false" customHeight="false" outlineLevel="0" collapsed="false">
      <c r="A35" s="24" t="s">
        <v>85</v>
      </c>
    </row>
    <row r="36" customFormat="false" ht="15" hidden="false" customHeight="false" outlineLevel="0" collapsed="false">
      <c r="A36" s="9" t="s">
        <v>86</v>
      </c>
    </row>
    <row r="37" customFormat="false" ht="15" hidden="false" customHeight="false" outlineLevel="0" collapsed="false">
      <c r="A37" s="9" t="s">
        <v>87</v>
      </c>
    </row>
    <row r="38" customFormat="false" ht="15" hidden="false" customHeight="false" outlineLevel="0" collapsed="false">
      <c r="A38" s="9"/>
    </row>
    <row r="39" customFormat="false" ht="15" hidden="false" customHeight="false" outlineLevel="0" collapsed="false">
      <c r="A39" s="24" t="s">
        <v>88</v>
      </c>
    </row>
    <row r="40" customFormat="false" ht="15" hidden="false" customHeight="false" outlineLevel="0" collapsed="false">
      <c r="A40" s="9" t="s">
        <v>89</v>
      </c>
    </row>
    <row r="41" customFormat="false" ht="15" hidden="false" customHeight="false" outlineLevel="0" collapsed="false">
      <c r="A41" s="9" t="s">
        <v>90</v>
      </c>
    </row>
    <row r="42" customFormat="false" ht="15" hidden="false" customHeight="false" outlineLevel="0" collapsed="false">
      <c r="A42" s="9"/>
    </row>
    <row r="43" customFormat="false" ht="15" hidden="false" customHeight="false" outlineLevel="0" collapsed="false">
      <c r="A43" s="9" t="s">
        <v>91</v>
      </c>
    </row>
    <row r="44" customFormat="false" ht="15" hidden="false" customHeight="false" outlineLevel="0" collapsed="false">
      <c r="A44" s="9" t="s">
        <v>92</v>
      </c>
    </row>
    <row r="45" customFormat="false" ht="15" hidden="false" customHeight="false" outlineLevel="0" collapsed="false">
      <c r="A45" s="9" t="s">
        <v>93</v>
      </c>
    </row>
    <row r="46" customFormat="false" ht="15" hidden="false" customHeight="false" outlineLevel="0" collapsed="false">
      <c r="A46" s="9" t="s">
        <v>94</v>
      </c>
    </row>
    <row r="47" customFormat="false" ht="15" hidden="false" customHeight="false" outlineLevel="0" collapsed="false">
      <c r="A47" s="9" t="s">
        <v>95</v>
      </c>
    </row>
    <row r="48" customFormat="false" ht="15" hidden="false" customHeight="false" outlineLevel="0" collapsed="false">
      <c r="A48" s="9" t="s">
        <v>96</v>
      </c>
    </row>
    <row r="49" customFormat="false" ht="15" hidden="false" customHeight="false" outlineLevel="0" collapsed="false">
      <c r="A49" s="9" t="s">
        <v>97</v>
      </c>
    </row>
    <row r="50" customFormat="false" ht="15" hidden="false" customHeight="false" outlineLevel="0" collapsed="false">
      <c r="A50" s="9" t="s">
        <v>98</v>
      </c>
    </row>
    <row r="51" customFormat="false" ht="15" hidden="false" customHeight="false" outlineLevel="0" collapsed="false">
      <c r="A51" s="9" t="s">
        <v>99</v>
      </c>
    </row>
    <row r="52" customFormat="false" ht="15" hidden="false" customHeight="false" outlineLevel="0" collapsed="false">
      <c r="A52" s="9" t="s">
        <v>100</v>
      </c>
    </row>
    <row r="53" customFormat="false" ht="15" hidden="false" customHeight="false" outlineLevel="0" collapsed="false">
      <c r="A53" s="9" t="s">
        <v>101</v>
      </c>
    </row>
    <row r="54" customFormat="false" ht="15" hidden="false" customHeight="false" outlineLevel="0" collapsed="false">
      <c r="A54" s="9" t="s">
        <v>102</v>
      </c>
    </row>
    <row r="55" customFormat="false" ht="15" hidden="false" customHeight="false" outlineLevel="0" collapsed="false">
      <c r="A55" s="9" t="s">
        <v>103</v>
      </c>
    </row>
    <row r="56" customFormat="false" ht="15" hidden="false" customHeight="false" outlineLevel="0" collapsed="false">
      <c r="A56" s="9" t="s">
        <v>104</v>
      </c>
    </row>
    <row r="57" customFormat="false" ht="15" hidden="false" customHeight="false" outlineLevel="0" collapsed="false">
      <c r="A57" s="9" t="s">
        <v>105</v>
      </c>
    </row>
    <row r="58" customFormat="false" ht="15" hidden="false" customHeight="false" outlineLevel="0" collapsed="false">
      <c r="A58" s="9" t="s">
        <v>106</v>
      </c>
    </row>
    <row r="59" customFormat="false" ht="15" hidden="false" customHeight="false" outlineLevel="0" collapsed="false">
      <c r="A59" s="9"/>
    </row>
    <row r="60" customFormat="false" ht="15" hidden="false" customHeight="false" outlineLevel="0" collapsed="false">
      <c r="A60" s="9" t="s">
        <v>107</v>
      </c>
    </row>
    <row r="61" customFormat="false" ht="15" hidden="false" customHeight="false" outlineLevel="0" collapsed="false">
      <c r="A61" s="9" t="s">
        <v>108</v>
      </c>
    </row>
    <row r="62" customFormat="false" ht="15" hidden="false" customHeight="false" outlineLevel="0" collapsed="false">
      <c r="A62" s="9" t="s">
        <v>109</v>
      </c>
    </row>
    <row r="63" customFormat="false" ht="15" hidden="false" customHeight="false" outlineLevel="0" collapsed="false">
      <c r="A63" s="9" t="s">
        <v>110</v>
      </c>
    </row>
    <row r="64" customFormat="false" ht="15" hidden="false" customHeight="false" outlineLevel="0" collapsed="false">
      <c r="A64" s="9" t="s">
        <v>111</v>
      </c>
    </row>
    <row r="65" customFormat="false" ht="15" hidden="false" customHeight="false" outlineLevel="0" collapsed="false">
      <c r="A65" s="9" t="s">
        <v>112</v>
      </c>
    </row>
    <row r="66" customFormat="false" ht="15" hidden="false" customHeight="false" outlineLevel="0" collapsed="false">
      <c r="A66" s="9" t="s">
        <v>113</v>
      </c>
    </row>
    <row r="67" customFormat="false" ht="15" hidden="false" customHeight="false" outlineLevel="0" collapsed="false">
      <c r="A67" s="9" t="s">
        <v>114</v>
      </c>
    </row>
    <row r="68" customFormat="false" ht="15" hidden="false" customHeight="false" outlineLevel="0" collapsed="false">
      <c r="A68" s="9" t="s">
        <v>115</v>
      </c>
    </row>
    <row r="69" customFormat="false" ht="15" hidden="false" customHeight="false" outlineLevel="0" collapsed="false">
      <c r="A69" s="9" t="s">
        <v>116</v>
      </c>
    </row>
    <row r="70" customFormat="false" ht="15" hidden="false" customHeight="false" outlineLevel="0" collapsed="false">
      <c r="A70" s="9" t="s">
        <v>117</v>
      </c>
    </row>
    <row r="71" customFormat="false" ht="15" hidden="false" customHeight="false" outlineLevel="0" collapsed="false">
      <c r="A71" s="9"/>
    </row>
    <row r="72" customFormat="false" ht="15" hidden="false" customHeight="false" outlineLevel="0" collapsed="false">
      <c r="A72" s="24" t="s">
        <v>118</v>
      </c>
    </row>
    <row r="73" customFormat="false" ht="15" hidden="false" customHeight="false" outlineLevel="0" collapsed="false">
      <c r="A73" s="9" t="s">
        <v>119</v>
      </c>
    </row>
    <row r="74" customFormat="false" ht="15" hidden="false" customHeight="false" outlineLevel="0" collapsed="false">
      <c r="A74" s="9" t="s">
        <v>120</v>
      </c>
    </row>
    <row r="75" customFormat="false" ht="15" hidden="false" customHeight="false" outlineLevel="0" collapsed="false">
      <c r="A75" s="9"/>
    </row>
    <row r="76" customFormat="false" ht="15" hidden="false" customHeight="false" outlineLevel="0" collapsed="false">
      <c r="A76" s="9" t="s">
        <v>121</v>
      </c>
    </row>
    <row r="77" customFormat="false" ht="15" hidden="false" customHeight="false" outlineLevel="0" collapsed="false">
      <c r="A77" s="9" t="s">
        <v>122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5" hidden="false" customHeight="false" outlineLevel="0" collapsed="false">
      <c r="A1" s="25" t="s">
        <v>123</v>
      </c>
    </row>
    <row r="3" customFormat="false" ht="15" hidden="false" customHeight="false" outlineLevel="0" collapsed="false">
      <c r="A3" s="26" t="s">
        <v>124</v>
      </c>
    </row>
    <row r="4" customFormat="false" ht="15" hidden="false" customHeight="false" outlineLevel="0" collapsed="false">
      <c r="A4" s="26"/>
    </row>
    <row r="5" customFormat="false" ht="15" hidden="false" customHeight="false" outlineLevel="0" collapsed="false">
      <c r="A5" s="26" t="s">
        <v>125</v>
      </c>
    </row>
    <row r="6" customFormat="false" ht="15" hidden="false" customHeight="false" outlineLevel="0" collapsed="false">
      <c r="A6" s="26" t="s">
        <v>126</v>
      </c>
    </row>
    <row r="7" customFormat="false" ht="15" hidden="false" customHeight="false" outlineLevel="0" collapsed="false">
      <c r="A7" s="26"/>
    </row>
    <row r="8" customFormat="false" ht="15" hidden="false" customHeight="false" outlineLevel="0" collapsed="false">
      <c r="A8" s="26" t="s">
        <v>127</v>
      </c>
    </row>
    <row r="9" customFormat="false" ht="15" hidden="false" customHeight="false" outlineLevel="0" collapsed="false">
      <c r="A9" s="26" t="s">
        <v>128</v>
      </c>
    </row>
    <row r="10" customFormat="false" ht="15" hidden="false" customHeight="false" outlineLevel="0" collapsed="false">
      <c r="A10" s="26" t="s">
        <v>129</v>
      </c>
    </row>
    <row r="11" customFormat="false" ht="15" hidden="false" customHeight="false" outlineLevel="0" collapsed="false">
      <c r="A11" s="26"/>
    </row>
    <row r="12" customFormat="false" ht="15" hidden="false" customHeight="false" outlineLevel="0" collapsed="false">
      <c r="A12" s="26" t="s">
        <v>130</v>
      </c>
    </row>
    <row r="13" customFormat="false" ht="15" hidden="false" customHeight="false" outlineLevel="0" collapsed="false">
      <c r="A13" s="26" t="s">
        <v>131</v>
      </c>
    </row>
    <row r="14" customFormat="false" ht="15" hidden="false" customHeight="false" outlineLevel="0" collapsed="false">
      <c r="A14" s="26" t="s">
        <v>132</v>
      </c>
    </row>
    <row r="15" customFormat="false" ht="15" hidden="false" customHeight="false" outlineLevel="0" collapsed="false">
      <c r="A15" s="26"/>
    </row>
    <row r="16" customFormat="false" ht="15" hidden="false" customHeight="false" outlineLevel="0" collapsed="false">
      <c r="A16" s="26" t="s">
        <v>133</v>
      </c>
    </row>
    <row r="17" customFormat="false" ht="15" hidden="false" customHeight="false" outlineLevel="0" collapsed="false">
      <c r="A17" s="26" t="s">
        <v>134</v>
      </c>
    </row>
    <row r="18" customFormat="false" ht="15" hidden="false" customHeight="false" outlineLevel="0" collapsed="false">
      <c r="A18" s="26"/>
    </row>
    <row r="19" customFormat="false" ht="15" hidden="false" customHeight="false" outlineLevel="0" collapsed="false">
      <c r="A19" s="26" t="s">
        <v>135</v>
      </c>
    </row>
    <row r="20" customFormat="false" ht="15" hidden="false" customHeight="false" outlineLevel="0" collapsed="false">
      <c r="A20" s="26" t="s">
        <v>136</v>
      </c>
    </row>
    <row r="21" customFormat="false" ht="15" hidden="false" customHeight="false" outlineLevel="0" collapsed="false">
      <c r="A21" s="26" t="s">
        <v>137</v>
      </c>
    </row>
    <row r="22" customFormat="false" ht="15" hidden="false" customHeight="false" outlineLevel="0" collapsed="false">
      <c r="A22" s="26"/>
    </row>
    <row r="23" customFormat="false" ht="15" hidden="false" customHeight="false" outlineLevel="0" collapsed="false">
      <c r="A23" s="26" t="s">
        <v>138</v>
      </c>
    </row>
    <row r="24" customFormat="false" ht="15" hidden="false" customHeight="false" outlineLevel="0" collapsed="false">
      <c r="A24" s="26" t="s">
        <v>139</v>
      </c>
    </row>
    <row r="25" customFormat="false" ht="15" hidden="false" customHeight="false" outlineLevel="0" collapsed="false">
      <c r="A25" s="26" t="s">
        <v>140</v>
      </c>
    </row>
    <row r="26" customFormat="false" ht="15" hidden="false" customHeight="false" outlineLevel="0" collapsed="false">
      <c r="A26" s="26" t="s">
        <v>141</v>
      </c>
    </row>
    <row r="27" customFormat="false" ht="15" hidden="false" customHeight="false" outlineLevel="0" collapsed="false">
      <c r="A27" s="26" t="s">
        <v>142</v>
      </c>
    </row>
    <row r="28" customFormat="false" ht="15" hidden="false" customHeight="false" outlineLevel="0" collapsed="false">
      <c r="A28" s="26" t="s">
        <v>143</v>
      </c>
    </row>
    <row r="29" customFormat="false" ht="15" hidden="false" customHeight="false" outlineLevel="0" collapsed="false">
      <c r="A29" s="26" t="s">
        <v>144</v>
      </c>
    </row>
    <row r="30" customFormat="false" ht="15" hidden="false" customHeight="false" outlineLevel="0" collapsed="false">
      <c r="A30" s="26" t="s">
        <v>145</v>
      </c>
    </row>
    <row r="31" customFormat="false" ht="15" hidden="false" customHeight="false" outlineLevel="0" collapsed="false">
      <c r="A31" s="26" t="s">
        <v>146</v>
      </c>
    </row>
    <row r="32" customFormat="false" ht="15" hidden="false" customHeight="false" outlineLevel="0" collapsed="false">
      <c r="A32" s="26" t="s">
        <v>147</v>
      </c>
    </row>
    <row r="33" customFormat="false" ht="15" hidden="false" customHeight="false" outlineLevel="0" collapsed="false">
      <c r="A33" s="26" t="s">
        <v>148</v>
      </c>
    </row>
    <row r="34" customFormat="false" ht="15" hidden="false" customHeight="false" outlineLevel="0" collapsed="false">
      <c r="A34" s="26" t="s">
        <v>149</v>
      </c>
    </row>
    <row r="35" customFormat="false" ht="15" hidden="false" customHeight="false" outlineLevel="0" collapsed="false">
      <c r="A35" s="26" t="s">
        <v>150</v>
      </c>
    </row>
    <row r="36" customFormat="false" ht="15" hidden="false" customHeight="false" outlineLevel="0" collapsed="false">
      <c r="A36" s="26" t="s">
        <v>151</v>
      </c>
    </row>
    <row r="37" customFormat="false" ht="15" hidden="false" customHeight="false" outlineLevel="0" collapsed="false">
      <c r="A37" s="26" t="s">
        <v>152</v>
      </c>
    </row>
    <row r="38" customFormat="false" ht="15" hidden="false" customHeight="false" outlineLevel="0" collapsed="false">
      <c r="A38" s="26" t="s">
        <v>153</v>
      </c>
    </row>
    <row r="39" customFormat="false" ht="15" hidden="false" customHeight="false" outlineLevel="0" collapsed="false">
      <c r="A39" s="26" t="s">
        <v>154</v>
      </c>
    </row>
    <row r="40" customFormat="false" ht="15" hidden="false" customHeight="false" outlineLevel="0" collapsed="false">
      <c r="A40" s="26" t="s">
        <v>155</v>
      </c>
    </row>
    <row r="41" customFormat="false" ht="15" hidden="false" customHeight="false" outlineLevel="0" collapsed="false">
      <c r="A41" s="26" t="s">
        <v>156</v>
      </c>
    </row>
    <row r="42" customFormat="false" ht="15" hidden="false" customHeight="false" outlineLevel="0" collapsed="false">
      <c r="A42" s="26" t="s">
        <v>157</v>
      </c>
    </row>
    <row r="43" customFormat="false" ht="15" hidden="false" customHeight="false" outlineLevel="0" collapsed="false">
      <c r="A43" s="26" t="s">
        <v>158</v>
      </c>
    </row>
    <row r="44" customFormat="false" ht="15" hidden="false" customHeight="false" outlineLevel="0" collapsed="false">
      <c r="A44" s="26" t="s">
        <v>159</v>
      </c>
    </row>
    <row r="45" customFormat="false" ht="15" hidden="false" customHeight="false" outlineLevel="0" collapsed="false">
      <c r="A45" s="26" t="s">
        <v>160</v>
      </c>
    </row>
    <row r="46" customFormat="false" ht="15" hidden="false" customHeight="false" outlineLevel="0" collapsed="false">
      <c r="A46" s="26" t="s">
        <v>161</v>
      </c>
    </row>
    <row r="47" customFormat="false" ht="15" hidden="false" customHeight="false" outlineLevel="0" collapsed="false">
      <c r="A47" s="26" t="s">
        <v>162</v>
      </c>
    </row>
    <row r="48" customFormat="false" ht="15" hidden="false" customHeight="false" outlineLevel="0" collapsed="false">
      <c r="A48" s="26" t="s">
        <v>163</v>
      </c>
    </row>
    <row r="49" customFormat="false" ht="15" hidden="false" customHeight="false" outlineLevel="0" collapsed="false">
      <c r="A49" s="26" t="s">
        <v>164</v>
      </c>
    </row>
    <row r="50" customFormat="false" ht="15" hidden="false" customHeight="false" outlineLevel="0" collapsed="false">
      <c r="A50" s="26" t="s">
        <v>165</v>
      </c>
    </row>
    <row r="51" customFormat="false" ht="15" hidden="false" customHeight="false" outlineLevel="0" collapsed="false">
      <c r="A51" s="26" t="s">
        <v>166</v>
      </c>
    </row>
    <row r="52" customFormat="false" ht="15" hidden="false" customHeight="false" outlineLevel="0" collapsed="false">
      <c r="A52" s="26" t="s">
        <v>162</v>
      </c>
    </row>
    <row r="53" customFormat="false" ht="15" hidden="false" customHeight="false" outlineLevel="0" collapsed="false">
      <c r="A53" s="26" t="s">
        <v>167</v>
      </c>
    </row>
    <row r="54" customFormat="false" ht="15" hidden="false" customHeight="false" outlineLevel="0" collapsed="false">
      <c r="A54" s="26" t="s">
        <v>168</v>
      </c>
    </row>
    <row r="55" customFormat="false" ht="15" hidden="false" customHeight="false" outlineLevel="0" collapsed="false">
      <c r="A55" s="26" t="s">
        <v>169</v>
      </c>
    </row>
    <row r="56" customFormat="false" ht="15" hidden="false" customHeight="false" outlineLevel="0" collapsed="false">
      <c r="A56" s="26" t="s">
        <v>170</v>
      </c>
    </row>
    <row r="57" customFormat="false" ht="15" hidden="false" customHeight="false" outlineLevel="0" collapsed="false">
      <c r="A57" s="26" t="s">
        <v>171</v>
      </c>
    </row>
    <row r="58" customFormat="false" ht="15" hidden="false" customHeight="false" outlineLevel="0" collapsed="false">
      <c r="A58" s="26" t="s">
        <v>172</v>
      </c>
    </row>
    <row r="59" customFormat="false" ht="15" hidden="false" customHeight="false" outlineLevel="0" collapsed="false">
      <c r="A59" s="26" t="s">
        <v>173</v>
      </c>
    </row>
    <row r="60" customFormat="false" ht="15" hidden="false" customHeight="false" outlineLevel="0" collapsed="false">
      <c r="A60" s="26"/>
    </row>
    <row r="61" customFormat="false" ht="15" hidden="false" customHeight="false" outlineLevel="0" collapsed="false">
      <c r="A61" s="26" t="s">
        <v>174</v>
      </c>
    </row>
    <row r="62" customFormat="false" ht="15" hidden="false" customHeight="false" outlineLevel="0" collapsed="false">
      <c r="A62" s="26" t="s">
        <v>175</v>
      </c>
    </row>
    <row r="63" customFormat="false" ht="15" hidden="false" customHeight="false" outlineLevel="0" collapsed="false">
      <c r="A63" s="26" t="s">
        <v>176</v>
      </c>
    </row>
    <row r="64" customFormat="false" ht="15" hidden="false" customHeight="false" outlineLevel="0" collapsed="false">
      <c r="A64" s="26" t="s">
        <v>177</v>
      </c>
    </row>
    <row r="65" customFormat="false" ht="15" hidden="false" customHeight="false" outlineLevel="0" collapsed="false">
      <c r="A65" s="26" t="s">
        <v>178</v>
      </c>
    </row>
    <row r="66" customFormat="false" ht="15" hidden="false" customHeight="false" outlineLevel="0" collapsed="false">
      <c r="A66" s="26" t="s">
        <v>179</v>
      </c>
    </row>
    <row r="67" customFormat="false" ht="15" hidden="false" customHeight="false" outlineLevel="0" collapsed="false">
      <c r="A67" s="26" t="s">
        <v>180</v>
      </c>
    </row>
    <row r="68" customFormat="false" ht="15" hidden="false" customHeight="false" outlineLevel="0" collapsed="false">
      <c r="A68" s="26" t="s">
        <v>181</v>
      </c>
    </row>
    <row r="69" customFormat="false" ht="15" hidden="false" customHeight="false" outlineLevel="0" collapsed="false">
      <c r="A69" s="26"/>
    </row>
    <row r="70" customFormat="false" ht="15" hidden="false" customHeight="false" outlineLevel="0" collapsed="false">
      <c r="A70" s="26" t="s">
        <v>182</v>
      </c>
    </row>
    <row r="71" customFormat="false" ht="15" hidden="false" customHeight="false" outlineLevel="0" collapsed="false">
      <c r="A71" s="26"/>
    </row>
    <row r="72" customFormat="false" ht="15" hidden="false" customHeight="false" outlineLevel="0" collapsed="false">
      <c r="A72" s="26" t="s">
        <v>183</v>
      </c>
    </row>
    <row r="73" customFormat="false" ht="15" hidden="false" customHeight="false" outlineLevel="0" collapsed="false">
      <c r="A73" s="26"/>
    </row>
    <row r="74" customFormat="false" ht="15" hidden="false" customHeight="false" outlineLevel="0" collapsed="false">
      <c r="A74" s="26" t="s">
        <v>184</v>
      </c>
    </row>
    <row r="75" customFormat="false" ht="15" hidden="false" customHeight="false" outlineLevel="0" collapsed="false">
      <c r="A75" s="26" t="s">
        <v>185</v>
      </c>
    </row>
    <row r="76" customFormat="false" ht="15" hidden="false" customHeight="false" outlineLevel="0" collapsed="false">
      <c r="A76" s="26" t="s">
        <v>186</v>
      </c>
    </row>
    <row r="77" customFormat="false" ht="15" hidden="false" customHeight="false" outlineLevel="0" collapsed="false">
      <c r="A77" s="26"/>
    </row>
    <row r="78" customFormat="false" ht="15" hidden="false" customHeight="false" outlineLevel="0" collapsed="false">
      <c r="A78" s="26" t="s">
        <v>187</v>
      </c>
    </row>
    <row r="79" customFormat="false" ht="15" hidden="false" customHeight="false" outlineLevel="0" collapsed="false">
      <c r="A79" s="26" t="s">
        <v>188</v>
      </c>
    </row>
    <row r="80" customFormat="false" ht="15" hidden="false" customHeight="false" outlineLevel="0" collapsed="false">
      <c r="A80" s="26" t="s">
        <v>189</v>
      </c>
    </row>
    <row r="81" customFormat="false" ht="15" hidden="false" customHeight="false" outlineLevel="0" collapsed="false">
      <c r="A81" s="26" t="s">
        <v>190</v>
      </c>
    </row>
    <row r="82" customFormat="false" ht="15" hidden="false" customHeight="false" outlineLevel="0" collapsed="false">
      <c r="A82" s="26" t="s">
        <v>191</v>
      </c>
    </row>
    <row r="83" customFormat="false" ht="15" hidden="false" customHeight="false" outlineLevel="0" collapsed="false">
      <c r="A83" s="26" t="s">
        <v>192</v>
      </c>
    </row>
    <row r="84" customFormat="false" ht="15" hidden="false" customHeight="false" outlineLevel="0" collapsed="false">
      <c r="A84" s="26" t="s">
        <v>172</v>
      </c>
    </row>
    <row r="85" customFormat="false" ht="15" hidden="false" customHeight="false" outlineLevel="0" collapsed="false">
      <c r="A85" s="26" t="s">
        <v>173</v>
      </c>
    </row>
    <row r="86" customFormat="false" ht="15" hidden="false" customHeight="false" outlineLevel="0" collapsed="false">
      <c r="A86" s="26"/>
    </row>
    <row r="87" customFormat="false" ht="15" hidden="false" customHeight="false" outlineLevel="0" collapsed="false">
      <c r="A87" s="26" t="s">
        <v>193</v>
      </c>
    </row>
    <row r="88" customFormat="false" ht="15" hidden="false" customHeight="false" outlineLevel="0" collapsed="false">
      <c r="A88" s="26" t="s">
        <v>194</v>
      </c>
    </row>
    <row r="89" customFormat="false" ht="15" hidden="false" customHeight="false" outlineLevel="0" collapsed="false">
      <c r="A89" s="26" t="s">
        <v>195</v>
      </c>
    </row>
    <row r="90" customFormat="false" ht="15" hidden="false" customHeight="false" outlineLevel="0" collapsed="false">
      <c r="A90" s="26" t="s">
        <v>196</v>
      </c>
    </row>
    <row r="91" customFormat="false" ht="15" hidden="false" customHeight="false" outlineLevel="0" collapsed="false">
      <c r="A91" s="26" t="s">
        <v>181</v>
      </c>
    </row>
    <row r="92" customFormat="false" ht="15" hidden="false" customHeight="false" outlineLevel="0" collapsed="false">
      <c r="A92" s="26"/>
    </row>
    <row r="93" customFormat="false" ht="15" hidden="false" customHeight="false" outlineLevel="0" collapsed="false">
      <c r="A93" s="26" t="s">
        <v>197</v>
      </c>
    </row>
    <row r="94" customFormat="false" ht="15" hidden="false" customHeight="false" outlineLevel="0" collapsed="false">
      <c r="A94" s="26" t="s">
        <v>198</v>
      </c>
    </row>
    <row r="95" customFormat="false" ht="15" hidden="false" customHeight="false" outlineLevel="0" collapsed="false">
      <c r="A95" s="26"/>
    </row>
    <row r="96" customFormat="false" ht="15" hidden="false" customHeight="false" outlineLevel="0" collapsed="false">
      <c r="A96" s="26" t="s">
        <v>199</v>
      </c>
    </row>
    <row r="97" customFormat="false" ht="15" hidden="false" customHeight="false" outlineLevel="0" collapsed="false">
      <c r="A97" s="26" t="s">
        <v>200</v>
      </c>
    </row>
    <row r="98" customFormat="false" ht="15" hidden="false" customHeight="false" outlineLevel="0" collapsed="false">
      <c r="A98" s="26" t="s">
        <v>201</v>
      </c>
    </row>
    <row r="99" customFormat="false" ht="15" hidden="false" customHeight="false" outlineLevel="0" collapsed="false">
      <c r="A99" s="26"/>
    </row>
    <row r="100" customFormat="false" ht="15" hidden="false" customHeight="false" outlineLevel="0" collapsed="false">
      <c r="A100" s="26" t="s">
        <v>202</v>
      </c>
    </row>
    <row r="101" customFormat="false" ht="15" hidden="false" customHeight="false" outlineLevel="0" collapsed="false">
      <c r="A101" s="26" t="s">
        <v>203</v>
      </c>
    </row>
    <row r="102" customFormat="false" ht="15" hidden="false" customHeight="false" outlineLevel="0" collapsed="false">
      <c r="A102" s="26" t="s">
        <v>181</v>
      </c>
    </row>
    <row r="103" customFormat="false" ht="15" hidden="false" customHeight="false" outlineLevel="0" collapsed="false">
      <c r="A103" s="26"/>
    </row>
    <row r="104" customFormat="false" ht="15" hidden="false" customHeight="false" outlineLevel="0" collapsed="false">
      <c r="A104" s="26" t="s">
        <v>182</v>
      </c>
    </row>
    <row r="105" customFormat="false" ht="15" hidden="false" customHeight="false" outlineLevel="0" collapsed="false">
      <c r="A105"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2026-08-28T20:29:33Z</dcterms:created>
  <dc:creator>openpyxl</dc:creator>
  <dc:description/>
  <dc:language>en-US</dc:language>
  <cp:lastModifiedBy/>
  <dcterms:modified xsi:type="dcterms:W3CDTF">2026-08-28T20:29:33Z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