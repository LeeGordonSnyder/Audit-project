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KU Audit" sheetId="1" state="visible" r:id="rId3"/>
    <sheet name="Lists" sheetId="2" state="visible" r:id="rId4"/>
    <sheet name="Instructions" sheetId="3" state="visible" r:id="rId5"/>
    <sheet name="VBA Code" sheetId="4" state="visible" r:id="rId6"/>
  </sheets>
  <calcPr iterateCount="20" refMode="A1" iterate="tru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<sst xmlns="http://schemas.openxmlformats.org/spreadsheetml/2006/main" count="211" uniqueCount="199">
  <si>
    <t xml:space="preserve">SKU Inventory Audit Workbook — Scan Log</t>
  </si>
  <si>
    <t xml:space="preserve">PASTE PRODUCT DATA</t>
  </si>
  <si>
    <t xml:space="preserve">Set your Active Auditor Initials below before scanning/pasting. Paste product data into the yellow zone (columns Q+) to add new audit lines automatically -- each paste creates new rows, stamped with today's date and your initials, which never change later even if the control panel is updated. BOH Qty and Floor Qty are entered separately but always compared to Expected Qty as a combined total.</t>
  </si>
  <si>
    <t xml:space="preserve">Copy product data from the in-store system, click Q3, then paste (Ctrl+V). Each product in the block becomes a new audit line below -- UPC, SKU, Product Name, Description (Color+Size), and Expected Qty (the second Available number) are filled in, and Scan Date / Auditor Initials stamp automatically, same as a normal scan. This zone clears itself right after, ready for the next paste. Requires the macro below (one-time setup -- see the Instructions tab).</t>
  </si>
  <si>
    <t xml:space="preserve">Active Auditor Initials:</t>
  </si>
  <si>
    <t xml:space="preserve">JS</t>
  </si>
  <si>
    <t xml:space="preserve">Today's Date:</t>
  </si>
  <si>
    <t xml:space="preserve">Scan Date</t>
  </si>
  <si>
    <t xml:space="preserve">UPC</t>
  </si>
  <si>
    <t xml:space="preserve">SKU</t>
  </si>
  <si>
    <t xml:space="preserve">Product Name</t>
  </si>
  <si>
    <t xml:space="preserve">Description</t>
  </si>
  <si>
    <t xml:space="preserve">Expected Qty</t>
  </si>
  <si>
    <t xml:space="preserve">BOH Qty</t>
  </si>
  <si>
    <t xml:space="preserve">Floor Qty</t>
  </si>
  <si>
    <t xml:space="preserve">Total Counted Qty</t>
  </si>
  <si>
    <t xml:space="preserve">Variance</t>
  </si>
  <si>
    <t xml:space="preserve">Discrepancy Status</t>
  </si>
  <si>
    <t xml:space="preserve">Auditor Initials</t>
  </si>
  <si>
    <t xml:space="preserve">Check By User</t>
  </si>
  <si>
    <t xml:space="preserve">Marked Out By User</t>
  </si>
  <si>
    <t xml:space="preserve">Notes</t>
  </si>
  <si>
    <t xml:space="preserve">088812340001</t>
  </si>
  <si>
    <t xml:space="preserve">DEMO-COMBO-001</t>
  </si>
  <si>
    <t xml:space="preserve">Demo Item (BOH+Floor Combined Count)</t>
  </si>
  <si>
    <t xml:space="preserve">Illustrates combined-total variance vs. expected</t>
  </si>
  <si>
    <t xml:space="preserve">Morgan Kim</t>
  </si>
  <si>
    <t xml:space="preserve">Demo row - 7 in BOH + 1 on Floor = 8 vs. 9 expected -&gt; one combined shortage of 1, not two separate shortages. Delete before real use.</t>
  </si>
  <si>
    <t xml:space="preserve">073456789012</t>
  </si>
  <si>
    <t xml:space="preserve">DRY-PASTA-16</t>
  </si>
  <si>
    <t xml:space="preserve">Spaghetti Pasta 16oz</t>
  </si>
  <si>
    <t xml:space="preserve">Dry pasta, 16oz box, case of 20</t>
  </si>
  <si>
    <t xml:space="preserve">Jamie Smith</t>
  </si>
  <si>
    <t xml:space="preserve">Demo row - count matched expected. Delete before real use.</t>
  </si>
  <si>
    <t xml:space="preserve">041234567890</t>
  </si>
  <si>
    <t xml:space="preserve">SNK-CHIP-BBQ</t>
  </si>
  <si>
    <t xml:space="preserve">BBQ Potato Chips 8oz</t>
  </si>
  <si>
    <t xml:space="preserve">Bagged snack, BBQ flavor, 8oz bag, case of 12</t>
  </si>
  <si>
    <t xml:space="preserve">Ade Lawal</t>
  </si>
  <si>
    <t xml:space="preserve">Demo row - shrinkage suspected, recount requested. Delete before real use.</t>
  </si>
  <si>
    <t xml:space="preserve">Employee Names</t>
  </si>
  <si>
    <t xml:space="preserve">MK</t>
  </si>
  <si>
    <t xml:space="preserve">AL</t>
  </si>
  <si>
    <t xml:space="preserve">SKU Inventory Audit Workbook — Instructions</t>
  </si>
  <si>
    <t xml:space="preserve">AUDIT WORKFLOW</t>
  </si>
  <si>
    <t xml:space="preserve">1. On the SKU Audit sheet, set Active Auditor Initials (cell B4).</t>
  </si>
  <si>
    <t xml:space="preserve">2. Copy product data from the in-store system and paste it into the yellow Paste Product Data</t>
  </si>
  <si>
    <t xml:space="preserve">   zone (column Q, click Q3 first). Each product in the pasted block becomes a new audit line:</t>
  </si>
  <si>
    <t xml:space="preserve">   UPC, SKU, Product Name, Description (Color+Size combined), and Expected Qty (the SECOND</t>
  </si>
  <si>
    <t xml:space="preserve">   number in the Available field, i.e. total on-hand) are written in automatically, and Scan</t>
  </si>
  <si>
    <t xml:space="preserve">   Date / Auditor Initials stamp themselves, same as a normal scan entry.</t>
  </si>
  <si>
    <t xml:space="preserve">3. Enter BOH Qty and/or Floor Qty as each location is counted. Total Counted Qty, Variance, and</t>
  </si>
  <si>
    <t xml:space="preserve">   Discrepancy Status are always calculated against the COMBINED total of BOH + Floor, not each</t>
  </si>
  <si>
    <t xml:space="preserve">   location separately.</t>
  </si>
  <si>
    <t xml:space="preserve">4. The Scan Date and Auditor Initials never change again once stamped, even if the control panel</t>
  </si>
  <si>
    <t xml:space="preserve">   is updated later -- this preserves audit history.</t>
  </si>
  <si>
    <t xml:space="preserve">5. A second employee can be recorded under Check By User to verify the count.</t>
  </si>
  <si>
    <t xml:space="preserve">6. If a discrepancy is resolved or inventory is written off, record the responsible employee under</t>
  </si>
  <si>
    <t xml:space="preserve">   Marked Out By User, and document details in Notes.</t>
  </si>
  <si>
    <t xml:space="preserve">7. Use the filter arrows on the table header to sort or review by date, SKU, UPC, user, or</t>
  </si>
  <si>
    <t xml:space="preserve">   discrepancy status.</t>
  </si>
  <si>
    <t xml:space="preserve">RE-AUDITING A PRODUCT ALREADY SCANNED BEFORE</t>
  </si>
  <si>
    <t xml:space="preserve">Paste (or type) it again -- this creates a NEW audit line, not an update to the old one. That's</t>
  </si>
  <si>
    <t xml:space="preserve">intentional: every audit event is its own permanent historical record, so re-counting the same</t>
  </si>
  <si>
    <t xml:space="preserve">SKU on a later date shows up as a separate row rather than overwriting the earlier result.</t>
  </si>
  <si>
    <t xml:space="preserve">TYPING A UPC BY HAND INSTEAD OF PASTING</t>
  </si>
  <si>
    <t xml:space="preserve">You can type a UPC directly into a blank row's UPC cell -- Scan Date and Auditor Initials still</t>
  </si>
  <si>
    <t xml:space="preserve">stamp automatically. But SKU, Product Name, Description, and Expected Qty stay blank unless you</t>
  </si>
  <si>
    <t xml:space="preserve">fill them in yourself, since there's no separate reference list for them to be looked up from.</t>
  </si>
  <si>
    <t xml:space="preserve">Pasting is the more accurate/faster path whenever the in-store system's export is available.</t>
  </si>
  <si>
    <t xml:space="preserve">COLOR CODING (auto-updates daily based on Scan Date)</t>
  </si>
  <si>
    <t xml:space="preserve">Green  = scanned 0-14 days ago</t>
  </si>
  <si>
    <t xml:space="preserve">Orange = scanned 15-28 days ago</t>
  </si>
  <si>
    <t xml:space="preserve">Red    = scanned 29+ days ago</t>
  </si>
  <si>
    <t xml:space="preserve">DISCREPANCY STATUS VALUES</t>
  </si>
  <si>
    <t xml:space="preserve">Not Counted        = neither BOH Qty nor Floor Qty entered yet.</t>
  </si>
  <si>
    <t xml:space="preserve">Partially Counted  = only one of BOH Qty / Floor Qty entered so far.</t>
  </si>
  <si>
    <t xml:space="preserve">Match / Overage / Shortage = both locations counted; compares the combined total to Expected Qty.</t>
  </si>
  <si>
    <t xml:space="preserve">LEGEND</t>
  </si>
  <si>
    <t xml:space="preserve">Blue text  = cells you type into, or that the paste feature fills in (UPC, SKU, Product Name,</t>
  </si>
  <si>
    <t xml:space="preserve">             Description, Expected Qty, BOH Qty, Floor Qty, Check By User, Marked Out By User,</t>
  </si>
  <si>
    <t xml:space="preserve">             Notes, and the Active Auditor control panel).</t>
  </si>
  <si>
    <t xml:space="preserve">Black text = automatic formulas -- do not overwrite unless you intend to manually correct a row.</t>
  </si>
  <si>
    <t xml:space="preserve">MAINTAINING THE LISTS SHEET</t>
  </si>
  <si>
    <t xml:space="preserve">Add auditor initials and employee names to the Lists sheet to make them available in the</t>
  </si>
  <si>
    <t xml:space="preserve">dropdown menus on the SKU Audit sheet.</t>
  </si>
  <si>
    <t xml:space="preserve">PASTE AUTOMATION SETUP (one-time, optional)</t>
  </si>
  <si>
    <t xml:space="preserve">The Paste Product Data zone expects this repeating format per product, copied directly from</t>
  </si>
  <si>
    <t xml:space="preserve">your in-store system:</t>
  </si>
  <si>
    <t xml:space="preserve">    Product Name</t>
  </si>
  <si>
    <t xml:space="preserve">    SKU&lt;value&gt;</t>
  </si>
  <si>
    <t xml:space="preserve">    Dept&lt;value&gt;</t>
  </si>
  <si>
    <t xml:space="preserve">    Style&lt;value&gt;</t>
  </si>
  <si>
    <t xml:space="preserve">    Color&lt;value&gt;</t>
  </si>
  <si>
    <t xml:space="preserve">    Size&lt;value&gt;</t>
  </si>
  <si>
    <t xml:space="preserve">    UPC&lt;value&gt;</t>
  </si>
  <si>
    <t xml:space="preserve">    Available&lt;X&gt; / &lt;Y&gt;</t>
  </si>
  <si>
    <t xml:space="preserve">Parsing every product in a pasted block, adding a new audit line per product, and clearing the</t>
  </si>
  <si>
    <t xml:space="preserve">zone afterward all requires a macro, which Excel will not run until you complete this ONE-TIME</t>
  </si>
  <si>
    <t xml:space="preserve">setup:</t>
  </si>
  <si>
    <t xml:space="preserve">1. Save this workbook as a Macro-Enabled Workbook (File &gt; Save As &gt; .xlsm).</t>
  </si>
  <si>
    <t xml:space="preserve">2. Open the VBA editor (Alt+F11).</t>
  </si>
  <si>
    <t xml:space="preserve">3. In the left-hand Project pane, double-click 'SKU Audit' under Microsoft Excel Objects.</t>
  </si>
  <si>
    <t xml:space="preserve">4. Paste the full macro code below into that code pane, then close the VBA editor and save.</t>
  </si>
  <si>
    <t xml:space="preserve">5. On future opens, click 'Enable Content' / 'Enable Macros' when Excel prompts you.</t>
  </si>
  <si>
    <t xml:space="preserve">The complete macro code is provided in the accompanying SKUAudit_PasteUpdate_Macro.txt file</t>
  </si>
  <si>
    <t xml:space="preserve">(and duplicated on the 'VBA Code' tab of this workbook) -- copy it exactly as written.</t>
  </si>
  <si>
    <t xml:space="preserve">Until this setup is done, the Paste Product Data zone simply holds pasted text without parsing</t>
  </si>
  <si>
    <t xml:space="preserve">it; all other features of this workbook (manual scanning, variance, color coding, filters) work</t>
  </si>
  <si>
    <t xml:space="preserve">immediately with no setup required.</t>
  </si>
  <si>
    <t xml:space="preserve">NOTE</t>
  </si>
  <si>
    <t xml:space="preserve">This workbook enables Iterative Calculation (Excel: File &gt; Options &gt; Formulas) to support the</t>
  </si>
  <si>
    <t xml:space="preserve">"freeze on first entry" formulas. This setting is saved in the file, so no manual setup is needed.</t>
  </si>
  <si>
    <t xml:space="preserve">The first three rows on the SKU Audit sheet are example entries demonstrating the color coding</t>
  </si>
  <si>
    <t xml:space="preserve">and workflow -- delete or overwrite them before starting a real audit.</t>
  </si>
  <si>
    <t xml:space="preserve">Paste-Update Macro (paste into the SKU Audit sheet's code module)</t>
  </si>
  <si>
    <t xml:space="preserve">Private Sub Worksheet_Change(ByVal Target As Range)</t>
  </si>
  <si>
    <t xml:space="preserve">    Const PASTE_COL As String = "Q"</t>
  </si>
  <si>
    <t xml:space="preserve">    Const PASTE_FIRST_ROW As Long = 3</t>
  </si>
  <si>
    <t xml:space="preserve">    Const AUDIT_FIRST_ROW As Long = 7</t>
  </si>
  <si>
    <t xml:space="preserve">    Const AUDIT_LAST_ROW As Long = 506</t>
  </si>
  <si>
    <t xml:space="preserve">    Dim pasteRange As Range</t>
  </si>
  <si>
    <t xml:space="preserve">    Set pasteRange = Me.Range(PASTE_COL &amp; PASTE_FIRST_ROW &amp; ":" &amp; PASTE_COL &amp; Me.Rows.Count)</t>
  </si>
  <si>
    <t xml:space="preserve">    If Intersect(Target, pasteRange) Is Nothing Then Exit Sub</t>
  </si>
  <si>
    <t xml:space="preserve">    Dim lastPasted As Long</t>
  </si>
  <si>
    <t xml:space="preserve">    lastPasted = Me.Cells(Me.Rows.Count, PASTE_COL).End(xlUp).Row</t>
  </si>
  <si>
    <t xml:space="preserve">    If lastPasted &lt; PASTE_FIRST_ROW Then Exit Sub</t>
  </si>
  <si>
    <t xml:space="preserve">    Application.EnableEvents = False</t>
  </si>
  <si>
    <t xml:space="preserve">    On Error GoTo CleanUp</t>
  </si>
  <si>
    <t xml:space="preserve">    Dim curName As String, curSKU As String, curColor As String</t>
  </si>
  <si>
    <t xml:space="preserve">    Dim curSize As String, curUPC As String, availVal As String</t>
  </si>
  <si>
    <t xml:space="preserve">    Dim addedCount As Long</t>
  </si>
  <si>
    <t xml:space="preserve">    Dim nextRow As Long</t>
  </si>
  <si>
    <t xml:space="preserve">    nextRow = AUDIT_FIRST_ROW</t>
  </si>
  <si>
    <t xml:space="preserve">    Dim r As Long, ln As String</t>
  </si>
  <si>
    <t xml:space="preserve">    For r = PASTE_FIRST_ROW To lastPasted</t>
  </si>
  <si>
    <t xml:space="preserve">        ln = Trim$(CStr(Me.Cells(r, PASTE_COL).Value))</t>
  </si>
  <si>
    <t xml:space="preserve">        If ln &lt;&gt; "" Then</t>
  </si>
  <si>
    <t xml:space="preserve">            If LCase$(Left$(ln, 3)) = "sku" Then</t>
  </si>
  <si>
    <t xml:space="preserve">                curSKU = Trim$(Mid$(ln, 4))</t>
  </si>
  <si>
    <t xml:space="preserve">            ElseIf LCase$(Left$(ln, 5)) = "color" Then</t>
  </si>
  <si>
    <t xml:space="preserve">                curColor = Trim$(Mid$(ln, 6))</t>
  </si>
  <si>
    <t xml:space="preserve">            ElseIf LCase$(Left$(ln, 4)) = "size" Then</t>
  </si>
  <si>
    <t xml:space="preserve">                curSize = Trim$(Mid$(ln, 5))</t>
  </si>
  <si>
    <t xml:space="preserve">            ElseIf LCase$(Left$(ln, 3)) = "upc" Then</t>
  </si>
  <si>
    <t xml:space="preserve">                curUPC = Trim$(Mid$(ln, 4))</t>
  </si>
  <si>
    <t xml:space="preserve">            ElseIf LCase$(Left$(ln, 4)) = "dept" Then</t>
  </si>
  <si>
    <t xml:space="preserve">                ' Dept is not stored on the audit line -- ignored on purpose.</t>
  </si>
  <si>
    <t xml:space="preserve">            ElseIf LCase$(Left$(ln, 5)) = "style" Then</t>
  </si>
  <si>
    <t xml:space="preserve">                ' Style is not stored on the audit line -- ignored on purpose.</t>
  </si>
  <si>
    <t xml:space="preserve">            ElseIf LCase$(Left$(ln, 9)) = "available" Then</t>
  </si>
  <si>
    <t xml:space="preserve">                Dim availRaw As String, parts() As String</t>
  </si>
  <si>
    <t xml:space="preserve">                availRaw = Trim$(Mid$(ln, 10))</t>
  </si>
  <si>
    <t xml:space="preserve">                parts = Split(availRaw, "/")</t>
  </si>
  <si>
    <t xml:space="preserve">                If UBound(parts) &gt;= 1 Then</t>
  </si>
  <si>
    <t xml:space="preserve">                    availVal = Trim$(parts(1))   ' second number = total on-hand</t>
  </si>
  <si>
    <t xml:space="preserve">                Else</t>
  </si>
  <si>
    <t xml:space="preserve">                    availVal = Trim$(parts(0))</t>
  </si>
  <si>
    <t xml:space="preserve">                End If</t>
  </si>
  <si>
    <t xml:space="preserve">                ' "Available" is always the last field for a product -&gt; write the audit line now.</t>
  </si>
  <si>
    <t xml:space="preserve">                If curUPC &lt;&gt; "" Then</t>
  </si>
  <si>
    <t xml:space="preserve">                    Do While nextRow &lt;= AUDIT_LAST_ROW And Trim$(CStr(Me.Cells(nextRow, "B").Value)) &lt;&gt; ""</t>
  </si>
  <si>
    <t xml:space="preserve">                        nextRow = nextRow + 1</t>
  </si>
  <si>
    <t xml:space="preserve">                    Loop</t>
  </si>
  <si>
    <t xml:space="preserve">                    If nextRow &gt; AUDIT_LAST_ROW Then</t>
  </si>
  <si>
    <t xml:space="preserve">                        MsgBox "No blank audit rows left below row " &amp; AUDIT_LAST_ROW &amp; _</t>
  </si>
  <si>
    <t xml:space="preserve">                               ". Extend the table's formulas before pasting more.", vbExclamation</t>
  </si>
  <si>
    <t xml:space="preserve">                    Else</t>
  </si>
  <si>
    <t xml:space="preserve">                        Me.Cells(nextRow, "C").Value = curSKU</t>
  </si>
  <si>
    <t xml:space="preserve">                        If curName &lt;&gt; "" Then Me.Cells(nextRow, "D").Value = curName</t>
  </si>
  <si>
    <t xml:space="preserve">                        Dim desc As String</t>
  </si>
  <si>
    <t xml:space="preserve">                        desc = Trim$(curColor &amp; " " &amp; curSize)</t>
  </si>
  <si>
    <t xml:space="preserve">                        If desc &lt;&gt; "" Then Me.Cells(nextRow, "E").Value = desc</t>
  </si>
  <si>
    <t xml:space="preserve">                        If availVal &lt;&gt; "" And IsNumeric(availVal) Then</t>
  </si>
  <si>
    <t xml:space="preserve">                            Me.Cells(nextRow, "F").Value = CDbl(availVal)</t>
  </si>
  <si>
    <t xml:space="preserve">                        End If</t>
  </si>
  <si>
    <t xml:space="preserve">                        Me.Cells(nextRow, "B").NumberFormat = "@"</t>
  </si>
  <si>
    <t xml:space="preserve">                        Me.Cells(nextRow, "B").Value = curUPC   ' written last -- triggers the</t>
  </si>
  <si>
    <t xml:space="preserve">                                                                  ' existing Scan Date / Auditor</t>
  </si>
  <si>
    <t xml:space="preserve">                                                                  ' Initials formulas already in</t>
  </si>
  <si>
    <t xml:space="preserve">                                                                  ' this row, same as a manual scan.</t>
  </si>
  <si>
    <t xml:space="preserve">                        addedCount = addedCount + 1</t>
  </si>
  <si>
    <t xml:space="preserve">                    End If</t>
  </si>
  <si>
    <t xml:space="preserve">                curName = "": curSKU = "": curColor = "": curSize = "": curUPC = "": availVal = ""</t>
  </si>
  <si>
    <t xml:space="preserve">            Else</t>
  </si>
  <si>
    <t xml:space="preserve">                ' Unrecognized label -&gt; this is the product name line (start of a new record).</t>
  </si>
  <si>
    <t xml:space="preserve">                curName = ln</t>
  </si>
  <si>
    <t xml:space="preserve">            End If</t>
  </si>
  <si>
    <t xml:space="preserve">        End If</t>
  </si>
  <si>
    <t xml:space="preserve">    Next r</t>
  </si>
  <si>
    <t xml:space="preserve">CleanUp:</t>
  </si>
  <si>
    <t xml:space="preserve">    Me.Range(PASTE_COL &amp; PASTE_FIRST_ROW &amp; ":" &amp; PASTE_COL &amp; lastPasted).ClearContents</t>
  </si>
  <si>
    <t xml:space="preserve">    Application.EnableEvents = True</t>
  </si>
  <si>
    <t xml:space="preserve">    If Err.Number &lt;&gt; 0 Then</t>
  </si>
  <si>
    <t xml:space="preserve">        MsgBox "Paste parsing hit an error: " &amp; Err.Description, vbExclamation</t>
  </si>
  <si>
    <t xml:space="preserve">    ElseIf addedCount &gt; 0 Then</t>
  </si>
  <si>
    <t xml:space="preserve">        MsgBox addedCount &amp; " audit line(s) added.", vbInformation</t>
  </si>
  <si>
    <t xml:space="preserve">    End If</t>
  </si>
  <si>
    <t xml:space="preserve">End Sub</t>
  </si>
</sst>
</file>

<file path=xl/styles.xml><?xml version="1.0" encoding="utf-8"?>
<styleSheet xmlns="http://schemas.openxmlformats.org/spreadsheetml/2006/main">
  <numFmts count="4">
    <numFmt numFmtId="164" formatCode="General"/>
    <numFmt numFmtId="165" formatCode="@"/>
    <numFmt numFmtId="166" formatCode="mm/dd/yyyy"/>
    <numFmt numFmtId="167" formatCode="#,##0;\(#,##0\)"/>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1"/>
      <color rgb="FFFFFFFF"/>
      <name val="Arial"/>
      <family val="0"/>
      <charset val="1"/>
    </font>
    <font>
      <i val="true"/>
      <sz val="9"/>
      <color rgb="FF595959"/>
      <name val="Arial"/>
      <family val="0"/>
      <charset val="1"/>
    </font>
    <font>
      <sz val="9"/>
      <color rgb="FF7F5A00"/>
      <name val="Arial"/>
      <family val="0"/>
      <charset val="1"/>
    </font>
    <font>
      <b val="true"/>
      <sz val="10"/>
      <name val="Arial"/>
      <family val="0"/>
      <charset val="1"/>
    </font>
    <font>
      <b val="true"/>
      <sz val="10"/>
      <color rgb="FF0000FF"/>
      <name val="Arial"/>
      <family val="0"/>
      <charset val="1"/>
    </font>
    <font>
      <sz val="10"/>
      <color rgb="FF000000"/>
      <name val="Arial"/>
      <family val="0"/>
      <charset val="1"/>
    </font>
    <font>
      <sz val="10"/>
      <color rgb="FF0000FF"/>
      <name val="Arial"/>
      <family val="0"/>
      <charset val="1"/>
    </font>
    <font>
      <sz val="10"/>
      <name val="Arial"/>
      <family val="0"/>
      <charset val="1"/>
    </font>
    <font>
      <b val="true"/>
      <sz val="14"/>
      <color rgb="FF1F3864"/>
      <name val="Arial"/>
      <family val="0"/>
      <charset val="1"/>
    </font>
    <font>
      <b val="true"/>
      <sz val="10"/>
      <color rgb="FF1F3864"/>
      <name val="Arial"/>
      <family val="0"/>
      <charset val="1"/>
    </font>
    <font>
      <b val="true"/>
      <sz val="12"/>
      <color rgb="FF1F3864"/>
      <name val="Arial"/>
      <family val="0"/>
      <charset val="1"/>
    </font>
    <font>
      <sz val="10"/>
      <color rgb="FF000000"/>
      <name val="Consolas"/>
      <family val="0"/>
      <charset val="1"/>
    </font>
  </fonts>
  <fills count="6">
    <fill>
      <patternFill patternType="none"/>
    </fill>
    <fill>
      <patternFill patternType="gray125"/>
    </fill>
    <fill>
      <patternFill patternType="solid">
        <fgColor rgb="FF7F5A00"/>
        <bgColor rgb="FF993300"/>
      </patternFill>
    </fill>
    <fill>
      <patternFill patternType="solid">
        <fgColor rgb="FFFFF6CC"/>
        <bgColor rgb="FFFFFFFF"/>
      </patternFill>
    </fill>
    <fill>
      <patternFill patternType="solid">
        <fgColor rgb="FFD9E2F3"/>
        <bgColor rgb="FFC6E8C6"/>
      </patternFill>
    </fill>
    <fill>
      <patternFill patternType="solid">
        <fgColor rgb="FF1F3864"/>
        <bgColor rgb="FF333333"/>
      </patternFill>
    </fill>
  </fills>
  <borders count="3">
    <border diagonalUp="false" diagonalDown="false">
      <left/>
      <right/>
      <top/>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left"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4" borderId="2" xfId="0" applyFont="true" applyBorder="true" applyAlignment="true" applyProtection="false">
      <alignment horizontal="center" vertical="bottom" textRotation="0" wrapText="false" indent="0" shrinkToFit="false"/>
      <protection locked="true" hidden="false"/>
    </xf>
    <xf numFmtId="166" fontId="10" fillId="0" borderId="2" xfId="0" applyFont="true" applyBorder="true" applyAlignment="true" applyProtection="false">
      <alignment horizontal="center" vertical="bottom" textRotation="0" wrapText="false" indent="0" shrinkToFit="false"/>
      <protection locked="true" hidden="false"/>
    </xf>
    <xf numFmtId="164" fontId="7" fillId="3" borderId="2" xfId="0" applyFont="true" applyBorder="true" applyAlignment="false" applyProtection="false">
      <alignment horizontal="general" vertical="bottom" textRotation="0" wrapText="false" indent="0" shrinkToFit="false"/>
      <protection locked="true" hidden="false"/>
    </xf>
    <xf numFmtId="164" fontId="5" fillId="5" borderId="2" xfId="0" applyFont="true" applyBorder="true" applyAlignment="true" applyProtection="false">
      <alignment horizontal="center" vertical="center" textRotation="0" wrapText="tru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C6E8C6"/>
          <bgColor rgb="FF000000"/>
        </patternFill>
      </fill>
    </dxf>
    <dxf>
      <fill>
        <patternFill patternType="solid">
          <fgColor rgb="FFF4B6B6"/>
          <bgColor rgb="FF000000"/>
        </patternFill>
      </fill>
    </dxf>
    <dxf>
      <fill>
        <patternFill patternType="solid">
          <fgColor rgb="FFFBD9A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C6E8C6"/>
        </patternFill>
      </fill>
    </dxf>
    <dxf>
      <fill>
        <patternFill>
          <bgColor rgb="FFFBD9A5"/>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5A00"/>
      <rgbColor rgb="FF800080"/>
      <rgbColor rgb="FF008080"/>
      <rgbColor rgb="FFBFBFBF"/>
      <rgbColor rgb="FF808080"/>
      <rgbColor rgb="FF9999FF"/>
      <rgbColor rgb="FF993366"/>
      <rgbColor rgb="FFFFF6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8C6"/>
      <rgbColor rgb="FFFFFF99"/>
      <rgbColor rgb="FF99CCFF"/>
      <rgbColor rgb="FFF4B6B6"/>
      <rgbColor rgb="FFCC99FF"/>
      <rgbColor rgb="FFFBD9A5"/>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AuditLog" displayName="AuditLog" ref="A6:O506" headerRowCount="1" totalsRowCount="0" totalsRowShown="0">
  <autoFilter ref="A6:O506"/>
  <tableColumns count="15">
    <tableColumn id="1" name="Scan Date"/>
    <tableColumn id="2" name="UPC"/>
    <tableColumn id="3" name="SKU"/>
    <tableColumn id="4" name="Product Name"/>
    <tableColumn id="5" name="Description"/>
    <tableColumn id="6" name="Expected Qty"/>
    <tableColumn id="7" name="BOH Qty"/>
    <tableColumn id="8" name="Floor Qty"/>
    <tableColumn id="9" name="Total Counted Qty"/>
    <tableColumn id="10" name="Variance"/>
    <tableColumn id="11" name="Discrepancy Status"/>
    <tableColumn id="12" name="Auditor Initials"/>
    <tableColumn id="13" name="Check By User"/>
    <tableColumn id="14" name="Marked Out By User"/>
    <tableColumn id="15" name="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4"/>
    <col collapsed="false" customWidth="true" hidden="false" outlineLevel="0" max="4" min="4" style="0" width="22"/>
    <col collapsed="false" customWidth="true" hidden="false" outlineLevel="0" max="5" min="5" style="0" width="26"/>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10"/>
    <col collapsed="false" customWidth="true" hidden="false" outlineLevel="0" max="11" min="11" style="0" width="16"/>
    <col collapsed="false" customWidth="true" hidden="false" outlineLevel="0" max="12" min="12"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17" min="17" style="0" width="26"/>
    <col collapsed="false" customWidth="true" hidden="false" outlineLevel="0" max="18" min="18" style="0" width="4"/>
  </cols>
  <sheetData>
    <row r="1" customFormat="false" ht="24" hidden="false" customHeight="true" outlineLevel="0" collapsed="false">
      <c r="A1" s="1" t="s">
        <v>0</v>
      </c>
      <c r="B1" s="1"/>
      <c r="C1" s="1"/>
      <c r="D1" s="1"/>
      <c r="E1" s="1"/>
      <c r="F1" s="1"/>
      <c r="G1" s="1"/>
      <c r="H1" s="1"/>
      <c r="I1" s="1"/>
      <c r="J1" s="1"/>
      <c r="K1" s="1"/>
      <c r="L1" s="1"/>
      <c r="M1" s="1"/>
      <c r="N1" s="1"/>
      <c r="O1" s="1"/>
      <c r="Q1" s="2" t="s">
        <v>1</v>
      </c>
      <c r="R1" s="2"/>
    </row>
    <row r="2" customFormat="false" ht="42" hidden="false" customHeight="true" outlineLevel="0" collapsed="false">
      <c r="A2" s="3" t="s">
        <v>2</v>
      </c>
      <c r="B2" s="3"/>
      <c r="C2" s="3"/>
      <c r="D2" s="3"/>
      <c r="E2" s="3"/>
      <c r="F2" s="3"/>
      <c r="G2" s="3"/>
      <c r="H2" s="3"/>
      <c r="I2" s="3"/>
      <c r="J2" s="3"/>
      <c r="K2" s="3"/>
      <c r="L2" s="3"/>
      <c r="M2" s="3"/>
      <c r="N2" s="3"/>
      <c r="O2" s="3"/>
      <c r="Q2" s="4" t="s">
        <v>3</v>
      </c>
      <c r="R2" s="4"/>
    </row>
    <row r="3" customFormat="false" ht="15" hidden="false" customHeight="false" outlineLevel="0" collapsed="false">
      <c r="Q3" s="5"/>
    </row>
    <row r="4" customFormat="false" ht="15" hidden="false" customHeight="false" outlineLevel="0" collapsed="false">
      <c r="A4" s="6" t="s">
        <v>4</v>
      </c>
      <c r="B4" s="7" t="s">
        <v>5</v>
      </c>
      <c r="D4" s="6" t="s">
        <v>6</v>
      </c>
      <c r="E4" s="8" t="n">
        <f aca="true">TODAY()</f>
        <v>46264</v>
      </c>
      <c r="Q4" s="9"/>
    </row>
    <row r="5" customFormat="false" ht="15" hidden="false" customHeight="false" outlineLevel="0" collapsed="false">
      <c r="Q5" s="9"/>
    </row>
    <row r="6" customFormat="false" ht="30" hidden="false" customHeight="true" outlineLevel="0" collapsed="false">
      <c r="A6" s="10" t="s">
        <v>7</v>
      </c>
      <c r="B6" s="10" t="s">
        <v>8</v>
      </c>
      <c r="C6" s="10" t="s">
        <v>9</v>
      </c>
      <c r="D6" s="10" t="s">
        <v>10</v>
      </c>
      <c r="E6" s="10" t="s">
        <v>11</v>
      </c>
      <c r="F6" s="10" t="s">
        <v>12</v>
      </c>
      <c r="G6" s="10" t="s">
        <v>13</v>
      </c>
      <c r="H6" s="10" t="s">
        <v>14</v>
      </c>
      <c r="I6" s="10" t="s">
        <v>15</v>
      </c>
      <c r="J6" s="10" t="s">
        <v>16</v>
      </c>
      <c r="K6" s="10" t="s">
        <v>17</v>
      </c>
      <c r="L6" s="10" t="s">
        <v>18</v>
      </c>
      <c r="M6" s="10" t="s">
        <v>19</v>
      </c>
      <c r="N6" s="10" t="s">
        <v>20</v>
      </c>
      <c r="O6" s="10" t="s">
        <v>21</v>
      </c>
      <c r="Q6" s="9"/>
    </row>
    <row r="7" customFormat="false" ht="15" hidden="false" customHeight="false" outlineLevel="0" collapsed="false">
      <c r="A7" s="11" t="n">
        <f aca="true">IF($B7="","",IF(AND(A7&lt;&gt;"",A7&lt;&gt;0),A7,TODAY()))</f>
        <v>46264</v>
      </c>
      <c r="B7" s="12" t="s">
        <v>22</v>
      </c>
      <c r="C7" s="13" t="s">
        <v>23</v>
      </c>
      <c r="D7" s="13" t="s">
        <v>24</v>
      </c>
      <c r="E7" s="13" t="s">
        <v>25</v>
      </c>
      <c r="F7" s="14" t="n">
        <v>9</v>
      </c>
      <c r="G7" s="14" t="n">
        <v>7</v>
      </c>
      <c r="H7" s="14" t="n">
        <v>1</v>
      </c>
      <c r="I7" s="15" t="n">
        <f aca="false">IF($B7="","",IF(AND(G7="",H7=""),"",G7+H7))</f>
        <v>8</v>
      </c>
      <c r="J7" s="15" t="n">
        <f aca="false">IF(OR($B7="",I7=""),"",I7-F7)</f>
        <v>-1</v>
      </c>
      <c r="K7" s="16" t="str">
        <f aca="false">IF($B7="","",IF(AND(G7="",H7=""),"Not Counted",IF(OR(G7="",H7=""),"Partially Counted",IF(J7=0,"Match",IF(J7&gt;0,"Overage","Shortage")))))</f>
        <v>Shortage</v>
      </c>
      <c r="L7" s="16" t="str">
        <f aca="false">IF($B7="","",IF(AND(L7&lt;&gt;"",L7&lt;&gt;0),L7,$B$4))</f>
        <v>JS</v>
      </c>
      <c r="M7" s="13" t="s">
        <v>26</v>
      </c>
      <c r="N7" s="13"/>
      <c r="O7" s="13" t="s">
        <v>27</v>
      </c>
      <c r="Q7" s="9"/>
    </row>
    <row r="8" customFormat="false" ht="15" hidden="false" customHeight="false" outlineLevel="0" collapsed="false">
      <c r="A8" s="11" t="n">
        <f aca="true">TODAY()-20</f>
        <v>46244</v>
      </c>
      <c r="B8" s="12" t="s">
        <v>28</v>
      </c>
      <c r="C8" s="13" t="s">
        <v>29</v>
      </c>
      <c r="D8" s="13" t="s">
        <v>30</v>
      </c>
      <c r="E8" s="13" t="s">
        <v>31</v>
      </c>
      <c r="F8" s="14" t="n">
        <v>60</v>
      </c>
      <c r="G8" s="14" t="n">
        <v>60</v>
      </c>
      <c r="H8" s="14" t="n">
        <v>0</v>
      </c>
      <c r="I8" s="15" t="n">
        <f aca="false">IF($B8="","",IF(AND(G8="",H8=""),"",G8+H8))</f>
        <v>60</v>
      </c>
      <c r="J8" s="15" t="n">
        <f aca="false">IF(OR($B8="",I8=""),"",I8-F8)</f>
        <v>0</v>
      </c>
      <c r="K8" s="16" t="str">
        <f aca="false">IF($B8="","",IF(AND(G8="",H8=""),"Not Counted",IF(OR(G8="",H8=""),"Partially Counted",IF(J8=0,"Match",IF(J8&gt;0,"Overage","Shortage")))))</f>
        <v>Match</v>
      </c>
      <c r="L8" s="16" t="str">
        <f aca="false">IF($B8="","",IF(AND(L8&lt;&gt;"",L8&lt;&gt;0),L8,$B$4))</f>
        <v>JS</v>
      </c>
      <c r="M8" s="13" t="s">
        <v>32</v>
      </c>
      <c r="N8" s="13"/>
      <c r="O8" s="13" t="s">
        <v>33</v>
      </c>
      <c r="Q8" s="9"/>
    </row>
    <row r="9" customFormat="false" ht="15" hidden="false" customHeight="false" outlineLevel="0" collapsed="false">
      <c r="A9" s="11" t="n">
        <f aca="true">TODAY()-35</f>
        <v>46229</v>
      </c>
      <c r="B9" s="12" t="s">
        <v>34</v>
      </c>
      <c r="C9" s="13" t="s">
        <v>35</v>
      </c>
      <c r="D9" s="13" t="s">
        <v>36</v>
      </c>
      <c r="E9" s="13" t="s">
        <v>37</v>
      </c>
      <c r="F9" s="14" t="n">
        <v>96</v>
      </c>
      <c r="G9" s="14" t="n">
        <v>50</v>
      </c>
      <c r="H9" s="14" t="n">
        <v>30</v>
      </c>
      <c r="I9" s="15" t="n">
        <f aca="false">IF($B9="","",IF(AND(G9="",H9=""),"",G9+H9))</f>
        <v>80</v>
      </c>
      <c r="J9" s="15" t="n">
        <f aca="false">IF(OR($B9="",I9=""),"",I9-F9)</f>
        <v>-16</v>
      </c>
      <c r="K9" s="16" t="str">
        <f aca="false">IF($B9="","",IF(AND(G9="",H9=""),"Not Counted",IF(OR(G9="",H9=""),"Partially Counted",IF(J9=0,"Match",IF(J9&gt;0,"Overage","Shortage")))))</f>
        <v>Shortage</v>
      </c>
      <c r="L9" s="16" t="str">
        <f aca="false">IF($B9="","",IF(AND(L9&lt;&gt;"",L9&lt;&gt;0),L9,$B$4))</f>
        <v>JS</v>
      </c>
      <c r="M9" s="13" t="s">
        <v>32</v>
      </c>
      <c r="N9" s="13" t="s">
        <v>38</v>
      </c>
      <c r="O9" s="13" t="s">
        <v>39</v>
      </c>
      <c r="Q9" s="9"/>
    </row>
    <row r="10" customFormat="false" ht="15" hidden="false" customHeight="false" outlineLevel="0" collapsed="false">
      <c r="A10" s="11" t="str">
        <f aca="true">IF($B10="","",IF(AND(A10&lt;&gt;"",A10&lt;&gt;0),A10,TODAY()))</f>
        <v/>
      </c>
      <c r="B10" s="12"/>
      <c r="C10" s="13"/>
      <c r="D10" s="13"/>
      <c r="E10" s="13"/>
      <c r="F10" s="14"/>
      <c r="G10" s="14"/>
      <c r="H10" s="14"/>
      <c r="I10" s="15" t="str">
        <f aca="false">IF($B10="","",IF(AND(G10="",H10=""),"",G10+H10))</f>
        <v/>
      </c>
      <c r="J10" s="15" t="str">
        <f aca="false">IF(OR($B10="",I10=""),"",I10-F10)</f>
        <v/>
      </c>
      <c r="K10" s="16" t="str">
        <f aca="false">IF($B10="","",IF(AND(G10="",H10=""),"Not Counted",IF(OR(G10="",H10=""),"Partially Counted",IF(J10=0,"Match",IF(J10&gt;0,"Overage","Shortage")))))</f>
        <v/>
      </c>
      <c r="L10" s="16" t="str">
        <f aca="false">IF($B10="","",IF(AND(L10&lt;&gt;"",L10&lt;&gt;0),L10,$B$4))</f>
        <v/>
      </c>
      <c r="M10" s="13"/>
      <c r="N10" s="13"/>
      <c r="O10" s="13"/>
      <c r="Q10" s="9"/>
    </row>
    <row r="11" customFormat="false" ht="15" hidden="false" customHeight="false" outlineLevel="0" collapsed="false">
      <c r="A11" s="11" t="str">
        <f aca="true">IF($B11="","",IF(AND(A11&lt;&gt;"",A11&lt;&gt;0),A11,TODAY()))</f>
        <v/>
      </c>
      <c r="B11" s="12"/>
      <c r="C11" s="13"/>
      <c r="D11" s="13"/>
      <c r="E11" s="13"/>
      <c r="F11" s="14"/>
      <c r="G11" s="14"/>
      <c r="H11" s="14"/>
      <c r="I11" s="15" t="str">
        <f aca="false">IF($B11="","",IF(AND(G11="",H11=""),"",G11+H11))</f>
        <v/>
      </c>
      <c r="J11" s="15" t="str">
        <f aca="false">IF(OR($B11="",I11=""),"",I11-F11)</f>
        <v/>
      </c>
      <c r="K11" s="16" t="str">
        <f aca="false">IF($B11="","",IF(AND(G11="",H11=""),"Not Counted",IF(OR(G11="",H11=""),"Partially Counted",IF(J11=0,"Match",IF(J11&gt;0,"Overage","Shortage")))))</f>
        <v/>
      </c>
      <c r="L11" s="16" t="str">
        <f aca="false">IF($B11="","",IF(AND(L11&lt;&gt;"",L11&lt;&gt;0),L11,$B$4))</f>
        <v/>
      </c>
      <c r="M11" s="13"/>
      <c r="N11" s="13"/>
      <c r="O11" s="13"/>
      <c r="Q11" s="9"/>
    </row>
    <row r="12" customFormat="false" ht="15" hidden="false" customHeight="false" outlineLevel="0" collapsed="false">
      <c r="A12" s="11" t="str">
        <f aca="true">IF($B12="","",IF(AND(A12&lt;&gt;"",A12&lt;&gt;0),A12,TODAY()))</f>
        <v/>
      </c>
      <c r="B12" s="12"/>
      <c r="C12" s="13"/>
      <c r="D12" s="13"/>
      <c r="E12" s="13"/>
      <c r="F12" s="14"/>
      <c r="G12" s="14"/>
      <c r="H12" s="14"/>
      <c r="I12" s="15" t="str">
        <f aca="false">IF($B12="","",IF(AND(G12="",H12=""),"",G12+H12))</f>
        <v/>
      </c>
      <c r="J12" s="15" t="str">
        <f aca="false">IF(OR($B12="",I12=""),"",I12-F12)</f>
        <v/>
      </c>
      <c r="K12" s="16" t="str">
        <f aca="false">IF($B12="","",IF(AND(G12="",H12=""),"Not Counted",IF(OR(G12="",H12=""),"Partially Counted",IF(J12=0,"Match",IF(J12&gt;0,"Overage","Shortage")))))</f>
        <v/>
      </c>
      <c r="L12" s="16" t="str">
        <f aca="false">IF($B12="","",IF(AND(L12&lt;&gt;"",L12&lt;&gt;0),L12,$B$4))</f>
        <v/>
      </c>
      <c r="M12" s="13"/>
      <c r="N12" s="13"/>
      <c r="O12" s="13"/>
      <c r="Q12" s="9"/>
    </row>
    <row r="13" customFormat="false" ht="15" hidden="false" customHeight="false" outlineLevel="0" collapsed="false">
      <c r="A13" s="11" t="str">
        <f aca="true">IF($B13="","",IF(AND(A13&lt;&gt;"",A13&lt;&gt;0),A13,TODAY()))</f>
        <v/>
      </c>
      <c r="B13" s="12"/>
      <c r="C13" s="13"/>
      <c r="D13" s="13"/>
      <c r="E13" s="13"/>
      <c r="F13" s="14"/>
      <c r="G13" s="14"/>
      <c r="H13" s="14"/>
      <c r="I13" s="15" t="str">
        <f aca="false">IF($B13="","",IF(AND(G13="",H13=""),"",G13+H13))</f>
        <v/>
      </c>
      <c r="J13" s="15" t="str">
        <f aca="false">IF(OR($B13="",I13=""),"",I13-F13)</f>
        <v/>
      </c>
      <c r="K13" s="16" t="str">
        <f aca="false">IF($B13="","",IF(AND(G13="",H13=""),"Not Counted",IF(OR(G13="",H13=""),"Partially Counted",IF(J13=0,"Match",IF(J13&gt;0,"Overage","Shortage")))))</f>
        <v/>
      </c>
      <c r="L13" s="16" t="str">
        <f aca="false">IF($B13="","",IF(AND(L13&lt;&gt;"",L13&lt;&gt;0),L13,$B$4))</f>
        <v/>
      </c>
      <c r="M13" s="13"/>
      <c r="N13" s="13"/>
      <c r="O13" s="13"/>
      <c r="Q13" s="9"/>
    </row>
    <row r="14" customFormat="false" ht="15" hidden="false" customHeight="false" outlineLevel="0" collapsed="false">
      <c r="A14" s="11" t="str">
        <f aca="true">IF($B14="","",IF(AND(A14&lt;&gt;"",A14&lt;&gt;0),A14,TODAY()))</f>
        <v/>
      </c>
      <c r="B14" s="12"/>
      <c r="C14" s="13"/>
      <c r="D14" s="13"/>
      <c r="E14" s="13"/>
      <c r="F14" s="14"/>
      <c r="G14" s="14"/>
      <c r="H14" s="14"/>
      <c r="I14" s="15" t="str">
        <f aca="false">IF($B14="","",IF(AND(G14="",H14=""),"",G14+H14))</f>
        <v/>
      </c>
      <c r="J14" s="15" t="str">
        <f aca="false">IF(OR($B14="",I14=""),"",I14-F14)</f>
        <v/>
      </c>
      <c r="K14" s="16" t="str">
        <f aca="false">IF($B14="","",IF(AND(G14="",H14=""),"Not Counted",IF(OR(G14="",H14=""),"Partially Counted",IF(J14=0,"Match",IF(J14&gt;0,"Overage","Shortage")))))</f>
        <v/>
      </c>
      <c r="L14" s="16" t="str">
        <f aca="false">IF($B14="","",IF(AND(L14&lt;&gt;"",L14&lt;&gt;0),L14,$B$4))</f>
        <v/>
      </c>
      <c r="M14" s="13"/>
      <c r="N14" s="13"/>
      <c r="O14" s="13"/>
      <c r="Q14" s="9"/>
    </row>
    <row r="15" customFormat="false" ht="15" hidden="false" customHeight="false" outlineLevel="0" collapsed="false">
      <c r="A15" s="11" t="str">
        <f aca="true">IF($B15="","",IF(AND(A15&lt;&gt;"",A15&lt;&gt;0),A15,TODAY()))</f>
        <v/>
      </c>
      <c r="B15" s="12"/>
      <c r="C15" s="13"/>
      <c r="D15" s="13"/>
      <c r="E15" s="13"/>
      <c r="F15" s="14"/>
      <c r="G15" s="14"/>
      <c r="H15" s="14"/>
      <c r="I15" s="15" t="str">
        <f aca="false">IF($B15="","",IF(AND(G15="",H15=""),"",G15+H15))</f>
        <v/>
      </c>
      <c r="J15" s="15" t="str">
        <f aca="false">IF(OR($B15="",I15=""),"",I15-F15)</f>
        <v/>
      </c>
      <c r="K15" s="16" t="str">
        <f aca="false">IF($B15="","",IF(AND(G15="",H15=""),"Not Counted",IF(OR(G15="",H15=""),"Partially Counted",IF(J15=0,"Match",IF(J15&gt;0,"Overage","Shortage")))))</f>
        <v/>
      </c>
      <c r="L15" s="16" t="str">
        <f aca="false">IF($B15="","",IF(AND(L15&lt;&gt;"",L15&lt;&gt;0),L15,$B$4))</f>
        <v/>
      </c>
      <c r="M15" s="13"/>
      <c r="N15" s="13"/>
      <c r="O15" s="13"/>
      <c r="Q15" s="9"/>
    </row>
    <row r="16" customFormat="false" ht="15" hidden="false" customHeight="false" outlineLevel="0" collapsed="false">
      <c r="A16" s="11" t="str">
        <f aca="true">IF($B16="","",IF(AND(A16&lt;&gt;"",A16&lt;&gt;0),A16,TODAY()))</f>
        <v/>
      </c>
      <c r="B16" s="12"/>
      <c r="C16" s="13"/>
      <c r="D16" s="13"/>
      <c r="E16" s="13"/>
      <c r="F16" s="14"/>
      <c r="G16" s="14"/>
      <c r="H16" s="14"/>
      <c r="I16" s="15" t="str">
        <f aca="false">IF($B16="","",IF(AND(G16="",H16=""),"",G16+H16))</f>
        <v/>
      </c>
      <c r="J16" s="15" t="str">
        <f aca="false">IF(OR($B16="",I16=""),"",I16-F16)</f>
        <v/>
      </c>
      <c r="K16" s="16" t="str">
        <f aca="false">IF($B16="","",IF(AND(G16="",H16=""),"Not Counted",IF(OR(G16="",H16=""),"Partially Counted",IF(J16=0,"Match",IF(J16&gt;0,"Overage","Shortage")))))</f>
        <v/>
      </c>
      <c r="L16" s="16" t="str">
        <f aca="false">IF($B16="","",IF(AND(L16&lt;&gt;"",L16&lt;&gt;0),L16,$B$4))</f>
        <v/>
      </c>
      <c r="M16" s="13"/>
      <c r="N16" s="13"/>
      <c r="O16" s="13"/>
      <c r="Q16" s="9"/>
    </row>
    <row r="17" customFormat="false" ht="15" hidden="false" customHeight="false" outlineLevel="0" collapsed="false">
      <c r="A17" s="11" t="str">
        <f aca="true">IF($B17="","",IF(AND(A17&lt;&gt;"",A17&lt;&gt;0),A17,TODAY()))</f>
        <v/>
      </c>
      <c r="B17" s="12"/>
      <c r="C17" s="13"/>
      <c r="D17" s="13"/>
      <c r="E17" s="13"/>
      <c r="F17" s="14"/>
      <c r="G17" s="14"/>
      <c r="H17" s="14"/>
      <c r="I17" s="15" t="str">
        <f aca="false">IF($B17="","",IF(AND(G17="",H17=""),"",G17+H17))</f>
        <v/>
      </c>
      <c r="J17" s="15" t="str">
        <f aca="false">IF(OR($B17="",I17=""),"",I17-F17)</f>
        <v/>
      </c>
      <c r="K17" s="16" t="str">
        <f aca="false">IF($B17="","",IF(AND(G17="",H17=""),"Not Counted",IF(OR(G17="",H17=""),"Partially Counted",IF(J17=0,"Match",IF(J17&gt;0,"Overage","Shortage")))))</f>
        <v/>
      </c>
      <c r="L17" s="16" t="str">
        <f aca="false">IF($B17="","",IF(AND(L17&lt;&gt;"",L17&lt;&gt;0),L17,$B$4))</f>
        <v/>
      </c>
      <c r="M17" s="13"/>
      <c r="N17" s="13"/>
      <c r="O17" s="13"/>
      <c r="Q17" s="9"/>
    </row>
    <row r="18" customFormat="false" ht="15" hidden="false" customHeight="false" outlineLevel="0" collapsed="false">
      <c r="A18" s="11" t="str">
        <f aca="true">IF($B18="","",IF(AND(A18&lt;&gt;"",A18&lt;&gt;0),A18,TODAY()))</f>
        <v/>
      </c>
      <c r="B18" s="12"/>
      <c r="C18" s="13"/>
      <c r="D18" s="13"/>
      <c r="E18" s="13"/>
      <c r="F18" s="14"/>
      <c r="G18" s="14"/>
      <c r="H18" s="14"/>
      <c r="I18" s="15" t="str">
        <f aca="false">IF($B18="","",IF(AND(G18="",H18=""),"",G18+H18))</f>
        <v/>
      </c>
      <c r="J18" s="15" t="str">
        <f aca="false">IF(OR($B18="",I18=""),"",I18-F18)</f>
        <v/>
      </c>
      <c r="K18" s="16" t="str">
        <f aca="false">IF($B18="","",IF(AND(G18="",H18=""),"Not Counted",IF(OR(G18="",H18=""),"Partially Counted",IF(J18=0,"Match",IF(J18&gt;0,"Overage","Shortage")))))</f>
        <v/>
      </c>
      <c r="L18" s="16" t="str">
        <f aca="false">IF($B18="","",IF(AND(L18&lt;&gt;"",L18&lt;&gt;0),L18,$B$4))</f>
        <v/>
      </c>
      <c r="M18" s="13"/>
      <c r="N18" s="13"/>
      <c r="O18" s="13"/>
      <c r="Q18" s="9"/>
    </row>
    <row r="19" customFormat="false" ht="15" hidden="false" customHeight="false" outlineLevel="0" collapsed="false">
      <c r="A19" s="11" t="str">
        <f aca="true">IF($B19="","",IF(AND(A19&lt;&gt;"",A19&lt;&gt;0),A19,TODAY()))</f>
        <v/>
      </c>
      <c r="B19" s="12"/>
      <c r="C19" s="13"/>
      <c r="D19" s="13"/>
      <c r="E19" s="13"/>
      <c r="F19" s="14"/>
      <c r="G19" s="14"/>
      <c r="H19" s="14"/>
      <c r="I19" s="15" t="str">
        <f aca="false">IF($B19="","",IF(AND(G19="",H19=""),"",G19+H19))</f>
        <v/>
      </c>
      <c r="J19" s="15" t="str">
        <f aca="false">IF(OR($B19="",I19=""),"",I19-F19)</f>
        <v/>
      </c>
      <c r="K19" s="16" t="str">
        <f aca="false">IF($B19="","",IF(AND(G19="",H19=""),"Not Counted",IF(OR(G19="",H19=""),"Partially Counted",IF(J19=0,"Match",IF(J19&gt;0,"Overage","Shortage")))))</f>
        <v/>
      </c>
      <c r="L19" s="16" t="str">
        <f aca="false">IF($B19="","",IF(AND(L19&lt;&gt;"",L19&lt;&gt;0),L19,$B$4))</f>
        <v/>
      </c>
      <c r="M19" s="13"/>
      <c r="N19" s="13"/>
      <c r="O19" s="13"/>
      <c r="Q19" s="9"/>
    </row>
    <row r="20" customFormat="false" ht="15" hidden="false" customHeight="false" outlineLevel="0" collapsed="false">
      <c r="A20" s="11" t="str">
        <f aca="true">IF($B20="","",IF(AND(A20&lt;&gt;"",A20&lt;&gt;0),A20,TODAY()))</f>
        <v/>
      </c>
      <c r="B20" s="12"/>
      <c r="C20" s="13"/>
      <c r="D20" s="13"/>
      <c r="E20" s="13"/>
      <c r="F20" s="14"/>
      <c r="G20" s="14"/>
      <c r="H20" s="14"/>
      <c r="I20" s="15" t="str">
        <f aca="false">IF($B20="","",IF(AND(G20="",H20=""),"",G20+H20))</f>
        <v/>
      </c>
      <c r="J20" s="15" t="str">
        <f aca="false">IF(OR($B20="",I20=""),"",I20-F20)</f>
        <v/>
      </c>
      <c r="K20" s="16" t="str">
        <f aca="false">IF($B20="","",IF(AND(G20="",H20=""),"Not Counted",IF(OR(G20="",H20=""),"Partially Counted",IF(J20=0,"Match",IF(J20&gt;0,"Overage","Shortage")))))</f>
        <v/>
      </c>
      <c r="L20" s="16" t="str">
        <f aca="false">IF($B20="","",IF(AND(L20&lt;&gt;"",L20&lt;&gt;0),L20,$B$4))</f>
        <v/>
      </c>
      <c r="M20" s="13"/>
      <c r="N20" s="13"/>
      <c r="O20" s="13"/>
      <c r="Q20" s="9"/>
    </row>
    <row r="21" customFormat="false" ht="15" hidden="false" customHeight="false" outlineLevel="0" collapsed="false">
      <c r="A21" s="11" t="str">
        <f aca="true">IF($B21="","",IF(AND(A21&lt;&gt;"",A21&lt;&gt;0),A21,TODAY()))</f>
        <v/>
      </c>
      <c r="B21" s="12"/>
      <c r="C21" s="13"/>
      <c r="D21" s="13"/>
      <c r="E21" s="13"/>
      <c r="F21" s="14"/>
      <c r="G21" s="14"/>
      <c r="H21" s="14"/>
      <c r="I21" s="15" t="str">
        <f aca="false">IF($B21="","",IF(AND(G21="",H21=""),"",G21+H21))</f>
        <v/>
      </c>
      <c r="J21" s="15" t="str">
        <f aca="false">IF(OR($B21="",I21=""),"",I21-F21)</f>
        <v/>
      </c>
      <c r="K21" s="16" t="str">
        <f aca="false">IF($B21="","",IF(AND(G21="",H21=""),"Not Counted",IF(OR(G21="",H21=""),"Partially Counted",IF(J21=0,"Match",IF(J21&gt;0,"Overage","Shortage")))))</f>
        <v/>
      </c>
      <c r="L21" s="16" t="str">
        <f aca="false">IF($B21="","",IF(AND(L21&lt;&gt;"",L21&lt;&gt;0),L21,$B$4))</f>
        <v/>
      </c>
      <c r="M21" s="13"/>
      <c r="N21" s="13"/>
      <c r="O21" s="13"/>
      <c r="Q21" s="9"/>
    </row>
    <row r="22" customFormat="false" ht="15" hidden="false" customHeight="false" outlineLevel="0" collapsed="false">
      <c r="A22" s="11" t="str">
        <f aca="true">IF($B22="","",IF(AND(A22&lt;&gt;"",A22&lt;&gt;0),A22,TODAY()))</f>
        <v/>
      </c>
      <c r="B22" s="12"/>
      <c r="C22" s="13"/>
      <c r="D22" s="13"/>
      <c r="E22" s="13"/>
      <c r="F22" s="14"/>
      <c r="G22" s="14"/>
      <c r="H22" s="14"/>
      <c r="I22" s="15" t="str">
        <f aca="false">IF($B22="","",IF(AND(G22="",H22=""),"",G22+H22))</f>
        <v/>
      </c>
      <c r="J22" s="15" t="str">
        <f aca="false">IF(OR($B22="",I22=""),"",I22-F22)</f>
        <v/>
      </c>
      <c r="K22" s="16" t="str">
        <f aca="false">IF($B22="","",IF(AND(G22="",H22=""),"Not Counted",IF(OR(G22="",H22=""),"Partially Counted",IF(J22=0,"Match",IF(J22&gt;0,"Overage","Shortage")))))</f>
        <v/>
      </c>
      <c r="L22" s="16" t="str">
        <f aca="false">IF($B22="","",IF(AND(L22&lt;&gt;"",L22&lt;&gt;0),L22,$B$4))</f>
        <v/>
      </c>
      <c r="M22" s="13"/>
      <c r="N22" s="13"/>
      <c r="O22" s="13"/>
      <c r="Q22" s="9"/>
    </row>
    <row r="23" customFormat="false" ht="15" hidden="false" customHeight="false" outlineLevel="0" collapsed="false">
      <c r="A23" s="11" t="str">
        <f aca="true">IF($B23="","",IF(AND(A23&lt;&gt;"",A23&lt;&gt;0),A23,TODAY()))</f>
        <v/>
      </c>
      <c r="B23" s="12"/>
      <c r="C23" s="13"/>
      <c r="D23" s="13"/>
      <c r="E23" s="13"/>
      <c r="F23" s="14"/>
      <c r="G23" s="14"/>
      <c r="H23" s="14"/>
      <c r="I23" s="15" t="str">
        <f aca="false">IF($B23="","",IF(AND(G23="",H23=""),"",G23+H23))</f>
        <v/>
      </c>
      <c r="J23" s="15" t="str">
        <f aca="false">IF(OR($B23="",I23=""),"",I23-F23)</f>
        <v/>
      </c>
      <c r="K23" s="16" t="str">
        <f aca="false">IF($B23="","",IF(AND(G23="",H23=""),"Not Counted",IF(OR(G23="",H23=""),"Partially Counted",IF(J23=0,"Match",IF(J23&gt;0,"Overage","Shortage")))))</f>
        <v/>
      </c>
      <c r="L23" s="16" t="str">
        <f aca="false">IF($B23="","",IF(AND(L23&lt;&gt;"",L23&lt;&gt;0),L23,$B$4))</f>
        <v/>
      </c>
      <c r="M23" s="13"/>
      <c r="N23" s="13"/>
      <c r="O23" s="13"/>
      <c r="Q23" s="9"/>
    </row>
    <row r="24" customFormat="false" ht="15" hidden="false" customHeight="false" outlineLevel="0" collapsed="false">
      <c r="A24" s="11" t="str">
        <f aca="true">IF($B24="","",IF(AND(A24&lt;&gt;"",A24&lt;&gt;0),A24,TODAY()))</f>
        <v/>
      </c>
      <c r="B24" s="12"/>
      <c r="C24" s="13"/>
      <c r="D24" s="13"/>
      <c r="E24" s="13"/>
      <c r="F24" s="14"/>
      <c r="G24" s="14"/>
      <c r="H24" s="14"/>
      <c r="I24" s="15" t="str">
        <f aca="false">IF($B24="","",IF(AND(G24="",H24=""),"",G24+H24))</f>
        <v/>
      </c>
      <c r="J24" s="15" t="str">
        <f aca="false">IF(OR($B24="",I24=""),"",I24-F24)</f>
        <v/>
      </c>
      <c r="K24" s="16" t="str">
        <f aca="false">IF($B24="","",IF(AND(G24="",H24=""),"Not Counted",IF(OR(G24="",H24=""),"Partially Counted",IF(J24=0,"Match",IF(J24&gt;0,"Overage","Shortage")))))</f>
        <v/>
      </c>
      <c r="L24" s="16" t="str">
        <f aca="false">IF($B24="","",IF(AND(L24&lt;&gt;"",L24&lt;&gt;0),L24,$B$4))</f>
        <v/>
      </c>
      <c r="M24" s="13"/>
      <c r="N24" s="13"/>
      <c r="O24" s="13"/>
      <c r="Q24" s="9"/>
    </row>
    <row r="25" customFormat="false" ht="15" hidden="false" customHeight="false" outlineLevel="0" collapsed="false">
      <c r="A25" s="11" t="str">
        <f aca="true">IF($B25="","",IF(AND(A25&lt;&gt;"",A25&lt;&gt;0),A25,TODAY()))</f>
        <v/>
      </c>
      <c r="B25" s="12"/>
      <c r="C25" s="13"/>
      <c r="D25" s="13"/>
      <c r="E25" s="13"/>
      <c r="F25" s="14"/>
      <c r="G25" s="14"/>
      <c r="H25" s="14"/>
      <c r="I25" s="15" t="str">
        <f aca="false">IF($B25="","",IF(AND(G25="",H25=""),"",G25+H25))</f>
        <v/>
      </c>
      <c r="J25" s="15" t="str">
        <f aca="false">IF(OR($B25="",I25=""),"",I25-F25)</f>
        <v/>
      </c>
      <c r="K25" s="16" t="str">
        <f aca="false">IF($B25="","",IF(AND(G25="",H25=""),"Not Counted",IF(OR(G25="",H25=""),"Partially Counted",IF(J25=0,"Match",IF(J25&gt;0,"Overage","Shortage")))))</f>
        <v/>
      </c>
      <c r="L25" s="16" t="str">
        <f aca="false">IF($B25="","",IF(AND(L25&lt;&gt;"",L25&lt;&gt;0),L25,$B$4))</f>
        <v/>
      </c>
      <c r="M25" s="13"/>
      <c r="N25" s="13"/>
      <c r="O25" s="13"/>
      <c r="Q25" s="9"/>
    </row>
    <row r="26" customFormat="false" ht="15" hidden="false" customHeight="false" outlineLevel="0" collapsed="false">
      <c r="A26" s="11" t="str">
        <f aca="true">IF($B26="","",IF(AND(A26&lt;&gt;"",A26&lt;&gt;0),A26,TODAY()))</f>
        <v/>
      </c>
      <c r="B26" s="12"/>
      <c r="C26" s="13"/>
      <c r="D26" s="13"/>
      <c r="E26" s="13"/>
      <c r="F26" s="14"/>
      <c r="G26" s="14"/>
      <c r="H26" s="14"/>
      <c r="I26" s="15" t="str">
        <f aca="false">IF($B26="","",IF(AND(G26="",H26=""),"",G26+H26))</f>
        <v/>
      </c>
      <c r="J26" s="15" t="str">
        <f aca="false">IF(OR($B26="",I26=""),"",I26-F26)</f>
        <v/>
      </c>
      <c r="K26" s="16" t="str">
        <f aca="false">IF($B26="","",IF(AND(G26="",H26=""),"Not Counted",IF(OR(G26="",H26=""),"Partially Counted",IF(J26=0,"Match",IF(J26&gt;0,"Overage","Shortage")))))</f>
        <v/>
      </c>
      <c r="L26" s="16" t="str">
        <f aca="false">IF($B26="","",IF(AND(L26&lt;&gt;"",L26&lt;&gt;0),L26,$B$4))</f>
        <v/>
      </c>
      <c r="M26" s="13"/>
      <c r="N26" s="13"/>
      <c r="O26" s="13"/>
      <c r="Q26" s="9"/>
    </row>
    <row r="27" customFormat="false" ht="15" hidden="false" customHeight="false" outlineLevel="0" collapsed="false">
      <c r="A27" s="11" t="str">
        <f aca="true">IF($B27="","",IF(AND(A27&lt;&gt;"",A27&lt;&gt;0),A27,TODAY()))</f>
        <v/>
      </c>
      <c r="B27" s="12"/>
      <c r="C27" s="13"/>
      <c r="D27" s="13"/>
      <c r="E27" s="13"/>
      <c r="F27" s="14"/>
      <c r="G27" s="14"/>
      <c r="H27" s="14"/>
      <c r="I27" s="15" t="str">
        <f aca="false">IF($B27="","",IF(AND(G27="",H27=""),"",G27+H27))</f>
        <v/>
      </c>
      <c r="J27" s="15" t="str">
        <f aca="false">IF(OR($B27="",I27=""),"",I27-F27)</f>
        <v/>
      </c>
      <c r="K27" s="16" t="str">
        <f aca="false">IF($B27="","",IF(AND(G27="",H27=""),"Not Counted",IF(OR(G27="",H27=""),"Partially Counted",IF(J27=0,"Match",IF(J27&gt;0,"Overage","Shortage")))))</f>
        <v/>
      </c>
      <c r="L27" s="16" t="str">
        <f aca="false">IF($B27="","",IF(AND(L27&lt;&gt;"",L27&lt;&gt;0),L27,$B$4))</f>
        <v/>
      </c>
      <c r="M27" s="13"/>
      <c r="N27" s="13"/>
      <c r="O27" s="13"/>
      <c r="Q27" s="9"/>
    </row>
    <row r="28" customFormat="false" ht="15" hidden="false" customHeight="false" outlineLevel="0" collapsed="false">
      <c r="A28" s="11" t="str">
        <f aca="true">IF($B28="","",IF(AND(A28&lt;&gt;"",A28&lt;&gt;0),A28,TODAY()))</f>
        <v/>
      </c>
      <c r="B28" s="12"/>
      <c r="C28" s="13"/>
      <c r="D28" s="13"/>
      <c r="E28" s="13"/>
      <c r="F28" s="14"/>
      <c r="G28" s="14"/>
      <c r="H28" s="14"/>
      <c r="I28" s="15" t="str">
        <f aca="false">IF($B28="","",IF(AND(G28="",H28=""),"",G28+H28))</f>
        <v/>
      </c>
      <c r="J28" s="15" t="str">
        <f aca="false">IF(OR($B28="",I28=""),"",I28-F28)</f>
        <v/>
      </c>
      <c r="K28" s="16" t="str">
        <f aca="false">IF($B28="","",IF(AND(G28="",H28=""),"Not Counted",IF(OR(G28="",H28=""),"Partially Counted",IF(J28=0,"Match",IF(J28&gt;0,"Overage","Shortage")))))</f>
        <v/>
      </c>
      <c r="L28" s="16" t="str">
        <f aca="false">IF($B28="","",IF(AND(L28&lt;&gt;"",L28&lt;&gt;0),L28,$B$4))</f>
        <v/>
      </c>
      <c r="M28" s="13"/>
      <c r="N28" s="13"/>
      <c r="O28" s="13"/>
      <c r="Q28" s="9"/>
    </row>
    <row r="29" customFormat="false" ht="15" hidden="false" customHeight="false" outlineLevel="0" collapsed="false">
      <c r="A29" s="11" t="str">
        <f aca="true">IF($B29="","",IF(AND(A29&lt;&gt;"",A29&lt;&gt;0),A29,TODAY()))</f>
        <v/>
      </c>
      <c r="B29" s="12"/>
      <c r="C29" s="13"/>
      <c r="D29" s="13"/>
      <c r="E29" s="13"/>
      <c r="F29" s="14"/>
      <c r="G29" s="14"/>
      <c r="H29" s="14"/>
      <c r="I29" s="15" t="str">
        <f aca="false">IF($B29="","",IF(AND(G29="",H29=""),"",G29+H29))</f>
        <v/>
      </c>
      <c r="J29" s="15" t="str">
        <f aca="false">IF(OR($B29="",I29=""),"",I29-F29)</f>
        <v/>
      </c>
      <c r="K29" s="16" t="str">
        <f aca="false">IF($B29="","",IF(AND(G29="",H29=""),"Not Counted",IF(OR(G29="",H29=""),"Partially Counted",IF(J29=0,"Match",IF(J29&gt;0,"Overage","Shortage")))))</f>
        <v/>
      </c>
      <c r="L29" s="16" t="str">
        <f aca="false">IF($B29="","",IF(AND(L29&lt;&gt;"",L29&lt;&gt;0),L29,$B$4))</f>
        <v/>
      </c>
      <c r="M29" s="13"/>
      <c r="N29" s="13"/>
      <c r="O29" s="13"/>
      <c r="Q29" s="9"/>
    </row>
    <row r="30" customFormat="false" ht="15" hidden="false" customHeight="false" outlineLevel="0" collapsed="false">
      <c r="A30" s="11" t="str">
        <f aca="true">IF($B30="","",IF(AND(A30&lt;&gt;"",A30&lt;&gt;0),A30,TODAY()))</f>
        <v/>
      </c>
      <c r="B30" s="12"/>
      <c r="C30" s="13"/>
      <c r="D30" s="13"/>
      <c r="E30" s="13"/>
      <c r="F30" s="14"/>
      <c r="G30" s="14"/>
      <c r="H30" s="14"/>
      <c r="I30" s="15" t="str">
        <f aca="false">IF($B30="","",IF(AND(G30="",H30=""),"",G30+H30))</f>
        <v/>
      </c>
      <c r="J30" s="15" t="str">
        <f aca="false">IF(OR($B30="",I30=""),"",I30-F30)</f>
        <v/>
      </c>
      <c r="K30" s="16" t="str">
        <f aca="false">IF($B30="","",IF(AND(G30="",H30=""),"Not Counted",IF(OR(G30="",H30=""),"Partially Counted",IF(J30=0,"Match",IF(J30&gt;0,"Overage","Shortage")))))</f>
        <v/>
      </c>
      <c r="L30" s="16" t="str">
        <f aca="false">IF($B30="","",IF(AND(L30&lt;&gt;"",L30&lt;&gt;0),L30,$B$4))</f>
        <v/>
      </c>
      <c r="M30" s="13"/>
      <c r="N30" s="13"/>
      <c r="O30" s="13"/>
      <c r="Q30" s="9"/>
    </row>
    <row r="31" customFormat="false" ht="15" hidden="false" customHeight="false" outlineLevel="0" collapsed="false">
      <c r="A31" s="11" t="str">
        <f aca="true">IF($B31="","",IF(AND(A31&lt;&gt;"",A31&lt;&gt;0),A31,TODAY()))</f>
        <v/>
      </c>
      <c r="B31" s="12"/>
      <c r="C31" s="13"/>
      <c r="D31" s="13"/>
      <c r="E31" s="13"/>
      <c r="F31" s="14"/>
      <c r="G31" s="14"/>
      <c r="H31" s="14"/>
      <c r="I31" s="15" t="str">
        <f aca="false">IF($B31="","",IF(AND(G31="",H31=""),"",G31+H31))</f>
        <v/>
      </c>
      <c r="J31" s="15" t="str">
        <f aca="false">IF(OR($B31="",I31=""),"",I31-F31)</f>
        <v/>
      </c>
      <c r="K31" s="16" t="str">
        <f aca="false">IF($B31="","",IF(AND(G31="",H31=""),"Not Counted",IF(OR(G31="",H31=""),"Partially Counted",IF(J31=0,"Match",IF(J31&gt;0,"Overage","Shortage")))))</f>
        <v/>
      </c>
      <c r="L31" s="16" t="str">
        <f aca="false">IF($B31="","",IF(AND(L31&lt;&gt;"",L31&lt;&gt;0),L31,$B$4))</f>
        <v/>
      </c>
      <c r="M31" s="13"/>
      <c r="N31" s="13"/>
      <c r="O31" s="13"/>
      <c r="Q31" s="9"/>
    </row>
    <row r="32" customFormat="false" ht="15" hidden="false" customHeight="false" outlineLevel="0" collapsed="false">
      <c r="A32" s="11" t="str">
        <f aca="true">IF($B32="","",IF(AND(A32&lt;&gt;"",A32&lt;&gt;0),A32,TODAY()))</f>
        <v/>
      </c>
      <c r="B32" s="12"/>
      <c r="C32" s="13"/>
      <c r="D32" s="13"/>
      <c r="E32" s="13"/>
      <c r="F32" s="14"/>
      <c r="G32" s="14"/>
      <c r="H32" s="14"/>
      <c r="I32" s="15" t="str">
        <f aca="false">IF($B32="","",IF(AND(G32="",H32=""),"",G32+H32))</f>
        <v/>
      </c>
      <c r="J32" s="15" t="str">
        <f aca="false">IF(OR($B32="",I32=""),"",I32-F32)</f>
        <v/>
      </c>
      <c r="K32" s="16" t="str">
        <f aca="false">IF($B32="","",IF(AND(G32="",H32=""),"Not Counted",IF(OR(G32="",H32=""),"Partially Counted",IF(J32=0,"Match",IF(J32&gt;0,"Overage","Shortage")))))</f>
        <v/>
      </c>
      <c r="L32" s="16" t="str">
        <f aca="false">IF($B32="","",IF(AND(L32&lt;&gt;"",L32&lt;&gt;0),L32,$B$4))</f>
        <v/>
      </c>
      <c r="M32" s="13"/>
      <c r="N32" s="13"/>
      <c r="O32" s="13"/>
      <c r="Q32" s="9"/>
    </row>
    <row r="33" customFormat="false" ht="15" hidden="false" customHeight="false" outlineLevel="0" collapsed="false">
      <c r="A33" s="11" t="str">
        <f aca="true">IF($B33="","",IF(AND(A33&lt;&gt;"",A33&lt;&gt;0),A33,TODAY()))</f>
        <v/>
      </c>
      <c r="B33" s="12"/>
      <c r="C33" s="13"/>
      <c r="D33" s="13"/>
      <c r="E33" s="13"/>
      <c r="F33" s="14"/>
      <c r="G33" s="14"/>
      <c r="H33" s="14"/>
      <c r="I33" s="15" t="str">
        <f aca="false">IF($B33="","",IF(AND(G33="",H33=""),"",G33+H33))</f>
        <v/>
      </c>
      <c r="J33" s="15" t="str">
        <f aca="false">IF(OR($B33="",I33=""),"",I33-F33)</f>
        <v/>
      </c>
      <c r="K33" s="16" t="str">
        <f aca="false">IF($B33="","",IF(AND(G33="",H33=""),"Not Counted",IF(OR(G33="",H33=""),"Partially Counted",IF(J33=0,"Match",IF(J33&gt;0,"Overage","Shortage")))))</f>
        <v/>
      </c>
      <c r="L33" s="16" t="str">
        <f aca="false">IF($B33="","",IF(AND(L33&lt;&gt;"",L33&lt;&gt;0),L33,$B$4))</f>
        <v/>
      </c>
      <c r="M33" s="13"/>
      <c r="N33" s="13"/>
      <c r="O33" s="13"/>
      <c r="Q33" s="9"/>
    </row>
    <row r="34" customFormat="false" ht="15" hidden="false" customHeight="false" outlineLevel="0" collapsed="false">
      <c r="A34" s="11" t="str">
        <f aca="true">IF($B34="","",IF(AND(A34&lt;&gt;"",A34&lt;&gt;0),A34,TODAY()))</f>
        <v/>
      </c>
      <c r="B34" s="12"/>
      <c r="C34" s="13"/>
      <c r="D34" s="13"/>
      <c r="E34" s="13"/>
      <c r="F34" s="14"/>
      <c r="G34" s="14"/>
      <c r="H34" s="14"/>
      <c r="I34" s="15" t="str">
        <f aca="false">IF($B34="","",IF(AND(G34="",H34=""),"",G34+H34))</f>
        <v/>
      </c>
      <c r="J34" s="15" t="str">
        <f aca="false">IF(OR($B34="",I34=""),"",I34-F34)</f>
        <v/>
      </c>
      <c r="K34" s="16" t="str">
        <f aca="false">IF($B34="","",IF(AND(G34="",H34=""),"Not Counted",IF(OR(G34="",H34=""),"Partially Counted",IF(J34=0,"Match",IF(J34&gt;0,"Overage","Shortage")))))</f>
        <v/>
      </c>
      <c r="L34" s="16" t="str">
        <f aca="false">IF($B34="","",IF(AND(L34&lt;&gt;"",L34&lt;&gt;0),L34,$B$4))</f>
        <v/>
      </c>
      <c r="M34" s="13"/>
      <c r="N34" s="13"/>
      <c r="O34" s="13"/>
      <c r="Q34" s="9"/>
    </row>
    <row r="35" customFormat="false" ht="15" hidden="false" customHeight="false" outlineLevel="0" collapsed="false">
      <c r="A35" s="11" t="str">
        <f aca="true">IF($B35="","",IF(AND(A35&lt;&gt;"",A35&lt;&gt;0),A35,TODAY()))</f>
        <v/>
      </c>
      <c r="B35" s="12"/>
      <c r="C35" s="13"/>
      <c r="D35" s="13"/>
      <c r="E35" s="13"/>
      <c r="F35" s="14"/>
      <c r="G35" s="14"/>
      <c r="H35" s="14"/>
      <c r="I35" s="15" t="str">
        <f aca="false">IF($B35="","",IF(AND(G35="",H35=""),"",G35+H35))</f>
        <v/>
      </c>
      <c r="J35" s="15" t="str">
        <f aca="false">IF(OR($B35="",I35=""),"",I35-F35)</f>
        <v/>
      </c>
      <c r="K35" s="16" t="str">
        <f aca="false">IF($B35="","",IF(AND(G35="",H35=""),"Not Counted",IF(OR(G35="",H35=""),"Partially Counted",IF(J35=0,"Match",IF(J35&gt;0,"Overage","Shortage")))))</f>
        <v/>
      </c>
      <c r="L35" s="16" t="str">
        <f aca="false">IF($B35="","",IF(AND(L35&lt;&gt;"",L35&lt;&gt;0),L35,$B$4))</f>
        <v/>
      </c>
      <c r="M35" s="13"/>
      <c r="N35" s="13"/>
      <c r="O35" s="13"/>
      <c r="Q35" s="9"/>
    </row>
    <row r="36" customFormat="false" ht="15" hidden="false" customHeight="false" outlineLevel="0" collapsed="false">
      <c r="A36" s="11" t="str">
        <f aca="true">IF($B36="","",IF(AND(A36&lt;&gt;"",A36&lt;&gt;0),A36,TODAY()))</f>
        <v/>
      </c>
      <c r="B36" s="12"/>
      <c r="C36" s="13"/>
      <c r="D36" s="13"/>
      <c r="E36" s="13"/>
      <c r="F36" s="14"/>
      <c r="G36" s="14"/>
      <c r="H36" s="14"/>
      <c r="I36" s="15" t="str">
        <f aca="false">IF($B36="","",IF(AND(G36="",H36=""),"",G36+H36))</f>
        <v/>
      </c>
      <c r="J36" s="15" t="str">
        <f aca="false">IF(OR($B36="",I36=""),"",I36-F36)</f>
        <v/>
      </c>
      <c r="K36" s="16" t="str">
        <f aca="false">IF($B36="","",IF(AND(G36="",H36=""),"Not Counted",IF(OR(G36="",H36=""),"Partially Counted",IF(J36=0,"Match",IF(J36&gt;0,"Overage","Shortage")))))</f>
        <v/>
      </c>
      <c r="L36" s="16" t="str">
        <f aca="false">IF($B36="","",IF(AND(L36&lt;&gt;"",L36&lt;&gt;0),L36,$B$4))</f>
        <v/>
      </c>
      <c r="M36" s="13"/>
      <c r="N36" s="13"/>
      <c r="O36" s="13"/>
      <c r="Q36" s="9"/>
    </row>
    <row r="37" customFormat="false" ht="15" hidden="false" customHeight="false" outlineLevel="0" collapsed="false">
      <c r="A37" s="11" t="str">
        <f aca="true">IF($B37="","",IF(AND(A37&lt;&gt;"",A37&lt;&gt;0),A37,TODAY()))</f>
        <v/>
      </c>
      <c r="B37" s="12"/>
      <c r="C37" s="13"/>
      <c r="D37" s="13"/>
      <c r="E37" s="13"/>
      <c r="F37" s="14"/>
      <c r="G37" s="14"/>
      <c r="H37" s="14"/>
      <c r="I37" s="15" t="str">
        <f aca="false">IF($B37="","",IF(AND(G37="",H37=""),"",G37+H37))</f>
        <v/>
      </c>
      <c r="J37" s="15" t="str">
        <f aca="false">IF(OR($B37="",I37=""),"",I37-F37)</f>
        <v/>
      </c>
      <c r="K37" s="16" t="str">
        <f aca="false">IF($B37="","",IF(AND(G37="",H37=""),"Not Counted",IF(OR(G37="",H37=""),"Partially Counted",IF(J37=0,"Match",IF(J37&gt;0,"Overage","Shortage")))))</f>
        <v/>
      </c>
      <c r="L37" s="16" t="str">
        <f aca="false">IF($B37="","",IF(AND(L37&lt;&gt;"",L37&lt;&gt;0),L37,$B$4))</f>
        <v/>
      </c>
      <c r="M37" s="13"/>
      <c r="N37" s="13"/>
      <c r="O37" s="13"/>
      <c r="Q37" s="9"/>
    </row>
    <row r="38" customFormat="false" ht="15" hidden="false" customHeight="false" outlineLevel="0" collapsed="false">
      <c r="A38" s="11" t="str">
        <f aca="true">IF($B38="","",IF(AND(A38&lt;&gt;"",A38&lt;&gt;0),A38,TODAY()))</f>
        <v/>
      </c>
      <c r="B38" s="12"/>
      <c r="C38" s="13"/>
      <c r="D38" s="13"/>
      <c r="E38" s="13"/>
      <c r="F38" s="14"/>
      <c r="G38" s="14"/>
      <c r="H38" s="14"/>
      <c r="I38" s="15" t="str">
        <f aca="false">IF($B38="","",IF(AND(G38="",H38=""),"",G38+H38))</f>
        <v/>
      </c>
      <c r="J38" s="15" t="str">
        <f aca="false">IF(OR($B38="",I38=""),"",I38-F38)</f>
        <v/>
      </c>
      <c r="K38" s="16" t="str">
        <f aca="false">IF($B38="","",IF(AND(G38="",H38=""),"Not Counted",IF(OR(G38="",H38=""),"Partially Counted",IF(J38=0,"Match",IF(J38&gt;0,"Overage","Shortage")))))</f>
        <v/>
      </c>
      <c r="L38" s="16" t="str">
        <f aca="false">IF($B38="","",IF(AND(L38&lt;&gt;"",L38&lt;&gt;0),L38,$B$4))</f>
        <v/>
      </c>
      <c r="M38" s="13"/>
      <c r="N38" s="13"/>
      <c r="O38" s="13"/>
      <c r="Q38" s="9"/>
    </row>
    <row r="39" customFormat="false" ht="15" hidden="false" customHeight="false" outlineLevel="0" collapsed="false">
      <c r="A39" s="11" t="str">
        <f aca="true">IF($B39="","",IF(AND(A39&lt;&gt;"",A39&lt;&gt;0),A39,TODAY()))</f>
        <v/>
      </c>
      <c r="B39" s="12"/>
      <c r="C39" s="13"/>
      <c r="D39" s="13"/>
      <c r="E39" s="13"/>
      <c r="F39" s="14"/>
      <c r="G39" s="14"/>
      <c r="H39" s="14"/>
      <c r="I39" s="15" t="str">
        <f aca="false">IF($B39="","",IF(AND(G39="",H39=""),"",G39+H39))</f>
        <v/>
      </c>
      <c r="J39" s="15" t="str">
        <f aca="false">IF(OR($B39="",I39=""),"",I39-F39)</f>
        <v/>
      </c>
      <c r="K39" s="16" t="str">
        <f aca="false">IF($B39="","",IF(AND(G39="",H39=""),"Not Counted",IF(OR(G39="",H39=""),"Partially Counted",IF(J39=0,"Match",IF(J39&gt;0,"Overage","Shortage")))))</f>
        <v/>
      </c>
      <c r="L39" s="16" t="str">
        <f aca="false">IF($B39="","",IF(AND(L39&lt;&gt;"",L39&lt;&gt;0),L39,$B$4))</f>
        <v/>
      </c>
      <c r="M39" s="13"/>
      <c r="N39" s="13"/>
      <c r="O39" s="13"/>
      <c r="Q39" s="9"/>
    </row>
    <row r="40" customFormat="false" ht="15" hidden="false" customHeight="false" outlineLevel="0" collapsed="false">
      <c r="A40" s="11" t="str">
        <f aca="true">IF($B40="","",IF(AND(A40&lt;&gt;"",A40&lt;&gt;0),A40,TODAY()))</f>
        <v/>
      </c>
      <c r="B40" s="12"/>
      <c r="C40" s="13"/>
      <c r="D40" s="13"/>
      <c r="E40" s="13"/>
      <c r="F40" s="14"/>
      <c r="G40" s="14"/>
      <c r="H40" s="14"/>
      <c r="I40" s="15" t="str">
        <f aca="false">IF($B40="","",IF(AND(G40="",H40=""),"",G40+H40))</f>
        <v/>
      </c>
      <c r="J40" s="15" t="str">
        <f aca="false">IF(OR($B40="",I40=""),"",I40-F40)</f>
        <v/>
      </c>
      <c r="K40" s="16" t="str">
        <f aca="false">IF($B40="","",IF(AND(G40="",H40=""),"Not Counted",IF(OR(G40="",H40=""),"Partially Counted",IF(J40=0,"Match",IF(J40&gt;0,"Overage","Shortage")))))</f>
        <v/>
      </c>
      <c r="L40" s="16" t="str">
        <f aca="false">IF($B40="","",IF(AND(L40&lt;&gt;"",L40&lt;&gt;0),L40,$B$4))</f>
        <v/>
      </c>
      <c r="M40" s="13"/>
      <c r="N40" s="13"/>
      <c r="O40" s="13"/>
      <c r="Q40" s="9"/>
    </row>
    <row r="41" customFormat="false" ht="15" hidden="false" customHeight="false" outlineLevel="0" collapsed="false">
      <c r="A41" s="11" t="str">
        <f aca="true">IF($B41="","",IF(AND(A41&lt;&gt;"",A41&lt;&gt;0),A41,TODAY()))</f>
        <v/>
      </c>
      <c r="B41" s="12"/>
      <c r="C41" s="13"/>
      <c r="D41" s="13"/>
      <c r="E41" s="13"/>
      <c r="F41" s="14"/>
      <c r="G41" s="14"/>
      <c r="H41" s="14"/>
      <c r="I41" s="15" t="str">
        <f aca="false">IF($B41="","",IF(AND(G41="",H41=""),"",G41+H41))</f>
        <v/>
      </c>
      <c r="J41" s="15" t="str">
        <f aca="false">IF(OR($B41="",I41=""),"",I41-F41)</f>
        <v/>
      </c>
      <c r="K41" s="16" t="str">
        <f aca="false">IF($B41="","",IF(AND(G41="",H41=""),"Not Counted",IF(OR(G41="",H41=""),"Partially Counted",IF(J41=0,"Match",IF(J41&gt;0,"Overage","Shortage")))))</f>
        <v/>
      </c>
      <c r="L41" s="16" t="str">
        <f aca="false">IF($B41="","",IF(AND(L41&lt;&gt;"",L41&lt;&gt;0),L41,$B$4))</f>
        <v/>
      </c>
      <c r="M41" s="13"/>
      <c r="N41" s="13"/>
      <c r="O41" s="13"/>
      <c r="Q41" s="9"/>
    </row>
    <row r="42" customFormat="false" ht="15" hidden="false" customHeight="false" outlineLevel="0" collapsed="false">
      <c r="A42" s="11" t="str">
        <f aca="true">IF($B42="","",IF(AND(A42&lt;&gt;"",A42&lt;&gt;0),A42,TODAY()))</f>
        <v/>
      </c>
      <c r="B42" s="12"/>
      <c r="C42" s="13"/>
      <c r="D42" s="13"/>
      <c r="E42" s="13"/>
      <c r="F42" s="14"/>
      <c r="G42" s="14"/>
      <c r="H42" s="14"/>
      <c r="I42" s="15" t="str">
        <f aca="false">IF($B42="","",IF(AND(G42="",H42=""),"",G42+H42))</f>
        <v/>
      </c>
      <c r="J42" s="15" t="str">
        <f aca="false">IF(OR($B42="",I42=""),"",I42-F42)</f>
        <v/>
      </c>
      <c r="K42" s="16" t="str">
        <f aca="false">IF($B42="","",IF(AND(G42="",H42=""),"Not Counted",IF(OR(G42="",H42=""),"Partially Counted",IF(J42=0,"Match",IF(J42&gt;0,"Overage","Shortage")))))</f>
        <v/>
      </c>
      <c r="L42" s="16" t="str">
        <f aca="false">IF($B42="","",IF(AND(L42&lt;&gt;"",L42&lt;&gt;0),L42,$B$4))</f>
        <v/>
      </c>
      <c r="M42" s="13"/>
      <c r="N42" s="13"/>
      <c r="O42" s="13"/>
      <c r="Q42" s="9"/>
    </row>
    <row r="43" customFormat="false" ht="15" hidden="false" customHeight="false" outlineLevel="0" collapsed="false">
      <c r="A43" s="11" t="str">
        <f aca="true">IF($B43="","",IF(AND(A43&lt;&gt;"",A43&lt;&gt;0),A43,TODAY()))</f>
        <v/>
      </c>
      <c r="B43" s="12"/>
      <c r="C43" s="13"/>
      <c r="D43" s="13"/>
      <c r="E43" s="13"/>
      <c r="F43" s="14"/>
      <c r="G43" s="14"/>
      <c r="H43" s="14"/>
      <c r="I43" s="15" t="str">
        <f aca="false">IF($B43="","",IF(AND(G43="",H43=""),"",G43+H43))</f>
        <v/>
      </c>
      <c r="J43" s="15" t="str">
        <f aca="false">IF(OR($B43="",I43=""),"",I43-F43)</f>
        <v/>
      </c>
      <c r="K43" s="16" t="str">
        <f aca="false">IF($B43="","",IF(AND(G43="",H43=""),"Not Counted",IF(OR(G43="",H43=""),"Partially Counted",IF(J43=0,"Match",IF(J43&gt;0,"Overage","Shortage")))))</f>
        <v/>
      </c>
      <c r="L43" s="16" t="str">
        <f aca="false">IF($B43="","",IF(AND(L43&lt;&gt;"",L43&lt;&gt;0),L43,$B$4))</f>
        <v/>
      </c>
      <c r="M43" s="13"/>
      <c r="N43" s="13"/>
      <c r="O43" s="13"/>
      <c r="Q43" s="9"/>
    </row>
    <row r="44" customFormat="false" ht="15" hidden="false" customHeight="false" outlineLevel="0" collapsed="false">
      <c r="A44" s="11" t="str">
        <f aca="true">IF($B44="","",IF(AND(A44&lt;&gt;"",A44&lt;&gt;0),A44,TODAY()))</f>
        <v/>
      </c>
      <c r="B44" s="12"/>
      <c r="C44" s="13"/>
      <c r="D44" s="13"/>
      <c r="E44" s="13"/>
      <c r="F44" s="14"/>
      <c r="G44" s="14"/>
      <c r="H44" s="14"/>
      <c r="I44" s="15" t="str">
        <f aca="false">IF($B44="","",IF(AND(G44="",H44=""),"",G44+H44))</f>
        <v/>
      </c>
      <c r="J44" s="15" t="str">
        <f aca="false">IF(OR($B44="",I44=""),"",I44-F44)</f>
        <v/>
      </c>
      <c r="K44" s="16" t="str">
        <f aca="false">IF($B44="","",IF(AND(G44="",H44=""),"Not Counted",IF(OR(G44="",H44=""),"Partially Counted",IF(J44=0,"Match",IF(J44&gt;0,"Overage","Shortage")))))</f>
        <v/>
      </c>
      <c r="L44" s="16" t="str">
        <f aca="false">IF($B44="","",IF(AND(L44&lt;&gt;"",L44&lt;&gt;0),L44,$B$4))</f>
        <v/>
      </c>
      <c r="M44" s="13"/>
      <c r="N44" s="13"/>
      <c r="O44" s="13"/>
      <c r="Q44" s="9"/>
    </row>
    <row r="45" customFormat="false" ht="15" hidden="false" customHeight="false" outlineLevel="0" collapsed="false">
      <c r="A45" s="11" t="str">
        <f aca="true">IF($B45="","",IF(AND(A45&lt;&gt;"",A45&lt;&gt;0),A45,TODAY()))</f>
        <v/>
      </c>
      <c r="B45" s="12"/>
      <c r="C45" s="13"/>
      <c r="D45" s="13"/>
      <c r="E45" s="13"/>
      <c r="F45" s="14"/>
      <c r="G45" s="14"/>
      <c r="H45" s="14"/>
      <c r="I45" s="15" t="str">
        <f aca="false">IF($B45="","",IF(AND(G45="",H45=""),"",G45+H45))</f>
        <v/>
      </c>
      <c r="J45" s="15" t="str">
        <f aca="false">IF(OR($B45="",I45=""),"",I45-F45)</f>
        <v/>
      </c>
      <c r="K45" s="16" t="str">
        <f aca="false">IF($B45="","",IF(AND(G45="",H45=""),"Not Counted",IF(OR(G45="",H45=""),"Partially Counted",IF(J45=0,"Match",IF(J45&gt;0,"Overage","Shortage")))))</f>
        <v/>
      </c>
      <c r="L45" s="16" t="str">
        <f aca="false">IF($B45="","",IF(AND(L45&lt;&gt;"",L45&lt;&gt;0),L45,$B$4))</f>
        <v/>
      </c>
      <c r="M45" s="13"/>
      <c r="N45" s="13"/>
      <c r="O45" s="13"/>
      <c r="Q45" s="9"/>
    </row>
    <row r="46" customFormat="false" ht="15" hidden="false" customHeight="false" outlineLevel="0" collapsed="false">
      <c r="A46" s="11" t="str">
        <f aca="true">IF($B46="","",IF(AND(A46&lt;&gt;"",A46&lt;&gt;0),A46,TODAY()))</f>
        <v/>
      </c>
      <c r="B46" s="12"/>
      <c r="C46" s="13"/>
      <c r="D46" s="13"/>
      <c r="E46" s="13"/>
      <c r="F46" s="14"/>
      <c r="G46" s="14"/>
      <c r="H46" s="14"/>
      <c r="I46" s="15" t="str">
        <f aca="false">IF($B46="","",IF(AND(G46="",H46=""),"",G46+H46))</f>
        <v/>
      </c>
      <c r="J46" s="15" t="str">
        <f aca="false">IF(OR($B46="",I46=""),"",I46-F46)</f>
        <v/>
      </c>
      <c r="K46" s="16" t="str">
        <f aca="false">IF($B46="","",IF(AND(G46="",H46=""),"Not Counted",IF(OR(G46="",H46=""),"Partially Counted",IF(J46=0,"Match",IF(J46&gt;0,"Overage","Shortage")))))</f>
        <v/>
      </c>
      <c r="L46" s="16" t="str">
        <f aca="false">IF($B46="","",IF(AND(L46&lt;&gt;"",L46&lt;&gt;0),L46,$B$4))</f>
        <v/>
      </c>
      <c r="M46" s="13"/>
      <c r="N46" s="13"/>
      <c r="O46" s="13"/>
      <c r="Q46" s="9"/>
    </row>
    <row r="47" customFormat="false" ht="15" hidden="false" customHeight="false" outlineLevel="0" collapsed="false">
      <c r="A47" s="11" t="str">
        <f aca="true">IF($B47="","",IF(AND(A47&lt;&gt;"",A47&lt;&gt;0),A47,TODAY()))</f>
        <v/>
      </c>
      <c r="B47" s="12"/>
      <c r="C47" s="13"/>
      <c r="D47" s="13"/>
      <c r="E47" s="13"/>
      <c r="F47" s="14"/>
      <c r="G47" s="14"/>
      <c r="H47" s="14"/>
      <c r="I47" s="15" t="str">
        <f aca="false">IF($B47="","",IF(AND(G47="",H47=""),"",G47+H47))</f>
        <v/>
      </c>
      <c r="J47" s="15" t="str">
        <f aca="false">IF(OR($B47="",I47=""),"",I47-F47)</f>
        <v/>
      </c>
      <c r="K47" s="16" t="str">
        <f aca="false">IF($B47="","",IF(AND(G47="",H47=""),"Not Counted",IF(OR(G47="",H47=""),"Partially Counted",IF(J47=0,"Match",IF(J47&gt;0,"Overage","Shortage")))))</f>
        <v/>
      </c>
      <c r="L47" s="16" t="str">
        <f aca="false">IF($B47="","",IF(AND(L47&lt;&gt;"",L47&lt;&gt;0),L47,$B$4))</f>
        <v/>
      </c>
      <c r="M47" s="13"/>
      <c r="N47" s="13"/>
      <c r="O47" s="13"/>
      <c r="Q47" s="9"/>
    </row>
    <row r="48" customFormat="false" ht="15" hidden="false" customHeight="false" outlineLevel="0" collapsed="false">
      <c r="A48" s="11" t="str">
        <f aca="true">IF($B48="","",IF(AND(A48&lt;&gt;"",A48&lt;&gt;0),A48,TODAY()))</f>
        <v/>
      </c>
      <c r="B48" s="12"/>
      <c r="C48" s="13"/>
      <c r="D48" s="13"/>
      <c r="E48" s="13"/>
      <c r="F48" s="14"/>
      <c r="G48" s="14"/>
      <c r="H48" s="14"/>
      <c r="I48" s="15" t="str">
        <f aca="false">IF($B48="","",IF(AND(G48="",H48=""),"",G48+H48))</f>
        <v/>
      </c>
      <c r="J48" s="15" t="str">
        <f aca="false">IF(OR($B48="",I48=""),"",I48-F48)</f>
        <v/>
      </c>
      <c r="K48" s="16" t="str">
        <f aca="false">IF($B48="","",IF(AND(G48="",H48=""),"Not Counted",IF(OR(G48="",H48=""),"Partially Counted",IF(J48=0,"Match",IF(J48&gt;0,"Overage","Shortage")))))</f>
        <v/>
      </c>
      <c r="L48" s="16" t="str">
        <f aca="false">IF($B48="","",IF(AND(L48&lt;&gt;"",L48&lt;&gt;0),L48,$B$4))</f>
        <v/>
      </c>
      <c r="M48" s="13"/>
      <c r="N48" s="13"/>
      <c r="O48" s="13"/>
      <c r="Q48" s="9"/>
    </row>
    <row r="49" customFormat="false" ht="15" hidden="false" customHeight="false" outlineLevel="0" collapsed="false">
      <c r="A49" s="11" t="str">
        <f aca="true">IF($B49="","",IF(AND(A49&lt;&gt;"",A49&lt;&gt;0),A49,TODAY()))</f>
        <v/>
      </c>
      <c r="B49" s="12"/>
      <c r="C49" s="13"/>
      <c r="D49" s="13"/>
      <c r="E49" s="13"/>
      <c r="F49" s="14"/>
      <c r="G49" s="14"/>
      <c r="H49" s="14"/>
      <c r="I49" s="15" t="str">
        <f aca="false">IF($B49="","",IF(AND(G49="",H49=""),"",G49+H49))</f>
        <v/>
      </c>
      <c r="J49" s="15" t="str">
        <f aca="false">IF(OR($B49="",I49=""),"",I49-F49)</f>
        <v/>
      </c>
      <c r="K49" s="16" t="str">
        <f aca="false">IF($B49="","",IF(AND(G49="",H49=""),"Not Counted",IF(OR(G49="",H49=""),"Partially Counted",IF(J49=0,"Match",IF(J49&gt;0,"Overage","Shortage")))))</f>
        <v/>
      </c>
      <c r="L49" s="16" t="str">
        <f aca="false">IF($B49="","",IF(AND(L49&lt;&gt;"",L49&lt;&gt;0),L49,$B$4))</f>
        <v/>
      </c>
      <c r="M49" s="13"/>
      <c r="N49" s="13"/>
      <c r="O49" s="13"/>
      <c r="Q49" s="9"/>
    </row>
    <row r="50" customFormat="false" ht="15" hidden="false" customHeight="false" outlineLevel="0" collapsed="false">
      <c r="A50" s="11" t="str">
        <f aca="true">IF($B50="","",IF(AND(A50&lt;&gt;"",A50&lt;&gt;0),A50,TODAY()))</f>
        <v/>
      </c>
      <c r="B50" s="12"/>
      <c r="C50" s="13"/>
      <c r="D50" s="13"/>
      <c r="E50" s="13"/>
      <c r="F50" s="14"/>
      <c r="G50" s="14"/>
      <c r="H50" s="14"/>
      <c r="I50" s="15" t="str">
        <f aca="false">IF($B50="","",IF(AND(G50="",H50=""),"",G50+H50))</f>
        <v/>
      </c>
      <c r="J50" s="15" t="str">
        <f aca="false">IF(OR($B50="",I50=""),"",I50-F50)</f>
        <v/>
      </c>
      <c r="K50" s="16" t="str">
        <f aca="false">IF($B50="","",IF(AND(G50="",H50=""),"Not Counted",IF(OR(G50="",H50=""),"Partially Counted",IF(J50=0,"Match",IF(J50&gt;0,"Overage","Shortage")))))</f>
        <v/>
      </c>
      <c r="L50" s="16" t="str">
        <f aca="false">IF($B50="","",IF(AND(L50&lt;&gt;"",L50&lt;&gt;0),L50,$B$4))</f>
        <v/>
      </c>
      <c r="M50" s="13"/>
      <c r="N50" s="13"/>
      <c r="O50" s="13"/>
      <c r="Q50" s="9"/>
    </row>
    <row r="51" customFormat="false" ht="15" hidden="false" customHeight="false" outlineLevel="0" collapsed="false">
      <c r="A51" s="11" t="str">
        <f aca="true">IF($B51="","",IF(AND(A51&lt;&gt;"",A51&lt;&gt;0),A51,TODAY()))</f>
        <v/>
      </c>
      <c r="B51" s="12"/>
      <c r="C51" s="13"/>
      <c r="D51" s="13"/>
      <c r="E51" s="13"/>
      <c r="F51" s="14"/>
      <c r="G51" s="14"/>
      <c r="H51" s="14"/>
      <c r="I51" s="15" t="str">
        <f aca="false">IF($B51="","",IF(AND(G51="",H51=""),"",G51+H51))</f>
        <v/>
      </c>
      <c r="J51" s="15" t="str">
        <f aca="false">IF(OR($B51="",I51=""),"",I51-F51)</f>
        <v/>
      </c>
      <c r="K51" s="16" t="str">
        <f aca="false">IF($B51="","",IF(AND(G51="",H51=""),"Not Counted",IF(OR(G51="",H51=""),"Partially Counted",IF(J51=0,"Match",IF(J51&gt;0,"Overage","Shortage")))))</f>
        <v/>
      </c>
      <c r="L51" s="16" t="str">
        <f aca="false">IF($B51="","",IF(AND(L51&lt;&gt;"",L51&lt;&gt;0),L51,$B$4))</f>
        <v/>
      </c>
      <c r="M51" s="13"/>
      <c r="N51" s="13"/>
      <c r="O51" s="13"/>
      <c r="Q51" s="9"/>
    </row>
    <row r="52" customFormat="false" ht="15" hidden="false" customHeight="false" outlineLevel="0" collapsed="false">
      <c r="A52" s="11" t="str">
        <f aca="true">IF($B52="","",IF(AND(A52&lt;&gt;"",A52&lt;&gt;0),A52,TODAY()))</f>
        <v/>
      </c>
      <c r="B52" s="12"/>
      <c r="C52" s="13"/>
      <c r="D52" s="13"/>
      <c r="E52" s="13"/>
      <c r="F52" s="14"/>
      <c r="G52" s="14"/>
      <c r="H52" s="14"/>
      <c r="I52" s="15" t="str">
        <f aca="false">IF($B52="","",IF(AND(G52="",H52=""),"",G52+H52))</f>
        <v/>
      </c>
      <c r="J52" s="15" t="str">
        <f aca="false">IF(OR($B52="",I52=""),"",I52-F52)</f>
        <v/>
      </c>
      <c r="K52" s="16" t="str">
        <f aca="false">IF($B52="","",IF(AND(G52="",H52=""),"Not Counted",IF(OR(G52="",H52=""),"Partially Counted",IF(J52=0,"Match",IF(J52&gt;0,"Overage","Shortage")))))</f>
        <v/>
      </c>
      <c r="L52" s="16" t="str">
        <f aca="false">IF($B52="","",IF(AND(L52&lt;&gt;"",L52&lt;&gt;0),L52,$B$4))</f>
        <v/>
      </c>
      <c r="M52" s="13"/>
      <c r="N52" s="13"/>
      <c r="O52" s="13"/>
      <c r="Q52" s="9"/>
    </row>
    <row r="53" customFormat="false" ht="15" hidden="false" customHeight="false" outlineLevel="0" collapsed="false">
      <c r="A53" s="11" t="str">
        <f aca="true">IF($B53="","",IF(AND(A53&lt;&gt;"",A53&lt;&gt;0),A53,TODAY()))</f>
        <v/>
      </c>
      <c r="B53" s="12"/>
      <c r="C53" s="13"/>
      <c r="D53" s="13"/>
      <c r="E53" s="13"/>
      <c r="F53" s="14"/>
      <c r="G53" s="14"/>
      <c r="H53" s="14"/>
      <c r="I53" s="15" t="str">
        <f aca="false">IF($B53="","",IF(AND(G53="",H53=""),"",G53+H53))</f>
        <v/>
      </c>
      <c r="J53" s="15" t="str">
        <f aca="false">IF(OR($B53="",I53=""),"",I53-F53)</f>
        <v/>
      </c>
      <c r="K53" s="16" t="str">
        <f aca="false">IF($B53="","",IF(AND(G53="",H53=""),"Not Counted",IF(OR(G53="",H53=""),"Partially Counted",IF(J53=0,"Match",IF(J53&gt;0,"Overage","Shortage")))))</f>
        <v/>
      </c>
      <c r="L53" s="16" t="str">
        <f aca="false">IF($B53="","",IF(AND(L53&lt;&gt;"",L53&lt;&gt;0),L53,$B$4))</f>
        <v/>
      </c>
      <c r="M53" s="13"/>
      <c r="N53" s="13"/>
      <c r="O53" s="13"/>
      <c r="Q53" s="9"/>
    </row>
    <row r="54" customFormat="false" ht="15" hidden="false" customHeight="false" outlineLevel="0" collapsed="false">
      <c r="A54" s="11" t="str">
        <f aca="true">IF($B54="","",IF(AND(A54&lt;&gt;"",A54&lt;&gt;0),A54,TODAY()))</f>
        <v/>
      </c>
      <c r="B54" s="12"/>
      <c r="C54" s="13"/>
      <c r="D54" s="13"/>
      <c r="E54" s="13"/>
      <c r="F54" s="14"/>
      <c r="G54" s="14"/>
      <c r="H54" s="14"/>
      <c r="I54" s="15" t="str">
        <f aca="false">IF($B54="","",IF(AND(G54="",H54=""),"",G54+H54))</f>
        <v/>
      </c>
      <c r="J54" s="15" t="str">
        <f aca="false">IF(OR($B54="",I54=""),"",I54-F54)</f>
        <v/>
      </c>
      <c r="K54" s="16" t="str">
        <f aca="false">IF($B54="","",IF(AND(G54="",H54=""),"Not Counted",IF(OR(G54="",H54=""),"Partially Counted",IF(J54=0,"Match",IF(J54&gt;0,"Overage","Shortage")))))</f>
        <v/>
      </c>
      <c r="L54" s="16" t="str">
        <f aca="false">IF($B54="","",IF(AND(L54&lt;&gt;"",L54&lt;&gt;0),L54,$B$4))</f>
        <v/>
      </c>
      <c r="M54" s="13"/>
      <c r="N54" s="13"/>
      <c r="O54" s="13"/>
      <c r="Q54" s="9"/>
    </row>
    <row r="55" customFormat="false" ht="15" hidden="false" customHeight="false" outlineLevel="0" collapsed="false">
      <c r="A55" s="11" t="str">
        <f aca="true">IF($B55="","",IF(AND(A55&lt;&gt;"",A55&lt;&gt;0),A55,TODAY()))</f>
        <v/>
      </c>
      <c r="B55" s="12"/>
      <c r="C55" s="13"/>
      <c r="D55" s="13"/>
      <c r="E55" s="13"/>
      <c r="F55" s="14"/>
      <c r="G55" s="14"/>
      <c r="H55" s="14"/>
      <c r="I55" s="15" t="str">
        <f aca="false">IF($B55="","",IF(AND(G55="",H55=""),"",G55+H55))</f>
        <v/>
      </c>
      <c r="J55" s="15" t="str">
        <f aca="false">IF(OR($B55="",I55=""),"",I55-F55)</f>
        <v/>
      </c>
      <c r="K55" s="16" t="str">
        <f aca="false">IF($B55="","",IF(AND(G55="",H55=""),"Not Counted",IF(OR(G55="",H55=""),"Partially Counted",IF(J55=0,"Match",IF(J55&gt;0,"Overage","Shortage")))))</f>
        <v/>
      </c>
      <c r="L55" s="16" t="str">
        <f aca="false">IF($B55="","",IF(AND(L55&lt;&gt;"",L55&lt;&gt;0),L55,$B$4))</f>
        <v/>
      </c>
      <c r="M55" s="13"/>
      <c r="N55" s="13"/>
      <c r="O55" s="13"/>
      <c r="Q55" s="9"/>
    </row>
    <row r="56" customFormat="false" ht="15" hidden="false" customHeight="false" outlineLevel="0" collapsed="false">
      <c r="A56" s="11" t="str">
        <f aca="true">IF($B56="","",IF(AND(A56&lt;&gt;"",A56&lt;&gt;0),A56,TODAY()))</f>
        <v/>
      </c>
      <c r="B56" s="12"/>
      <c r="C56" s="13"/>
      <c r="D56" s="13"/>
      <c r="E56" s="13"/>
      <c r="F56" s="14"/>
      <c r="G56" s="14"/>
      <c r="H56" s="14"/>
      <c r="I56" s="15" t="str">
        <f aca="false">IF($B56="","",IF(AND(G56="",H56=""),"",G56+H56))</f>
        <v/>
      </c>
      <c r="J56" s="15" t="str">
        <f aca="false">IF(OR($B56="",I56=""),"",I56-F56)</f>
        <v/>
      </c>
      <c r="K56" s="16" t="str">
        <f aca="false">IF($B56="","",IF(AND(G56="",H56=""),"Not Counted",IF(OR(G56="",H56=""),"Partially Counted",IF(J56=0,"Match",IF(J56&gt;0,"Overage","Shortage")))))</f>
        <v/>
      </c>
      <c r="L56" s="16" t="str">
        <f aca="false">IF($B56="","",IF(AND(L56&lt;&gt;"",L56&lt;&gt;0),L56,$B$4))</f>
        <v/>
      </c>
      <c r="M56" s="13"/>
      <c r="N56" s="13"/>
      <c r="O56" s="13"/>
      <c r="Q56" s="9"/>
    </row>
    <row r="57" customFormat="false" ht="15" hidden="false" customHeight="false" outlineLevel="0" collapsed="false">
      <c r="A57" s="11" t="str">
        <f aca="true">IF($B57="","",IF(AND(A57&lt;&gt;"",A57&lt;&gt;0),A57,TODAY()))</f>
        <v/>
      </c>
      <c r="B57" s="12"/>
      <c r="C57" s="13"/>
      <c r="D57" s="13"/>
      <c r="E57" s="13"/>
      <c r="F57" s="14"/>
      <c r="G57" s="14"/>
      <c r="H57" s="14"/>
      <c r="I57" s="15" t="str">
        <f aca="false">IF($B57="","",IF(AND(G57="",H57=""),"",G57+H57))</f>
        <v/>
      </c>
      <c r="J57" s="15" t="str">
        <f aca="false">IF(OR($B57="",I57=""),"",I57-F57)</f>
        <v/>
      </c>
      <c r="K57" s="16" t="str">
        <f aca="false">IF($B57="","",IF(AND(G57="",H57=""),"Not Counted",IF(OR(G57="",H57=""),"Partially Counted",IF(J57=0,"Match",IF(J57&gt;0,"Overage","Shortage")))))</f>
        <v/>
      </c>
      <c r="L57" s="16" t="str">
        <f aca="false">IF($B57="","",IF(AND(L57&lt;&gt;"",L57&lt;&gt;0),L57,$B$4))</f>
        <v/>
      </c>
      <c r="M57" s="13"/>
      <c r="N57" s="13"/>
      <c r="O57" s="13"/>
      <c r="Q57" s="9"/>
    </row>
    <row r="58" customFormat="false" ht="15" hidden="false" customHeight="false" outlineLevel="0" collapsed="false">
      <c r="A58" s="11" t="str">
        <f aca="true">IF($B58="","",IF(AND(A58&lt;&gt;"",A58&lt;&gt;0),A58,TODAY()))</f>
        <v/>
      </c>
      <c r="B58" s="12"/>
      <c r="C58" s="13"/>
      <c r="D58" s="13"/>
      <c r="E58" s="13"/>
      <c r="F58" s="14"/>
      <c r="G58" s="14"/>
      <c r="H58" s="14"/>
      <c r="I58" s="15" t="str">
        <f aca="false">IF($B58="","",IF(AND(G58="",H58=""),"",G58+H58))</f>
        <v/>
      </c>
      <c r="J58" s="15" t="str">
        <f aca="false">IF(OR($B58="",I58=""),"",I58-F58)</f>
        <v/>
      </c>
      <c r="K58" s="16" t="str">
        <f aca="false">IF($B58="","",IF(AND(G58="",H58=""),"Not Counted",IF(OR(G58="",H58=""),"Partially Counted",IF(J58=0,"Match",IF(J58&gt;0,"Overage","Shortage")))))</f>
        <v/>
      </c>
      <c r="L58" s="16" t="str">
        <f aca="false">IF($B58="","",IF(AND(L58&lt;&gt;"",L58&lt;&gt;0),L58,$B$4))</f>
        <v/>
      </c>
      <c r="M58" s="13"/>
      <c r="N58" s="13"/>
      <c r="O58" s="13"/>
      <c r="Q58" s="9"/>
    </row>
    <row r="59" customFormat="false" ht="15" hidden="false" customHeight="false" outlineLevel="0" collapsed="false">
      <c r="A59" s="11" t="str">
        <f aca="true">IF($B59="","",IF(AND(A59&lt;&gt;"",A59&lt;&gt;0),A59,TODAY()))</f>
        <v/>
      </c>
      <c r="B59" s="12"/>
      <c r="C59" s="13"/>
      <c r="D59" s="13"/>
      <c r="E59" s="13"/>
      <c r="F59" s="14"/>
      <c r="G59" s="14"/>
      <c r="H59" s="14"/>
      <c r="I59" s="15" t="str">
        <f aca="false">IF($B59="","",IF(AND(G59="",H59=""),"",G59+H59))</f>
        <v/>
      </c>
      <c r="J59" s="15" t="str">
        <f aca="false">IF(OR($B59="",I59=""),"",I59-F59)</f>
        <v/>
      </c>
      <c r="K59" s="16" t="str">
        <f aca="false">IF($B59="","",IF(AND(G59="",H59=""),"Not Counted",IF(OR(G59="",H59=""),"Partially Counted",IF(J59=0,"Match",IF(J59&gt;0,"Overage","Shortage")))))</f>
        <v/>
      </c>
      <c r="L59" s="16" t="str">
        <f aca="false">IF($B59="","",IF(AND(L59&lt;&gt;"",L59&lt;&gt;0),L59,$B$4))</f>
        <v/>
      </c>
      <c r="M59" s="13"/>
      <c r="N59" s="13"/>
      <c r="O59" s="13"/>
      <c r="Q59" s="9"/>
    </row>
    <row r="60" customFormat="false" ht="15" hidden="false" customHeight="false" outlineLevel="0" collapsed="false">
      <c r="A60" s="11" t="str">
        <f aca="true">IF($B60="","",IF(AND(A60&lt;&gt;"",A60&lt;&gt;0),A60,TODAY()))</f>
        <v/>
      </c>
      <c r="B60" s="12"/>
      <c r="C60" s="13"/>
      <c r="D60" s="13"/>
      <c r="E60" s="13"/>
      <c r="F60" s="14"/>
      <c r="G60" s="14"/>
      <c r="H60" s="14"/>
      <c r="I60" s="15" t="str">
        <f aca="false">IF($B60="","",IF(AND(G60="",H60=""),"",G60+H60))</f>
        <v/>
      </c>
      <c r="J60" s="15" t="str">
        <f aca="false">IF(OR($B60="",I60=""),"",I60-F60)</f>
        <v/>
      </c>
      <c r="K60" s="16" t="str">
        <f aca="false">IF($B60="","",IF(AND(G60="",H60=""),"Not Counted",IF(OR(G60="",H60=""),"Partially Counted",IF(J60=0,"Match",IF(J60&gt;0,"Overage","Shortage")))))</f>
        <v/>
      </c>
      <c r="L60" s="16" t="str">
        <f aca="false">IF($B60="","",IF(AND(L60&lt;&gt;"",L60&lt;&gt;0),L60,$B$4))</f>
        <v/>
      </c>
      <c r="M60" s="13"/>
      <c r="N60" s="13"/>
      <c r="O60" s="13"/>
      <c r="Q60" s="9"/>
    </row>
    <row r="61" customFormat="false" ht="15" hidden="false" customHeight="false" outlineLevel="0" collapsed="false">
      <c r="A61" s="11" t="str">
        <f aca="true">IF($B61="","",IF(AND(A61&lt;&gt;"",A61&lt;&gt;0),A61,TODAY()))</f>
        <v/>
      </c>
      <c r="B61" s="12"/>
      <c r="C61" s="13"/>
      <c r="D61" s="13"/>
      <c r="E61" s="13"/>
      <c r="F61" s="14"/>
      <c r="G61" s="14"/>
      <c r="H61" s="14"/>
      <c r="I61" s="15" t="str">
        <f aca="false">IF($B61="","",IF(AND(G61="",H61=""),"",G61+H61))</f>
        <v/>
      </c>
      <c r="J61" s="15" t="str">
        <f aca="false">IF(OR($B61="",I61=""),"",I61-F61)</f>
        <v/>
      </c>
      <c r="K61" s="16" t="str">
        <f aca="false">IF($B61="","",IF(AND(G61="",H61=""),"Not Counted",IF(OR(G61="",H61=""),"Partially Counted",IF(J61=0,"Match",IF(J61&gt;0,"Overage","Shortage")))))</f>
        <v/>
      </c>
      <c r="L61" s="16" t="str">
        <f aca="false">IF($B61="","",IF(AND(L61&lt;&gt;"",L61&lt;&gt;0),L61,$B$4))</f>
        <v/>
      </c>
      <c r="M61" s="13"/>
      <c r="N61" s="13"/>
      <c r="O61" s="13"/>
      <c r="Q61" s="9"/>
    </row>
    <row r="62" customFormat="false" ht="15" hidden="false" customHeight="false" outlineLevel="0" collapsed="false">
      <c r="A62" s="11" t="str">
        <f aca="true">IF($B62="","",IF(AND(A62&lt;&gt;"",A62&lt;&gt;0),A62,TODAY()))</f>
        <v/>
      </c>
      <c r="B62" s="12"/>
      <c r="C62" s="13"/>
      <c r="D62" s="13"/>
      <c r="E62" s="13"/>
      <c r="F62" s="14"/>
      <c r="G62" s="14"/>
      <c r="H62" s="14"/>
      <c r="I62" s="15" t="str">
        <f aca="false">IF($B62="","",IF(AND(G62="",H62=""),"",G62+H62))</f>
        <v/>
      </c>
      <c r="J62" s="15" t="str">
        <f aca="false">IF(OR($B62="",I62=""),"",I62-F62)</f>
        <v/>
      </c>
      <c r="K62" s="16" t="str">
        <f aca="false">IF($B62="","",IF(AND(G62="",H62=""),"Not Counted",IF(OR(G62="",H62=""),"Partially Counted",IF(J62=0,"Match",IF(J62&gt;0,"Overage","Shortage")))))</f>
        <v/>
      </c>
      <c r="L62" s="16" t="str">
        <f aca="false">IF($B62="","",IF(AND(L62&lt;&gt;"",L62&lt;&gt;0),L62,$B$4))</f>
        <v/>
      </c>
      <c r="M62" s="13"/>
      <c r="N62" s="13"/>
      <c r="O62" s="13"/>
      <c r="Q62" s="9"/>
    </row>
    <row r="63" customFormat="false" ht="15" hidden="false" customHeight="false" outlineLevel="0" collapsed="false">
      <c r="A63" s="11" t="str">
        <f aca="true">IF($B63="","",IF(AND(A63&lt;&gt;"",A63&lt;&gt;0),A63,TODAY()))</f>
        <v/>
      </c>
      <c r="B63" s="12"/>
      <c r="C63" s="13"/>
      <c r="D63" s="13"/>
      <c r="E63" s="13"/>
      <c r="F63" s="14"/>
      <c r="G63" s="14"/>
      <c r="H63" s="14"/>
      <c r="I63" s="15" t="str">
        <f aca="false">IF($B63="","",IF(AND(G63="",H63=""),"",G63+H63))</f>
        <v/>
      </c>
      <c r="J63" s="15" t="str">
        <f aca="false">IF(OR($B63="",I63=""),"",I63-F63)</f>
        <v/>
      </c>
      <c r="K63" s="16" t="str">
        <f aca="false">IF($B63="","",IF(AND(G63="",H63=""),"Not Counted",IF(OR(G63="",H63=""),"Partially Counted",IF(J63=0,"Match",IF(J63&gt;0,"Overage","Shortage")))))</f>
        <v/>
      </c>
      <c r="L63" s="16" t="str">
        <f aca="false">IF($B63="","",IF(AND(L63&lt;&gt;"",L63&lt;&gt;0),L63,$B$4))</f>
        <v/>
      </c>
      <c r="M63" s="13"/>
      <c r="N63" s="13"/>
      <c r="O63" s="13"/>
      <c r="Q63" s="9"/>
    </row>
    <row r="64" customFormat="false" ht="15" hidden="false" customHeight="false" outlineLevel="0" collapsed="false">
      <c r="A64" s="11" t="str">
        <f aca="true">IF($B64="","",IF(AND(A64&lt;&gt;"",A64&lt;&gt;0),A64,TODAY()))</f>
        <v/>
      </c>
      <c r="B64" s="12"/>
      <c r="C64" s="13"/>
      <c r="D64" s="13"/>
      <c r="E64" s="13"/>
      <c r="F64" s="14"/>
      <c r="G64" s="14"/>
      <c r="H64" s="14"/>
      <c r="I64" s="15" t="str">
        <f aca="false">IF($B64="","",IF(AND(G64="",H64=""),"",G64+H64))</f>
        <v/>
      </c>
      <c r="J64" s="15" t="str">
        <f aca="false">IF(OR($B64="",I64=""),"",I64-F64)</f>
        <v/>
      </c>
      <c r="K64" s="16" t="str">
        <f aca="false">IF($B64="","",IF(AND(G64="",H64=""),"Not Counted",IF(OR(G64="",H64=""),"Partially Counted",IF(J64=0,"Match",IF(J64&gt;0,"Overage","Shortage")))))</f>
        <v/>
      </c>
      <c r="L64" s="16" t="str">
        <f aca="false">IF($B64="","",IF(AND(L64&lt;&gt;"",L64&lt;&gt;0),L64,$B$4))</f>
        <v/>
      </c>
      <c r="M64" s="13"/>
      <c r="N64" s="13"/>
      <c r="O64" s="13"/>
      <c r="Q64" s="9"/>
    </row>
    <row r="65" customFormat="false" ht="15" hidden="false" customHeight="false" outlineLevel="0" collapsed="false">
      <c r="A65" s="11" t="str">
        <f aca="true">IF($B65="","",IF(AND(A65&lt;&gt;"",A65&lt;&gt;0),A65,TODAY()))</f>
        <v/>
      </c>
      <c r="B65" s="12"/>
      <c r="C65" s="13"/>
      <c r="D65" s="13"/>
      <c r="E65" s="13"/>
      <c r="F65" s="14"/>
      <c r="G65" s="14"/>
      <c r="H65" s="14"/>
      <c r="I65" s="15" t="str">
        <f aca="false">IF($B65="","",IF(AND(G65="",H65=""),"",G65+H65))</f>
        <v/>
      </c>
      <c r="J65" s="15" t="str">
        <f aca="false">IF(OR($B65="",I65=""),"",I65-F65)</f>
        <v/>
      </c>
      <c r="K65" s="16" t="str">
        <f aca="false">IF($B65="","",IF(AND(G65="",H65=""),"Not Counted",IF(OR(G65="",H65=""),"Partially Counted",IF(J65=0,"Match",IF(J65&gt;0,"Overage","Shortage")))))</f>
        <v/>
      </c>
      <c r="L65" s="16" t="str">
        <f aca="false">IF($B65="","",IF(AND(L65&lt;&gt;"",L65&lt;&gt;0),L65,$B$4))</f>
        <v/>
      </c>
      <c r="M65" s="13"/>
      <c r="N65" s="13"/>
      <c r="O65" s="13"/>
      <c r="Q65" s="9"/>
    </row>
    <row r="66" customFormat="false" ht="15" hidden="false" customHeight="false" outlineLevel="0" collapsed="false">
      <c r="A66" s="11" t="str">
        <f aca="true">IF($B66="","",IF(AND(A66&lt;&gt;"",A66&lt;&gt;0),A66,TODAY()))</f>
        <v/>
      </c>
      <c r="B66" s="12"/>
      <c r="C66" s="13"/>
      <c r="D66" s="13"/>
      <c r="E66" s="13"/>
      <c r="F66" s="14"/>
      <c r="G66" s="14"/>
      <c r="H66" s="14"/>
      <c r="I66" s="15" t="str">
        <f aca="false">IF($B66="","",IF(AND(G66="",H66=""),"",G66+H66))</f>
        <v/>
      </c>
      <c r="J66" s="15" t="str">
        <f aca="false">IF(OR($B66="",I66=""),"",I66-F66)</f>
        <v/>
      </c>
      <c r="K66" s="16" t="str">
        <f aca="false">IF($B66="","",IF(AND(G66="",H66=""),"Not Counted",IF(OR(G66="",H66=""),"Partially Counted",IF(J66=0,"Match",IF(J66&gt;0,"Overage","Shortage")))))</f>
        <v/>
      </c>
      <c r="L66" s="16" t="str">
        <f aca="false">IF($B66="","",IF(AND(L66&lt;&gt;"",L66&lt;&gt;0),L66,$B$4))</f>
        <v/>
      </c>
      <c r="M66" s="13"/>
      <c r="N66" s="13"/>
      <c r="O66" s="13"/>
      <c r="Q66" s="9"/>
    </row>
    <row r="67" customFormat="false" ht="15" hidden="false" customHeight="false" outlineLevel="0" collapsed="false">
      <c r="A67" s="11" t="str">
        <f aca="true">IF($B67="","",IF(AND(A67&lt;&gt;"",A67&lt;&gt;0),A67,TODAY()))</f>
        <v/>
      </c>
      <c r="B67" s="12"/>
      <c r="C67" s="13"/>
      <c r="D67" s="13"/>
      <c r="E67" s="13"/>
      <c r="F67" s="14"/>
      <c r="G67" s="14"/>
      <c r="H67" s="14"/>
      <c r="I67" s="15" t="str">
        <f aca="false">IF($B67="","",IF(AND(G67="",H67=""),"",G67+H67))</f>
        <v/>
      </c>
      <c r="J67" s="15" t="str">
        <f aca="false">IF(OR($B67="",I67=""),"",I67-F67)</f>
        <v/>
      </c>
      <c r="K67" s="16" t="str">
        <f aca="false">IF($B67="","",IF(AND(G67="",H67=""),"Not Counted",IF(OR(G67="",H67=""),"Partially Counted",IF(J67=0,"Match",IF(J67&gt;0,"Overage","Shortage")))))</f>
        <v/>
      </c>
      <c r="L67" s="16" t="str">
        <f aca="false">IF($B67="","",IF(AND(L67&lt;&gt;"",L67&lt;&gt;0),L67,$B$4))</f>
        <v/>
      </c>
      <c r="M67" s="13"/>
      <c r="N67" s="13"/>
      <c r="O67" s="13"/>
      <c r="Q67" s="9"/>
    </row>
    <row r="68" customFormat="false" ht="15" hidden="false" customHeight="false" outlineLevel="0" collapsed="false">
      <c r="A68" s="11" t="str">
        <f aca="true">IF($B68="","",IF(AND(A68&lt;&gt;"",A68&lt;&gt;0),A68,TODAY()))</f>
        <v/>
      </c>
      <c r="B68" s="12"/>
      <c r="C68" s="13"/>
      <c r="D68" s="13"/>
      <c r="E68" s="13"/>
      <c r="F68" s="14"/>
      <c r="G68" s="14"/>
      <c r="H68" s="14"/>
      <c r="I68" s="15" t="str">
        <f aca="false">IF($B68="","",IF(AND(G68="",H68=""),"",G68+H68))</f>
        <v/>
      </c>
      <c r="J68" s="15" t="str">
        <f aca="false">IF(OR($B68="",I68=""),"",I68-F68)</f>
        <v/>
      </c>
      <c r="K68" s="16" t="str">
        <f aca="false">IF($B68="","",IF(AND(G68="",H68=""),"Not Counted",IF(OR(G68="",H68=""),"Partially Counted",IF(J68=0,"Match",IF(J68&gt;0,"Overage","Shortage")))))</f>
        <v/>
      </c>
      <c r="L68" s="16" t="str">
        <f aca="false">IF($B68="","",IF(AND(L68&lt;&gt;"",L68&lt;&gt;0),L68,$B$4))</f>
        <v/>
      </c>
      <c r="M68" s="13"/>
      <c r="N68" s="13"/>
      <c r="O68" s="13"/>
      <c r="Q68" s="9"/>
    </row>
    <row r="69" customFormat="false" ht="15" hidden="false" customHeight="false" outlineLevel="0" collapsed="false">
      <c r="A69" s="11" t="str">
        <f aca="true">IF($B69="","",IF(AND(A69&lt;&gt;"",A69&lt;&gt;0),A69,TODAY()))</f>
        <v/>
      </c>
      <c r="B69" s="12"/>
      <c r="C69" s="13"/>
      <c r="D69" s="13"/>
      <c r="E69" s="13"/>
      <c r="F69" s="14"/>
      <c r="G69" s="14"/>
      <c r="H69" s="14"/>
      <c r="I69" s="15" t="str">
        <f aca="false">IF($B69="","",IF(AND(G69="",H69=""),"",G69+H69))</f>
        <v/>
      </c>
      <c r="J69" s="15" t="str">
        <f aca="false">IF(OR($B69="",I69=""),"",I69-F69)</f>
        <v/>
      </c>
      <c r="K69" s="16" t="str">
        <f aca="false">IF($B69="","",IF(AND(G69="",H69=""),"Not Counted",IF(OR(G69="",H69=""),"Partially Counted",IF(J69=0,"Match",IF(J69&gt;0,"Overage","Shortage")))))</f>
        <v/>
      </c>
      <c r="L69" s="16" t="str">
        <f aca="false">IF($B69="","",IF(AND(L69&lt;&gt;"",L69&lt;&gt;0),L69,$B$4))</f>
        <v/>
      </c>
      <c r="M69" s="13"/>
      <c r="N69" s="13"/>
      <c r="O69" s="13"/>
      <c r="Q69" s="9"/>
    </row>
    <row r="70" customFormat="false" ht="15" hidden="false" customHeight="false" outlineLevel="0" collapsed="false">
      <c r="A70" s="11" t="str">
        <f aca="true">IF($B70="","",IF(AND(A70&lt;&gt;"",A70&lt;&gt;0),A70,TODAY()))</f>
        <v/>
      </c>
      <c r="B70" s="12"/>
      <c r="C70" s="13"/>
      <c r="D70" s="13"/>
      <c r="E70" s="13"/>
      <c r="F70" s="14"/>
      <c r="G70" s="14"/>
      <c r="H70" s="14"/>
      <c r="I70" s="15" t="str">
        <f aca="false">IF($B70="","",IF(AND(G70="",H70=""),"",G70+H70))</f>
        <v/>
      </c>
      <c r="J70" s="15" t="str">
        <f aca="false">IF(OR($B70="",I70=""),"",I70-F70)</f>
        <v/>
      </c>
      <c r="K70" s="16" t="str">
        <f aca="false">IF($B70="","",IF(AND(G70="",H70=""),"Not Counted",IF(OR(G70="",H70=""),"Partially Counted",IF(J70=0,"Match",IF(J70&gt;0,"Overage","Shortage")))))</f>
        <v/>
      </c>
      <c r="L70" s="16" t="str">
        <f aca="false">IF($B70="","",IF(AND(L70&lt;&gt;"",L70&lt;&gt;0),L70,$B$4))</f>
        <v/>
      </c>
      <c r="M70" s="13"/>
      <c r="N70" s="13"/>
      <c r="O70" s="13"/>
      <c r="Q70" s="9"/>
    </row>
    <row r="71" customFormat="false" ht="15" hidden="false" customHeight="false" outlineLevel="0" collapsed="false">
      <c r="A71" s="11" t="str">
        <f aca="true">IF($B71="","",IF(AND(A71&lt;&gt;"",A71&lt;&gt;0),A71,TODAY()))</f>
        <v/>
      </c>
      <c r="B71" s="12"/>
      <c r="C71" s="13"/>
      <c r="D71" s="13"/>
      <c r="E71" s="13"/>
      <c r="F71" s="14"/>
      <c r="G71" s="14"/>
      <c r="H71" s="14"/>
      <c r="I71" s="15" t="str">
        <f aca="false">IF($B71="","",IF(AND(G71="",H71=""),"",G71+H71))</f>
        <v/>
      </c>
      <c r="J71" s="15" t="str">
        <f aca="false">IF(OR($B71="",I71=""),"",I71-F71)</f>
        <v/>
      </c>
      <c r="K71" s="16" t="str">
        <f aca="false">IF($B71="","",IF(AND(G71="",H71=""),"Not Counted",IF(OR(G71="",H71=""),"Partially Counted",IF(J71=0,"Match",IF(J71&gt;0,"Overage","Shortage")))))</f>
        <v/>
      </c>
      <c r="L71" s="16" t="str">
        <f aca="false">IF($B71="","",IF(AND(L71&lt;&gt;"",L71&lt;&gt;0),L71,$B$4))</f>
        <v/>
      </c>
      <c r="M71" s="13"/>
      <c r="N71" s="13"/>
      <c r="O71" s="13"/>
      <c r="Q71" s="9"/>
    </row>
    <row r="72" customFormat="false" ht="15" hidden="false" customHeight="false" outlineLevel="0" collapsed="false">
      <c r="A72" s="11" t="str">
        <f aca="true">IF($B72="","",IF(AND(A72&lt;&gt;"",A72&lt;&gt;0),A72,TODAY()))</f>
        <v/>
      </c>
      <c r="B72" s="12"/>
      <c r="C72" s="13"/>
      <c r="D72" s="13"/>
      <c r="E72" s="13"/>
      <c r="F72" s="14"/>
      <c r="G72" s="14"/>
      <c r="H72" s="14"/>
      <c r="I72" s="15" t="str">
        <f aca="false">IF($B72="","",IF(AND(G72="",H72=""),"",G72+H72))</f>
        <v/>
      </c>
      <c r="J72" s="15" t="str">
        <f aca="false">IF(OR($B72="",I72=""),"",I72-F72)</f>
        <v/>
      </c>
      <c r="K72" s="16" t="str">
        <f aca="false">IF($B72="","",IF(AND(G72="",H72=""),"Not Counted",IF(OR(G72="",H72=""),"Partially Counted",IF(J72=0,"Match",IF(J72&gt;0,"Overage","Shortage")))))</f>
        <v/>
      </c>
      <c r="L72" s="16" t="str">
        <f aca="false">IF($B72="","",IF(AND(L72&lt;&gt;"",L72&lt;&gt;0),L72,$B$4))</f>
        <v/>
      </c>
      <c r="M72" s="13"/>
      <c r="N72" s="13"/>
      <c r="O72" s="13"/>
      <c r="Q72" s="9"/>
    </row>
    <row r="73" customFormat="false" ht="15" hidden="false" customHeight="false" outlineLevel="0" collapsed="false">
      <c r="A73" s="11" t="str">
        <f aca="true">IF($B73="","",IF(AND(A73&lt;&gt;"",A73&lt;&gt;0),A73,TODAY()))</f>
        <v/>
      </c>
      <c r="B73" s="12"/>
      <c r="C73" s="13"/>
      <c r="D73" s="13"/>
      <c r="E73" s="13"/>
      <c r="F73" s="14"/>
      <c r="G73" s="14"/>
      <c r="H73" s="14"/>
      <c r="I73" s="15" t="str">
        <f aca="false">IF($B73="","",IF(AND(G73="",H73=""),"",G73+H73))</f>
        <v/>
      </c>
      <c r="J73" s="15" t="str">
        <f aca="false">IF(OR($B73="",I73=""),"",I73-F73)</f>
        <v/>
      </c>
      <c r="K73" s="16" t="str">
        <f aca="false">IF($B73="","",IF(AND(G73="",H73=""),"Not Counted",IF(OR(G73="",H73=""),"Partially Counted",IF(J73=0,"Match",IF(J73&gt;0,"Overage","Shortage")))))</f>
        <v/>
      </c>
      <c r="L73" s="16" t="str">
        <f aca="false">IF($B73="","",IF(AND(L73&lt;&gt;"",L73&lt;&gt;0),L73,$B$4))</f>
        <v/>
      </c>
      <c r="M73" s="13"/>
      <c r="N73" s="13"/>
      <c r="O73" s="13"/>
      <c r="Q73" s="9"/>
    </row>
    <row r="74" customFormat="false" ht="15" hidden="false" customHeight="false" outlineLevel="0" collapsed="false">
      <c r="A74" s="11" t="str">
        <f aca="true">IF($B74="","",IF(AND(A74&lt;&gt;"",A74&lt;&gt;0),A74,TODAY()))</f>
        <v/>
      </c>
      <c r="B74" s="12"/>
      <c r="C74" s="13"/>
      <c r="D74" s="13"/>
      <c r="E74" s="13"/>
      <c r="F74" s="14"/>
      <c r="G74" s="14"/>
      <c r="H74" s="14"/>
      <c r="I74" s="15" t="str">
        <f aca="false">IF($B74="","",IF(AND(G74="",H74=""),"",G74+H74))</f>
        <v/>
      </c>
      <c r="J74" s="15" t="str">
        <f aca="false">IF(OR($B74="",I74=""),"",I74-F74)</f>
        <v/>
      </c>
      <c r="K74" s="16" t="str">
        <f aca="false">IF($B74="","",IF(AND(G74="",H74=""),"Not Counted",IF(OR(G74="",H74=""),"Partially Counted",IF(J74=0,"Match",IF(J74&gt;0,"Overage","Shortage")))))</f>
        <v/>
      </c>
      <c r="L74" s="16" t="str">
        <f aca="false">IF($B74="","",IF(AND(L74&lt;&gt;"",L74&lt;&gt;0),L74,$B$4))</f>
        <v/>
      </c>
      <c r="M74" s="13"/>
      <c r="N74" s="13"/>
      <c r="O74" s="13"/>
      <c r="Q74" s="9"/>
    </row>
    <row r="75" customFormat="false" ht="15" hidden="false" customHeight="false" outlineLevel="0" collapsed="false">
      <c r="A75" s="11" t="str">
        <f aca="true">IF($B75="","",IF(AND(A75&lt;&gt;"",A75&lt;&gt;0),A75,TODAY()))</f>
        <v/>
      </c>
      <c r="B75" s="12"/>
      <c r="C75" s="13"/>
      <c r="D75" s="13"/>
      <c r="E75" s="13"/>
      <c r="F75" s="14"/>
      <c r="G75" s="14"/>
      <c r="H75" s="14"/>
      <c r="I75" s="15" t="str">
        <f aca="false">IF($B75="","",IF(AND(G75="",H75=""),"",G75+H75))</f>
        <v/>
      </c>
      <c r="J75" s="15" t="str">
        <f aca="false">IF(OR($B75="",I75=""),"",I75-F75)</f>
        <v/>
      </c>
      <c r="K75" s="16" t="str">
        <f aca="false">IF($B75="","",IF(AND(G75="",H75=""),"Not Counted",IF(OR(G75="",H75=""),"Partially Counted",IF(J75=0,"Match",IF(J75&gt;0,"Overage","Shortage")))))</f>
        <v/>
      </c>
      <c r="L75" s="16" t="str">
        <f aca="false">IF($B75="","",IF(AND(L75&lt;&gt;"",L75&lt;&gt;0),L75,$B$4))</f>
        <v/>
      </c>
      <c r="M75" s="13"/>
      <c r="N75" s="13"/>
      <c r="O75" s="13"/>
      <c r="Q75" s="9"/>
    </row>
    <row r="76" customFormat="false" ht="15" hidden="false" customHeight="false" outlineLevel="0" collapsed="false">
      <c r="A76" s="11" t="str">
        <f aca="true">IF($B76="","",IF(AND(A76&lt;&gt;"",A76&lt;&gt;0),A76,TODAY()))</f>
        <v/>
      </c>
      <c r="B76" s="12"/>
      <c r="C76" s="13"/>
      <c r="D76" s="13"/>
      <c r="E76" s="13"/>
      <c r="F76" s="14"/>
      <c r="G76" s="14"/>
      <c r="H76" s="14"/>
      <c r="I76" s="15" t="str">
        <f aca="false">IF($B76="","",IF(AND(G76="",H76=""),"",G76+H76))</f>
        <v/>
      </c>
      <c r="J76" s="15" t="str">
        <f aca="false">IF(OR($B76="",I76=""),"",I76-F76)</f>
        <v/>
      </c>
      <c r="K76" s="16" t="str">
        <f aca="false">IF($B76="","",IF(AND(G76="",H76=""),"Not Counted",IF(OR(G76="",H76=""),"Partially Counted",IF(J76=0,"Match",IF(J76&gt;0,"Overage","Shortage")))))</f>
        <v/>
      </c>
      <c r="L76" s="16" t="str">
        <f aca="false">IF($B76="","",IF(AND(L76&lt;&gt;"",L76&lt;&gt;0),L76,$B$4))</f>
        <v/>
      </c>
      <c r="M76" s="13"/>
      <c r="N76" s="13"/>
      <c r="O76" s="13"/>
      <c r="Q76" s="9"/>
    </row>
    <row r="77" customFormat="false" ht="15" hidden="false" customHeight="false" outlineLevel="0" collapsed="false">
      <c r="A77" s="11" t="str">
        <f aca="true">IF($B77="","",IF(AND(A77&lt;&gt;"",A77&lt;&gt;0),A77,TODAY()))</f>
        <v/>
      </c>
      <c r="B77" s="12"/>
      <c r="C77" s="13"/>
      <c r="D77" s="13"/>
      <c r="E77" s="13"/>
      <c r="F77" s="14"/>
      <c r="G77" s="14"/>
      <c r="H77" s="14"/>
      <c r="I77" s="15" t="str">
        <f aca="false">IF($B77="","",IF(AND(G77="",H77=""),"",G77+H77))</f>
        <v/>
      </c>
      <c r="J77" s="15" t="str">
        <f aca="false">IF(OR($B77="",I77=""),"",I77-F77)</f>
        <v/>
      </c>
      <c r="K77" s="16" t="str">
        <f aca="false">IF($B77="","",IF(AND(G77="",H77=""),"Not Counted",IF(OR(G77="",H77=""),"Partially Counted",IF(J77=0,"Match",IF(J77&gt;0,"Overage","Shortage")))))</f>
        <v/>
      </c>
      <c r="L77" s="16" t="str">
        <f aca="false">IF($B77="","",IF(AND(L77&lt;&gt;"",L77&lt;&gt;0),L77,$B$4))</f>
        <v/>
      </c>
      <c r="M77" s="13"/>
      <c r="N77" s="13"/>
      <c r="O77" s="13"/>
      <c r="Q77" s="9"/>
    </row>
    <row r="78" customFormat="false" ht="15" hidden="false" customHeight="false" outlineLevel="0" collapsed="false">
      <c r="A78" s="11" t="str">
        <f aca="true">IF($B78="","",IF(AND(A78&lt;&gt;"",A78&lt;&gt;0),A78,TODAY()))</f>
        <v/>
      </c>
      <c r="B78" s="12"/>
      <c r="C78" s="13"/>
      <c r="D78" s="13"/>
      <c r="E78" s="13"/>
      <c r="F78" s="14"/>
      <c r="G78" s="14"/>
      <c r="H78" s="14"/>
      <c r="I78" s="15" t="str">
        <f aca="false">IF($B78="","",IF(AND(G78="",H78=""),"",G78+H78))</f>
        <v/>
      </c>
      <c r="J78" s="15" t="str">
        <f aca="false">IF(OR($B78="",I78=""),"",I78-F78)</f>
        <v/>
      </c>
      <c r="K78" s="16" t="str">
        <f aca="false">IF($B78="","",IF(AND(G78="",H78=""),"Not Counted",IF(OR(G78="",H78=""),"Partially Counted",IF(J78=0,"Match",IF(J78&gt;0,"Overage","Shortage")))))</f>
        <v/>
      </c>
      <c r="L78" s="16" t="str">
        <f aca="false">IF($B78="","",IF(AND(L78&lt;&gt;"",L78&lt;&gt;0),L78,$B$4))</f>
        <v/>
      </c>
      <c r="M78" s="13"/>
      <c r="N78" s="13"/>
      <c r="O78" s="13"/>
      <c r="Q78" s="9"/>
    </row>
    <row r="79" customFormat="false" ht="15" hidden="false" customHeight="false" outlineLevel="0" collapsed="false">
      <c r="A79" s="11" t="str">
        <f aca="true">IF($B79="","",IF(AND(A79&lt;&gt;"",A79&lt;&gt;0),A79,TODAY()))</f>
        <v/>
      </c>
      <c r="B79" s="12"/>
      <c r="C79" s="13"/>
      <c r="D79" s="13"/>
      <c r="E79" s="13"/>
      <c r="F79" s="14"/>
      <c r="G79" s="14"/>
      <c r="H79" s="14"/>
      <c r="I79" s="15" t="str">
        <f aca="false">IF($B79="","",IF(AND(G79="",H79=""),"",G79+H79))</f>
        <v/>
      </c>
      <c r="J79" s="15" t="str">
        <f aca="false">IF(OR($B79="",I79=""),"",I79-F79)</f>
        <v/>
      </c>
      <c r="K79" s="16" t="str">
        <f aca="false">IF($B79="","",IF(AND(G79="",H79=""),"Not Counted",IF(OR(G79="",H79=""),"Partially Counted",IF(J79=0,"Match",IF(J79&gt;0,"Overage","Shortage")))))</f>
        <v/>
      </c>
      <c r="L79" s="16" t="str">
        <f aca="false">IF($B79="","",IF(AND(L79&lt;&gt;"",L79&lt;&gt;0),L79,$B$4))</f>
        <v/>
      </c>
      <c r="M79" s="13"/>
      <c r="N79" s="13"/>
      <c r="O79" s="13"/>
      <c r="Q79" s="9"/>
    </row>
    <row r="80" customFormat="false" ht="15" hidden="false" customHeight="false" outlineLevel="0" collapsed="false">
      <c r="A80" s="11" t="str">
        <f aca="true">IF($B80="","",IF(AND(A80&lt;&gt;"",A80&lt;&gt;0),A80,TODAY()))</f>
        <v/>
      </c>
      <c r="B80" s="12"/>
      <c r="C80" s="13"/>
      <c r="D80" s="13"/>
      <c r="E80" s="13"/>
      <c r="F80" s="14"/>
      <c r="G80" s="14"/>
      <c r="H80" s="14"/>
      <c r="I80" s="15" t="str">
        <f aca="false">IF($B80="","",IF(AND(G80="",H80=""),"",G80+H80))</f>
        <v/>
      </c>
      <c r="J80" s="15" t="str">
        <f aca="false">IF(OR($B80="",I80=""),"",I80-F80)</f>
        <v/>
      </c>
      <c r="K80" s="16" t="str">
        <f aca="false">IF($B80="","",IF(AND(G80="",H80=""),"Not Counted",IF(OR(G80="",H80=""),"Partially Counted",IF(J80=0,"Match",IF(J80&gt;0,"Overage","Shortage")))))</f>
        <v/>
      </c>
      <c r="L80" s="16" t="str">
        <f aca="false">IF($B80="","",IF(AND(L80&lt;&gt;"",L80&lt;&gt;0),L80,$B$4))</f>
        <v/>
      </c>
      <c r="M80" s="13"/>
      <c r="N80" s="13"/>
      <c r="O80" s="13"/>
      <c r="Q80" s="9"/>
    </row>
    <row r="81" customFormat="false" ht="15" hidden="false" customHeight="false" outlineLevel="0" collapsed="false">
      <c r="A81" s="11" t="str">
        <f aca="true">IF($B81="","",IF(AND(A81&lt;&gt;"",A81&lt;&gt;0),A81,TODAY()))</f>
        <v/>
      </c>
      <c r="B81" s="12"/>
      <c r="C81" s="13"/>
      <c r="D81" s="13"/>
      <c r="E81" s="13"/>
      <c r="F81" s="14"/>
      <c r="G81" s="14"/>
      <c r="H81" s="14"/>
      <c r="I81" s="15" t="str">
        <f aca="false">IF($B81="","",IF(AND(G81="",H81=""),"",G81+H81))</f>
        <v/>
      </c>
      <c r="J81" s="15" t="str">
        <f aca="false">IF(OR($B81="",I81=""),"",I81-F81)</f>
        <v/>
      </c>
      <c r="K81" s="16" t="str">
        <f aca="false">IF($B81="","",IF(AND(G81="",H81=""),"Not Counted",IF(OR(G81="",H81=""),"Partially Counted",IF(J81=0,"Match",IF(J81&gt;0,"Overage","Shortage")))))</f>
        <v/>
      </c>
      <c r="L81" s="16" t="str">
        <f aca="false">IF($B81="","",IF(AND(L81&lt;&gt;"",L81&lt;&gt;0),L81,$B$4))</f>
        <v/>
      </c>
      <c r="M81" s="13"/>
      <c r="N81" s="13"/>
      <c r="O81" s="13"/>
      <c r="Q81" s="9"/>
    </row>
    <row r="82" customFormat="false" ht="15" hidden="false" customHeight="false" outlineLevel="0" collapsed="false">
      <c r="A82" s="11" t="str">
        <f aca="true">IF($B82="","",IF(AND(A82&lt;&gt;"",A82&lt;&gt;0),A82,TODAY()))</f>
        <v/>
      </c>
      <c r="B82" s="12"/>
      <c r="C82" s="13"/>
      <c r="D82" s="13"/>
      <c r="E82" s="13"/>
      <c r="F82" s="14"/>
      <c r="G82" s="14"/>
      <c r="H82" s="14"/>
      <c r="I82" s="15" t="str">
        <f aca="false">IF($B82="","",IF(AND(G82="",H82=""),"",G82+H82))</f>
        <v/>
      </c>
      <c r="J82" s="15" t="str">
        <f aca="false">IF(OR($B82="",I82=""),"",I82-F82)</f>
        <v/>
      </c>
      <c r="K82" s="16" t="str">
        <f aca="false">IF($B82="","",IF(AND(G82="",H82=""),"Not Counted",IF(OR(G82="",H82=""),"Partially Counted",IF(J82=0,"Match",IF(J82&gt;0,"Overage","Shortage")))))</f>
        <v/>
      </c>
      <c r="L82" s="16" t="str">
        <f aca="false">IF($B82="","",IF(AND(L82&lt;&gt;"",L82&lt;&gt;0),L82,$B$4))</f>
        <v/>
      </c>
      <c r="M82" s="13"/>
      <c r="N82" s="13"/>
      <c r="O82" s="13"/>
      <c r="Q82" s="9"/>
    </row>
    <row r="83" customFormat="false" ht="15" hidden="false" customHeight="false" outlineLevel="0" collapsed="false">
      <c r="A83" s="11" t="str">
        <f aca="true">IF($B83="","",IF(AND(A83&lt;&gt;"",A83&lt;&gt;0),A83,TODAY()))</f>
        <v/>
      </c>
      <c r="B83" s="12"/>
      <c r="C83" s="13"/>
      <c r="D83" s="13"/>
      <c r="E83" s="13"/>
      <c r="F83" s="14"/>
      <c r="G83" s="14"/>
      <c r="H83" s="14"/>
      <c r="I83" s="15" t="str">
        <f aca="false">IF($B83="","",IF(AND(G83="",H83=""),"",G83+H83))</f>
        <v/>
      </c>
      <c r="J83" s="15" t="str">
        <f aca="false">IF(OR($B83="",I83=""),"",I83-F83)</f>
        <v/>
      </c>
      <c r="K83" s="16" t="str">
        <f aca="false">IF($B83="","",IF(AND(G83="",H83=""),"Not Counted",IF(OR(G83="",H83=""),"Partially Counted",IF(J83=0,"Match",IF(J83&gt;0,"Overage","Shortage")))))</f>
        <v/>
      </c>
      <c r="L83" s="16" t="str">
        <f aca="false">IF($B83="","",IF(AND(L83&lt;&gt;"",L83&lt;&gt;0),L83,$B$4))</f>
        <v/>
      </c>
      <c r="M83" s="13"/>
      <c r="N83" s="13"/>
      <c r="O83" s="13"/>
      <c r="Q83" s="9"/>
    </row>
    <row r="84" customFormat="false" ht="15" hidden="false" customHeight="false" outlineLevel="0" collapsed="false">
      <c r="A84" s="11" t="str">
        <f aca="true">IF($B84="","",IF(AND(A84&lt;&gt;"",A84&lt;&gt;0),A84,TODAY()))</f>
        <v/>
      </c>
      <c r="B84" s="12"/>
      <c r="C84" s="13"/>
      <c r="D84" s="13"/>
      <c r="E84" s="13"/>
      <c r="F84" s="14"/>
      <c r="G84" s="14"/>
      <c r="H84" s="14"/>
      <c r="I84" s="15" t="str">
        <f aca="false">IF($B84="","",IF(AND(G84="",H84=""),"",G84+H84))</f>
        <v/>
      </c>
      <c r="J84" s="15" t="str">
        <f aca="false">IF(OR($B84="",I84=""),"",I84-F84)</f>
        <v/>
      </c>
      <c r="K84" s="16" t="str">
        <f aca="false">IF($B84="","",IF(AND(G84="",H84=""),"Not Counted",IF(OR(G84="",H84=""),"Partially Counted",IF(J84=0,"Match",IF(J84&gt;0,"Overage","Shortage")))))</f>
        <v/>
      </c>
      <c r="L84" s="16" t="str">
        <f aca="false">IF($B84="","",IF(AND(L84&lt;&gt;"",L84&lt;&gt;0),L84,$B$4))</f>
        <v/>
      </c>
      <c r="M84" s="13"/>
      <c r="N84" s="13"/>
      <c r="O84" s="13"/>
      <c r="Q84" s="9"/>
    </row>
    <row r="85" customFormat="false" ht="15" hidden="false" customHeight="false" outlineLevel="0" collapsed="false">
      <c r="A85" s="11" t="str">
        <f aca="true">IF($B85="","",IF(AND(A85&lt;&gt;"",A85&lt;&gt;0),A85,TODAY()))</f>
        <v/>
      </c>
      <c r="B85" s="12"/>
      <c r="C85" s="13"/>
      <c r="D85" s="13"/>
      <c r="E85" s="13"/>
      <c r="F85" s="14"/>
      <c r="G85" s="14"/>
      <c r="H85" s="14"/>
      <c r="I85" s="15" t="str">
        <f aca="false">IF($B85="","",IF(AND(G85="",H85=""),"",G85+H85))</f>
        <v/>
      </c>
      <c r="J85" s="15" t="str">
        <f aca="false">IF(OR($B85="",I85=""),"",I85-F85)</f>
        <v/>
      </c>
      <c r="K85" s="16" t="str">
        <f aca="false">IF($B85="","",IF(AND(G85="",H85=""),"Not Counted",IF(OR(G85="",H85=""),"Partially Counted",IF(J85=0,"Match",IF(J85&gt;0,"Overage","Shortage")))))</f>
        <v/>
      </c>
      <c r="L85" s="16" t="str">
        <f aca="false">IF($B85="","",IF(AND(L85&lt;&gt;"",L85&lt;&gt;0),L85,$B$4))</f>
        <v/>
      </c>
      <c r="M85" s="13"/>
      <c r="N85" s="13"/>
      <c r="O85" s="13"/>
      <c r="Q85" s="9"/>
    </row>
    <row r="86" customFormat="false" ht="15" hidden="false" customHeight="false" outlineLevel="0" collapsed="false">
      <c r="A86" s="11" t="str">
        <f aca="true">IF($B86="","",IF(AND(A86&lt;&gt;"",A86&lt;&gt;0),A86,TODAY()))</f>
        <v/>
      </c>
      <c r="B86" s="12"/>
      <c r="C86" s="13"/>
      <c r="D86" s="13"/>
      <c r="E86" s="13"/>
      <c r="F86" s="14"/>
      <c r="G86" s="14"/>
      <c r="H86" s="14"/>
      <c r="I86" s="15" t="str">
        <f aca="false">IF($B86="","",IF(AND(G86="",H86=""),"",G86+H86))</f>
        <v/>
      </c>
      <c r="J86" s="15" t="str">
        <f aca="false">IF(OR($B86="",I86=""),"",I86-F86)</f>
        <v/>
      </c>
      <c r="K86" s="16" t="str">
        <f aca="false">IF($B86="","",IF(AND(G86="",H86=""),"Not Counted",IF(OR(G86="",H86=""),"Partially Counted",IF(J86=0,"Match",IF(J86&gt;0,"Overage","Shortage")))))</f>
        <v/>
      </c>
      <c r="L86" s="16" t="str">
        <f aca="false">IF($B86="","",IF(AND(L86&lt;&gt;"",L86&lt;&gt;0),L86,$B$4))</f>
        <v/>
      </c>
      <c r="M86" s="13"/>
      <c r="N86" s="13"/>
      <c r="O86" s="13"/>
      <c r="Q86" s="9"/>
    </row>
    <row r="87" customFormat="false" ht="15" hidden="false" customHeight="false" outlineLevel="0" collapsed="false">
      <c r="A87" s="11" t="str">
        <f aca="true">IF($B87="","",IF(AND(A87&lt;&gt;"",A87&lt;&gt;0),A87,TODAY()))</f>
        <v/>
      </c>
      <c r="B87" s="12"/>
      <c r="C87" s="13"/>
      <c r="D87" s="13"/>
      <c r="E87" s="13"/>
      <c r="F87" s="14"/>
      <c r="G87" s="14"/>
      <c r="H87" s="14"/>
      <c r="I87" s="15" t="str">
        <f aca="false">IF($B87="","",IF(AND(G87="",H87=""),"",G87+H87))</f>
        <v/>
      </c>
      <c r="J87" s="15" t="str">
        <f aca="false">IF(OR($B87="",I87=""),"",I87-F87)</f>
        <v/>
      </c>
      <c r="K87" s="16" t="str">
        <f aca="false">IF($B87="","",IF(AND(G87="",H87=""),"Not Counted",IF(OR(G87="",H87=""),"Partially Counted",IF(J87=0,"Match",IF(J87&gt;0,"Overage","Shortage")))))</f>
        <v/>
      </c>
      <c r="L87" s="16" t="str">
        <f aca="false">IF($B87="","",IF(AND(L87&lt;&gt;"",L87&lt;&gt;0),L87,$B$4))</f>
        <v/>
      </c>
      <c r="M87" s="13"/>
      <c r="N87" s="13"/>
      <c r="O87" s="13"/>
      <c r="Q87" s="9"/>
    </row>
    <row r="88" customFormat="false" ht="15" hidden="false" customHeight="false" outlineLevel="0" collapsed="false">
      <c r="A88" s="11" t="str">
        <f aca="true">IF($B88="","",IF(AND(A88&lt;&gt;"",A88&lt;&gt;0),A88,TODAY()))</f>
        <v/>
      </c>
      <c r="B88" s="12"/>
      <c r="C88" s="13"/>
      <c r="D88" s="13"/>
      <c r="E88" s="13"/>
      <c r="F88" s="14"/>
      <c r="G88" s="14"/>
      <c r="H88" s="14"/>
      <c r="I88" s="15" t="str">
        <f aca="false">IF($B88="","",IF(AND(G88="",H88=""),"",G88+H88))</f>
        <v/>
      </c>
      <c r="J88" s="15" t="str">
        <f aca="false">IF(OR($B88="",I88=""),"",I88-F88)</f>
        <v/>
      </c>
      <c r="K88" s="16" t="str">
        <f aca="false">IF($B88="","",IF(AND(G88="",H88=""),"Not Counted",IF(OR(G88="",H88=""),"Partially Counted",IF(J88=0,"Match",IF(J88&gt;0,"Overage","Shortage")))))</f>
        <v/>
      </c>
      <c r="L88" s="16" t="str">
        <f aca="false">IF($B88="","",IF(AND(L88&lt;&gt;"",L88&lt;&gt;0),L88,$B$4))</f>
        <v/>
      </c>
      <c r="M88" s="13"/>
      <c r="N88" s="13"/>
      <c r="O88" s="13"/>
      <c r="Q88" s="9"/>
    </row>
    <row r="89" customFormat="false" ht="15" hidden="false" customHeight="false" outlineLevel="0" collapsed="false">
      <c r="A89" s="11" t="str">
        <f aca="true">IF($B89="","",IF(AND(A89&lt;&gt;"",A89&lt;&gt;0),A89,TODAY()))</f>
        <v/>
      </c>
      <c r="B89" s="12"/>
      <c r="C89" s="13"/>
      <c r="D89" s="13"/>
      <c r="E89" s="13"/>
      <c r="F89" s="14"/>
      <c r="G89" s="14"/>
      <c r="H89" s="14"/>
      <c r="I89" s="15" t="str">
        <f aca="false">IF($B89="","",IF(AND(G89="",H89=""),"",G89+H89))</f>
        <v/>
      </c>
      <c r="J89" s="15" t="str">
        <f aca="false">IF(OR($B89="",I89=""),"",I89-F89)</f>
        <v/>
      </c>
      <c r="K89" s="16" t="str">
        <f aca="false">IF($B89="","",IF(AND(G89="",H89=""),"Not Counted",IF(OR(G89="",H89=""),"Partially Counted",IF(J89=0,"Match",IF(J89&gt;0,"Overage","Shortage")))))</f>
        <v/>
      </c>
      <c r="L89" s="16" t="str">
        <f aca="false">IF($B89="","",IF(AND(L89&lt;&gt;"",L89&lt;&gt;0),L89,$B$4))</f>
        <v/>
      </c>
      <c r="M89" s="13"/>
      <c r="N89" s="13"/>
      <c r="O89" s="13"/>
      <c r="Q89" s="9"/>
    </row>
    <row r="90" customFormat="false" ht="15" hidden="false" customHeight="false" outlineLevel="0" collapsed="false">
      <c r="A90" s="11" t="str">
        <f aca="true">IF($B90="","",IF(AND(A90&lt;&gt;"",A90&lt;&gt;0),A90,TODAY()))</f>
        <v/>
      </c>
      <c r="B90" s="12"/>
      <c r="C90" s="13"/>
      <c r="D90" s="13"/>
      <c r="E90" s="13"/>
      <c r="F90" s="14"/>
      <c r="G90" s="14"/>
      <c r="H90" s="14"/>
      <c r="I90" s="15" t="str">
        <f aca="false">IF($B90="","",IF(AND(G90="",H90=""),"",G90+H90))</f>
        <v/>
      </c>
      <c r="J90" s="15" t="str">
        <f aca="false">IF(OR($B90="",I90=""),"",I90-F90)</f>
        <v/>
      </c>
      <c r="K90" s="16" t="str">
        <f aca="false">IF($B90="","",IF(AND(G90="",H90=""),"Not Counted",IF(OR(G90="",H90=""),"Partially Counted",IF(J90=0,"Match",IF(J90&gt;0,"Overage","Shortage")))))</f>
        <v/>
      </c>
      <c r="L90" s="16" t="str">
        <f aca="false">IF($B90="","",IF(AND(L90&lt;&gt;"",L90&lt;&gt;0),L90,$B$4))</f>
        <v/>
      </c>
      <c r="M90" s="13"/>
      <c r="N90" s="13"/>
      <c r="O90" s="13"/>
      <c r="Q90" s="9"/>
    </row>
    <row r="91" customFormat="false" ht="15" hidden="false" customHeight="false" outlineLevel="0" collapsed="false">
      <c r="A91" s="11" t="str">
        <f aca="true">IF($B91="","",IF(AND(A91&lt;&gt;"",A91&lt;&gt;0),A91,TODAY()))</f>
        <v/>
      </c>
      <c r="B91" s="12"/>
      <c r="C91" s="13"/>
      <c r="D91" s="13"/>
      <c r="E91" s="13"/>
      <c r="F91" s="14"/>
      <c r="G91" s="14"/>
      <c r="H91" s="14"/>
      <c r="I91" s="15" t="str">
        <f aca="false">IF($B91="","",IF(AND(G91="",H91=""),"",G91+H91))</f>
        <v/>
      </c>
      <c r="J91" s="15" t="str">
        <f aca="false">IF(OR($B91="",I91=""),"",I91-F91)</f>
        <v/>
      </c>
      <c r="K91" s="16" t="str">
        <f aca="false">IF($B91="","",IF(AND(G91="",H91=""),"Not Counted",IF(OR(G91="",H91=""),"Partially Counted",IF(J91=0,"Match",IF(J91&gt;0,"Overage","Shortage")))))</f>
        <v/>
      </c>
      <c r="L91" s="16" t="str">
        <f aca="false">IF($B91="","",IF(AND(L91&lt;&gt;"",L91&lt;&gt;0),L91,$B$4))</f>
        <v/>
      </c>
      <c r="M91" s="13"/>
      <c r="N91" s="13"/>
      <c r="O91" s="13"/>
      <c r="Q91" s="9"/>
    </row>
    <row r="92" customFormat="false" ht="15" hidden="false" customHeight="false" outlineLevel="0" collapsed="false">
      <c r="A92" s="11" t="str">
        <f aca="true">IF($B92="","",IF(AND(A92&lt;&gt;"",A92&lt;&gt;0),A92,TODAY()))</f>
        <v/>
      </c>
      <c r="B92" s="12"/>
      <c r="C92" s="13"/>
      <c r="D92" s="13"/>
      <c r="E92" s="13"/>
      <c r="F92" s="14"/>
      <c r="G92" s="14"/>
      <c r="H92" s="14"/>
      <c r="I92" s="15" t="str">
        <f aca="false">IF($B92="","",IF(AND(G92="",H92=""),"",G92+H92))</f>
        <v/>
      </c>
      <c r="J92" s="15" t="str">
        <f aca="false">IF(OR($B92="",I92=""),"",I92-F92)</f>
        <v/>
      </c>
      <c r="K92" s="16" t="str">
        <f aca="false">IF($B92="","",IF(AND(G92="",H92=""),"Not Counted",IF(OR(G92="",H92=""),"Partially Counted",IF(J92=0,"Match",IF(J92&gt;0,"Overage","Shortage")))))</f>
        <v/>
      </c>
      <c r="L92" s="16" t="str">
        <f aca="false">IF($B92="","",IF(AND(L92&lt;&gt;"",L92&lt;&gt;0),L92,$B$4))</f>
        <v/>
      </c>
      <c r="M92" s="13"/>
      <c r="N92" s="13"/>
      <c r="O92" s="13"/>
      <c r="Q92" s="9"/>
    </row>
    <row r="93" customFormat="false" ht="15" hidden="false" customHeight="false" outlineLevel="0" collapsed="false">
      <c r="A93" s="11" t="str">
        <f aca="true">IF($B93="","",IF(AND(A93&lt;&gt;"",A93&lt;&gt;0),A93,TODAY()))</f>
        <v/>
      </c>
      <c r="B93" s="12"/>
      <c r="C93" s="13"/>
      <c r="D93" s="13"/>
      <c r="E93" s="13"/>
      <c r="F93" s="14"/>
      <c r="G93" s="14"/>
      <c r="H93" s="14"/>
      <c r="I93" s="15" t="str">
        <f aca="false">IF($B93="","",IF(AND(G93="",H93=""),"",G93+H93))</f>
        <v/>
      </c>
      <c r="J93" s="15" t="str">
        <f aca="false">IF(OR($B93="",I93=""),"",I93-F93)</f>
        <v/>
      </c>
      <c r="K93" s="16" t="str">
        <f aca="false">IF($B93="","",IF(AND(G93="",H93=""),"Not Counted",IF(OR(G93="",H93=""),"Partially Counted",IF(J93=0,"Match",IF(J93&gt;0,"Overage","Shortage")))))</f>
        <v/>
      </c>
      <c r="L93" s="16" t="str">
        <f aca="false">IF($B93="","",IF(AND(L93&lt;&gt;"",L93&lt;&gt;0),L93,$B$4))</f>
        <v/>
      </c>
      <c r="M93" s="13"/>
      <c r="N93" s="13"/>
      <c r="O93" s="13"/>
      <c r="Q93" s="9"/>
    </row>
    <row r="94" customFormat="false" ht="15" hidden="false" customHeight="false" outlineLevel="0" collapsed="false">
      <c r="A94" s="11" t="str">
        <f aca="true">IF($B94="","",IF(AND(A94&lt;&gt;"",A94&lt;&gt;0),A94,TODAY()))</f>
        <v/>
      </c>
      <c r="B94" s="12"/>
      <c r="C94" s="13"/>
      <c r="D94" s="13"/>
      <c r="E94" s="13"/>
      <c r="F94" s="14"/>
      <c r="G94" s="14"/>
      <c r="H94" s="14"/>
      <c r="I94" s="15" t="str">
        <f aca="false">IF($B94="","",IF(AND(G94="",H94=""),"",G94+H94))</f>
        <v/>
      </c>
      <c r="J94" s="15" t="str">
        <f aca="false">IF(OR($B94="",I94=""),"",I94-F94)</f>
        <v/>
      </c>
      <c r="K94" s="16" t="str">
        <f aca="false">IF($B94="","",IF(AND(G94="",H94=""),"Not Counted",IF(OR(G94="",H94=""),"Partially Counted",IF(J94=0,"Match",IF(J94&gt;0,"Overage","Shortage")))))</f>
        <v/>
      </c>
      <c r="L94" s="16" t="str">
        <f aca="false">IF($B94="","",IF(AND(L94&lt;&gt;"",L94&lt;&gt;0),L94,$B$4))</f>
        <v/>
      </c>
      <c r="M94" s="13"/>
      <c r="N94" s="13"/>
      <c r="O94" s="13"/>
      <c r="Q94" s="9"/>
    </row>
    <row r="95" customFormat="false" ht="15" hidden="false" customHeight="false" outlineLevel="0" collapsed="false">
      <c r="A95" s="11" t="str">
        <f aca="true">IF($B95="","",IF(AND(A95&lt;&gt;"",A95&lt;&gt;0),A95,TODAY()))</f>
        <v/>
      </c>
      <c r="B95" s="12"/>
      <c r="C95" s="13"/>
      <c r="D95" s="13"/>
      <c r="E95" s="13"/>
      <c r="F95" s="14"/>
      <c r="G95" s="14"/>
      <c r="H95" s="14"/>
      <c r="I95" s="15" t="str">
        <f aca="false">IF($B95="","",IF(AND(G95="",H95=""),"",G95+H95))</f>
        <v/>
      </c>
      <c r="J95" s="15" t="str">
        <f aca="false">IF(OR($B95="",I95=""),"",I95-F95)</f>
        <v/>
      </c>
      <c r="K95" s="16" t="str">
        <f aca="false">IF($B95="","",IF(AND(G95="",H95=""),"Not Counted",IF(OR(G95="",H95=""),"Partially Counted",IF(J95=0,"Match",IF(J95&gt;0,"Overage","Shortage")))))</f>
        <v/>
      </c>
      <c r="L95" s="16" t="str">
        <f aca="false">IF($B95="","",IF(AND(L95&lt;&gt;"",L95&lt;&gt;0),L95,$B$4))</f>
        <v/>
      </c>
      <c r="M95" s="13"/>
      <c r="N95" s="13"/>
      <c r="O95" s="13"/>
      <c r="Q95" s="9"/>
    </row>
    <row r="96" customFormat="false" ht="15" hidden="false" customHeight="false" outlineLevel="0" collapsed="false">
      <c r="A96" s="11" t="str">
        <f aca="true">IF($B96="","",IF(AND(A96&lt;&gt;"",A96&lt;&gt;0),A96,TODAY()))</f>
        <v/>
      </c>
      <c r="B96" s="12"/>
      <c r="C96" s="13"/>
      <c r="D96" s="13"/>
      <c r="E96" s="13"/>
      <c r="F96" s="14"/>
      <c r="G96" s="14"/>
      <c r="H96" s="14"/>
      <c r="I96" s="15" t="str">
        <f aca="false">IF($B96="","",IF(AND(G96="",H96=""),"",G96+H96))</f>
        <v/>
      </c>
      <c r="J96" s="15" t="str">
        <f aca="false">IF(OR($B96="",I96=""),"",I96-F96)</f>
        <v/>
      </c>
      <c r="K96" s="16" t="str">
        <f aca="false">IF($B96="","",IF(AND(G96="",H96=""),"Not Counted",IF(OR(G96="",H96=""),"Partially Counted",IF(J96=0,"Match",IF(J96&gt;0,"Overage","Shortage")))))</f>
        <v/>
      </c>
      <c r="L96" s="16" t="str">
        <f aca="false">IF($B96="","",IF(AND(L96&lt;&gt;"",L96&lt;&gt;0),L96,$B$4))</f>
        <v/>
      </c>
      <c r="M96" s="13"/>
      <c r="N96" s="13"/>
      <c r="O96" s="13"/>
      <c r="Q96" s="9"/>
    </row>
    <row r="97" customFormat="false" ht="15" hidden="false" customHeight="false" outlineLevel="0" collapsed="false">
      <c r="A97" s="11" t="str">
        <f aca="true">IF($B97="","",IF(AND(A97&lt;&gt;"",A97&lt;&gt;0),A97,TODAY()))</f>
        <v/>
      </c>
      <c r="B97" s="12"/>
      <c r="C97" s="13"/>
      <c r="D97" s="13"/>
      <c r="E97" s="13"/>
      <c r="F97" s="14"/>
      <c r="G97" s="14"/>
      <c r="H97" s="14"/>
      <c r="I97" s="15" t="str">
        <f aca="false">IF($B97="","",IF(AND(G97="",H97=""),"",G97+H97))</f>
        <v/>
      </c>
      <c r="J97" s="15" t="str">
        <f aca="false">IF(OR($B97="",I97=""),"",I97-F97)</f>
        <v/>
      </c>
      <c r="K97" s="16" t="str">
        <f aca="false">IF($B97="","",IF(AND(G97="",H97=""),"Not Counted",IF(OR(G97="",H97=""),"Partially Counted",IF(J97=0,"Match",IF(J97&gt;0,"Overage","Shortage")))))</f>
        <v/>
      </c>
      <c r="L97" s="16" t="str">
        <f aca="false">IF($B97="","",IF(AND(L97&lt;&gt;"",L97&lt;&gt;0),L97,$B$4))</f>
        <v/>
      </c>
      <c r="M97" s="13"/>
      <c r="N97" s="13"/>
      <c r="O97" s="13"/>
      <c r="Q97" s="9"/>
    </row>
    <row r="98" customFormat="false" ht="15" hidden="false" customHeight="false" outlineLevel="0" collapsed="false">
      <c r="A98" s="11" t="str">
        <f aca="true">IF($B98="","",IF(AND(A98&lt;&gt;"",A98&lt;&gt;0),A98,TODAY()))</f>
        <v/>
      </c>
      <c r="B98" s="12"/>
      <c r="C98" s="13"/>
      <c r="D98" s="13"/>
      <c r="E98" s="13"/>
      <c r="F98" s="14"/>
      <c r="G98" s="14"/>
      <c r="H98" s="14"/>
      <c r="I98" s="15" t="str">
        <f aca="false">IF($B98="","",IF(AND(G98="",H98=""),"",G98+H98))</f>
        <v/>
      </c>
      <c r="J98" s="15" t="str">
        <f aca="false">IF(OR($B98="",I98=""),"",I98-F98)</f>
        <v/>
      </c>
      <c r="K98" s="16" t="str">
        <f aca="false">IF($B98="","",IF(AND(G98="",H98=""),"Not Counted",IF(OR(G98="",H98=""),"Partially Counted",IF(J98=0,"Match",IF(J98&gt;0,"Overage","Shortage")))))</f>
        <v/>
      </c>
      <c r="L98" s="16" t="str">
        <f aca="false">IF($B98="","",IF(AND(L98&lt;&gt;"",L98&lt;&gt;0),L98,$B$4))</f>
        <v/>
      </c>
      <c r="M98" s="13"/>
      <c r="N98" s="13"/>
      <c r="O98" s="13"/>
      <c r="Q98" s="9"/>
    </row>
    <row r="99" customFormat="false" ht="15" hidden="false" customHeight="false" outlineLevel="0" collapsed="false">
      <c r="A99" s="11" t="str">
        <f aca="true">IF($B99="","",IF(AND(A99&lt;&gt;"",A99&lt;&gt;0),A99,TODAY()))</f>
        <v/>
      </c>
      <c r="B99" s="12"/>
      <c r="C99" s="13"/>
      <c r="D99" s="13"/>
      <c r="E99" s="13"/>
      <c r="F99" s="14"/>
      <c r="G99" s="14"/>
      <c r="H99" s="14"/>
      <c r="I99" s="15" t="str">
        <f aca="false">IF($B99="","",IF(AND(G99="",H99=""),"",G99+H99))</f>
        <v/>
      </c>
      <c r="J99" s="15" t="str">
        <f aca="false">IF(OR($B99="",I99=""),"",I99-F99)</f>
        <v/>
      </c>
      <c r="K99" s="16" t="str">
        <f aca="false">IF($B99="","",IF(AND(G99="",H99=""),"Not Counted",IF(OR(G99="",H99=""),"Partially Counted",IF(J99=0,"Match",IF(J99&gt;0,"Overage","Shortage")))))</f>
        <v/>
      </c>
      <c r="L99" s="16" t="str">
        <f aca="false">IF($B99="","",IF(AND(L99&lt;&gt;"",L99&lt;&gt;0),L99,$B$4))</f>
        <v/>
      </c>
      <c r="M99" s="13"/>
      <c r="N99" s="13"/>
      <c r="O99" s="13"/>
      <c r="Q99" s="9"/>
    </row>
    <row r="100" customFormat="false" ht="15" hidden="false" customHeight="false" outlineLevel="0" collapsed="false">
      <c r="A100" s="11" t="str">
        <f aca="true">IF($B100="","",IF(AND(A100&lt;&gt;"",A100&lt;&gt;0),A100,TODAY()))</f>
        <v/>
      </c>
      <c r="B100" s="12"/>
      <c r="C100" s="13"/>
      <c r="D100" s="13"/>
      <c r="E100" s="13"/>
      <c r="F100" s="14"/>
      <c r="G100" s="14"/>
      <c r="H100" s="14"/>
      <c r="I100" s="15" t="str">
        <f aca="false">IF($B100="","",IF(AND(G100="",H100=""),"",G100+H100))</f>
        <v/>
      </c>
      <c r="J100" s="15" t="str">
        <f aca="false">IF(OR($B100="",I100=""),"",I100-F100)</f>
        <v/>
      </c>
      <c r="K100" s="16" t="str">
        <f aca="false">IF($B100="","",IF(AND(G100="",H100=""),"Not Counted",IF(OR(G100="",H100=""),"Partially Counted",IF(J100=0,"Match",IF(J100&gt;0,"Overage","Shortage")))))</f>
        <v/>
      </c>
      <c r="L100" s="16" t="str">
        <f aca="false">IF($B100="","",IF(AND(L100&lt;&gt;"",L100&lt;&gt;0),L100,$B$4))</f>
        <v/>
      </c>
      <c r="M100" s="13"/>
      <c r="N100" s="13"/>
      <c r="O100" s="13"/>
      <c r="Q100" s="9"/>
    </row>
    <row r="101" customFormat="false" ht="15" hidden="false" customHeight="false" outlineLevel="0" collapsed="false">
      <c r="A101" s="11" t="str">
        <f aca="true">IF($B101="","",IF(AND(A101&lt;&gt;"",A101&lt;&gt;0),A101,TODAY()))</f>
        <v/>
      </c>
      <c r="B101" s="12"/>
      <c r="C101" s="13"/>
      <c r="D101" s="13"/>
      <c r="E101" s="13"/>
      <c r="F101" s="14"/>
      <c r="G101" s="14"/>
      <c r="H101" s="14"/>
      <c r="I101" s="15" t="str">
        <f aca="false">IF($B101="","",IF(AND(G101="",H101=""),"",G101+H101))</f>
        <v/>
      </c>
      <c r="J101" s="15" t="str">
        <f aca="false">IF(OR($B101="",I101=""),"",I101-F101)</f>
        <v/>
      </c>
      <c r="K101" s="16" t="str">
        <f aca="false">IF($B101="","",IF(AND(G101="",H101=""),"Not Counted",IF(OR(G101="",H101=""),"Partially Counted",IF(J101=0,"Match",IF(J101&gt;0,"Overage","Shortage")))))</f>
        <v/>
      </c>
      <c r="L101" s="16" t="str">
        <f aca="false">IF($B101="","",IF(AND(L101&lt;&gt;"",L101&lt;&gt;0),L101,$B$4))</f>
        <v/>
      </c>
      <c r="M101" s="13"/>
      <c r="N101" s="13"/>
      <c r="O101" s="13"/>
      <c r="Q101" s="9"/>
    </row>
    <row r="102" customFormat="false" ht="15" hidden="false" customHeight="false" outlineLevel="0" collapsed="false">
      <c r="A102" s="11" t="str">
        <f aca="true">IF($B102="","",IF(AND(A102&lt;&gt;"",A102&lt;&gt;0),A102,TODAY()))</f>
        <v/>
      </c>
      <c r="B102" s="12"/>
      <c r="C102" s="13"/>
      <c r="D102" s="13"/>
      <c r="E102" s="13"/>
      <c r="F102" s="14"/>
      <c r="G102" s="14"/>
      <c r="H102" s="14"/>
      <c r="I102" s="15" t="str">
        <f aca="false">IF($B102="","",IF(AND(G102="",H102=""),"",G102+H102))</f>
        <v/>
      </c>
      <c r="J102" s="15" t="str">
        <f aca="false">IF(OR($B102="",I102=""),"",I102-F102)</f>
        <v/>
      </c>
      <c r="K102" s="16" t="str">
        <f aca="false">IF($B102="","",IF(AND(G102="",H102=""),"Not Counted",IF(OR(G102="",H102=""),"Partially Counted",IF(J102=0,"Match",IF(J102&gt;0,"Overage","Shortage")))))</f>
        <v/>
      </c>
      <c r="L102" s="16" t="str">
        <f aca="false">IF($B102="","",IF(AND(L102&lt;&gt;"",L102&lt;&gt;0),L102,$B$4))</f>
        <v/>
      </c>
      <c r="M102" s="13"/>
      <c r="N102" s="13"/>
      <c r="O102" s="13"/>
      <c r="Q102" s="9"/>
    </row>
    <row r="103" customFormat="false" ht="15" hidden="false" customHeight="false" outlineLevel="0" collapsed="false">
      <c r="A103" s="11" t="str">
        <f aca="true">IF($B103="","",IF(AND(A103&lt;&gt;"",A103&lt;&gt;0),A103,TODAY()))</f>
        <v/>
      </c>
      <c r="B103" s="12"/>
      <c r="C103" s="13"/>
      <c r="D103" s="13"/>
      <c r="E103" s="13"/>
      <c r="F103" s="14"/>
      <c r="G103" s="14"/>
      <c r="H103" s="14"/>
      <c r="I103" s="15" t="str">
        <f aca="false">IF($B103="","",IF(AND(G103="",H103=""),"",G103+H103))</f>
        <v/>
      </c>
      <c r="J103" s="15" t="str">
        <f aca="false">IF(OR($B103="",I103=""),"",I103-F103)</f>
        <v/>
      </c>
      <c r="K103" s="16" t="str">
        <f aca="false">IF($B103="","",IF(AND(G103="",H103=""),"Not Counted",IF(OR(G103="",H103=""),"Partially Counted",IF(J103=0,"Match",IF(J103&gt;0,"Overage","Shortage")))))</f>
        <v/>
      </c>
      <c r="L103" s="16" t="str">
        <f aca="false">IF($B103="","",IF(AND(L103&lt;&gt;"",L103&lt;&gt;0),L103,$B$4))</f>
        <v/>
      </c>
      <c r="M103" s="13"/>
      <c r="N103" s="13"/>
      <c r="O103" s="13"/>
      <c r="Q103" s="9"/>
    </row>
    <row r="104" customFormat="false" ht="15" hidden="false" customHeight="false" outlineLevel="0" collapsed="false">
      <c r="A104" s="11" t="str">
        <f aca="true">IF($B104="","",IF(AND(A104&lt;&gt;"",A104&lt;&gt;0),A104,TODAY()))</f>
        <v/>
      </c>
      <c r="B104" s="12"/>
      <c r="C104" s="13"/>
      <c r="D104" s="13"/>
      <c r="E104" s="13"/>
      <c r="F104" s="14"/>
      <c r="G104" s="14"/>
      <c r="H104" s="14"/>
      <c r="I104" s="15" t="str">
        <f aca="false">IF($B104="","",IF(AND(G104="",H104=""),"",G104+H104))</f>
        <v/>
      </c>
      <c r="J104" s="15" t="str">
        <f aca="false">IF(OR($B104="",I104=""),"",I104-F104)</f>
        <v/>
      </c>
      <c r="K104" s="16" t="str">
        <f aca="false">IF($B104="","",IF(AND(G104="",H104=""),"Not Counted",IF(OR(G104="",H104=""),"Partially Counted",IF(J104=0,"Match",IF(J104&gt;0,"Overage","Shortage")))))</f>
        <v/>
      </c>
      <c r="L104" s="16" t="str">
        <f aca="false">IF($B104="","",IF(AND(L104&lt;&gt;"",L104&lt;&gt;0),L104,$B$4))</f>
        <v/>
      </c>
      <c r="M104" s="13"/>
      <c r="N104" s="13"/>
      <c r="O104" s="13"/>
      <c r="Q104" s="9"/>
    </row>
    <row r="105" customFormat="false" ht="15" hidden="false" customHeight="false" outlineLevel="0" collapsed="false">
      <c r="A105" s="11" t="str">
        <f aca="true">IF($B105="","",IF(AND(A105&lt;&gt;"",A105&lt;&gt;0),A105,TODAY()))</f>
        <v/>
      </c>
      <c r="B105" s="12"/>
      <c r="C105" s="13"/>
      <c r="D105" s="13"/>
      <c r="E105" s="13"/>
      <c r="F105" s="14"/>
      <c r="G105" s="14"/>
      <c r="H105" s="14"/>
      <c r="I105" s="15" t="str">
        <f aca="false">IF($B105="","",IF(AND(G105="",H105=""),"",G105+H105))</f>
        <v/>
      </c>
      <c r="J105" s="15" t="str">
        <f aca="false">IF(OR($B105="",I105=""),"",I105-F105)</f>
        <v/>
      </c>
      <c r="K105" s="16" t="str">
        <f aca="false">IF($B105="","",IF(AND(G105="",H105=""),"Not Counted",IF(OR(G105="",H105=""),"Partially Counted",IF(J105=0,"Match",IF(J105&gt;0,"Overage","Shortage")))))</f>
        <v/>
      </c>
      <c r="L105" s="16" t="str">
        <f aca="false">IF($B105="","",IF(AND(L105&lt;&gt;"",L105&lt;&gt;0),L105,$B$4))</f>
        <v/>
      </c>
      <c r="M105" s="13"/>
      <c r="N105" s="13"/>
      <c r="O105" s="13"/>
      <c r="Q105" s="9"/>
    </row>
    <row r="106" customFormat="false" ht="15" hidden="false" customHeight="false" outlineLevel="0" collapsed="false">
      <c r="A106" s="11" t="str">
        <f aca="true">IF($B106="","",IF(AND(A106&lt;&gt;"",A106&lt;&gt;0),A106,TODAY()))</f>
        <v/>
      </c>
      <c r="B106" s="12"/>
      <c r="C106" s="13"/>
      <c r="D106" s="13"/>
      <c r="E106" s="13"/>
      <c r="F106" s="14"/>
      <c r="G106" s="14"/>
      <c r="H106" s="14"/>
      <c r="I106" s="15" t="str">
        <f aca="false">IF($B106="","",IF(AND(G106="",H106=""),"",G106+H106))</f>
        <v/>
      </c>
      <c r="J106" s="15" t="str">
        <f aca="false">IF(OR($B106="",I106=""),"",I106-F106)</f>
        <v/>
      </c>
      <c r="K106" s="16" t="str">
        <f aca="false">IF($B106="","",IF(AND(G106="",H106=""),"Not Counted",IF(OR(G106="",H106=""),"Partially Counted",IF(J106=0,"Match",IF(J106&gt;0,"Overage","Shortage")))))</f>
        <v/>
      </c>
      <c r="L106" s="16" t="str">
        <f aca="false">IF($B106="","",IF(AND(L106&lt;&gt;"",L106&lt;&gt;0),L106,$B$4))</f>
        <v/>
      </c>
      <c r="M106" s="13"/>
      <c r="N106" s="13"/>
      <c r="O106" s="13"/>
      <c r="Q106" s="9"/>
    </row>
    <row r="107" customFormat="false" ht="15" hidden="false" customHeight="false" outlineLevel="0" collapsed="false">
      <c r="A107" s="11" t="str">
        <f aca="true">IF($B107="","",IF(AND(A107&lt;&gt;"",A107&lt;&gt;0),A107,TODAY()))</f>
        <v/>
      </c>
      <c r="B107" s="12"/>
      <c r="C107" s="13"/>
      <c r="D107" s="13"/>
      <c r="E107" s="13"/>
      <c r="F107" s="14"/>
      <c r="G107" s="14"/>
      <c r="H107" s="14"/>
      <c r="I107" s="15" t="str">
        <f aca="false">IF($B107="","",IF(AND(G107="",H107=""),"",G107+H107))</f>
        <v/>
      </c>
      <c r="J107" s="15" t="str">
        <f aca="false">IF(OR($B107="",I107=""),"",I107-F107)</f>
        <v/>
      </c>
      <c r="K107" s="16" t="str">
        <f aca="false">IF($B107="","",IF(AND(G107="",H107=""),"Not Counted",IF(OR(G107="",H107=""),"Partially Counted",IF(J107=0,"Match",IF(J107&gt;0,"Overage","Shortage")))))</f>
        <v/>
      </c>
      <c r="L107" s="16" t="str">
        <f aca="false">IF($B107="","",IF(AND(L107&lt;&gt;"",L107&lt;&gt;0),L107,$B$4))</f>
        <v/>
      </c>
      <c r="M107" s="13"/>
      <c r="N107" s="13"/>
      <c r="O107" s="13"/>
      <c r="Q107" s="9"/>
    </row>
    <row r="108" customFormat="false" ht="15" hidden="false" customHeight="false" outlineLevel="0" collapsed="false">
      <c r="A108" s="11" t="str">
        <f aca="true">IF($B108="","",IF(AND(A108&lt;&gt;"",A108&lt;&gt;0),A108,TODAY()))</f>
        <v/>
      </c>
      <c r="B108" s="12"/>
      <c r="C108" s="13"/>
      <c r="D108" s="13"/>
      <c r="E108" s="13"/>
      <c r="F108" s="14"/>
      <c r="G108" s="14"/>
      <c r="H108" s="14"/>
      <c r="I108" s="15" t="str">
        <f aca="false">IF($B108="","",IF(AND(G108="",H108=""),"",G108+H108))</f>
        <v/>
      </c>
      <c r="J108" s="15" t="str">
        <f aca="false">IF(OR($B108="",I108=""),"",I108-F108)</f>
        <v/>
      </c>
      <c r="K108" s="16" t="str">
        <f aca="false">IF($B108="","",IF(AND(G108="",H108=""),"Not Counted",IF(OR(G108="",H108=""),"Partially Counted",IF(J108=0,"Match",IF(J108&gt;0,"Overage","Shortage")))))</f>
        <v/>
      </c>
      <c r="L108" s="16" t="str">
        <f aca="false">IF($B108="","",IF(AND(L108&lt;&gt;"",L108&lt;&gt;0),L108,$B$4))</f>
        <v/>
      </c>
      <c r="M108" s="13"/>
      <c r="N108" s="13"/>
      <c r="O108" s="13"/>
      <c r="Q108" s="9"/>
    </row>
    <row r="109" customFormat="false" ht="15" hidden="false" customHeight="false" outlineLevel="0" collapsed="false">
      <c r="A109" s="11" t="str">
        <f aca="true">IF($B109="","",IF(AND(A109&lt;&gt;"",A109&lt;&gt;0),A109,TODAY()))</f>
        <v/>
      </c>
      <c r="B109" s="12"/>
      <c r="C109" s="13"/>
      <c r="D109" s="13"/>
      <c r="E109" s="13"/>
      <c r="F109" s="14"/>
      <c r="G109" s="14"/>
      <c r="H109" s="14"/>
      <c r="I109" s="15" t="str">
        <f aca="false">IF($B109="","",IF(AND(G109="",H109=""),"",G109+H109))</f>
        <v/>
      </c>
      <c r="J109" s="15" t="str">
        <f aca="false">IF(OR($B109="",I109=""),"",I109-F109)</f>
        <v/>
      </c>
      <c r="K109" s="16" t="str">
        <f aca="false">IF($B109="","",IF(AND(G109="",H109=""),"Not Counted",IF(OR(G109="",H109=""),"Partially Counted",IF(J109=0,"Match",IF(J109&gt;0,"Overage","Shortage")))))</f>
        <v/>
      </c>
      <c r="L109" s="16" t="str">
        <f aca="false">IF($B109="","",IF(AND(L109&lt;&gt;"",L109&lt;&gt;0),L109,$B$4))</f>
        <v/>
      </c>
      <c r="M109" s="13"/>
      <c r="N109" s="13"/>
      <c r="O109" s="13"/>
      <c r="Q109" s="9"/>
    </row>
    <row r="110" customFormat="false" ht="15" hidden="false" customHeight="false" outlineLevel="0" collapsed="false">
      <c r="A110" s="11" t="str">
        <f aca="true">IF($B110="","",IF(AND(A110&lt;&gt;"",A110&lt;&gt;0),A110,TODAY()))</f>
        <v/>
      </c>
      <c r="B110" s="12"/>
      <c r="C110" s="13"/>
      <c r="D110" s="13"/>
      <c r="E110" s="13"/>
      <c r="F110" s="14"/>
      <c r="G110" s="14"/>
      <c r="H110" s="14"/>
      <c r="I110" s="15" t="str">
        <f aca="false">IF($B110="","",IF(AND(G110="",H110=""),"",G110+H110))</f>
        <v/>
      </c>
      <c r="J110" s="15" t="str">
        <f aca="false">IF(OR($B110="",I110=""),"",I110-F110)</f>
        <v/>
      </c>
      <c r="K110" s="16" t="str">
        <f aca="false">IF($B110="","",IF(AND(G110="",H110=""),"Not Counted",IF(OR(G110="",H110=""),"Partially Counted",IF(J110=0,"Match",IF(J110&gt;0,"Overage","Shortage")))))</f>
        <v/>
      </c>
      <c r="L110" s="16" t="str">
        <f aca="false">IF($B110="","",IF(AND(L110&lt;&gt;"",L110&lt;&gt;0),L110,$B$4))</f>
        <v/>
      </c>
      <c r="M110" s="13"/>
      <c r="N110" s="13"/>
      <c r="O110" s="13"/>
      <c r="Q110" s="9"/>
    </row>
    <row r="111" customFormat="false" ht="15" hidden="false" customHeight="false" outlineLevel="0" collapsed="false">
      <c r="A111" s="11" t="str">
        <f aca="true">IF($B111="","",IF(AND(A111&lt;&gt;"",A111&lt;&gt;0),A111,TODAY()))</f>
        <v/>
      </c>
      <c r="B111" s="12"/>
      <c r="C111" s="13"/>
      <c r="D111" s="13"/>
      <c r="E111" s="13"/>
      <c r="F111" s="14"/>
      <c r="G111" s="14"/>
      <c r="H111" s="14"/>
      <c r="I111" s="15" t="str">
        <f aca="false">IF($B111="","",IF(AND(G111="",H111=""),"",G111+H111))</f>
        <v/>
      </c>
      <c r="J111" s="15" t="str">
        <f aca="false">IF(OR($B111="",I111=""),"",I111-F111)</f>
        <v/>
      </c>
      <c r="K111" s="16" t="str">
        <f aca="false">IF($B111="","",IF(AND(G111="",H111=""),"Not Counted",IF(OR(G111="",H111=""),"Partially Counted",IF(J111=0,"Match",IF(J111&gt;0,"Overage","Shortage")))))</f>
        <v/>
      </c>
      <c r="L111" s="16" t="str">
        <f aca="false">IF($B111="","",IF(AND(L111&lt;&gt;"",L111&lt;&gt;0),L111,$B$4))</f>
        <v/>
      </c>
      <c r="M111" s="13"/>
      <c r="N111" s="13"/>
      <c r="O111" s="13"/>
      <c r="Q111" s="9"/>
    </row>
    <row r="112" customFormat="false" ht="15" hidden="false" customHeight="false" outlineLevel="0" collapsed="false">
      <c r="A112" s="11" t="str">
        <f aca="true">IF($B112="","",IF(AND(A112&lt;&gt;"",A112&lt;&gt;0),A112,TODAY()))</f>
        <v/>
      </c>
      <c r="B112" s="12"/>
      <c r="C112" s="13"/>
      <c r="D112" s="13"/>
      <c r="E112" s="13"/>
      <c r="F112" s="14"/>
      <c r="G112" s="14"/>
      <c r="H112" s="14"/>
      <c r="I112" s="15" t="str">
        <f aca="false">IF($B112="","",IF(AND(G112="",H112=""),"",G112+H112))</f>
        <v/>
      </c>
      <c r="J112" s="15" t="str">
        <f aca="false">IF(OR($B112="",I112=""),"",I112-F112)</f>
        <v/>
      </c>
      <c r="K112" s="16" t="str">
        <f aca="false">IF($B112="","",IF(AND(G112="",H112=""),"Not Counted",IF(OR(G112="",H112=""),"Partially Counted",IF(J112=0,"Match",IF(J112&gt;0,"Overage","Shortage")))))</f>
        <v/>
      </c>
      <c r="L112" s="16" t="str">
        <f aca="false">IF($B112="","",IF(AND(L112&lt;&gt;"",L112&lt;&gt;0),L112,$B$4))</f>
        <v/>
      </c>
      <c r="M112" s="13"/>
      <c r="N112" s="13"/>
      <c r="O112" s="13"/>
      <c r="Q112" s="9"/>
    </row>
    <row r="113" customFormat="false" ht="15" hidden="false" customHeight="false" outlineLevel="0" collapsed="false">
      <c r="A113" s="11" t="str">
        <f aca="true">IF($B113="","",IF(AND(A113&lt;&gt;"",A113&lt;&gt;0),A113,TODAY()))</f>
        <v/>
      </c>
      <c r="B113" s="12"/>
      <c r="C113" s="13"/>
      <c r="D113" s="13"/>
      <c r="E113" s="13"/>
      <c r="F113" s="14"/>
      <c r="G113" s="14"/>
      <c r="H113" s="14"/>
      <c r="I113" s="15" t="str">
        <f aca="false">IF($B113="","",IF(AND(G113="",H113=""),"",G113+H113))</f>
        <v/>
      </c>
      <c r="J113" s="15" t="str">
        <f aca="false">IF(OR($B113="",I113=""),"",I113-F113)</f>
        <v/>
      </c>
      <c r="K113" s="16" t="str">
        <f aca="false">IF($B113="","",IF(AND(G113="",H113=""),"Not Counted",IF(OR(G113="",H113=""),"Partially Counted",IF(J113=0,"Match",IF(J113&gt;0,"Overage","Shortage")))))</f>
        <v/>
      </c>
      <c r="L113" s="16" t="str">
        <f aca="false">IF($B113="","",IF(AND(L113&lt;&gt;"",L113&lt;&gt;0),L113,$B$4))</f>
        <v/>
      </c>
      <c r="M113" s="13"/>
      <c r="N113" s="13"/>
      <c r="O113" s="13"/>
      <c r="Q113" s="9"/>
    </row>
    <row r="114" customFormat="false" ht="15" hidden="false" customHeight="false" outlineLevel="0" collapsed="false">
      <c r="A114" s="11" t="str">
        <f aca="true">IF($B114="","",IF(AND(A114&lt;&gt;"",A114&lt;&gt;0),A114,TODAY()))</f>
        <v/>
      </c>
      <c r="B114" s="12"/>
      <c r="C114" s="13"/>
      <c r="D114" s="13"/>
      <c r="E114" s="13"/>
      <c r="F114" s="14"/>
      <c r="G114" s="14"/>
      <c r="H114" s="14"/>
      <c r="I114" s="15" t="str">
        <f aca="false">IF($B114="","",IF(AND(G114="",H114=""),"",G114+H114))</f>
        <v/>
      </c>
      <c r="J114" s="15" t="str">
        <f aca="false">IF(OR($B114="",I114=""),"",I114-F114)</f>
        <v/>
      </c>
      <c r="K114" s="16" t="str">
        <f aca="false">IF($B114="","",IF(AND(G114="",H114=""),"Not Counted",IF(OR(G114="",H114=""),"Partially Counted",IF(J114=0,"Match",IF(J114&gt;0,"Overage","Shortage")))))</f>
        <v/>
      </c>
      <c r="L114" s="16" t="str">
        <f aca="false">IF($B114="","",IF(AND(L114&lt;&gt;"",L114&lt;&gt;0),L114,$B$4))</f>
        <v/>
      </c>
      <c r="M114" s="13"/>
      <c r="N114" s="13"/>
      <c r="O114" s="13"/>
      <c r="Q114" s="9"/>
    </row>
    <row r="115" customFormat="false" ht="15" hidden="false" customHeight="false" outlineLevel="0" collapsed="false">
      <c r="A115" s="11" t="str">
        <f aca="true">IF($B115="","",IF(AND(A115&lt;&gt;"",A115&lt;&gt;0),A115,TODAY()))</f>
        <v/>
      </c>
      <c r="B115" s="12"/>
      <c r="C115" s="13"/>
      <c r="D115" s="13"/>
      <c r="E115" s="13"/>
      <c r="F115" s="14"/>
      <c r="G115" s="14"/>
      <c r="H115" s="14"/>
      <c r="I115" s="15" t="str">
        <f aca="false">IF($B115="","",IF(AND(G115="",H115=""),"",G115+H115))</f>
        <v/>
      </c>
      <c r="J115" s="15" t="str">
        <f aca="false">IF(OR($B115="",I115=""),"",I115-F115)</f>
        <v/>
      </c>
      <c r="K115" s="16" t="str">
        <f aca="false">IF($B115="","",IF(AND(G115="",H115=""),"Not Counted",IF(OR(G115="",H115=""),"Partially Counted",IF(J115=0,"Match",IF(J115&gt;0,"Overage","Shortage")))))</f>
        <v/>
      </c>
      <c r="L115" s="16" t="str">
        <f aca="false">IF($B115="","",IF(AND(L115&lt;&gt;"",L115&lt;&gt;0),L115,$B$4))</f>
        <v/>
      </c>
      <c r="M115" s="13"/>
      <c r="N115" s="13"/>
      <c r="O115" s="13"/>
      <c r="Q115" s="9"/>
    </row>
    <row r="116" customFormat="false" ht="15" hidden="false" customHeight="false" outlineLevel="0" collapsed="false">
      <c r="A116" s="11" t="str">
        <f aca="true">IF($B116="","",IF(AND(A116&lt;&gt;"",A116&lt;&gt;0),A116,TODAY()))</f>
        <v/>
      </c>
      <c r="B116" s="12"/>
      <c r="C116" s="13"/>
      <c r="D116" s="13"/>
      <c r="E116" s="13"/>
      <c r="F116" s="14"/>
      <c r="G116" s="14"/>
      <c r="H116" s="14"/>
      <c r="I116" s="15" t="str">
        <f aca="false">IF($B116="","",IF(AND(G116="",H116=""),"",G116+H116))</f>
        <v/>
      </c>
      <c r="J116" s="15" t="str">
        <f aca="false">IF(OR($B116="",I116=""),"",I116-F116)</f>
        <v/>
      </c>
      <c r="K116" s="16" t="str">
        <f aca="false">IF($B116="","",IF(AND(G116="",H116=""),"Not Counted",IF(OR(G116="",H116=""),"Partially Counted",IF(J116=0,"Match",IF(J116&gt;0,"Overage","Shortage")))))</f>
        <v/>
      </c>
      <c r="L116" s="16" t="str">
        <f aca="false">IF($B116="","",IF(AND(L116&lt;&gt;"",L116&lt;&gt;0),L116,$B$4))</f>
        <v/>
      </c>
      <c r="M116" s="13"/>
      <c r="N116" s="13"/>
      <c r="O116" s="13"/>
      <c r="Q116" s="9"/>
    </row>
    <row r="117" customFormat="false" ht="15" hidden="false" customHeight="false" outlineLevel="0" collapsed="false">
      <c r="A117" s="11" t="str">
        <f aca="true">IF($B117="","",IF(AND(A117&lt;&gt;"",A117&lt;&gt;0),A117,TODAY()))</f>
        <v/>
      </c>
      <c r="B117" s="12"/>
      <c r="C117" s="13"/>
      <c r="D117" s="13"/>
      <c r="E117" s="13"/>
      <c r="F117" s="14"/>
      <c r="G117" s="14"/>
      <c r="H117" s="14"/>
      <c r="I117" s="15" t="str">
        <f aca="false">IF($B117="","",IF(AND(G117="",H117=""),"",G117+H117))</f>
        <v/>
      </c>
      <c r="J117" s="15" t="str">
        <f aca="false">IF(OR($B117="",I117=""),"",I117-F117)</f>
        <v/>
      </c>
      <c r="K117" s="16" t="str">
        <f aca="false">IF($B117="","",IF(AND(G117="",H117=""),"Not Counted",IF(OR(G117="",H117=""),"Partially Counted",IF(J117=0,"Match",IF(J117&gt;0,"Overage","Shortage")))))</f>
        <v/>
      </c>
      <c r="L117" s="16" t="str">
        <f aca="false">IF($B117="","",IF(AND(L117&lt;&gt;"",L117&lt;&gt;0),L117,$B$4))</f>
        <v/>
      </c>
      <c r="M117" s="13"/>
      <c r="N117" s="13"/>
      <c r="O117" s="13"/>
      <c r="Q117" s="9"/>
    </row>
    <row r="118" customFormat="false" ht="15" hidden="false" customHeight="false" outlineLevel="0" collapsed="false">
      <c r="A118" s="11" t="str">
        <f aca="true">IF($B118="","",IF(AND(A118&lt;&gt;"",A118&lt;&gt;0),A118,TODAY()))</f>
        <v/>
      </c>
      <c r="B118" s="12"/>
      <c r="C118" s="13"/>
      <c r="D118" s="13"/>
      <c r="E118" s="13"/>
      <c r="F118" s="14"/>
      <c r="G118" s="14"/>
      <c r="H118" s="14"/>
      <c r="I118" s="15" t="str">
        <f aca="false">IF($B118="","",IF(AND(G118="",H118=""),"",G118+H118))</f>
        <v/>
      </c>
      <c r="J118" s="15" t="str">
        <f aca="false">IF(OR($B118="",I118=""),"",I118-F118)</f>
        <v/>
      </c>
      <c r="K118" s="16" t="str">
        <f aca="false">IF($B118="","",IF(AND(G118="",H118=""),"Not Counted",IF(OR(G118="",H118=""),"Partially Counted",IF(J118=0,"Match",IF(J118&gt;0,"Overage","Shortage")))))</f>
        <v/>
      </c>
      <c r="L118" s="16" t="str">
        <f aca="false">IF($B118="","",IF(AND(L118&lt;&gt;"",L118&lt;&gt;0),L118,$B$4))</f>
        <v/>
      </c>
      <c r="M118" s="13"/>
      <c r="N118" s="13"/>
      <c r="O118" s="13"/>
      <c r="Q118" s="9"/>
    </row>
    <row r="119" customFormat="false" ht="15" hidden="false" customHeight="false" outlineLevel="0" collapsed="false">
      <c r="A119" s="11" t="str">
        <f aca="true">IF($B119="","",IF(AND(A119&lt;&gt;"",A119&lt;&gt;0),A119,TODAY()))</f>
        <v/>
      </c>
      <c r="B119" s="12"/>
      <c r="C119" s="13"/>
      <c r="D119" s="13"/>
      <c r="E119" s="13"/>
      <c r="F119" s="14"/>
      <c r="G119" s="14"/>
      <c r="H119" s="14"/>
      <c r="I119" s="15" t="str">
        <f aca="false">IF($B119="","",IF(AND(G119="",H119=""),"",G119+H119))</f>
        <v/>
      </c>
      <c r="J119" s="15" t="str">
        <f aca="false">IF(OR($B119="",I119=""),"",I119-F119)</f>
        <v/>
      </c>
      <c r="K119" s="16" t="str">
        <f aca="false">IF($B119="","",IF(AND(G119="",H119=""),"Not Counted",IF(OR(G119="",H119=""),"Partially Counted",IF(J119=0,"Match",IF(J119&gt;0,"Overage","Shortage")))))</f>
        <v/>
      </c>
      <c r="L119" s="16" t="str">
        <f aca="false">IF($B119="","",IF(AND(L119&lt;&gt;"",L119&lt;&gt;0),L119,$B$4))</f>
        <v/>
      </c>
      <c r="M119" s="13"/>
      <c r="N119" s="13"/>
      <c r="O119" s="13"/>
      <c r="Q119" s="9"/>
    </row>
    <row r="120" customFormat="false" ht="15" hidden="false" customHeight="false" outlineLevel="0" collapsed="false">
      <c r="A120" s="11" t="str">
        <f aca="true">IF($B120="","",IF(AND(A120&lt;&gt;"",A120&lt;&gt;0),A120,TODAY()))</f>
        <v/>
      </c>
      <c r="B120" s="12"/>
      <c r="C120" s="13"/>
      <c r="D120" s="13"/>
      <c r="E120" s="13"/>
      <c r="F120" s="14"/>
      <c r="G120" s="14"/>
      <c r="H120" s="14"/>
      <c r="I120" s="15" t="str">
        <f aca="false">IF($B120="","",IF(AND(G120="",H120=""),"",G120+H120))</f>
        <v/>
      </c>
      <c r="J120" s="15" t="str">
        <f aca="false">IF(OR($B120="",I120=""),"",I120-F120)</f>
        <v/>
      </c>
      <c r="K120" s="16" t="str">
        <f aca="false">IF($B120="","",IF(AND(G120="",H120=""),"Not Counted",IF(OR(G120="",H120=""),"Partially Counted",IF(J120=0,"Match",IF(J120&gt;0,"Overage","Shortage")))))</f>
        <v/>
      </c>
      <c r="L120" s="16" t="str">
        <f aca="false">IF($B120="","",IF(AND(L120&lt;&gt;"",L120&lt;&gt;0),L120,$B$4))</f>
        <v/>
      </c>
      <c r="M120" s="13"/>
      <c r="N120" s="13"/>
      <c r="O120" s="13"/>
      <c r="Q120" s="9"/>
    </row>
    <row r="121" customFormat="false" ht="15" hidden="false" customHeight="false" outlineLevel="0" collapsed="false">
      <c r="A121" s="11" t="str">
        <f aca="true">IF($B121="","",IF(AND(A121&lt;&gt;"",A121&lt;&gt;0),A121,TODAY()))</f>
        <v/>
      </c>
      <c r="B121" s="12"/>
      <c r="C121" s="13"/>
      <c r="D121" s="13"/>
      <c r="E121" s="13"/>
      <c r="F121" s="14"/>
      <c r="G121" s="14"/>
      <c r="H121" s="14"/>
      <c r="I121" s="15" t="str">
        <f aca="false">IF($B121="","",IF(AND(G121="",H121=""),"",G121+H121))</f>
        <v/>
      </c>
      <c r="J121" s="15" t="str">
        <f aca="false">IF(OR($B121="",I121=""),"",I121-F121)</f>
        <v/>
      </c>
      <c r="K121" s="16" t="str">
        <f aca="false">IF($B121="","",IF(AND(G121="",H121=""),"Not Counted",IF(OR(G121="",H121=""),"Partially Counted",IF(J121=0,"Match",IF(J121&gt;0,"Overage","Shortage")))))</f>
        <v/>
      </c>
      <c r="L121" s="16" t="str">
        <f aca="false">IF($B121="","",IF(AND(L121&lt;&gt;"",L121&lt;&gt;0),L121,$B$4))</f>
        <v/>
      </c>
      <c r="M121" s="13"/>
      <c r="N121" s="13"/>
      <c r="O121" s="13"/>
      <c r="Q121" s="9"/>
    </row>
    <row r="122" customFormat="false" ht="15" hidden="false" customHeight="false" outlineLevel="0" collapsed="false">
      <c r="A122" s="11" t="str">
        <f aca="true">IF($B122="","",IF(AND(A122&lt;&gt;"",A122&lt;&gt;0),A122,TODAY()))</f>
        <v/>
      </c>
      <c r="B122" s="12"/>
      <c r="C122" s="13"/>
      <c r="D122" s="13"/>
      <c r="E122" s="13"/>
      <c r="F122" s="14"/>
      <c r="G122" s="14"/>
      <c r="H122" s="14"/>
      <c r="I122" s="15" t="str">
        <f aca="false">IF($B122="","",IF(AND(G122="",H122=""),"",G122+H122))</f>
        <v/>
      </c>
      <c r="J122" s="15" t="str">
        <f aca="false">IF(OR($B122="",I122=""),"",I122-F122)</f>
        <v/>
      </c>
      <c r="K122" s="16" t="str">
        <f aca="false">IF($B122="","",IF(AND(G122="",H122=""),"Not Counted",IF(OR(G122="",H122=""),"Partially Counted",IF(J122=0,"Match",IF(J122&gt;0,"Overage","Shortage")))))</f>
        <v/>
      </c>
      <c r="L122" s="16" t="str">
        <f aca="false">IF($B122="","",IF(AND(L122&lt;&gt;"",L122&lt;&gt;0),L122,$B$4))</f>
        <v/>
      </c>
      <c r="M122" s="13"/>
      <c r="N122" s="13"/>
      <c r="O122" s="13"/>
      <c r="Q122" s="9"/>
    </row>
    <row r="123" customFormat="false" ht="15" hidden="false" customHeight="false" outlineLevel="0" collapsed="false">
      <c r="A123" s="11" t="str">
        <f aca="true">IF($B123="","",IF(AND(A123&lt;&gt;"",A123&lt;&gt;0),A123,TODAY()))</f>
        <v/>
      </c>
      <c r="B123" s="12"/>
      <c r="C123" s="13"/>
      <c r="D123" s="13"/>
      <c r="E123" s="13"/>
      <c r="F123" s="14"/>
      <c r="G123" s="14"/>
      <c r="H123" s="14"/>
      <c r="I123" s="15" t="str">
        <f aca="false">IF($B123="","",IF(AND(G123="",H123=""),"",G123+H123))</f>
        <v/>
      </c>
      <c r="J123" s="15" t="str">
        <f aca="false">IF(OR($B123="",I123=""),"",I123-F123)</f>
        <v/>
      </c>
      <c r="K123" s="16" t="str">
        <f aca="false">IF($B123="","",IF(AND(G123="",H123=""),"Not Counted",IF(OR(G123="",H123=""),"Partially Counted",IF(J123=0,"Match",IF(J123&gt;0,"Overage","Shortage")))))</f>
        <v/>
      </c>
      <c r="L123" s="16" t="str">
        <f aca="false">IF($B123="","",IF(AND(L123&lt;&gt;"",L123&lt;&gt;0),L123,$B$4))</f>
        <v/>
      </c>
      <c r="M123" s="13"/>
      <c r="N123" s="13"/>
      <c r="O123" s="13"/>
      <c r="Q123" s="9"/>
    </row>
    <row r="124" customFormat="false" ht="15" hidden="false" customHeight="false" outlineLevel="0" collapsed="false">
      <c r="A124" s="11" t="str">
        <f aca="true">IF($B124="","",IF(AND(A124&lt;&gt;"",A124&lt;&gt;0),A124,TODAY()))</f>
        <v/>
      </c>
      <c r="B124" s="12"/>
      <c r="C124" s="13"/>
      <c r="D124" s="13"/>
      <c r="E124" s="13"/>
      <c r="F124" s="14"/>
      <c r="G124" s="14"/>
      <c r="H124" s="14"/>
      <c r="I124" s="15" t="str">
        <f aca="false">IF($B124="","",IF(AND(G124="",H124=""),"",G124+H124))</f>
        <v/>
      </c>
      <c r="J124" s="15" t="str">
        <f aca="false">IF(OR($B124="",I124=""),"",I124-F124)</f>
        <v/>
      </c>
      <c r="K124" s="16" t="str">
        <f aca="false">IF($B124="","",IF(AND(G124="",H124=""),"Not Counted",IF(OR(G124="",H124=""),"Partially Counted",IF(J124=0,"Match",IF(J124&gt;0,"Overage","Shortage")))))</f>
        <v/>
      </c>
      <c r="L124" s="16" t="str">
        <f aca="false">IF($B124="","",IF(AND(L124&lt;&gt;"",L124&lt;&gt;0),L124,$B$4))</f>
        <v/>
      </c>
      <c r="M124" s="13"/>
      <c r="N124" s="13"/>
      <c r="O124" s="13"/>
      <c r="Q124" s="9"/>
    </row>
    <row r="125" customFormat="false" ht="15" hidden="false" customHeight="false" outlineLevel="0" collapsed="false">
      <c r="A125" s="11" t="str">
        <f aca="true">IF($B125="","",IF(AND(A125&lt;&gt;"",A125&lt;&gt;0),A125,TODAY()))</f>
        <v/>
      </c>
      <c r="B125" s="12"/>
      <c r="C125" s="13"/>
      <c r="D125" s="13"/>
      <c r="E125" s="13"/>
      <c r="F125" s="14"/>
      <c r="G125" s="14"/>
      <c r="H125" s="14"/>
      <c r="I125" s="15" t="str">
        <f aca="false">IF($B125="","",IF(AND(G125="",H125=""),"",G125+H125))</f>
        <v/>
      </c>
      <c r="J125" s="15" t="str">
        <f aca="false">IF(OR($B125="",I125=""),"",I125-F125)</f>
        <v/>
      </c>
      <c r="K125" s="16" t="str">
        <f aca="false">IF($B125="","",IF(AND(G125="",H125=""),"Not Counted",IF(OR(G125="",H125=""),"Partially Counted",IF(J125=0,"Match",IF(J125&gt;0,"Overage","Shortage")))))</f>
        <v/>
      </c>
      <c r="L125" s="16" t="str">
        <f aca="false">IF($B125="","",IF(AND(L125&lt;&gt;"",L125&lt;&gt;0),L125,$B$4))</f>
        <v/>
      </c>
      <c r="M125" s="13"/>
      <c r="N125" s="13"/>
      <c r="O125" s="13"/>
      <c r="Q125" s="9"/>
    </row>
    <row r="126" customFormat="false" ht="15" hidden="false" customHeight="false" outlineLevel="0" collapsed="false">
      <c r="A126" s="11" t="str">
        <f aca="true">IF($B126="","",IF(AND(A126&lt;&gt;"",A126&lt;&gt;0),A126,TODAY()))</f>
        <v/>
      </c>
      <c r="B126" s="12"/>
      <c r="C126" s="13"/>
      <c r="D126" s="13"/>
      <c r="E126" s="13"/>
      <c r="F126" s="14"/>
      <c r="G126" s="14"/>
      <c r="H126" s="14"/>
      <c r="I126" s="15" t="str">
        <f aca="false">IF($B126="","",IF(AND(G126="",H126=""),"",G126+H126))</f>
        <v/>
      </c>
      <c r="J126" s="15" t="str">
        <f aca="false">IF(OR($B126="",I126=""),"",I126-F126)</f>
        <v/>
      </c>
      <c r="K126" s="16" t="str">
        <f aca="false">IF($B126="","",IF(AND(G126="",H126=""),"Not Counted",IF(OR(G126="",H126=""),"Partially Counted",IF(J126=0,"Match",IF(J126&gt;0,"Overage","Shortage")))))</f>
        <v/>
      </c>
      <c r="L126" s="16" t="str">
        <f aca="false">IF($B126="","",IF(AND(L126&lt;&gt;"",L126&lt;&gt;0),L126,$B$4))</f>
        <v/>
      </c>
      <c r="M126" s="13"/>
      <c r="N126" s="13"/>
      <c r="O126" s="13"/>
      <c r="Q126" s="9"/>
    </row>
    <row r="127" customFormat="false" ht="15" hidden="false" customHeight="false" outlineLevel="0" collapsed="false">
      <c r="A127" s="11" t="str">
        <f aca="true">IF($B127="","",IF(AND(A127&lt;&gt;"",A127&lt;&gt;0),A127,TODAY()))</f>
        <v/>
      </c>
      <c r="B127" s="12"/>
      <c r="C127" s="13"/>
      <c r="D127" s="13"/>
      <c r="E127" s="13"/>
      <c r="F127" s="14"/>
      <c r="G127" s="14"/>
      <c r="H127" s="14"/>
      <c r="I127" s="15" t="str">
        <f aca="false">IF($B127="","",IF(AND(G127="",H127=""),"",G127+H127))</f>
        <v/>
      </c>
      <c r="J127" s="15" t="str">
        <f aca="false">IF(OR($B127="",I127=""),"",I127-F127)</f>
        <v/>
      </c>
      <c r="K127" s="16" t="str">
        <f aca="false">IF($B127="","",IF(AND(G127="",H127=""),"Not Counted",IF(OR(G127="",H127=""),"Partially Counted",IF(J127=0,"Match",IF(J127&gt;0,"Overage","Shortage")))))</f>
        <v/>
      </c>
      <c r="L127" s="16" t="str">
        <f aca="false">IF($B127="","",IF(AND(L127&lt;&gt;"",L127&lt;&gt;0),L127,$B$4))</f>
        <v/>
      </c>
      <c r="M127" s="13"/>
      <c r="N127" s="13"/>
      <c r="O127" s="13"/>
      <c r="Q127" s="9"/>
    </row>
    <row r="128" customFormat="false" ht="15" hidden="false" customHeight="false" outlineLevel="0" collapsed="false">
      <c r="A128" s="11" t="str">
        <f aca="true">IF($B128="","",IF(AND(A128&lt;&gt;"",A128&lt;&gt;0),A128,TODAY()))</f>
        <v/>
      </c>
      <c r="B128" s="12"/>
      <c r="C128" s="13"/>
      <c r="D128" s="13"/>
      <c r="E128" s="13"/>
      <c r="F128" s="14"/>
      <c r="G128" s="14"/>
      <c r="H128" s="14"/>
      <c r="I128" s="15" t="str">
        <f aca="false">IF($B128="","",IF(AND(G128="",H128=""),"",G128+H128))</f>
        <v/>
      </c>
      <c r="J128" s="15" t="str">
        <f aca="false">IF(OR($B128="",I128=""),"",I128-F128)</f>
        <v/>
      </c>
      <c r="K128" s="16" t="str">
        <f aca="false">IF($B128="","",IF(AND(G128="",H128=""),"Not Counted",IF(OR(G128="",H128=""),"Partially Counted",IF(J128=0,"Match",IF(J128&gt;0,"Overage","Shortage")))))</f>
        <v/>
      </c>
      <c r="L128" s="16" t="str">
        <f aca="false">IF($B128="","",IF(AND(L128&lt;&gt;"",L128&lt;&gt;0),L128,$B$4))</f>
        <v/>
      </c>
      <c r="M128" s="13"/>
      <c r="N128" s="13"/>
      <c r="O128" s="13"/>
      <c r="Q128" s="9"/>
    </row>
    <row r="129" customFormat="false" ht="15" hidden="false" customHeight="false" outlineLevel="0" collapsed="false">
      <c r="A129" s="11" t="str">
        <f aca="true">IF($B129="","",IF(AND(A129&lt;&gt;"",A129&lt;&gt;0),A129,TODAY()))</f>
        <v/>
      </c>
      <c r="B129" s="12"/>
      <c r="C129" s="13"/>
      <c r="D129" s="13"/>
      <c r="E129" s="13"/>
      <c r="F129" s="14"/>
      <c r="G129" s="14"/>
      <c r="H129" s="14"/>
      <c r="I129" s="15" t="str">
        <f aca="false">IF($B129="","",IF(AND(G129="",H129=""),"",G129+H129))</f>
        <v/>
      </c>
      <c r="J129" s="15" t="str">
        <f aca="false">IF(OR($B129="",I129=""),"",I129-F129)</f>
        <v/>
      </c>
      <c r="K129" s="16" t="str">
        <f aca="false">IF($B129="","",IF(AND(G129="",H129=""),"Not Counted",IF(OR(G129="",H129=""),"Partially Counted",IF(J129=0,"Match",IF(J129&gt;0,"Overage","Shortage")))))</f>
        <v/>
      </c>
      <c r="L129" s="16" t="str">
        <f aca="false">IF($B129="","",IF(AND(L129&lt;&gt;"",L129&lt;&gt;0),L129,$B$4))</f>
        <v/>
      </c>
      <c r="M129" s="13"/>
      <c r="N129" s="13"/>
      <c r="O129" s="13"/>
      <c r="Q129" s="9"/>
    </row>
    <row r="130" customFormat="false" ht="15" hidden="false" customHeight="false" outlineLevel="0" collapsed="false">
      <c r="A130" s="11" t="str">
        <f aca="true">IF($B130="","",IF(AND(A130&lt;&gt;"",A130&lt;&gt;0),A130,TODAY()))</f>
        <v/>
      </c>
      <c r="B130" s="12"/>
      <c r="C130" s="13"/>
      <c r="D130" s="13"/>
      <c r="E130" s="13"/>
      <c r="F130" s="14"/>
      <c r="G130" s="14"/>
      <c r="H130" s="14"/>
      <c r="I130" s="15" t="str">
        <f aca="false">IF($B130="","",IF(AND(G130="",H130=""),"",G130+H130))</f>
        <v/>
      </c>
      <c r="J130" s="15" t="str">
        <f aca="false">IF(OR($B130="",I130=""),"",I130-F130)</f>
        <v/>
      </c>
      <c r="K130" s="16" t="str">
        <f aca="false">IF($B130="","",IF(AND(G130="",H130=""),"Not Counted",IF(OR(G130="",H130=""),"Partially Counted",IF(J130=0,"Match",IF(J130&gt;0,"Overage","Shortage")))))</f>
        <v/>
      </c>
      <c r="L130" s="16" t="str">
        <f aca="false">IF($B130="","",IF(AND(L130&lt;&gt;"",L130&lt;&gt;0),L130,$B$4))</f>
        <v/>
      </c>
      <c r="M130" s="13"/>
      <c r="N130" s="13"/>
      <c r="O130" s="13"/>
      <c r="Q130" s="9"/>
    </row>
    <row r="131" customFormat="false" ht="15" hidden="false" customHeight="false" outlineLevel="0" collapsed="false">
      <c r="A131" s="11" t="str">
        <f aca="true">IF($B131="","",IF(AND(A131&lt;&gt;"",A131&lt;&gt;0),A131,TODAY()))</f>
        <v/>
      </c>
      <c r="B131" s="12"/>
      <c r="C131" s="13"/>
      <c r="D131" s="13"/>
      <c r="E131" s="13"/>
      <c r="F131" s="14"/>
      <c r="G131" s="14"/>
      <c r="H131" s="14"/>
      <c r="I131" s="15" t="str">
        <f aca="false">IF($B131="","",IF(AND(G131="",H131=""),"",G131+H131))</f>
        <v/>
      </c>
      <c r="J131" s="15" t="str">
        <f aca="false">IF(OR($B131="",I131=""),"",I131-F131)</f>
        <v/>
      </c>
      <c r="K131" s="16" t="str">
        <f aca="false">IF($B131="","",IF(AND(G131="",H131=""),"Not Counted",IF(OR(G131="",H131=""),"Partially Counted",IF(J131=0,"Match",IF(J131&gt;0,"Overage","Shortage")))))</f>
        <v/>
      </c>
      <c r="L131" s="16" t="str">
        <f aca="false">IF($B131="","",IF(AND(L131&lt;&gt;"",L131&lt;&gt;0),L131,$B$4))</f>
        <v/>
      </c>
      <c r="M131" s="13"/>
      <c r="N131" s="13"/>
      <c r="O131" s="13"/>
      <c r="Q131" s="9"/>
    </row>
    <row r="132" customFormat="false" ht="15" hidden="false" customHeight="false" outlineLevel="0" collapsed="false">
      <c r="A132" s="11" t="str">
        <f aca="true">IF($B132="","",IF(AND(A132&lt;&gt;"",A132&lt;&gt;0),A132,TODAY()))</f>
        <v/>
      </c>
      <c r="B132" s="12"/>
      <c r="C132" s="13"/>
      <c r="D132" s="13"/>
      <c r="E132" s="13"/>
      <c r="F132" s="14"/>
      <c r="G132" s="14"/>
      <c r="H132" s="14"/>
      <c r="I132" s="15" t="str">
        <f aca="false">IF($B132="","",IF(AND(G132="",H132=""),"",G132+H132))</f>
        <v/>
      </c>
      <c r="J132" s="15" t="str">
        <f aca="false">IF(OR($B132="",I132=""),"",I132-F132)</f>
        <v/>
      </c>
      <c r="K132" s="16" t="str">
        <f aca="false">IF($B132="","",IF(AND(G132="",H132=""),"Not Counted",IF(OR(G132="",H132=""),"Partially Counted",IF(J132=0,"Match",IF(J132&gt;0,"Overage","Shortage")))))</f>
        <v/>
      </c>
      <c r="L132" s="16" t="str">
        <f aca="false">IF($B132="","",IF(AND(L132&lt;&gt;"",L132&lt;&gt;0),L132,$B$4))</f>
        <v/>
      </c>
      <c r="M132" s="13"/>
      <c r="N132" s="13"/>
      <c r="O132" s="13"/>
      <c r="Q132" s="9"/>
    </row>
    <row r="133" customFormat="false" ht="15" hidden="false" customHeight="false" outlineLevel="0" collapsed="false">
      <c r="A133" s="11" t="str">
        <f aca="true">IF($B133="","",IF(AND(A133&lt;&gt;"",A133&lt;&gt;0),A133,TODAY()))</f>
        <v/>
      </c>
      <c r="B133" s="12"/>
      <c r="C133" s="13"/>
      <c r="D133" s="13"/>
      <c r="E133" s="13"/>
      <c r="F133" s="14"/>
      <c r="G133" s="14"/>
      <c r="H133" s="14"/>
      <c r="I133" s="15" t="str">
        <f aca="false">IF($B133="","",IF(AND(G133="",H133=""),"",G133+H133))</f>
        <v/>
      </c>
      <c r="J133" s="15" t="str">
        <f aca="false">IF(OR($B133="",I133=""),"",I133-F133)</f>
        <v/>
      </c>
      <c r="K133" s="16" t="str">
        <f aca="false">IF($B133="","",IF(AND(G133="",H133=""),"Not Counted",IF(OR(G133="",H133=""),"Partially Counted",IF(J133=0,"Match",IF(J133&gt;0,"Overage","Shortage")))))</f>
        <v/>
      </c>
      <c r="L133" s="16" t="str">
        <f aca="false">IF($B133="","",IF(AND(L133&lt;&gt;"",L133&lt;&gt;0),L133,$B$4))</f>
        <v/>
      </c>
      <c r="M133" s="13"/>
      <c r="N133" s="13"/>
      <c r="O133" s="13"/>
      <c r="Q133" s="9"/>
    </row>
    <row r="134" customFormat="false" ht="15" hidden="false" customHeight="false" outlineLevel="0" collapsed="false">
      <c r="A134" s="11" t="str">
        <f aca="true">IF($B134="","",IF(AND(A134&lt;&gt;"",A134&lt;&gt;0),A134,TODAY()))</f>
        <v/>
      </c>
      <c r="B134" s="12"/>
      <c r="C134" s="13"/>
      <c r="D134" s="13"/>
      <c r="E134" s="13"/>
      <c r="F134" s="14"/>
      <c r="G134" s="14"/>
      <c r="H134" s="14"/>
      <c r="I134" s="15" t="str">
        <f aca="false">IF($B134="","",IF(AND(G134="",H134=""),"",G134+H134))</f>
        <v/>
      </c>
      <c r="J134" s="15" t="str">
        <f aca="false">IF(OR($B134="",I134=""),"",I134-F134)</f>
        <v/>
      </c>
      <c r="K134" s="16" t="str">
        <f aca="false">IF($B134="","",IF(AND(G134="",H134=""),"Not Counted",IF(OR(G134="",H134=""),"Partially Counted",IF(J134=0,"Match",IF(J134&gt;0,"Overage","Shortage")))))</f>
        <v/>
      </c>
      <c r="L134" s="16" t="str">
        <f aca="false">IF($B134="","",IF(AND(L134&lt;&gt;"",L134&lt;&gt;0),L134,$B$4))</f>
        <v/>
      </c>
      <c r="M134" s="13"/>
      <c r="N134" s="13"/>
      <c r="O134" s="13"/>
      <c r="Q134" s="9"/>
    </row>
    <row r="135" customFormat="false" ht="15" hidden="false" customHeight="false" outlineLevel="0" collapsed="false">
      <c r="A135" s="11" t="str">
        <f aca="true">IF($B135="","",IF(AND(A135&lt;&gt;"",A135&lt;&gt;0),A135,TODAY()))</f>
        <v/>
      </c>
      <c r="B135" s="12"/>
      <c r="C135" s="13"/>
      <c r="D135" s="13"/>
      <c r="E135" s="13"/>
      <c r="F135" s="14"/>
      <c r="G135" s="14"/>
      <c r="H135" s="14"/>
      <c r="I135" s="15" t="str">
        <f aca="false">IF($B135="","",IF(AND(G135="",H135=""),"",G135+H135))</f>
        <v/>
      </c>
      <c r="J135" s="15" t="str">
        <f aca="false">IF(OR($B135="",I135=""),"",I135-F135)</f>
        <v/>
      </c>
      <c r="K135" s="16" t="str">
        <f aca="false">IF($B135="","",IF(AND(G135="",H135=""),"Not Counted",IF(OR(G135="",H135=""),"Partially Counted",IF(J135=0,"Match",IF(J135&gt;0,"Overage","Shortage")))))</f>
        <v/>
      </c>
      <c r="L135" s="16" t="str">
        <f aca="false">IF($B135="","",IF(AND(L135&lt;&gt;"",L135&lt;&gt;0),L135,$B$4))</f>
        <v/>
      </c>
      <c r="M135" s="13"/>
      <c r="N135" s="13"/>
      <c r="O135" s="13"/>
      <c r="Q135" s="9"/>
    </row>
    <row r="136" customFormat="false" ht="15" hidden="false" customHeight="false" outlineLevel="0" collapsed="false">
      <c r="A136" s="11" t="str">
        <f aca="true">IF($B136="","",IF(AND(A136&lt;&gt;"",A136&lt;&gt;0),A136,TODAY()))</f>
        <v/>
      </c>
      <c r="B136" s="12"/>
      <c r="C136" s="13"/>
      <c r="D136" s="13"/>
      <c r="E136" s="13"/>
      <c r="F136" s="14"/>
      <c r="G136" s="14"/>
      <c r="H136" s="14"/>
      <c r="I136" s="15" t="str">
        <f aca="false">IF($B136="","",IF(AND(G136="",H136=""),"",G136+H136))</f>
        <v/>
      </c>
      <c r="J136" s="15" t="str">
        <f aca="false">IF(OR($B136="",I136=""),"",I136-F136)</f>
        <v/>
      </c>
      <c r="K136" s="16" t="str">
        <f aca="false">IF($B136="","",IF(AND(G136="",H136=""),"Not Counted",IF(OR(G136="",H136=""),"Partially Counted",IF(J136=0,"Match",IF(J136&gt;0,"Overage","Shortage")))))</f>
        <v/>
      </c>
      <c r="L136" s="16" t="str">
        <f aca="false">IF($B136="","",IF(AND(L136&lt;&gt;"",L136&lt;&gt;0),L136,$B$4))</f>
        <v/>
      </c>
      <c r="M136" s="13"/>
      <c r="N136" s="13"/>
      <c r="O136" s="13"/>
      <c r="Q136" s="9"/>
    </row>
    <row r="137" customFormat="false" ht="15" hidden="false" customHeight="false" outlineLevel="0" collapsed="false">
      <c r="A137" s="11" t="str">
        <f aca="true">IF($B137="","",IF(AND(A137&lt;&gt;"",A137&lt;&gt;0),A137,TODAY()))</f>
        <v/>
      </c>
      <c r="B137" s="12"/>
      <c r="C137" s="13"/>
      <c r="D137" s="13"/>
      <c r="E137" s="13"/>
      <c r="F137" s="14"/>
      <c r="G137" s="14"/>
      <c r="H137" s="14"/>
      <c r="I137" s="15" t="str">
        <f aca="false">IF($B137="","",IF(AND(G137="",H137=""),"",G137+H137))</f>
        <v/>
      </c>
      <c r="J137" s="15" t="str">
        <f aca="false">IF(OR($B137="",I137=""),"",I137-F137)</f>
        <v/>
      </c>
      <c r="K137" s="16" t="str">
        <f aca="false">IF($B137="","",IF(AND(G137="",H137=""),"Not Counted",IF(OR(G137="",H137=""),"Partially Counted",IF(J137=0,"Match",IF(J137&gt;0,"Overage","Shortage")))))</f>
        <v/>
      </c>
      <c r="L137" s="16" t="str">
        <f aca="false">IF($B137="","",IF(AND(L137&lt;&gt;"",L137&lt;&gt;0),L137,$B$4))</f>
        <v/>
      </c>
      <c r="M137" s="13"/>
      <c r="N137" s="13"/>
      <c r="O137" s="13"/>
      <c r="Q137" s="9"/>
    </row>
    <row r="138" customFormat="false" ht="15" hidden="false" customHeight="false" outlineLevel="0" collapsed="false">
      <c r="A138" s="11" t="str">
        <f aca="true">IF($B138="","",IF(AND(A138&lt;&gt;"",A138&lt;&gt;0),A138,TODAY()))</f>
        <v/>
      </c>
      <c r="B138" s="12"/>
      <c r="C138" s="13"/>
      <c r="D138" s="13"/>
      <c r="E138" s="13"/>
      <c r="F138" s="14"/>
      <c r="G138" s="14"/>
      <c r="H138" s="14"/>
      <c r="I138" s="15" t="str">
        <f aca="false">IF($B138="","",IF(AND(G138="",H138=""),"",G138+H138))</f>
        <v/>
      </c>
      <c r="J138" s="15" t="str">
        <f aca="false">IF(OR($B138="",I138=""),"",I138-F138)</f>
        <v/>
      </c>
      <c r="K138" s="16" t="str">
        <f aca="false">IF($B138="","",IF(AND(G138="",H138=""),"Not Counted",IF(OR(G138="",H138=""),"Partially Counted",IF(J138=0,"Match",IF(J138&gt;0,"Overage","Shortage")))))</f>
        <v/>
      </c>
      <c r="L138" s="16" t="str">
        <f aca="false">IF($B138="","",IF(AND(L138&lt;&gt;"",L138&lt;&gt;0),L138,$B$4))</f>
        <v/>
      </c>
      <c r="M138" s="13"/>
      <c r="N138" s="13"/>
      <c r="O138" s="13"/>
      <c r="Q138" s="9"/>
    </row>
    <row r="139" customFormat="false" ht="15" hidden="false" customHeight="false" outlineLevel="0" collapsed="false">
      <c r="A139" s="11" t="str">
        <f aca="true">IF($B139="","",IF(AND(A139&lt;&gt;"",A139&lt;&gt;0),A139,TODAY()))</f>
        <v/>
      </c>
      <c r="B139" s="12"/>
      <c r="C139" s="13"/>
      <c r="D139" s="13"/>
      <c r="E139" s="13"/>
      <c r="F139" s="14"/>
      <c r="G139" s="14"/>
      <c r="H139" s="14"/>
      <c r="I139" s="15" t="str">
        <f aca="false">IF($B139="","",IF(AND(G139="",H139=""),"",G139+H139))</f>
        <v/>
      </c>
      <c r="J139" s="15" t="str">
        <f aca="false">IF(OR($B139="",I139=""),"",I139-F139)</f>
        <v/>
      </c>
      <c r="K139" s="16" t="str">
        <f aca="false">IF($B139="","",IF(AND(G139="",H139=""),"Not Counted",IF(OR(G139="",H139=""),"Partially Counted",IF(J139=0,"Match",IF(J139&gt;0,"Overage","Shortage")))))</f>
        <v/>
      </c>
      <c r="L139" s="16" t="str">
        <f aca="false">IF($B139="","",IF(AND(L139&lt;&gt;"",L139&lt;&gt;0),L139,$B$4))</f>
        <v/>
      </c>
      <c r="M139" s="13"/>
      <c r="N139" s="13"/>
      <c r="O139" s="13"/>
      <c r="Q139" s="9"/>
    </row>
    <row r="140" customFormat="false" ht="15" hidden="false" customHeight="false" outlineLevel="0" collapsed="false">
      <c r="A140" s="11" t="str">
        <f aca="true">IF($B140="","",IF(AND(A140&lt;&gt;"",A140&lt;&gt;0),A140,TODAY()))</f>
        <v/>
      </c>
      <c r="B140" s="12"/>
      <c r="C140" s="13"/>
      <c r="D140" s="13"/>
      <c r="E140" s="13"/>
      <c r="F140" s="14"/>
      <c r="G140" s="14"/>
      <c r="H140" s="14"/>
      <c r="I140" s="15" t="str">
        <f aca="false">IF($B140="","",IF(AND(G140="",H140=""),"",G140+H140))</f>
        <v/>
      </c>
      <c r="J140" s="15" t="str">
        <f aca="false">IF(OR($B140="",I140=""),"",I140-F140)</f>
        <v/>
      </c>
      <c r="K140" s="16" t="str">
        <f aca="false">IF($B140="","",IF(AND(G140="",H140=""),"Not Counted",IF(OR(G140="",H140=""),"Partially Counted",IF(J140=0,"Match",IF(J140&gt;0,"Overage","Shortage")))))</f>
        <v/>
      </c>
      <c r="L140" s="16" t="str">
        <f aca="false">IF($B140="","",IF(AND(L140&lt;&gt;"",L140&lt;&gt;0),L140,$B$4))</f>
        <v/>
      </c>
      <c r="M140" s="13"/>
      <c r="N140" s="13"/>
      <c r="O140" s="13"/>
      <c r="Q140" s="9"/>
    </row>
    <row r="141" customFormat="false" ht="15" hidden="false" customHeight="false" outlineLevel="0" collapsed="false">
      <c r="A141" s="11" t="str">
        <f aca="true">IF($B141="","",IF(AND(A141&lt;&gt;"",A141&lt;&gt;0),A141,TODAY()))</f>
        <v/>
      </c>
      <c r="B141" s="12"/>
      <c r="C141" s="13"/>
      <c r="D141" s="13"/>
      <c r="E141" s="13"/>
      <c r="F141" s="14"/>
      <c r="G141" s="14"/>
      <c r="H141" s="14"/>
      <c r="I141" s="15" t="str">
        <f aca="false">IF($B141="","",IF(AND(G141="",H141=""),"",G141+H141))</f>
        <v/>
      </c>
      <c r="J141" s="15" t="str">
        <f aca="false">IF(OR($B141="",I141=""),"",I141-F141)</f>
        <v/>
      </c>
      <c r="K141" s="16" t="str">
        <f aca="false">IF($B141="","",IF(AND(G141="",H141=""),"Not Counted",IF(OR(G141="",H141=""),"Partially Counted",IF(J141=0,"Match",IF(J141&gt;0,"Overage","Shortage")))))</f>
        <v/>
      </c>
      <c r="L141" s="16" t="str">
        <f aca="false">IF($B141="","",IF(AND(L141&lt;&gt;"",L141&lt;&gt;0),L141,$B$4))</f>
        <v/>
      </c>
      <c r="M141" s="13"/>
      <c r="N141" s="13"/>
      <c r="O141" s="13"/>
      <c r="Q141" s="9"/>
    </row>
    <row r="142" customFormat="false" ht="15" hidden="false" customHeight="false" outlineLevel="0" collapsed="false">
      <c r="A142" s="11" t="str">
        <f aca="true">IF($B142="","",IF(AND(A142&lt;&gt;"",A142&lt;&gt;0),A142,TODAY()))</f>
        <v/>
      </c>
      <c r="B142" s="12"/>
      <c r="C142" s="13"/>
      <c r="D142" s="13"/>
      <c r="E142" s="13"/>
      <c r="F142" s="14"/>
      <c r="G142" s="14"/>
      <c r="H142" s="14"/>
      <c r="I142" s="15" t="str">
        <f aca="false">IF($B142="","",IF(AND(G142="",H142=""),"",G142+H142))</f>
        <v/>
      </c>
      <c r="J142" s="15" t="str">
        <f aca="false">IF(OR($B142="",I142=""),"",I142-F142)</f>
        <v/>
      </c>
      <c r="K142" s="16" t="str">
        <f aca="false">IF($B142="","",IF(AND(G142="",H142=""),"Not Counted",IF(OR(G142="",H142=""),"Partially Counted",IF(J142=0,"Match",IF(J142&gt;0,"Overage","Shortage")))))</f>
        <v/>
      </c>
      <c r="L142" s="16" t="str">
        <f aca="false">IF($B142="","",IF(AND(L142&lt;&gt;"",L142&lt;&gt;0),L142,$B$4))</f>
        <v/>
      </c>
      <c r="M142" s="13"/>
      <c r="N142" s="13"/>
      <c r="O142" s="13"/>
      <c r="Q142" s="9"/>
    </row>
    <row r="143" customFormat="false" ht="15" hidden="false" customHeight="false" outlineLevel="0" collapsed="false">
      <c r="A143" s="11" t="str">
        <f aca="true">IF($B143="","",IF(AND(A143&lt;&gt;"",A143&lt;&gt;0),A143,TODAY()))</f>
        <v/>
      </c>
      <c r="B143" s="12"/>
      <c r="C143" s="13"/>
      <c r="D143" s="13"/>
      <c r="E143" s="13"/>
      <c r="F143" s="14"/>
      <c r="G143" s="14"/>
      <c r="H143" s="14"/>
      <c r="I143" s="15" t="str">
        <f aca="false">IF($B143="","",IF(AND(G143="",H143=""),"",G143+H143))</f>
        <v/>
      </c>
      <c r="J143" s="15" t="str">
        <f aca="false">IF(OR($B143="",I143=""),"",I143-F143)</f>
        <v/>
      </c>
      <c r="K143" s="16" t="str">
        <f aca="false">IF($B143="","",IF(AND(G143="",H143=""),"Not Counted",IF(OR(G143="",H143=""),"Partially Counted",IF(J143=0,"Match",IF(J143&gt;0,"Overage","Shortage")))))</f>
        <v/>
      </c>
      <c r="L143" s="16" t="str">
        <f aca="false">IF($B143="","",IF(AND(L143&lt;&gt;"",L143&lt;&gt;0),L143,$B$4))</f>
        <v/>
      </c>
      <c r="M143" s="13"/>
      <c r="N143" s="13"/>
      <c r="O143" s="13"/>
      <c r="Q143" s="9"/>
    </row>
    <row r="144" customFormat="false" ht="15" hidden="false" customHeight="false" outlineLevel="0" collapsed="false">
      <c r="A144" s="11" t="str">
        <f aca="true">IF($B144="","",IF(AND(A144&lt;&gt;"",A144&lt;&gt;0),A144,TODAY()))</f>
        <v/>
      </c>
      <c r="B144" s="12"/>
      <c r="C144" s="13"/>
      <c r="D144" s="13"/>
      <c r="E144" s="13"/>
      <c r="F144" s="14"/>
      <c r="G144" s="14"/>
      <c r="H144" s="14"/>
      <c r="I144" s="15" t="str">
        <f aca="false">IF($B144="","",IF(AND(G144="",H144=""),"",G144+H144))</f>
        <v/>
      </c>
      <c r="J144" s="15" t="str">
        <f aca="false">IF(OR($B144="",I144=""),"",I144-F144)</f>
        <v/>
      </c>
      <c r="K144" s="16" t="str">
        <f aca="false">IF($B144="","",IF(AND(G144="",H144=""),"Not Counted",IF(OR(G144="",H144=""),"Partially Counted",IF(J144=0,"Match",IF(J144&gt;0,"Overage","Shortage")))))</f>
        <v/>
      </c>
      <c r="L144" s="16" t="str">
        <f aca="false">IF($B144="","",IF(AND(L144&lt;&gt;"",L144&lt;&gt;0),L144,$B$4))</f>
        <v/>
      </c>
      <c r="M144" s="13"/>
      <c r="N144" s="13"/>
      <c r="O144" s="13"/>
      <c r="Q144" s="9"/>
    </row>
    <row r="145" customFormat="false" ht="15" hidden="false" customHeight="false" outlineLevel="0" collapsed="false">
      <c r="A145" s="11" t="str">
        <f aca="true">IF($B145="","",IF(AND(A145&lt;&gt;"",A145&lt;&gt;0),A145,TODAY()))</f>
        <v/>
      </c>
      <c r="B145" s="12"/>
      <c r="C145" s="13"/>
      <c r="D145" s="13"/>
      <c r="E145" s="13"/>
      <c r="F145" s="14"/>
      <c r="G145" s="14"/>
      <c r="H145" s="14"/>
      <c r="I145" s="15" t="str">
        <f aca="false">IF($B145="","",IF(AND(G145="",H145=""),"",G145+H145))</f>
        <v/>
      </c>
      <c r="J145" s="15" t="str">
        <f aca="false">IF(OR($B145="",I145=""),"",I145-F145)</f>
        <v/>
      </c>
      <c r="K145" s="16" t="str">
        <f aca="false">IF($B145="","",IF(AND(G145="",H145=""),"Not Counted",IF(OR(G145="",H145=""),"Partially Counted",IF(J145=0,"Match",IF(J145&gt;0,"Overage","Shortage")))))</f>
        <v/>
      </c>
      <c r="L145" s="16" t="str">
        <f aca="false">IF($B145="","",IF(AND(L145&lt;&gt;"",L145&lt;&gt;0),L145,$B$4))</f>
        <v/>
      </c>
      <c r="M145" s="13"/>
      <c r="N145" s="13"/>
      <c r="O145" s="13"/>
      <c r="Q145" s="9"/>
    </row>
    <row r="146" customFormat="false" ht="15" hidden="false" customHeight="false" outlineLevel="0" collapsed="false">
      <c r="A146" s="11" t="str">
        <f aca="true">IF($B146="","",IF(AND(A146&lt;&gt;"",A146&lt;&gt;0),A146,TODAY()))</f>
        <v/>
      </c>
      <c r="B146" s="12"/>
      <c r="C146" s="13"/>
      <c r="D146" s="13"/>
      <c r="E146" s="13"/>
      <c r="F146" s="14"/>
      <c r="G146" s="14"/>
      <c r="H146" s="14"/>
      <c r="I146" s="15" t="str">
        <f aca="false">IF($B146="","",IF(AND(G146="",H146=""),"",G146+H146))</f>
        <v/>
      </c>
      <c r="J146" s="15" t="str">
        <f aca="false">IF(OR($B146="",I146=""),"",I146-F146)</f>
        <v/>
      </c>
      <c r="K146" s="16" t="str">
        <f aca="false">IF($B146="","",IF(AND(G146="",H146=""),"Not Counted",IF(OR(G146="",H146=""),"Partially Counted",IF(J146=0,"Match",IF(J146&gt;0,"Overage","Shortage")))))</f>
        <v/>
      </c>
      <c r="L146" s="16" t="str">
        <f aca="false">IF($B146="","",IF(AND(L146&lt;&gt;"",L146&lt;&gt;0),L146,$B$4))</f>
        <v/>
      </c>
      <c r="M146" s="13"/>
      <c r="N146" s="13"/>
      <c r="O146" s="13"/>
      <c r="Q146" s="9"/>
    </row>
    <row r="147" customFormat="false" ht="15" hidden="false" customHeight="false" outlineLevel="0" collapsed="false">
      <c r="A147" s="11" t="str">
        <f aca="true">IF($B147="","",IF(AND(A147&lt;&gt;"",A147&lt;&gt;0),A147,TODAY()))</f>
        <v/>
      </c>
      <c r="B147" s="12"/>
      <c r="C147" s="13"/>
      <c r="D147" s="13"/>
      <c r="E147" s="13"/>
      <c r="F147" s="14"/>
      <c r="G147" s="14"/>
      <c r="H147" s="14"/>
      <c r="I147" s="15" t="str">
        <f aca="false">IF($B147="","",IF(AND(G147="",H147=""),"",G147+H147))</f>
        <v/>
      </c>
      <c r="J147" s="15" t="str">
        <f aca="false">IF(OR($B147="",I147=""),"",I147-F147)</f>
        <v/>
      </c>
      <c r="K147" s="16" t="str">
        <f aca="false">IF($B147="","",IF(AND(G147="",H147=""),"Not Counted",IF(OR(G147="",H147=""),"Partially Counted",IF(J147=0,"Match",IF(J147&gt;0,"Overage","Shortage")))))</f>
        <v/>
      </c>
      <c r="L147" s="16" t="str">
        <f aca="false">IF($B147="","",IF(AND(L147&lt;&gt;"",L147&lt;&gt;0),L147,$B$4))</f>
        <v/>
      </c>
      <c r="M147" s="13"/>
      <c r="N147" s="13"/>
      <c r="O147" s="13"/>
      <c r="Q147" s="9"/>
    </row>
    <row r="148" customFormat="false" ht="15" hidden="false" customHeight="false" outlineLevel="0" collapsed="false">
      <c r="A148" s="11" t="str">
        <f aca="true">IF($B148="","",IF(AND(A148&lt;&gt;"",A148&lt;&gt;0),A148,TODAY()))</f>
        <v/>
      </c>
      <c r="B148" s="12"/>
      <c r="C148" s="13"/>
      <c r="D148" s="13"/>
      <c r="E148" s="13"/>
      <c r="F148" s="14"/>
      <c r="G148" s="14"/>
      <c r="H148" s="14"/>
      <c r="I148" s="15" t="str">
        <f aca="false">IF($B148="","",IF(AND(G148="",H148=""),"",G148+H148))</f>
        <v/>
      </c>
      <c r="J148" s="15" t="str">
        <f aca="false">IF(OR($B148="",I148=""),"",I148-F148)</f>
        <v/>
      </c>
      <c r="K148" s="16" t="str">
        <f aca="false">IF($B148="","",IF(AND(G148="",H148=""),"Not Counted",IF(OR(G148="",H148=""),"Partially Counted",IF(J148=0,"Match",IF(J148&gt;0,"Overage","Shortage")))))</f>
        <v/>
      </c>
      <c r="L148" s="16" t="str">
        <f aca="false">IF($B148="","",IF(AND(L148&lt;&gt;"",L148&lt;&gt;0),L148,$B$4))</f>
        <v/>
      </c>
      <c r="M148" s="13"/>
      <c r="N148" s="13"/>
      <c r="O148" s="13"/>
      <c r="Q148" s="9"/>
    </row>
    <row r="149" customFormat="false" ht="15" hidden="false" customHeight="false" outlineLevel="0" collapsed="false">
      <c r="A149" s="11" t="str">
        <f aca="true">IF($B149="","",IF(AND(A149&lt;&gt;"",A149&lt;&gt;0),A149,TODAY()))</f>
        <v/>
      </c>
      <c r="B149" s="12"/>
      <c r="C149" s="13"/>
      <c r="D149" s="13"/>
      <c r="E149" s="13"/>
      <c r="F149" s="14"/>
      <c r="G149" s="14"/>
      <c r="H149" s="14"/>
      <c r="I149" s="15" t="str">
        <f aca="false">IF($B149="","",IF(AND(G149="",H149=""),"",G149+H149))</f>
        <v/>
      </c>
      <c r="J149" s="15" t="str">
        <f aca="false">IF(OR($B149="",I149=""),"",I149-F149)</f>
        <v/>
      </c>
      <c r="K149" s="16" t="str">
        <f aca="false">IF($B149="","",IF(AND(G149="",H149=""),"Not Counted",IF(OR(G149="",H149=""),"Partially Counted",IF(J149=0,"Match",IF(J149&gt;0,"Overage","Shortage")))))</f>
        <v/>
      </c>
      <c r="L149" s="16" t="str">
        <f aca="false">IF($B149="","",IF(AND(L149&lt;&gt;"",L149&lt;&gt;0),L149,$B$4))</f>
        <v/>
      </c>
      <c r="M149" s="13"/>
      <c r="N149" s="13"/>
      <c r="O149" s="13"/>
      <c r="Q149" s="9"/>
    </row>
    <row r="150" customFormat="false" ht="15" hidden="false" customHeight="false" outlineLevel="0" collapsed="false">
      <c r="A150" s="11" t="str">
        <f aca="true">IF($B150="","",IF(AND(A150&lt;&gt;"",A150&lt;&gt;0),A150,TODAY()))</f>
        <v/>
      </c>
      <c r="B150" s="12"/>
      <c r="C150" s="13"/>
      <c r="D150" s="13"/>
      <c r="E150" s="13"/>
      <c r="F150" s="14"/>
      <c r="G150" s="14"/>
      <c r="H150" s="14"/>
      <c r="I150" s="15" t="str">
        <f aca="false">IF($B150="","",IF(AND(G150="",H150=""),"",G150+H150))</f>
        <v/>
      </c>
      <c r="J150" s="15" t="str">
        <f aca="false">IF(OR($B150="",I150=""),"",I150-F150)</f>
        <v/>
      </c>
      <c r="K150" s="16" t="str">
        <f aca="false">IF($B150="","",IF(AND(G150="",H150=""),"Not Counted",IF(OR(G150="",H150=""),"Partially Counted",IF(J150=0,"Match",IF(J150&gt;0,"Overage","Shortage")))))</f>
        <v/>
      </c>
      <c r="L150" s="16" t="str">
        <f aca="false">IF($B150="","",IF(AND(L150&lt;&gt;"",L150&lt;&gt;0),L150,$B$4))</f>
        <v/>
      </c>
      <c r="M150" s="13"/>
      <c r="N150" s="13"/>
      <c r="O150" s="13"/>
      <c r="Q150" s="9"/>
    </row>
    <row r="151" customFormat="false" ht="15" hidden="false" customHeight="false" outlineLevel="0" collapsed="false">
      <c r="A151" s="11" t="str">
        <f aca="true">IF($B151="","",IF(AND(A151&lt;&gt;"",A151&lt;&gt;0),A151,TODAY()))</f>
        <v/>
      </c>
      <c r="B151" s="12"/>
      <c r="C151" s="13"/>
      <c r="D151" s="13"/>
      <c r="E151" s="13"/>
      <c r="F151" s="14"/>
      <c r="G151" s="14"/>
      <c r="H151" s="14"/>
      <c r="I151" s="15" t="str">
        <f aca="false">IF($B151="","",IF(AND(G151="",H151=""),"",G151+H151))</f>
        <v/>
      </c>
      <c r="J151" s="15" t="str">
        <f aca="false">IF(OR($B151="",I151=""),"",I151-F151)</f>
        <v/>
      </c>
      <c r="K151" s="16" t="str">
        <f aca="false">IF($B151="","",IF(AND(G151="",H151=""),"Not Counted",IF(OR(G151="",H151=""),"Partially Counted",IF(J151=0,"Match",IF(J151&gt;0,"Overage","Shortage")))))</f>
        <v/>
      </c>
      <c r="L151" s="16" t="str">
        <f aca="false">IF($B151="","",IF(AND(L151&lt;&gt;"",L151&lt;&gt;0),L151,$B$4))</f>
        <v/>
      </c>
      <c r="M151" s="13"/>
      <c r="N151" s="13"/>
      <c r="O151" s="13"/>
      <c r="Q151" s="9"/>
    </row>
    <row r="152" customFormat="false" ht="15" hidden="false" customHeight="false" outlineLevel="0" collapsed="false">
      <c r="A152" s="11" t="str">
        <f aca="true">IF($B152="","",IF(AND(A152&lt;&gt;"",A152&lt;&gt;0),A152,TODAY()))</f>
        <v/>
      </c>
      <c r="B152" s="12"/>
      <c r="C152" s="13"/>
      <c r="D152" s="13"/>
      <c r="E152" s="13"/>
      <c r="F152" s="14"/>
      <c r="G152" s="14"/>
      <c r="H152" s="14"/>
      <c r="I152" s="15" t="str">
        <f aca="false">IF($B152="","",IF(AND(G152="",H152=""),"",G152+H152))</f>
        <v/>
      </c>
      <c r="J152" s="15" t="str">
        <f aca="false">IF(OR($B152="",I152=""),"",I152-F152)</f>
        <v/>
      </c>
      <c r="K152" s="16" t="str">
        <f aca="false">IF($B152="","",IF(AND(G152="",H152=""),"Not Counted",IF(OR(G152="",H152=""),"Partially Counted",IF(J152=0,"Match",IF(J152&gt;0,"Overage","Shortage")))))</f>
        <v/>
      </c>
      <c r="L152" s="16" t="str">
        <f aca="false">IF($B152="","",IF(AND(L152&lt;&gt;"",L152&lt;&gt;0),L152,$B$4))</f>
        <v/>
      </c>
      <c r="M152" s="13"/>
      <c r="N152" s="13"/>
      <c r="O152" s="13"/>
      <c r="Q152" s="9"/>
    </row>
    <row r="153" customFormat="false" ht="15" hidden="false" customHeight="false" outlineLevel="0" collapsed="false">
      <c r="A153" s="11" t="str">
        <f aca="true">IF($B153="","",IF(AND(A153&lt;&gt;"",A153&lt;&gt;0),A153,TODAY()))</f>
        <v/>
      </c>
      <c r="B153" s="12"/>
      <c r="C153" s="13"/>
      <c r="D153" s="13"/>
      <c r="E153" s="13"/>
      <c r="F153" s="14"/>
      <c r="G153" s="14"/>
      <c r="H153" s="14"/>
      <c r="I153" s="15" t="str">
        <f aca="false">IF($B153="","",IF(AND(G153="",H153=""),"",G153+H153))</f>
        <v/>
      </c>
      <c r="J153" s="15" t="str">
        <f aca="false">IF(OR($B153="",I153=""),"",I153-F153)</f>
        <v/>
      </c>
      <c r="K153" s="16" t="str">
        <f aca="false">IF($B153="","",IF(AND(G153="",H153=""),"Not Counted",IF(OR(G153="",H153=""),"Partially Counted",IF(J153=0,"Match",IF(J153&gt;0,"Overage","Shortage")))))</f>
        <v/>
      </c>
      <c r="L153" s="16" t="str">
        <f aca="false">IF($B153="","",IF(AND(L153&lt;&gt;"",L153&lt;&gt;0),L153,$B$4))</f>
        <v/>
      </c>
      <c r="M153" s="13"/>
      <c r="N153" s="13"/>
      <c r="O153" s="13"/>
    </row>
    <row r="154" customFormat="false" ht="15" hidden="false" customHeight="false" outlineLevel="0" collapsed="false">
      <c r="A154" s="11" t="str">
        <f aca="true">IF($B154="","",IF(AND(A154&lt;&gt;"",A154&lt;&gt;0),A154,TODAY()))</f>
        <v/>
      </c>
      <c r="B154" s="12"/>
      <c r="C154" s="13"/>
      <c r="D154" s="13"/>
      <c r="E154" s="13"/>
      <c r="F154" s="14"/>
      <c r="G154" s="14"/>
      <c r="H154" s="14"/>
      <c r="I154" s="15" t="str">
        <f aca="false">IF($B154="","",IF(AND(G154="",H154=""),"",G154+H154))</f>
        <v/>
      </c>
      <c r="J154" s="15" t="str">
        <f aca="false">IF(OR($B154="",I154=""),"",I154-F154)</f>
        <v/>
      </c>
      <c r="K154" s="16" t="str">
        <f aca="false">IF($B154="","",IF(AND(G154="",H154=""),"Not Counted",IF(OR(G154="",H154=""),"Partially Counted",IF(J154=0,"Match",IF(J154&gt;0,"Overage","Shortage")))))</f>
        <v/>
      </c>
      <c r="L154" s="16" t="str">
        <f aca="false">IF($B154="","",IF(AND(L154&lt;&gt;"",L154&lt;&gt;0),L154,$B$4))</f>
        <v/>
      </c>
      <c r="M154" s="13"/>
      <c r="N154" s="13"/>
      <c r="O154" s="13"/>
    </row>
    <row r="155" customFormat="false" ht="15" hidden="false" customHeight="false" outlineLevel="0" collapsed="false">
      <c r="A155" s="11" t="str">
        <f aca="true">IF($B155="","",IF(AND(A155&lt;&gt;"",A155&lt;&gt;0),A155,TODAY()))</f>
        <v/>
      </c>
      <c r="B155" s="12"/>
      <c r="C155" s="13"/>
      <c r="D155" s="13"/>
      <c r="E155" s="13"/>
      <c r="F155" s="14"/>
      <c r="G155" s="14"/>
      <c r="H155" s="14"/>
      <c r="I155" s="15" t="str">
        <f aca="false">IF($B155="","",IF(AND(G155="",H155=""),"",G155+H155))</f>
        <v/>
      </c>
      <c r="J155" s="15" t="str">
        <f aca="false">IF(OR($B155="",I155=""),"",I155-F155)</f>
        <v/>
      </c>
      <c r="K155" s="16" t="str">
        <f aca="false">IF($B155="","",IF(AND(G155="",H155=""),"Not Counted",IF(OR(G155="",H155=""),"Partially Counted",IF(J155=0,"Match",IF(J155&gt;0,"Overage","Shortage")))))</f>
        <v/>
      </c>
      <c r="L155" s="16" t="str">
        <f aca="false">IF($B155="","",IF(AND(L155&lt;&gt;"",L155&lt;&gt;0),L155,$B$4))</f>
        <v/>
      </c>
      <c r="M155" s="13"/>
      <c r="N155" s="13"/>
      <c r="O155" s="13"/>
    </row>
    <row r="156" customFormat="false" ht="15" hidden="false" customHeight="false" outlineLevel="0" collapsed="false">
      <c r="A156" s="11" t="str">
        <f aca="true">IF($B156="","",IF(AND(A156&lt;&gt;"",A156&lt;&gt;0),A156,TODAY()))</f>
        <v/>
      </c>
      <c r="B156" s="12"/>
      <c r="C156" s="13"/>
      <c r="D156" s="13"/>
      <c r="E156" s="13"/>
      <c r="F156" s="14"/>
      <c r="G156" s="14"/>
      <c r="H156" s="14"/>
      <c r="I156" s="15" t="str">
        <f aca="false">IF($B156="","",IF(AND(G156="",H156=""),"",G156+H156))</f>
        <v/>
      </c>
      <c r="J156" s="15" t="str">
        <f aca="false">IF(OR($B156="",I156=""),"",I156-F156)</f>
        <v/>
      </c>
      <c r="K156" s="16" t="str">
        <f aca="false">IF($B156="","",IF(AND(G156="",H156=""),"Not Counted",IF(OR(G156="",H156=""),"Partially Counted",IF(J156=0,"Match",IF(J156&gt;0,"Overage","Shortage")))))</f>
        <v/>
      </c>
      <c r="L156" s="16" t="str">
        <f aca="false">IF($B156="","",IF(AND(L156&lt;&gt;"",L156&lt;&gt;0),L156,$B$4))</f>
        <v/>
      </c>
      <c r="M156" s="13"/>
      <c r="N156" s="13"/>
      <c r="O156" s="13"/>
    </row>
    <row r="157" customFormat="false" ht="15" hidden="false" customHeight="false" outlineLevel="0" collapsed="false">
      <c r="A157" s="11" t="str">
        <f aca="true">IF($B157="","",IF(AND(A157&lt;&gt;"",A157&lt;&gt;0),A157,TODAY()))</f>
        <v/>
      </c>
      <c r="B157" s="12"/>
      <c r="C157" s="13"/>
      <c r="D157" s="13"/>
      <c r="E157" s="13"/>
      <c r="F157" s="14"/>
      <c r="G157" s="14"/>
      <c r="H157" s="14"/>
      <c r="I157" s="15" t="str">
        <f aca="false">IF($B157="","",IF(AND(G157="",H157=""),"",G157+H157))</f>
        <v/>
      </c>
      <c r="J157" s="15" t="str">
        <f aca="false">IF(OR($B157="",I157=""),"",I157-F157)</f>
        <v/>
      </c>
      <c r="K157" s="16" t="str">
        <f aca="false">IF($B157="","",IF(AND(G157="",H157=""),"Not Counted",IF(OR(G157="",H157=""),"Partially Counted",IF(J157=0,"Match",IF(J157&gt;0,"Overage","Shortage")))))</f>
        <v/>
      </c>
      <c r="L157" s="16" t="str">
        <f aca="false">IF($B157="","",IF(AND(L157&lt;&gt;"",L157&lt;&gt;0),L157,$B$4))</f>
        <v/>
      </c>
      <c r="M157" s="13"/>
      <c r="N157" s="13"/>
      <c r="O157" s="13"/>
    </row>
    <row r="158" customFormat="false" ht="15" hidden="false" customHeight="false" outlineLevel="0" collapsed="false">
      <c r="A158" s="11" t="str">
        <f aca="true">IF($B158="","",IF(AND(A158&lt;&gt;"",A158&lt;&gt;0),A158,TODAY()))</f>
        <v/>
      </c>
      <c r="B158" s="12"/>
      <c r="C158" s="13"/>
      <c r="D158" s="13"/>
      <c r="E158" s="13"/>
      <c r="F158" s="14"/>
      <c r="G158" s="14"/>
      <c r="H158" s="14"/>
      <c r="I158" s="15" t="str">
        <f aca="false">IF($B158="","",IF(AND(G158="",H158=""),"",G158+H158))</f>
        <v/>
      </c>
      <c r="J158" s="15" t="str">
        <f aca="false">IF(OR($B158="",I158=""),"",I158-F158)</f>
        <v/>
      </c>
      <c r="K158" s="16" t="str">
        <f aca="false">IF($B158="","",IF(AND(G158="",H158=""),"Not Counted",IF(OR(G158="",H158=""),"Partially Counted",IF(J158=0,"Match",IF(J158&gt;0,"Overage","Shortage")))))</f>
        <v/>
      </c>
      <c r="L158" s="16" t="str">
        <f aca="false">IF($B158="","",IF(AND(L158&lt;&gt;"",L158&lt;&gt;0),L158,$B$4))</f>
        <v/>
      </c>
      <c r="M158" s="13"/>
      <c r="N158" s="13"/>
      <c r="O158" s="13"/>
    </row>
    <row r="159" customFormat="false" ht="15" hidden="false" customHeight="false" outlineLevel="0" collapsed="false">
      <c r="A159" s="11" t="str">
        <f aca="true">IF($B159="","",IF(AND(A159&lt;&gt;"",A159&lt;&gt;0),A159,TODAY()))</f>
        <v/>
      </c>
      <c r="B159" s="12"/>
      <c r="C159" s="13"/>
      <c r="D159" s="13"/>
      <c r="E159" s="13"/>
      <c r="F159" s="14"/>
      <c r="G159" s="14"/>
      <c r="H159" s="14"/>
      <c r="I159" s="15" t="str">
        <f aca="false">IF($B159="","",IF(AND(G159="",H159=""),"",G159+H159))</f>
        <v/>
      </c>
      <c r="J159" s="15" t="str">
        <f aca="false">IF(OR($B159="",I159=""),"",I159-F159)</f>
        <v/>
      </c>
      <c r="K159" s="16" t="str">
        <f aca="false">IF($B159="","",IF(AND(G159="",H159=""),"Not Counted",IF(OR(G159="",H159=""),"Partially Counted",IF(J159=0,"Match",IF(J159&gt;0,"Overage","Shortage")))))</f>
        <v/>
      </c>
      <c r="L159" s="16" t="str">
        <f aca="false">IF($B159="","",IF(AND(L159&lt;&gt;"",L159&lt;&gt;0),L159,$B$4))</f>
        <v/>
      </c>
      <c r="M159" s="13"/>
      <c r="N159" s="13"/>
      <c r="O159" s="13"/>
    </row>
    <row r="160" customFormat="false" ht="15" hidden="false" customHeight="false" outlineLevel="0" collapsed="false">
      <c r="A160" s="11" t="str">
        <f aca="true">IF($B160="","",IF(AND(A160&lt;&gt;"",A160&lt;&gt;0),A160,TODAY()))</f>
        <v/>
      </c>
      <c r="B160" s="12"/>
      <c r="C160" s="13"/>
      <c r="D160" s="13"/>
      <c r="E160" s="13"/>
      <c r="F160" s="14"/>
      <c r="G160" s="14"/>
      <c r="H160" s="14"/>
      <c r="I160" s="15" t="str">
        <f aca="false">IF($B160="","",IF(AND(G160="",H160=""),"",G160+H160))</f>
        <v/>
      </c>
      <c r="J160" s="15" t="str">
        <f aca="false">IF(OR($B160="",I160=""),"",I160-F160)</f>
        <v/>
      </c>
      <c r="K160" s="16" t="str">
        <f aca="false">IF($B160="","",IF(AND(G160="",H160=""),"Not Counted",IF(OR(G160="",H160=""),"Partially Counted",IF(J160=0,"Match",IF(J160&gt;0,"Overage","Shortage")))))</f>
        <v/>
      </c>
      <c r="L160" s="16" t="str">
        <f aca="false">IF($B160="","",IF(AND(L160&lt;&gt;"",L160&lt;&gt;0),L160,$B$4))</f>
        <v/>
      </c>
      <c r="M160" s="13"/>
      <c r="N160" s="13"/>
      <c r="O160" s="13"/>
    </row>
    <row r="161" customFormat="false" ht="15" hidden="false" customHeight="false" outlineLevel="0" collapsed="false">
      <c r="A161" s="11" t="str">
        <f aca="true">IF($B161="","",IF(AND(A161&lt;&gt;"",A161&lt;&gt;0),A161,TODAY()))</f>
        <v/>
      </c>
      <c r="B161" s="12"/>
      <c r="C161" s="13"/>
      <c r="D161" s="13"/>
      <c r="E161" s="13"/>
      <c r="F161" s="14"/>
      <c r="G161" s="14"/>
      <c r="H161" s="14"/>
      <c r="I161" s="15" t="str">
        <f aca="false">IF($B161="","",IF(AND(G161="",H161=""),"",G161+H161))</f>
        <v/>
      </c>
      <c r="J161" s="15" t="str">
        <f aca="false">IF(OR($B161="",I161=""),"",I161-F161)</f>
        <v/>
      </c>
      <c r="K161" s="16" t="str">
        <f aca="false">IF($B161="","",IF(AND(G161="",H161=""),"Not Counted",IF(OR(G161="",H161=""),"Partially Counted",IF(J161=0,"Match",IF(J161&gt;0,"Overage","Shortage")))))</f>
        <v/>
      </c>
      <c r="L161" s="16" t="str">
        <f aca="false">IF($B161="","",IF(AND(L161&lt;&gt;"",L161&lt;&gt;0),L161,$B$4))</f>
        <v/>
      </c>
      <c r="M161" s="13"/>
      <c r="N161" s="13"/>
      <c r="O161" s="13"/>
    </row>
    <row r="162" customFormat="false" ht="15" hidden="false" customHeight="false" outlineLevel="0" collapsed="false">
      <c r="A162" s="11" t="str">
        <f aca="true">IF($B162="","",IF(AND(A162&lt;&gt;"",A162&lt;&gt;0),A162,TODAY()))</f>
        <v/>
      </c>
      <c r="B162" s="12"/>
      <c r="C162" s="13"/>
      <c r="D162" s="13"/>
      <c r="E162" s="13"/>
      <c r="F162" s="14"/>
      <c r="G162" s="14"/>
      <c r="H162" s="14"/>
      <c r="I162" s="15" t="str">
        <f aca="false">IF($B162="","",IF(AND(G162="",H162=""),"",G162+H162))</f>
        <v/>
      </c>
      <c r="J162" s="15" t="str">
        <f aca="false">IF(OR($B162="",I162=""),"",I162-F162)</f>
        <v/>
      </c>
      <c r="K162" s="16" t="str">
        <f aca="false">IF($B162="","",IF(AND(G162="",H162=""),"Not Counted",IF(OR(G162="",H162=""),"Partially Counted",IF(J162=0,"Match",IF(J162&gt;0,"Overage","Shortage")))))</f>
        <v/>
      </c>
      <c r="L162" s="16" t="str">
        <f aca="false">IF($B162="","",IF(AND(L162&lt;&gt;"",L162&lt;&gt;0),L162,$B$4))</f>
        <v/>
      </c>
      <c r="M162" s="13"/>
      <c r="N162" s="13"/>
      <c r="O162" s="13"/>
    </row>
    <row r="163" customFormat="false" ht="15" hidden="false" customHeight="false" outlineLevel="0" collapsed="false">
      <c r="A163" s="11" t="str">
        <f aca="true">IF($B163="","",IF(AND(A163&lt;&gt;"",A163&lt;&gt;0),A163,TODAY()))</f>
        <v/>
      </c>
      <c r="B163" s="12"/>
      <c r="C163" s="13"/>
      <c r="D163" s="13"/>
      <c r="E163" s="13"/>
      <c r="F163" s="14"/>
      <c r="G163" s="14"/>
      <c r="H163" s="14"/>
      <c r="I163" s="15" t="str">
        <f aca="false">IF($B163="","",IF(AND(G163="",H163=""),"",G163+H163))</f>
        <v/>
      </c>
      <c r="J163" s="15" t="str">
        <f aca="false">IF(OR($B163="",I163=""),"",I163-F163)</f>
        <v/>
      </c>
      <c r="K163" s="16" t="str">
        <f aca="false">IF($B163="","",IF(AND(G163="",H163=""),"Not Counted",IF(OR(G163="",H163=""),"Partially Counted",IF(J163=0,"Match",IF(J163&gt;0,"Overage","Shortage")))))</f>
        <v/>
      </c>
      <c r="L163" s="16" t="str">
        <f aca="false">IF($B163="","",IF(AND(L163&lt;&gt;"",L163&lt;&gt;0),L163,$B$4))</f>
        <v/>
      </c>
      <c r="M163" s="13"/>
      <c r="N163" s="13"/>
      <c r="O163" s="13"/>
    </row>
    <row r="164" customFormat="false" ht="15" hidden="false" customHeight="false" outlineLevel="0" collapsed="false">
      <c r="A164" s="11" t="str">
        <f aca="true">IF($B164="","",IF(AND(A164&lt;&gt;"",A164&lt;&gt;0),A164,TODAY()))</f>
        <v/>
      </c>
      <c r="B164" s="12"/>
      <c r="C164" s="13"/>
      <c r="D164" s="13"/>
      <c r="E164" s="13"/>
      <c r="F164" s="14"/>
      <c r="G164" s="14"/>
      <c r="H164" s="14"/>
      <c r="I164" s="15" t="str">
        <f aca="false">IF($B164="","",IF(AND(G164="",H164=""),"",G164+H164))</f>
        <v/>
      </c>
      <c r="J164" s="15" t="str">
        <f aca="false">IF(OR($B164="",I164=""),"",I164-F164)</f>
        <v/>
      </c>
      <c r="K164" s="16" t="str">
        <f aca="false">IF($B164="","",IF(AND(G164="",H164=""),"Not Counted",IF(OR(G164="",H164=""),"Partially Counted",IF(J164=0,"Match",IF(J164&gt;0,"Overage","Shortage")))))</f>
        <v/>
      </c>
      <c r="L164" s="16" t="str">
        <f aca="false">IF($B164="","",IF(AND(L164&lt;&gt;"",L164&lt;&gt;0),L164,$B$4))</f>
        <v/>
      </c>
      <c r="M164" s="13"/>
      <c r="N164" s="13"/>
      <c r="O164" s="13"/>
    </row>
    <row r="165" customFormat="false" ht="15" hidden="false" customHeight="false" outlineLevel="0" collapsed="false">
      <c r="A165" s="11" t="str">
        <f aca="true">IF($B165="","",IF(AND(A165&lt;&gt;"",A165&lt;&gt;0),A165,TODAY()))</f>
        <v/>
      </c>
      <c r="B165" s="12"/>
      <c r="C165" s="13"/>
      <c r="D165" s="13"/>
      <c r="E165" s="13"/>
      <c r="F165" s="14"/>
      <c r="G165" s="14"/>
      <c r="H165" s="14"/>
      <c r="I165" s="15" t="str">
        <f aca="false">IF($B165="","",IF(AND(G165="",H165=""),"",G165+H165))</f>
        <v/>
      </c>
      <c r="J165" s="15" t="str">
        <f aca="false">IF(OR($B165="",I165=""),"",I165-F165)</f>
        <v/>
      </c>
      <c r="K165" s="16" t="str">
        <f aca="false">IF($B165="","",IF(AND(G165="",H165=""),"Not Counted",IF(OR(G165="",H165=""),"Partially Counted",IF(J165=0,"Match",IF(J165&gt;0,"Overage","Shortage")))))</f>
        <v/>
      </c>
      <c r="L165" s="16" t="str">
        <f aca="false">IF($B165="","",IF(AND(L165&lt;&gt;"",L165&lt;&gt;0),L165,$B$4))</f>
        <v/>
      </c>
      <c r="M165" s="13"/>
      <c r="N165" s="13"/>
      <c r="O165" s="13"/>
    </row>
    <row r="166" customFormat="false" ht="15" hidden="false" customHeight="false" outlineLevel="0" collapsed="false">
      <c r="A166" s="11" t="str">
        <f aca="true">IF($B166="","",IF(AND(A166&lt;&gt;"",A166&lt;&gt;0),A166,TODAY()))</f>
        <v/>
      </c>
      <c r="B166" s="12"/>
      <c r="C166" s="13"/>
      <c r="D166" s="13"/>
      <c r="E166" s="13"/>
      <c r="F166" s="14"/>
      <c r="G166" s="14"/>
      <c r="H166" s="14"/>
      <c r="I166" s="15" t="str">
        <f aca="false">IF($B166="","",IF(AND(G166="",H166=""),"",G166+H166))</f>
        <v/>
      </c>
      <c r="J166" s="15" t="str">
        <f aca="false">IF(OR($B166="",I166=""),"",I166-F166)</f>
        <v/>
      </c>
      <c r="K166" s="16" t="str">
        <f aca="false">IF($B166="","",IF(AND(G166="",H166=""),"Not Counted",IF(OR(G166="",H166=""),"Partially Counted",IF(J166=0,"Match",IF(J166&gt;0,"Overage","Shortage")))))</f>
        <v/>
      </c>
      <c r="L166" s="16" t="str">
        <f aca="false">IF($B166="","",IF(AND(L166&lt;&gt;"",L166&lt;&gt;0),L166,$B$4))</f>
        <v/>
      </c>
      <c r="M166" s="13"/>
      <c r="N166" s="13"/>
      <c r="O166" s="13"/>
    </row>
    <row r="167" customFormat="false" ht="15" hidden="false" customHeight="false" outlineLevel="0" collapsed="false">
      <c r="A167" s="11" t="str">
        <f aca="true">IF($B167="","",IF(AND(A167&lt;&gt;"",A167&lt;&gt;0),A167,TODAY()))</f>
        <v/>
      </c>
      <c r="B167" s="12"/>
      <c r="C167" s="13"/>
      <c r="D167" s="13"/>
      <c r="E167" s="13"/>
      <c r="F167" s="14"/>
      <c r="G167" s="14"/>
      <c r="H167" s="14"/>
      <c r="I167" s="15" t="str">
        <f aca="false">IF($B167="","",IF(AND(G167="",H167=""),"",G167+H167))</f>
        <v/>
      </c>
      <c r="J167" s="15" t="str">
        <f aca="false">IF(OR($B167="",I167=""),"",I167-F167)</f>
        <v/>
      </c>
      <c r="K167" s="16" t="str">
        <f aca="false">IF($B167="","",IF(AND(G167="",H167=""),"Not Counted",IF(OR(G167="",H167=""),"Partially Counted",IF(J167=0,"Match",IF(J167&gt;0,"Overage","Shortage")))))</f>
        <v/>
      </c>
      <c r="L167" s="16" t="str">
        <f aca="false">IF($B167="","",IF(AND(L167&lt;&gt;"",L167&lt;&gt;0),L167,$B$4))</f>
        <v/>
      </c>
      <c r="M167" s="13"/>
      <c r="N167" s="13"/>
      <c r="O167" s="13"/>
    </row>
    <row r="168" customFormat="false" ht="15" hidden="false" customHeight="false" outlineLevel="0" collapsed="false">
      <c r="A168" s="11" t="str">
        <f aca="true">IF($B168="","",IF(AND(A168&lt;&gt;"",A168&lt;&gt;0),A168,TODAY()))</f>
        <v/>
      </c>
      <c r="B168" s="12"/>
      <c r="C168" s="13"/>
      <c r="D168" s="13"/>
      <c r="E168" s="13"/>
      <c r="F168" s="14"/>
      <c r="G168" s="14"/>
      <c r="H168" s="14"/>
      <c r="I168" s="15" t="str">
        <f aca="false">IF($B168="","",IF(AND(G168="",H168=""),"",G168+H168))</f>
        <v/>
      </c>
      <c r="J168" s="15" t="str">
        <f aca="false">IF(OR($B168="",I168=""),"",I168-F168)</f>
        <v/>
      </c>
      <c r="K168" s="16" t="str">
        <f aca="false">IF($B168="","",IF(AND(G168="",H168=""),"Not Counted",IF(OR(G168="",H168=""),"Partially Counted",IF(J168=0,"Match",IF(J168&gt;0,"Overage","Shortage")))))</f>
        <v/>
      </c>
      <c r="L168" s="16" t="str">
        <f aca="false">IF($B168="","",IF(AND(L168&lt;&gt;"",L168&lt;&gt;0),L168,$B$4))</f>
        <v/>
      </c>
      <c r="M168" s="13"/>
      <c r="N168" s="13"/>
      <c r="O168" s="13"/>
    </row>
    <row r="169" customFormat="false" ht="15" hidden="false" customHeight="false" outlineLevel="0" collapsed="false">
      <c r="A169" s="11" t="str">
        <f aca="true">IF($B169="","",IF(AND(A169&lt;&gt;"",A169&lt;&gt;0),A169,TODAY()))</f>
        <v/>
      </c>
      <c r="B169" s="12"/>
      <c r="C169" s="13"/>
      <c r="D169" s="13"/>
      <c r="E169" s="13"/>
      <c r="F169" s="14"/>
      <c r="G169" s="14"/>
      <c r="H169" s="14"/>
      <c r="I169" s="15" t="str">
        <f aca="false">IF($B169="","",IF(AND(G169="",H169=""),"",G169+H169))</f>
        <v/>
      </c>
      <c r="J169" s="15" t="str">
        <f aca="false">IF(OR($B169="",I169=""),"",I169-F169)</f>
        <v/>
      </c>
      <c r="K169" s="16" t="str">
        <f aca="false">IF($B169="","",IF(AND(G169="",H169=""),"Not Counted",IF(OR(G169="",H169=""),"Partially Counted",IF(J169=0,"Match",IF(J169&gt;0,"Overage","Shortage")))))</f>
        <v/>
      </c>
      <c r="L169" s="16" t="str">
        <f aca="false">IF($B169="","",IF(AND(L169&lt;&gt;"",L169&lt;&gt;0),L169,$B$4))</f>
        <v/>
      </c>
      <c r="M169" s="13"/>
      <c r="N169" s="13"/>
      <c r="O169" s="13"/>
    </row>
    <row r="170" customFormat="false" ht="15" hidden="false" customHeight="false" outlineLevel="0" collapsed="false">
      <c r="A170" s="11" t="str">
        <f aca="true">IF($B170="","",IF(AND(A170&lt;&gt;"",A170&lt;&gt;0),A170,TODAY()))</f>
        <v/>
      </c>
      <c r="B170" s="12"/>
      <c r="C170" s="13"/>
      <c r="D170" s="13"/>
      <c r="E170" s="13"/>
      <c r="F170" s="14"/>
      <c r="G170" s="14"/>
      <c r="H170" s="14"/>
      <c r="I170" s="15" t="str">
        <f aca="false">IF($B170="","",IF(AND(G170="",H170=""),"",G170+H170))</f>
        <v/>
      </c>
      <c r="J170" s="15" t="str">
        <f aca="false">IF(OR($B170="",I170=""),"",I170-F170)</f>
        <v/>
      </c>
      <c r="K170" s="16" t="str">
        <f aca="false">IF($B170="","",IF(AND(G170="",H170=""),"Not Counted",IF(OR(G170="",H170=""),"Partially Counted",IF(J170=0,"Match",IF(J170&gt;0,"Overage","Shortage")))))</f>
        <v/>
      </c>
      <c r="L170" s="16" t="str">
        <f aca="false">IF($B170="","",IF(AND(L170&lt;&gt;"",L170&lt;&gt;0),L170,$B$4))</f>
        <v/>
      </c>
      <c r="M170" s="13"/>
      <c r="N170" s="13"/>
      <c r="O170" s="13"/>
    </row>
    <row r="171" customFormat="false" ht="15" hidden="false" customHeight="false" outlineLevel="0" collapsed="false">
      <c r="A171" s="11" t="str">
        <f aca="true">IF($B171="","",IF(AND(A171&lt;&gt;"",A171&lt;&gt;0),A171,TODAY()))</f>
        <v/>
      </c>
      <c r="B171" s="12"/>
      <c r="C171" s="13"/>
      <c r="D171" s="13"/>
      <c r="E171" s="13"/>
      <c r="F171" s="14"/>
      <c r="G171" s="14"/>
      <c r="H171" s="14"/>
      <c r="I171" s="15" t="str">
        <f aca="false">IF($B171="","",IF(AND(G171="",H171=""),"",G171+H171))</f>
        <v/>
      </c>
      <c r="J171" s="15" t="str">
        <f aca="false">IF(OR($B171="",I171=""),"",I171-F171)</f>
        <v/>
      </c>
      <c r="K171" s="16" t="str">
        <f aca="false">IF($B171="","",IF(AND(G171="",H171=""),"Not Counted",IF(OR(G171="",H171=""),"Partially Counted",IF(J171=0,"Match",IF(J171&gt;0,"Overage","Shortage")))))</f>
        <v/>
      </c>
      <c r="L171" s="16" t="str">
        <f aca="false">IF($B171="","",IF(AND(L171&lt;&gt;"",L171&lt;&gt;0),L171,$B$4))</f>
        <v/>
      </c>
      <c r="M171" s="13"/>
      <c r="N171" s="13"/>
      <c r="O171" s="13"/>
    </row>
    <row r="172" customFormat="false" ht="15" hidden="false" customHeight="false" outlineLevel="0" collapsed="false">
      <c r="A172" s="11" t="str">
        <f aca="true">IF($B172="","",IF(AND(A172&lt;&gt;"",A172&lt;&gt;0),A172,TODAY()))</f>
        <v/>
      </c>
      <c r="B172" s="12"/>
      <c r="C172" s="13"/>
      <c r="D172" s="13"/>
      <c r="E172" s="13"/>
      <c r="F172" s="14"/>
      <c r="G172" s="14"/>
      <c r="H172" s="14"/>
      <c r="I172" s="15" t="str">
        <f aca="false">IF($B172="","",IF(AND(G172="",H172=""),"",G172+H172))</f>
        <v/>
      </c>
      <c r="J172" s="15" t="str">
        <f aca="false">IF(OR($B172="",I172=""),"",I172-F172)</f>
        <v/>
      </c>
      <c r="K172" s="16" t="str">
        <f aca="false">IF($B172="","",IF(AND(G172="",H172=""),"Not Counted",IF(OR(G172="",H172=""),"Partially Counted",IF(J172=0,"Match",IF(J172&gt;0,"Overage","Shortage")))))</f>
        <v/>
      </c>
      <c r="L172" s="16" t="str">
        <f aca="false">IF($B172="","",IF(AND(L172&lt;&gt;"",L172&lt;&gt;0),L172,$B$4))</f>
        <v/>
      </c>
      <c r="M172" s="13"/>
      <c r="N172" s="13"/>
      <c r="O172" s="13"/>
    </row>
    <row r="173" customFormat="false" ht="15" hidden="false" customHeight="false" outlineLevel="0" collapsed="false">
      <c r="A173" s="11" t="str">
        <f aca="true">IF($B173="","",IF(AND(A173&lt;&gt;"",A173&lt;&gt;0),A173,TODAY()))</f>
        <v/>
      </c>
      <c r="B173" s="12"/>
      <c r="C173" s="13"/>
      <c r="D173" s="13"/>
      <c r="E173" s="13"/>
      <c r="F173" s="14"/>
      <c r="G173" s="14"/>
      <c r="H173" s="14"/>
      <c r="I173" s="15" t="str">
        <f aca="false">IF($B173="","",IF(AND(G173="",H173=""),"",G173+H173))</f>
        <v/>
      </c>
      <c r="J173" s="15" t="str">
        <f aca="false">IF(OR($B173="",I173=""),"",I173-F173)</f>
        <v/>
      </c>
      <c r="K173" s="16" t="str">
        <f aca="false">IF($B173="","",IF(AND(G173="",H173=""),"Not Counted",IF(OR(G173="",H173=""),"Partially Counted",IF(J173=0,"Match",IF(J173&gt;0,"Overage","Shortage")))))</f>
        <v/>
      </c>
      <c r="L173" s="16" t="str">
        <f aca="false">IF($B173="","",IF(AND(L173&lt;&gt;"",L173&lt;&gt;0),L173,$B$4))</f>
        <v/>
      </c>
      <c r="M173" s="13"/>
      <c r="N173" s="13"/>
      <c r="O173" s="13"/>
    </row>
    <row r="174" customFormat="false" ht="15" hidden="false" customHeight="false" outlineLevel="0" collapsed="false">
      <c r="A174" s="11" t="str">
        <f aca="true">IF($B174="","",IF(AND(A174&lt;&gt;"",A174&lt;&gt;0),A174,TODAY()))</f>
        <v/>
      </c>
      <c r="B174" s="12"/>
      <c r="C174" s="13"/>
      <c r="D174" s="13"/>
      <c r="E174" s="13"/>
      <c r="F174" s="14"/>
      <c r="G174" s="14"/>
      <c r="H174" s="14"/>
      <c r="I174" s="15" t="str">
        <f aca="false">IF($B174="","",IF(AND(G174="",H174=""),"",G174+H174))</f>
        <v/>
      </c>
      <c r="J174" s="15" t="str">
        <f aca="false">IF(OR($B174="",I174=""),"",I174-F174)</f>
        <v/>
      </c>
      <c r="K174" s="16" t="str">
        <f aca="false">IF($B174="","",IF(AND(G174="",H174=""),"Not Counted",IF(OR(G174="",H174=""),"Partially Counted",IF(J174=0,"Match",IF(J174&gt;0,"Overage","Shortage")))))</f>
        <v/>
      </c>
      <c r="L174" s="16" t="str">
        <f aca="false">IF($B174="","",IF(AND(L174&lt;&gt;"",L174&lt;&gt;0),L174,$B$4))</f>
        <v/>
      </c>
      <c r="M174" s="13"/>
      <c r="N174" s="13"/>
      <c r="O174" s="13"/>
    </row>
    <row r="175" customFormat="false" ht="15" hidden="false" customHeight="false" outlineLevel="0" collapsed="false">
      <c r="A175" s="11" t="str">
        <f aca="true">IF($B175="","",IF(AND(A175&lt;&gt;"",A175&lt;&gt;0),A175,TODAY()))</f>
        <v/>
      </c>
      <c r="B175" s="12"/>
      <c r="C175" s="13"/>
      <c r="D175" s="13"/>
      <c r="E175" s="13"/>
      <c r="F175" s="14"/>
      <c r="G175" s="14"/>
      <c r="H175" s="14"/>
      <c r="I175" s="15" t="str">
        <f aca="false">IF($B175="","",IF(AND(G175="",H175=""),"",G175+H175))</f>
        <v/>
      </c>
      <c r="J175" s="15" t="str">
        <f aca="false">IF(OR($B175="",I175=""),"",I175-F175)</f>
        <v/>
      </c>
      <c r="K175" s="16" t="str">
        <f aca="false">IF($B175="","",IF(AND(G175="",H175=""),"Not Counted",IF(OR(G175="",H175=""),"Partially Counted",IF(J175=0,"Match",IF(J175&gt;0,"Overage","Shortage")))))</f>
        <v/>
      </c>
      <c r="L175" s="16" t="str">
        <f aca="false">IF($B175="","",IF(AND(L175&lt;&gt;"",L175&lt;&gt;0),L175,$B$4))</f>
        <v/>
      </c>
      <c r="M175" s="13"/>
      <c r="N175" s="13"/>
      <c r="O175" s="13"/>
    </row>
    <row r="176" customFormat="false" ht="15" hidden="false" customHeight="false" outlineLevel="0" collapsed="false">
      <c r="A176" s="11" t="str">
        <f aca="true">IF($B176="","",IF(AND(A176&lt;&gt;"",A176&lt;&gt;0),A176,TODAY()))</f>
        <v/>
      </c>
      <c r="B176" s="12"/>
      <c r="C176" s="13"/>
      <c r="D176" s="13"/>
      <c r="E176" s="13"/>
      <c r="F176" s="14"/>
      <c r="G176" s="14"/>
      <c r="H176" s="14"/>
      <c r="I176" s="15" t="str">
        <f aca="false">IF($B176="","",IF(AND(G176="",H176=""),"",G176+H176))</f>
        <v/>
      </c>
      <c r="J176" s="15" t="str">
        <f aca="false">IF(OR($B176="",I176=""),"",I176-F176)</f>
        <v/>
      </c>
      <c r="K176" s="16" t="str">
        <f aca="false">IF($B176="","",IF(AND(G176="",H176=""),"Not Counted",IF(OR(G176="",H176=""),"Partially Counted",IF(J176=0,"Match",IF(J176&gt;0,"Overage","Shortage")))))</f>
        <v/>
      </c>
      <c r="L176" s="16" t="str">
        <f aca="false">IF($B176="","",IF(AND(L176&lt;&gt;"",L176&lt;&gt;0),L176,$B$4))</f>
        <v/>
      </c>
      <c r="M176" s="13"/>
      <c r="N176" s="13"/>
      <c r="O176" s="13"/>
    </row>
    <row r="177" customFormat="false" ht="15" hidden="false" customHeight="false" outlineLevel="0" collapsed="false">
      <c r="A177" s="11" t="str">
        <f aca="true">IF($B177="","",IF(AND(A177&lt;&gt;"",A177&lt;&gt;0),A177,TODAY()))</f>
        <v/>
      </c>
      <c r="B177" s="12"/>
      <c r="C177" s="13"/>
      <c r="D177" s="13"/>
      <c r="E177" s="13"/>
      <c r="F177" s="14"/>
      <c r="G177" s="14"/>
      <c r="H177" s="14"/>
      <c r="I177" s="15" t="str">
        <f aca="false">IF($B177="","",IF(AND(G177="",H177=""),"",G177+H177))</f>
        <v/>
      </c>
      <c r="J177" s="15" t="str">
        <f aca="false">IF(OR($B177="",I177=""),"",I177-F177)</f>
        <v/>
      </c>
      <c r="K177" s="16" t="str">
        <f aca="false">IF($B177="","",IF(AND(G177="",H177=""),"Not Counted",IF(OR(G177="",H177=""),"Partially Counted",IF(J177=0,"Match",IF(J177&gt;0,"Overage","Shortage")))))</f>
        <v/>
      </c>
      <c r="L177" s="16" t="str">
        <f aca="false">IF($B177="","",IF(AND(L177&lt;&gt;"",L177&lt;&gt;0),L177,$B$4))</f>
        <v/>
      </c>
      <c r="M177" s="13"/>
      <c r="N177" s="13"/>
      <c r="O177" s="13"/>
    </row>
    <row r="178" customFormat="false" ht="15" hidden="false" customHeight="false" outlineLevel="0" collapsed="false">
      <c r="A178" s="11" t="str">
        <f aca="true">IF($B178="","",IF(AND(A178&lt;&gt;"",A178&lt;&gt;0),A178,TODAY()))</f>
        <v/>
      </c>
      <c r="B178" s="12"/>
      <c r="C178" s="13"/>
      <c r="D178" s="13"/>
      <c r="E178" s="13"/>
      <c r="F178" s="14"/>
      <c r="G178" s="14"/>
      <c r="H178" s="14"/>
      <c r="I178" s="15" t="str">
        <f aca="false">IF($B178="","",IF(AND(G178="",H178=""),"",G178+H178))</f>
        <v/>
      </c>
      <c r="J178" s="15" t="str">
        <f aca="false">IF(OR($B178="",I178=""),"",I178-F178)</f>
        <v/>
      </c>
      <c r="K178" s="16" t="str">
        <f aca="false">IF($B178="","",IF(AND(G178="",H178=""),"Not Counted",IF(OR(G178="",H178=""),"Partially Counted",IF(J178=0,"Match",IF(J178&gt;0,"Overage","Shortage")))))</f>
        <v/>
      </c>
      <c r="L178" s="16" t="str">
        <f aca="false">IF($B178="","",IF(AND(L178&lt;&gt;"",L178&lt;&gt;0),L178,$B$4))</f>
        <v/>
      </c>
      <c r="M178" s="13"/>
      <c r="N178" s="13"/>
      <c r="O178" s="13"/>
    </row>
    <row r="179" customFormat="false" ht="15" hidden="false" customHeight="false" outlineLevel="0" collapsed="false">
      <c r="A179" s="11" t="str">
        <f aca="true">IF($B179="","",IF(AND(A179&lt;&gt;"",A179&lt;&gt;0),A179,TODAY()))</f>
        <v/>
      </c>
      <c r="B179" s="12"/>
      <c r="C179" s="13"/>
      <c r="D179" s="13"/>
      <c r="E179" s="13"/>
      <c r="F179" s="14"/>
      <c r="G179" s="14"/>
      <c r="H179" s="14"/>
      <c r="I179" s="15" t="str">
        <f aca="false">IF($B179="","",IF(AND(G179="",H179=""),"",G179+H179))</f>
        <v/>
      </c>
      <c r="J179" s="15" t="str">
        <f aca="false">IF(OR($B179="",I179=""),"",I179-F179)</f>
        <v/>
      </c>
      <c r="K179" s="16" t="str">
        <f aca="false">IF($B179="","",IF(AND(G179="",H179=""),"Not Counted",IF(OR(G179="",H179=""),"Partially Counted",IF(J179=0,"Match",IF(J179&gt;0,"Overage","Shortage")))))</f>
        <v/>
      </c>
      <c r="L179" s="16" t="str">
        <f aca="false">IF($B179="","",IF(AND(L179&lt;&gt;"",L179&lt;&gt;0),L179,$B$4))</f>
        <v/>
      </c>
      <c r="M179" s="13"/>
      <c r="N179" s="13"/>
      <c r="O179" s="13"/>
    </row>
    <row r="180" customFormat="false" ht="15" hidden="false" customHeight="false" outlineLevel="0" collapsed="false">
      <c r="A180" s="11" t="str">
        <f aca="true">IF($B180="","",IF(AND(A180&lt;&gt;"",A180&lt;&gt;0),A180,TODAY()))</f>
        <v/>
      </c>
      <c r="B180" s="12"/>
      <c r="C180" s="13"/>
      <c r="D180" s="13"/>
      <c r="E180" s="13"/>
      <c r="F180" s="14"/>
      <c r="G180" s="14"/>
      <c r="H180" s="14"/>
      <c r="I180" s="15" t="str">
        <f aca="false">IF($B180="","",IF(AND(G180="",H180=""),"",G180+H180))</f>
        <v/>
      </c>
      <c r="J180" s="15" t="str">
        <f aca="false">IF(OR($B180="",I180=""),"",I180-F180)</f>
        <v/>
      </c>
      <c r="K180" s="16" t="str">
        <f aca="false">IF($B180="","",IF(AND(G180="",H180=""),"Not Counted",IF(OR(G180="",H180=""),"Partially Counted",IF(J180=0,"Match",IF(J180&gt;0,"Overage","Shortage")))))</f>
        <v/>
      </c>
      <c r="L180" s="16" t="str">
        <f aca="false">IF($B180="","",IF(AND(L180&lt;&gt;"",L180&lt;&gt;0),L180,$B$4))</f>
        <v/>
      </c>
      <c r="M180" s="13"/>
      <c r="N180" s="13"/>
      <c r="O180" s="13"/>
    </row>
    <row r="181" customFormat="false" ht="15" hidden="false" customHeight="false" outlineLevel="0" collapsed="false">
      <c r="A181" s="11" t="str">
        <f aca="true">IF($B181="","",IF(AND(A181&lt;&gt;"",A181&lt;&gt;0),A181,TODAY()))</f>
        <v/>
      </c>
      <c r="B181" s="12"/>
      <c r="C181" s="13"/>
      <c r="D181" s="13"/>
      <c r="E181" s="13"/>
      <c r="F181" s="14"/>
      <c r="G181" s="14"/>
      <c r="H181" s="14"/>
      <c r="I181" s="15" t="str">
        <f aca="false">IF($B181="","",IF(AND(G181="",H181=""),"",G181+H181))</f>
        <v/>
      </c>
      <c r="J181" s="15" t="str">
        <f aca="false">IF(OR($B181="",I181=""),"",I181-F181)</f>
        <v/>
      </c>
      <c r="K181" s="16" t="str">
        <f aca="false">IF($B181="","",IF(AND(G181="",H181=""),"Not Counted",IF(OR(G181="",H181=""),"Partially Counted",IF(J181=0,"Match",IF(J181&gt;0,"Overage","Shortage")))))</f>
        <v/>
      </c>
      <c r="L181" s="16" t="str">
        <f aca="false">IF($B181="","",IF(AND(L181&lt;&gt;"",L181&lt;&gt;0),L181,$B$4))</f>
        <v/>
      </c>
      <c r="M181" s="13"/>
      <c r="N181" s="13"/>
      <c r="O181" s="13"/>
    </row>
    <row r="182" customFormat="false" ht="15" hidden="false" customHeight="false" outlineLevel="0" collapsed="false">
      <c r="A182" s="11" t="str">
        <f aca="true">IF($B182="","",IF(AND(A182&lt;&gt;"",A182&lt;&gt;0),A182,TODAY()))</f>
        <v/>
      </c>
      <c r="B182" s="12"/>
      <c r="C182" s="13"/>
      <c r="D182" s="13"/>
      <c r="E182" s="13"/>
      <c r="F182" s="14"/>
      <c r="G182" s="14"/>
      <c r="H182" s="14"/>
      <c r="I182" s="15" t="str">
        <f aca="false">IF($B182="","",IF(AND(G182="",H182=""),"",G182+H182))</f>
        <v/>
      </c>
      <c r="J182" s="15" t="str">
        <f aca="false">IF(OR($B182="",I182=""),"",I182-F182)</f>
        <v/>
      </c>
      <c r="K182" s="16" t="str">
        <f aca="false">IF($B182="","",IF(AND(G182="",H182=""),"Not Counted",IF(OR(G182="",H182=""),"Partially Counted",IF(J182=0,"Match",IF(J182&gt;0,"Overage","Shortage")))))</f>
        <v/>
      </c>
      <c r="L182" s="16" t="str">
        <f aca="false">IF($B182="","",IF(AND(L182&lt;&gt;"",L182&lt;&gt;0),L182,$B$4))</f>
        <v/>
      </c>
      <c r="M182" s="13"/>
      <c r="N182" s="13"/>
      <c r="O182" s="13"/>
    </row>
    <row r="183" customFormat="false" ht="15" hidden="false" customHeight="false" outlineLevel="0" collapsed="false">
      <c r="A183" s="11" t="str">
        <f aca="true">IF($B183="","",IF(AND(A183&lt;&gt;"",A183&lt;&gt;0),A183,TODAY()))</f>
        <v/>
      </c>
      <c r="B183" s="12"/>
      <c r="C183" s="13"/>
      <c r="D183" s="13"/>
      <c r="E183" s="13"/>
      <c r="F183" s="14"/>
      <c r="G183" s="14"/>
      <c r="H183" s="14"/>
      <c r="I183" s="15" t="str">
        <f aca="false">IF($B183="","",IF(AND(G183="",H183=""),"",G183+H183))</f>
        <v/>
      </c>
      <c r="J183" s="15" t="str">
        <f aca="false">IF(OR($B183="",I183=""),"",I183-F183)</f>
        <v/>
      </c>
      <c r="K183" s="16" t="str">
        <f aca="false">IF($B183="","",IF(AND(G183="",H183=""),"Not Counted",IF(OR(G183="",H183=""),"Partially Counted",IF(J183=0,"Match",IF(J183&gt;0,"Overage","Shortage")))))</f>
        <v/>
      </c>
      <c r="L183" s="16" t="str">
        <f aca="false">IF($B183="","",IF(AND(L183&lt;&gt;"",L183&lt;&gt;0),L183,$B$4))</f>
        <v/>
      </c>
      <c r="M183" s="13"/>
      <c r="N183" s="13"/>
      <c r="O183" s="13"/>
    </row>
    <row r="184" customFormat="false" ht="15" hidden="false" customHeight="false" outlineLevel="0" collapsed="false">
      <c r="A184" s="11" t="str">
        <f aca="true">IF($B184="","",IF(AND(A184&lt;&gt;"",A184&lt;&gt;0),A184,TODAY()))</f>
        <v/>
      </c>
      <c r="B184" s="12"/>
      <c r="C184" s="13"/>
      <c r="D184" s="13"/>
      <c r="E184" s="13"/>
      <c r="F184" s="14"/>
      <c r="G184" s="14"/>
      <c r="H184" s="14"/>
      <c r="I184" s="15" t="str">
        <f aca="false">IF($B184="","",IF(AND(G184="",H184=""),"",G184+H184))</f>
        <v/>
      </c>
      <c r="J184" s="15" t="str">
        <f aca="false">IF(OR($B184="",I184=""),"",I184-F184)</f>
        <v/>
      </c>
      <c r="K184" s="16" t="str">
        <f aca="false">IF($B184="","",IF(AND(G184="",H184=""),"Not Counted",IF(OR(G184="",H184=""),"Partially Counted",IF(J184=0,"Match",IF(J184&gt;0,"Overage","Shortage")))))</f>
        <v/>
      </c>
      <c r="L184" s="16" t="str">
        <f aca="false">IF($B184="","",IF(AND(L184&lt;&gt;"",L184&lt;&gt;0),L184,$B$4))</f>
        <v/>
      </c>
      <c r="M184" s="13"/>
      <c r="N184" s="13"/>
      <c r="O184" s="13"/>
    </row>
    <row r="185" customFormat="false" ht="15" hidden="false" customHeight="false" outlineLevel="0" collapsed="false">
      <c r="A185" s="11" t="str">
        <f aca="true">IF($B185="","",IF(AND(A185&lt;&gt;"",A185&lt;&gt;0),A185,TODAY()))</f>
        <v/>
      </c>
      <c r="B185" s="12"/>
      <c r="C185" s="13"/>
      <c r="D185" s="13"/>
      <c r="E185" s="13"/>
      <c r="F185" s="14"/>
      <c r="G185" s="14"/>
      <c r="H185" s="14"/>
      <c r="I185" s="15" t="str">
        <f aca="false">IF($B185="","",IF(AND(G185="",H185=""),"",G185+H185))</f>
        <v/>
      </c>
      <c r="J185" s="15" t="str">
        <f aca="false">IF(OR($B185="",I185=""),"",I185-F185)</f>
        <v/>
      </c>
      <c r="K185" s="16" t="str">
        <f aca="false">IF($B185="","",IF(AND(G185="",H185=""),"Not Counted",IF(OR(G185="",H185=""),"Partially Counted",IF(J185=0,"Match",IF(J185&gt;0,"Overage","Shortage")))))</f>
        <v/>
      </c>
      <c r="L185" s="16" t="str">
        <f aca="false">IF($B185="","",IF(AND(L185&lt;&gt;"",L185&lt;&gt;0),L185,$B$4))</f>
        <v/>
      </c>
      <c r="M185" s="13"/>
      <c r="N185" s="13"/>
      <c r="O185" s="13"/>
    </row>
    <row r="186" customFormat="false" ht="15" hidden="false" customHeight="false" outlineLevel="0" collapsed="false">
      <c r="A186" s="11" t="str">
        <f aca="true">IF($B186="","",IF(AND(A186&lt;&gt;"",A186&lt;&gt;0),A186,TODAY()))</f>
        <v/>
      </c>
      <c r="B186" s="12"/>
      <c r="C186" s="13"/>
      <c r="D186" s="13"/>
      <c r="E186" s="13"/>
      <c r="F186" s="14"/>
      <c r="G186" s="14"/>
      <c r="H186" s="14"/>
      <c r="I186" s="15" t="str">
        <f aca="false">IF($B186="","",IF(AND(G186="",H186=""),"",G186+H186))</f>
        <v/>
      </c>
      <c r="J186" s="15" t="str">
        <f aca="false">IF(OR($B186="",I186=""),"",I186-F186)</f>
        <v/>
      </c>
      <c r="K186" s="16" t="str">
        <f aca="false">IF($B186="","",IF(AND(G186="",H186=""),"Not Counted",IF(OR(G186="",H186=""),"Partially Counted",IF(J186=0,"Match",IF(J186&gt;0,"Overage","Shortage")))))</f>
        <v/>
      </c>
      <c r="L186" s="16" t="str">
        <f aca="false">IF($B186="","",IF(AND(L186&lt;&gt;"",L186&lt;&gt;0),L186,$B$4))</f>
        <v/>
      </c>
      <c r="M186" s="13"/>
      <c r="N186" s="13"/>
      <c r="O186" s="13"/>
    </row>
    <row r="187" customFormat="false" ht="15" hidden="false" customHeight="false" outlineLevel="0" collapsed="false">
      <c r="A187" s="11" t="str">
        <f aca="true">IF($B187="","",IF(AND(A187&lt;&gt;"",A187&lt;&gt;0),A187,TODAY()))</f>
        <v/>
      </c>
      <c r="B187" s="12"/>
      <c r="C187" s="13"/>
      <c r="D187" s="13"/>
      <c r="E187" s="13"/>
      <c r="F187" s="14"/>
      <c r="G187" s="14"/>
      <c r="H187" s="14"/>
      <c r="I187" s="15" t="str">
        <f aca="false">IF($B187="","",IF(AND(G187="",H187=""),"",G187+H187))</f>
        <v/>
      </c>
      <c r="J187" s="15" t="str">
        <f aca="false">IF(OR($B187="",I187=""),"",I187-F187)</f>
        <v/>
      </c>
      <c r="K187" s="16" t="str">
        <f aca="false">IF($B187="","",IF(AND(G187="",H187=""),"Not Counted",IF(OR(G187="",H187=""),"Partially Counted",IF(J187=0,"Match",IF(J187&gt;0,"Overage","Shortage")))))</f>
        <v/>
      </c>
      <c r="L187" s="16" t="str">
        <f aca="false">IF($B187="","",IF(AND(L187&lt;&gt;"",L187&lt;&gt;0),L187,$B$4))</f>
        <v/>
      </c>
      <c r="M187" s="13"/>
      <c r="N187" s="13"/>
      <c r="O187" s="13"/>
    </row>
    <row r="188" customFormat="false" ht="15" hidden="false" customHeight="false" outlineLevel="0" collapsed="false">
      <c r="A188" s="11" t="str">
        <f aca="true">IF($B188="","",IF(AND(A188&lt;&gt;"",A188&lt;&gt;0),A188,TODAY()))</f>
        <v/>
      </c>
      <c r="B188" s="12"/>
      <c r="C188" s="13"/>
      <c r="D188" s="13"/>
      <c r="E188" s="13"/>
      <c r="F188" s="14"/>
      <c r="G188" s="14"/>
      <c r="H188" s="14"/>
      <c r="I188" s="15" t="str">
        <f aca="false">IF($B188="","",IF(AND(G188="",H188=""),"",G188+H188))</f>
        <v/>
      </c>
      <c r="J188" s="15" t="str">
        <f aca="false">IF(OR($B188="",I188=""),"",I188-F188)</f>
        <v/>
      </c>
      <c r="K188" s="16" t="str">
        <f aca="false">IF($B188="","",IF(AND(G188="",H188=""),"Not Counted",IF(OR(G188="",H188=""),"Partially Counted",IF(J188=0,"Match",IF(J188&gt;0,"Overage","Shortage")))))</f>
        <v/>
      </c>
      <c r="L188" s="16" t="str">
        <f aca="false">IF($B188="","",IF(AND(L188&lt;&gt;"",L188&lt;&gt;0),L188,$B$4))</f>
        <v/>
      </c>
      <c r="M188" s="13"/>
      <c r="N188" s="13"/>
      <c r="O188" s="13"/>
    </row>
    <row r="189" customFormat="false" ht="15" hidden="false" customHeight="false" outlineLevel="0" collapsed="false">
      <c r="A189" s="11" t="str">
        <f aca="true">IF($B189="","",IF(AND(A189&lt;&gt;"",A189&lt;&gt;0),A189,TODAY()))</f>
        <v/>
      </c>
      <c r="B189" s="12"/>
      <c r="C189" s="13"/>
      <c r="D189" s="13"/>
      <c r="E189" s="13"/>
      <c r="F189" s="14"/>
      <c r="G189" s="14"/>
      <c r="H189" s="14"/>
      <c r="I189" s="15" t="str">
        <f aca="false">IF($B189="","",IF(AND(G189="",H189=""),"",G189+H189))</f>
        <v/>
      </c>
      <c r="J189" s="15" t="str">
        <f aca="false">IF(OR($B189="",I189=""),"",I189-F189)</f>
        <v/>
      </c>
      <c r="K189" s="16" t="str">
        <f aca="false">IF($B189="","",IF(AND(G189="",H189=""),"Not Counted",IF(OR(G189="",H189=""),"Partially Counted",IF(J189=0,"Match",IF(J189&gt;0,"Overage","Shortage")))))</f>
        <v/>
      </c>
      <c r="L189" s="16" t="str">
        <f aca="false">IF($B189="","",IF(AND(L189&lt;&gt;"",L189&lt;&gt;0),L189,$B$4))</f>
        <v/>
      </c>
      <c r="M189" s="13"/>
      <c r="N189" s="13"/>
      <c r="O189" s="13"/>
    </row>
    <row r="190" customFormat="false" ht="15" hidden="false" customHeight="false" outlineLevel="0" collapsed="false">
      <c r="A190" s="11" t="str">
        <f aca="true">IF($B190="","",IF(AND(A190&lt;&gt;"",A190&lt;&gt;0),A190,TODAY()))</f>
        <v/>
      </c>
      <c r="B190" s="12"/>
      <c r="C190" s="13"/>
      <c r="D190" s="13"/>
      <c r="E190" s="13"/>
      <c r="F190" s="14"/>
      <c r="G190" s="14"/>
      <c r="H190" s="14"/>
      <c r="I190" s="15" t="str">
        <f aca="false">IF($B190="","",IF(AND(G190="",H190=""),"",G190+H190))</f>
        <v/>
      </c>
      <c r="J190" s="15" t="str">
        <f aca="false">IF(OR($B190="",I190=""),"",I190-F190)</f>
        <v/>
      </c>
      <c r="K190" s="16" t="str">
        <f aca="false">IF($B190="","",IF(AND(G190="",H190=""),"Not Counted",IF(OR(G190="",H190=""),"Partially Counted",IF(J190=0,"Match",IF(J190&gt;0,"Overage","Shortage")))))</f>
        <v/>
      </c>
      <c r="L190" s="16" t="str">
        <f aca="false">IF($B190="","",IF(AND(L190&lt;&gt;"",L190&lt;&gt;0),L190,$B$4))</f>
        <v/>
      </c>
      <c r="M190" s="13"/>
      <c r="N190" s="13"/>
      <c r="O190" s="13"/>
    </row>
    <row r="191" customFormat="false" ht="15" hidden="false" customHeight="false" outlineLevel="0" collapsed="false">
      <c r="A191" s="11" t="str">
        <f aca="true">IF($B191="","",IF(AND(A191&lt;&gt;"",A191&lt;&gt;0),A191,TODAY()))</f>
        <v/>
      </c>
      <c r="B191" s="12"/>
      <c r="C191" s="13"/>
      <c r="D191" s="13"/>
      <c r="E191" s="13"/>
      <c r="F191" s="14"/>
      <c r="G191" s="14"/>
      <c r="H191" s="14"/>
      <c r="I191" s="15" t="str">
        <f aca="false">IF($B191="","",IF(AND(G191="",H191=""),"",G191+H191))</f>
        <v/>
      </c>
      <c r="J191" s="15" t="str">
        <f aca="false">IF(OR($B191="",I191=""),"",I191-F191)</f>
        <v/>
      </c>
      <c r="K191" s="16" t="str">
        <f aca="false">IF($B191="","",IF(AND(G191="",H191=""),"Not Counted",IF(OR(G191="",H191=""),"Partially Counted",IF(J191=0,"Match",IF(J191&gt;0,"Overage","Shortage")))))</f>
        <v/>
      </c>
      <c r="L191" s="16" t="str">
        <f aca="false">IF($B191="","",IF(AND(L191&lt;&gt;"",L191&lt;&gt;0),L191,$B$4))</f>
        <v/>
      </c>
      <c r="M191" s="13"/>
      <c r="N191" s="13"/>
      <c r="O191" s="13"/>
    </row>
    <row r="192" customFormat="false" ht="15" hidden="false" customHeight="false" outlineLevel="0" collapsed="false">
      <c r="A192" s="11" t="str">
        <f aca="true">IF($B192="","",IF(AND(A192&lt;&gt;"",A192&lt;&gt;0),A192,TODAY()))</f>
        <v/>
      </c>
      <c r="B192" s="12"/>
      <c r="C192" s="13"/>
      <c r="D192" s="13"/>
      <c r="E192" s="13"/>
      <c r="F192" s="14"/>
      <c r="G192" s="14"/>
      <c r="H192" s="14"/>
      <c r="I192" s="15" t="str">
        <f aca="false">IF($B192="","",IF(AND(G192="",H192=""),"",G192+H192))</f>
        <v/>
      </c>
      <c r="J192" s="15" t="str">
        <f aca="false">IF(OR($B192="",I192=""),"",I192-F192)</f>
        <v/>
      </c>
      <c r="K192" s="16" t="str">
        <f aca="false">IF($B192="","",IF(AND(G192="",H192=""),"Not Counted",IF(OR(G192="",H192=""),"Partially Counted",IF(J192=0,"Match",IF(J192&gt;0,"Overage","Shortage")))))</f>
        <v/>
      </c>
      <c r="L192" s="16" t="str">
        <f aca="false">IF($B192="","",IF(AND(L192&lt;&gt;"",L192&lt;&gt;0),L192,$B$4))</f>
        <v/>
      </c>
      <c r="M192" s="13"/>
      <c r="N192" s="13"/>
      <c r="O192" s="13"/>
    </row>
    <row r="193" customFormat="false" ht="15" hidden="false" customHeight="false" outlineLevel="0" collapsed="false">
      <c r="A193" s="11" t="str">
        <f aca="true">IF($B193="","",IF(AND(A193&lt;&gt;"",A193&lt;&gt;0),A193,TODAY()))</f>
        <v/>
      </c>
      <c r="B193" s="12"/>
      <c r="C193" s="13"/>
      <c r="D193" s="13"/>
      <c r="E193" s="13"/>
      <c r="F193" s="14"/>
      <c r="G193" s="14"/>
      <c r="H193" s="14"/>
      <c r="I193" s="15" t="str">
        <f aca="false">IF($B193="","",IF(AND(G193="",H193=""),"",G193+H193))</f>
        <v/>
      </c>
      <c r="J193" s="15" t="str">
        <f aca="false">IF(OR($B193="",I193=""),"",I193-F193)</f>
        <v/>
      </c>
      <c r="K193" s="16" t="str">
        <f aca="false">IF($B193="","",IF(AND(G193="",H193=""),"Not Counted",IF(OR(G193="",H193=""),"Partially Counted",IF(J193=0,"Match",IF(J193&gt;0,"Overage","Shortage")))))</f>
        <v/>
      </c>
      <c r="L193" s="16" t="str">
        <f aca="false">IF($B193="","",IF(AND(L193&lt;&gt;"",L193&lt;&gt;0),L193,$B$4))</f>
        <v/>
      </c>
      <c r="M193" s="13"/>
      <c r="N193" s="13"/>
      <c r="O193" s="13"/>
    </row>
    <row r="194" customFormat="false" ht="15" hidden="false" customHeight="false" outlineLevel="0" collapsed="false">
      <c r="A194" s="11" t="str">
        <f aca="true">IF($B194="","",IF(AND(A194&lt;&gt;"",A194&lt;&gt;0),A194,TODAY()))</f>
        <v/>
      </c>
      <c r="B194" s="12"/>
      <c r="C194" s="13"/>
      <c r="D194" s="13"/>
      <c r="E194" s="13"/>
      <c r="F194" s="14"/>
      <c r="G194" s="14"/>
      <c r="H194" s="14"/>
      <c r="I194" s="15" t="str">
        <f aca="false">IF($B194="","",IF(AND(G194="",H194=""),"",G194+H194))</f>
        <v/>
      </c>
      <c r="J194" s="15" t="str">
        <f aca="false">IF(OR($B194="",I194=""),"",I194-F194)</f>
        <v/>
      </c>
      <c r="K194" s="16" t="str">
        <f aca="false">IF($B194="","",IF(AND(G194="",H194=""),"Not Counted",IF(OR(G194="",H194=""),"Partially Counted",IF(J194=0,"Match",IF(J194&gt;0,"Overage","Shortage")))))</f>
        <v/>
      </c>
      <c r="L194" s="16" t="str">
        <f aca="false">IF($B194="","",IF(AND(L194&lt;&gt;"",L194&lt;&gt;0),L194,$B$4))</f>
        <v/>
      </c>
      <c r="M194" s="13"/>
      <c r="N194" s="13"/>
      <c r="O194" s="13"/>
    </row>
    <row r="195" customFormat="false" ht="15" hidden="false" customHeight="false" outlineLevel="0" collapsed="false">
      <c r="A195" s="11" t="str">
        <f aca="true">IF($B195="","",IF(AND(A195&lt;&gt;"",A195&lt;&gt;0),A195,TODAY()))</f>
        <v/>
      </c>
      <c r="B195" s="12"/>
      <c r="C195" s="13"/>
      <c r="D195" s="13"/>
      <c r="E195" s="13"/>
      <c r="F195" s="14"/>
      <c r="G195" s="14"/>
      <c r="H195" s="14"/>
      <c r="I195" s="15" t="str">
        <f aca="false">IF($B195="","",IF(AND(G195="",H195=""),"",G195+H195))</f>
        <v/>
      </c>
      <c r="J195" s="15" t="str">
        <f aca="false">IF(OR($B195="",I195=""),"",I195-F195)</f>
        <v/>
      </c>
      <c r="K195" s="16" t="str">
        <f aca="false">IF($B195="","",IF(AND(G195="",H195=""),"Not Counted",IF(OR(G195="",H195=""),"Partially Counted",IF(J195=0,"Match",IF(J195&gt;0,"Overage","Shortage")))))</f>
        <v/>
      </c>
      <c r="L195" s="16" t="str">
        <f aca="false">IF($B195="","",IF(AND(L195&lt;&gt;"",L195&lt;&gt;0),L195,$B$4))</f>
        <v/>
      </c>
      <c r="M195" s="13"/>
      <c r="N195" s="13"/>
      <c r="O195" s="13"/>
    </row>
    <row r="196" customFormat="false" ht="15" hidden="false" customHeight="false" outlineLevel="0" collapsed="false">
      <c r="A196" s="11" t="str">
        <f aca="true">IF($B196="","",IF(AND(A196&lt;&gt;"",A196&lt;&gt;0),A196,TODAY()))</f>
        <v/>
      </c>
      <c r="B196" s="12"/>
      <c r="C196" s="13"/>
      <c r="D196" s="13"/>
      <c r="E196" s="13"/>
      <c r="F196" s="14"/>
      <c r="G196" s="14"/>
      <c r="H196" s="14"/>
      <c r="I196" s="15" t="str">
        <f aca="false">IF($B196="","",IF(AND(G196="",H196=""),"",G196+H196))</f>
        <v/>
      </c>
      <c r="J196" s="15" t="str">
        <f aca="false">IF(OR($B196="",I196=""),"",I196-F196)</f>
        <v/>
      </c>
      <c r="K196" s="16" t="str">
        <f aca="false">IF($B196="","",IF(AND(G196="",H196=""),"Not Counted",IF(OR(G196="",H196=""),"Partially Counted",IF(J196=0,"Match",IF(J196&gt;0,"Overage","Shortage")))))</f>
        <v/>
      </c>
      <c r="L196" s="16" t="str">
        <f aca="false">IF($B196="","",IF(AND(L196&lt;&gt;"",L196&lt;&gt;0),L196,$B$4))</f>
        <v/>
      </c>
      <c r="M196" s="13"/>
      <c r="N196" s="13"/>
      <c r="O196" s="13"/>
    </row>
    <row r="197" customFormat="false" ht="15" hidden="false" customHeight="false" outlineLevel="0" collapsed="false">
      <c r="A197" s="11" t="str">
        <f aca="true">IF($B197="","",IF(AND(A197&lt;&gt;"",A197&lt;&gt;0),A197,TODAY()))</f>
        <v/>
      </c>
      <c r="B197" s="12"/>
      <c r="C197" s="13"/>
      <c r="D197" s="13"/>
      <c r="E197" s="13"/>
      <c r="F197" s="14"/>
      <c r="G197" s="14"/>
      <c r="H197" s="14"/>
      <c r="I197" s="15" t="str">
        <f aca="false">IF($B197="","",IF(AND(G197="",H197=""),"",G197+H197))</f>
        <v/>
      </c>
      <c r="J197" s="15" t="str">
        <f aca="false">IF(OR($B197="",I197=""),"",I197-F197)</f>
        <v/>
      </c>
      <c r="K197" s="16" t="str">
        <f aca="false">IF($B197="","",IF(AND(G197="",H197=""),"Not Counted",IF(OR(G197="",H197=""),"Partially Counted",IF(J197=0,"Match",IF(J197&gt;0,"Overage","Shortage")))))</f>
        <v/>
      </c>
      <c r="L197" s="16" t="str">
        <f aca="false">IF($B197="","",IF(AND(L197&lt;&gt;"",L197&lt;&gt;0),L197,$B$4))</f>
        <v/>
      </c>
      <c r="M197" s="13"/>
      <c r="N197" s="13"/>
      <c r="O197" s="13"/>
    </row>
    <row r="198" customFormat="false" ht="15" hidden="false" customHeight="false" outlineLevel="0" collapsed="false">
      <c r="A198" s="11" t="str">
        <f aca="true">IF($B198="","",IF(AND(A198&lt;&gt;"",A198&lt;&gt;0),A198,TODAY()))</f>
        <v/>
      </c>
      <c r="B198" s="12"/>
      <c r="C198" s="13"/>
      <c r="D198" s="13"/>
      <c r="E198" s="13"/>
      <c r="F198" s="14"/>
      <c r="G198" s="14"/>
      <c r="H198" s="14"/>
      <c r="I198" s="15" t="str">
        <f aca="false">IF($B198="","",IF(AND(G198="",H198=""),"",G198+H198))</f>
        <v/>
      </c>
      <c r="J198" s="15" t="str">
        <f aca="false">IF(OR($B198="",I198=""),"",I198-F198)</f>
        <v/>
      </c>
      <c r="K198" s="16" t="str">
        <f aca="false">IF($B198="","",IF(AND(G198="",H198=""),"Not Counted",IF(OR(G198="",H198=""),"Partially Counted",IF(J198=0,"Match",IF(J198&gt;0,"Overage","Shortage")))))</f>
        <v/>
      </c>
      <c r="L198" s="16" t="str">
        <f aca="false">IF($B198="","",IF(AND(L198&lt;&gt;"",L198&lt;&gt;0),L198,$B$4))</f>
        <v/>
      </c>
      <c r="M198" s="13"/>
      <c r="N198" s="13"/>
      <c r="O198" s="13"/>
    </row>
    <row r="199" customFormat="false" ht="15" hidden="false" customHeight="false" outlineLevel="0" collapsed="false">
      <c r="A199" s="11" t="str">
        <f aca="true">IF($B199="","",IF(AND(A199&lt;&gt;"",A199&lt;&gt;0),A199,TODAY()))</f>
        <v/>
      </c>
      <c r="B199" s="12"/>
      <c r="C199" s="13"/>
      <c r="D199" s="13"/>
      <c r="E199" s="13"/>
      <c r="F199" s="14"/>
      <c r="G199" s="14"/>
      <c r="H199" s="14"/>
      <c r="I199" s="15" t="str">
        <f aca="false">IF($B199="","",IF(AND(G199="",H199=""),"",G199+H199))</f>
        <v/>
      </c>
      <c r="J199" s="15" t="str">
        <f aca="false">IF(OR($B199="",I199=""),"",I199-F199)</f>
        <v/>
      </c>
      <c r="K199" s="16" t="str">
        <f aca="false">IF($B199="","",IF(AND(G199="",H199=""),"Not Counted",IF(OR(G199="",H199=""),"Partially Counted",IF(J199=0,"Match",IF(J199&gt;0,"Overage","Shortage")))))</f>
        <v/>
      </c>
      <c r="L199" s="16" t="str">
        <f aca="false">IF($B199="","",IF(AND(L199&lt;&gt;"",L199&lt;&gt;0),L199,$B$4))</f>
        <v/>
      </c>
      <c r="M199" s="13"/>
      <c r="N199" s="13"/>
      <c r="O199" s="13"/>
    </row>
    <row r="200" customFormat="false" ht="15" hidden="false" customHeight="false" outlineLevel="0" collapsed="false">
      <c r="A200" s="11" t="str">
        <f aca="true">IF($B200="","",IF(AND(A200&lt;&gt;"",A200&lt;&gt;0),A200,TODAY()))</f>
        <v/>
      </c>
      <c r="B200" s="12"/>
      <c r="C200" s="13"/>
      <c r="D200" s="13"/>
      <c r="E200" s="13"/>
      <c r="F200" s="14"/>
      <c r="G200" s="14"/>
      <c r="H200" s="14"/>
      <c r="I200" s="15" t="str">
        <f aca="false">IF($B200="","",IF(AND(G200="",H200=""),"",G200+H200))</f>
        <v/>
      </c>
      <c r="J200" s="15" t="str">
        <f aca="false">IF(OR($B200="",I200=""),"",I200-F200)</f>
        <v/>
      </c>
      <c r="K200" s="16" t="str">
        <f aca="false">IF($B200="","",IF(AND(G200="",H200=""),"Not Counted",IF(OR(G200="",H200=""),"Partially Counted",IF(J200=0,"Match",IF(J200&gt;0,"Overage","Shortage")))))</f>
        <v/>
      </c>
      <c r="L200" s="16" t="str">
        <f aca="false">IF($B200="","",IF(AND(L200&lt;&gt;"",L200&lt;&gt;0),L200,$B$4))</f>
        <v/>
      </c>
      <c r="M200" s="13"/>
      <c r="N200" s="13"/>
      <c r="O200" s="13"/>
    </row>
    <row r="201" customFormat="false" ht="15" hidden="false" customHeight="false" outlineLevel="0" collapsed="false">
      <c r="A201" s="11" t="str">
        <f aca="true">IF($B201="","",IF(AND(A201&lt;&gt;"",A201&lt;&gt;0),A201,TODAY()))</f>
        <v/>
      </c>
      <c r="B201" s="12"/>
      <c r="C201" s="13"/>
      <c r="D201" s="13"/>
      <c r="E201" s="13"/>
      <c r="F201" s="14"/>
      <c r="G201" s="14"/>
      <c r="H201" s="14"/>
      <c r="I201" s="15" t="str">
        <f aca="false">IF($B201="","",IF(AND(G201="",H201=""),"",G201+H201))</f>
        <v/>
      </c>
      <c r="J201" s="15" t="str">
        <f aca="false">IF(OR($B201="",I201=""),"",I201-F201)</f>
        <v/>
      </c>
      <c r="K201" s="16" t="str">
        <f aca="false">IF($B201="","",IF(AND(G201="",H201=""),"Not Counted",IF(OR(G201="",H201=""),"Partially Counted",IF(J201=0,"Match",IF(J201&gt;0,"Overage","Shortage")))))</f>
        <v/>
      </c>
      <c r="L201" s="16" t="str">
        <f aca="false">IF($B201="","",IF(AND(L201&lt;&gt;"",L201&lt;&gt;0),L201,$B$4))</f>
        <v/>
      </c>
      <c r="M201" s="13"/>
      <c r="N201" s="13"/>
      <c r="O201" s="13"/>
    </row>
    <row r="202" customFormat="false" ht="15" hidden="false" customHeight="false" outlineLevel="0" collapsed="false">
      <c r="A202" s="11" t="str">
        <f aca="true">IF($B202="","",IF(AND(A202&lt;&gt;"",A202&lt;&gt;0),A202,TODAY()))</f>
        <v/>
      </c>
      <c r="B202" s="12"/>
      <c r="C202" s="13"/>
      <c r="D202" s="13"/>
      <c r="E202" s="13"/>
      <c r="F202" s="14"/>
      <c r="G202" s="14"/>
      <c r="H202" s="14"/>
      <c r="I202" s="15" t="str">
        <f aca="false">IF($B202="","",IF(AND(G202="",H202=""),"",G202+H202))</f>
        <v/>
      </c>
      <c r="J202" s="15" t="str">
        <f aca="false">IF(OR($B202="",I202=""),"",I202-F202)</f>
        <v/>
      </c>
      <c r="K202" s="16" t="str">
        <f aca="false">IF($B202="","",IF(AND(G202="",H202=""),"Not Counted",IF(OR(G202="",H202=""),"Partially Counted",IF(J202=0,"Match",IF(J202&gt;0,"Overage","Shortage")))))</f>
        <v/>
      </c>
      <c r="L202" s="16" t="str">
        <f aca="false">IF($B202="","",IF(AND(L202&lt;&gt;"",L202&lt;&gt;0),L202,$B$4))</f>
        <v/>
      </c>
      <c r="M202" s="13"/>
      <c r="N202" s="13"/>
      <c r="O202" s="13"/>
    </row>
    <row r="203" customFormat="false" ht="15" hidden="false" customHeight="false" outlineLevel="0" collapsed="false">
      <c r="A203" s="11" t="str">
        <f aca="true">IF($B203="","",IF(AND(A203&lt;&gt;"",A203&lt;&gt;0),A203,TODAY()))</f>
        <v/>
      </c>
      <c r="B203" s="12"/>
      <c r="C203" s="13"/>
      <c r="D203" s="13"/>
      <c r="E203" s="13"/>
      <c r="F203" s="14"/>
      <c r="G203" s="14"/>
      <c r="H203" s="14"/>
      <c r="I203" s="15" t="str">
        <f aca="false">IF($B203="","",IF(AND(G203="",H203=""),"",G203+H203))</f>
        <v/>
      </c>
      <c r="J203" s="15" t="str">
        <f aca="false">IF(OR($B203="",I203=""),"",I203-F203)</f>
        <v/>
      </c>
      <c r="K203" s="16" t="str">
        <f aca="false">IF($B203="","",IF(AND(G203="",H203=""),"Not Counted",IF(OR(G203="",H203=""),"Partially Counted",IF(J203=0,"Match",IF(J203&gt;0,"Overage","Shortage")))))</f>
        <v/>
      </c>
      <c r="L203" s="16" t="str">
        <f aca="false">IF($B203="","",IF(AND(L203&lt;&gt;"",L203&lt;&gt;0),L203,$B$4))</f>
        <v/>
      </c>
      <c r="M203" s="13"/>
      <c r="N203" s="13"/>
      <c r="O203" s="13"/>
    </row>
    <row r="204" customFormat="false" ht="15" hidden="false" customHeight="false" outlineLevel="0" collapsed="false">
      <c r="A204" s="11" t="str">
        <f aca="true">IF($B204="","",IF(AND(A204&lt;&gt;"",A204&lt;&gt;0),A204,TODAY()))</f>
        <v/>
      </c>
      <c r="B204" s="12"/>
      <c r="C204" s="13"/>
      <c r="D204" s="13"/>
      <c r="E204" s="13"/>
      <c r="F204" s="14"/>
      <c r="G204" s="14"/>
      <c r="H204" s="14"/>
      <c r="I204" s="15" t="str">
        <f aca="false">IF($B204="","",IF(AND(G204="",H204=""),"",G204+H204))</f>
        <v/>
      </c>
      <c r="J204" s="15" t="str">
        <f aca="false">IF(OR($B204="",I204=""),"",I204-F204)</f>
        <v/>
      </c>
      <c r="K204" s="16" t="str">
        <f aca="false">IF($B204="","",IF(AND(G204="",H204=""),"Not Counted",IF(OR(G204="",H204=""),"Partially Counted",IF(J204=0,"Match",IF(J204&gt;0,"Overage","Shortage")))))</f>
        <v/>
      </c>
      <c r="L204" s="16" t="str">
        <f aca="false">IF($B204="","",IF(AND(L204&lt;&gt;"",L204&lt;&gt;0),L204,$B$4))</f>
        <v/>
      </c>
      <c r="M204" s="13"/>
      <c r="N204" s="13"/>
      <c r="O204" s="13"/>
    </row>
    <row r="205" customFormat="false" ht="15" hidden="false" customHeight="false" outlineLevel="0" collapsed="false">
      <c r="A205" s="11" t="str">
        <f aca="true">IF($B205="","",IF(AND(A205&lt;&gt;"",A205&lt;&gt;0),A205,TODAY()))</f>
        <v/>
      </c>
      <c r="B205" s="12"/>
      <c r="C205" s="13"/>
      <c r="D205" s="13"/>
      <c r="E205" s="13"/>
      <c r="F205" s="14"/>
      <c r="G205" s="14"/>
      <c r="H205" s="14"/>
      <c r="I205" s="15" t="str">
        <f aca="false">IF($B205="","",IF(AND(G205="",H205=""),"",G205+H205))</f>
        <v/>
      </c>
      <c r="J205" s="15" t="str">
        <f aca="false">IF(OR($B205="",I205=""),"",I205-F205)</f>
        <v/>
      </c>
      <c r="K205" s="16" t="str">
        <f aca="false">IF($B205="","",IF(AND(G205="",H205=""),"Not Counted",IF(OR(G205="",H205=""),"Partially Counted",IF(J205=0,"Match",IF(J205&gt;0,"Overage","Shortage")))))</f>
        <v/>
      </c>
      <c r="L205" s="16" t="str">
        <f aca="false">IF($B205="","",IF(AND(L205&lt;&gt;"",L205&lt;&gt;0),L205,$B$4))</f>
        <v/>
      </c>
      <c r="M205" s="13"/>
      <c r="N205" s="13"/>
      <c r="O205" s="13"/>
    </row>
    <row r="206" customFormat="false" ht="15" hidden="false" customHeight="false" outlineLevel="0" collapsed="false">
      <c r="A206" s="11" t="str">
        <f aca="true">IF($B206="","",IF(AND(A206&lt;&gt;"",A206&lt;&gt;0),A206,TODAY()))</f>
        <v/>
      </c>
      <c r="B206" s="12"/>
      <c r="C206" s="13"/>
      <c r="D206" s="13"/>
      <c r="E206" s="13"/>
      <c r="F206" s="14"/>
      <c r="G206" s="14"/>
      <c r="H206" s="14"/>
      <c r="I206" s="15" t="str">
        <f aca="false">IF($B206="","",IF(AND(G206="",H206=""),"",G206+H206))</f>
        <v/>
      </c>
      <c r="J206" s="15" t="str">
        <f aca="false">IF(OR($B206="",I206=""),"",I206-F206)</f>
        <v/>
      </c>
      <c r="K206" s="16" t="str">
        <f aca="false">IF($B206="","",IF(AND(G206="",H206=""),"Not Counted",IF(OR(G206="",H206=""),"Partially Counted",IF(J206=0,"Match",IF(J206&gt;0,"Overage","Shortage")))))</f>
        <v/>
      </c>
      <c r="L206" s="16" t="str">
        <f aca="false">IF($B206="","",IF(AND(L206&lt;&gt;"",L206&lt;&gt;0),L206,$B$4))</f>
        <v/>
      </c>
      <c r="M206" s="13"/>
      <c r="N206" s="13"/>
      <c r="O206" s="13"/>
    </row>
    <row r="207" customFormat="false" ht="15" hidden="false" customHeight="false" outlineLevel="0" collapsed="false">
      <c r="A207" s="11" t="str">
        <f aca="true">IF($B207="","",IF(AND(A207&lt;&gt;"",A207&lt;&gt;0),A207,TODAY()))</f>
        <v/>
      </c>
      <c r="B207" s="12"/>
      <c r="C207" s="13"/>
      <c r="D207" s="13"/>
      <c r="E207" s="13"/>
      <c r="F207" s="14"/>
      <c r="G207" s="14"/>
      <c r="H207" s="14"/>
      <c r="I207" s="15" t="str">
        <f aca="false">IF($B207="","",IF(AND(G207="",H207=""),"",G207+H207))</f>
        <v/>
      </c>
      <c r="J207" s="15" t="str">
        <f aca="false">IF(OR($B207="",I207=""),"",I207-F207)</f>
        <v/>
      </c>
      <c r="K207" s="16" t="str">
        <f aca="false">IF($B207="","",IF(AND(G207="",H207=""),"Not Counted",IF(OR(G207="",H207=""),"Partially Counted",IF(J207=0,"Match",IF(J207&gt;0,"Overage","Shortage")))))</f>
        <v/>
      </c>
      <c r="L207" s="16" t="str">
        <f aca="false">IF($B207="","",IF(AND(L207&lt;&gt;"",L207&lt;&gt;0),L207,$B$4))</f>
        <v/>
      </c>
      <c r="M207" s="13"/>
      <c r="N207" s="13"/>
      <c r="O207" s="13"/>
    </row>
    <row r="208" customFormat="false" ht="15" hidden="false" customHeight="false" outlineLevel="0" collapsed="false">
      <c r="A208" s="11" t="str">
        <f aca="true">IF($B208="","",IF(AND(A208&lt;&gt;"",A208&lt;&gt;0),A208,TODAY()))</f>
        <v/>
      </c>
      <c r="B208" s="12"/>
      <c r="C208" s="13"/>
      <c r="D208" s="13"/>
      <c r="E208" s="13"/>
      <c r="F208" s="14"/>
      <c r="G208" s="14"/>
      <c r="H208" s="14"/>
      <c r="I208" s="15" t="str">
        <f aca="false">IF($B208="","",IF(AND(G208="",H208=""),"",G208+H208))</f>
        <v/>
      </c>
      <c r="J208" s="15" t="str">
        <f aca="false">IF(OR($B208="",I208=""),"",I208-F208)</f>
        <v/>
      </c>
      <c r="K208" s="16" t="str">
        <f aca="false">IF($B208="","",IF(AND(G208="",H208=""),"Not Counted",IF(OR(G208="",H208=""),"Partially Counted",IF(J208=0,"Match",IF(J208&gt;0,"Overage","Shortage")))))</f>
        <v/>
      </c>
      <c r="L208" s="16" t="str">
        <f aca="false">IF($B208="","",IF(AND(L208&lt;&gt;"",L208&lt;&gt;0),L208,$B$4))</f>
        <v/>
      </c>
      <c r="M208" s="13"/>
      <c r="N208" s="13"/>
      <c r="O208" s="13"/>
    </row>
    <row r="209" customFormat="false" ht="15" hidden="false" customHeight="false" outlineLevel="0" collapsed="false">
      <c r="A209" s="11" t="str">
        <f aca="true">IF($B209="","",IF(AND(A209&lt;&gt;"",A209&lt;&gt;0),A209,TODAY()))</f>
        <v/>
      </c>
      <c r="B209" s="12"/>
      <c r="C209" s="13"/>
      <c r="D209" s="13"/>
      <c r="E209" s="13"/>
      <c r="F209" s="14"/>
      <c r="G209" s="14"/>
      <c r="H209" s="14"/>
      <c r="I209" s="15" t="str">
        <f aca="false">IF($B209="","",IF(AND(G209="",H209=""),"",G209+H209))</f>
        <v/>
      </c>
      <c r="J209" s="15" t="str">
        <f aca="false">IF(OR($B209="",I209=""),"",I209-F209)</f>
        <v/>
      </c>
      <c r="K209" s="16" t="str">
        <f aca="false">IF($B209="","",IF(AND(G209="",H209=""),"Not Counted",IF(OR(G209="",H209=""),"Partially Counted",IF(J209=0,"Match",IF(J209&gt;0,"Overage","Shortage")))))</f>
        <v/>
      </c>
      <c r="L209" s="16" t="str">
        <f aca="false">IF($B209="","",IF(AND(L209&lt;&gt;"",L209&lt;&gt;0),L209,$B$4))</f>
        <v/>
      </c>
      <c r="M209" s="13"/>
      <c r="N209" s="13"/>
      <c r="O209" s="13"/>
    </row>
    <row r="210" customFormat="false" ht="15" hidden="false" customHeight="false" outlineLevel="0" collapsed="false">
      <c r="A210" s="11" t="str">
        <f aca="true">IF($B210="","",IF(AND(A210&lt;&gt;"",A210&lt;&gt;0),A210,TODAY()))</f>
        <v/>
      </c>
      <c r="B210" s="12"/>
      <c r="C210" s="13"/>
      <c r="D210" s="13"/>
      <c r="E210" s="13"/>
      <c r="F210" s="14"/>
      <c r="G210" s="14"/>
      <c r="H210" s="14"/>
      <c r="I210" s="15" t="str">
        <f aca="false">IF($B210="","",IF(AND(G210="",H210=""),"",G210+H210))</f>
        <v/>
      </c>
      <c r="J210" s="15" t="str">
        <f aca="false">IF(OR($B210="",I210=""),"",I210-F210)</f>
        <v/>
      </c>
      <c r="K210" s="16" t="str">
        <f aca="false">IF($B210="","",IF(AND(G210="",H210=""),"Not Counted",IF(OR(G210="",H210=""),"Partially Counted",IF(J210=0,"Match",IF(J210&gt;0,"Overage","Shortage")))))</f>
        <v/>
      </c>
      <c r="L210" s="16" t="str">
        <f aca="false">IF($B210="","",IF(AND(L210&lt;&gt;"",L210&lt;&gt;0),L210,$B$4))</f>
        <v/>
      </c>
      <c r="M210" s="13"/>
      <c r="N210" s="13"/>
      <c r="O210" s="13"/>
    </row>
    <row r="211" customFormat="false" ht="15" hidden="false" customHeight="false" outlineLevel="0" collapsed="false">
      <c r="A211" s="11" t="str">
        <f aca="true">IF($B211="","",IF(AND(A211&lt;&gt;"",A211&lt;&gt;0),A211,TODAY()))</f>
        <v/>
      </c>
      <c r="B211" s="12"/>
      <c r="C211" s="13"/>
      <c r="D211" s="13"/>
      <c r="E211" s="13"/>
      <c r="F211" s="14"/>
      <c r="G211" s="14"/>
      <c r="H211" s="14"/>
      <c r="I211" s="15" t="str">
        <f aca="false">IF($B211="","",IF(AND(G211="",H211=""),"",G211+H211))</f>
        <v/>
      </c>
      <c r="J211" s="15" t="str">
        <f aca="false">IF(OR($B211="",I211=""),"",I211-F211)</f>
        <v/>
      </c>
      <c r="K211" s="16" t="str">
        <f aca="false">IF($B211="","",IF(AND(G211="",H211=""),"Not Counted",IF(OR(G211="",H211=""),"Partially Counted",IF(J211=0,"Match",IF(J211&gt;0,"Overage","Shortage")))))</f>
        <v/>
      </c>
      <c r="L211" s="16" t="str">
        <f aca="false">IF($B211="","",IF(AND(L211&lt;&gt;"",L211&lt;&gt;0),L211,$B$4))</f>
        <v/>
      </c>
      <c r="M211" s="13"/>
      <c r="N211" s="13"/>
      <c r="O211" s="13"/>
    </row>
    <row r="212" customFormat="false" ht="15" hidden="false" customHeight="false" outlineLevel="0" collapsed="false">
      <c r="A212" s="11" t="str">
        <f aca="true">IF($B212="","",IF(AND(A212&lt;&gt;"",A212&lt;&gt;0),A212,TODAY()))</f>
        <v/>
      </c>
      <c r="B212" s="12"/>
      <c r="C212" s="13"/>
      <c r="D212" s="13"/>
      <c r="E212" s="13"/>
      <c r="F212" s="14"/>
      <c r="G212" s="14"/>
      <c r="H212" s="14"/>
      <c r="I212" s="15" t="str">
        <f aca="false">IF($B212="","",IF(AND(G212="",H212=""),"",G212+H212))</f>
        <v/>
      </c>
      <c r="J212" s="15" t="str">
        <f aca="false">IF(OR($B212="",I212=""),"",I212-F212)</f>
        <v/>
      </c>
      <c r="K212" s="16" t="str">
        <f aca="false">IF($B212="","",IF(AND(G212="",H212=""),"Not Counted",IF(OR(G212="",H212=""),"Partially Counted",IF(J212=0,"Match",IF(J212&gt;0,"Overage","Shortage")))))</f>
        <v/>
      </c>
      <c r="L212" s="16" t="str">
        <f aca="false">IF($B212="","",IF(AND(L212&lt;&gt;"",L212&lt;&gt;0),L212,$B$4))</f>
        <v/>
      </c>
      <c r="M212" s="13"/>
      <c r="N212" s="13"/>
      <c r="O212" s="13"/>
    </row>
    <row r="213" customFormat="false" ht="15" hidden="false" customHeight="false" outlineLevel="0" collapsed="false">
      <c r="A213" s="11" t="str">
        <f aca="true">IF($B213="","",IF(AND(A213&lt;&gt;"",A213&lt;&gt;0),A213,TODAY()))</f>
        <v/>
      </c>
      <c r="B213" s="12"/>
      <c r="C213" s="13"/>
      <c r="D213" s="13"/>
      <c r="E213" s="13"/>
      <c r="F213" s="14"/>
      <c r="G213" s="14"/>
      <c r="H213" s="14"/>
      <c r="I213" s="15" t="str">
        <f aca="false">IF($B213="","",IF(AND(G213="",H213=""),"",G213+H213))</f>
        <v/>
      </c>
      <c r="J213" s="15" t="str">
        <f aca="false">IF(OR($B213="",I213=""),"",I213-F213)</f>
        <v/>
      </c>
      <c r="K213" s="16" t="str">
        <f aca="false">IF($B213="","",IF(AND(G213="",H213=""),"Not Counted",IF(OR(G213="",H213=""),"Partially Counted",IF(J213=0,"Match",IF(J213&gt;0,"Overage","Shortage")))))</f>
        <v/>
      </c>
      <c r="L213" s="16" t="str">
        <f aca="false">IF($B213="","",IF(AND(L213&lt;&gt;"",L213&lt;&gt;0),L213,$B$4))</f>
        <v/>
      </c>
      <c r="M213" s="13"/>
      <c r="N213" s="13"/>
      <c r="O213" s="13"/>
    </row>
    <row r="214" customFormat="false" ht="15" hidden="false" customHeight="false" outlineLevel="0" collapsed="false">
      <c r="A214" s="11" t="str">
        <f aca="true">IF($B214="","",IF(AND(A214&lt;&gt;"",A214&lt;&gt;0),A214,TODAY()))</f>
        <v/>
      </c>
      <c r="B214" s="12"/>
      <c r="C214" s="13"/>
      <c r="D214" s="13"/>
      <c r="E214" s="13"/>
      <c r="F214" s="14"/>
      <c r="G214" s="14"/>
      <c r="H214" s="14"/>
      <c r="I214" s="15" t="str">
        <f aca="false">IF($B214="","",IF(AND(G214="",H214=""),"",G214+H214))</f>
        <v/>
      </c>
      <c r="J214" s="15" t="str">
        <f aca="false">IF(OR($B214="",I214=""),"",I214-F214)</f>
        <v/>
      </c>
      <c r="K214" s="16" t="str">
        <f aca="false">IF($B214="","",IF(AND(G214="",H214=""),"Not Counted",IF(OR(G214="",H214=""),"Partially Counted",IF(J214=0,"Match",IF(J214&gt;0,"Overage","Shortage")))))</f>
        <v/>
      </c>
      <c r="L214" s="16" t="str">
        <f aca="false">IF($B214="","",IF(AND(L214&lt;&gt;"",L214&lt;&gt;0),L214,$B$4))</f>
        <v/>
      </c>
      <c r="M214" s="13"/>
      <c r="N214" s="13"/>
      <c r="O214" s="13"/>
    </row>
    <row r="215" customFormat="false" ht="15" hidden="false" customHeight="false" outlineLevel="0" collapsed="false">
      <c r="A215" s="11" t="str">
        <f aca="true">IF($B215="","",IF(AND(A215&lt;&gt;"",A215&lt;&gt;0),A215,TODAY()))</f>
        <v/>
      </c>
      <c r="B215" s="12"/>
      <c r="C215" s="13"/>
      <c r="D215" s="13"/>
      <c r="E215" s="13"/>
      <c r="F215" s="14"/>
      <c r="G215" s="14"/>
      <c r="H215" s="14"/>
      <c r="I215" s="15" t="str">
        <f aca="false">IF($B215="","",IF(AND(G215="",H215=""),"",G215+H215))</f>
        <v/>
      </c>
      <c r="J215" s="15" t="str">
        <f aca="false">IF(OR($B215="",I215=""),"",I215-F215)</f>
        <v/>
      </c>
      <c r="K215" s="16" t="str">
        <f aca="false">IF($B215="","",IF(AND(G215="",H215=""),"Not Counted",IF(OR(G215="",H215=""),"Partially Counted",IF(J215=0,"Match",IF(J215&gt;0,"Overage","Shortage")))))</f>
        <v/>
      </c>
      <c r="L215" s="16" t="str">
        <f aca="false">IF($B215="","",IF(AND(L215&lt;&gt;"",L215&lt;&gt;0),L215,$B$4))</f>
        <v/>
      </c>
      <c r="M215" s="13"/>
      <c r="N215" s="13"/>
      <c r="O215" s="13"/>
    </row>
    <row r="216" customFormat="false" ht="15" hidden="false" customHeight="false" outlineLevel="0" collapsed="false">
      <c r="A216" s="11" t="str">
        <f aca="true">IF($B216="","",IF(AND(A216&lt;&gt;"",A216&lt;&gt;0),A216,TODAY()))</f>
        <v/>
      </c>
      <c r="B216" s="12"/>
      <c r="C216" s="13"/>
      <c r="D216" s="13"/>
      <c r="E216" s="13"/>
      <c r="F216" s="14"/>
      <c r="G216" s="14"/>
      <c r="H216" s="14"/>
      <c r="I216" s="15" t="str">
        <f aca="false">IF($B216="","",IF(AND(G216="",H216=""),"",G216+H216))</f>
        <v/>
      </c>
      <c r="J216" s="15" t="str">
        <f aca="false">IF(OR($B216="",I216=""),"",I216-F216)</f>
        <v/>
      </c>
      <c r="K216" s="16" t="str">
        <f aca="false">IF($B216="","",IF(AND(G216="",H216=""),"Not Counted",IF(OR(G216="",H216=""),"Partially Counted",IF(J216=0,"Match",IF(J216&gt;0,"Overage","Shortage")))))</f>
        <v/>
      </c>
      <c r="L216" s="16" t="str">
        <f aca="false">IF($B216="","",IF(AND(L216&lt;&gt;"",L216&lt;&gt;0),L216,$B$4))</f>
        <v/>
      </c>
      <c r="M216" s="13"/>
      <c r="N216" s="13"/>
      <c r="O216" s="13"/>
    </row>
    <row r="217" customFormat="false" ht="15" hidden="false" customHeight="false" outlineLevel="0" collapsed="false">
      <c r="A217" s="11" t="str">
        <f aca="true">IF($B217="","",IF(AND(A217&lt;&gt;"",A217&lt;&gt;0),A217,TODAY()))</f>
        <v/>
      </c>
      <c r="B217" s="12"/>
      <c r="C217" s="13"/>
      <c r="D217" s="13"/>
      <c r="E217" s="13"/>
      <c r="F217" s="14"/>
      <c r="G217" s="14"/>
      <c r="H217" s="14"/>
      <c r="I217" s="15" t="str">
        <f aca="false">IF($B217="","",IF(AND(G217="",H217=""),"",G217+H217))</f>
        <v/>
      </c>
      <c r="J217" s="15" t="str">
        <f aca="false">IF(OR($B217="",I217=""),"",I217-F217)</f>
        <v/>
      </c>
      <c r="K217" s="16" t="str">
        <f aca="false">IF($B217="","",IF(AND(G217="",H217=""),"Not Counted",IF(OR(G217="",H217=""),"Partially Counted",IF(J217=0,"Match",IF(J217&gt;0,"Overage","Shortage")))))</f>
        <v/>
      </c>
      <c r="L217" s="16" t="str">
        <f aca="false">IF($B217="","",IF(AND(L217&lt;&gt;"",L217&lt;&gt;0),L217,$B$4))</f>
        <v/>
      </c>
      <c r="M217" s="13"/>
      <c r="N217" s="13"/>
      <c r="O217" s="13"/>
    </row>
    <row r="218" customFormat="false" ht="15" hidden="false" customHeight="false" outlineLevel="0" collapsed="false">
      <c r="A218" s="11" t="str">
        <f aca="true">IF($B218="","",IF(AND(A218&lt;&gt;"",A218&lt;&gt;0),A218,TODAY()))</f>
        <v/>
      </c>
      <c r="B218" s="12"/>
      <c r="C218" s="13"/>
      <c r="D218" s="13"/>
      <c r="E218" s="13"/>
      <c r="F218" s="14"/>
      <c r="G218" s="14"/>
      <c r="H218" s="14"/>
      <c r="I218" s="15" t="str">
        <f aca="false">IF($B218="","",IF(AND(G218="",H218=""),"",G218+H218))</f>
        <v/>
      </c>
      <c r="J218" s="15" t="str">
        <f aca="false">IF(OR($B218="",I218=""),"",I218-F218)</f>
        <v/>
      </c>
      <c r="K218" s="16" t="str">
        <f aca="false">IF($B218="","",IF(AND(G218="",H218=""),"Not Counted",IF(OR(G218="",H218=""),"Partially Counted",IF(J218=0,"Match",IF(J218&gt;0,"Overage","Shortage")))))</f>
        <v/>
      </c>
      <c r="L218" s="16" t="str">
        <f aca="false">IF($B218="","",IF(AND(L218&lt;&gt;"",L218&lt;&gt;0),L218,$B$4))</f>
        <v/>
      </c>
      <c r="M218" s="13"/>
      <c r="N218" s="13"/>
      <c r="O218" s="13"/>
    </row>
    <row r="219" customFormat="false" ht="15" hidden="false" customHeight="false" outlineLevel="0" collapsed="false">
      <c r="A219" s="11" t="str">
        <f aca="true">IF($B219="","",IF(AND(A219&lt;&gt;"",A219&lt;&gt;0),A219,TODAY()))</f>
        <v/>
      </c>
      <c r="B219" s="12"/>
      <c r="C219" s="13"/>
      <c r="D219" s="13"/>
      <c r="E219" s="13"/>
      <c r="F219" s="14"/>
      <c r="G219" s="14"/>
      <c r="H219" s="14"/>
      <c r="I219" s="15" t="str">
        <f aca="false">IF($B219="","",IF(AND(G219="",H219=""),"",G219+H219))</f>
        <v/>
      </c>
      <c r="J219" s="15" t="str">
        <f aca="false">IF(OR($B219="",I219=""),"",I219-F219)</f>
        <v/>
      </c>
      <c r="K219" s="16" t="str">
        <f aca="false">IF($B219="","",IF(AND(G219="",H219=""),"Not Counted",IF(OR(G219="",H219=""),"Partially Counted",IF(J219=0,"Match",IF(J219&gt;0,"Overage","Shortage")))))</f>
        <v/>
      </c>
      <c r="L219" s="16" t="str">
        <f aca="false">IF($B219="","",IF(AND(L219&lt;&gt;"",L219&lt;&gt;0),L219,$B$4))</f>
        <v/>
      </c>
      <c r="M219" s="13"/>
      <c r="N219" s="13"/>
      <c r="O219" s="13"/>
    </row>
    <row r="220" customFormat="false" ht="15" hidden="false" customHeight="false" outlineLevel="0" collapsed="false">
      <c r="A220" s="11" t="str">
        <f aca="true">IF($B220="","",IF(AND(A220&lt;&gt;"",A220&lt;&gt;0),A220,TODAY()))</f>
        <v/>
      </c>
      <c r="B220" s="12"/>
      <c r="C220" s="13"/>
      <c r="D220" s="13"/>
      <c r="E220" s="13"/>
      <c r="F220" s="14"/>
      <c r="G220" s="14"/>
      <c r="H220" s="14"/>
      <c r="I220" s="15" t="str">
        <f aca="false">IF($B220="","",IF(AND(G220="",H220=""),"",G220+H220))</f>
        <v/>
      </c>
      <c r="J220" s="15" t="str">
        <f aca="false">IF(OR($B220="",I220=""),"",I220-F220)</f>
        <v/>
      </c>
      <c r="K220" s="16" t="str">
        <f aca="false">IF($B220="","",IF(AND(G220="",H220=""),"Not Counted",IF(OR(G220="",H220=""),"Partially Counted",IF(J220=0,"Match",IF(J220&gt;0,"Overage","Shortage")))))</f>
        <v/>
      </c>
      <c r="L220" s="16" t="str">
        <f aca="false">IF($B220="","",IF(AND(L220&lt;&gt;"",L220&lt;&gt;0),L220,$B$4))</f>
        <v/>
      </c>
      <c r="M220" s="13"/>
      <c r="N220" s="13"/>
      <c r="O220" s="13"/>
    </row>
    <row r="221" customFormat="false" ht="15" hidden="false" customHeight="false" outlineLevel="0" collapsed="false">
      <c r="A221" s="11" t="str">
        <f aca="true">IF($B221="","",IF(AND(A221&lt;&gt;"",A221&lt;&gt;0),A221,TODAY()))</f>
        <v/>
      </c>
      <c r="B221" s="12"/>
      <c r="C221" s="13"/>
      <c r="D221" s="13"/>
      <c r="E221" s="13"/>
      <c r="F221" s="14"/>
      <c r="G221" s="14"/>
      <c r="H221" s="14"/>
      <c r="I221" s="15" t="str">
        <f aca="false">IF($B221="","",IF(AND(G221="",H221=""),"",G221+H221))</f>
        <v/>
      </c>
      <c r="J221" s="15" t="str">
        <f aca="false">IF(OR($B221="",I221=""),"",I221-F221)</f>
        <v/>
      </c>
      <c r="K221" s="16" t="str">
        <f aca="false">IF($B221="","",IF(AND(G221="",H221=""),"Not Counted",IF(OR(G221="",H221=""),"Partially Counted",IF(J221=0,"Match",IF(J221&gt;0,"Overage","Shortage")))))</f>
        <v/>
      </c>
      <c r="L221" s="16" t="str">
        <f aca="false">IF($B221="","",IF(AND(L221&lt;&gt;"",L221&lt;&gt;0),L221,$B$4))</f>
        <v/>
      </c>
      <c r="M221" s="13"/>
      <c r="N221" s="13"/>
      <c r="O221" s="13"/>
    </row>
    <row r="222" customFormat="false" ht="15" hidden="false" customHeight="false" outlineLevel="0" collapsed="false">
      <c r="A222" s="11" t="str">
        <f aca="true">IF($B222="","",IF(AND(A222&lt;&gt;"",A222&lt;&gt;0),A222,TODAY()))</f>
        <v/>
      </c>
      <c r="B222" s="12"/>
      <c r="C222" s="13"/>
      <c r="D222" s="13"/>
      <c r="E222" s="13"/>
      <c r="F222" s="14"/>
      <c r="G222" s="14"/>
      <c r="H222" s="14"/>
      <c r="I222" s="15" t="str">
        <f aca="false">IF($B222="","",IF(AND(G222="",H222=""),"",G222+H222))</f>
        <v/>
      </c>
      <c r="J222" s="15" t="str">
        <f aca="false">IF(OR($B222="",I222=""),"",I222-F222)</f>
        <v/>
      </c>
      <c r="K222" s="16" t="str">
        <f aca="false">IF($B222="","",IF(AND(G222="",H222=""),"Not Counted",IF(OR(G222="",H222=""),"Partially Counted",IF(J222=0,"Match",IF(J222&gt;0,"Overage","Shortage")))))</f>
        <v/>
      </c>
      <c r="L222" s="16" t="str">
        <f aca="false">IF($B222="","",IF(AND(L222&lt;&gt;"",L222&lt;&gt;0),L222,$B$4))</f>
        <v/>
      </c>
      <c r="M222" s="13"/>
      <c r="N222" s="13"/>
      <c r="O222" s="13"/>
    </row>
    <row r="223" customFormat="false" ht="15" hidden="false" customHeight="false" outlineLevel="0" collapsed="false">
      <c r="A223" s="11" t="str">
        <f aca="true">IF($B223="","",IF(AND(A223&lt;&gt;"",A223&lt;&gt;0),A223,TODAY()))</f>
        <v/>
      </c>
      <c r="B223" s="12"/>
      <c r="C223" s="13"/>
      <c r="D223" s="13"/>
      <c r="E223" s="13"/>
      <c r="F223" s="14"/>
      <c r="G223" s="14"/>
      <c r="H223" s="14"/>
      <c r="I223" s="15" t="str">
        <f aca="false">IF($B223="","",IF(AND(G223="",H223=""),"",G223+H223))</f>
        <v/>
      </c>
      <c r="J223" s="15" t="str">
        <f aca="false">IF(OR($B223="",I223=""),"",I223-F223)</f>
        <v/>
      </c>
      <c r="K223" s="16" t="str">
        <f aca="false">IF($B223="","",IF(AND(G223="",H223=""),"Not Counted",IF(OR(G223="",H223=""),"Partially Counted",IF(J223=0,"Match",IF(J223&gt;0,"Overage","Shortage")))))</f>
        <v/>
      </c>
      <c r="L223" s="16" t="str">
        <f aca="false">IF($B223="","",IF(AND(L223&lt;&gt;"",L223&lt;&gt;0),L223,$B$4))</f>
        <v/>
      </c>
      <c r="M223" s="13"/>
      <c r="N223" s="13"/>
      <c r="O223" s="13"/>
    </row>
    <row r="224" customFormat="false" ht="15" hidden="false" customHeight="false" outlineLevel="0" collapsed="false">
      <c r="A224" s="11" t="str">
        <f aca="true">IF($B224="","",IF(AND(A224&lt;&gt;"",A224&lt;&gt;0),A224,TODAY()))</f>
        <v/>
      </c>
      <c r="B224" s="12"/>
      <c r="C224" s="13"/>
      <c r="D224" s="13"/>
      <c r="E224" s="13"/>
      <c r="F224" s="14"/>
      <c r="G224" s="14"/>
      <c r="H224" s="14"/>
      <c r="I224" s="15" t="str">
        <f aca="false">IF($B224="","",IF(AND(G224="",H224=""),"",G224+H224))</f>
        <v/>
      </c>
      <c r="J224" s="15" t="str">
        <f aca="false">IF(OR($B224="",I224=""),"",I224-F224)</f>
        <v/>
      </c>
      <c r="K224" s="16" t="str">
        <f aca="false">IF($B224="","",IF(AND(G224="",H224=""),"Not Counted",IF(OR(G224="",H224=""),"Partially Counted",IF(J224=0,"Match",IF(J224&gt;0,"Overage","Shortage")))))</f>
        <v/>
      </c>
      <c r="L224" s="16" t="str">
        <f aca="false">IF($B224="","",IF(AND(L224&lt;&gt;"",L224&lt;&gt;0),L224,$B$4))</f>
        <v/>
      </c>
      <c r="M224" s="13"/>
      <c r="N224" s="13"/>
      <c r="O224" s="13"/>
    </row>
    <row r="225" customFormat="false" ht="15" hidden="false" customHeight="false" outlineLevel="0" collapsed="false">
      <c r="A225" s="11" t="str">
        <f aca="true">IF($B225="","",IF(AND(A225&lt;&gt;"",A225&lt;&gt;0),A225,TODAY()))</f>
        <v/>
      </c>
      <c r="B225" s="12"/>
      <c r="C225" s="13"/>
      <c r="D225" s="13"/>
      <c r="E225" s="13"/>
      <c r="F225" s="14"/>
      <c r="G225" s="14"/>
      <c r="H225" s="14"/>
      <c r="I225" s="15" t="str">
        <f aca="false">IF($B225="","",IF(AND(G225="",H225=""),"",G225+H225))</f>
        <v/>
      </c>
      <c r="J225" s="15" t="str">
        <f aca="false">IF(OR($B225="",I225=""),"",I225-F225)</f>
        <v/>
      </c>
      <c r="K225" s="16" t="str">
        <f aca="false">IF($B225="","",IF(AND(G225="",H225=""),"Not Counted",IF(OR(G225="",H225=""),"Partially Counted",IF(J225=0,"Match",IF(J225&gt;0,"Overage","Shortage")))))</f>
        <v/>
      </c>
      <c r="L225" s="16" t="str">
        <f aca="false">IF($B225="","",IF(AND(L225&lt;&gt;"",L225&lt;&gt;0),L225,$B$4))</f>
        <v/>
      </c>
      <c r="M225" s="13"/>
      <c r="N225" s="13"/>
      <c r="O225" s="13"/>
    </row>
    <row r="226" customFormat="false" ht="15" hidden="false" customHeight="false" outlineLevel="0" collapsed="false">
      <c r="A226" s="11" t="str">
        <f aca="true">IF($B226="","",IF(AND(A226&lt;&gt;"",A226&lt;&gt;0),A226,TODAY()))</f>
        <v/>
      </c>
      <c r="B226" s="12"/>
      <c r="C226" s="13"/>
      <c r="D226" s="13"/>
      <c r="E226" s="13"/>
      <c r="F226" s="14"/>
      <c r="G226" s="14"/>
      <c r="H226" s="14"/>
      <c r="I226" s="15" t="str">
        <f aca="false">IF($B226="","",IF(AND(G226="",H226=""),"",G226+H226))</f>
        <v/>
      </c>
      <c r="J226" s="15" t="str">
        <f aca="false">IF(OR($B226="",I226=""),"",I226-F226)</f>
        <v/>
      </c>
      <c r="K226" s="16" t="str">
        <f aca="false">IF($B226="","",IF(AND(G226="",H226=""),"Not Counted",IF(OR(G226="",H226=""),"Partially Counted",IF(J226=0,"Match",IF(J226&gt;0,"Overage","Shortage")))))</f>
        <v/>
      </c>
      <c r="L226" s="16" t="str">
        <f aca="false">IF($B226="","",IF(AND(L226&lt;&gt;"",L226&lt;&gt;0),L226,$B$4))</f>
        <v/>
      </c>
      <c r="M226" s="13"/>
      <c r="N226" s="13"/>
      <c r="O226" s="13"/>
    </row>
    <row r="227" customFormat="false" ht="15" hidden="false" customHeight="false" outlineLevel="0" collapsed="false">
      <c r="A227" s="11" t="str">
        <f aca="true">IF($B227="","",IF(AND(A227&lt;&gt;"",A227&lt;&gt;0),A227,TODAY()))</f>
        <v/>
      </c>
      <c r="B227" s="12"/>
      <c r="C227" s="13"/>
      <c r="D227" s="13"/>
      <c r="E227" s="13"/>
      <c r="F227" s="14"/>
      <c r="G227" s="14"/>
      <c r="H227" s="14"/>
      <c r="I227" s="15" t="str">
        <f aca="false">IF($B227="","",IF(AND(G227="",H227=""),"",G227+H227))</f>
        <v/>
      </c>
      <c r="J227" s="15" t="str">
        <f aca="false">IF(OR($B227="",I227=""),"",I227-F227)</f>
        <v/>
      </c>
      <c r="K227" s="16" t="str">
        <f aca="false">IF($B227="","",IF(AND(G227="",H227=""),"Not Counted",IF(OR(G227="",H227=""),"Partially Counted",IF(J227=0,"Match",IF(J227&gt;0,"Overage","Shortage")))))</f>
        <v/>
      </c>
      <c r="L227" s="16" t="str">
        <f aca="false">IF($B227="","",IF(AND(L227&lt;&gt;"",L227&lt;&gt;0),L227,$B$4))</f>
        <v/>
      </c>
      <c r="M227" s="13"/>
      <c r="N227" s="13"/>
      <c r="O227" s="13"/>
    </row>
    <row r="228" customFormat="false" ht="15" hidden="false" customHeight="false" outlineLevel="0" collapsed="false">
      <c r="A228" s="11" t="str">
        <f aca="true">IF($B228="","",IF(AND(A228&lt;&gt;"",A228&lt;&gt;0),A228,TODAY()))</f>
        <v/>
      </c>
      <c r="B228" s="12"/>
      <c r="C228" s="13"/>
      <c r="D228" s="13"/>
      <c r="E228" s="13"/>
      <c r="F228" s="14"/>
      <c r="G228" s="14"/>
      <c r="H228" s="14"/>
      <c r="I228" s="15" t="str">
        <f aca="false">IF($B228="","",IF(AND(G228="",H228=""),"",G228+H228))</f>
        <v/>
      </c>
      <c r="J228" s="15" t="str">
        <f aca="false">IF(OR($B228="",I228=""),"",I228-F228)</f>
        <v/>
      </c>
      <c r="K228" s="16" t="str">
        <f aca="false">IF($B228="","",IF(AND(G228="",H228=""),"Not Counted",IF(OR(G228="",H228=""),"Partially Counted",IF(J228=0,"Match",IF(J228&gt;0,"Overage","Shortage")))))</f>
        <v/>
      </c>
      <c r="L228" s="16" t="str">
        <f aca="false">IF($B228="","",IF(AND(L228&lt;&gt;"",L228&lt;&gt;0),L228,$B$4))</f>
        <v/>
      </c>
      <c r="M228" s="13"/>
      <c r="N228" s="13"/>
      <c r="O228" s="13"/>
    </row>
    <row r="229" customFormat="false" ht="15" hidden="false" customHeight="false" outlineLevel="0" collapsed="false">
      <c r="A229" s="11" t="str">
        <f aca="true">IF($B229="","",IF(AND(A229&lt;&gt;"",A229&lt;&gt;0),A229,TODAY()))</f>
        <v/>
      </c>
      <c r="B229" s="12"/>
      <c r="C229" s="13"/>
      <c r="D229" s="13"/>
      <c r="E229" s="13"/>
      <c r="F229" s="14"/>
      <c r="G229" s="14"/>
      <c r="H229" s="14"/>
      <c r="I229" s="15" t="str">
        <f aca="false">IF($B229="","",IF(AND(G229="",H229=""),"",G229+H229))</f>
        <v/>
      </c>
      <c r="J229" s="15" t="str">
        <f aca="false">IF(OR($B229="",I229=""),"",I229-F229)</f>
        <v/>
      </c>
      <c r="K229" s="16" t="str">
        <f aca="false">IF($B229="","",IF(AND(G229="",H229=""),"Not Counted",IF(OR(G229="",H229=""),"Partially Counted",IF(J229=0,"Match",IF(J229&gt;0,"Overage","Shortage")))))</f>
        <v/>
      </c>
      <c r="L229" s="16" t="str">
        <f aca="false">IF($B229="","",IF(AND(L229&lt;&gt;"",L229&lt;&gt;0),L229,$B$4))</f>
        <v/>
      </c>
      <c r="M229" s="13"/>
      <c r="N229" s="13"/>
      <c r="O229" s="13"/>
    </row>
    <row r="230" customFormat="false" ht="15" hidden="false" customHeight="false" outlineLevel="0" collapsed="false">
      <c r="A230" s="11" t="str">
        <f aca="true">IF($B230="","",IF(AND(A230&lt;&gt;"",A230&lt;&gt;0),A230,TODAY()))</f>
        <v/>
      </c>
      <c r="B230" s="12"/>
      <c r="C230" s="13"/>
      <c r="D230" s="13"/>
      <c r="E230" s="13"/>
      <c r="F230" s="14"/>
      <c r="G230" s="14"/>
      <c r="H230" s="14"/>
      <c r="I230" s="15" t="str">
        <f aca="false">IF($B230="","",IF(AND(G230="",H230=""),"",G230+H230))</f>
        <v/>
      </c>
      <c r="J230" s="15" t="str">
        <f aca="false">IF(OR($B230="",I230=""),"",I230-F230)</f>
        <v/>
      </c>
      <c r="K230" s="16" t="str">
        <f aca="false">IF($B230="","",IF(AND(G230="",H230=""),"Not Counted",IF(OR(G230="",H230=""),"Partially Counted",IF(J230=0,"Match",IF(J230&gt;0,"Overage","Shortage")))))</f>
        <v/>
      </c>
      <c r="L230" s="16" t="str">
        <f aca="false">IF($B230="","",IF(AND(L230&lt;&gt;"",L230&lt;&gt;0),L230,$B$4))</f>
        <v/>
      </c>
      <c r="M230" s="13"/>
      <c r="N230" s="13"/>
      <c r="O230" s="13"/>
    </row>
    <row r="231" customFormat="false" ht="15" hidden="false" customHeight="false" outlineLevel="0" collapsed="false">
      <c r="A231" s="11" t="str">
        <f aca="true">IF($B231="","",IF(AND(A231&lt;&gt;"",A231&lt;&gt;0),A231,TODAY()))</f>
        <v/>
      </c>
      <c r="B231" s="12"/>
      <c r="C231" s="13"/>
      <c r="D231" s="13"/>
      <c r="E231" s="13"/>
      <c r="F231" s="14"/>
      <c r="G231" s="14"/>
      <c r="H231" s="14"/>
      <c r="I231" s="15" t="str">
        <f aca="false">IF($B231="","",IF(AND(G231="",H231=""),"",G231+H231))</f>
        <v/>
      </c>
      <c r="J231" s="15" t="str">
        <f aca="false">IF(OR($B231="",I231=""),"",I231-F231)</f>
        <v/>
      </c>
      <c r="K231" s="16" t="str">
        <f aca="false">IF($B231="","",IF(AND(G231="",H231=""),"Not Counted",IF(OR(G231="",H231=""),"Partially Counted",IF(J231=0,"Match",IF(J231&gt;0,"Overage","Shortage")))))</f>
        <v/>
      </c>
      <c r="L231" s="16" t="str">
        <f aca="false">IF($B231="","",IF(AND(L231&lt;&gt;"",L231&lt;&gt;0),L231,$B$4))</f>
        <v/>
      </c>
      <c r="M231" s="13"/>
      <c r="N231" s="13"/>
      <c r="O231" s="13"/>
    </row>
    <row r="232" customFormat="false" ht="15" hidden="false" customHeight="false" outlineLevel="0" collapsed="false">
      <c r="A232" s="11" t="str">
        <f aca="true">IF($B232="","",IF(AND(A232&lt;&gt;"",A232&lt;&gt;0),A232,TODAY()))</f>
        <v/>
      </c>
      <c r="B232" s="12"/>
      <c r="C232" s="13"/>
      <c r="D232" s="13"/>
      <c r="E232" s="13"/>
      <c r="F232" s="14"/>
      <c r="G232" s="14"/>
      <c r="H232" s="14"/>
      <c r="I232" s="15" t="str">
        <f aca="false">IF($B232="","",IF(AND(G232="",H232=""),"",G232+H232))</f>
        <v/>
      </c>
      <c r="J232" s="15" t="str">
        <f aca="false">IF(OR($B232="",I232=""),"",I232-F232)</f>
        <v/>
      </c>
      <c r="K232" s="16" t="str">
        <f aca="false">IF($B232="","",IF(AND(G232="",H232=""),"Not Counted",IF(OR(G232="",H232=""),"Partially Counted",IF(J232=0,"Match",IF(J232&gt;0,"Overage","Shortage")))))</f>
        <v/>
      </c>
      <c r="L232" s="16" t="str">
        <f aca="false">IF($B232="","",IF(AND(L232&lt;&gt;"",L232&lt;&gt;0),L232,$B$4))</f>
        <v/>
      </c>
      <c r="M232" s="13"/>
      <c r="N232" s="13"/>
      <c r="O232" s="13"/>
    </row>
    <row r="233" customFormat="false" ht="15" hidden="false" customHeight="false" outlineLevel="0" collapsed="false">
      <c r="A233" s="11" t="str">
        <f aca="true">IF($B233="","",IF(AND(A233&lt;&gt;"",A233&lt;&gt;0),A233,TODAY()))</f>
        <v/>
      </c>
      <c r="B233" s="12"/>
      <c r="C233" s="13"/>
      <c r="D233" s="13"/>
      <c r="E233" s="13"/>
      <c r="F233" s="14"/>
      <c r="G233" s="14"/>
      <c r="H233" s="14"/>
      <c r="I233" s="15" t="str">
        <f aca="false">IF($B233="","",IF(AND(G233="",H233=""),"",G233+H233))</f>
        <v/>
      </c>
      <c r="J233" s="15" t="str">
        <f aca="false">IF(OR($B233="",I233=""),"",I233-F233)</f>
        <v/>
      </c>
      <c r="K233" s="16" t="str">
        <f aca="false">IF($B233="","",IF(AND(G233="",H233=""),"Not Counted",IF(OR(G233="",H233=""),"Partially Counted",IF(J233=0,"Match",IF(J233&gt;0,"Overage","Shortage")))))</f>
        <v/>
      </c>
      <c r="L233" s="16" t="str">
        <f aca="false">IF($B233="","",IF(AND(L233&lt;&gt;"",L233&lt;&gt;0),L233,$B$4))</f>
        <v/>
      </c>
      <c r="M233" s="13"/>
      <c r="N233" s="13"/>
      <c r="O233" s="13"/>
    </row>
    <row r="234" customFormat="false" ht="15" hidden="false" customHeight="false" outlineLevel="0" collapsed="false">
      <c r="A234" s="11" t="str">
        <f aca="true">IF($B234="","",IF(AND(A234&lt;&gt;"",A234&lt;&gt;0),A234,TODAY()))</f>
        <v/>
      </c>
      <c r="B234" s="12"/>
      <c r="C234" s="13"/>
      <c r="D234" s="13"/>
      <c r="E234" s="13"/>
      <c r="F234" s="14"/>
      <c r="G234" s="14"/>
      <c r="H234" s="14"/>
      <c r="I234" s="15" t="str">
        <f aca="false">IF($B234="","",IF(AND(G234="",H234=""),"",G234+H234))</f>
        <v/>
      </c>
      <c r="J234" s="15" t="str">
        <f aca="false">IF(OR($B234="",I234=""),"",I234-F234)</f>
        <v/>
      </c>
      <c r="K234" s="16" t="str">
        <f aca="false">IF($B234="","",IF(AND(G234="",H234=""),"Not Counted",IF(OR(G234="",H234=""),"Partially Counted",IF(J234=0,"Match",IF(J234&gt;0,"Overage","Shortage")))))</f>
        <v/>
      </c>
      <c r="L234" s="16" t="str">
        <f aca="false">IF($B234="","",IF(AND(L234&lt;&gt;"",L234&lt;&gt;0),L234,$B$4))</f>
        <v/>
      </c>
      <c r="M234" s="13"/>
      <c r="N234" s="13"/>
      <c r="O234" s="13"/>
    </row>
    <row r="235" customFormat="false" ht="15" hidden="false" customHeight="false" outlineLevel="0" collapsed="false">
      <c r="A235" s="11" t="str">
        <f aca="true">IF($B235="","",IF(AND(A235&lt;&gt;"",A235&lt;&gt;0),A235,TODAY()))</f>
        <v/>
      </c>
      <c r="B235" s="12"/>
      <c r="C235" s="13"/>
      <c r="D235" s="13"/>
      <c r="E235" s="13"/>
      <c r="F235" s="14"/>
      <c r="G235" s="14"/>
      <c r="H235" s="14"/>
      <c r="I235" s="15" t="str">
        <f aca="false">IF($B235="","",IF(AND(G235="",H235=""),"",G235+H235))</f>
        <v/>
      </c>
      <c r="J235" s="15" t="str">
        <f aca="false">IF(OR($B235="",I235=""),"",I235-F235)</f>
        <v/>
      </c>
      <c r="K235" s="16" t="str">
        <f aca="false">IF($B235="","",IF(AND(G235="",H235=""),"Not Counted",IF(OR(G235="",H235=""),"Partially Counted",IF(J235=0,"Match",IF(J235&gt;0,"Overage","Shortage")))))</f>
        <v/>
      </c>
      <c r="L235" s="16" t="str">
        <f aca="false">IF($B235="","",IF(AND(L235&lt;&gt;"",L235&lt;&gt;0),L235,$B$4))</f>
        <v/>
      </c>
      <c r="M235" s="13"/>
      <c r="N235" s="13"/>
      <c r="O235" s="13"/>
    </row>
    <row r="236" customFormat="false" ht="15" hidden="false" customHeight="false" outlineLevel="0" collapsed="false">
      <c r="A236" s="11" t="str">
        <f aca="true">IF($B236="","",IF(AND(A236&lt;&gt;"",A236&lt;&gt;0),A236,TODAY()))</f>
        <v/>
      </c>
      <c r="B236" s="12"/>
      <c r="C236" s="13"/>
      <c r="D236" s="13"/>
      <c r="E236" s="13"/>
      <c r="F236" s="14"/>
      <c r="G236" s="14"/>
      <c r="H236" s="14"/>
      <c r="I236" s="15" t="str">
        <f aca="false">IF($B236="","",IF(AND(G236="",H236=""),"",G236+H236))</f>
        <v/>
      </c>
      <c r="J236" s="15" t="str">
        <f aca="false">IF(OR($B236="",I236=""),"",I236-F236)</f>
        <v/>
      </c>
      <c r="K236" s="16" t="str">
        <f aca="false">IF($B236="","",IF(AND(G236="",H236=""),"Not Counted",IF(OR(G236="",H236=""),"Partially Counted",IF(J236=0,"Match",IF(J236&gt;0,"Overage","Shortage")))))</f>
        <v/>
      </c>
      <c r="L236" s="16" t="str">
        <f aca="false">IF($B236="","",IF(AND(L236&lt;&gt;"",L236&lt;&gt;0),L236,$B$4))</f>
        <v/>
      </c>
      <c r="M236" s="13"/>
      <c r="N236" s="13"/>
      <c r="O236" s="13"/>
    </row>
    <row r="237" customFormat="false" ht="15" hidden="false" customHeight="false" outlineLevel="0" collapsed="false">
      <c r="A237" s="11" t="str">
        <f aca="true">IF($B237="","",IF(AND(A237&lt;&gt;"",A237&lt;&gt;0),A237,TODAY()))</f>
        <v/>
      </c>
      <c r="B237" s="12"/>
      <c r="C237" s="13"/>
      <c r="D237" s="13"/>
      <c r="E237" s="13"/>
      <c r="F237" s="14"/>
      <c r="G237" s="14"/>
      <c r="H237" s="14"/>
      <c r="I237" s="15" t="str">
        <f aca="false">IF($B237="","",IF(AND(G237="",H237=""),"",G237+H237))</f>
        <v/>
      </c>
      <c r="J237" s="15" t="str">
        <f aca="false">IF(OR($B237="",I237=""),"",I237-F237)</f>
        <v/>
      </c>
      <c r="K237" s="16" t="str">
        <f aca="false">IF($B237="","",IF(AND(G237="",H237=""),"Not Counted",IF(OR(G237="",H237=""),"Partially Counted",IF(J237=0,"Match",IF(J237&gt;0,"Overage","Shortage")))))</f>
        <v/>
      </c>
      <c r="L237" s="16" t="str">
        <f aca="false">IF($B237="","",IF(AND(L237&lt;&gt;"",L237&lt;&gt;0),L237,$B$4))</f>
        <v/>
      </c>
      <c r="M237" s="13"/>
      <c r="N237" s="13"/>
      <c r="O237" s="13"/>
    </row>
    <row r="238" customFormat="false" ht="15" hidden="false" customHeight="false" outlineLevel="0" collapsed="false">
      <c r="A238" s="11" t="str">
        <f aca="true">IF($B238="","",IF(AND(A238&lt;&gt;"",A238&lt;&gt;0),A238,TODAY()))</f>
        <v/>
      </c>
      <c r="B238" s="12"/>
      <c r="C238" s="13"/>
      <c r="D238" s="13"/>
      <c r="E238" s="13"/>
      <c r="F238" s="14"/>
      <c r="G238" s="14"/>
      <c r="H238" s="14"/>
      <c r="I238" s="15" t="str">
        <f aca="false">IF($B238="","",IF(AND(G238="",H238=""),"",G238+H238))</f>
        <v/>
      </c>
      <c r="J238" s="15" t="str">
        <f aca="false">IF(OR($B238="",I238=""),"",I238-F238)</f>
        <v/>
      </c>
      <c r="K238" s="16" t="str">
        <f aca="false">IF($B238="","",IF(AND(G238="",H238=""),"Not Counted",IF(OR(G238="",H238=""),"Partially Counted",IF(J238=0,"Match",IF(J238&gt;0,"Overage","Shortage")))))</f>
        <v/>
      </c>
      <c r="L238" s="16" t="str">
        <f aca="false">IF($B238="","",IF(AND(L238&lt;&gt;"",L238&lt;&gt;0),L238,$B$4))</f>
        <v/>
      </c>
      <c r="M238" s="13"/>
      <c r="N238" s="13"/>
      <c r="O238" s="13"/>
    </row>
    <row r="239" customFormat="false" ht="15" hidden="false" customHeight="false" outlineLevel="0" collapsed="false">
      <c r="A239" s="11" t="str">
        <f aca="true">IF($B239="","",IF(AND(A239&lt;&gt;"",A239&lt;&gt;0),A239,TODAY()))</f>
        <v/>
      </c>
      <c r="B239" s="12"/>
      <c r="C239" s="13"/>
      <c r="D239" s="13"/>
      <c r="E239" s="13"/>
      <c r="F239" s="14"/>
      <c r="G239" s="14"/>
      <c r="H239" s="14"/>
      <c r="I239" s="15" t="str">
        <f aca="false">IF($B239="","",IF(AND(G239="",H239=""),"",G239+H239))</f>
        <v/>
      </c>
      <c r="J239" s="15" t="str">
        <f aca="false">IF(OR($B239="",I239=""),"",I239-F239)</f>
        <v/>
      </c>
      <c r="K239" s="16" t="str">
        <f aca="false">IF($B239="","",IF(AND(G239="",H239=""),"Not Counted",IF(OR(G239="",H239=""),"Partially Counted",IF(J239=0,"Match",IF(J239&gt;0,"Overage","Shortage")))))</f>
        <v/>
      </c>
      <c r="L239" s="16" t="str">
        <f aca="false">IF($B239="","",IF(AND(L239&lt;&gt;"",L239&lt;&gt;0),L239,$B$4))</f>
        <v/>
      </c>
      <c r="M239" s="13"/>
      <c r="N239" s="13"/>
      <c r="O239" s="13"/>
    </row>
    <row r="240" customFormat="false" ht="15" hidden="false" customHeight="false" outlineLevel="0" collapsed="false">
      <c r="A240" s="11" t="str">
        <f aca="true">IF($B240="","",IF(AND(A240&lt;&gt;"",A240&lt;&gt;0),A240,TODAY()))</f>
        <v/>
      </c>
      <c r="B240" s="12"/>
      <c r="C240" s="13"/>
      <c r="D240" s="13"/>
      <c r="E240" s="13"/>
      <c r="F240" s="14"/>
      <c r="G240" s="14"/>
      <c r="H240" s="14"/>
      <c r="I240" s="15" t="str">
        <f aca="false">IF($B240="","",IF(AND(G240="",H240=""),"",G240+H240))</f>
        <v/>
      </c>
      <c r="J240" s="15" t="str">
        <f aca="false">IF(OR($B240="",I240=""),"",I240-F240)</f>
        <v/>
      </c>
      <c r="K240" s="16" t="str">
        <f aca="false">IF($B240="","",IF(AND(G240="",H240=""),"Not Counted",IF(OR(G240="",H240=""),"Partially Counted",IF(J240=0,"Match",IF(J240&gt;0,"Overage","Shortage")))))</f>
        <v/>
      </c>
      <c r="L240" s="16" t="str">
        <f aca="false">IF($B240="","",IF(AND(L240&lt;&gt;"",L240&lt;&gt;0),L240,$B$4))</f>
        <v/>
      </c>
      <c r="M240" s="13"/>
      <c r="N240" s="13"/>
      <c r="O240" s="13"/>
    </row>
    <row r="241" customFormat="false" ht="15" hidden="false" customHeight="false" outlineLevel="0" collapsed="false">
      <c r="A241" s="11" t="str">
        <f aca="true">IF($B241="","",IF(AND(A241&lt;&gt;"",A241&lt;&gt;0),A241,TODAY()))</f>
        <v/>
      </c>
      <c r="B241" s="12"/>
      <c r="C241" s="13"/>
      <c r="D241" s="13"/>
      <c r="E241" s="13"/>
      <c r="F241" s="14"/>
      <c r="G241" s="14"/>
      <c r="H241" s="14"/>
      <c r="I241" s="15" t="str">
        <f aca="false">IF($B241="","",IF(AND(G241="",H241=""),"",G241+H241))</f>
        <v/>
      </c>
      <c r="J241" s="15" t="str">
        <f aca="false">IF(OR($B241="",I241=""),"",I241-F241)</f>
        <v/>
      </c>
      <c r="K241" s="16" t="str">
        <f aca="false">IF($B241="","",IF(AND(G241="",H241=""),"Not Counted",IF(OR(G241="",H241=""),"Partially Counted",IF(J241=0,"Match",IF(J241&gt;0,"Overage","Shortage")))))</f>
        <v/>
      </c>
      <c r="L241" s="16" t="str">
        <f aca="false">IF($B241="","",IF(AND(L241&lt;&gt;"",L241&lt;&gt;0),L241,$B$4))</f>
        <v/>
      </c>
      <c r="M241" s="13"/>
      <c r="N241" s="13"/>
      <c r="O241" s="13"/>
    </row>
    <row r="242" customFormat="false" ht="15" hidden="false" customHeight="false" outlineLevel="0" collapsed="false">
      <c r="A242" s="11" t="str">
        <f aca="true">IF($B242="","",IF(AND(A242&lt;&gt;"",A242&lt;&gt;0),A242,TODAY()))</f>
        <v/>
      </c>
      <c r="B242" s="12"/>
      <c r="C242" s="13"/>
      <c r="D242" s="13"/>
      <c r="E242" s="13"/>
      <c r="F242" s="14"/>
      <c r="G242" s="14"/>
      <c r="H242" s="14"/>
      <c r="I242" s="15" t="str">
        <f aca="false">IF($B242="","",IF(AND(G242="",H242=""),"",G242+H242))</f>
        <v/>
      </c>
      <c r="J242" s="15" t="str">
        <f aca="false">IF(OR($B242="",I242=""),"",I242-F242)</f>
        <v/>
      </c>
      <c r="K242" s="16" t="str">
        <f aca="false">IF($B242="","",IF(AND(G242="",H242=""),"Not Counted",IF(OR(G242="",H242=""),"Partially Counted",IF(J242=0,"Match",IF(J242&gt;0,"Overage","Shortage")))))</f>
        <v/>
      </c>
      <c r="L242" s="16" t="str">
        <f aca="false">IF($B242="","",IF(AND(L242&lt;&gt;"",L242&lt;&gt;0),L242,$B$4))</f>
        <v/>
      </c>
      <c r="M242" s="13"/>
      <c r="N242" s="13"/>
      <c r="O242" s="13"/>
    </row>
    <row r="243" customFormat="false" ht="15" hidden="false" customHeight="false" outlineLevel="0" collapsed="false">
      <c r="A243" s="11" t="str">
        <f aca="true">IF($B243="","",IF(AND(A243&lt;&gt;"",A243&lt;&gt;0),A243,TODAY()))</f>
        <v/>
      </c>
      <c r="B243" s="12"/>
      <c r="C243" s="13"/>
      <c r="D243" s="13"/>
      <c r="E243" s="13"/>
      <c r="F243" s="14"/>
      <c r="G243" s="14"/>
      <c r="H243" s="14"/>
      <c r="I243" s="15" t="str">
        <f aca="false">IF($B243="","",IF(AND(G243="",H243=""),"",G243+H243))</f>
        <v/>
      </c>
      <c r="J243" s="15" t="str">
        <f aca="false">IF(OR($B243="",I243=""),"",I243-F243)</f>
        <v/>
      </c>
      <c r="K243" s="16" t="str">
        <f aca="false">IF($B243="","",IF(AND(G243="",H243=""),"Not Counted",IF(OR(G243="",H243=""),"Partially Counted",IF(J243=0,"Match",IF(J243&gt;0,"Overage","Shortage")))))</f>
        <v/>
      </c>
      <c r="L243" s="16" t="str">
        <f aca="false">IF($B243="","",IF(AND(L243&lt;&gt;"",L243&lt;&gt;0),L243,$B$4))</f>
        <v/>
      </c>
      <c r="M243" s="13"/>
      <c r="N243" s="13"/>
      <c r="O243" s="13"/>
    </row>
    <row r="244" customFormat="false" ht="15" hidden="false" customHeight="false" outlineLevel="0" collapsed="false">
      <c r="A244" s="11" t="str">
        <f aca="true">IF($B244="","",IF(AND(A244&lt;&gt;"",A244&lt;&gt;0),A244,TODAY()))</f>
        <v/>
      </c>
      <c r="B244" s="12"/>
      <c r="C244" s="13"/>
      <c r="D244" s="13"/>
      <c r="E244" s="13"/>
      <c r="F244" s="14"/>
      <c r="G244" s="14"/>
      <c r="H244" s="14"/>
      <c r="I244" s="15" t="str">
        <f aca="false">IF($B244="","",IF(AND(G244="",H244=""),"",G244+H244))</f>
        <v/>
      </c>
      <c r="J244" s="15" t="str">
        <f aca="false">IF(OR($B244="",I244=""),"",I244-F244)</f>
        <v/>
      </c>
      <c r="K244" s="16" t="str">
        <f aca="false">IF($B244="","",IF(AND(G244="",H244=""),"Not Counted",IF(OR(G244="",H244=""),"Partially Counted",IF(J244=0,"Match",IF(J244&gt;0,"Overage","Shortage")))))</f>
        <v/>
      </c>
      <c r="L244" s="16" t="str">
        <f aca="false">IF($B244="","",IF(AND(L244&lt;&gt;"",L244&lt;&gt;0),L244,$B$4))</f>
        <v/>
      </c>
      <c r="M244" s="13"/>
      <c r="N244" s="13"/>
      <c r="O244" s="13"/>
    </row>
    <row r="245" customFormat="false" ht="15" hidden="false" customHeight="false" outlineLevel="0" collapsed="false">
      <c r="A245" s="11" t="str">
        <f aca="true">IF($B245="","",IF(AND(A245&lt;&gt;"",A245&lt;&gt;0),A245,TODAY()))</f>
        <v/>
      </c>
      <c r="B245" s="12"/>
      <c r="C245" s="13"/>
      <c r="D245" s="13"/>
      <c r="E245" s="13"/>
      <c r="F245" s="14"/>
      <c r="G245" s="14"/>
      <c r="H245" s="14"/>
      <c r="I245" s="15" t="str">
        <f aca="false">IF($B245="","",IF(AND(G245="",H245=""),"",G245+H245))</f>
        <v/>
      </c>
      <c r="J245" s="15" t="str">
        <f aca="false">IF(OR($B245="",I245=""),"",I245-F245)</f>
        <v/>
      </c>
      <c r="K245" s="16" t="str">
        <f aca="false">IF($B245="","",IF(AND(G245="",H245=""),"Not Counted",IF(OR(G245="",H245=""),"Partially Counted",IF(J245=0,"Match",IF(J245&gt;0,"Overage","Shortage")))))</f>
        <v/>
      </c>
      <c r="L245" s="16" t="str">
        <f aca="false">IF($B245="","",IF(AND(L245&lt;&gt;"",L245&lt;&gt;0),L245,$B$4))</f>
        <v/>
      </c>
      <c r="M245" s="13"/>
      <c r="N245" s="13"/>
      <c r="O245" s="13"/>
    </row>
    <row r="246" customFormat="false" ht="15" hidden="false" customHeight="false" outlineLevel="0" collapsed="false">
      <c r="A246" s="11" t="str">
        <f aca="true">IF($B246="","",IF(AND(A246&lt;&gt;"",A246&lt;&gt;0),A246,TODAY()))</f>
        <v/>
      </c>
      <c r="B246" s="12"/>
      <c r="C246" s="13"/>
      <c r="D246" s="13"/>
      <c r="E246" s="13"/>
      <c r="F246" s="14"/>
      <c r="G246" s="14"/>
      <c r="H246" s="14"/>
      <c r="I246" s="15" t="str">
        <f aca="false">IF($B246="","",IF(AND(G246="",H246=""),"",G246+H246))</f>
        <v/>
      </c>
      <c r="J246" s="15" t="str">
        <f aca="false">IF(OR($B246="",I246=""),"",I246-F246)</f>
        <v/>
      </c>
      <c r="K246" s="16" t="str">
        <f aca="false">IF($B246="","",IF(AND(G246="",H246=""),"Not Counted",IF(OR(G246="",H246=""),"Partially Counted",IF(J246=0,"Match",IF(J246&gt;0,"Overage","Shortage")))))</f>
        <v/>
      </c>
      <c r="L246" s="16" t="str">
        <f aca="false">IF($B246="","",IF(AND(L246&lt;&gt;"",L246&lt;&gt;0),L246,$B$4))</f>
        <v/>
      </c>
      <c r="M246" s="13"/>
      <c r="N246" s="13"/>
      <c r="O246" s="13"/>
    </row>
    <row r="247" customFormat="false" ht="15" hidden="false" customHeight="false" outlineLevel="0" collapsed="false">
      <c r="A247" s="11" t="str">
        <f aca="true">IF($B247="","",IF(AND(A247&lt;&gt;"",A247&lt;&gt;0),A247,TODAY()))</f>
        <v/>
      </c>
      <c r="B247" s="12"/>
      <c r="C247" s="13"/>
      <c r="D247" s="13"/>
      <c r="E247" s="13"/>
      <c r="F247" s="14"/>
      <c r="G247" s="14"/>
      <c r="H247" s="14"/>
      <c r="I247" s="15" t="str">
        <f aca="false">IF($B247="","",IF(AND(G247="",H247=""),"",G247+H247))</f>
        <v/>
      </c>
      <c r="J247" s="15" t="str">
        <f aca="false">IF(OR($B247="",I247=""),"",I247-F247)</f>
        <v/>
      </c>
      <c r="K247" s="16" t="str">
        <f aca="false">IF($B247="","",IF(AND(G247="",H247=""),"Not Counted",IF(OR(G247="",H247=""),"Partially Counted",IF(J247=0,"Match",IF(J247&gt;0,"Overage","Shortage")))))</f>
        <v/>
      </c>
      <c r="L247" s="16" t="str">
        <f aca="false">IF($B247="","",IF(AND(L247&lt;&gt;"",L247&lt;&gt;0),L247,$B$4))</f>
        <v/>
      </c>
      <c r="M247" s="13"/>
      <c r="N247" s="13"/>
      <c r="O247" s="13"/>
    </row>
    <row r="248" customFormat="false" ht="15" hidden="false" customHeight="false" outlineLevel="0" collapsed="false">
      <c r="A248" s="11" t="str">
        <f aca="true">IF($B248="","",IF(AND(A248&lt;&gt;"",A248&lt;&gt;0),A248,TODAY()))</f>
        <v/>
      </c>
      <c r="B248" s="12"/>
      <c r="C248" s="13"/>
      <c r="D248" s="13"/>
      <c r="E248" s="13"/>
      <c r="F248" s="14"/>
      <c r="G248" s="14"/>
      <c r="H248" s="14"/>
      <c r="I248" s="15" t="str">
        <f aca="false">IF($B248="","",IF(AND(G248="",H248=""),"",G248+H248))</f>
        <v/>
      </c>
      <c r="J248" s="15" t="str">
        <f aca="false">IF(OR($B248="",I248=""),"",I248-F248)</f>
        <v/>
      </c>
      <c r="K248" s="16" t="str">
        <f aca="false">IF($B248="","",IF(AND(G248="",H248=""),"Not Counted",IF(OR(G248="",H248=""),"Partially Counted",IF(J248=0,"Match",IF(J248&gt;0,"Overage","Shortage")))))</f>
        <v/>
      </c>
      <c r="L248" s="16" t="str">
        <f aca="false">IF($B248="","",IF(AND(L248&lt;&gt;"",L248&lt;&gt;0),L248,$B$4))</f>
        <v/>
      </c>
      <c r="M248" s="13"/>
      <c r="N248" s="13"/>
      <c r="O248" s="13"/>
    </row>
    <row r="249" customFormat="false" ht="15" hidden="false" customHeight="false" outlineLevel="0" collapsed="false">
      <c r="A249" s="11" t="str">
        <f aca="true">IF($B249="","",IF(AND(A249&lt;&gt;"",A249&lt;&gt;0),A249,TODAY()))</f>
        <v/>
      </c>
      <c r="B249" s="12"/>
      <c r="C249" s="13"/>
      <c r="D249" s="13"/>
      <c r="E249" s="13"/>
      <c r="F249" s="14"/>
      <c r="G249" s="14"/>
      <c r="H249" s="14"/>
      <c r="I249" s="15" t="str">
        <f aca="false">IF($B249="","",IF(AND(G249="",H249=""),"",G249+H249))</f>
        <v/>
      </c>
      <c r="J249" s="15" t="str">
        <f aca="false">IF(OR($B249="",I249=""),"",I249-F249)</f>
        <v/>
      </c>
      <c r="K249" s="16" t="str">
        <f aca="false">IF($B249="","",IF(AND(G249="",H249=""),"Not Counted",IF(OR(G249="",H249=""),"Partially Counted",IF(J249=0,"Match",IF(J249&gt;0,"Overage","Shortage")))))</f>
        <v/>
      </c>
      <c r="L249" s="16" t="str">
        <f aca="false">IF($B249="","",IF(AND(L249&lt;&gt;"",L249&lt;&gt;0),L249,$B$4))</f>
        <v/>
      </c>
      <c r="M249" s="13"/>
      <c r="N249" s="13"/>
      <c r="O249" s="13"/>
    </row>
    <row r="250" customFormat="false" ht="15" hidden="false" customHeight="false" outlineLevel="0" collapsed="false">
      <c r="A250" s="11" t="str">
        <f aca="true">IF($B250="","",IF(AND(A250&lt;&gt;"",A250&lt;&gt;0),A250,TODAY()))</f>
        <v/>
      </c>
      <c r="B250" s="12"/>
      <c r="C250" s="13"/>
      <c r="D250" s="13"/>
      <c r="E250" s="13"/>
      <c r="F250" s="14"/>
      <c r="G250" s="14"/>
      <c r="H250" s="14"/>
      <c r="I250" s="15" t="str">
        <f aca="false">IF($B250="","",IF(AND(G250="",H250=""),"",G250+H250))</f>
        <v/>
      </c>
      <c r="J250" s="15" t="str">
        <f aca="false">IF(OR($B250="",I250=""),"",I250-F250)</f>
        <v/>
      </c>
      <c r="K250" s="16" t="str">
        <f aca="false">IF($B250="","",IF(AND(G250="",H250=""),"Not Counted",IF(OR(G250="",H250=""),"Partially Counted",IF(J250=0,"Match",IF(J250&gt;0,"Overage","Shortage")))))</f>
        <v/>
      </c>
      <c r="L250" s="16" t="str">
        <f aca="false">IF($B250="","",IF(AND(L250&lt;&gt;"",L250&lt;&gt;0),L250,$B$4))</f>
        <v/>
      </c>
      <c r="M250" s="13"/>
      <c r="N250" s="13"/>
      <c r="O250" s="13"/>
    </row>
    <row r="251" customFormat="false" ht="15" hidden="false" customHeight="false" outlineLevel="0" collapsed="false">
      <c r="A251" s="11" t="str">
        <f aca="true">IF($B251="","",IF(AND(A251&lt;&gt;"",A251&lt;&gt;0),A251,TODAY()))</f>
        <v/>
      </c>
      <c r="B251" s="12"/>
      <c r="C251" s="13"/>
      <c r="D251" s="13"/>
      <c r="E251" s="13"/>
      <c r="F251" s="14"/>
      <c r="G251" s="14"/>
      <c r="H251" s="14"/>
      <c r="I251" s="15" t="str">
        <f aca="false">IF($B251="","",IF(AND(G251="",H251=""),"",G251+H251))</f>
        <v/>
      </c>
      <c r="J251" s="15" t="str">
        <f aca="false">IF(OR($B251="",I251=""),"",I251-F251)</f>
        <v/>
      </c>
      <c r="K251" s="16" t="str">
        <f aca="false">IF($B251="","",IF(AND(G251="",H251=""),"Not Counted",IF(OR(G251="",H251=""),"Partially Counted",IF(J251=0,"Match",IF(J251&gt;0,"Overage","Shortage")))))</f>
        <v/>
      </c>
      <c r="L251" s="16" t="str">
        <f aca="false">IF($B251="","",IF(AND(L251&lt;&gt;"",L251&lt;&gt;0),L251,$B$4))</f>
        <v/>
      </c>
      <c r="M251" s="13"/>
      <c r="N251" s="13"/>
      <c r="O251" s="13"/>
    </row>
    <row r="252" customFormat="false" ht="15" hidden="false" customHeight="false" outlineLevel="0" collapsed="false">
      <c r="A252" s="11" t="str">
        <f aca="true">IF($B252="","",IF(AND(A252&lt;&gt;"",A252&lt;&gt;0),A252,TODAY()))</f>
        <v/>
      </c>
      <c r="B252" s="12"/>
      <c r="C252" s="13"/>
      <c r="D252" s="13"/>
      <c r="E252" s="13"/>
      <c r="F252" s="14"/>
      <c r="G252" s="14"/>
      <c r="H252" s="14"/>
      <c r="I252" s="15" t="str">
        <f aca="false">IF($B252="","",IF(AND(G252="",H252=""),"",G252+H252))</f>
        <v/>
      </c>
      <c r="J252" s="15" t="str">
        <f aca="false">IF(OR($B252="",I252=""),"",I252-F252)</f>
        <v/>
      </c>
      <c r="K252" s="16" t="str">
        <f aca="false">IF($B252="","",IF(AND(G252="",H252=""),"Not Counted",IF(OR(G252="",H252=""),"Partially Counted",IF(J252=0,"Match",IF(J252&gt;0,"Overage","Shortage")))))</f>
        <v/>
      </c>
      <c r="L252" s="16" t="str">
        <f aca="false">IF($B252="","",IF(AND(L252&lt;&gt;"",L252&lt;&gt;0),L252,$B$4))</f>
        <v/>
      </c>
      <c r="M252" s="13"/>
      <c r="N252" s="13"/>
      <c r="O252" s="13"/>
    </row>
    <row r="253" customFormat="false" ht="15" hidden="false" customHeight="false" outlineLevel="0" collapsed="false">
      <c r="A253" s="11" t="str">
        <f aca="true">IF($B253="","",IF(AND(A253&lt;&gt;"",A253&lt;&gt;0),A253,TODAY()))</f>
        <v/>
      </c>
      <c r="B253" s="12"/>
      <c r="C253" s="13"/>
      <c r="D253" s="13"/>
      <c r="E253" s="13"/>
      <c r="F253" s="14"/>
      <c r="G253" s="14"/>
      <c r="H253" s="14"/>
      <c r="I253" s="15" t="str">
        <f aca="false">IF($B253="","",IF(AND(G253="",H253=""),"",G253+H253))</f>
        <v/>
      </c>
      <c r="J253" s="15" t="str">
        <f aca="false">IF(OR($B253="",I253=""),"",I253-F253)</f>
        <v/>
      </c>
      <c r="K253" s="16" t="str">
        <f aca="false">IF($B253="","",IF(AND(G253="",H253=""),"Not Counted",IF(OR(G253="",H253=""),"Partially Counted",IF(J253=0,"Match",IF(J253&gt;0,"Overage","Shortage")))))</f>
        <v/>
      </c>
      <c r="L253" s="16" t="str">
        <f aca="false">IF($B253="","",IF(AND(L253&lt;&gt;"",L253&lt;&gt;0),L253,$B$4))</f>
        <v/>
      </c>
      <c r="M253" s="13"/>
      <c r="N253" s="13"/>
      <c r="O253" s="13"/>
    </row>
    <row r="254" customFormat="false" ht="15" hidden="false" customHeight="false" outlineLevel="0" collapsed="false">
      <c r="A254" s="11" t="str">
        <f aca="true">IF($B254="","",IF(AND(A254&lt;&gt;"",A254&lt;&gt;0),A254,TODAY()))</f>
        <v/>
      </c>
      <c r="B254" s="12"/>
      <c r="C254" s="13"/>
      <c r="D254" s="13"/>
      <c r="E254" s="13"/>
      <c r="F254" s="14"/>
      <c r="G254" s="14"/>
      <c r="H254" s="14"/>
      <c r="I254" s="15" t="str">
        <f aca="false">IF($B254="","",IF(AND(G254="",H254=""),"",G254+H254))</f>
        <v/>
      </c>
      <c r="J254" s="15" t="str">
        <f aca="false">IF(OR($B254="",I254=""),"",I254-F254)</f>
        <v/>
      </c>
      <c r="K254" s="16" t="str">
        <f aca="false">IF($B254="","",IF(AND(G254="",H254=""),"Not Counted",IF(OR(G254="",H254=""),"Partially Counted",IF(J254=0,"Match",IF(J254&gt;0,"Overage","Shortage")))))</f>
        <v/>
      </c>
      <c r="L254" s="16" t="str">
        <f aca="false">IF($B254="","",IF(AND(L254&lt;&gt;"",L254&lt;&gt;0),L254,$B$4))</f>
        <v/>
      </c>
      <c r="M254" s="13"/>
      <c r="N254" s="13"/>
      <c r="O254" s="13"/>
    </row>
    <row r="255" customFormat="false" ht="15" hidden="false" customHeight="false" outlineLevel="0" collapsed="false">
      <c r="A255" s="11" t="str">
        <f aca="true">IF($B255="","",IF(AND(A255&lt;&gt;"",A255&lt;&gt;0),A255,TODAY()))</f>
        <v/>
      </c>
      <c r="B255" s="12"/>
      <c r="C255" s="13"/>
      <c r="D255" s="13"/>
      <c r="E255" s="13"/>
      <c r="F255" s="14"/>
      <c r="G255" s="14"/>
      <c r="H255" s="14"/>
      <c r="I255" s="15" t="str">
        <f aca="false">IF($B255="","",IF(AND(G255="",H255=""),"",G255+H255))</f>
        <v/>
      </c>
      <c r="J255" s="15" t="str">
        <f aca="false">IF(OR($B255="",I255=""),"",I255-F255)</f>
        <v/>
      </c>
      <c r="K255" s="16" t="str">
        <f aca="false">IF($B255="","",IF(AND(G255="",H255=""),"Not Counted",IF(OR(G255="",H255=""),"Partially Counted",IF(J255=0,"Match",IF(J255&gt;0,"Overage","Shortage")))))</f>
        <v/>
      </c>
      <c r="L255" s="16" t="str">
        <f aca="false">IF($B255="","",IF(AND(L255&lt;&gt;"",L255&lt;&gt;0),L255,$B$4))</f>
        <v/>
      </c>
      <c r="M255" s="13"/>
      <c r="N255" s="13"/>
      <c r="O255" s="13"/>
    </row>
    <row r="256" customFormat="false" ht="15" hidden="false" customHeight="false" outlineLevel="0" collapsed="false">
      <c r="A256" s="11" t="str">
        <f aca="true">IF($B256="","",IF(AND(A256&lt;&gt;"",A256&lt;&gt;0),A256,TODAY()))</f>
        <v/>
      </c>
      <c r="B256" s="12"/>
      <c r="C256" s="13"/>
      <c r="D256" s="13"/>
      <c r="E256" s="13"/>
      <c r="F256" s="14"/>
      <c r="G256" s="14"/>
      <c r="H256" s="14"/>
      <c r="I256" s="15" t="str">
        <f aca="false">IF($B256="","",IF(AND(G256="",H256=""),"",G256+H256))</f>
        <v/>
      </c>
      <c r="J256" s="15" t="str">
        <f aca="false">IF(OR($B256="",I256=""),"",I256-F256)</f>
        <v/>
      </c>
      <c r="K256" s="16" t="str">
        <f aca="false">IF($B256="","",IF(AND(G256="",H256=""),"Not Counted",IF(OR(G256="",H256=""),"Partially Counted",IF(J256=0,"Match",IF(J256&gt;0,"Overage","Shortage")))))</f>
        <v/>
      </c>
      <c r="L256" s="16" t="str">
        <f aca="false">IF($B256="","",IF(AND(L256&lt;&gt;"",L256&lt;&gt;0),L256,$B$4))</f>
        <v/>
      </c>
      <c r="M256" s="13"/>
      <c r="N256" s="13"/>
      <c r="O256" s="13"/>
    </row>
    <row r="257" customFormat="false" ht="15" hidden="false" customHeight="false" outlineLevel="0" collapsed="false">
      <c r="A257" s="11" t="str">
        <f aca="true">IF($B257="","",IF(AND(A257&lt;&gt;"",A257&lt;&gt;0),A257,TODAY()))</f>
        <v/>
      </c>
      <c r="B257" s="12"/>
      <c r="C257" s="13"/>
      <c r="D257" s="13"/>
      <c r="E257" s="13"/>
      <c r="F257" s="14"/>
      <c r="G257" s="14"/>
      <c r="H257" s="14"/>
      <c r="I257" s="15" t="str">
        <f aca="false">IF($B257="","",IF(AND(G257="",H257=""),"",G257+H257))</f>
        <v/>
      </c>
      <c r="J257" s="15" t="str">
        <f aca="false">IF(OR($B257="",I257=""),"",I257-F257)</f>
        <v/>
      </c>
      <c r="K257" s="16" t="str">
        <f aca="false">IF($B257="","",IF(AND(G257="",H257=""),"Not Counted",IF(OR(G257="",H257=""),"Partially Counted",IF(J257=0,"Match",IF(J257&gt;0,"Overage","Shortage")))))</f>
        <v/>
      </c>
      <c r="L257" s="16" t="str">
        <f aca="false">IF($B257="","",IF(AND(L257&lt;&gt;"",L257&lt;&gt;0),L257,$B$4))</f>
        <v/>
      </c>
      <c r="M257" s="13"/>
      <c r="N257" s="13"/>
      <c r="O257" s="13"/>
    </row>
    <row r="258" customFormat="false" ht="15" hidden="false" customHeight="false" outlineLevel="0" collapsed="false">
      <c r="A258" s="11" t="str">
        <f aca="true">IF($B258="","",IF(AND(A258&lt;&gt;"",A258&lt;&gt;0),A258,TODAY()))</f>
        <v/>
      </c>
      <c r="B258" s="12"/>
      <c r="C258" s="13"/>
      <c r="D258" s="13"/>
      <c r="E258" s="13"/>
      <c r="F258" s="14"/>
      <c r="G258" s="14"/>
      <c r="H258" s="14"/>
      <c r="I258" s="15" t="str">
        <f aca="false">IF($B258="","",IF(AND(G258="",H258=""),"",G258+H258))</f>
        <v/>
      </c>
      <c r="J258" s="15" t="str">
        <f aca="false">IF(OR($B258="",I258=""),"",I258-F258)</f>
        <v/>
      </c>
      <c r="K258" s="16" t="str">
        <f aca="false">IF($B258="","",IF(AND(G258="",H258=""),"Not Counted",IF(OR(G258="",H258=""),"Partially Counted",IF(J258=0,"Match",IF(J258&gt;0,"Overage","Shortage")))))</f>
        <v/>
      </c>
      <c r="L258" s="16" t="str">
        <f aca="false">IF($B258="","",IF(AND(L258&lt;&gt;"",L258&lt;&gt;0),L258,$B$4))</f>
        <v/>
      </c>
      <c r="M258" s="13"/>
      <c r="N258" s="13"/>
      <c r="O258" s="13"/>
    </row>
    <row r="259" customFormat="false" ht="15" hidden="false" customHeight="false" outlineLevel="0" collapsed="false">
      <c r="A259" s="11" t="str">
        <f aca="true">IF($B259="","",IF(AND(A259&lt;&gt;"",A259&lt;&gt;0),A259,TODAY()))</f>
        <v/>
      </c>
      <c r="B259" s="12"/>
      <c r="C259" s="13"/>
      <c r="D259" s="13"/>
      <c r="E259" s="13"/>
      <c r="F259" s="14"/>
      <c r="G259" s="14"/>
      <c r="H259" s="14"/>
      <c r="I259" s="15" t="str">
        <f aca="false">IF($B259="","",IF(AND(G259="",H259=""),"",G259+H259))</f>
        <v/>
      </c>
      <c r="J259" s="15" t="str">
        <f aca="false">IF(OR($B259="",I259=""),"",I259-F259)</f>
        <v/>
      </c>
      <c r="K259" s="16" t="str">
        <f aca="false">IF($B259="","",IF(AND(G259="",H259=""),"Not Counted",IF(OR(G259="",H259=""),"Partially Counted",IF(J259=0,"Match",IF(J259&gt;0,"Overage","Shortage")))))</f>
        <v/>
      </c>
      <c r="L259" s="16" t="str">
        <f aca="false">IF($B259="","",IF(AND(L259&lt;&gt;"",L259&lt;&gt;0),L259,$B$4))</f>
        <v/>
      </c>
      <c r="M259" s="13"/>
      <c r="N259" s="13"/>
      <c r="O259" s="13"/>
    </row>
    <row r="260" customFormat="false" ht="15" hidden="false" customHeight="false" outlineLevel="0" collapsed="false">
      <c r="A260" s="11" t="str">
        <f aca="true">IF($B260="","",IF(AND(A260&lt;&gt;"",A260&lt;&gt;0),A260,TODAY()))</f>
        <v/>
      </c>
      <c r="B260" s="12"/>
      <c r="C260" s="13"/>
      <c r="D260" s="13"/>
      <c r="E260" s="13"/>
      <c r="F260" s="14"/>
      <c r="G260" s="14"/>
      <c r="H260" s="14"/>
      <c r="I260" s="15" t="str">
        <f aca="false">IF($B260="","",IF(AND(G260="",H260=""),"",G260+H260))</f>
        <v/>
      </c>
      <c r="J260" s="15" t="str">
        <f aca="false">IF(OR($B260="",I260=""),"",I260-F260)</f>
        <v/>
      </c>
      <c r="K260" s="16" t="str">
        <f aca="false">IF($B260="","",IF(AND(G260="",H260=""),"Not Counted",IF(OR(G260="",H260=""),"Partially Counted",IF(J260=0,"Match",IF(J260&gt;0,"Overage","Shortage")))))</f>
        <v/>
      </c>
      <c r="L260" s="16" t="str">
        <f aca="false">IF($B260="","",IF(AND(L260&lt;&gt;"",L260&lt;&gt;0),L260,$B$4))</f>
        <v/>
      </c>
      <c r="M260" s="13"/>
      <c r="N260" s="13"/>
      <c r="O260" s="13"/>
    </row>
    <row r="261" customFormat="false" ht="15" hidden="false" customHeight="false" outlineLevel="0" collapsed="false">
      <c r="A261" s="11" t="str">
        <f aca="true">IF($B261="","",IF(AND(A261&lt;&gt;"",A261&lt;&gt;0),A261,TODAY()))</f>
        <v/>
      </c>
      <c r="B261" s="12"/>
      <c r="C261" s="13"/>
      <c r="D261" s="13"/>
      <c r="E261" s="13"/>
      <c r="F261" s="14"/>
      <c r="G261" s="14"/>
      <c r="H261" s="14"/>
      <c r="I261" s="15" t="str">
        <f aca="false">IF($B261="","",IF(AND(G261="",H261=""),"",G261+H261))</f>
        <v/>
      </c>
      <c r="J261" s="15" t="str">
        <f aca="false">IF(OR($B261="",I261=""),"",I261-F261)</f>
        <v/>
      </c>
      <c r="K261" s="16" t="str">
        <f aca="false">IF($B261="","",IF(AND(G261="",H261=""),"Not Counted",IF(OR(G261="",H261=""),"Partially Counted",IF(J261=0,"Match",IF(J261&gt;0,"Overage","Shortage")))))</f>
        <v/>
      </c>
      <c r="L261" s="16" t="str">
        <f aca="false">IF($B261="","",IF(AND(L261&lt;&gt;"",L261&lt;&gt;0),L261,$B$4))</f>
        <v/>
      </c>
      <c r="M261" s="13"/>
      <c r="N261" s="13"/>
      <c r="O261" s="13"/>
    </row>
    <row r="262" customFormat="false" ht="15" hidden="false" customHeight="false" outlineLevel="0" collapsed="false">
      <c r="A262" s="11" t="str">
        <f aca="true">IF($B262="","",IF(AND(A262&lt;&gt;"",A262&lt;&gt;0),A262,TODAY()))</f>
        <v/>
      </c>
      <c r="B262" s="12"/>
      <c r="C262" s="13"/>
      <c r="D262" s="13"/>
      <c r="E262" s="13"/>
      <c r="F262" s="14"/>
      <c r="G262" s="14"/>
      <c r="H262" s="14"/>
      <c r="I262" s="15" t="str">
        <f aca="false">IF($B262="","",IF(AND(G262="",H262=""),"",G262+H262))</f>
        <v/>
      </c>
      <c r="J262" s="15" t="str">
        <f aca="false">IF(OR($B262="",I262=""),"",I262-F262)</f>
        <v/>
      </c>
      <c r="K262" s="16" t="str">
        <f aca="false">IF($B262="","",IF(AND(G262="",H262=""),"Not Counted",IF(OR(G262="",H262=""),"Partially Counted",IF(J262=0,"Match",IF(J262&gt;0,"Overage","Shortage")))))</f>
        <v/>
      </c>
      <c r="L262" s="16" t="str">
        <f aca="false">IF($B262="","",IF(AND(L262&lt;&gt;"",L262&lt;&gt;0),L262,$B$4))</f>
        <v/>
      </c>
      <c r="M262" s="13"/>
      <c r="N262" s="13"/>
      <c r="O262" s="13"/>
    </row>
    <row r="263" customFormat="false" ht="15" hidden="false" customHeight="false" outlineLevel="0" collapsed="false">
      <c r="A263" s="11" t="str">
        <f aca="true">IF($B263="","",IF(AND(A263&lt;&gt;"",A263&lt;&gt;0),A263,TODAY()))</f>
        <v/>
      </c>
      <c r="B263" s="12"/>
      <c r="C263" s="13"/>
      <c r="D263" s="13"/>
      <c r="E263" s="13"/>
      <c r="F263" s="14"/>
      <c r="G263" s="14"/>
      <c r="H263" s="14"/>
      <c r="I263" s="15" t="str">
        <f aca="false">IF($B263="","",IF(AND(G263="",H263=""),"",G263+H263))</f>
        <v/>
      </c>
      <c r="J263" s="15" t="str">
        <f aca="false">IF(OR($B263="",I263=""),"",I263-F263)</f>
        <v/>
      </c>
      <c r="K263" s="16" t="str">
        <f aca="false">IF($B263="","",IF(AND(G263="",H263=""),"Not Counted",IF(OR(G263="",H263=""),"Partially Counted",IF(J263=0,"Match",IF(J263&gt;0,"Overage","Shortage")))))</f>
        <v/>
      </c>
      <c r="L263" s="16" t="str">
        <f aca="false">IF($B263="","",IF(AND(L263&lt;&gt;"",L263&lt;&gt;0),L263,$B$4))</f>
        <v/>
      </c>
      <c r="M263" s="13"/>
      <c r="N263" s="13"/>
      <c r="O263" s="13"/>
    </row>
    <row r="264" customFormat="false" ht="15" hidden="false" customHeight="false" outlineLevel="0" collapsed="false">
      <c r="A264" s="11" t="str">
        <f aca="true">IF($B264="","",IF(AND(A264&lt;&gt;"",A264&lt;&gt;0),A264,TODAY()))</f>
        <v/>
      </c>
      <c r="B264" s="12"/>
      <c r="C264" s="13"/>
      <c r="D264" s="13"/>
      <c r="E264" s="13"/>
      <c r="F264" s="14"/>
      <c r="G264" s="14"/>
      <c r="H264" s="14"/>
      <c r="I264" s="15" t="str">
        <f aca="false">IF($B264="","",IF(AND(G264="",H264=""),"",G264+H264))</f>
        <v/>
      </c>
      <c r="J264" s="15" t="str">
        <f aca="false">IF(OR($B264="",I264=""),"",I264-F264)</f>
        <v/>
      </c>
      <c r="K264" s="16" t="str">
        <f aca="false">IF($B264="","",IF(AND(G264="",H264=""),"Not Counted",IF(OR(G264="",H264=""),"Partially Counted",IF(J264=0,"Match",IF(J264&gt;0,"Overage","Shortage")))))</f>
        <v/>
      </c>
      <c r="L264" s="16" t="str">
        <f aca="false">IF($B264="","",IF(AND(L264&lt;&gt;"",L264&lt;&gt;0),L264,$B$4))</f>
        <v/>
      </c>
      <c r="M264" s="13"/>
      <c r="N264" s="13"/>
      <c r="O264" s="13"/>
    </row>
    <row r="265" customFormat="false" ht="15" hidden="false" customHeight="false" outlineLevel="0" collapsed="false">
      <c r="A265" s="11" t="str">
        <f aca="true">IF($B265="","",IF(AND(A265&lt;&gt;"",A265&lt;&gt;0),A265,TODAY()))</f>
        <v/>
      </c>
      <c r="B265" s="12"/>
      <c r="C265" s="13"/>
      <c r="D265" s="13"/>
      <c r="E265" s="13"/>
      <c r="F265" s="14"/>
      <c r="G265" s="14"/>
      <c r="H265" s="14"/>
      <c r="I265" s="15" t="str">
        <f aca="false">IF($B265="","",IF(AND(G265="",H265=""),"",G265+H265))</f>
        <v/>
      </c>
      <c r="J265" s="15" t="str">
        <f aca="false">IF(OR($B265="",I265=""),"",I265-F265)</f>
        <v/>
      </c>
      <c r="K265" s="16" t="str">
        <f aca="false">IF($B265="","",IF(AND(G265="",H265=""),"Not Counted",IF(OR(G265="",H265=""),"Partially Counted",IF(J265=0,"Match",IF(J265&gt;0,"Overage","Shortage")))))</f>
        <v/>
      </c>
      <c r="L265" s="16" t="str">
        <f aca="false">IF($B265="","",IF(AND(L265&lt;&gt;"",L265&lt;&gt;0),L265,$B$4))</f>
        <v/>
      </c>
      <c r="M265" s="13"/>
      <c r="N265" s="13"/>
      <c r="O265" s="13"/>
    </row>
    <row r="266" customFormat="false" ht="15" hidden="false" customHeight="false" outlineLevel="0" collapsed="false">
      <c r="A266" s="11" t="str">
        <f aca="true">IF($B266="","",IF(AND(A266&lt;&gt;"",A266&lt;&gt;0),A266,TODAY()))</f>
        <v/>
      </c>
      <c r="B266" s="12"/>
      <c r="C266" s="13"/>
      <c r="D266" s="13"/>
      <c r="E266" s="13"/>
      <c r="F266" s="14"/>
      <c r="G266" s="14"/>
      <c r="H266" s="14"/>
      <c r="I266" s="15" t="str">
        <f aca="false">IF($B266="","",IF(AND(G266="",H266=""),"",G266+H266))</f>
        <v/>
      </c>
      <c r="J266" s="15" t="str">
        <f aca="false">IF(OR($B266="",I266=""),"",I266-F266)</f>
        <v/>
      </c>
      <c r="K266" s="16" t="str">
        <f aca="false">IF($B266="","",IF(AND(G266="",H266=""),"Not Counted",IF(OR(G266="",H266=""),"Partially Counted",IF(J266=0,"Match",IF(J266&gt;0,"Overage","Shortage")))))</f>
        <v/>
      </c>
      <c r="L266" s="16" t="str">
        <f aca="false">IF($B266="","",IF(AND(L266&lt;&gt;"",L266&lt;&gt;0),L266,$B$4))</f>
        <v/>
      </c>
      <c r="M266" s="13"/>
      <c r="N266" s="13"/>
      <c r="O266" s="13"/>
    </row>
    <row r="267" customFormat="false" ht="15" hidden="false" customHeight="false" outlineLevel="0" collapsed="false">
      <c r="A267" s="11" t="str">
        <f aca="true">IF($B267="","",IF(AND(A267&lt;&gt;"",A267&lt;&gt;0),A267,TODAY()))</f>
        <v/>
      </c>
      <c r="B267" s="12"/>
      <c r="C267" s="13"/>
      <c r="D267" s="13"/>
      <c r="E267" s="13"/>
      <c r="F267" s="14"/>
      <c r="G267" s="14"/>
      <c r="H267" s="14"/>
      <c r="I267" s="15" t="str">
        <f aca="false">IF($B267="","",IF(AND(G267="",H267=""),"",G267+H267))</f>
        <v/>
      </c>
      <c r="J267" s="15" t="str">
        <f aca="false">IF(OR($B267="",I267=""),"",I267-F267)</f>
        <v/>
      </c>
      <c r="K267" s="16" t="str">
        <f aca="false">IF($B267="","",IF(AND(G267="",H267=""),"Not Counted",IF(OR(G267="",H267=""),"Partially Counted",IF(J267=0,"Match",IF(J267&gt;0,"Overage","Shortage")))))</f>
        <v/>
      </c>
      <c r="L267" s="16" t="str">
        <f aca="false">IF($B267="","",IF(AND(L267&lt;&gt;"",L267&lt;&gt;0),L267,$B$4))</f>
        <v/>
      </c>
      <c r="M267" s="13"/>
      <c r="N267" s="13"/>
      <c r="O267" s="13"/>
    </row>
    <row r="268" customFormat="false" ht="15" hidden="false" customHeight="false" outlineLevel="0" collapsed="false">
      <c r="A268" s="11" t="str">
        <f aca="true">IF($B268="","",IF(AND(A268&lt;&gt;"",A268&lt;&gt;0),A268,TODAY()))</f>
        <v/>
      </c>
      <c r="B268" s="12"/>
      <c r="C268" s="13"/>
      <c r="D268" s="13"/>
      <c r="E268" s="13"/>
      <c r="F268" s="14"/>
      <c r="G268" s="14"/>
      <c r="H268" s="14"/>
      <c r="I268" s="15" t="str">
        <f aca="false">IF($B268="","",IF(AND(G268="",H268=""),"",G268+H268))</f>
        <v/>
      </c>
      <c r="J268" s="15" t="str">
        <f aca="false">IF(OR($B268="",I268=""),"",I268-F268)</f>
        <v/>
      </c>
      <c r="K268" s="16" t="str">
        <f aca="false">IF($B268="","",IF(AND(G268="",H268=""),"Not Counted",IF(OR(G268="",H268=""),"Partially Counted",IF(J268=0,"Match",IF(J268&gt;0,"Overage","Shortage")))))</f>
        <v/>
      </c>
      <c r="L268" s="16" t="str">
        <f aca="false">IF($B268="","",IF(AND(L268&lt;&gt;"",L268&lt;&gt;0),L268,$B$4))</f>
        <v/>
      </c>
      <c r="M268" s="13"/>
      <c r="N268" s="13"/>
      <c r="O268" s="13"/>
    </row>
    <row r="269" customFormat="false" ht="15" hidden="false" customHeight="false" outlineLevel="0" collapsed="false">
      <c r="A269" s="11" t="str">
        <f aca="true">IF($B269="","",IF(AND(A269&lt;&gt;"",A269&lt;&gt;0),A269,TODAY()))</f>
        <v/>
      </c>
      <c r="B269" s="12"/>
      <c r="C269" s="13"/>
      <c r="D269" s="13"/>
      <c r="E269" s="13"/>
      <c r="F269" s="14"/>
      <c r="G269" s="14"/>
      <c r="H269" s="14"/>
      <c r="I269" s="15" t="str">
        <f aca="false">IF($B269="","",IF(AND(G269="",H269=""),"",G269+H269))</f>
        <v/>
      </c>
      <c r="J269" s="15" t="str">
        <f aca="false">IF(OR($B269="",I269=""),"",I269-F269)</f>
        <v/>
      </c>
      <c r="K269" s="16" t="str">
        <f aca="false">IF($B269="","",IF(AND(G269="",H269=""),"Not Counted",IF(OR(G269="",H269=""),"Partially Counted",IF(J269=0,"Match",IF(J269&gt;0,"Overage","Shortage")))))</f>
        <v/>
      </c>
      <c r="L269" s="16" t="str">
        <f aca="false">IF($B269="","",IF(AND(L269&lt;&gt;"",L269&lt;&gt;0),L269,$B$4))</f>
        <v/>
      </c>
      <c r="M269" s="13"/>
      <c r="N269" s="13"/>
      <c r="O269" s="13"/>
    </row>
    <row r="270" customFormat="false" ht="15" hidden="false" customHeight="false" outlineLevel="0" collapsed="false">
      <c r="A270" s="11" t="str">
        <f aca="true">IF($B270="","",IF(AND(A270&lt;&gt;"",A270&lt;&gt;0),A270,TODAY()))</f>
        <v/>
      </c>
      <c r="B270" s="12"/>
      <c r="C270" s="13"/>
      <c r="D270" s="13"/>
      <c r="E270" s="13"/>
      <c r="F270" s="14"/>
      <c r="G270" s="14"/>
      <c r="H270" s="14"/>
      <c r="I270" s="15" t="str">
        <f aca="false">IF($B270="","",IF(AND(G270="",H270=""),"",G270+H270))</f>
        <v/>
      </c>
      <c r="J270" s="15" t="str">
        <f aca="false">IF(OR($B270="",I270=""),"",I270-F270)</f>
        <v/>
      </c>
      <c r="K270" s="16" t="str">
        <f aca="false">IF($B270="","",IF(AND(G270="",H270=""),"Not Counted",IF(OR(G270="",H270=""),"Partially Counted",IF(J270=0,"Match",IF(J270&gt;0,"Overage","Shortage")))))</f>
        <v/>
      </c>
      <c r="L270" s="16" t="str">
        <f aca="false">IF($B270="","",IF(AND(L270&lt;&gt;"",L270&lt;&gt;0),L270,$B$4))</f>
        <v/>
      </c>
      <c r="M270" s="13"/>
      <c r="N270" s="13"/>
      <c r="O270" s="13"/>
    </row>
    <row r="271" customFormat="false" ht="15" hidden="false" customHeight="false" outlineLevel="0" collapsed="false">
      <c r="A271" s="11" t="str">
        <f aca="true">IF($B271="","",IF(AND(A271&lt;&gt;"",A271&lt;&gt;0),A271,TODAY()))</f>
        <v/>
      </c>
      <c r="B271" s="12"/>
      <c r="C271" s="13"/>
      <c r="D271" s="13"/>
      <c r="E271" s="13"/>
      <c r="F271" s="14"/>
      <c r="G271" s="14"/>
      <c r="H271" s="14"/>
      <c r="I271" s="15" t="str">
        <f aca="false">IF($B271="","",IF(AND(G271="",H271=""),"",G271+H271))</f>
        <v/>
      </c>
      <c r="J271" s="15" t="str">
        <f aca="false">IF(OR($B271="",I271=""),"",I271-F271)</f>
        <v/>
      </c>
      <c r="K271" s="16" t="str">
        <f aca="false">IF($B271="","",IF(AND(G271="",H271=""),"Not Counted",IF(OR(G271="",H271=""),"Partially Counted",IF(J271=0,"Match",IF(J271&gt;0,"Overage","Shortage")))))</f>
        <v/>
      </c>
      <c r="L271" s="16" t="str">
        <f aca="false">IF($B271="","",IF(AND(L271&lt;&gt;"",L271&lt;&gt;0),L271,$B$4))</f>
        <v/>
      </c>
      <c r="M271" s="13"/>
      <c r="N271" s="13"/>
      <c r="O271" s="13"/>
    </row>
    <row r="272" customFormat="false" ht="15" hidden="false" customHeight="false" outlineLevel="0" collapsed="false">
      <c r="A272" s="11" t="str">
        <f aca="true">IF($B272="","",IF(AND(A272&lt;&gt;"",A272&lt;&gt;0),A272,TODAY()))</f>
        <v/>
      </c>
      <c r="B272" s="12"/>
      <c r="C272" s="13"/>
      <c r="D272" s="13"/>
      <c r="E272" s="13"/>
      <c r="F272" s="14"/>
      <c r="G272" s="14"/>
      <c r="H272" s="14"/>
      <c r="I272" s="15" t="str">
        <f aca="false">IF($B272="","",IF(AND(G272="",H272=""),"",G272+H272))</f>
        <v/>
      </c>
      <c r="J272" s="15" t="str">
        <f aca="false">IF(OR($B272="",I272=""),"",I272-F272)</f>
        <v/>
      </c>
      <c r="K272" s="16" t="str">
        <f aca="false">IF($B272="","",IF(AND(G272="",H272=""),"Not Counted",IF(OR(G272="",H272=""),"Partially Counted",IF(J272=0,"Match",IF(J272&gt;0,"Overage","Shortage")))))</f>
        <v/>
      </c>
      <c r="L272" s="16" t="str">
        <f aca="false">IF($B272="","",IF(AND(L272&lt;&gt;"",L272&lt;&gt;0),L272,$B$4))</f>
        <v/>
      </c>
      <c r="M272" s="13"/>
      <c r="N272" s="13"/>
      <c r="O272" s="13"/>
    </row>
    <row r="273" customFormat="false" ht="15" hidden="false" customHeight="false" outlineLevel="0" collapsed="false">
      <c r="A273" s="11" t="str">
        <f aca="true">IF($B273="","",IF(AND(A273&lt;&gt;"",A273&lt;&gt;0),A273,TODAY()))</f>
        <v/>
      </c>
      <c r="B273" s="12"/>
      <c r="C273" s="13"/>
      <c r="D273" s="13"/>
      <c r="E273" s="13"/>
      <c r="F273" s="14"/>
      <c r="G273" s="14"/>
      <c r="H273" s="14"/>
      <c r="I273" s="15" t="str">
        <f aca="false">IF($B273="","",IF(AND(G273="",H273=""),"",G273+H273))</f>
        <v/>
      </c>
      <c r="J273" s="15" t="str">
        <f aca="false">IF(OR($B273="",I273=""),"",I273-F273)</f>
        <v/>
      </c>
      <c r="K273" s="16" t="str">
        <f aca="false">IF($B273="","",IF(AND(G273="",H273=""),"Not Counted",IF(OR(G273="",H273=""),"Partially Counted",IF(J273=0,"Match",IF(J273&gt;0,"Overage","Shortage")))))</f>
        <v/>
      </c>
      <c r="L273" s="16" t="str">
        <f aca="false">IF($B273="","",IF(AND(L273&lt;&gt;"",L273&lt;&gt;0),L273,$B$4))</f>
        <v/>
      </c>
      <c r="M273" s="13"/>
      <c r="N273" s="13"/>
      <c r="O273" s="13"/>
    </row>
    <row r="274" customFormat="false" ht="15" hidden="false" customHeight="false" outlineLevel="0" collapsed="false">
      <c r="A274" s="11" t="str">
        <f aca="true">IF($B274="","",IF(AND(A274&lt;&gt;"",A274&lt;&gt;0),A274,TODAY()))</f>
        <v/>
      </c>
      <c r="B274" s="12"/>
      <c r="C274" s="13"/>
      <c r="D274" s="13"/>
      <c r="E274" s="13"/>
      <c r="F274" s="14"/>
      <c r="G274" s="14"/>
      <c r="H274" s="14"/>
      <c r="I274" s="15" t="str">
        <f aca="false">IF($B274="","",IF(AND(G274="",H274=""),"",G274+H274))</f>
        <v/>
      </c>
      <c r="J274" s="15" t="str">
        <f aca="false">IF(OR($B274="",I274=""),"",I274-F274)</f>
        <v/>
      </c>
      <c r="K274" s="16" t="str">
        <f aca="false">IF($B274="","",IF(AND(G274="",H274=""),"Not Counted",IF(OR(G274="",H274=""),"Partially Counted",IF(J274=0,"Match",IF(J274&gt;0,"Overage","Shortage")))))</f>
        <v/>
      </c>
      <c r="L274" s="16" t="str">
        <f aca="false">IF($B274="","",IF(AND(L274&lt;&gt;"",L274&lt;&gt;0),L274,$B$4))</f>
        <v/>
      </c>
      <c r="M274" s="13"/>
      <c r="N274" s="13"/>
      <c r="O274" s="13"/>
    </row>
    <row r="275" customFormat="false" ht="15" hidden="false" customHeight="false" outlineLevel="0" collapsed="false">
      <c r="A275" s="11" t="str">
        <f aca="true">IF($B275="","",IF(AND(A275&lt;&gt;"",A275&lt;&gt;0),A275,TODAY()))</f>
        <v/>
      </c>
      <c r="B275" s="12"/>
      <c r="C275" s="13"/>
      <c r="D275" s="13"/>
      <c r="E275" s="13"/>
      <c r="F275" s="14"/>
      <c r="G275" s="14"/>
      <c r="H275" s="14"/>
      <c r="I275" s="15" t="str">
        <f aca="false">IF($B275="","",IF(AND(G275="",H275=""),"",G275+H275))</f>
        <v/>
      </c>
      <c r="J275" s="15" t="str">
        <f aca="false">IF(OR($B275="",I275=""),"",I275-F275)</f>
        <v/>
      </c>
      <c r="K275" s="16" t="str">
        <f aca="false">IF($B275="","",IF(AND(G275="",H275=""),"Not Counted",IF(OR(G275="",H275=""),"Partially Counted",IF(J275=0,"Match",IF(J275&gt;0,"Overage","Shortage")))))</f>
        <v/>
      </c>
      <c r="L275" s="16" t="str">
        <f aca="false">IF($B275="","",IF(AND(L275&lt;&gt;"",L275&lt;&gt;0),L275,$B$4))</f>
        <v/>
      </c>
      <c r="M275" s="13"/>
      <c r="N275" s="13"/>
      <c r="O275" s="13"/>
    </row>
    <row r="276" customFormat="false" ht="15" hidden="false" customHeight="false" outlineLevel="0" collapsed="false">
      <c r="A276" s="11" t="str">
        <f aca="true">IF($B276="","",IF(AND(A276&lt;&gt;"",A276&lt;&gt;0),A276,TODAY()))</f>
        <v/>
      </c>
      <c r="B276" s="12"/>
      <c r="C276" s="13"/>
      <c r="D276" s="13"/>
      <c r="E276" s="13"/>
      <c r="F276" s="14"/>
      <c r="G276" s="14"/>
      <c r="H276" s="14"/>
      <c r="I276" s="15" t="str">
        <f aca="false">IF($B276="","",IF(AND(G276="",H276=""),"",G276+H276))</f>
        <v/>
      </c>
      <c r="J276" s="15" t="str">
        <f aca="false">IF(OR($B276="",I276=""),"",I276-F276)</f>
        <v/>
      </c>
      <c r="K276" s="16" t="str">
        <f aca="false">IF($B276="","",IF(AND(G276="",H276=""),"Not Counted",IF(OR(G276="",H276=""),"Partially Counted",IF(J276=0,"Match",IF(J276&gt;0,"Overage","Shortage")))))</f>
        <v/>
      </c>
      <c r="L276" s="16" t="str">
        <f aca="false">IF($B276="","",IF(AND(L276&lt;&gt;"",L276&lt;&gt;0),L276,$B$4))</f>
        <v/>
      </c>
      <c r="M276" s="13"/>
      <c r="N276" s="13"/>
      <c r="O276" s="13"/>
    </row>
    <row r="277" customFormat="false" ht="15" hidden="false" customHeight="false" outlineLevel="0" collapsed="false">
      <c r="A277" s="11" t="str">
        <f aca="true">IF($B277="","",IF(AND(A277&lt;&gt;"",A277&lt;&gt;0),A277,TODAY()))</f>
        <v/>
      </c>
      <c r="B277" s="12"/>
      <c r="C277" s="13"/>
      <c r="D277" s="13"/>
      <c r="E277" s="13"/>
      <c r="F277" s="14"/>
      <c r="G277" s="14"/>
      <c r="H277" s="14"/>
      <c r="I277" s="15" t="str">
        <f aca="false">IF($B277="","",IF(AND(G277="",H277=""),"",G277+H277))</f>
        <v/>
      </c>
      <c r="J277" s="15" t="str">
        <f aca="false">IF(OR($B277="",I277=""),"",I277-F277)</f>
        <v/>
      </c>
      <c r="K277" s="16" t="str">
        <f aca="false">IF($B277="","",IF(AND(G277="",H277=""),"Not Counted",IF(OR(G277="",H277=""),"Partially Counted",IF(J277=0,"Match",IF(J277&gt;0,"Overage","Shortage")))))</f>
        <v/>
      </c>
      <c r="L277" s="16" t="str">
        <f aca="false">IF($B277="","",IF(AND(L277&lt;&gt;"",L277&lt;&gt;0),L277,$B$4))</f>
        <v/>
      </c>
      <c r="M277" s="13"/>
      <c r="N277" s="13"/>
      <c r="O277" s="13"/>
    </row>
    <row r="278" customFormat="false" ht="15" hidden="false" customHeight="false" outlineLevel="0" collapsed="false">
      <c r="A278" s="11" t="str">
        <f aca="true">IF($B278="","",IF(AND(A278&lt;&gt;"",A278&lt;&gt;0),A278,TODAY()))</f>
        <v/>
      </c>
      <c r="B278" s="12"/>
      <c r="C278" s="13"/>
      <c r="D278" s="13"/>
      <c r="E278" s="13"/>
      <c r="F278" s="14"/>
      <c r="G278" s="14"/>
      <c r="H278" s="14"/>
      <c r="I278" s="15" t="str">
        <f aca="false">IF($B278="","",IF(AND(G278="",H278=""),"",G278+H278))</f>
        <v/>
      </c>
      <c r="J278" s="15" t="str">
        <f aca="false">IF(OR($B278="",I278=""),"",I278-F278)</f>
        <v/>
      </c>
      <c r="K278" s="16" t="str">
        <f aca="false">IF($B278="","",IF(AND(G278="",H278=""),"Not Counted",IF(OR(G278="",H278=""),"Partially Counted",IF(J278=0,"Match",IF(J278&gt;0,"Overage","Shortage")))))</f>
        <v/>
      </c>
      <c r="L278" s="16" t="str">
        <f aca="false">IF($B278="","",IF(AND(L278&lt;&gt;"",L278&lt;&gt;0),L278,$B$4))</f>
        <v/>
      </c>
      <c r="M278" s="13"/>
      <c r="N278" s="13"/>
      <c r="O278" s="13"/>
    </row>
    <row r="279" customFormat="false" ht="15" hidden="false" customHeight="false" outlineLevel="0" collapsed="false">
      <c r="A279" s="11" t="str">
        <f aca="true">IF($B279="","",IF(AND(A279&lt;&gt;"",A279&lt;&gt;0),A279,TODAY()))</f>
        <v/>
      </c>
      <c r="B279" s="12"/>
      <c r="C279" s="13"/>
      <c r="D279" s="13"/>
      <c r="E279" s="13"/>
      <c r="F279" s="14"/>
      <c r="G279" s="14"/>
      <c r="H279" s="14"/>
      <c r="I279" s="15" t="str">
        <f aca="false">IF($B279="","",IF(AND(G279="",H279=""),"",G279+H279))</f>
        <v/>
      </c>
      <c r="J279" s="15" t="str">
        <f aca="false">IF(OR($B279="",I279=""),"",I279-F279)</f>
        <v/>
      </c>
      <c r="K279" s="16" t="str">
        <f aca="false">IF($B279="","",IF(AND(G279="",H279=""),"Not Counted",IF(OR(G279="",H279=""),"Partially Counted",IF(J279=0,"Match",IF(J279&gt;0,"Overage","Shortage")))))</f>
        <v/>
      </c>
      <c r="L279" s="16" t="str">
        <f aca="false">IF($B279="","",IF(AND(L279&lt;&gt;"",L279&lt;&gt;0),L279,$B$4))</f>
        <v/>
      </c>
      <c r="M279" s="13"/>
      <c r="N279" s="13"/>
      <c r="O279" s="13"/>
    </row>
    <row r="280" customFormat="false" ht="15" hidden="false" customHeight="false" outlineLevel="0" collapsed="false">
      <c r="A280" s="11" t="str">
        <f aca="true">IF($B280="","",IF(AND(A280&lt;&gt;"",A280&lt;&gt;0),A280,TODAY()))</f>
        <v/>
      </c>
      <c r="B280" s="12"/>
      <c r="C280" s="13"/>
      <c r="D280" s="13"/>
      <c r="E280" s="13"/>
      <c r="F280" s="14"/>
      <c r="G280" s="14"/>
      <c r="H280" s="14"/>
      <c r="I280" s="15" t="str">
        <f aca="false">IF($B280="","",IF(AND(G280="",H280=""),"",G280+H280))</f>
        <v/>
      </c>
      <c r="J280" s="15" t="str">
        <f aca="false">IF(OR($B280="",I280=""),"",I280-F280)</f>
        <v/>
      </c>
      <c r="K280" s="16" t="str">
        <f aca="false">IF($B280="","",IF(AND(G280="",H280=""),"Not Counted",IF(OR(G280="",H280=""),"Partially Counted",IF(J280=0,"Match",IF(J280&gt;0,"Overage","Shortage")))))</f>
        <v/>
      </c>
      <c r="L280" s="16" t="str">
        <f aca="false">IF($B280="","",IF(AND(L280&lt;&gt;"",L280&lt;&gt;0),L280,$B$4))</f>
        <v/>
      </c>
      <c r="M280" s="13"/>
      <c r="N280" s="13"/>
      <c r="O280" s="13"/>
    </row>
    <row r="281" customFormat="false" ht="15" hidden="false" customHeight="false" outlineLevel="0" collapsed="false">
      <c r="A281" s="11" t="str">
        <f aca="true">IF($B281="","",IF(AND(A281&lt;&gt;"",A281&lt;&gt;0),A281,TODAY()))</f>
        <v/>
      </c>
      <c r="B281" s="12"/>
      <c r="C281" s="13"/>
      <c r="D281" s="13"/>
      <c r="E281" s="13"/>
      <c r="F281" s="14"/>
      <c r="G281" s="14"/>
      <c r="H281" s="14"/>
      <c r="I281" s="15" t="str">
        <f aca="false">IF($B281="","",IF(AND(G281="",H281=""),"",G281+H281))</f>
        <v/>
      </c>
      <c r="J281" s="15" t="str">
        <f aca="false">IF(OR($B281="",I281=""),"",I281-F281)</f>
        <v/>
      </c>
      <c r="K281" s="16" t="str">
        <f aca="false">IF($B281="","",IF(AND(G281="",H281=""),"Not Counted",IF(OR(G281="",H281=""),"Partially Counted",IF(J281=0,"Match",IF(J281&gt;0,"Overage","Shortage")))))</f>
        <v/>
      </c>
      <c r="L281" s="16" t="str">
        <f aca="false">IF($B281="","",IF(AND(L281&lt;&gt;"",L281&lt;&gt;0),L281,$B$4))</f>
        <v/>
      </c>
      <c r="M281" s="13"/>
      <c r="N281" s="13"/>
      <c r="O281" s="13"/>
    </row>
    <row r="282" customFormat="false" ht="15" hidden="false" customHeight="false" outlineLevel="0" collapsed="false">
      <c r="A282" s="11" t="str">
        <f aca="true">IF($B282="","",IF(AND(A282&lt;&gt;"",A282&lt;&gt;0),A282,TODAY()))</f>
        <v/>
      </c>
      <c r="B282" s="12"/>
      <c r="C282" s="13"/>
      <c r="D282" s="13"/>
      <c r="E282" s="13"/>
      <c r="F282" s="14"/>
      <c r="G282" s="14"/>
      <c r="H282" s="14"/>
      <c r="I282" s="15" t="str">
        <f aca="false">IF($B282="","",IF(AND(G282="",H282=""),"",G282+H282))</f>
        <v/>
      </c>
      <c r="J282" s="15" t="str">
        <f aca="false">IF(OR($B282="",I282=""),"",I282-F282)</f>
        <v/>
      </c>
      <c r="K282" s="16" t="str">
        <f aca="false">IF($B282="","",IF(AND(G282="",H282=""),"Not Counted",IF(OR(G282="",H282=""),"Partially Counted",IF(J282=0,"Match",IF(J282&gt;0,"Overage","Shortage")))))</f>
        <v/>
      </c>
      <c r="L282" s="16" t="str">
        <f aca="false">IF($B282="","",IF(AND(L282&lt;&gt;"",L282&lt;&gt;0),L282,$B$4))</f>
        <v/>
      </c>
      <c r="M282" s="13"/>
      <c r="N282" s="13"/>
      <c r="O282" s="13"/>
    </row>
    <row r="283" customFormat="false" ht="15" hidden="false" customHeight="false" outlineLevel="0" collapsed="false">
      <c r="A283" s="11" t="str">
        <f aca="true">IF($B283="","",IF(AND(A283&lt;&gt;"",A283&lt;&gt;0),A283,TODAY()))</f>
        <v/>
      </c>
      <c r="B283" s="12"/>
      <c r="C283" s="13"/>
      <c r="D283" s="13"/>
      <c r="E283" s="13"/>
      <c r="F283" s="14"/>
      <c r="G283" s="14"/>
      <c r="H283" s="14"/>
      <c r="I283" s="15" t="str">
        <f aca="false">IF($B283="","",IF(AND(G283="",H283=""),"",G283+H283))</f>
        <v/>
      </c>
      <c r="J283" s="15" t="str">
        <f aca="false">IF(OR($B283="",I283=""),"",I283-F283)</f>
        <v/>
      </c>
      <c r="K283" s="16" t="str">
        <f aca="false">IF($B283="","",IF(AND(G283="",H283=""),"Not Counted",IF(OR(G283="",H283=""),"Partially Counted",IF(J283=0,"Match",IF(J283&gt;0,"Overage","Shortage")))))</f>
        <v/>
      </c>
      <c r="L283" s="16" t="str">
        <f aca="false">IF($B283="","",IF(AND(L283&lt;&gt;"",L283&lt;&gt;0),L283,$B$4))</f>
        <v/>
      </c>
      <c r="M283" s="13"/>
      <c r="N283" s="13"/>
      <c r="O283" s="13"/>
    </row>
    <row r="284" customFormat="false" ht="15" hidden="false" customHeight="false" outlineLevel="0" collapsed="false">
      <c r="A284" s="11" t="str">
        <f aca="true">IF($B284="","",IF(AND(A284&lt;&gt;"",A284&lt;&gt;0),A284,TODAY()))</f>
        <v/>
      </c>
      <c r="B284" s="12"/>
      <c r="C284" s="13"/>
      <c r="D284" s="13"/>
      <c r="E284" s="13"/>
      <c r="F284" s="14"/>
      <c r="G284" s="14"/>
      <c r="H284" s="14"/>
      <c r="I284" s="15" t="str">
        <f aca="false">IF($B284="","",IF(AND(G284="",H284=""),"",G284+H284))</f>
        <v/>
      </c>
      <c r="J284" s="15" t="str">
        <f aca="false">IF(OR($B284="",I284=""),"",I284-F284)</f>
        <v/>
      </c>
      <c r="K284" s="16" t="str">
        <f aca="false">IF($B284="","",IF(AND(G284="",H284=""),"Not Counted",IF(OR(G284="",H284=""),"Partially Counted",IF(J284=0,"Match",IF(J284&gt;0,"Overage","Shortage")))))</f>
        <v/>
      </c>
      <c r="L284" s="16" t="str">
        <f aca="false">IF($B284="","",IF(AND(L284&lt;&gt;"",L284&lt;&gt;0),L284,$B$4))</f>
        <v/>
      </c>
      <c r="M284" s="13"/>
      <c r="N284" s="13"/>
      <c r="O284" s="13"/>
    </row>
    <row r="285" customFormat="false" ht="15" hidden="false" customHeight="false" outlineLevel="0" collapsed="false">
      <c r="A285" s="11" t="str">
        <f aca="true">IF($B285="","",IF(AND(A285&lt;&gt;"",A285&lt;&gt;0),A285,TODAY()))</f>
        <v/>
      </c>
      <c r="B285" s="12"/>
      <c r="C285" s="13"/>
      <c r="D285" s="13"/>
      <c r="E285" s="13"/>
      <c r="F285" s="14"/>
      <c r="G285" s="14"/>
      <c r="H285" s="14"/>
      <c r="I285" s="15" t="str">
        <f aca="false">IF($B285="","",IF(AND(G285="",H285=""),"",G285+H285))</f>
        <v/>
      </c>
      <c r="J285" s="15" t="str">
        <f aca="false">IF(OR($B285="",I285=""),"",I285-F285)</f>
        <v/>
      </c>
      <c r="K285" s="16" t="str">
        <f aca="false">IF($B285="","",IF(AND(G285="",H285=""),"Not Counted",IF(OR(G285="",H285=""),"Partially Counted",IF(J285=0,"Match",IF(J285&gt;0,"Overage","Shortage")))))</f>
        <v/>
      </c>
      <c r="L285" s="16" t="str">
        <f aca="false">IF($B285="","",IF(AND(L285&lt;&gt;"",L285&lt;&gt;0),L285,$B$4))</f>
        <v/>
      </c>
      <c r="M285" s="13"/>
      <c r="N285" s="13"/>
      <c r="O285" s="13"/>
    </row>
    <row r="286" customFormat="false" ht="15" hidden="false" customHeight="false" outlineLevel="0" collapsed="false">
      <c r="A286" s="11" t="str">
        <f aca="true">IF($B286="","",IF(AND(A286&lt;&gt;"",A286&lt;&gt;0),A286,TODAY()))</f>
        <v/>
      </c>
      <c r="B286" s="12"/>
      <c r="C286" s="13"/>
      <c r="D286" s="13"/>
      <c r="E286" s="13"/>
      <c r="F286" s="14"/>
      <c r="G286" s="14"/>
      <c r="H286" s="14"/>
      <c r="I286" s="15" t="str">
        <f aca="false">IF($B286="","",IF(AND(G286="",H286=""),"",G286+H286))</f>
        <v/>
      </c>
      <c r="J286" s="15" t="str">
        <f aca="false">IF(OR($B286="",I286=""),"",I286-F286)</f>
        <v/>
      </c>
      <c r="K286" s="16" t="str">
        <f aca="false">IF($B286="","",IF(AND(G286="",H286=""),"Not Counted",IF(OR(G286="",H286=""),"Partially Counted",IF(J286=0,"Match",IF(J286&gt;0,"Overage","Shortage")))))</f>
        <v/>
      </c>
      <c r="L286" s="16" t="str">
        <f aca="false">IF($B286="","",IF(AND(L286&lt;&gt;"",L286&lt;&gt;0),L286,$B$4))</f>
        <v/>
      </c>
      <c r="M286" s="13"/>
      <c r="N286" s="13"/>
      <c r="O286" s="13"/>
    </row>
    <row r="287" customFormat="false" ht="15" hidden="false" customHeight="false" outlineLevel="0" collapsed="false">
      <c r="A287" s="11" t="str">
        <f aca="true">IF($B287="","",IF(AND(A287&lt;&gt;"",A287&lt;&gt;0),A287,TODAY()))</f>
        <v/>
      </c>
      <c r="B287" s="12"/>
      <c r="C287" s="13"/>
      <c r="D287" s="13"/>
      <c r="E287" s="13"/>
      <c r="F287" s="14"/>
      <c r="G287" s="14"/>
      <c r="H287" s="14"/>
      <c r="I287" s="15" t="str">
        <f aca="false">IF($B287="","",IF(AND(G287="",H287=""),"",G287+H287))</f>
        <v/>
      </c>
      <c r="J287" s="15" t="str">
        <f aca="false">IF(OR($B287="",I287=""),"",I287-F287)</f>
        <v/>
      </c>
      <c r="K287" s="16" t="str">
        <f aca="false">IF($B287="","",IF(AND(G287="",H287=""),"Not Counted",IF(OR(G287="",H287=""),"Partially Counted",IF(J287=0,"Match",IF(J287&gt;0,"Overage","Shortage")))))</f>
        <v/>
      </c>
      <c r="L287" s="16" t="str">
        <f aca="false">IF($B287="","",IF(AND(L287&lt;&gt;"",L287&lt;&gt;0),L287,$B$4))</f>
        <v/>
      </c>
      <c r="M287" s="13"/>
      <c r="N287" s="13"/>
      <c r="O287" s="13"/>
    </row>
    <row r="288" customFormat="false" ht="15" hidden="false" customHeight="false" outlineLevel="0" collapsed="false">
      <c r="A288" s="11" t="str">
        <f aca="true">IF($B288="","",IF(AND(A288&lt;&gt;"",A288&lt;&gt;0),A288,TODAY()))</f>
        <v/>
      </c>
      <c r="B288" s="12"/>
      <c r="C288" s="13"/>
      <c r="D288" s="13"/>
      <c r="E288" s="13"/>
      <c r="F288" s="14"/>
      <c r="G288" s="14"/>
      <c r="H288" s="14"/>
      <c r="I288" s="15" t="str">
        <f aca="false">IF($B288="","",IF(AND(G288="",H288=""),"",G288+H288))</f>
        <v/>
      </c>
      <c r="J288" s="15" t="str">
        <f aca="false">IF(OR($B288="",I288=""),"",I288-F288)</f>
        <v/>
      </c>
      <c r="K288" s="16" t="str">
        <f aca="false">IF($B288="","",IF(AND(G288="",H288=""),"Not Counted",IF(OR(G288="",H288=""),"Partially Counted",IF(J288=0,"Match",IF(J288&gt;0,"Overage","Shortage")))))</f>
        <v/>
      </c>
      <c r="L288" s="16" t="str">
        <f aca="false">IF($B288="","",IF(AND(L288&lt;&gt;"",L288&lt;&gt;0),L288,$B$4))</f>
        <v/>
      </c>
      <c r="M288" s="13"/>
      <c r="N288" s="13"/>
      <c r="O288" s="13"/>
    </row>
    <row r="289" customFormat="false" ht="15" hidden="false" customHeight="false" outlineLevel="0" collapsed="false">
      <c r="A289" s="11" t="str">
        <f aca="true">IF($B289="","",IF(AND(A289&lt;&gt;"",A289&lt;&gt;0),A289,TODAY()))</f>
        <v/>
      </c>
      <c r="B289" s="12"/>
      <c r="C289" s="13"/>
      <c r="D289" s="13"/>
      <c r="E289" s="13"/>
      <c r="F289" s="14"/>
      <c r="G289" s="14"/>
      <c r="H289" s="14"/>
      <c r="I289" s="15" t="str">
        <f aca="false">IF($B289="","",IF(AND(G289="",H289=""),"",G289+H289))</f>
        <v/>
      </c>
      <c r="J289" s="15" t="str">
        <f aca="false">IF(OR($B289="",I289=""),"",I289-F289)</f>
        <v/>
      </c>
      <c r="K289" s="16" t="str">
        <f aca="false">IF($B289="","",IF(AND(G289="",H289=""),"Not Counted",IF(OR(G289="",H289=""),"Partially Counted",IF(J289=0,"Match",IF(J289&gt;0,"Overage","Shortage")))))</f>
        <v/>
      </c>
      <c r="L289" s="16" t="str">
        <f aca="false">IF($B289="","",IF(AND(L289&lt;&gt;"",L289&lt;&gt;0),L289,$B$4))</f>
        <v/>
      </c>
      <c r="M289" s="13"/>
      <c r="N289" s="13"/>
      <c r="O289" s="13"/>
    </row>
    <row r="290" customFormat="false" ht="15" hidden="false" customHeight="false" outlineLevel="0" collapsed="false">
      <c r="A290" s="11" t="str">
        <f aca="true">IF($B290="","",IF(AND(A290&lt;&gt;"",A290&lt;&gt;0),A290,TODAY()))</f>
        <v/>
      </c>
      <c r="B290" s="12"/>
      <c r="C290" s="13"/>
      <c r="D290" s="13"/>
      <c r="E290" s="13"/>
      <c r="F290" s="14"/>
      <c r="G290" s="14"/>
      <c r="H290" s="14"/>
      <c r="I290" s="15" t="str">
        <f aca="false">IF($B290="","",IF(AND(G290="",H290=""),"",G290+H290))</f>
        <v/>
      </c>
      <c r="J290" s="15" t="str">
        <f aca="false">IF(OR($B290="",I290=""),"",I290-F290)</f>
        <v/>
      </c>
      <c r="K290" s="16" t="str">
        <f aca="false">IF($B290="","",IF(AND(G290="",H290=""),"Not Counted",IF(OR(G290="",H290=""),"Partially Counted",IF(J290=0,"Match",IF(J290&gt;0,"Overage","Shortage")))))</f>
        <v/>
      </c>
      <c r="L290" s="16" t="str">
        <f aca="false">IF($B290="","",IF(AND(L290&lt;&gt;"",L290&lt;&gt;0),L290,$B$4))</f>
        <v/>
      </c>
      <c r="M290" s="13"/>
      <c r="N290" s="13"/>
      <c r="O290" s="13"/>
    </row>
    <row r="291" customFormat="false" ht="15" hidden="false" customHeight="false" outlineLevel="0" collapsed="false">
      <c r="A291" s="11" t="str">
        <f aca="true">IF($B291="","",IF(AND(A291&lt;&gt;"",A291&lt;&gt;0),A291,TODAY()))</f>
        <v/>
      </c>
      <c r="B291" s="12"/>
      <c r="C291" s="13"/>
      <c r="D291" s="13"/>
      <c r="E291" s="13"/>
      <c r="F291" s="14"/>
      <c r="G291" s="14"/>
      <c r="H291" s="14"/>
      <c r="I291" s="15" t="str">
        <f aca="false">IF($B291="","",IF(AND(G291="",H291=""),"",G291+H291))</f>
        <v/>
      </c>
      <c r="J291" s="15" t="str">
        <f aca="false">IF(OR($B291="",I291=""),"",I291-F291)</f>
        <v/>
      </c>
      <c r="K291" s="16" t="str">
        <f aca="false">IF($B291="","",IF(AND(G291="",H291=""),"Not Counted",IF(OR(G291="",H291=""),"Partially Counted",IF(J291=0,"Match",IF(J291&gt;0,"Overage","Shortage")))))</f>
        <v/>
      </c>
      <c r="L291" s="16" t="str">
        <f aca="false">IF($B291="","",IF(AND(L291&lt;&gt;"",L291&lt;&gt;0),L291,$B$4))</f>
        <v/>
      </c>
      <c r="M291" s="13"/>
      <c r="N291" s="13"/>
      <c r="O291" s="13"/>
    </row>
    <row r="292" customFormat="false" ht="15" hidden="false" customHeight="false" outlineLevel="0" collapsed="false">
      <c r="A292" s="11" t="str">
        <f aca="true">IF($B292="","",IF(AND(A292&lt;&gt;"",A292&lt;&gt;0),A292,TODAY()))</f>
        <v/>
      </c>
      <c r="B292" s="12"/>
      <c r="C292" s="13"/>
      <c r="D292" s="13"/>
      <c r="E292" s="13"/>
      <c r="F292" s="14"/>
      <c r="G292" s="14"/>
      <c r="H292" s="14"/>
      <c r="I292" s="15" t="str">
        <f aca="false">IF($B292="","",IF(AND(G292="",H292=""),"",G292+H292))</f>
        <v/>
      </c>
      <c r="J292" s="15" t="str">
        <f aca="false">IF(OR($B292="",I292=""),"",I292-F292)</f>
        <v/>
      </c>
      <c r="K292" s="16" t="str">
        <f aca="false">IF($B292="","",IF(AND(G292="",H292=""),"Not Counted",IF(OR(G292="",H292=""),"Partially Counted",IF(J292=0,"Match",IF(J292&gt;0,"Overage","Shortage")))))</f>
        <v/>
      </c>
      <c r="L292" s="16" t="str">
        <f aca="false">IF($B292="","",IF(AND(L292&lt;&gt;"",L292&lt;&gt;0),L292,$B$4))</f>
        <v/>
      </c>
      <c r="M292" s="13"/>
      <c r="N292" s="13"/>
      <c r="O292" s="13"/>
    </row>
    <row r="293" customFormat="false" ht="15" hidden="false" customHeight="false" outlineLevel="0" collapsed="false">
      <c r="A293" s="11" t="str">
        <f aca="true">IF($B293="","",IF(AND(A293&lt;&gt;"",A293&lt;&gt;0),A293,TODAY()))</f>
        <v/>
      </c>
      <c r="B293" s="12"/>
      <c r="C293" s="13"/>
      <c r="D293" s="13"/>
      <c r="E293" s="13"/>
      <c r="F293" s="14"/>
      <c r="G293" s="14"/>
      <c r="H293" s="14"/>
      <c r="I293" s="15" t="str">
        <f aca="false">IF($B293="","",IF(AND(G293="",H293=""),"",G293+H293))</f>
        <v/>
      </c>
      <c r="J293" s="15" t="str">
        <f aca="false">IF(OR($B293="",I293=""),"",I293-F293)</f>
        <v/>
      </c>
      <c r="K293" s="16" t="str">
        <f aca="false">IF($B293="","",IF(AND(G293="",H293=""),"Not Counted",IF(OR(G293="",H293=""),"Partially Counted",IF(J293=0,"Match",IF(J293&gt;0,"Overage","Shortage")))))</f>
        <v/>
      </c>
      <c r="L293" s="16" t="str">
        <f aca="false">IF($B293="","",IF(AND(L293&lt;&gt;"",L293&lt;&gt;0),L293,$B$4))</f>
        <v/>
      </c>
      <c r="M293" s="13"/>
      <c r="N293" s="13"/>
      <c r="O293" s="13"/>
    </row>
    <row r="294" customFormat="false" ht="15" hidden="false" customHeight="false" outlineLevel="0" collapsed="false">
      <c r="A294" s="11" t="str">
        <f aca="true">IF($B294="","",IF(AND(A294&lt;&gt;"",A294&lt;&gt;0),A294,TODAY()))</f>
        <v/>
      </c>
      <c r="B294" s="12"/>
      <c r="C294" s="13"/>
      <c r="D294" s="13"/>
      <c r="E294" s="13"/>
      <c r="F294" s="14"/>
      <c r="G294" s="14"/>
      <c r="H294" s="14"/>
      <c r="I294" s="15" t="str">
        <f aca="false">IF($B294="","",IF(AND(G294="",H294=""),"",G294+H294))</f>
        <v/>
      </c>
      <c r="J294" s="15" t="str">
        <f aca="false">IF(OR($B294="",I294=""),"",I294-F294)</f>
        <v/>
      </c>
      <c r="K294" s="16" t="str">
        <f aca="false">IF($B294="","",IF(AND(G294="",H294=""),"Not Counted",IF(OR(G294="",H294=""),"Partially Counted",IF(J294=0,"Match",IF(J294&gt;0,"Overage","Shortage")))))</f>
        <v/>
      </c>
      <c r="L294" s="16" t="str">
        <f aca="false">IF($B294="","",IF(AND(L294&lt;&gt;"",L294&lt;&gt;0),L294,$B$4))</f>
        <v/>
      </c>
      <c r="M294" s="13"/>
      <c r="N294" s="13"/>
      <c r="O294" s="13"/>
    </row>
    <row r="295" customFormat="false" ht="15" hidden="false" customHeight="false" outlineLevel="0" collapsed="false">
      <c r="A295" s="11" t="str">
        <f aca="true">IF($B295="","",IF(AND(A295&lt;&gt;"",A295&lt;&gt;0),A295,TODAY()))</f>
        <v/>
      </c>
      <c r="B295" s="12"/>
      <c r="C295" s="13"/>
      <c r="D295" s="13"/>
      <c r="E295" s="13"/>
      <c r="F295" s="14"/>
      <c r="G295" s="14"/>
      <c r="H295" s="14"/>
      <c r="I295" s="15" t="str">
        <f aca="false">IF($B295="","",IF(AND(G295="",H295=""),"",G295+H295))</f>
        <v/>
      </c>
      <c r="J295" s="15" t="str">
        <f aca="false">IF(OR($B295="",I295=""),"",I295-F295)</f>
        <v/>
      </c>
      <c r="K295" s="16" t="str">
        <f aca="false">IF($B295="","",IF(AND(G295="",H295=""),"Not Counted",IF(OR(G295="",H295=""),"Partially Counted",IF(J295=0,"Match",IF(J295&gt;0,"Overage","Shortage")))))</f>
        <v/>
      </c>
      <c r="L295" s="16" t="str">
        <f aca="false">IF($B295="","",IF(AND(L295&lt;&gt;"",L295&lt;&gt;0),L295,$B$4))</f>
        <v/>
      </c>
      <c r="M295" s="13"/>
      <c r="N295" s="13"/>
      <c r="O295" s="13"/>
    </row>
    <row r="296" customFormat="false" ht="15" hidden="false" customHeight="false" outlineLevel="0" collapsed="false">
      <c r="A296" s="11" t="str">
        <f aca="true">IF($B296="","",IF(AND(A296&lt;&gt;"",A296&lt;&gt;0),A296,TODAY()))</f>
        <v/>
      </c>
      <c r="B296" s="12"/>
      <c r="C296" s="13"/>
      <c r="D296" s="13"/>
      <c r="E296" s="13"/>
      <c r="F296" s="14"/>
      <c r="G296" s="14"/>
      <c r="H296" s="14"/>
      <c r="I296" s="15" t="str">
        <f aca="false">IF($B296="","",IF(AND(G296="",H296=""),"",G296+H296))</f>
        <v/>
      </c>
      <c r="J296" s="15" t="str">
        <f aca="false">IF(OR($B296="",I296=""),"",I296-F296)</f>
        <v/>
      </c>
      <c r="K296" s="16" t="str">
        <f aca="false">IF($B296="","",IF(AND(G296="",H296=""),"Not Counted",IF(OR(G296="",H296=""),"Partially Counted",IF(J296=0,"Match",IF(J296&gt;0,"Overage","Shortage")))))</f>
        <v/>
      </c>
      <c r="L296" s="16" t="str">
        <f aca="false">IF($B296="","",IF(AND(L296&lt;&gt;"",L296&lt;&gt;0),L296,$B$4))</f>
        <v/>
      </c>
      <c r="M296" s="13"/>
      <c r="N296" s="13"/>
      <c r="O296" s="13"/>
    </row>
    <row r="297" customFormat="false" ht="15" hidden="false" customHeight="false" outlineLevel="0" collapsed="false">
      <c r="A297" s="11" t="str">
        <f aca="true">IF($B297="","",IF(AND(A297&lt;&gt;"",A297&lt;&gt;0),A297,TODAY()))</f>
        <v/>
      </c>
      <c r="B297" s="12"/>
      <c r="C297" s="13"/>
      <c r="D297" s="13"/>
      <c r="E297" s="13"/>
      <c r="F297" s="14"/>
      <c r="G297" s="14"/>
      <c r="H297" s="14"/>
      <c r="I297" s="15" t="str">
        <f aca="false">IF($B297="","",IF(AND(G297="",H297=""),"",G297+H297))</f>
        <v/>
      </c>
      <c r="J297" s="15" t="str">
        <f aca="false">IF(OR($B297="",I297=""),"",I297-F297)</f>
        <v/>
      </c>
      <c r="K297" s="16" t="str">
        <f aca="false">IF($B297="","",IF(AND(G297="",H297=""),"Not Counted",IF(OR(G297="",H297=""),"Partially Counted",IF(J297=0,"Match",IF(J297&gt;0,"Overage","Shortage")))))</f>
        <v/>
      </c>
      <c r="L297" s="16" t="str">
        <f aca="false">IF($B297="","",IF(AND(L297&lt;&gt;"",L297&lt;&gt;0),L297,$B$4))</f>
        <v/>
      </c>
      <c r="M297" s="13"/>
      <c r="N297" s="13"/>
      <c r="O297" s="13"/>
    </row>
    <row r="298" customFormat="false" ht="15" hidden="false" customHeight="false" outlineLevel="0" collapsed="false">
      <c r="A298" s="11" t="str">
        <f aca="true">IF($B298="","",IF(AND(A298&lt;&gt;"",A298&lt;&gt;0),A298,TODAY()))</f>
        <v/>
      </c>
      <c r="B298" s="12"/>
      <c r="C298" s="13"/>
      <c r="D298" s="13"/>
      <c r="E298" s="13"/>
      <c r="F298" s="14"/>
      <c r="G298" s="14"/>
      <c r="H298" s="14"/>
      <c r="I298" s="15" t="str">
        <f aca="false">IF($B298="","",IF(AND(G298="",H298=""),"",G298+H298))</f>
        <v/>
      </c>
      <c r="J298" s="15" t="str">
        <f aca="false">IF(OR($B298="",I298=""),"",I298-F298)</f>
        <v/>
      </c>
      <c r="K298" s="16" t="str">
        <f aca="false">IF($B298="","",IF(AND(G298="",H298=""),"Not Counted",IF(OR(G298="",H298=""),"Partially Counted",IF(J298=0,"Match",IF(J298&gt;0,"Overage","Shortage")))))</f>
        <v/>
      </c>
      <c r="L298" s="16" t="str">
        <f aca="false">IF($B298="","",IF(AND(L298&lt;&gt;"",L298&lt;&gt;0),L298,$B$4))</f>
        <v/>
      </c>
      <c r="M298" s="13"/>
      <c r="N298" s="13"/>
      <c r="O298" s="13"/>
    </row>
    <row r="299" customFormat="false" ht="15" hidden="false" customHeight="false" outlineLevel="0" collapsed="false">
      <c r="A299" s="11" t="str">
        <f aca="true">IF($B299="","",IF(AND(A299&lt;&gt;"",A299&lt;&gt;0),A299,TODAY()))</f>
        <v/>
      </c>
      <c r="B299" s="12"/>
      <c r="C299" s="13"/>
      <c r="D299" s="13"/>
      <c r="E299" s="13"/>
      <c r="F299" s="14"/>
      <c r="G299" s="14"/>
      <c r="H299" s="14"/>
      <c r="I299" s="15" t="str">
        <f aca="false">IF($B299="","",IF(AND(G299="",H299=""),"",G299+H299))</f>
        <v/>
      </c>
      <c r="J299" s="15" t="str">
        <f aca="false">IF(OR($B299="",I299=""),"",I299-F299)</f>
        <v/>
      </c>
      <c r="K299" s="16" t="str">
        <f aca="false">IF($B299="","",IF(AND(G299="",H299=""),"Not Counted",IF(OR(G299="",H299=""),"Partially Counted",IF(J299=0,"Match",IF(J299&gt;0,"Overage","Shortage")))))</f>
        <v/>
      </c>
      <c r="L299" s="16" t="str">
        <f aca="false">IF($B299="","",IF(AND(L299&lt;&gt;"",L299&lt;&gt;0),L299,$B$4))</f>
        <v/>
      </c>
      <c r="M299" s="13"/>
      <c r="N299" s="13"/>
      <c r="O299" s="13"/>
    </row>
    <row r="300" customFormat="false" ht="15" hidden="false" customHeight="false" outlineLevel="0" collapsed="false">
      <c r="A300" s="11" t="str">
        <f aca="true">IF($B300="","",IF(AND(A300&lt;&gt;"",A300&lt;&gt;0),A300,TODAY()))</f>
        <v/>
      </c>
      <c r="B300" s="12"/>
      <c r="C300" s="13"/>
      <c r="D300" s="13"/>
      <c r="E300" s="13"/>
      <c r="F300" s="14"/>
      <c r="G300" s="14"/>
      <c r="H300" s="14"/>
      <c r="I300" s="15" t="str">
        <f aca="false">IF($B300="","",IF(AND(G300="",H300=""),"",G300+H300))</f>
        <v/>
      </c>
      <c r="J300" s="15" t="str">
        <f aca="false">IF(OR($B300="",I300=""),"",I300-F300)</f>
        <v/>
      </c>
      <c r="K300" s="16" t="str">
        <f aca="false">IF($B300="","",IF(AND(G300="",H300=""),"Not Counted",IF(OR(G300="",H300=""),"Partially Counted",IF(J300=0,"Match",IF(J300&gt;0,"Overage","Shortage")))))</f>
        <v/>
      </c>
      <c r="L300" s="16" t="str">
        <f aca="false">IF($B300="","",IF(AND(L300&lt;&gt;"",L300&lt;&gt;0),L300,$B$4))</f>
        <v/>
      </c>
      <c r="M300" s="13"/>
      <c r="N300" s="13"/>
      <c r="O300" s="13"/>
    </row>
    <row r="301" customFormat="false" ht="15" hidden="false" customHeight="false" outlineLevel="0" collapsed="false">
      <c r="A301" s="11" t="str">
        <f aca="true">IF($B301="","",IF(AND(A301&lt;&gt;"",A301&lt;&gt;0),A301,TODAY()))</f>
        <v/>
      </c>
      <c r="B301" s="12"/>
      <c r="C301" s="13"/>
      <c r="D301" s="13"/>
      <c r="E301" s="13"/>
      <c r="F301" s="14"/>
      <c r="G301" s="14"/>
      <c r="H301" s="14"/>
      <c r="I301" s="15" t="str">
        <f aca="false">IF($B301="","",IF(AND(G301="",H301=""),"",G301+H301))</f>
        <v/>
      </c>
      <c r="J301" s="15" t="str">
        <f aca="false">IF(OR($B301="",I301=""),"",I301-F301)</f>
        <v/>
      </c>
      <c r="K301" s="16" t="str">
        <f aca="false">IF($B301="","",IF(AND(G301="",H301=""),"Not Counted",IF(OR(G301="",H301=""),"Partially Counted",IF(J301=0,"Match",IF(J301&gt;0,"Overage","Shortage")))))</f>
        <v/>
      </c>
      <c r="L301" s="16" t="str">
        <f aca="false">IF($B301="","",IF(AND(L301&lt;&gt;"",L301&lt;&gt;0),L301,$B$4))</f>
        <v/>
      </c>
      <c r="M301" s="13"/>
      <c r="N301" s="13"/>
      <c r="O301" s="13"/>
    </row>
    <row r="302" customFormat="false" ht="15" hidden="false" customHeight="false" outlineLevel="0" collapsed="false">
      <c r="A302" s="11" t="str">
        <f aca="true">IF($B302="","",IF(AND(A302&lt;&gt;"",A302&lt;&gt;0),A302,TODAY()))</f>
        <v/>
      </c>
      <c r="B302" s="12"/>
      <c r="C302" s="13"/>
      <c r="D302" s="13"/>
      <c r="E302" s="13"/>
      <c r="F302" s="14"/>
      <c r="G302" s="14"/>
      <c r="H302" s="14"/>
      <c r="I302" s="15" t="str">
        <f aca="false">IF($B302="","",IF(AND(G302="",H302=""),"",G302+H302))</f>
        <v/>
      </c>
      <c r="J302" s="15" t="str">
        <f aca="false">IF(OR($B302="",I302=""),"",I302-F302)</f>
        <v/>
      </c>
      <c r="K302" s="16" t="str">
        <f aca="false">IF($B302="","",IF(AND(G302="",H302=""),"Not Counted",IF(OR(G302="",H302=""),"Partially Counted",IF(J302=0,"Match",IF(J302&gt;0,"Overage","Shortage")))))</f>
        <v/>
      </c>
      <c r="L302" s="16" t="str">
        <f aca="false">IF($B302="","",IF(AND(L302&lt;&gt;"",L302&lt;&gt;0),L302,$B$4))</f>
        <v/>
      </c>
      <c r="M302" s="13"/>
      <c r="N302" s="13"/>
      <c r="O302" s="13"/>
    </row>
    <row r="303" customFormat="false" ht="15" hidden="false" customHeight="false" outlineLevel="0" collapsed="false">
      <c r="A303" s="11" t="str">
        <f aca="true">IF($B303="","",IF(AND(A303&lt;&gt;"",A303&lt;&gt;0),A303,TODAY()))</f>
        <v/>
      </c>
      <c r="B303" s="12"/>
      <c r="C303" s="13"/>
      <c r="D303" s="13"/>
      <c r="E303" s="13"/>
      <c r="F303" s="14"/>
      <c r="G303" s="14"/>
      <c r="H303" s="14"/>
      <c r="I303" s="15" t="str">
        <f aca="false">IF($B303="","",IF(AND(G303="",H303=""),"",G303+H303))</f>
        <v/>
      </c>
      <c r="J303" s="15" t="str">
        <f aca="false">IF(OR($B303="",I303=""),"",I303-F303)</f>
        <v/>
      </c>
      <c r="K303" s="16" t="str">
        <f aca="false">IF($B303="","",IF(AND(G303="",H303=""),"Not Counted",IF(OR(G303="",H303=""),"Partially Counted",IF(J303=0,"Match",IF(J303&gt;0,"Overage","Shortage")))))</f>
        <v/>
      </c>
      <c r="L303" s="16" t="str">
        <f aca="false">IF($B303="","",IF(AND(L303&lt;&gt;"",L303&lt;&gt;0),L303,$B$4))</f>
        <v/>
      </c>
      <c r="M303" s="13"/>
      <c r="N303" s="13"/>
      <c r="O303" s="13"/>
    </row>
    <row r="304" customFormat="false" ht="15" hidden="false" customHeight="false" outlineLevel="0" collapsed="false">
      <c r="A304" s="11" t="str">
        <f aca="true">IF($B304="","",IF(AND(A304&lt;&gt;"",A304&lt;&gt;0),A304,TODAY()))</f>
        <v/>
      </c>
      <c r="B304" s="12"/>
      <c r="C304" s="13"/>
      <c r="D304" s="13"/>
      <c r="E304" s="13"/>
      <c r="F304" s="14"/>
      <c r="G304" s="14"/>
      <c r="H304" s="14"/>
      <c r="I304" s="15" t="str">
        <f aca="false">IF($B304="","",IF(AND(G304="",H304=""),"",G304+H304))</f>
        <v/>
      </c>
      <c r="J304" s="15" t="str">
        <f aca="false">IF(OR($B304="",I304=""),"",I304-F304)</f>
        <v/>
      </c>
      <c r="K304" s="16" t="str">
        <f aca="false">IF($B304="","",IF(AND(G304="",H304=""),"Not Counted",IF(OR(G304="",H304=""),"Partially Counted",IF(J304=0,"Match",IF(J304&gt;0,"Overage","Shortage")))))</f>
        <v/>
      </c>
      <c r="L304" s="16" t="str">
        <f aca="false">IF($B304="","",IF(AND(L304&lt;&gt;"",L304&lt;&gt;0),L304,$B$4))</f>
        <v/>
      </c>
      <c r="M304" s="13"/>
      <c r="N304" s="13"/>
      <c r="O304" s="13"/>
    </row>
    <row r="305" customFormat="false" ht="15" hidden="false" customHeight="false" outlineLevel="0" collapsed="false">
      <c r="A305" s="11" t="str">
        <f aca="true">IF($B305="","",IF(AND(A305&lt;&gt;"",A305&lt;&gt;0),A305,TODAY()))</f>
        <v/>
      </c>
      <c r="B305" s="12"/>
      <c r="C305" s="13"/>
      <c r="D305" s="13"/>
      <c r="E305" s="13"/>
      <c r="F305" s="14"/>
      <c r="G305" s="14"/>
      <c r="H305" s="14"/>
      <c r="I305" s="15" t="str">
        <f aca="false">IF($B305="","",IF(AND(G305="",H305=""),"",G305+H305))</f>
        <v/>
      </c>
      <c r="J305" s="15" t="str">
        <f aca="false">IF(OR($B305="",I305=""),"",I305-F305)</f>
        <v/>
      </c>
      <c r="K305" s="16" t="str">
        <f aca="false">IF($B305="","",IF(AND(G305="",H305=""),"Not Counted",IF(OR(G305="",H305=""),"Partially Counted",IF(J305=0,"Match",IF(J305&gt;0,"Overage","Shortage")))))</f>
        <v/>
      </c>
      <c r="L305" s="16" t="str">
        <f aca="false">IF($B305="","",IF(AND(L305&lt;&gt;"",L305&lt;&gt;0),L305,$B$4))</f>
        <v/>
      </c>
      <c r="M305" s="13"/>
      <c r="N305" s="13"/>
      <c r="O305" s="13"/>
    </row>
    <row r="306" customFormat="false" ht="15" hidden="false" customHeight="false" outlineLevel="0" collapsed="false">
      <c r="A306" s="11" t="str">
        <f aca="true">IF($B306="","",IF(AND(A306&lt;&gt;"",A306&lt;&gt;0),A306,TODAY()))</f>
        <v/>
      </c>
      <c r="B306" s="12"/>
      <c r="C306" s="13"/>
      <c r="D306" s="13"/>
      <c r="E306" s="13"/>
      <c r="F306" s="14"/>
      <c r="G306" s="14"/>
      <c r="H306" s="14"/>
      <c r="I306" s="15" t="str">
        <f aca="false">IF($B306="","",IF(AND(G306="",H306=""),"",G306+H306))</f>
        <v/>
      </c>
      <c r="J306" s="15" t="str">
        <f aca="false">IF(OR($B306="",I306=""),"",I306-F306)</f>
        <v/>
      </c>
      <c r="K306" s="16" t="str">
        <f aca="false">IF($B306="","",IF(AND(G306="",H306=""),"Not Counted",IF(OR(G306="",H306=""),"Partially Counted",IF(J306=0,"Match",IF(J306&gt;0,"Overage","Shortage")))))</f>
        <v/>
      </c>
      <c r="L306" s="16" t="str">
        <f aca="false">IF($B306="","",IF(AND(L306&lt;&gt;"",L306&lt;&gt;0),L306,$B$4))</f>
        <v/>
      </c>
      <c r="M306" s="13"/>
      <c r="N306" s="13"/>
      <c r="O306" s="13"/>
    </row>
    <row r="307" customFormat="false" ht="15" hidden="false" customHeight="false" outlineLevel="0" collapsed="false">
      <c r="A307" s="11" t="str">
        <f aca="true">IF($B307="","",IF(AND(A307&lt;&gt;"",A307&lt;&gt;0),A307,TODAY()))</f>
        <v/>
      </c>
      <c r="B307" s="12"/>
      <c r="C307" s="13"/>
      <c r="D307" s="13"/>
      <c r="E307" s="13"/>
      <c r="F307" s="14"/>
      <c r="G307" s="14"/>
      <c r="H307" s="14"/>
      <c r="I307" s="15" t="str">
        <f aca="false">IF($B307="","",IF(AND(G307="",H307=""),"",G307+H307))</f>
        <v/>
      </c>
      <c r="J307" s="15" t="str">
        <f aca="false">IF(OR($B307="",I307=""),"",I307-F307)</f>
        <v/>
      </c>
      <c r="K307" s="16" t="str">
        <f aca="false">IF($B307="","",IF(AND(G307="",H307=""),"Not Counted",IF(OR(G307="",H307=""),"Partially Counted",IF(J307=0,"Match",IF(J307&gt;0,"Overage","Shortage")))))</f>
        <v/>
      </c>
      <c r="L307" s="16" t="str">
        <f aca="false">IF($B307="","",IF(AND(L307&lt;&gt;"",L307&lt;&gt;0),L307,$B$4))</f>
        <v/>
      </c>
      <c r="M307" s="13"/>
      <c r="N307" s="13"/>
      <c r="O307" s="13"/>
    </row>
    <row r="308" customFormat="false" ht="15" hidden="false" customHeight="false" outlineLevel="0" collapsed="false">
      <c r="A308" s="11" t="str">
        <f aca="true">IF($B308="","",IF(AND(A308&lt;&gt;"",A308&lt;&gt;0),A308,TODAY()))</f>
        <v/>
      </c>
      <c r="B308" s="12"/>
      <c r="C308" s="13"/>
      <c r="D308" s="13"/>
      <c r="E308" s="13"/>
      <c r="F308" s="14"/>
      <c r="G308" s="14"/>
      <c r="H308" s="14"/>
      <c r="I308" s="15" t="str">
        <f aca="false">IF($B308="","",IF(AND(G308="",H308=""),"",G308+H308))</f>
        <v/>
      </c>
      <c r="J308" s="15" t="str">
        <f aca="false">IF(OR($B308="",I308=""),"",I308-F308)</f>
        <v/>
      </c>
      <c r="K308" s="16" t="str">
        <f aca="false">IF($B308="","",IF(AND(G308="",H308=""),"Not Counted",IF(OR(G308="",H308=""),"Partially Counted",IF(J308=0,"Match",IF(J308&gt;0,"Overage","Shortage")))))</f>
        <v/>
      </c>
      <c r="L308" s="16" t="str">
        <f aca="false">IF($B308="","",IF(AND(L308&lt;&gt;"",L308&lt;&gt;0),L308,$B$4))</f>
        <v/>
      </c>
      <c r="M308" s="13"/>
      <c r="N308" s="13"/>
      <c r="O308" s="13"/>
    </row>
    <row r="309" customFormat="false" ht="15" hidden="false" customHeight="false" outlineLevel="0" collapsed="false">
      <c r="A309" s="11" t="str">
        <f aca="true">IF($B309="","",IF(AND(A309&lt;&gt;"",A309&lt;&gt;0),A309,TODAY()))</f>
        <v/>
      </c>
      <c r="B309" s="12"/>
      <c r="C309" s="13"/>
      <c r="D309" s="13"/>
      <c r="E309" s="13"/>
      <c r="F309" s="14"/>
      <c r="G309" s="14"/>
      <c r="H309" s="14"/>
      <c r="I309" s="15" t="str">
        <f aca="false">IF($B309="","",IF(AND(G309="",H309=""),"",G309+H309))</f>
        <v/>
      </c>
      <c r="J309" s="15" t="str">
        <f aca="false">IF(OR($B309="",I309=""),"",I309-F309)</f>
        <v/>
      </c>
      <c r="K309" s="16" t="str">
        <f aca="false">IF($B309="","",IF(AND(G309="",H309=""),"Not Counted",IF(OR(G309="",H309=""),"Partially Counted",IF(J309=0,"Match",IF(J309&gt;0,"Overage","Shortage")))))</f>
        <v/>
      </c>
      <c r="L309" s="16" t="str">
        <f aca="false">IF($B309="","",IF(AND(L309&lt;&gt;"",L309&lt;&gt;0),L309,$B$4))</f>
        <v/>
      </c>
      <c r="M309" s="13"/>
      <c r="N309" s="13"/>
      <c r="O309" s="13"/>
    </row>
    <row r="310" customFormat="false" ht="15" hidden="false" customHeight="false" outlineLevel="0" collapsed="false">
      <c r="A310" s="11" t="str">
        <f aca="true">IF($B310="","",IF(AND(A310&lt;&gt;"",A310&lt;&gt;0),A310,TODAY()))</f>
        <v/>
      </c>
      <c r="B310" s="12"/>
      <c r="C310" s="13"/>
      <c r="D310" s="13"/>
      <c r="E310" s="13"/>
      <c r="F310" s="14"/>
      <c r="G310" s="14"/>
      <c r="H310" s="14"/>
      <c r="I310" s="15" t="str">
        <f aca="false">IF($B310="","",IF(AND(G310="",H310=""),"",G310+H310))</f>
        <v/>
      </c>
      <c r="J310" s="15" t="str">
        <f aca="false">IF(OR($B310="",I310=""),"",I310-F310)</f>
        <v/>
      </c>
      <c r="K310" s="16" t="str">
        <f aca="false">IF($B310="","",IF(AND(G310="",H310=""),"Not Counted",IF(OR(G310="",H310=""),"Partially Counted",IF(J310=0,"Match",IF(J310&gt;0,"Overage","Shortage")))))</f>
        <v/>
      </c>
      <c r="L310" s="16" t="str">
        <f aca="false">IF($B310="","",IF(AND(L310&lt;&gt;"",L310&lt;&gt;0),L310,$B$4))</f>
        <v/>
      </c>
      <c r="M310" s="13"/>
      <c r="N310" s="13"/>
      <c r="O310" s="13"/>
    </row>
    <row r="311" customFormat="false" ht="15" hidden="false" customHeight="false" outlineLevel="0" collapsed="false">
      <c r="A311" s="11" t="str">
        <f aca="true">IF($B311="","",IF(AND(A311&lt;&gt;"",A311&lt;&gt;0),A311,TODAY()))</f>
        <v/>
      </c>
      <c r="B311" s="12"/>
      <c r="C311" s="13"/>
      <c r="D311" s="13"/>
      <c r="E311" s="13"/>
      <c r="F311" s="14"/>
      <c r="G311" s="14"/>
      <c r="H311" s="14"/>
      <c r="I311" s="15" t="str">
        <f aca="false">IF($B311="","",IF(AND(G311="",H311=""),"",G311+H311))</f>
        <v/>
      </c>
      <c r="J311" s="15" t="str">
        <f aca="false">IF(OR($B311="",I311=""),"",I311-F311)</f>
        <v/>
      </c>
      <c r="K311" s="16" t="str">
        <f aca="false">IF($B311="","",IF(AND(G311="",H311=""),"Not Counted",IF(OR(G311="",H311=""),"Partially Counted",IF(J311=0,"Match",IF(J311&gt;0,"Overage","Shortage")))))</f>
        <v/>
      </c>
      <c r="L311" s="16" t="str">
        <f aca="false">IF($B311="","",IF(AND(L311&lt;&gt;"",L311&lt;&gt;0),L311,$B$4))</f>
        <v/>
      </c>
      <c r="M311" s="13"/>
      <c r="N311" s="13"/>
      <c r="O311" s="13"/>
    </row>
    <row r="312" customFormat="false" ht="15" hidden="false" customHeight="false" outlineLevel="0" collapsed="false">
      <c r="A312" s="11" t="str">
        <f aca="true">IF($B312="","",IF(AND(A312&lt;&gt;"",A312&lt;&gt;0),A312,TODAY()))</f>
        <v/>
      </c>
      <c r="B312" s="12"/>
      <c r="C312" s="13"/>
      <c r="D312" s="13"/>
      <c r="E312" s="13"/>
      <c r="F312" s="14"/>
      <c r="G312" s="14"/>
      <c r="H312" s="14"/>
      <c r="I312" s="15" t="str">
        <f aca="false">IF($B312="","",IF(AND(G312="",H312=""),"",G312+H312))</f>
        <v/>
      </c>
      <c r="J312" s="15" t="str">
        <f aca="false">IF(OR($B312="",I312=""),"",I312-F312)</f>
        <v/>
      </c>
      <c r="K312" s="16" t="str">
        <f aca="false">IF($B312="","",IF(AND(G312="",H312=""),"Not Counted",IF(OR(G312="",H312=""),"Partially Counted",IF(J312=0,"Match",IF(J312&gt;0,"Overage","Shortage")))))</f>
        <v/>
      </c>
      <c r="L312" s="16" t="str">
        <f aca="false">IF($B312="","",IF(AND(L312&lt;&gt;"",L312&lt;&gt;0),L312,$B$4))</f>
        <v/>
      </c>
      <c r="M312" s="13"/>
      <c r="N312" s="13"/>
      <c r="O312" s="13"/>
    </row>
    <row r="313" customFormat="false" ht="15" hidden="false" customHeight="false" outlineLevel="0" collapsed="false">
      <c r="A313" s="11" t="str">
        <f aca="true">IF($B313="","",IF(AND(A313&lt;&gt;"",A313&lt;&gt;0),A313,TODAY()))</f>
        <v/>
      </c>
      <c r="B313" s="12"/>
      <c r="C313" s="13"/>
      <c r="D313" s="13"/>
      <c r="E313" s="13"/>
      <c r="F313" s="14"/>
      <c r="G313" s="14"/>
      <c r="H313" s="14"/>
      <c r="I313" s="15" t="str">
        <f aca="false">IF($B313="","",IF(AND(G313="",H313=""),"",G313+H313))</f>
        <v/>
      </c>
      <c r="J313" s="15" t="str">
        <f aca="false">IF(OR($B313="",I313=""),"",I313-F313)</f>
        <v/>
      </c>
      <c r="K313" s="16" t="str">
        <f aca="false">IF($B313="","",IF(AND(G313="",H313=""),"Not Counted",IF(OR(G313="",H313=""),"Partially Counted",IF(J313=0,"Match",IF(J313&gt;0,"Overage","Shortage")))))</f>
        <v/>
      </c>
      <c r="L313" s="16" t="str">
        <f aca="false">IF($B313="","",IF(AND(L313&lt;&gt;"",L313&lt;&gt;0),L313,$B$4))</f>
        <v/>
      </c>
      <c r="M313" s="13"/>
      <c r="N313" s="13"/>
      <c r="O313" s="13"/>
    </row>
    <row r="314" customFormat="false" ht="15" hidden="false" customHeight="false" outlineLevel="0" collapsed="false">
      <c r="A314" s="11" t="str">
        <f aca="true">IF($B314="","",IF(AND(A314&lt;&gt;"",A314&lt;&gt;0),A314,TODAY()))</f>
        <v/>
      </c>
      <c r="B314" s="12"/>
      <c r="C314" s="13"/>
      <c r="D314" s="13"/>
      <c r="E314" s="13"/>
      <c r="F314" s="14"/>
      <c r="G314" s="14"/>
      <c r="H314" s="14"/>
      <c r="I314" s="15" t="str">
        <f aca="false">IF($B314="","",IF(AND(G314="",H314=""),"",G314+H314))</f>
        <v/>
      </c>
      <c r="J314" s="15" t="str">
        <f aca="false">IF(OR($B314="",I314=""),"",I314-F314)</f>
        <v/>
      </c>
      <c r="K314" s="16" t="str">
        <f aca="false">IF($B314="","",IF(AND(G314="",H314=""),"Not Counted",IF(OR(G314="",H314=""),"Partially Counted",IF(J314=0,"Match",IF(J314&gt;0,"Overage","Shortage")))))</f>
        <v/>
      </c>
      <c r="L314" s="16" t="str">
        <f aca="false">IF($B314="","",IF(AND(L314&lt;&gt;"",L314&lt;&gt;0),L314,$B$4))</f>
        <v/>
      </c>
      <c r="M314" s="13"/>
      <c r="N314" s="13"/>
      <c r="O314" s="13"/>
    </row>
    <row r="315" customFormat="false" ht="15" hidden="false" customHeight="false" outlineLevel="0" collapsed="false">
      <c r="A315" s="11" t="str">
        <f aca="true">IF($B315="","",IF(AND(A315&lt;&gt;"",A315&lt;&gt;0),A315,TODAY()))</f>
        <v/>
      </c>
      <c r="B315" s="12"/>
      <c r="C315" s="13"/>
      <c r="D315" s="13"/>
      <c r="E315" s="13"/>
      <c r="F315" s="14"/>
      <c r="G315" s="14"/>
      <c r="H315" s="14"/>
      <c r="I315" s="15" t="str">
        <f aca="false">IF($B315="","",IF(AND(G315="",H315=""),"",G315+H315))</f>
        <v/>
      </c>
      <c r="J315" s="15" t="str">
        <f aca="false">IF(OR($B315="",I315=""),"",I315-F315)</f>
        <v/>
      </c>
      <c r="K315" s="16" t="str">
        <f aca="false">IF($B315="","",IF(AND(G315="",H315=""),"Not Counted",IF(OR(G315="",H315=""),"Partially Counted",IF(J315=0,"Match",IF(J315&gt;0,"Overage","Shortage")))))</f>
        <v/>
      </c>
      <c r="L315" s="16" t="str">
        <f aca="false">IF($B315="","",IF(AND(L315&lt;&gt;"",L315&lt;&gt;0),L315,$B$4))</f>
        <v/>
      </c>
      <c r="M315" s="13"/>
      <c r="N315" s="13"/>
      <c r="O315" s="13"/>
    </row>
    <row r="316" customFormat="false" ht="15" hidden="false" customHeight="false" outlineLevel="0" collapsed="false">
      <c r="A316" s="11" t="str">
        <f aca="true">IF($B316="","",IF(AND(A316&lt;&gt;"",A316&lt;&gt;0),A316,TODAY()))</f>
        <v/>
      </c>
      <c r="B316" s="12"/>
      <c r="C316" s="13"/>
      <c r="D316" s="13"/>
      <c r="E316" s="13"/>
      <c r="F316" s="14"/>
      <c r="G316" s="14"/>
      <c r="H316" s="14"/>
      <c r="I316" s="15" t="str">
        <f aca="false">IF($B316="","",IF(AND(G316="",H316=""),"",G316+H316))</f>
        <v/>
      </c>
      <c r="J316" s="15" t="str">
        <f aca="false">IF(OR($B316="",I316=""),"",I316-F316)</f>
        <v/>
      </c>
      <c r="K316" s="16" t="str">
        <f aca="false">IF($B316="","",IF(AND(G316="",H316=""),"Not Counted",IF(OR(G316="",H316=""),"Partially Counted",IF(J316=0,"Match",IF(J316&gt;0,"Overage","Shortage")))))</f>
        <v/>
      </c>
      <c r="L316" s="16" t="str">
        <f aca="false">IF($B316="","",IF(AND(L316&lt;&gt;"",L316&lt;&gt;0),L316,$B$4))</f>
        <v/>
      </c>
      <c r="M316" s="13"/>
      <c r="N316" s="13"/>
      <c r="O316" s="13"/>
    </row>
    <row r="317" customFormat="false" ht="15" hidden="false" customHeight="false" outlineLevel="0" collapsed="false">
      <c r="A317" s="11" t="str">
        <f aca="true">IF($B317="","",IF(AND(A317&lt;&gt;"",A317&lt;&gt;0),A317,TODAY()))</f>
        <v/>
      </c>
      <c r="B317" s="12"/>
      <c r="C317" s="13"/>
      <c r="D317" s="13"/>
      <c r="E317" s="13"/>
      <c r="F317" s="14"/>
      <c r="G317" s="14"/>
      <c r="H317" s="14"/>
      <c r="I317" s="15" t="str">
        <f aca="false">IF($B317="","",IF(AND(G317="",H317=""),"",G317+H317))</f>
        <v/>
      </c>
      <c r="J317" s="15" t="str">
        <f aca="false">IF(OR($B317="",I317=""),"",I317-F317)</f>
        <v/>
      </c>
      <c r="K317" s="16" t="str">
        <f aca="false">IF($B317="","",IF(AND(G317="",H317=""),"Not Counted",IF(OR(G317="",H317=""),"Partially Counted",IF(J317=0,"Match",IF(J317&gt;0,"Overage","Shortage")))))</f>
        <v/>
      </c>
      <c r="L317" s="16" t="str">
        <f aca="false">IF($B317="","",IF(AND(L317&lt;&gt;"",L317&lt;&gt;0),L317,$B$4))</f>
        <v/>
      </c>
      <c r="M317" s="13"/>
      <c r="N317" s="13"/>
      <c r="O317" s="13"/>
    </row>
    <row r="318" customFormat="false" ht="15" hidden="false" customHeight="false" outlineLevel="0" collapsed="false">
      <c r="A318" s="11" t="str">
        <f aca="true">IF($B318="","",IF(AND(A318&lt;&gt;"",A318&lt;&gt;0),A318,TODAY()))</f>
        <v/>
      </c>
      <c r="B318" s="12"/>
      <c r="C318" s="13"/>
      <c r="D318" s="13"/>
      <c r="E318" s="13"/>
      <c r="F318" s="14"/>
      <c r="G318" s="14"/>
      <c r="H318" s="14"/>
      <c r="I318" s="15" t="str">
        <f aca="false">IF($B318="","",IF(AND(G318="",H318=""),"",G318+H318))</f>
        <v/>
      </c>
      <c r="J318" s="15" t="str">
        <f aca="false">IF(OR($B318="",I318=""),"",I318-F318)</f>
        <v/>
      </c>
      <c r="K318" s="16" t="str">
        <f aca="false">IF($B318="","",IF(AND(G318="",H318=""),"Not Counted",IF(OR(G318="",H318=""),"Partially Counted",IF(J318=0,"Match",IF(J318&gt;0,"Overage","Shortage")))))</f>
        <v/>
      </c>
      <c r="L318" s="16" t="str">
        <f aca="false">IF($B318="","",IF(AND(L318&lt;&gt;"",L318&lt;&gt;0),L318,$B$4))</f>
        <v/>
      </c>
      <c r="M318" s="13"/>
      <c r="N318" s="13"/>
      <c r="O318" s="13"/>
    </row>
    <row r="319" customFormat="false" ht="15" hidden="false" customHeight="false" outlineLevel="0" collapsed="false">
      <c r="A319" s="11" t="str">
        <f aca="true">IF($B319="","",IF(AND(A319&lt;&gt;"",A319&lt;&gt;0),A319,TODAY()))</f>
        <v/>
      </c>
      <c r="B319" s="12"/>
      <c r="C319" s="13"/>
      <c r="D319" s="13"/>
      <c r="E319" s="13"/>
      <c r="F319" s="14"/>
      <c r="G319" s="14"/>
      <c r="H319" s="14"/>
      <c r="I319" s="15" t="str">
        <f aca="false">IF($B319="","",IF(AND(G319="",H319=""),"",G319+H319))</f>
        <v/>
      </c>
      <c r="J319" s="15" t="str">
        <f aca="false">IF(OR($B319="",I319=""),"",I319-F319)</f>
        <v/>
      </c>
      <c r="K319" s="16" t="str">
        <f aca="false">IF($B319="","",IF(AND(G319="",H319=""),"Not Counted",IF(OR(G319="",H319=""),"Partially Counted",IF(J319=0,"Match",IF(J319&gt;0,"Overage","Shortage")))))</f>
        <v/>
      </c>
      <c r="L319" s="16" t="str">
        <f aca="false">IF($B319="","",IF(AND(L319&lt;&gt;"",L319&lt;&gt;0),L319,$B$4))</f>
        <v/>
      </c>
      <c r="M319" s="13"/>
      <c r="N319" s="13"/>
      <c r="O319" s="13"/>
    </row>
    <row r="320" customFormat="false" ht="15" hidden="false" customHeight="false" outlineLevel="0" collapsed="false">
      <c r="A320" s="11" t="str">
        <f aca="true">IF($B320="","",IF(AND(A320&lt;&gt;"",A320&lt;&gt;0),A320,TODAY()))</f>
        <v/>
      </c>
      <c r="B320" s="12"/>
      <c r="C320" s="13"/>
      <c r="D320" s="13"/>
      <c r="E320" s="13"/>
      <c r="F320" s="14"/>
      <c r="G320" s="14"/>
      <c r="H320" s="14"/>
      <c r="I320" s="15" t="str">
        <f aca="false">IF($B320="","",IF(AND(G320="",H320=""),"",G320+H320))</f>
        <v/>
      </c>
      <c r="J320" s="15" t="str">
        <f aca="false">IF(OR($B320="",I320=""),"",I320-F320)</f>
        <v/>
      </c>
      <c r="K320" s="16" t="str">
        <f aca="false">IF($B320="","",IF(AND(G320="",H320=""),"Not Counted",IF(OR(G320="",H320=""),"Partially Counted",IF(J320=0,"Match",IF(J320&gt;0,"Overage","Shortage")))))</f>
        <v/>
      </c>
      <c r="L320" s="16" t="str">
        <f aca="false">IF($B320="","",IF(AND(L320&lt;&gt;"",L320&lt;&gt;0),L320,$B$4))</f>
        <v/>
      </c>
      <c r="M320" s="13"/>
      <c r="N320" s="13"/>
      <c r="O320" s="13"/>
    </row>
    <row r="321" customFormat="false" ht="15" hidden="false" customHeight="false" outlineLevel="0" collapsed="false">
      <c r="A321" s="11" t="str">
        <f aca="true">IF($B321="","",IF(AND(A321&lt;&gt;"",A321&lt;&gt;0),A321,TODAY()))</f>
        <v/>
      </c>
      <c r="B321" s="12"/>
      <c r="C321" s="13"/>
      <c r="D321" s="13"/>
      <c r="E321" s="13"/>
      <c r="F321" s="14"/>
      <c r="G321" s="14"/>
      <c r="H321" s="14"/>
      <c r="I321" s="15" t="str">
        <f aca="false">IF($B321="","",IF(AND(G321="",H321=""),"",G321+H321))</f>
        <v/>
      </c>
      <c r="J321" s="15" t="str">
        <f aca="false">IF(OR($B321="",I321=""),"",I321-F321)</f>
        <v/>
      </c>
      <c r="K321" s="16" t="str">
        <f aca="false">IF($B321="","",IF(AND(G321="",H321=""),"Not Counted",IF(OR(G321="",H321=""),"Partially Counted",IF(J321=0,"Match",IF(J321&gt;0,"Overage","Shortage")))))</f>
        <v/>
      </c>
      <c r="L321" s="16" t="str">
        <f aca="false">IF($B321="","",IF(AND(L321&lt;&gt;"",L321&lt;&gt;0),L321,$B$4))</f>
        <v/>
      </c>
      <c r="M321" s="13"/>
      <c r="N321" s="13"/>
      <c r="O321" s="13"/>
    </row>
    <row r="322" customFormat="false" ht="15" hidden="false" customHeight="false" outlineLevel="0" collapsed="false">
      <c r="A322" s="11" t="str">
        <f aca="true">IF($B322="","",IF(AND(A322&lt;&gt;"",A322&lt;&gt;0),A322,TODAY()))</f>
        <v/>
      </c>
      <c r="B322" s="12"/>
      <c r="C322" s="13"/>
      <c r="D322" s="13"/>
      <c r="E322" s="13"/>
      <c r="F322" s="14"/>
      <c r="G322" s="14"/>
      <c r="H322" s="14"/>
      <c r="I322" s="15" t="str">
        <f aca="false">IF($B322="","",IF(AND(G322="",H322=""),"",G322+H322))</f>
        <v/>
      </c>
      <c r="J322" s="15" t="str">
        <f aca="false">IF(OR($B322="",I322=""),"",I322-F322)</f>
        <v/>
      </c>
      <c r="K322" s="16" t="str">
        <f aca="false">IF($B322="","",IF(AND(G322="",H322=""),"Not Counted",IF(OR(G322="",H322=""),"Partially Counted",IF(J322=0,"Match",IF(J322&gt;0,"Overage","Shortage")))))</f>
        <v/>
      </c>
      <c r="L322" s="16" t="str">
        <f aca="false">IF($B322="","",IF(AND(L322&lt;&gt;"",L322&lt;&gt;0),L322,$B$4))</f>
        <v/>
      </c>
      <c r="M322" s="13"/>
      <c r="N322" s="13"/>
      <c r="O322" s="13"/>
    </row>
    <row r="323" customFormat="false" ht="15" hidden="false" customHeight="false" outlineLevel="0" collapsed="false">
      <c r="A323" s="11" t="str">
        <f aca="true">IF($B323="","",IF(AND(A323&lt;&gt;"",A323&lt;&gt;0),A323,TODAY()))</f>
        <v/>
      </c>
      <c r="B323" s="12"/>
      <c r="C323" s="13"/>
      <c r="D323" s="13"/>
      <c r="E323" s="13"/>
      <c r="F323" s="14"/>
      <c r="G323" s="14"/>
      <c r="H323" s="14"/>
      <c r="I323" s="15" t="str">
        <f aca="false">IF($B323="","",IF(AND(G323="",H323=""),"",G323+H323))</f>
        <v/>
      </c>
      <c r="J323" s="15" t="str">
        <f aca="false">IF(OR($B323="",I323=""),"",I323-F323)</f>
        <v/>
      </c>
      <c r="K323" s="16" t="str">
        <f aca="false">IF($B323="","",IF(AND(G323="",H323=""),"Not Counted",IF(OR(G323="",H323=""),"Partially Counted",IF(J323=0,"Match",IF(J323&gt;0,"Overage","Shortage")))))</f>
        <v/>
      </c>
      <c r="L323" s="16" t="str">
        <f aca="false">IF($B323="","",IF(AND(L323&lt;&gt;"",L323&lt;&gt;0),L323,$B$4))</f>
        <v/>
      </c>
      <c r="M323" s="13"/>
      <c r="N323" s="13"/>
      <c r="O323" s="13"/>
    </row>
    <row r="324" customFormat="false" ht="15" hidden="false" customHeight="false" outlineLevel="0" collapsed="false">
      <c r="A324" s="11" t="str">
        <f aca="true">IF($B324="","",IF(AND(A324&lt;&gt;"",A324&lt;&gt;0),A324,TODAY()))</f>
        <v/>
      </c>
      <c r="B324" s="12"/>
      <c r="C324" s="13"/>
      <c r="D324" s="13"/>
      <c r="E324" s="13"/>
      <c r="F324" s="14"/>
      <c r="G324" s="14"/>
      <c r="H324" s="14"/>
      <c r="I324" s="15" t="str">
        <f aca="false">IF($B324="","",IF(AND(G324="",H324=""),"",G324+H324))</f>
        <v/>
      </c>
      <c r="J324" s="15" t="str">
        <f aca="false">IF(OR($B324="",I324=""),"",I324-F324)</f>
        <v/>
      </c>
      <c r="K324" s="16" t="str">
        <f aca="false">IF($B324="","",IF(AND(G324="",H324=""),"Not Counted",IF(OR(G324="",H324=""),"Partially Counted",IF(J324=0,"Match",IF(J324&gt;0,"Overage","Shortage")))))</f>
        <v/>
      </c>
      <c r="L324" s="16" t="str">
        <f aca="false">IF($B324="","",IF(AND(L324&lt;&gt;"",L324&lt;&gt;0),L324,$B$4))</f>
        <v/>
      </c>
      <c r="M324" s="13"/>
      <c r="N324" s="13"/>
      <c r="O324" s="13"/>
    </row>
    <row r="325" customFormat="false" ht="15" hidden="false" customHeight="false" outlineLevel="0" collapsed="false">
      <c r="A325" s="11" t="str">
        <f aca="true">IF($B325="","",IF(AND(A325&lt;&gt;"",A325&lt;&gt;0),A325,TODAY()))</f>
        <v/>
      </c>
      <c r="B325" s="12"/>
      <c r="C325" s="13"/>
      <c r="D325" s="13"/>
      <c r="E325" s="13"/>
      <c r="F325" s="14"/>
      <c r="G325" s="14"/>
      <c r="H325" s="14"/>
      <c r="I325" s="15" t="str">
        <f aca="false">IF($B325="","",IF(AND(G325="",H325=""),"",G325+H325))</f>
        <v/>
      </c>
      <c r="J325" s="15" t="str">
        <f aca="false">IF(OR($B325="",I325=""),"",I325-F325)</f>
        <v/>
      </c>
      <c r="K325" s="16" t="str">
        <f aca="false">IF($B325="","",IF(AND(G325="",H325=""),"Not Counted",IF(OR(G325="",H325=""),"Partially Counted",IF(J325=0,"Match",IF(J325&gt;0,"Overage","Shortage")))))</f>
        <v/>
      </c>
      <c r="L325" s="16" t="str">
        <f aca="false">IF($B325="","",IF(AND(L325&lt;&gt;"",L325&lt;&gt;0),L325,$B$4))</f>
        <v/>
      </c>
      <c r="M325" s="13"/>
      <c r="N325" s="13"/>
      <c r="O325" s="13"/>
    </row>
    <row r="326" customFormat="false" ht="15" hidden="false" customHeight="false" outlineLevel="0" collapsed="false">
      <c r="A326" s="11" t="str">
        <f aca="true">IF($B326="","",IF(AND(A326&lt;&gt;"",A326&lt;&gt;0),A326,TODAY()))</f>
        <v/>
      </c>
      <c r="B326" s="12"/>
      <c r="C326" s="13"/>
      <c r="D326" s="13"/>
      <c r="E326" s="13"/>
      <c r="F326" s="14"/>
      <c r="G326" s="14"/>
      <c r="H326" s="14"/>
      <c r="I326" s="15" t="str">
        <f aca="false">IF($B326="","",IF(AND(G326="",H326=""),"",G326+H326))</f>
        <v/>
      </c>
      <c r="J326" s="15" t="str">
        <f aca="false">IF(OR($B326="",I326=""),"",I326-F326)</f>
        <v/>
      </c>
      <c r="K326" s="16" t="str">
        <f aca="false">IF($B326="","",IF(AND(G326="",H326=""),"Not Counted",IF(OR(G326="",H326=""),"Partially Counted",IF(J326=0,"Match",IF(J326&gt;0,"Overage","Shortage")))))</f>
        <v/>
      </c>
      <c r="L326" s="16" t="str">
        <f aca="false">IF($B326="","",IF(AND(L326&lt;&gt;"",L326&lt;&gt;0),L326,$B$4))</f>
        <v/>
      </c>
      <c r="M326" s="13"/>
      <c r="N326" s="13"/>
      <c r="O326" s="13"/>
    </row>
    <row r="327" customFormat="false" ht="15" hidden="false" customHeight="false" outlineLevel="0" collapsed="false">
      <c r="A327" s="11" t="str">
        <f aca="true">IF($B327="","",IF(AND(A327&lt;&gt;"",A327&lt;&gt;0),A327,TODAY()))</f>
        <v/>
      </c>
      <c r="B327" s="12"/>
      <c r="C327" s="13"/>
      <c r="D327" s="13"/>
      <c r="E327" s="13"/>
      <c r="F327" s="14"/>
      <c r="G327" s="14"/>
      <c r="H327" s="14"/>
      <c r="I327" s="15" t="str">
        <f aca="false">IF($B327="","",IF(AND(G327="",H327=""),"",G327+H327))</f>
        <v/>
      </c>
      <c r="J327" s="15" t="str">
        <f aca="false">IF(OR($B327="",I327=""),"",I327-F327)</f>
        <v/>
      </c>
      <c r="K327" s="16" t="str">
        <f aca="false">IF($B327="","",IF(AND(G327="",H327=""),"Not Counted",IF(OR(G327="",H327=""),"Partially Counted",IF(J327=0,"Match",IF(J327&gt;0,"Overage","Shortage")))))</f>
        <v/>
      </c>
      <c r="L327" s="16" t="str">
        <f aca="false">IF($B327="","",IF(AND(L327&lt;&gt;"",L327&lt;&gt;0),L327,$B$4))</f>
        <v/>
      </c>
      <c r="M327" s="13"/>
      <c r="N327" s="13"/>
      <c r="O327" s="13"/>
    </row>
    <row r="328" customFormat="false" ht="15" hidden="false" customHeight="false" outlineLevel="0" collapsed="false">
      <c r="A328" s="11" t="str">
        <f aca="true">IF($B328="","",IF(AND(A328&lt;&gt;"",A328&lt;&gt;0),A328,TODAY()))</f>
        <v/>
      </c>
      <c r="B328" s="12"/>
      <c r="C328" s="13"/>
      <c r="D328" s="13"/>
      <c r="E328" s="13"/>
      <c r="F328" s="14"/>
      <c r="G328" s="14"/>
      <c r="H328" s="14"/>
      <c r="I328" s="15" t="str">
        <f aca="false">IF($B328="","",IF(AND(G328="",H328=""),"",G328+H328))</f>
        <v/>
      </c>
      <c r="J328" s="15" t="str">
        <f aca="false">IF(OR($B328="",I328=""),"",I328-F328)</f>
        <v/>
      </c>
      <c r="K328" s="16" t="str">
        <f aca="false">IF($B328="","",IF(AND(G328="",H328=""),"Not Counted",IF(OR(G328="",H328=""),"Partially Counted",IF(J328=0,"Match",IF(J328&gt;0,"Overage","Shortage")))))</f>
        <v/>
      </c>
      <c r="L328" s="16" t="str">
        <f aca="false">IF($B328="","",IF(AND(L328&lt;&gt;"",L328&lt;&gt;0),L328,$B$4))</f>
        <v/>
      </c>
      <c r="M328" s="13"/>
      <c r="N328" s="13"/>
      <c r="O328" s="13"/>
    </row>
    <row r="329" customFormat="false" ht="15" hidden="false" customHeight="false" outlineLevel="0" collapsed="false">
      <c r="A329" s="11" t="str">
        <f aca="true">IF($B329="","",IF(AND(A329&lt;&gt;"",A329&lt;&gt;0),A329,TODAY()))</f>
        <v/>
      </c>
      <c r="B329" s="12"/>
      <c r="C329" s="13"/>
      <c r="D329" s="13"/>
      <c r="E329" s="13"/>
      <c r="F329" s="14"/>
      <c r="G329" s="14"/>
      <c r="H329" s="14"/>
      <c r="I329" s="15" t="str">
        <f aca="false">IF($B329="","",IF(AND(G329="",H329=""),"",G329+H329))</f>
        <v/>
      </c>
      <c r="J329" s="15" t="str">
        <f aca="false">IF(OR($B329="",I329=""),"",I329-F329)</f>
        <v/>
      </c>
      <c r="K329" s="16" t="str">
        <f aca="false">IF($B329="","",IF(AND(G329="",H329=""),"Not Counted",IF(OR(G329="",H329=""),"Partially Counted",IF(J329=0,"Match",IF(J329&gt;0,"Overage","Shortage")))))</f>
        <v/>
      </c>
      <c r="L329" s="16" t="str">
        <f aca="false">IF($B329="","",IF(AND(L329&lt;&gt;"",L329&lt;&gt;0),L329,$B$4))</f>
        <v/>
      </c>
      <c r="M329" s="13"/>
      <c r="N329" s="13"/>
      <c r="O329" s="13"/>
    </row>
    <row r="330" customFormat="false" ht="15" hidden="false" customHeight="false" outlineLevel="0" collapsed="false">
      <c r="A330" s="11" t="str">
        <f aca="true">IF($B330="","",IF(AND(A330&lt;&gt;"",A330&lt;&gt;0),A330,TODAY()))</f>
        <v/>
      </c>
      <c r="B330" s="12"/>
      <c r="C330" s="13"/>
      <c r="D330" s="13"/>
      <c r="E330" s="13"/>
      <c r="F330" s="14"/>
      <c r="G330" s="14"/>
      <c r="H330" s="14"/>
      <c r="I330" s="15" t="str">
        <f aca="false">IF($B330="","",IF(AND(G330="",H330=""),"",G330+H330))</f>
        <v/>
      </c>
      <c r="J330" s="15" t="str">
        <f aca="false">IF(OR($B330="",I330=""),"",I330-F330)</f>
        <v/>
      </c>
      <c r="K330" s="16" t="str">
        <f aca="false">IF($B330="","",IF(AND(G330="",H330=""),"Not Counted",IF(OR(G330="",H330=""),"Partially Counted",IF(J330=0,"Match",IF(J330&gt;0,"Overage","Shortage")))))</f>
        <v/>
      </c>
      <c r="L330" s="16" t="str">
        <f aca="false">IF($B330="","",IF(AND(L330&lt;&gt;"",L330&lt;&gt;0),L330,$B$4))</f>
        <v/>
      </c>
      <c r="M330" s="13"/>
      <c r="N330" s="13"/>
      <c r="O330" s="13"/>
    </row>
    <row r="331" customFormat="false" ht="15" hidden="false" customHeight="false" outlineLevel="0" collapsed="false">
      <c r="A331" s="11" t="str">
        <f aca="true">IF($B331="","",IF(AND(A331&lt;&gt;"",A331&lt;&gt;0),A331,TODAY()))</f>
        <v/>
      </c>
      <c r="B331" s="12"/>
      <c r="C331" s="13"/>
      <c r="D331" s="13"/>
      <c r="E331" s="13"/>
      <c r="F331" s="14"/>
      <c r="G331" s="14"/>
      <c r="H331" s="14"/>
      <c r="I331" s="15" t="str">
        <f aca="false">IF($B331="","",IF(AND(G331="",H331=""),"",G331+H331))</f>
        <v/>
      </c>
      <c r="J331" s="15" t="str">
        <f aca="false">IF(OR($B331="",I331=""),"",I331-F331)</f>
        <v/>
      </c>
      <c r="K331" s="16" t="str">
        <f aca="false">IF($B331="","",IF(AND(G331="",H331=""),"Not Counted",IF(OR(G331="",H331=""),"Partially Counted",IF(J331=0,"Match",IF(J331&gt;0,"Overage","Shortage")))))</f>
        <v/>
      </c>
      <c r="L331" s="16" t="str">
        <f aca="false">IF($B331="","",IF(AND(L331&lt;&gt;"",L331&lt;&gt;0),L331,$B$4))</f>
        <v/>
      </c>
      <c r="M331" s="13"/>
      <c r="N331" s="13"/>
      <c r="O331" s="13"/>
    </row>
    <row r="332" customFormat="false" ht="15" hidden="false" customHeight="false" outlineLevel="0" collapsed="false">
      <c r="A332" s="11" t="str">
        <f aca="true">IF($B332="","",IF(AND(A332&lt;&gt;"",A332&lt;&gt;0),A332,TODAY()))</f>
        <v/>
      </c>
      <c r="B332" s="12"/>
      <c r="C332" s="13"/>
      <c r="D332" s="13"/>
      <c r="E332" s="13"/>
      <c r="F332" s="14"/>
      <c r="G332" s="14"/>
      <c r="H332" s="14"/>
      <c r="I332" s="15" t="str">
        <f aca="false">IF($B332="","",IF(AND(G332="",H332=""),"",G332+H332))</f>
        <v/>
      </c>
      <c r="J332" s="15" t="str">
        <f aca="false">IF(OR($B332="",I332=""),"",I332-F332)</f>
        <v/>
      </c>
      <c r="K332" s="16" t="str">
        <f aca="false">IF($B332="","",IF(AND(G332="",H332=""),"Not Counted",IF(OR(G332="",H332=""),"Partially Counted",IF(J332=0,"Match",IF(J332&gt;0,"Overage","Shortage")))))</f>
        <v/>
      </c>
      <c r="L332" s="16" t="str">
        <f aca="false">IF($B332="","",IF(AND(L332&lt;&gt;"",L332&lt;&gt;0),L332,$B$4))</f>
        <v/>
      </c>
      <c r="M332" s="13"/>
      <c r="N332" s="13"/>
      <c r="O332" s="13"/>
    </row>
    <row r="333" customFormat="false" ht="15" hidden="false" customHeight="false" outlineLevel="0" collapsed="false">
      <c r="A333" s="11" t="str">
        <f aca="true">IF($B333="","",IF(AND(A333&lt;&gt;"",A333&lt;&gt;0),A333,TODAY()))</f>
        <v/>
      </c>
      <c r="B333" s="12"/>
      <c r="C333" s="13"/>
      <c r="D333" s="13"/>
      <c r="E333" s="13"/>
      <c r="F333" s="14"/>
      <c r="G333" s="14"/>
      <c r="H333" s="14"/>
      <c r="I333" s="15" t="str">
        <f aca="false">IF($B333="","",IF(AND(G333="",H333=""),"",G333+H333))</f>
        <v/>
      </c>
      <c r="J333" s="15" t="str">
        <f aca="false">IF(OR($B333="",I333=""),"",I333-F333)</f>
        <v/>
      </c>
      <c r="K333" s="16" t="str">
        <f aca="false">IF($B333="","",IF(AND(G333="",H333=""),"Not Counted",IF(OR(G333="",H333=""),"Partially Counted",IF(J333=0,"Match",IF(J333&gt;0,"Overage","Shortage")))))</f>
        <v/>
      </c>
      <c r="L333" s="16" t="str">
        <f aca="false">IF($B333="","",IF(AND(L333&lt;&gt;"",L333&lt;&gt;0),L333,$B$4))</f>
        <v/>
      </c>
      <c r="M333" s="13"/>
      <c r="N333" s="13"/>
      <c r="O333" s="13"/>
    </row>
    <row r="334" customFormat="false" ht="15" hidden="false" customHeight="false" outlineLevel="0" collapsed="false">
      <c r="A334" s="11" t="str">
        <f aca="true">IF($B334="","",IF(AND(A334&lt;&gt;"",A334&lt;&gt;0),A334,TODAY()))</f>
        <v/>
      </c>
      <c r="B334" s="12"/>
      <c r="C334" s="13"/>
      <c r="D334" s="13"/>
      <c r="E334" s="13"/>
      <c r="F334" s="14"/>
      <c r="G334" s="14"/>
      <c r="H334" s="14"/>
      <c r="I334" s="15" t="str">
        <f aca="false">IF($B334="","",IF(AND(G334="",H334=""),"",G334+H334))</f>
        <v/>
      </c>
      <c r="J334" s="15" t="str">
        <f aca="false">IF(OR($B334="",I334=""),"",I334-F334)</f>
        <v/>
      </c>
      <c r="K334" s="16" t="str">
        <f aca="false">IF($B334="","",IF(AND(G334="",H334=""),"Not Counted",IF(OR(G334="",H334=""),"Partially Counted",IF(J334=0,"Match",IF(J334&gt;0,"Overage","Shortage")))))</f>
        <v/>
      </c>
      <c r="L334" s="16" t="str">
        <f aca="false">IF($B334="","",IF(AND(L334&lt;&gt;"",L334&lt;&gt;0),L334,$B$4))</f>
        <v/>
      </c>
      <c r="M334" s="13"/>
      <c r="N334" s="13"/>
      <c r="O334" s="13"/>
    </row>
    <row r="335" customFormat="false" ht="15" hidden="false" customHeight="false" outlineLevel="0" collapsed="false">
      <c r="A335" s="11" t="str">
        <f aca="true">IF($B335="","",IF(AND(A335&lt;&gt;"",A335&lt;&gt;0),A335,TODAY()))</f>
        <v/>
      </c>
      <c r="B335" s="12"/>
      <c r="C335" s="13"/>
      <c r="D335" s="13"/>
      <c r="E335" s="13"/>
      <c r="F335" s="14"/>
      <c r="G335" s="14"/>
      <c r="H335" s="14"/>
      <c r="I335" s="15" t="str">
        <f aca="false">IF($B335="","",IF(AND(G335="",H335=""),"",G335+H335))</f>
        <v/>
      </c>
      <c r="J335" s="15" t="str">
        <f aca="false">IF(OR($B335="",I335=""),"",I335-F335)</f>
        <v/>
      </c>
      <c r="K335" s="16" t="str">
        <f aca="false">IF($B335="","",IF(AND(G335="",H335=""),"Not Counted",IF(OR(G335="",H335=""),"Partially Counted",IF(J335=0,"Match",IF(J335&gt;0,"Overage","Shortage")))))</f>
        <v/>
      </c>
      <c r="L335" s="16" t="str">
        <f aca="false">IF($B335="","",IF(AND(L335&lt;&gt;"",L335&lt;&gt;0),L335,$B$4))</f>
        <v/>
      </c>
      <c r="M335" s="13"/>
      <c r="N335" s="13"/>
      <c r="O335" s="13"/>
    </row>
    <row r="336" customFormat="false" ht="15" hidden="false" customHeight="false" outlineLevel="0" collapsed="false">
      <c r="A336" s="11" t="str">
        <f aca="true">IF($B336="","",IF(AND(A336&lt;&gt;"",A336&lt;&gt;0),A336,TODAY()))</f>
        <v/>
      </c>
      <c r="B336" s="12"/>
      <c r="C336" s="13"/>
      <c r="D336" s="13"/>
      <c r="E336" s="13"/>
      <c r="F336" s="14"/>
      <c r="G336" s="14"/>
      <c r="H336" s="14"/>
      <c r="I336" s="15" t="str">
        <f aca="false">IF($B336="","",IF(AND(G336="",H336=""),"",G336+H336))</f>
        <v/>
      </c>
      <c r="J336" s="15" t="str">
        <f aca="false">IF(OR($B336="",I336=""),"",I336-F336)</f>
        <v/>
      </c>
      <c r="K336" s="16" t="str">
        <f aca="false">IF($B336="","",IF(AND(G336="",H336=""),"Not Counted",IF(OR(G336="",H336=""),"Partially Counted",IF(J336=0,"Match",IF(J336&gt;0,"Overage","Shortage")))))</f>
        <v/>
      </c>
      <c r="L336" s="16" t="str">
        <f aca="false">IF($B336="","",IF(AND(L336&lt;&gt;"",L336&lt;&gt;0),L336,$B$4))</f>
        <v/>
      </c>
      <c r="M336" s="13"/>
      <c r="N336" s="13"/>
      <c r="O336" s="13"/>
    </row>
    <row r="337" customFormat="false" ht="15" hidden="false" customHeight="false" outlineLevel="0" collapsed="false">
      <c r="A337" s="11" t="str">
        <f aca="true">IF($B337="","",IF(AND(A337&lt;&gt;"",A337&lt;&gt;0),A337,TODAY()))</f>
        <v/>
      </c>
      <c r="B337" s="12"/>
      <c r="C337" s="13"/>
      <c r="D337" s="13"/>
      <c r="E337" s="13"/>
      <c r="F337" s="14"/>
      <c r="G337" s="14"/>
      <c r="H337" s="14"/>
      <c r="I337" s="15" t="str">
        <f aca="false">IF($B337="","",IF(AND(G337="",H337=""),"",G337+H337))</f>
        <v/>
      </c>
      <c r="J337" s="15" t="str">
        <f aca="false">IF(OR($B337="",I337=""),"",I337-F337)</f>
        <v/>
      </c>
      <c r="K337" s="16" t="str">
        <f aca="false">IF($B337="","",IF(AND(G337="",H337=""),"Not Counted",IF(OR(G337="",H337=""),"Partially Counted",IF(J337=0,"Match",IF(J337&gt;0,"Overage","Shortage")))))</f>
        <v/>
      </c>
      <c r="L337" s="16" t="str">
        <f aca="false">IF($B337="","",IF(AND(L337&lt;&gt;"",L337&lt;&gt;0),L337,$B$4))</f>
        <v/>
      </c>
      <c r="M337" s="13"/>
      <c r="N337" s="13"/>
      <c r="O337" s="13"/>
    </row>
    <row r="338" customFormat="false" ht="15" hidden="false" customHeight="false" outlineLevel="0" collapsed="false">
      <c r="A338" s="11" t="str">
        <f aca="true">IF($B338="","",IF(AND(A338&lt;&gt;"",A338&lt;&gt;0),A338,TODAY()))</f>
        <v/>
      </c>
      <c r="B338" s="12"/>
      <c r="C338" s="13"/>
      <c r="D338" s="13"/>
      <c r="E338" s="13"/>
      <c r="F338" s="14"/>
      <c r="G338" s="14"/>
      <c r="H338" s="14"/>
      <c r="I338" s="15" t="str">
        <f aca="false">IF($B338="","",IF(AND(G338="",H338=""),"",G338+H338))</f>
        <v/>
      </c>
      <c r="J338" s="15" t="str">
        <f aca="false">IF(OR($B338="",I338=""),"",I338-F338)</f>
        <v/>
      </c>
      <c r="K338" s="16" t="str">
        <f aca="false">IF($B338="","",IF(AND(G338="",H338=""),"Not Counted",IF(OR(G338="",H338=""),"Partially Counted",IF(J338=0,"Match",IF(J338&gt;0,"Overage","Shortage")))))</f>
        <v/>
      </c>
      <c r="L338" s="16" t="str">
        <f aca="false">IF($B338="","",IF(AND(L338&lt;&gt;"",L338&lt;&gt;0),L338,$B$4))</f>
        <v/>
      </c>
      <c r="M338" s="13"/>
      <c r="N338" s="13"/>
      <c r="O338" s="13"/>
    </row>
    <row r="339" customFormat="false" ht="15" hidden="false" customHeight="false" outlineLevel="0" collapsed="false">
      <c r="A339" s="11" t="str">
        <f aca="true">IF($B339="","",IF(AND(A339&lt;&gt;"",A339&lt;&gt;0),A339,TODAY()))</f>
        <v/>
      </c>
      <c r="B339" s="12"/>
      <c r="C339" s="13"/>
      <c r="D339" s="13"/>
      <c r="E339" s="13"/>
      <c r="F339" s="14"/>
      <c r="G339" s="14"/>
      <c r="H339" s="14"/>
      <c r="I339" s="15" t="str">
        <f aca="false">IF($B339="","",IF(AND(G339="",H339=""),"",G339+H339))</f>
        <v/>
      </c>
      <c r="J339" s="15" t="str">
        <f aca="false">IF(OR($B339="",I339=""),"",I339-F339)</f>
        <v/>
      </c>
      <c r="K339" s="16" t="str">
        <f aca="false">IF($B339="","",IF(AND(G339="",H339=""),"Not Counted",IF(OR(G339="",H339=""),"Partially Counted",IF(J339=0,"Match",IF(J339&gt;0,"Overage","Shortage")))))</f>
        <v/>
      </c>
      <c r="L339" s="16" t="str">
        <f aca="false">IF($B339="","",IF(AND(L339&lt;&gt;"",L339&lt;&gt;0),L339,$B$4))</f>
        <v/>
      </c>
      <c r="M339" s="13"/>
      <c r="N339" s="13"/>
      <c r="O339" s="13"/>
    </row>
    <row r="340" customFormat="false" ht="15" hidden="false" customHeight="false" outlineLevel="0" collapsed="false">
      <c r="A340" s="11" t="str">
        <f aca="true">IF($B340="","",IF(AND(A340&lt;&gt;"",A340&lt;&gt;0),A340,TODAY()))</f>
        <v/>
      </c>
      <c r="B340" s="12"/>
      <c r="C340" s="13"/>
      <c r="D340" s="13"/>
      <c r="E340" s="13"/>
      <c r="F340" s="14"/>
      <c r="G340" s="14"/>
      <c r="H340" s="14"/>
      <c r="I340" s="15" t="str">
        <f aca="false">IF($B340="","",IF(AND(G340="",H340=""),"",G340+H340))</f>
        <v/>
      </c>
      <c r="J340" s="15" t="str">
        <f aca="false">IF(OR($B340="",I340=""),"",I340-F340)</f>
        <v/>
      </c>
      <c r="K340" s="16" t="str">
        <f aca="false">IF($B340="","",IF(AND(G340="",H340=""),"Not Counted",IF(OR(G340="",H340=""),"Partially Counted",IF(J340=0,"Match",IF(J340&gt;0,"Overage","Shortage")))))</f>
        <v/>
      </c>
      <c r="L340" s="16" t="str">
        <f aca="false">IF($B340="","",IF(AND(L340&lt;&gt;"",L340&lt;&gt;0),L340,$B$4))</f>
        <v/>
      </c>
      <c r="M340" s="13"/>
      <c r="N340" s="13"/>
      <c r="O340" s="13"/>
    </row>
    <row r="341" customFormat="false" ht="15" hidden="false" customHeight="false" outlineLevel="0" collapsed="false">
      <c r="A341" s="11" t="str">
        <f aca="true">IF($B341="","",IF(AND(A341&lt;&gt;"",A341&lt;&gt;0),A341,TODAY()))</f>
        <v/>
      </c>
      <c r="B341" s="12"/>
      <c r="C341" s="13"/>
      <c r="D341" s="13"/>
      <c r="E341" s="13"/>
      <c r="F341" s="14"/>
      <c r="G341" s="14"/>
      <c r="H341" s="14"/>
      <c r="I341" s="15" t="str">
        <f aca="false">IF($B341="","",IF(AND(G341="",H341=""),"",G341+H341))</f>
        <v/>
      </c>
      <c r="J341" s="15" t="str">
        <f aca="false">IF(OR($B341="",I341=""),"",I341-F341)</f>
        <v/>
      </c>
      <c r="K341" s="16" t="str">
        <f aca="false">IF($B341="","",IF(AND(G341="",H341=""),"Not Counted",IF(OR(G341="",H341=""),"Partially Counted",IF(J341=0,"Match",IF(J341&gt;0,"Overage","Shortage")))))</f>
        <v/>
      </c>
      <c r="L341" s="16" t="str">
        <f aca="false">IF($B341="","",IF(AND(L341&lt;&gt;"",L341&lt;&gt;0),L341,$B$4))</f>
        <v/>
      </c>
      <c r="M341" s="13"/>
      <c r="N341" s="13"/>
      <c r="O341" s="13"/>
    </row>
    <row r="342" customFormat="false" ht="15" hidden="false" customHeight="false" outlineLevel="0" collapsed="false">
      <c r="A342" s="11" t="str">
        <f aca="true">IF($B342="","",IF(AND(A342&lt;&gt;"",A342&lt;&gt;0),A342,TODAY()))</f>
        <v/>
      </c>
      <c r="B342" s="12"/>
      <c r="C342" s="13"/>
      <c r="D342" s="13"/>
      <c r="E342" s="13"/>
      <c r="F342" s="14"/>
      <c r="G342" s="14"/>
      <c r="H342" s="14"/>
      <c r="I342" s="15" t="str">
        <f aca="false">IF($B342="","",IF(AND(G342="",H342=""),"",G342+H342))</f>
        <v/>
      </c>
      <c r="J342" s="15" t="str">
        <f aca="false">IF(OR($B342="",I342=""),"",I342-F342)</f>
        <v/>
      </c>
      <c r="K342" s="16" t="str">
        <f aca="false">IF($B342="","",IF(AND(G342="",H342=""),"Not Counted",IF(OR(G342="",H342=""),"Partially Counted",IF(J342=0,"Match",IF(J342&gt;0,"Overage","Shortage")))))</f>
        <v/>
      </c>
      <c r="L342" s="16" t="str">
        <f aca="false">IF($B342="","",IF(AND(L342&lt;&gt;"",L342&lt;&gt;0),L342,$B$4))</f>
        <v/>
      </c>
      <c r="M342" s="13"/>
      <c r="N342" s="13"/>
      <c r="O342" s="13"/>
    </row>
    <row r="343" customFormat="false" ht="15" hidden="false" customHeight="false" outlineLevel="0" collapsed="false">
      <c r="A343" s="11" t="str">
        <f aca="true">IF($B343="","",IF(AND(A343&lt;&gt;"",A343&lt;&gt;0),A343,TODAY()))</f>
        <v/>
      </c>
      <c r="B343" s="12"/>
      <c r="C343" s="13"/>
      <c r="D343" s="13"/>
      <c r="E343" s="13"/>
      <c r="F343" s="14"/>
      <c r="G343" s="14"/>
      <c r="H343" s="14"/>
      <c r="I343" s="15" t="str">
        <f aca="false">IF($B343="","",IF(AND(G343="",H343=""),"",G343+H343))</f>
        <v/>
      </c>
      <c r="J343" s="15" t="str">
        <f aca="false">IF(OR($B343="",I343=""),"",I343-F343)</f>
        <v/>
      </c>
      <c r="K343" s="16" t="str">
        <f aca="false">IF($B343="","",IF(AND(G343="",H343=""),"Not Counted",IF(OR(G343="",H343=""),"Partially Counted",IF(J343=0,"Match",IF(J343&gt;0,"Overage","Shortage")))))</f>
        <v/>
      </c>
      <c r="L343" s="16" t="str">
        <f aca="false">IF($B343="","",IF(AND(L343&lt;&gt;"",L343&lt;&gt;0),L343,$B$4))</f>
        <v/>
      </c>
      <c r="M343" s="13"/>
      <c r="N343" s="13"/>
      <c r="O343" s="13"/>
    </row>
    <row r="344" customFormat="false" ht="15" hidden="false" customHeight="false" outlineLevel="0" collapsed="false">
      <c r="A344" s="11" t="str">
        <f aca="true">IF($B344="","",IF(AND(A344&lt;&gt;"",A344&lt;&gt;0),A344,TODAY()))</f>
        <v/>
      </c>
      <c r="B344" s="12"/>
      <c r="C344" s="13"/>
      <c r="D344" s="13"/>
      <c r="E344" s="13"/>
      <c r="F344" s="14"/>
      <c r="G344" s="14"/>
      <c r="H344" s="14"/>
      <c r="I344" s="15" t="str">
        <f aca="false">IF($B344="","",IF(AND(G344="",H344=""),"",G344+H344))</f>
        <v/>
      </c>
      <c r="J344" s="15" t="str">
        <f aca="false">IF(OR($B344="",I344=""),"",I344-F344)</f>
        <v/>
      </c>
      <c r="K344" s="16" t="str">
        <f aca="false">IF($B344="","",IF(AND(G344="",H344=""),"Not Counted",IF(OR(G344="",H344=""),"Partially Counted",IF(J344=0,"Match",IF(J344&gt;0,"Overage","Shortage")))))</f>
        <v/>
      </c>
      <c r="L344" s="16" t="str">
        <f aca="false">IF($B344="","",IF(AND(L344&lt;&gt;"",L344&lt;&gt;0),L344,$B$4))</f>
        <v/>
      </c>
      <c r="M344" s="13"/>
      <c r="N344" s="13"/>
      <c r="O344" s="13"/>
    </row>
    <row r="345" customFormat="false" ht="15" hidden="false" customHeight="false" outlineLevel="0" collapsed="false">
      <c r="A345" s="11" t="str">
        <f aca="true">IF($B345="","",IF(AND(A345&lt;&gt;"",A345&lt;&gt;0),A345,TODAY()))</f>
        <v/>
      </c>
      <c r="B345" s="12"/>
      <c r="C345" s="13"/>
      <c r="D345" s="13"/>
      <c r="E345" s="13"/>
      <c r="F345" s="14"/>
      <c r="G345" s="14"/>
      <c r="H345" s="14"/>
      <c r="I345" s="15" t="str">
        <f aca="false">IF($B345="","",IF(AND(G345="",H345=""),"",G345+H345))</f>
        <v/>
      </c>
      <c r="J345" s="15" t="str">
        <f aca="false">IF(OR($B345="",I345=""),"",I345-F345)</f>
        <v/>
      </c>
      <c r="K345" s="16" t="str">
        <f aca="false">IF($B345="","",IF(AND(G345="",H345=""),"Not Counted",IF(OR(G345="",H345=""),"Partially Counted",IF(J345=0,"Match",IF(J345&gt;0,"Overage","Shortage")))))</f>
        <v/>
      </c>
      <c r="L345" s="16" t="str">
        <f aca="false">IF($B345="","",IF(AND(L345&lt;&gt;"",L345&lt;&gt;0),L345,$B$4))</f>
        <v/>
      </c>
      <c r="M345" s="13"/>
      <c r="N345" s="13"/>
      <c r="O345" s="13"/>
    </row>
    <row r="346" customFormat="false" ht="15" hidden="false" customHeight="false" outlineLevel="0" collapsed="false">
      <c r="A346" s="11" t="str">
        <f aca="true">IF($B346="","",IF(AND(A346&lt;&gt;"",A346&lt;&gt;0),A346,TODAY()))</f>
        <v/>
      </c>
      <c r="B346" s="12"/>
      <c r="C346" s="13"/>
      <c r="D346" s="13"/>
      <c r="E346" s="13"/>
      <c r="F346" s="14"/>
      <c r="G346" s="14"/>
      <c r="H346" s="14"/>
      <c r="I346" s="15" t="str">
        <f aca="false">IF($B346="","",IF(AND(G346="",H346=""),"",G346+H346))</f>
        <v/>
      </c>
      <c r="J346" s="15" t="str">
        <f aca="false">IF(OR($B346="",I346=""),"",I346-F346)</f>
        <v/>
      </c>
      <c r="K346" s="16" t="str">
        <f aca="false">IF($B346="","",IF(AND(G346="",H346=""),"Not Counted",IF(OR(G346="",H346=""),"Partially Counted",IF(J346=0,"Match",IF(J346&gt;0,"Overage","Shortage")))))</f>
        <v/>
      </c>
      <c r="L346" s="16" t="str">
        <f aca="false">IF($B346="","",IF(AND(L346&lt;&gt;"",L346&lt;&gt;0),L346,$B$4))</f>
        <v/>
      </c>
      <c r="M346" s="13"/>
      <c r="N346" s="13"/>
      <c r="O346" s="13"/>
    </row>
    <row r="347" customFormat="false" ht="15" hidden="false" customHeight="false" outlineLevel="0" collapsed="false">
      <c r="A347" s="11" t="str">
        <f aca="true">IF($B347="","",IF(AND(A347&lt;&gt;"",A347&lt;&gt;0),A347,TODAY()))</f>
        <v/>
      </c>
      <c r="B347" s="12"/>
      <c r="C347" s="13"/>
      <c r="D347" s="13"/>
      <c r="E347" s="13"/>
      <c r="F347" s="14"/>
      <c r="G347" s="14"/>
      <c r="H347" s="14"/>
      <c r="I347" s="15" t="str">
        <f aca="false">IF($B347="","",IF(AND(G347="",H347=""),"",G347+H347))</f>
        <v/>
      </c>
      <c r="J347" s="15" t="str">
        <f aca="false">IF(OR($B347="",I347=""),"",I347-F347)</f>
        <v/>
      </c>
      <c r="K347" s="16" t="str">
        <f aca="false">IF($B347="","",IF(AND(G347="",H347=""),"Not Counted",IF(OR(G347="",H347=""),"Partially Counted",IF(J347=0,"Match",IF(J347&gt;0,"Overage","Shortage")))))</f>
        <v/>
      </c>
      <c r="L347" s="16" t="str">
        <f aca="false">IF($B347="","",IF(AND(L347&lt;&gt;"",L347&lt;&gt;0),L347,$B$4))</f>
        <v/>
      </c>
      <c r="M347" s="13"/>
      <c r="N347" s="13"/>
      <c r="O347" s="13"/>
    </row>
    <row r="348" customFormat="false" ht="15" hidden="false" customHeight="false" outlineLevel="0" collapsed="false">
      <c r="A348" s="11" t="str">
        <f aca="true">IF($B348="","",IF(AND(A348&lt;&gt;"",A348&lt;&gt;0),A348,TODAY()))</f>
        <v/>
      </c>
      <c r="B348" s="12"/>
      <c r="C348" s="13"/>
      <c r="D348" s="13"/>
      <c r="E348" s="13"/>
      <c r="F348" s="14"/>
      <c r="G348" s="14"/>
      <c r="H348" s="14"/>
      <c r="I348" s="15" t="str">
        <f aca="false">IF($B348="","",IF(AND(G348="",H348=""),"",G348+H348))</f>
        <v/>
      </c>
      <c r="J348" s="15" t="str">
        <f aca="false">IF(OR($B348="",I348=""),"",I348-F348)</f>
        <v/>
      </c>
      <c r="K348" s="16" t="str">
        <f aca="false">IF($B348="","",IF(AND(G348="",H348=""),"Not Counted",IF(OR(G348="",H348=""),"Partially Counted",IF(J348=0,"Match",IF(J348&gt;0,"Overage","Shortage")))))</f>
        <v/>
      </c>
      <c r="L348" s="16" t="str">
        <f aca="false">IF($B348="","",IF(AND(L348&lt;&gt;"",L348&lt;&gt;0),L348,$B$4))</f>
        <v/>
      </c>
      <c r="M348" s="13"/>
      <c r="N348" s="13"/>
      <c r="O348" s="13"/>
    </row>
    <row r="349" customFormat="false" ht="15" hidden="false" customHeight="false" outlineLevel="0" collapsed="false">
      <c r="A349" s="11" t="str">
        <f aca="true">IF($B349="","",IF(AND(A349&lt;&gt;"",A349&lt;&gt;0),A349,TODAY()))</f>
        <v/>
      </c>
      <c r="B349" s="12"/>
      <c r="C349" s="13"/>
      <c r="D349" s="13"/>
      <c r="E349" s="13"/>
      <c r="F349" s="14"/>
      <c r="G349" s="14"/>
      <c r="H349" s="14"/>
      <c r="I349" s="15" t="str">
        <f aca="false">IF($B349="","",IF(AND(G349="",H349=""),"",G349+H349))</f>
        <v/>
      </c>
      <c r="J349" s="15" t="str">
        <f aca="false">IF(OR($B349="",I349=""),"",I349-F349)</f>
        <v/>
      </c>
      <c r="K349" s="16" t="str">
        <f aca="false">IF($B349="","",IF(AND(G349="",H349=""),"Not Counted",IF(OR(G349="",H349=""),"Partially Counted",IF(J349=0,"Match",IF(J349&gt;0,"Overage","Shortage")))))</f>
        <v/>
      </c>
      <c r="L349" s="16" t="str">
        <f aca="false">IF($B349="","",IF(AND(L349&lt;&gt;"",L349&lt;&gt;0),L349,$B$4))</f>
        <v/>
      </c>
      <c r="M349" s="13"/>
      <c r="N349" s="13"/>
      <c r="O349" s="13"/>
    </row>
    <row r="350" customFormat="false" ht="15" hidden="false" customHeight="false" outlineLevel="0" collapsed="false">
      <c r="A350" s="11" t="str">
        <f aca="true">IF($B350="","",IF(AND(A350&lt;&gt;"",A350&lt;&gt;0),A350,TODAY()))</f>
        <v/>
      </c>
      <c r="B350" s="12"/>
      <c r="C350" s="13"/>
      <c r="D350" s="13"/>
      <c r="E350" s="13"/>
      <c r="F350" s="14"/>
      <c r="G350" s="14"/>
      <c r="H350" s="14"/>
      <c r="I350" s="15" t="str">
        <f aca="false">IF($B350="","",IF(AND(G350="",H350=""),"",G350+H350))</f>
        <v/>
      </c>
      <c r="J350" s="15" t="str">
        <f aca="false">IF(OR($B350="",I350=""),"",I350-F350)</f>
        <v/>
      </c>
      <c r="K350" s="16" t="str">
        <f aca="false">IF($B350="","",IF(AND(G350="",H350=""),"Not Counted",IF(OR(G350="",H350=""),"Partially Counted",IF(J350=0,"Match",IF(J350&gt;0,"Overage","Shortage")))))</f>
        <v/>
      </c>
      <c r="L350" s="16" t="str">
        <f aca="false">IF($B350="","",IF(AND(L350&lt;&gt;"",L350&lt;&gt;0),L350,$B$4))</f>
        <v/>
      </c>
      <c r="M350" s="13"/>
      <c r="N350" s="13"/>
      <c r="O350" s="13"/>
    </row>
    <row r="351" customFormat="false" ht="15" hidden="false" customHeight="false" outlineLevel="0" collapsed="false">
      <c r="A351" s="11" t="str">
        <f aca="true">IF($B351="","",IF(AND(A351&lt;&gt;"",A351&lt;&gt;0),A351,TODAY()))</f>
        <v/>
      </c>
      <c r="B351" s="12"/>
      <c r="C351" s="13"/>
      <c r="D351" s="13"/>
      <c r="E351" s="13"/>
      <c r="F351" s="14"/>
      <c r="G351" s="14"/>
      <c r="H351" s="14"/>
      <c r="I351" s="15" t="str">
        <f aca="false">IF($B351="","",IF(AND(G351="",H351=""),"",G351+H351))</f>
        <v/>
      </c>
      <c r="J351" s="15" t="str">
        <f aca="false">IF(OR($B351="",I351=""),"",I351-F351)</f>
        <v/>
      </c>
      <c r="K351" s="16" t="str">
        <f aca="false">IF($B351="","",IF(AND(G351="",H351=""),"Not Counted",IF(OR(G351="",H351=""),"Partially Counted",IF(J351=0,"Match",IF(J351&gt;0,"Overage","Shortage")))))</f>
        <v/>
      </c>
      <c r="L351" s="16" t="str">
        <f aca="false">IF($B351="","",IF(AND(L351&lt;&gt;"",L351&lt;&gt;0),L351,$B$4))</f>
        <v/>
      </c>
      <c r="M351" s="13"/>
      <c r="N351" s="13"/>
      <c r="O351" s="13"/>
    </row>
    <row r="352" customFormat="false" ht="15" hidden="false" customHeight="false" outlineLevel="0" collapsed="false">
      <c r="A352" s="11" t="str">
        <f aca="true">IF($B352="","",IF(AND(A352&lt;&gt;"",A352&lt;&gt;0),A352,TODAY()))</f>
        <v/>
      </c>
      <c r="B352" s="12"/>
      <c r="C352" s="13"/>
      <c r="D352" s="13"/>
      <c r="E352" s="13"/>
      <c r="F352" s="14"/>
      <c r="G352" s="14"/>
      <c r="H352" s="14"/>
      <c r="I352" s="15" t="str">
        <f aca="false">IF($B352="","",IF(AND(G352="",H352=""),"",G352+H352))</f>
        <v/>
      </c>
      <c r="J352" s="15" t="str">
        <f aca="false">IF(OR($B352="",I352=""),"",I352-F352)</f>
        <v/>
      </c>
      <c r="K352" s="16" t="str">
        <f aca="false">IF($B352="","",IF(AND(G352="",H352=""),"Not Counted",IF(OR(G352="",H352=""),"Partially Counted",IF(J352=0,"Match",IF(J352&gt;0,"Overage","Shortage")))))</f>
        <v/>
      </c>
      <c r="L352" s="16" t="str">
        <f aca="false">IF($B352="","",IF(AND(L352&lt;&gt;"",L352&lt;&gt;0),L352,$B$4))</f>
        <v/>
      </c>
      <c r="M352" s="13"/>
      <c r="N352" s="13"/>
      <c r="O352" s="13"/>
    </row>
    <row r="353" customFormat="false" ht="15" hidden="false" customHeight="false" outlineLevel="0" collapsed="false">
      <c r="A353" s="11" t="str">
        <f aca="true">IF($B353="","",IF(AND(A353&lt;&gt;"",A353&lt;&gt;0),A353,TODAY()))</f>
        <v/>
      </c>
      <c r="B353" s="12"/>
      <c r="C353" s="13"/>
      <c r="D353" s="13"/>
      <c r="E353" s="13"/>
      <c r="F353" s="14"/>
      <c r="G353" s="14"/>
      <c r="H353" s="14"/>
      <c r="I353" s="15" t="str">
        <f aca="false">IF($B353="","",IF(AND(G353="",H353=""),"",G353+H353))</f>
        <v/>
      </c>
      <c r="J353" s="15" t="str">
        <f aca="false">IF(OR($B353="",I353=""),"",I353-F353)</f>
        <v/>
      </c>
      <c r="K353" s="16" t="str">
        <f aca="false">IF($B353="","",IF(AND(G353="",H353=""),"Not Counted",IF(OR(G353="",H353=""),"Partially Counted",IF(J353=0,"Match",IF(J353&gt;0,"Overage","Shortage")))))</f>
        <v/>
      </c>
      <c r="L353" s="16" t="str">
        <f aca="false">IF($B353="","",IF(AND(L353&lt;&gt;"",L353&lt;&gt;0),L353,$B$4))</f>
        <v/>
      </c>
      <c r="M353" s="13"/>
      <c r="N353" s="13"/>
      <c r="O353" s="13"/>
    </row>
    <row r="354" customFormat="false" ht="15" hidden="false" customHeight="false" outlineLevel="0" collapsed="false">
      <c r="A354" s="11" t="str">
        <f aca="true">IF($B354="","",IF(AND(A354&lt;&gt;"",A354&lt;&gt;0),A354,TODAY()))</f>
        <v/>
      </c>
      <c r="B354" s="12"/>
      <c r="C354" s="13"/>
      <c r="D354" s="13"/>
      <c r="E354" s="13"/>
      <c r="F354" s="14"/>
      <c r="G354" s="14"/>
      <c r="H354" s="14"/>
      <c r="I354" s="15" t="str">
        <f aca="false">IF($B354="","",IF(AND(G354="",H354=""),"",G354+H354))</f>
        <v/>
      </c>
      <c r="J354" s="15" t="str">
        <f aca="false">IF(OR($B354="",I354=""),"",I354-F354)</f>
        <v/>
      </c>
      <c r="K354" s="16" t="str">
        <f aca="false">IF($B354="","",IF(AND(G354="",H354=""),"Not Counted",IF(OR(G354="",H354=""),"Partially Counted",IF(J354=0,"Match",IF(J354&gt;0,"Overage","Shortage")))))</f>
        <v/>
      </c>
      <c r="L354" s="16" t="str">
        <f aca="false">IF($B354="","",IF(AND(L354&lt;&gt;"",L354&lt;&gt;0),L354,$B$4))</f>
        <v/>
      </c>
      <c r="M354" s="13"/>
      <c r="N354" s="13"/>
      <c r="O354" s="13"/>
    </row>
    <row r="355" customFormat="false" ht="15" hidden="false" customHeight="false" outlineLevel="0" collapsed="false">
      <c r="A355" s="11" t="str">
        <f aca="true">IF($B355="","",IF(AND(A355&lt;&gt;"",A355&lt;&gt;0),A355,TODAY()))</f>
        <v/>
      </c>
      <c r="B355" s="12"/>
      <c r="C355" s="13"/>
      <c r="D355" s="13"/>
      <c r="E355" s="13"/>
      <c r="F355" s="14"/>
      <c r="G355" s="14"/>
      <c r="H355" s="14"/>
      <c r="I355" s="15" t="str">
        <f aca="false">IF($B355="","",IF(AND(G355="",H355=""),"",G355+H355))</f>
        <v/>
      </c>
      <c r="J355" s="15" t="str">
        <f aca="false">IF(OR($B355="",I355=""),"",I355-F355)</f>
        <v/>
      </c>
      <c r="K355" s="16" t="str">
        <f aca="false">IF($B355="","",IF(AND(G355="",H355=""),"Not Counted",IF(OR(G355="",H355=""),"Partially Counted",IF(J355=0,"Match",IF(J355&gt;0,"Overage","Shortage")))))</f>
        <v/>
      </c>
      <c r="L355" s="16" t="str">
        <f aca="false">IF($B355="","",IF(AND(L355&lt;&gt;"",L355&lt;&gt;0),L355,$B$4))</f>
        <v/>
      </c>
      <c r="M355" s="13"/>
      <c r="N355" s="13"/>
      <c r="O355" s="13"/>
    </row>
    <row r="356" customFormat="false" ht="15" hidden="false" customHeight="false" outlineLevel="0" collapsed="false">
      <c r="A356" s="11" t="str">
        <f aca="true">IF($B356="","",IF(AND(A356&lt;&gt;"",A356&lt;&gt;0),A356,TODAY()))</f>
        <v/>
      </c>
      <c r="B356" s="12"/>
      <c r="C356" s="13"/>
      <c r="D356" s="13"/>
      <c r="E356" s="13"/>
      <c r="F356" s="14"/>
      <c r="G356" s="14"/>
      <c r="H356" s="14"/>
      <c r="I356" s="15" t="str">
        <f aca="false">IF($B356="","",IF(AND(G356="",H356=""),"",G356+H356))</f>
        <v/>
      </c>
      <c r="J356" s="15" t="str">
        <f aca="false">IF(OR($B356="",I356=""),"",I356-F356)</f>
        <v/>
      </c>
      <c r="K356" s="16" t="str">
        <f aca="false">IF($B356="","",IF(AND(G356="",H356=""),"Not Counted",IF(OR(G356="",H356=""),"Partially Counted",IF(J356=0,"Match",IF(J356&gt;0,"Overage","Shortage")))))</f>
        <v/>
      </c>
      <c r="L356" s="16" t="str">
        <f aca="false">IF($B356="","",IF(AND(L356&lt;&gt;"",L356&lt;&gt;0),L356,$B$4))</f>
        <v/>
      </c>
      <c r="M356" s="13"/>
      <c r="N356" s="13"/>
      <c r="O356" s="13"/>
    </row>
    <row r="357" customFormat="false" ht="15" hidden="false" customHeight="false" outlineLevel="0" collapsed="false">
      <c r="A357" s="11" t="str">
        <f aca="true">IF($B357="","",IF(AND(A357&lt;&gt;"",A357&lt;&gt;0),A357,TODAY()))</f>
        <v/>
      </c>
      <c r="B357" s="12"/>
      <c r="C357" s="13"/>
      <c r="D357" s="13"/>
      <c r="E357" s="13"/>
      <c r="F357" s="14"/>
      <c r="G357" s="14"/>
      <c r="H357" s="14"/>
      <c r="I357" s="15" t="str">
        <f aca="false">IF($B357="","",IF(AND(G357="",H357=""),"",G357+H357))</f>
        <v/>
      </c>
      <c r="J357" s="15" t="str">
        <f aca="false">IF(OR($B357="",I357=""),"",I357-F357)</f>
        <v/>
      </c>
      <c r="K357" s="16" t="str">
        <f aca="false">IF($B357="","",IF(AND(G357="",H357=""),"Not Counted",IF(OR(G357="",H357=""),"Partially Counted",IF(J357=0,"Match",IF(J357&gt;0,"Overage","Shortage")))))</f>
        <v/>
      </c>
      <c r="L357" s="16" t="str">
        <f aca="false">IF($B357="","",IF(AND(L357&lt;&gt;"",L357&lt;&gt;0),L357,$B$4))</f>
        <v/>
      </c>
      <c r="M357" s="13"/>
      <c r="N357" s="13"/>
      <c r="O357" s="13"/>
    </row>
    <row r="358" customFormat="false" ht="15" hidden="false" customHeight="false" outlineLevel="0" collapsed="false">
      <c r="A358" s="11" t="str">
        <f aca="true">IF($B358="","",IF(AND(A358&lt;&gt;"",A358&lt;&gt;0),A358,TODAY()))</f>
        <v/>
      </c>
      <c r="B358" s="12"/>
      <c r="C358" s="13"/>
      <c r="D358" s="13"/>
      <c r="E358" s="13"/>
      <c r="F358" s="14"/>
      <c r="G358" s="14"/>
      <c r="H358" s="14"/>
      <c r="I358" s="15" t="str">
        <f aca="false">IF($B358="","",IF(AND(G358="",H358=""),"",G358+H358))</f>
        <v/>
      </c>
      <c r="J358" s="15" t="str">
        <f aca="false">IF(OR($B358="",I358=""),"",I358-F358)</f>
        <v/>
      </c>
      <c r="K358" s="16" t="str">
        <f aca="false">IF($B358="","",IF(AND(G358="",H358=""),"Not Counted",IF(OR(G358="",H358=""),"Partially Counted",IF(J358=0,"Match",IF(J358&gt;0,"Overage","Shortage")))))</f>
        <v/>
      </c>
      <c r="L358" s="16" t="str">
        <f aca="false">IF($B358="","",IF(AND(L358&lt;&gt;"",L358&lt;&gt;0),L358,$B$4))</f>
        <v/>
      </c>
      <c r="M358" s="13"/>
      <c r="N358" s="13"/>
      <c r="O358" s="13"/>
    </row>
    <row r="359" customFormat="false" ht="15" hidden="false" customHeight="false" outlineLevel="0" collapsed="false">
      <c r="A359" s="11" t="str">
        <f aca="true">IF($B359="","",IF(AND(A359&lt;&gt;"",A359&lt;&gt;0),A359,TODAY()))</f>
        <v/>
      </c>
      <c r="B359" s="12"/>
      <c r="C359" s="13"/>
      <c r="D359" s="13"/>
      <c r="E359" s="13"/>
      <c r="F359" s="14"/>
      <c r="G359" s="14"/>
      <c r="H359" s="14"/>
      <c r="I359" s="15" t="str">
        <f aca="false">IF($B359="","",IF(AND(G359="",H359=""),"",G359+H359))</f>
        <v/>
      </c>
      <c r="J359" s="15" t="str">
        <f aca="false">IF(OR($B359="",I359=""),"",I359-F359)</f>
        <v/>
      </c>
      <c r="K359" s="16" t="str">
        <f aca="false">IF($B359="","",IF(AND(G359="",H359=""),"Not Counted",IF(OR(G359="",H359=""),"Partially Counted",IF(J359=0,"Match",IF(J359&gt;0,"Overage","Shortage")))))</f>
        <v/>
      </c>
      <c r="L359" s="16" t="str">
        <f aca="false">IF($B359="","",IF(AND(L359&lt;&gt;"",L359&lt;&gt;0),L359,$B$4))</f>
        <v/>
      </c>
      <c r="M359" s="13"/>
      <c r="N359" s="13"/>
      <c r="O359" s="13"/>
    </row>
    <row r="360" customFormat="false" ht="15" hidden="false" customHeight="false" outlineLevel="0" collapsed="false">
      <c r="A360" s="11" t="str">
        <f aca="true">IF($B360="","",IF(AND(A360&lt;&gt;"",A360&lt;&gt;0),A360,TODAY()))</f>
        <v/>
      </c>
      <c r="B360" s="12"/>
      <c r="C360" s="13"/>
      <c r="D360" s="13"/>
      <c r="E360" s="13"/>
      <c r="F360" s="14"/>
      <c r="G360" s="14"/>
      <c r="H360" s="14"/>
      <c r="I360" s="15" t="str">
        <f aca="false">IF($B360="","",IF(AND(G360="",H360=""),"",G360+H360))</f>
        <v/>
      </c>
      <c r="J360" s="15" t="str">
        <f aca="false">IF(OR($B360="",I360=""),"",I360-F360)</f>
        <v/>
      </c>
      <c r="K360" s="16" t="str">
        <f aca="false">IF($B360="","",IF(AND(G360="",H360=""),"Not Counted",IF(OR(G360="",H360=""),"Partially Counted",IF(J360=0,"Match",IF(J360&gt;0,"Overage","Shortage")))))</f>
        <v/>
      </c>
      <c r="L360" s="16" t="str">
        <f aca="false">IF($B360="","",IF(AND(L360&lt;&gt;"",L360&lt;&gt;0),L360,$B$4))</f>
        <v/>
      </c>
      <c r="M360" s="13"/>
      <c r="N360" s="13"/>
      <c r="O360" s="13"/>
    </row>
    <row r="361" customFormat="false" ht="15" hidden="false" customHeight="false" outlineLevel="0" collapsed="false">
      <c r="A361" s="11" t="str">
        <f aca="true">IF($B361="","",IF(AND(A361&lt;&gt;"",A361&lt;&gt;0),A361,TODAY()))</f>
        <v/>
      </c>
      <c r="B361" s="12"/>
      <c r="C361" s="13"/>
      <c r="D361" s="13"/>
      <c r="E361" s="13"/>
      <c r="F361" s="14"/>
      <c r="G361" s="14"/>
      <c r="H361" s="14"/>
      <c r="I361" s="15" t="str">
        <f aca="false">IF($B361="","",IF(AND(G361="",H361=""),"",G361+H361))</f>
        <v/>
      </c>
      <c r="J361" s="15" t="str">
        <f aca="false">IF(OR($B361="",I361=""),"",I361-F361)</f>
        <v/>
      </c>
      <c r="K361" s="16" t="str">
        <f aca="false">IF($B361="","",IF(AND(G361="",H361=""),"Not Counted",IF(OR(G361="",H361=""),"Partially Counted",IF(J361=0,"Match",IF(J361&gt;0,"Overage","Shortage")))))</f>
        <v/>
      </c>
      <c r="L361" s="16" t="str">
        <f aca="false">IF($B361="","",IF(AND(L361&lt;&gt;"",L361&lt;&gt;0),L361,$B$4))</f>
        <v/>
      </c>
      <c r="M361" s="13"/>
      <c r="N361" s="13"/>
      <c r="O361" s="13"/>
    </row>
    <row r="362" customFormat="false" ht="15" hidden="false" customHeight="false" outlineLevel="0" collapsed="false">
      <c r="A362" s="11" t="str">
        <f aca="true">IF($B362="","",IF(AND(A362&lt;&gt;"",A362&lt;&gt;0),A362,TODAY()))</f>
        <v/>
      </c>
      <c r="B362" s="12"/>
      <c r="C362" s="13"/>
      <c r="D362" s="13"/>
      <c r="E362" s="13"/>
      <c r="F362" s="14"/>
      <c r="G362" s="14"/>
      <c r="H362" s="14"/>
      <c r="I362" s="15" t="str">
        <f aca="false">IF($B362="","",IF(AND(G362="",H362=""),"",G362+H362))</f>
        <v/>
      </c>
      <c r="J362" s="15" t="str">
        <f aca="false">IF(OR($B362="",I362=""),"",I362-F362)</f>
        <v/>
      </c>
      <c r="K362" s="16" t="str">
        <f aca="false">IF($B362="","",IF(AND(G362="",H362=""),"Not Counted",IF(OR(G362="",H362=""),"Partially Counted",IF(J362=0,"Match",IF(J362&gt;0,"Overage","Shortage")))))</f>
        <v/>
      </c>
      <c r="L362" s="16" t="str">
        <f aca="false">IF($B362="","",IF(AND(L362&lt;&gt;"",L362&lt;&gt;0),L362,$B$4))</f>
        <v/>
      </c>
      <c r="M362" s="13"/>
      <c r="N362" s="13"/>
      <c r="O362" s="13"/>
    </row>
    <row r="363" customFormat="false" ht="15" hidden="false" customHeight="false" outlineLevel="0" collapsed="false">
      <c r="A363" s="11" t="str">
        <f aca="true">IF($B363="","",IF(AND(A363&lt;&gt;"",A363&lt;&gt;0),A363,TODAY()))</f>
        <v/>
      </c>
      <c r="B363" s="12"/>
      <c r="C363" s="13"/>
      <c r="D363" s="13"/>
      <c r="E363" s="13"/>
      <c r="F363" s="14"/>
      <c r="G363" s="14"/>
      <c r="H363" s="14"/>
      <c r="I363" s="15" t="str">
        <f aca="false">IF($B363="","",IF(AND(G363="",H363=""),"",G363+H363))</f>
        <v/>
      </c>
      <c r="J363" s="15" t="str">
        <f aca="false">IF(OR($B363="",I363=""),"",I363-F363)</f>
        <v/>
      </c>
      <c r="K363" s="16" t="str">
        <f aca="false">IF($B363="","",IF(AND(G363="",H363=""),"Not Counted",IF(OR(G363="",H363=""),"Partially Counted",IF(J363=0,"Match",IF(J363&gt;0,"Overage","Shortage")))))</f>
        <v/>
      </c>
      <c r="L363" s="16" t="str">
        <f aca="false">IF($B363="","",IF(AND(L363&lt;&gt;"",L363&lt;&gt;0),L363,$B$4))</f>
        <v/>
      </c>
      <c r="M363" s="13"/>
      <c r="N363" s="13"/>
      <c r="O363" s="13"/>
    </row>
    <row r="364" customFormat="false" ht="15" hidden="false" customHeight="false" outlineLevel="0" collapsed="false">
      <c r="A364" s="11" t="str">
        <f aca="true">IF($B364="","",IF(AND(A364&lt;&gt;"",A364&lt;&gt;0),A364,TODAY()))</f>
        <v/>
      </c>
      <c r="B364" s="12"/>
      <c r="C364" s="13"/>
      <c r="D364" s="13"/>
      <c r="E364" s="13"/>
      <c r="F364" s="14"/>
      <c r="G364" s="14"/>
      <c r="H364" s="14"/>
      <c r="I364" s="15" t="str">
        <f aca="false">IF($B364="","",IF(AND(G364="",H364=""),"",G364+H364))</f>
        <v/>
      </c>
      <c r="J364" s="15" t="str">
        <f aca="false">IF(OR($B364="",I364=""),"",I364-F364)</f>
        <v/>
      </c>
      <c r="K364" s="16" t="str">
        <f aca="false">IF($B364="","",IF(AND(G364="",H364=""),"Not Counted",IF(OR(G364="",H364=""),"Partially Counted",IF(J364=0,"Match",IF(J364&gt;0,"Overage","Shortage")))))</f>
        <v/>
      </c>
      <c r="L364" s="16" t="str">
        <f aca="false">IF($B364="","",IF(AND(L364&lt;&gt;"",L364&lt;&gt;0),L364,$B$4))</f>
        <v/>
      </c>
      <c r="M364" s="13"/>
      <c r="N364" s="13"/>
      <c r="O364" s="13"/>
    </row>
    <row r="365" customFormat="false" ht="15" hidden="false" customHeight="false" outlineLevel="0" collapsed="false">
      <c r="A365" s="11" t="str">
        <f aca="true">IF($B365="","",IF(AND(A365&lt;&gt;"",A365&lt;&gt;0),A365,TODAY()))</f>
        <v/>
      </c>
      <c r="B365" s="12"/>
      <c r="C365" s="13"/>
      <c r="D365" s="13"/>
      <c r="E365" s="13"/>
      <c r="F365" s="14"/>
      <c r="G365" s="14"/>
      <c r="H365" s="14"/>
      <c r="I365" s="15" t="str">
        <f aca="false">IF($B365="","",IF(AND(G365="",H365=""),"",G365+H365))</f>
        <v/>
      </c>
      <c r="J365" s="15" t="str">
        <f aca="false">IF(OR($B365="",I365=""),"",I365-F365)</f>
        <v/>
      </c>
      <c r="K365" s="16" t="str">
        <f aca="false">IF($B365="","",IF(AND(G365="",H365=""),"Not Counted",IF(OR(G365="",H365=""),"Partially Counted",IF(J365=0,"Match",IF(J365&gt;0,"Overage","Shortage")))))</f>
        <v/>
      </c>
      <c r="L365" s="16" t="str">
        <f aca="false">IF($B365="","",IF(AND(L365&lt;&gt;"",L365&lt;&gt;0),L365,$B$4))</f>
        <v/>
      </c>
      <c r="M365" s="13"/>
      <c r="N365" s="13"/>
      <c r="O365" s="13"/>
    </row>
    <row r="366" customFormat="false" ht="15" hidden="false" customHeight="false" outlineLevel="0" collapsed="false">
      <c r="A366" s="11" t="str">
        <f aca="true">IF($B366="","",IF(AND(A366&lt;&gt;"",A366&lt;&gt;0),A366,TODAY()))</f>
        <v/>
      </c>
      <c r="B366" s="12"/>
      <c r="C366" s="13"/>
      <c r="D366" s="13"/>
      <c r="E366" s="13"/>
      <c r="F366" s="14"/>
      <c r="G366" s="14"/>
      <c r="H366" s="14"/>
      <c r="I366" s="15" t="str">
        <f aca="false">IF($B366="","",IF(AND(G366="",H366=""),"",G366+H366))</f>
        <v/>
      </c>
      <c r="J366" s="15" t="str">
        <f aca="false">IF(OR($B366="",I366=""),"",I366-F366)</f>
        <v/>
      </c>
      <c r="K366" s="16" t="str">
        <f aca="false">IF($B366="","",IF(AND(G366="",H366=""),"Not Counted",IF(OR(G366="",H366=""),"Partially Counted",IF(J366=0,"Match",IF(J366&gt;0,"Overage","Shortage")))))</f>
        <v/>
      </c>
      <c r="L366" s="16" t="str">
        <f aca="false">IF($B366="","",IF(AND(L366&lt;&gt;"",L366&lt;&gt;0),L366,$B$4))</f>
        <v/>
      </c>
      <c r="M366" s="13"/>
      <c r="N366" s="13"/>
      <c r="O366" s="13"/>
    </row>
    <row r="367" customFormat="false" ht="15" hidden="false" customHeight="false" outlineLevel="0" collapsed="false">
      <c r="A367" s="11" t="str">
        <f aca="true">IF($B367="","",IF(AND(A367&lt;&gt;"",A367&lt;&gt;0),A367,TODAY()))</f>
        <v/>
      </c>
      <c r="B367" s="12"/>
      <c r="C367" s="13"/>
      <c r="D367" s="13"/>
      <c r="E367" s="13"/>
      <c r="F367" s="14"/>
      <c r="G367" s="14"/>
      <c r="H367" s="14"/>
      <c r="I367" s="15" t="str">
        <f aca="false">IF($B367="","",IF(AND(G367="",H367=""),"",G367+H367))</f>
        <v/>
      </c>
      <c r="J367" s="15" t="str">
        <f aca="false">IF(OR($B367="",I367=""),"",I367-F367)</f>
        <v/>
      </c>
      <c r="K367" s="16" t="str">
        <f aca="false">IF($B367="","",IF(AND(G367="",H367=""),"Not Counted",IF(OR(G367="",H367=""),"Partially Counted",IF(J367=0,"Match",IF(J367&gt;0,"Overage","Shortage")))))</f>
        <v/>
      </c>
      <c r="L367" s="16" t="str">
        <f aca="false">IF($B367="","",IF(AND(L367&lt;&gt;"",L367&lt;&gt;0),L367,$B$4))</f>
        <v/>
      </c>
      <c r="M367" s="13"/>
      <c r="N367" s="13"/>
      <c r="O367" s="13"/>
    </row>
    <row r="368" customFormat="false" ht="15" hidden="false" customHeight="false" outlineLevel="0" collapsed="false">
      <c r="A368" s="11" t="str">
        <f aca="true">IF($B368="","",IF(AND(A368&lt;&gt;"",A368&lt;&gt;0),A368,TODAY()))</f>
        <v/>
      </c>
      <c r="B368" s="12"/>
      <c r="C368" s="13"/>
      <c r="D368" s="13"/>
      <c r="E368" s="13"/>
      <c r="F368" s="14"/>
      <c r="G368" s="14"/>
      <c r="H368" s="14"/>
      <c r="I368" s="15" t="str">
        <f aca="false">IF($B368="","",IF(AND(G368="",H368=""),"",G368+H368))</f>
        <v/>
      </c>
      <c r="J368" s="15" t="str">
        <f aca="false">IF(OR($B368="",I368=""),"",I368-F368)</f>
        <v/>
      </c>
      <c r="K368" s="16" t="str">
        <f aca="false">IF($B368="","",IF(AND(G368="",H368=""),"Not Counted",IF(OR(G368="",H368=""),"Partially Counted",IF(J368=0,"Match",IF(J368&gt;0,"Overage","Shortage")))))</f>
        <v/>
      </c>
      <c r="L368" s="16" t="str">
        <f aca="false">IF($B368="","",IF(AND(L368&lt;&gt;"",L368&lt;&gt;0),L368,$B$4))</f>
        <v/>
      </c>
      <c r="M368" s="13"/>
      <c r="N368" s="13"/>
      <c r="O368" s="13"/>
    </row>
    <row r="369" customFormat="false" ht="15" hidden="false" customHeight="false" outlineLevel="0" collapsed="false">
      <c r="A369" s="11" t="str">
        <f aca="true">IF($B369="","",IF(AND(A369&lt;&gt;"",A369&lt;&gt;0),A369,TODAY()))</f>
        <v/>
      </c>
      <c r="B369" s="12"/>
      <c r="C369" s="13"/>
      <c r="D369" s="13"/>
      <c r="E369" s="13"/>
      <c r="F369" s="14"/>
      <c r="G369" s="14"/>
      <c r="H369" s="14"/>
      <c r="I369" s="15" t="str">
        <f aca="false">IF($B369="","",IF(AND(G369="",H369=""),"",G369+H369))</f>
        <v/>
      </c>
      <c r="J369" s="15" t="str">
        <f aca="false">IF(OR($B369="",I369=""),"",I369-F369)</f>
        <v/>
      </c>
      <c r="K369" s="16" t="str">
        <f aca="false">IF($B369="","",IF(AND(G369="",H369=""),"Not Counted",IF(OR(G369="",H369=""),"Partially Counted",IF(J369=0,"Match",IF(J369&gt;0,"Overage","Shortage")))))</f>
        <v/>
      </c>
      <c r="L369" s="16" t="str">
        <f aca="false">IF($B369="","",IF(AND(L369&lt;&gt;"",L369&lt;&gt;0),L369,$B$4))</f>
        <v/>
      </c>
      <c r="M369" s="13"/>
      <c r="N369" s="13"/>
      <c r="O369" s="13"/>
    </row>
    <row r="370" customFormat="false" ht="15" hidden="false" customHeight="false" outlineLevel="0" collapsed="false">
      <c r="A370" s="11" t="str">
        <f aca="true">IF($B370="","",IF(AND(A370&lt;&gt;"",A370&lt;&gt;0),A370,TODAY()))</f>
        <v/>
      </c>
      <c r="B370" s="12"/>
      <c r="C370" s="13"/>
      <c r="D370" s="13"/>
      <c r="E370" s="13"/>
      <c r="F370" s="14"/>
      <c r="G370" s="14"/>
      <c r="H370" s="14"/>
      <c r="I370" s="15" t="str">
        <f aca="false">IF($B370="","",IF(AND(G370="",H370=""),"",G370+H370))</f>
        <v/>
      </c>
      <c r="J370" s="15" t="str">
        <f aca="false">IF(OR($B370="",I370=""),"",I370-F370)</f>
        <v/>
      </c>
      <c r="K370" s="16" t="str">
        <f aca="false">IF($B370="","",IF(AND(G370="",H370=""),"Not Counted",IF(OR(G370="",H370=""),"Partially Counted",IF(J370=0,"Match",IF(J370&gt;0,"Overage","Shortage")))))</f>
        <v/>
      </c>
      <c r="L370" s="16" t="str">
        <f aca="false">IF($B370="","",IF(AND(L370&lt;&gt;"",L370&lt;&gt;0),L370,$B$4))</f>
        <v/>
      </c>
      <c r="M370" s="13"/>
      <c r="N370" s="13"/>
      <c r="O370" s="13"/>
    </row>
    <row r="371" customFormat="false" ht="15" hidden="false" customHeight="false" outlineLevel="0" collapsed="false">
      <c r="A371" s="11" t="str">
        <f aca="true">IF($B371="","",IF(AND(A371&lt;&gt;"",A371&lt;&gt;0),A371,TODAY()))</f>
        <v/>
      </c>
      <c r="B371" s="12"/>
      <c r="C371" s="13"/>
      <c r="D371" s="13"/>
      <c r="E371" s="13"/>
      <c r="F371" s="14"/>
      <c r="G371" s="14"/>
      <c r="H371" s="14"/>
      <c r="I371" s="15" t="str">
        <f aca="false">IF($B371="","",IF(AND(G371="",H371=""),"",G371+H371))</f>
        <v/>
      </c>
      <c r="J371" s="15" t="str">
        <f aca="false">IF(OR($B371="",I371=""),"",I371-F371)</f>
        <v/>
      </c>
      <c r="K371" s="16" t="str">
        <f aca="false">IF($B371="","",IF(AND(G371="",H371=""),"Not Counted",IF(OR(G371="",H371=""),"Partially Counted",IF(J371=0,"Match",IF(J371&gt;0,"Overage","Shortage")))))</f>
        <v/>
      </c>
      <c r="L371" s="16" t="str">
        <f aca="false">IF($B371="","",IF(AND(L371&lt;&gt;"",L371&lt;&gt;0),L371,$B$4))</f>
        <v/>
      </c>
      <c r="M371" s="13"/>
      <c r="N371" s="13"/>
      <c r="O371" s="13"/>
    </row>
    <row r="372" customFormat="false" ht="15" hidden="false" customHeight="false" outlineLevel="0" collapsed="false">
      <c r="A372" s="11" t="str">
        <f aca="true">IF($B372="","",IF(AND(A372&lt;&gt;"",A372&lt;&gt;0),A372,TODAY()))</f>
        <v/>
      </c>
      <c r="B372" s="12"/>
      <c r="C372" s="13"/>
      <c r="D372" s="13"/>
      <c r="E372" s="13"/>
      <c r="F372" s="14"/>
      <c r="G372" s="14"/>
      <c r="H372" s="14"/>
      <c r="I372" s="15" t="str">
        <f aca="false">IF($B372="","",IF(AND(G372="",H372=""),"",G372+H372))</f>
        <v/>
      </c>
      <c r="J372" s="15" t="str">
        <f aca="false">IF(OR($B372="",I372=""),"",I372-F372)</f>
        <v/>
      </c>
      <c r="K372" s="16" t="str">
        <f aca="false">IF($B372="","",IF(AND(G372="",H372=""),"Not Counted",IF(OR(G372="",H372=""),"Partially Counted",IF(J372=0,"Match",IF(J372&gt;0,"Overage","Shortage")))))</f>
        <v/>
      </c>
      <c r="L372" s="16" t="str">
        <f aca="false">IF($B372="","",IF(AND(L372&lt;&gt;"",L372&lt;&gt;0),L372,$B$4))</f>
        <v/>
      </c>
      <c r="M372" s="13"/>
      <c r="N372" s="13"/>
      <c r="O372" s="13"/>
    </row>
    <row r="373" customFormat="false" ht="15" hidden="false" customHeight="false" outlineLevel="0" collapsed="false">
      <c r="A373" s="11" t="str">
        <f aca="true">IF($B373="","",IF(AND(A373&lt;&gt;"",A373&lt;&gt;0),A373,TODAY()))</f>
        <v/>
      </c>
      <c r="B373" s="12"/>
      <c r="C373" s="13"/>
      <c r="D373" s="13"/>
      <c r="E373" s="13"/>
      <c r="F373" s="14"/>
      <c r="G373" s="14"/>
      <c r="H373" s="14"/>
      <c r="I373" s="15" t="str">
        <f aca="false">IF($B373="","",IF(AND(G373="",H373=""),"",G373+H373))</f>
        <v/>
      </c>
      <c r="J373" s="15" t="str">
        <f aca="false">IF(OR($B373="",I373=""),"",I373-F373)</f>
        <v/>
      </c>
      <c r="K373" s="16" t="str">
        <f aca="false">IF($B373="","",IF(AND(G373="",H373=""),"Not Counted",IF(OR(G373="",H373=""),"Partially Counted",IF(J373=0,"Match",IF(J373&gt;0,"Overage","Shortage")))))</f>
        <v/>
      </c>
      <c r="L373" s="16" t="str">
        <f aca="false">IF($B373="","",IF(AND(L373&lt;&gt;"",L373&lt;&gt;0),L373,$B$4))</f>
        <v/>
      </c>
      <c r="M373" s="13"/>
      <c r="N373" s="13"/>
      <c r="O373" s="13"/>
    </row>
    <row r="374" customFormat="false" ht="15" hidden="false" customHeight="false" outlineLevel="0" collapsed="false">
      <c r="A374" s="11" t="str">
        <f aca="true">IF($B374="","",IF(AND(A374&lt;&gt;"",A374&lt;&gt;0),A374,TODAY()))</f>
        <v/>
      </c>
      <c r="B374" s="12"/>
      <c r="C374" s="13"/>
      <c r="D374" s="13"/>
      <c r="E374" s="13"/>
      <c r="F374" s="14"/>
      <c r="G374" s="14"/>
      <c r="H374" s="14"/>
      <c r="I374" s="15" t="str">
        <f aca="false">IF($B374="","",IF(AND(G374="",H374=""),"",G374+H374))</f>
        <v/>
      </c>
      <c r="J374" s="15" t="str">
        <f aca="false">IF(OR($B374="",I374=""),"",I374-F374)</f>
        <v/>
      </c>
      <c r="K374" s="16" t="str">
        <f aca="false">IF($B374="","",IF(AND(G374="",H374=""),"Not Counted",IF(OR(G374="",H374=""),"Partially Counted",IF(J374=0,"Match",IF(J374&gt;0,"Overage","Shortage")))))</f>
        <v/>
      </c>
      <c r="L374" s="16" t="str">
        <f aca="false">IF($B374="","",IF(AND(L374&lt;&gt;"",L374&lt;&gt;0),L374,$B$4))</f>
        <v/>
      </c>
      <c r="M374" s="13"/>
      <c r="N374" s="13"/>
      <c r="O374" s="13"/>
    </row>
    <row r="375" customFormat="false" ht="15" hidden="false" customHeight="false" outlineLevel="0" collapsed="false">
      <c r="A375" s="11" t="str">
        <f aca="true">IF($B375="","",IF(AND(A375&lt;&gt;"",A375&lt;&gt;0),A375,TODAY()))</f>
        <v/>
      </c>
      <c r="B375" s="12"/>
      <c r="C375" s="13"/>
      <c r="D375" s="13"/>
      <c r="E375" s="13"/>
      <c r="F375" s="14"/>
      <c r="G375" s="14"/>
      <c r="H375" s="14"/>
      <c r="I375" s="15" t="str">
        <f aca="false">IF($B375="","",IF(AND(G375="",H375=""),"",G375+H375))</f>
        <v/>
      </c>
      <c r="J375" s="15" t="str">
        <f aca="false">IF(OR($B375="",I375=""),"",I375-F375)</f>
        <v/>
      </c>
      <c r="K375" s="16" t="str">
        <f aca="false">IF($B375="","",IF(AND(G375="",H375=""),"Not Counted",IF(OR(G375="",H375=""),"Partially Counted",IF(J375=0,"Match",IF(J375&gt;0,"Overage","Shortage")))))</f>
        <v/>
      </c>
      <c r="L375" s="16" t="str">
        <f aca="false">IF($B375="","",IF(AND(L375&lt;&gt;"",L375&lt;&gt;0),L375,$B$4))</f>
        <v/>
      </c>
      <c r="M375" s="13"/>
      <c r="N375" s="13"/>
      <c r="O375" s="13"/>
    </row>
    <row r="376" customFormat="false" ht="15" hidden="false" customHeight="false" outlineLevel="0" collapsed="false">
      <c r="A376" s="11" t="str">
        <f aca="true">IF($B376="","",IF(AND(A376&lt;&gt;"",A376&lt;&gt;0),A376,TODAY()))</f>
        <v/>
      </c>
      <c r="B376" s="12"/>
      <c r="C376" s="13"/>
      <c r="D376" s="13"/>
      <c r="E376" s="13"/>
      <c r="F376" s="14"/>
      <c r="G376" s="14"/>
      <c r="H376" s="14"/>
      <c r="I376" s="15" t="str">
        <f aca="false">IF($B376="","",IF(AND(G376="",H376=""),"",G376+H376))</f>
        <v/>
      </c>
      <c r="J376" s="15" t="str">
        <f aca="false">IF(OR($B376="",I376=""),"",I376-F376)</f>
        <v/>
      </c>
      <c r="K376" s="16" t="str">
        <f aca="false">IF($B376="","",IF(AND(G376="",H376=""),"Not Counted",IF(OR(G376="",H376=""),"Partially Counted",IF(J376=0,"Match",IF(J376&gt;0,"Overage","Shortage")))))</f>
        <v/>
      </c>
      <c r="L376" s="16" t="str">
        <f aca="false">IF($B376="","",IF(AND(L376&lt;&gt;"",L376&lt;&gt;0),L376,$B$4))</f>
        <v/>
      </c>
      <c r="M376" s="13"/>
      <c r="N376" s="13"/>
      <c r="O376" s="13"/>
    </row>
    <row r="377" customFormat="false" ht="15" hidden="false" customHeight="false" outlineLevel="0" collapsed="false">
      <c r="A377" s="11" t="str">
        <f aca="true">IF($B377="","",IF(AND(A377&lt;&gt;"",A377&lt;&gt;0),A377,TODAY()))</f>
        <v/>
      </c>
      <c r="B377" s="12"/>
      <c r="C377" s="13"/>
      <c r="D377" s="13"/>
      <c r="E377" s="13"/>
      <c r="F377" s="14"/>
      <c r="G377" s="14"/>
      <c r="H377" s="14"/>
      <c r="I377" s="15" t="str">
        <f aca="false">IF($B377="","",IF(AND(G377="",H377=""),"",G377+H377))</f>
        <v/>
      </c>
      <c r="J377" s="15" t="str">
        <f aca="false">IF(OR($B377="",I377=""),"",I377-F377)</f>
        <v/>
      </c>
      <c r="K377" s="16" t="str">
        <f aca="false">IF($B377="","",IF(AND(G377="",H377=""),"Not Counted",IF(OR(G377="",H377=""),"Partially Counted",IF(J377=0,"Match",IF(J377&gt;0,"Overage","Shortage")))))</f>
        <v/>
      </c>
      <c r="L377" s="16" t="str">
        <f aca="false">IF($B377="","",IF(AND(L377&lt;&gt;"",L377&lt;&gt;0),L377,$B$4))</f>
        <v/>
      </c>
      <c r="M377" s="13"/>
      <c r="N377" s="13"/>
      <c r="O377" s="13"/>
    </row>
    <row r="378" customFormat="false" ht="15" hidden="false" customHeight="false" outlineLevel="0" collapsed="false">
      <c r="A378" s="11" t="str">
        <f aca="true">IF($B378="","",IF(AND(A378&lt;&gt;"",A378&lt;&gt;0),A378,TODAY()))</f>
        <v/>
      </c>
      <c r="B378" s="12"/>
      <c r="C378" s="13"/>
      <c r="D378" s="13"/>
      <c r="E378" s="13"/>
      <c r="F378" s="14"/>
      <c r="G378" s="14"/>
      <c r="H378" s="14"/>
      <c r="I378" s="15" t="str">
        <f aca="false">IF($B378="","",IF(AND(G378="",H378=""),"",G378+H378))</f>
        <v/>
      </c>
      <c r="J378" s="15" t="str">
        <f aca="false">IF(OR($B378="",I378=""),"",I378-F378)</f>
        <v/>
      </c>
      <c r="K378" s="16" t="str">
        <f aca="false">IF($B378="","",IF(AND(G378="",H378=""),"Not Counted",IF(OR(G378="",H378=""),"Partially Counted",IF(J378=0,"Match",IF(J378&gt;0,"Overage","Shortage")))))</f>
        <v/>
      </c>
      <c r="L378" s="16" t="str">
        <f aca="false">IF($B378="","",IF(AND(L378&lt;&gt;"",L378&lt;&gt;0),L378,$B$4))</f>
        <v/>
      </c>
      <c r="M378" s="13"/>
      <c r="N378" s="13"/>
      <c r="O378" s="13"/>
    </row>
    <row r="379" customFormat="false" ht="15" hidden="false" customHeight="false" outlineLevel="0" collapsed="false">
      <c r="A379" s="11" t="str">
        <f aca="true">IF($B379="","",IF(AND(A379&lt;&gt;"",A379&lt;&gt;0),A379,TODAY()))</f>
        <v/>
      </c>
      <c r="B379" s="12"/>
      <c r="C379" s="13"/>
      <c r="D379" s="13"/>
      <c r="E379" s="13"/>
      <c r="F379" s="14"/>
      <c r="G379" s="14"/>
      <c r="H379" s="14"/>
      <c r="I379" s="15" t="str">
        <f aca="false">IF($B379="","",IF(AND(G379="",H379=""),"",G379+H379))</f>
        <v/>
      </c>
      <c r="J379" s="15" t="str">
        <f aca="false">IF(OR($B379="",I379=""),"",I379-F379)</f>
        <v/>
      </c>
      <c r="K379" s="16" t="str">
        <f aca="false">IF($B379="","",IF(AND(G379="",H379=""),"Not Counted",IF(OR(G379="",H379=""),"Partially Counted",IF(J379=0,"Match",IF(J379&gt;0,"Overage","Shortage")))))</f>
        <v/>
      </c>
      <c r="L379" s="16" t="str">
        <f aca="false">IF($B379="","",IF(AND(L379&lt;&gt;"",L379&lt;&gt;0),L379,$B$4))</f>
        <v/>
      </c>
      <c r="M379" s="13"/>
      <c r="N379" s="13"/>
      <c r="O379" s="13"/>
    </row>
    <row r="380" customFormat="false" ht="15" hidden="false" customHeight="false" outlineLevel="0" collapsed="false">
      <c r="A380" s="11" t="str">
        <f aca="true">IF($B380="","",IF(AND(A380&lt;&gt;"",A380&lt;&gt;0),A380,TODAY()))</f>
        <v/>
      </c>
      <c r="B380" s="12"/>
      <c r="C380" s="13"/>
      <c r="D380" s="13"/>
      <c r="E380" s="13"/>
      <c r="F380" s="14"/>
      <c r="G380" s="14"/>
      <c r="H380" s="14"/>
      <c r="I380" s="15" t="str">
        <f aca="false">IF($B380="","",IF(AND(G380="",H380=""),"",G380+H380))</f>
        <v/>
      </c>
      <c r="J380" s="15" t="str">
        <f aca="false">IF(OR($B380="",I380=""),"",I380-F380)</f>
        <v/>
      </c>
      <c r="K380" s="16" t="str">
        <f aca="false">IF($B380="","",IF(AND(G380="",H380=""),"Not Counted",IF(OR(G380="",H380=""),"Partially Counted",IF(J380=0,"Match",IF(J380&gt;0,"Overage","Shortage")))))</f>
        <v/>
      </c>
      <c r="L380" s="16" t="str">
        <f aca="false">IF($B380="","",IF(AND(L380&lt;&gt;"",L380&lt;&gt;0),L380,$B$4))</f>
        <v/>
      </c>
      <c r="M380" s="13"/>
      <c r="N380" s="13"/>
      <c r="O380" s="13"/>
    </row>
    <row r="381" customFormat="false" ht="15" hidden="false" customHeight="false" outlineLevel="0" collapsed="false">
      <c r="A381" s="11" t="str">
        <f aca="true">IF($B381="","",IF(AND(A381&lt;&gt;"",A381&lt;&gt;0),A381,TODAY()))</f>
        <v/>
      </c>
      <c r="B381" s="12"/>
      <c r="C381" s="13"/>
      <c r="D381" s="13"/>
      <c r="E381" s="13"/>
      <c r="F381" s="14"/>
      <c r="G381" s="14"/>
      <c r="H381" s="14"/>
      <c r="I381" s="15" t="str">
        <f aca="false">IF($B381="","",IF(AND(G381="",H381=""),"",G381+H381))</f>
        <v/>
      </c>
      <c r="J381" s="15" t="str">
        <f aca="false">IF(OR($B381="",I381=""),"",I381-F381)</f>
        <v/>
      </c>
      <c r="K381" s="16" t="str">
        <f aca="false">IF($B381="","",IF(AND(G381="",H381=""),"Not Counted",IF(OR(G381="",H381=""),"Partially Counted",IF(J381=0,"Match",IF(J381&gt;0,"Overage","Shortage")))))</f>
        <v/>
      </c>
      <c r="L381" s="16" t="str">
        <f aca="false">IF($B381="","",IF(AND(L381&lt;&gt;"",L381&lt;&gt;0),L381,$B$4))</f>
        <v/>
      </c>
      <c r="M381" s="13"/>
      <c r="N381" s="13"/>
      <c r="O381" s="13"/>
    </row>
    <row r="382" customFormat="false" ht="15" hidden="false" customHeight="false" outlineLevel="0" collapsed="false">
      <c r="A382" s="11" t="str">
        <f aca="true">IF($B382="","",IF(AND(A382&lt;&gt;"",A382&lt;&gt;0),A382,TODAY()))</f>
        <v/>
      </c>
      <c r="B382" s="12"/>
      <c r="C382" s="13"/>
      <c r="D382" s="13"/>
      <c r="E382" s="13"/>
      <c r="F382" s="14"/>
      <c r="G382" s="14"/>
      <c r="H382" s="14"/>
      <c r="I382" s="15" t="str">
        <f aca="false">IF($B382="","",IF(AND(G382="",H382=""),"",G382+H382))</f>
        <v/>
      </c>
      <c r="J382" s="15" t="str">
        <f aca="false">IF(OR($B382="",I382=""),"",I382-F382)</f>
        <v/>
      </c>
      <c r="K382" s="16" t="str">
        <f aca="false">IF($B382="","",IF(AND(G382="",H382=""),"Not Counted",IF(OR(G382="",H382=""),"Partially Counted",IF(J382=0,"Match",IF(J382&gt;0,"Overage","Shortage")))))</f>
        <v/>
      </c>
      <c r="L382" s="16" t="str">
        <f aca="false">IF($B382="","",IF(AND(L382&lt;&gt;"",L382&lt;&gt;0),L382,$B$4))</f>
        <v/>
      </c>
      <c r="M382" s="13"/>
      <c r="N382" s="13"/>
      <c r="O382" s="13"/>
    </row>
    <row r="383" customFormat="false" ht="15" hidden="false" customHeight="false" outlineLevel="0" collapsed="false">
      <c r="A383" s="11" t="str">
        <f aca="true">IF($B383="","",IF(AND(A383&lt;&gt;"",A383&lt;&gt;0),A383,TODAY()))</f>
        <v/>
      </c>
      <c r="B383" s="12"/>
      <c r="C383" s="13"/>
      <c r="D383" s="13"/>
      <c r="E383" s="13"/>
      <c r="F383" s="14"/>
      <c r="G383" s="14"/>
      <c r="H383" s="14"/>
      <c r="I383" s="15" t="str">
        <f aca="false">IF($B383="","",IF(AND(G383="",H383=""),"",G383+H383))</f>
        <v/>
      </c>
      <c r="J383" s="15" t="str">
        <f aca="false">IF(OR($B383="",I383=""),"",I383-F383)</f>
        <v/>
      </c>
      <c r="K383" s="16" t="str">
        <f aca="false">IF($B383="","",IF(AND(G383="",H383=""),"Not Counted",IF(OR(G383="",H383=""),"Partially Counted",IF(J383=0,"Match",IF(J383&gt;0,"Overage","Shortage")))))</f>
        <v/>
      </c>
      <c r="L383" s="16" t="str">
        <f aca="false">IF($B383="","",IF(AND(L383&lt;&gt;"",L383&lt;&gt;0),L383,$B$4))</f>
        <v/>
      </c>
      <c r="M383" s="13"/>
      <c r="N383" s="13"/>
      <c r="O383" s="13"/>
    </row>
    <row r="384" customFormat="false" ht="15" hidden="false" customHeight="false" outlineLevel="0" collapsed="false">
      <c r="A384" s="11" t="str">
        <f aca="true">IF($B384="","",IF(AND(A384&lt;&gt;"",A384&lt;&gt;0),A384,TODAY()))</f>
        <v/>
      </c>
      <c r="B384" s="12"/>
      <c r="C384" s="13"/>
      <c r="D384" s="13"/>
      <c r="E384" s="13"/>
      <c r="F384" s="14"/>
      <c r="G384" s="14"/>
      <c r="H384" s="14"/>
      <c r="I384" s="15" t="str">
        <f aca="false">IF($B384="","",IF(AND(G384="",H384=""),"",G384+H384))</f>
        <v/>
      </c>
      <c r="J384" s="15" t="str">
        <f aca="false">IF(OR($B384="",I384=""),"",I384-F384)</f>
        <v/>
      </c>
      <c r="K384" s="16" t="str">
        <f aca="false">IF($B384="","",IF(AND(G384="",H384=""),"Not Counted",IF(OR(G384="",H384=""),"Partially Counted",IF(J384=0,"Match",IF(J384&gt;0,"Overage","Shortage")))))</f>
        <v/>
      </c>
      <c r="L384" s="16" t="str">
        <f aca="false">IF($B384="","",IF(AND(L384&lt;&gt;"",L384&lt;&gt;0),L384,$B$4))</f>
        <v/>
      </c>
      <c r="M384" s="13"/>
      <c r="N384" s="13"/>
      <c r="O384" s="13"/>
    </row>
    <row r="385" customFormat="false" ht="15" hidden="false" customHeight="false" outlineLevel="0" collapsed="false">
      <c r="A385" s="11" t="str">
        <f aca="true">IF($B385="","",IF(AND(A385&lt;&gt;"",A385&lt;&gt;0),A385,TODAY()))</f>
        <v/>
      </c>
      <c r="B385" s="12"/>
      <c r="C385" s="13"/>
      <c r="D385" s="13"/>
      <c r="E385" s="13"/>
      <c r="F385" s="14"/>
      <c r="G385" s="14"/>
      <c r="H385" s="14"/>
      <c r="I385" s="15" t="str">
        <f aca="false">IF($B385="","",IF(AND(G385="",H385=""),"",G385+H385))</f>
        <v/>
      </c>
      <c r="J385" s="15" t="str">
        <f aca="false">IF(OR($B385="",I385=""),"",I385-F385)</f>
        <v/>
      </c>
      <c r="K385" s="16" t="str">
        <f aca="false">IF($B385="","",IF(AND(G385="",H385=""),"Not Counted",IF(OR(G385="",H385=""),"Partially Counted",IF(J385=0,"Match",IF(J385&gt;0,"Overage","Shortage")))))</f>
        <v/>
      </c>
      <c r="L385" s="16" t="str">
        <f aca="false">IF($B385="","",IF(AND(L385&lt;&gt;"",L385&lt;&gt;0),L385,$B$4))</f>
        <v/>
      </c>
      <c r="M385" s="13"/>
      <c r="N385" s="13"/>
      <c r="O385" s="13"/>
    </row>
    <row r="386" customFormat="false" ht="15" hidden="false" customHeight="false" outlineLevel="0" collapsed="false">
      <c r="A386" s="11" t="str">
        <f aca="true">IF($B386="","",IF(AND(A386&lt;&gt;"",A386&lt;&gt;0),A386,TODAY()))</f>
        <v/>
      </c>
      <c r="B386" s="12"/>
      <c r="C386" s="13"/>
      <c r="D386" s="13"/>
      <c r="E386" s="13"/>
      <c r="F386" s="14"/>
      <c r="G386" s="14"/>
      <c r="H386" s="14"/>
      <c r="I386" s="15" t="str">
        <f aca="false">IF($B386="","",IF(AND(G386="",H386=""),"",G386+H386))</f>
        <v/>
      </c>
      <c r="J386" s="15" t="str">
        <f aca="false">IF(OR($B386="",I386=""),"",I386-F386)</f>
        <v/>
      </c>
      <c r="K386" s="16" t="str">
        <f aca="false">IF($B386="","",IF(AND(G386="",H386=""),"Not Counted",IF(OR(G386="",H386=""),"Partially Counted",IF(J386=0,"Match",IF(J386&gt;0,"Overage","Shortage")))))</f>
        <v/>
      </c>
      <c r="L386" s="16" t="str">
        <f aca="false">IF($B386="","",IF(AND(L386&lt;&gt;"",L386&lt;&gt;0),L386,$B$4))</f>
        <v/>
      </c>
      <c r="M386" s="13"/>
      <c r="N386" s="13"/>
      <c r="O386" s="13"/>
    </row>
    <row r="387" customFormat="false" ht="15" hidden="false" customHeight="false" outlineLevel="0" collapsed="false">
      <c r="A387" s="11" t="str">
        <f aca="true">IF($B387="","",IF(AND(A387&lt;&gt;"",A387&lt;&gt;0),A387,TODAY()))</f>
        <v/>
      </c>
      <c r="B387" s="12"/>
      <c r="C387" s="13"/>
      <c r="D387" s="13"/>
      <c r="E387" s="13"/>
      <c r="F387" s="14"/>
      <c r="G387" s="14"/>
      <c r="H387" s="14"/>
      <c r="I387" s="15" t="str">
        <f aca="false">IF($B387="","",IF(AND(G387="",H387=""),"",G387+H387))</f>
        <v/>
      </c>
      <c r="J387" s="15" t="str">
        <f aca="false">IF(OR($B387="",I387=""),"",I387-F387)</f>
        <v/>
      </c>
      <c r="K387" s="16" t="str">
        <f aca="false">IF($B387="","",IF(AND(G387="",H387=""),"Not Counted",IF(OR(G387="",H387=""),"Partially Counted",IF(J387=0,"Match",IF(J387&gt;0,"Overage","Shortage")))))</f>
        <v/>
      </c>
      <c r="L387" s="16" t="str">
        <f aca="false">IF($B387="","",IF(AND(L387&lt;&gt;"",L387&lt;&gt;0),L387,$B$4))</f>
        <v/>
      </c>
      <c r="M387" s="13"/>
      <c r="N387" s="13"/>
      <c r="O387" s="13"/>
    </row>
    <row r="388" customFormat="false" ht="15" hidden="false" customHeight="false" outlineLevel="0" collapsed="false">
      <c r="A388" s="11" t="str">
        <f aca="true">IF($B388="","",IF(AND(A388&lt;&gt;"",A388&lt;&gt;0),A388,TODAY()))</f>
        <v/>
      </c>
      <c r="B388" s="12"/>
      <c r="C388" s="13"/>
      <c r="D388" s="13"/>
      <c r="E388" s="13"/>
      <c r="F388" s="14"/>
      <c r="G388" s="14"/>
      <c r="H388" s="14"/>
      <c r="I388" s="15" t="str">
        <f aca="false">IF($B388="","",IF(AND(G388="",H388=""),"",G388+H388))</f>
        <v/>
      </c>
      <c r="J388" s="15" t="str">
        <f aca="false">IF(OR($B388="",I388=""),"",I388-F388)</f>
        <v/>
      </c>
      <c r="K388" s="16" t="str">
        <f aca="false">IF($B388="","",IF(AND(G388="",H388=""),"Not Counted",IF(OR(G388="",H388=""),"Partially Counted",IF(J388=0,"Match",IF(J388&gt;0,"Overage","Shortage")))))</f>
        <v/>
      </c>
      <c r="L388" s="16" t="str">
        <f aca="false">IF($B388="","",IF(AND(L388&lt;&gt;"",L388&lt;&gt;0),L388,$B$4))</f>
        <v/>
      </c>
      <c r="M388" s="13"/>
      <c r="N388" s="13"/>
      <c r="O388" s="13"/>
    </row>
    <row r="389" customFormat="false" ht="15" hidden="false" customHeight="false" outlineLevel="0" collapsed="false">
      <c r="A389" s="11" t="str">
        <f aca="true">IF($B389="","",IF(AND(A389&lt;&gt;"",A389&lt;&gt;0),A389,TODAY()))</f>
        <v/>
      </c>
      <c r="B389" s="12"/>
      <c r="C389" s="13"/>
      <c r="D389" s="13"/>
      <c r="E389" s="13"/>
      <c r="F389" s="14"/>
      <c r="G389" s="14"/>
      <c r="H389" s="14"/>
      <c r="I389" s="15" t="str">
        <f aca="false">IF($B389="","",IF(AND(G389="",H389=""),"",G389+H389))</f>
        <v/>
      </c>
      <c r="J389" s="15" t="str">
        <f aca="false">IF(OR($B389="",I389=""),"",I389-F389)</f>
        <v/>
      </c>
      <c r="K389" s="16" t="str">
        <f aca="false">IF($B389="","",IF(AND(G389="",H389=""),"Not Counted",IF(OR(G389="",H389=""),"Partially Counted",IF(J389=0,"Match",IF(J389&gt;0,"Overage","Shortage")))))</f>
        <v/>
      </c>
      <c r="L389" s="16" t="str">
        <f aca="false">IF($B389="","",IF(AND(L389&lt;&gt;"",L389&lt;&gt;0),L389,$B$4))</f>
        <v/>
      </c>
      <c r="M389" s="13"/>
      <c r="N389" s="13"/>
      <c r="O389" s="13"/>
    </row>
    <row r="390" customFormat="false" ht="15" hidden="false" customHeight="false" outlineLevel="0" collapsed="false">
      <c r="A390" s="11" t="str">
        <f aca="true">IF($B390="","",IF(AND(A390&lt;&gt;"",A390&lt;&gt;0),A390,TODAY()))</f>
        <v/>
      </c>
      <c r="B390" s="12"/>
      <c r="C390" s="13"/>
      <c r="D390" s="13"/>
      <c r="E390" s="13"/>
      <c r="F390" s="14"/>
      <c r="G390" s="14"/>
      <c r="H390" s="14"/>
      <c r="I390" s="15" t="str">
        <f aca="false">IF($B390="","",IF(AND(G390="",H390=""),"",G390+H390))</f>
        <v/>
      </c>
      <c r="J390" s="15" t="str">
        <f aca="false">IF(OR($B390="",I390=""),"",I390-F390)</f>
        <v/>
      </c>
      <c r="K390" s="16" t="str">
        <f aca="false">IF($B390="","",IF(AND(G390="",H390=""),"Not Counted",IF(OR(G390="",H390=""),"Partially Counted",IF(J390=0,"Match",IF(J390&gt;0,"Overage","Shortage")))))</f>
        <v/>
      </c>
      <c r="L390" s="16" t="str">
        <f aca="false">IF($B390="","",IF(AND(L390&lt;&gt;"",L390&lt;&gt;0),L390,$B$4))</f>
        <v/>
      </c>
      <c r="M390" s="13"/>
      <c r="N390" s="13"/>
      <c r="O390" s="13"/>
    </row>
    <row r="391" customFormat="false" ht="15" hidden="false" customHeight="false" outlineLevel="0" collapsed="false">
      <c r="A391" s="11" t="str">
        <f aca="true">IF($B391="","",IF(AND(A391&lt;&gt;"",A391&lt;&gt;0),A391,TODAY()))</f>
        <v/>
      </c>
      <c r="B391" s="12"/>
      <c r="C391" s="13"/>
      <c r="D391" s="13"/>
      <c r="E391" s="13"/>
      <c r="F391" s="14"/>
      <c r="G391" s="14"/>
      <c r="H391" s="14"/>
      <c r="I391" s="15" t="str">
        <f aca="false">IF($B391="","",IF(AND(G391="",H391=""),"",G391+H391))</f>
        <v/>
      </c>
      <c r="J391" s="15" t="str">
        <f aca="false">IF(OR($B391="",I391=""),"",I391-F391)</f>
        <v/>
      </c>
      <c r="K391" s="16" t="str">
        <f aca="false">IF($B391="","",IF(AND(G391="",H391=""),"Not Counted",IF(OR(G391="",H391=""),"Partially Counted",IF(J391=0,"Match",IF(J391&gt;0,"Overage","Shortage")))))</f>
        <v/>
      </c>
      <c r="L391" s="16" t="str">
        <f aca="false">IF($B391="","",IF(AND(L391&lt;&gt;"",L391&lt;&gt;0),L391,$B$4))</f>
        <v/>
      </c>
      <c r="M391" s="13"/>
      <c r="N391" s="13"/>
      <c r="O391" s="13"/>
    </row>
    <row r="392" customFormat="false" ht="15" hidden="false" customHeight="false" outlineLevel="0" collapsed="false">
      <c r="A392" s="11" t="str">
        <f aca="true">IF($B392="","",IF(AND(A392&lt;&gt;"",A392&lt;&gt;0),A392,TODAY()))</f>
        <v/>
      </c>
      <c r="B392" s="12"/>
      <c r="C392" s="13"/>
      <c r="D392" s="13"/>
      <c r="E392" s="13"/>
      <c r="F392" s="14"/>
      <c r="G392" s="14"/>
      <c r="H392" s="14"/>
      <c r="I392" s="15" t="str">
        <f aca="false">IF($B392="","",IF(AND(G392="",H392=""),"",G392+H392))</f>
        <v/>
      </c>
      <c r="J392" s="15" t="str">
        <f aca="false">IF(OR($B392="",I392=""),"",I392-F392)</f>
        <v/>
      </c>
      <c r="K392" s="16" t="str">
        <f aca="false">IF($B392="","",IF(AND(G392="",H392=""),"Not Counted",IF(OR(G392="",H392=""),"Partially Counted",IF(J392=0,"Match",IF(J392&gt;0,"Overage","Shortage")))))</f>
        <v/>
      </c>
      <c r="L392" s="16" t="str">
        <f aca="false">IF($B392="","",IF(AND(L392&lt;&gt;"",L392&lt;&gt;0),L392,$B$4))</f>
        <v/>
      </c>
      <c r="M392" s="13"/>
      <c r="N392" s="13"/>
      <c r="O392" s="13"/>
    </row>
    <row r="393" customFormat="false" ht="15" hidden="false" customHeight="false" outlineLevel="0" collapsed="false">
      <c r="A393" s="11" t="str">
        <f aca="true">IF($B393="","",IF(AND(A393&lt;&gt;"",A393&lt;&gt;0),A393,TODAY()))</f>
        <v/>
      </c>
      <c r="B393" s="12"/>
      <c r="C393" s="13"/>
      <c r="D393" s="13"/>
      <c r="E393" s="13"/>
      <c r="F393" s="14"/>
      <c r="G393" s="14"/>
      <c r="H393" s="14"/>
      <c r="I393" s="15" t="str">
        <f aca="false">IF($B393="","",IF(AND(G393="",H393=""),"",G393+H393))</f>
        <v/>
      </c>
      <c r="J393" s="15" t="str">
        <f aca="false">IF(OR($B393="",I393=""),"",I393-F393)</f>
        <v/>
      </c>
      <c r="K393" s="16" t="str">
        <f aca="false">IF($B393="","",IF(AND(G393="",H393=""),"Not Counted",IF(OR(G393="",H393=""),"Partially Counted",IF(J393=0,"Match",IF(J393&gt;0,"Overage","Shortage")))))</f>
        <v/>
      </c>
      <c r="L393" s="16" t="str">
        <f aca="false">IF($B393="","",IF(AND(L393&lt;&gt;"",L393&lt;&gt;0),L393,$B$4))</f>
        <v/>
      </c>
      <c r="M393" s="13"/>
      <c r="N393" s="13"/>
      <c r="O393" s="13"/>
    </row>
    <row r="394" customFormat="false" ht="15" hidden="false" customHeight="false" outlineLevel="0" collapsed="false">
      <c r="A394" s="11" t="str">
        <f aca="true">IF($B394="","",IF(AND(A394&lt;&gt;"",A394&lt;&gt;0),A394,TODAY()))</f>
        <v/>
      </c>
      <c r="B394" s="12"/>
      <c r="C394" s="13"/>
      <c r="D394" s="13"/>
      <c r="E394" s="13"/>
      <c r="F394" s="14"/>
      <c r="G394" s="14"/>
      <c r="H394" s="14"/>
      <c r="I394" s="15" t="str">
        <f aca="false">IF($B394="","",IF(AND(G394="",H394=""),"",G394+H394))</f>
        <v/>
      </c>
      <c r="J394" s="15" t="str">
        <f aca="false">IF(OR($B394="",I394=""),"",I394-F394)</f>
        <v/>
      </c>
      <c r="K394" s="16" t="str">
        <f aca="false">IF($B394="","",IF(AND(G394="",H394=""),"Not Counted",IF(OR(G394="",H394=""),"Partially Counted",IF(J394=0,"Match",IF(J394&gt;0,"Overage","Shortage")))))</f>
        <v/>
      </c>
      <c r="L394" s="16" t="str">
        <f aca="false">IF($B394="","",IF(AND(L394&lt;&gt;"",L394&lt;&gt;0),L394,$B$4))</f>
        <v/>
      </c>
      <c r="M394" s="13"/>
      <c r="N394" s="13"/>
      <c r="O394" s="13"/>
    </row>
    <row r="395" customFormat="false" ht="15" hidden="false" customHeight="false" outlineLevel="0" collapsed="false">
      <c r="A395" s="11" t="str">
        <f aca="true">IF($B395="","",IF(AND(A395&lt;&gt;"",A395&lt;&gt;0),A395,TODAY()))</f>
        <v/>
      </c>
      <c r="B395" s="12"/>
      <c r="C395" s="13"/>
      <c r="D395" s="13"/>
      <c r="E395" s="13"/>
      <c r="F395" s="14"/>
      <c r="G395" s="14"/>
      <c r="H395" s="14"/>
      <c r="I395" s="15" t="str">
        <f aca="false">IF($B395="","",IF(AND(G395="",H395=""),"",G395+H395))</f>
        <v/>
      </c>
      <c r="J395" s="15" t="str">
        <f aca="false">IF(OR($B395="",I395=""),"",I395-F395)</f>
        <v/>
      </c>
      <c r="K395" s="16" t="str">
        <f aca="false">IF($B395="","",IF(AND(G395="",H395=""),"Not Counted",IF(OR(G395="",H395=""),"Partially Counted",IF(J395=0,"Match",IF(J395&gt;0,"Overage","Shortage")))))</f>
        <v/>
      </c>
      <c r="L395" s="16" t="str">
        <f aca="false">IF($B395="","",IF(AND(L395&lt;&gt;"",L395&lt;&gt;0),L395,$B$4))</f>
        <v/>
      </c>
      <c r="M395" s="13"/>
      <c r="N395" s="13"/>
      <c r="O395" s="13"/>
    </row>
    <row r="396" customFormat="false" ht="15" hidden="false" customHeight="false" outlineLevel="0" collapsed="false">
      <c r="A396" s="11" t="str">
        <f aca="true">IF($B396="","",IF(AND(A396&lt;&gt;"",A396&lt;&gt;0),A396,TODAY()))</f>
        <v/>
      </c>
      <c r="B396" s="12"/>
      <c r="C396" s="13"/>
      <c r="D396" s="13"/>
      <c r="E396" s="13"/>
      <c r="F396" s="14"/>
      <c r="G396" s="14"/>
      <c r="H396" s="14"/>
      <c r="I396" s="15" t="str">
        <f aca="false">IF($B396="","",IF(AND(G396="",H396=""),"",G396+H396))</f>
        <v/>
      </c>
      <c r="J396" s="15" t="str">
        <f aca="false">IF(OR($B396="",I396=""),"",I396-F396)</f>
        <v/>
      </c>
      <c r="K396" s="16" t="str">
        <f aca="false">IF($B396="","",IF(AND(G396="",H396=""),"Not Counted",IF(OR(G396="",H396=""),"Partially Counted",IF(J396=0,"Match",IF(J396&gt;0,"Overage","Shortage")))))</f>
        <v/>
      </c>
      <c r="L396" s="16" t="str">
        <f aca="false">IF($B396="","",IF(AND(L396&lt;&gt;"",L396&lt;&gt;0),L396,$B$4))</f>
        <v/>
      </c>
      <c r="M396" s="13"/>
      <c r="N396" s="13"/>
      <c r="O396" s="13"/>
    </row>
    <row r="397" customFormat="false" ht="15" hidden="false" customHeight="false" outlineLevel="0" collapsed="false">
      <c r="A397" s="11" t="str">
        <f aca="true">IF($B397="","",IF(AND(A397&lt;&gt;"",A397&lt;&gt;0),A397,TODAY()))</f>
        <v/>
      </c>
      <c r="B397" s="12"/>
      <c r="C397" s="13"/>
      <c r="D397" s="13"/>
      <c r="E397" s="13"/>
      <c r="F397" s="14"/>
      <c r="G397" s="14"/>
      <c r="H397" s="14"/>
      <c r="I397" s="15" t="str">
        <f aca="false">IF($B397="","",IF(AND(G397="",H397=""),"",G397+H397))</f>
        <v/>
      </c>
      <c r="J397" s="15" t="str">
        <f aca="false">IF(OR($B397="",I397=""),"",I397-F397)</f>
        <v/>
      </c>
      <c r="K397" s="16" t="str">
        <f aca="false">IF($B397="","",IF(AND(G397="",H397=""),"Not Counted",IF(OR(G397="",H397=""),"Partially Counted",IF(J397=0,"Match",IF(J397&gt;0,"Overage","Shortage")))))</f>
        <v/>
      </c>
      <c r="L397" s="16" t="str">
        <f aca="false">IF($B397="","",IF(AND(L397&lt;&gt;"",L397&lt;&gt;0),L397,$B$4))</f>
        <v/>
      </c>
      <c r="M397" s="13"/>
      <c r="N397" s="13"/>
      <c r="O397" s="13"/>
    </row>
    <row r="398" customFormat="false" ht="15" hidden="false" customHeight="false" outlineLevel="0" collapsed="false">
      <c r="A398" s="11" t="str">
        <f aca="true">IF($B398="","",IF(AND(A398&lt;&gt;"",A398&lt;&gt;0),A398,TODAY()))</f>
        <v/>
      </c>
      <c r="B398" s="12"/>
      <c r="C398" s="13"/>
      <c r="D398" s="13"/>
      <c r="E398" s="13"/>
      <c r="F398" s="14"/>
      <c r="G398" s="14"/>
      <c r="H398" s="14"/>
      <c r="I398" s="15" t="str">
        <f aca="false">IF($B398="","",IF(AND(G398="",H398=""),"",G398+H398))</f>
        <v/>
      </c>
      <c r="J398" s="15" t="str">
        <f aca="false">IF(OR($B398="",I398=""),"",I398-F398)</f>
        <v/>
      </c>
      <c r="K398" s="16" t="str">
        <f aca="false">IF($B398="","",IF(AND(G398="",H398=""),"Not Counted",IF(OR(G398="",H398=""),"Partially Counted",IF(J398=0,"Match",IF(J398&gt;0,"Overage","Shortage")))))</f>
        <v/>
      </c>
      <c r="L398" s="16" t="str">
        <f aca="false">IF($B398="","",IF(AND(L398&lt;&gt;"",L398&lt;&gt;0),L398,$B$4))</f>
        <v/>
      </c>
      <c r="M398" s="13"/>
      <c r="N398" s="13"/>
      <c r="O398" s="13"/>
    </row>
    <row r="399" customFormat="false" ht="15" hidden="false" customHeight="false" outlineLevel="0" collapsed="false">
      <c r="A399" s="11" t="str">
        <f aca="true">IF($B399="","",IF(AND(A399&lt;&gt;"",A399&lt;&gt;0),A399,TODAY()))</f>
        <v/>
      </c>
      <c r="B399" s="12"/>
      <c r="C399" s="13"/>
      <c r="D399" s="13"/>
      <c r="E399" s="13"/>
      <c r="F399" s="14"/>
      <c r="G399" s="14"/>
      <c r="H399" s="14"/>
      <c r="I399" s="15" t="str">
        <f aca="false">IF($B399="","",IF(AND(G399="",H399=""),"",G399+H399))</f>
        <v/>
      </c>
      <c r="J399" s="15" t="str">
        <f aca="false">IF(OR($B399="",I399=""),"",I399-F399)</f>
        <v/>
      </c>
      <c r="K399" s="16" t="str">
        <f aca="false">IF($B399="","",IF(AND(G399="",H399=""),"Not Counted",IF(OR(G399="",H399=""),"Partially Counted",IF(J399=0,"Match",IF(J399&gt;0,"Overage","Shortage")))))</f>
        <v/>
      </c>
      <c r="L399" s="16" t="str">
        <f aca="false">IF($B399="","",IF(AND(L399&lt;&gt;"",L399&lt;&gt;0),L399,$B$4))</f>
        <v/>
      </c>
      <c r="M399" s="13"/>
      <c r="N399" s="13"/>
      <c r="O399" s="13"/>
    </row>
    <row r="400" customFormat="false" ht="15" hidden="false" customHeight="false" outlineLevel="0" collapsed="false">
      <c r="A400" s="11" t="str">
        <f aca="true">IF($B400="","",IF(AND(A400&lt;&gt;"",A400&lt;&gt;0),A400,TODAY()))</f>
        <v/>
      </c>
      <c r="B400" s="12"/>
      <c r="C400" s="13"/>
      <c r="D400" s="13"/>
      <c r="E400" s="13"/>
      <c r="F400" s="14"/>
      <c r="G400" s="14"/>
      <c r="H400" s="14"/>
      <c r="I400" s="15" t="str">
        <f aca="false">IF($B400="","",IF(AND(G400="",H400=""),"",G400+H400))</f>
        <v/>
      </c>
      <c r="J400" s="15" t="str">
        <f aca="false">IF(OR($B400="",I400=""),"",I400-F400)</f>
        <v/>
      </c>
      <c r="K400" s="16" t="str">
        <f aca="false">IF($B400="","",IF(AND(G400="",H400=""),"Not Counted",IF(OR(G400="",H400=""),"Partially Counted",IF(J400=0,"Match",IF(J400&gt;0,"Overage","Shortage")))))</f>
        <v/>
      </c>
      <c r="L400" s="16" t="str">
        <f aca="false">IF($B400="","",IF(AND(L400&lt;&gt;"",L400&lt;&gt;0),L400,$B$4))</f>
        <v/>
      </c>
      <c r="M400" s="13"/>
      <c r="N400" s="13"/>
      <c r="O400" s="13"/>
    </row>
    <row r="401" customFormat="false" ht="15" hidden="false" customHeight="false" outlineLevel="0" collapsed="false">
      <c r="A401" s="11" t="str">
        <f aca="true">IF($B401="","",IF(AND(A401&lt;&gt;"",A401&lt;&gt;0),A401,TODAY()))</f>
        <v/>
      </c>
      <c r="B401" s="12"/>
      <c r="C401" s="13"/>
      <c r="D401" s="13"/>
      <c r="E401" s="13"/>
      <c r="F401" s="14"/>
      <c r="G401" s="14"/>
      <c r="H401" s="14"/>
      <c r="I401" s="15" t="str">
        <f aca="false">IF($B401="","",IF(AND(G401="",H401=""),"",G401+H401))</f>
        <v/>
      </c>
      <c r="J401" s="15" t="str">
        <f aca="false">IF(OR($B401="",I401=""),"",I401-F401)</f>
        <v/>
      </c>
      <c r="K401" s="16" t="str">
        <f aca="false">IF($B401="","",IF(AND(G401="",H401=""),"Not Counted",IF(OR(G401="",H401=""),"Partially Counted",IF(J401=0,"Match",IF(J401&gt;0,"Overage","Shortage")))))</f>
        <v/>
      </c>
      <c r="L401" s="16" t="str">
        <f aca="false">IF($B401="","",IF(AND(L401&lt;&gt;"",L401&lt;&gt;0),L401,$B$4))</f>
        <v/>
      </c>
      <c r="M401" s="13"/>
      <c r="N401" s="13"/>
      <c r="O401" s="13"/>
    </row>
    <row r="402" customFormat="false" ht="15" hidden="false" customHeight="false" outlineLevel="0" collapsed="false">
      <c r="A402" s="11" t="str">
        <f aca="true">IF($B402="","",IF(AND(A402&lt;&gt;"",A402&lt;&gt;0),A402,TODAY()))</f>
        <v/>
      </c>
      <c r="B402" s="12"/>
      <c r="C402" s="13"/>
      <c r="D402" s="13"/>
      <c r="E402" s="13"/>
      <c r="F402" s="14"/>
      <c r="G402" s="14"/>
      <c r="H402" s="14"/>
      <c r="I402" s="15" t="str">
        <f aca="false">IF($B402="","",IF(AND(G402="",H402=""),"",G402+H402))</f>
        <v/>
      </c>
      <c r="J402" s="15" t="str">
        <f aca="false">IF(OR($B402="",I402=""),"",I402-F402)</f>
        <v/>
      </c>
      <c r="K402" s="16" t="str">
        <f aca="false">IF($B402="","",IF(AND(G402="",H402=""),"Not Counted",IF(OR(G402="",H402=""),"Partially Counted",IF(J402=0,"Match",IF(J402&gt;0,"Overage","Shortage")))))</f>
        <v/>
      </c>
      <c r="L402" s="16" t="str">
        <f aca="false">IF($B402="","",IF(AND(L402&lt;&gt;"",L402&lt;&gt;0),L402,$B$4))</f>
        <v/>
      </c>
      <c r="M402" s="13"/>
      <c r="N402" s="13"/>
      <c r="O402" s="13"/>
    </row>
    <row r="403" customFormat="false" ht="15" hidden="false" customHeight="false" outlineLevel="0" collapsed="false">
      <c r="A403" s="11" t="str">
        <f aca="true">IF($B403="","",IF(AND(A403&lt;&gt;"",A403&lt;&gt;0),A403,TODAY()))</f>
        <v/>
      </c>
      <c r="B403" s="12"/>
      <c r="C403" s="13"/>
      <c r="D403" s="13"/>
      <c r="E403" s="13"/>
      <c r="F403" s="14"/>
      <c r="G403" s="14"/>
      <c r="H403" s="14"/>
      <c r="I403" s="15" t="str">
        <f aca="false">IF($B403="","",IF(AND(G403="",H403=""),"",G403+H403))</f>
        <v/>
      </c>
      <c r="J403" s="15" t="str">
        <f aca="false">IF(OR($B403="",I403=""),"",I403-F403)</f>
        <v/>
      </c>
      <c r="K403" s="16" t="str">
        <f aca="false">IF($B403="","",IF(AND(G403="",H403=""),"Not Counted",IF(OR(G403="",H403=""),"Partially Counted",IF(J403=0,"Match",IF(J403&gt;0,"Overage","Shortage")))))</f>
        <v/>
      </c>
      <c r="L403" s="16" t="str">
        <f aca="false">IF($B403="","",IF(AND(L403&lt;&gt;"",L403&lt;&gt;0),L403,$B$4))</f>
        <v/>
      </c>
      <c r="M403" s="13"/>
      <c r="N403" s="13"/>
      <c r="O403" s="13"/>
    </row>
    <row r="404" customFormat="false" ht="15" hidden="false" customHeight="false" outlineLevel="0" collapsed="false">
      <c r="A404" s="11" t="str">
        <f aca="true">IF($B404="","",IF(AND(A404&lt;&gt;"",A404&lt;&gt;0),A404,TODAY()))</f>
        <v/>
      </c>
      <c r="B404" s="12"/>
      <c r="C404" s="13"/>
      <c r="D404" s="13"/>
      <c r="E404" s="13"/>
      <c r="F404" s="14"/>
      <c r="G404" s="14"/>
      <c r="H404" s="14"/>
      <c r="I404" s="15" t="str">
        <f aca="false">IF($B404="","",IF(AND(G404="",H404=""),"",G404+H404))</f>
        <v/>
      </c>
      <c r="J404" s="15" t="str">
        <f aca="false">IF(OR($B404="",I404=""),"",I404-F404)</f>
        <v/>
      </c>
      <c r="K404" s="16" t="str">
        <f aca="false">IF($B404="","",IF(AND(G404="",H404=""),"Not Counted",IF(OR(G404="",H404=""),"Partially Counted",IF(J404=0,"Match",IF(J404&gt;0,"Overage","Shortage")))))</f>
        <v/>
      </c>
      <c r="L404" s="16" t="str">
        <f aca="false">IF($B404="","",IF(AND(L404&lt;&gt;"",L404&lt;&gt;0),L404,$B$4))</f>
        <v/>
      </c>
      <c r="M404" s="13"/>
      <c r="N404" s="13"/>
      <c r="O404" s="13"/>
    </row>
    <row r="405" customFormat="false" ht="15" hidden="false" customHeight="false" outlineLevel="0" collapsed="false">
      <c r="A405" s="11" t="str">
        <f aca="true">IF($B405="","",IF(AND(A405&lt;&gt;"",A405&lt;&gt;0),A405,TODAY()))</f>
        <v/>
      </c>
      <c r="B405" s="12"/>
      <c r="C405" s="13"/>
      <c r="D405" s="13"/>
      <c r="E405" s="13"/>
      <c r="F405" s="14"/>
      <c r="G405" s="14"/>
      <c r="H405" s="14"/>
      <c r="I405" s="15" t="str">
        <f aca="false">IF($B405="","",IF(AND(G405="",H405=""),"",G405+H405))</f>
        <v/>
      </c>
      <c r="J405" s="15" t="str">
        <f aca="false">IF(OR($B405="",I405=""),"",I405-F405)</f>
        <v/>
      </c>
      <c r="K405" s="16" t="str">
        <f aca="false">IF($B405="","",IF(AND(G405="",H405=""),"Not Counted",IF(OR(G405="",H405=""),"Partially Counted",IF(J405=0,"Match",IF(J405&gt;0,"Overage","Shortage")))))</f>
        <v/>
      </c>
      <c r="L405" s="16" t="str">
        <f aca="false">IF($B405="","",IF(AND(L405&lt;&gt;"",L405&lt;&gt;0),L405,$B$4))</f>
        <v/>
      </c>
      <c r="M405" s="13"/>
      <c r="N405" s="13"/>
      <c r="O405" s="13"/>
    </row>
    <row r="406" customFormat="false" ht="15" hidden="false" customHeight="false" outlineLevel="0" collapsed="false">
      <c r="A406" s="11" t="str">
        <f aca="true">IF($B406="","",IF(AND(A406&lt;&gt;"",A406&lt;&gt;0),A406,TODAY()))</f>
        <v/>
      </c>
      <c r="B406" s="12"/>
      <c r="C406" s="13"/>
      <c r="D406" s="13"/>
      <c r="E406" s="13"/>
      <c r="F406" s="14"/>
      <c r="G406" s="14"/>
      <c r="H406" s="14"/>
      <c r="I406" s="15" t="str">
        <f aca="false">IF($B406="","",IF(AND(G406="",H406=""),"",G406+H406))</f>
        <v/>
      </c>
      <c r="J406" s="15" t="str">
        <f aca="false">IF(OR($B406="",I406=""),"",I406-F406)</f>
        <v/>
      </c>
      <c r="K406" s="16" t="str">
        <f aca="false">IF($B406="","",IF(AND(G406="",H406=""),"Not Counted",IF(OR(G406="",H406=""),"Partially Counted",IF(J406=0,"Match",IF(J406&gt;0,"Overage","Shortage")))))</f>
        <v/>
      </c>
      <c r="L406" s="16" t="str">
        <f aca="false">IF($B406="","",IF(AND(L406&lt;&gt;"",L406&lt;&gt;0),L406,$B$4))</f>
        <v/>
      </c>
      <c r="M406" s="13"/>
      <c r="N406" s="13"/>
      <c r="O406" s="13"/>
    </row>
    <row r="407" customFormat="false" ht="15" hidden="false" customHeight="false" outlineLevel="0" collapsed="false">
      <c r="A407" s="11" t="str">
        <f aca="true">IF($B407="","",IF(AND(A407&lt;&gt;"",A407&lt;&gt;0),A407,TODAY()))</f>
        <v/>
      </c>
      <c r="B407" s="12"/>
      <c r="C407" s="13"/>
      <c r="D407" s="13"/>
      <c r="E407" s="13"/>
      <c r="F407" s="14"/>
      <c r="G407" s="14"/>
      <c r="H407" s="14"/>
      <c r="I407" s="15" t="str">
        <f aca="false">IF($B407="","",IF(AND(G407="",H407=""),"",G407+H407))</f>
        <v/>
      </c>
      <c r="J407" s="15" t="str">
        <f aca="false">IF(OR($B407="",I407=""),"",I407-F407)</f>
        <v/>
      </c>
      <c r="K407" s="16" t="str">
        <f aca="false">IF($B407="","",IF(AND(G407="",H407=""),"Not Counted",IF(OR(G407="",H407=""),"Partially Counted",IF(J407=0,"Match",IF(J407&gt;0,"Overage","Shortage")))))</f>
        <v/>
      </c>
      <c r="L407" s="16" t="str">
        <f aca="false">IF($B407="","",IF(AND(L407&lt;&gt;"",L407&lt;&gt;0),L407,$B$4))</f>
        <v/>
      </c>
      <c r="M407" s="13"/>
      <c r="N407" s="13"/>
      <c r="O407" s="13"/>
    </row>
    <row r="408" customFormat="false" ht="15" hidden="false" customHeight="false" outlineLevel="0" collapsed="false">
      <c r="A408" s="11" t="str">
        <f aca="true">IF($B408="","",IF(AND(A408&lt;&gt;"",A408&lt;&gt;0),A408,TODAY()))</f>
        <v/>
      </c>
      <c r="B408" s="12"/>
      <c r="C408" s="13"/>
      <c r="D408" s="13"/>
      <c r="E408" s="13"/>
      <c r="F408" s="14"/>
      <c r="G408" s="14"/>
      <c r="H408" s="14"/>
      <c r="I408" s="15" t="str">
        <f aca="false">IF($B408="","",IF(AND(G408="",H408=""),"",G408+H408))</f>
        <v/>
      </c>
      <c r="J408" s="15" t="str">
        <f aca="false">IF(OR($B408="",I408=""),"",I408-F408)</f>
        <v/>
      </c>
      <c r="K408" s="16" t="str">
        <f aca="false">IF($B408="","",IF(AND(G408="",H408=""),"Not Counted",IF(OR(G408="",H408=""),"Partially Counted",IF(J408=0,"Match",IF(J408&gt;0,"Overage","Shortage")))))</f>
        <v/>
      </c>
      <c r="L408" s="16" t="str">
        <f aca="false">IF($B408="","",IF(AND(L408&lt;&gt;"",L408&lt;&gt;0),L408,$B$4))</f>
        <v/>
      </c>
      <c r="M408" s="13"/>
      <c r="N408" s="13"/>
      <c r="O408" s="13"/>
    </row>
    <row r="409" customFormat="false" ht="15" hidden="false" customHeight="false" outlineLevel="0" collapsed="false">
      <c r="A409" s="11" t="str">
        <f aca="true">IF($B409="","",IF(AND(A409&lt;&gt;"",A409&lt;&gt;0),A409,TODAY()))</f>
        <v/>
      </c>
      <c r="B409" s="12"/>
      <c r="C409" s="13"/>
      <c r="D409" s="13"/>
      <c r="E409" s="13"/>
      <c r="F409" s="14"/>
      <c r="G409" s="14"/>
      <c r="H409" s="14"/>
      <c r="I409" s="15" t="str">
        <f aca="false">IF($B409="","",IF(AND(G409="",H409=""),"",G409+H409))</f>
        <v/>
      </c>
      <c r="J409" s="15" t="str">
        <f aca="false">IF(OR($B409="",I409=""),"",I409-F409)</f>
        <v/>
      </c>
      <c r="K409" s="16" t="str">
        <f aca="false">IF($B409="","",IF(AND(G409="",H409=""),"Not Counted",IF(OR(G409="",H409=""),"Partially Counted",IF(J409=0,"Match",IF(J409&gt;0,"Overage","Shortage")))))</f>
        <v/>
      </c>
      <c r="L409" s="16" t="str">
        <f aca="false">IF($B409="","",IF(AND(L409&lt;&gt;"",L409&lt;&gt;0),L409,$B$4))</f>
        <v/>
      </c>
      <c r="M409" s="13"/>
      <c r="N409" s="13"/>
      <c r="O409" s="13"/>
    </row>
    <row r="410" customFormat="false" ht="15" hidden="false" customHeight="false" outlineLevel="0" collapsed="false">
      <c r="A410" s="11" t="str">
        <f aca="true">IF($B410="","",IF(AND(A410&lt;&gt;"",A410&lt;&gt;0),A410,TODAY()))</f>
        <v/>
      </c>
      <c r="B410" s="12"/>
      <c r="C410" s="13"/>
      <c r="D410" s="13"/>
      <c r="E410" s="13"/>
      <c r="F410" s="14"/>
      <c r="G410" s="14"/>
      <c r="H410" s="14"/>
      <c r="I410" s="15" t="str">
        <f aca="false">IF($B410="","",IF(AND(G410="",H410=""),"",G410+H410))</f>
        <v/>
      </c>
      <c r="J410" s="15" t="str">
        <f aca="false">IF(OR($B410="",I410=""),"",I410-F410)</f>
        <v/>
      </c>
      <c r="K410" s="16" t="str">
        <f aca="false">IF($B410="","",IF(AND(G410="",H410=""),"Not Counted",IF(OR(G410="",H410=""),"Partially Counted",IF(J410=0,"Match",IF(J410&gt;0,"Overage","Shortage")))))</f>
        <v/>
      </c>
      <c r="L410" s="16" t="str">
        <f aca="false">IF($B410="","",IF(AND(L410&lt;&gt;"",L410&lt;&gt;0),L410,$B$4))</f>
        <v/>
      </c>
      <c r="M410" s="13"/>
      <c r="N410" s="13"/>
      <c r="O410" s="13"/>
    </row>
    <row r="411" customFormat="false" ht="15" hidden="false" customHeight="false" outlineLevel="0" collapsed="false">
      <c r="A411" s="11" t="str">
        <f aca="true">IF($B411="","",IF(AND(A411&lt;&gt;"",A411&lt;&gt;0),A411,TODAY()))</f>
        <v/>
      </c>
      <c r="B411" s="12"/>
      <c r="C411" s="13"/>
      <c r="D411" s="13"/>
      <c r="E411" s="13"/>
      <c r="F411" s="14"/>
      <c r="G411" s="14"/>
      <c r="H411" s="14"/>
      <c r="I411" s="15" t="str">
        <f aca="false">IF($B411="","",IF(AND(G411="",H411=""),"",G411+H411))</f>
        <v/>
      </c>
      <c r="J411" s="15" t="str">
        <f aca="false">IF(OR($B411="",I411=""),"",I411-F411)</f>
        <v/>
      </c>
      <c r="K411" s="16" t="str">
        <f aca="false">IF($B411="","",IF(AND(G411="",H411=""),"Not Counted",IF(OR(G411="",H411=""),"Partially Counted",IF(J411=0,"Match",IF(J411&gt;0,"Overage","Shortage")))))</f>
        <v/>
      </c>
      <c r="L411" s="16" t="str">
        <f aca="false">IF($B411="","",IF(AND(L411&lt;&gt;"",L411&lt;&gt;0),L411,$B$4))</f>
        <v/>
      </c>
      <c r="M411" s="13"/>
      <c r="N411" s="13"/>
      <c r="O411" s="13"/>
    </row>
    <row r="412" customFormat="false" ht="15" hidden="false" customHeight="false" outlineLevel="0" collapsed="false">
      <c r="A412" s="11" t="str">
        <f aca="true">IF($B412="","",IF(AND(A412&lt;&gt;"",A412&lt;&gt;0),A412,TODAY()))</f>
        <v/>
      </c>
      <c r="B412" s="12"/>
      <c r="C412" s="13"/>
      <c r="D412" s="13"/>
      <c r="E412" s="13"/>
      <c r="F412" s="14"/>
      <c r="G412" s="14"/>
      <c r="H412" s="14"/>
      <c r="I412" s="15" t="str">
        <f aca="false">IF($B412="","",IF(AND(G412="",H412=""),"",G412+H412))</f>
        <v/>
      </c>
      <c r="J412" s="15" t="str">
        <f aca="false">IF(OR($B412="",I412=""),"",I412-F412)</f>
        <v/>
      </c>
      <c r="K412" s="16" t="str">
        <f aca="false">IF($B412="","",IF(AND(G412="",H412=""),"Not Counted",IF(OR(G412="",H412=""),"Partially Counted",IF(J412=0,"Match",IF(J412&gt;0,"Overage","Shortage")))))</f>
        <v/>
      </c>
      <c r="L412" s="16" t="str">
        <f aca="false">IF($B412="","",IF(AND(L412&lt;&gt;"",L412&lt;&gt;0),L412,$B$4))</f>
        <v/>
      </c>
      <c r="M412" s="13"/>
      <c r="N412" s="13"/>
      <c r="O412" s="13"/>
    </row>
    <row r="413" customFormat="false" ht="15" hidden="false" customHeight="false" outlineLevel="0" collapsed="false">
      <c r="A413" s="11" t="str">
        <f aca="true">IF($B413="","",IF(AND(A413&lt;&gt;"",A413&lt;&gt;0),A413,TODAY()))</f>
        <v/>
      </c>
      <c r="B413" s="12"/>
      <c r="C413" s="13"/>
      <c r="D413" s="13"/>
      <c r="E413" s="13"/>
      <c r="F413" s="14"/>
      <c r="G413" s="14"/>
      <c r="H413" s="14"/>
      <c r="I413" s="15" t="str">
        <f aca="false">IF($B413="","",IF(AND(G413="",H413=""),"",G413+H413))</f>
        <v/>
      </c>
      <c r="J413" s="15" t="str">
        <f aca="false">IF(OR($B413="",I413=""),"",I413-F413)</f>
        <v/>
      </c>
      <c r="K413" s="16" t="str">
        <f aca="false">IF($B413="","",IF(AND(G413="",H413=""),"Not Counted",IF(OR(G413="",H413=""),"Partially Counted",IF(J413=0,"Match",IF(J413&gt;0,"Overage","Shortage")))))</f>
        <v/>
      </c>
      <c r="L413" s="16" t="str">
        <f aca="false">IF($B413="","",IF(AND(L413&lt;&gt;"",L413&lt;&gt;0),L413,$B$4))</f>
        <v/>
      </c>
      <c r="M413" s="13"/>
      <c r="N413" s="13"/>
      <c r="O413" s="13"/>
    </row>
    <row r="414" customFormat="false" ht="15" hidden="false" customHeight="false" outlineLevel="0" collapsed="false">
      <c r="A414" s="11" t="str">
        <f aca="true">IF($B414="","",IF(AND(A414&lt;&gt;"",A414&lt;&gt;0),A414,TODAY()))</f>
        <v/>
      </c>
      <c r="B414" s="12"/>
      <c r="C414" s="13"/>
      <c r="D414" s="13"/>
      <c r="E414" s="13"/>
      <c r="F414" s="14"/>
      <c r="G414" s="14"/>
      <c r="H414" s="14"/>
      <c r="I414" s="15" t="str">
        <f aca="false">IF($B414="","",IF(AND(G414="",H414=""),"",G414+H414))</f>
        <v/>
      </c>
      <c r="J414" s="15" t="str">
        <f aca="false">IF(OR($B414="",I414=""),"",I414-F414)</f>
        <v/>
      </c>
      <c r="K414" s="16" t="str">
        <f aca="false">IF($B414="","",IF(AND(G414="",H414=""),"Not Counted",IF(OR(G414="",H414=""),"Partially Counted",IF(J414=0,"Match",IF(J414&gt;0,"Overage","Shortage")))))</f>
        <v/>
      </c>
      <c r="L414" s="16" t="str">
        <f aca="false">IF($B414="","",IF(AND(L414&lt;&gt;"",L414&lt;&gt;0),L414,$B$4))</f>
        <v/>
      </c>
      <c r="M414" s="13"/>
      <c r="N414" s="13"/>
      <c r="O414" s="13"/>
    </row>
    <row r="415" customFormat="false" ht="15" hidden="false" customHeight="false" outlineLevel="0" collapsed="false">
      <c r="A415" s="11" t="str">
        <f aca="true">IF($B415="","",IF(AND(A415&lt;&gt;"",A415&lt;&gt;0),A415,TODAY()))</f>
        <v/>
      </c>
      <c r="B415" s="12"/>
      <c r="C415" s="13"/>
      <c r="D415" s="13"/>
      <c r="E415" s="13"/>
      <c r="F415" s="14"/>
      <c r="G415" s="14"/>
      <c r="H415" s="14"/>
      <c r="I415" s="15" t="str">
        <f aca="false">IF($B415="","",IF(AND(G415="",H415=""),"",G415+H415))</f>
        <v/>
      </c>
      <c r="J415" s="15" t="str">
        <f aca="false">IF(OR($B415="",I415=""),"",I415-F415)</f>
        <v/>
      </c>
      <c r="K415" s="16" t="str">
        <f aca="false">IF($B415="","",IF(AND(G415="",H415=""),"Not Counted",IF(OR(G415="",H415=""),"Partially Counted",IF(J415=0,"Match",IF(J415&gt;0,"Overage","Shortage")))))</f>
        <v/>
      </c>
      <c r="L415" s="16" t="str">
        <f aca="false">IF($B415="","",IF(AND(L415&lt;&gt;"",L415&lt;&gt;0),L415,$B$4))</f>
        <v/>
      </c>
      <c r="M415" s="13"/>
      <c r="N415" s="13"/>
      <c r="O415" s="13"/>
    </row>
    <row r="416" customFormat="false" ht="15" hidden="false" customHeight="false" outlineLevel="0" collapsed="false">
      <c r="A416" s="11" t="str">
        <f aca="true">IF($B416="","",IF(AND(A416&lt;&gt;"",A416&lt;&gt;0),A416,TODAY()))</f>
        <v/>
      </c>
      <c r="B416" s="12"/>
      <c r="C416" s="13"/>
      <c r="D416" s="13"/>
      <c r="E416" s="13"/>
      <c r="F416" s="14"/>
      <c r="G416" s="14"/>
      <c r="H416" s="14"/>
      <c r="I416" s="15" t="str">
        <f aca="false">IF($B416="","",IF(AND(G416="",H416=""),"",G416+H416))</f>
        <v/>
      </c>
      <c r="J416" s="15" t="str">
        <f aca="false">IF(OR($B416="",I416=""),"",I416-F416)</f>
        <v/>
      </c>
      <c r="K416" s="16" t="str">
        <f aca="false">IF($B416="","",IF(AND(G416="",H416=""),"Not Counted",IF(OR(G416="",H416=""),"Partially Counted",IF(J416=0,"Match",IF(J416&gt;0,"Overage","Shortage")))))</f>
        <v/>
      </c>
      <c r="L416" s="16" t="str">
        <f aca="false">IF($B416="","",IF(AND(L416&lt;&gt;"",L416&lt;&gt;0),L416,$B$4))</f>
        <v/>
      </c>
      <c r="M416" s="13"/>
      <c r="N416" s="13"/>
      <c r="O416" s="13"/>
    </row>
    <row r="417" customFormat="false" ht="15" hidden="false" customHeight="false" outlineLevel="0" collapsed="false">
      <c r="A417" s="11" t="str">
        <f aca="true">IF($B417="","",IF(AND(A417&lt;&gt;"",A417&lt;&gt;0),A417,TODAY()))</f>
        <v/>
      </c>
      <c r="B417" s="12"/>
      <c r="C417" s="13"/>
      <c r="D417" s="13"/>
      <c r="E417" s="13"/>
      <c r="F417" s="14"/>
      <c r="G417" s="14"/>
      <c r="H417" s="14"/>
      <c r="I417" s="15" t="str">
        <f aca="false">IF($B417="","",IF(AND(G417="",H417=""),"",G417+H417))</f>
        <v/>
      </c>
      <c r="J417" s="15" t="str">
        <f aca="false">IF(OR($B417="",I417=""),"",I417-F417)</f>
        <v/>
      </c>
      <c r="K417" s="16" t="str">
        <f aca="false">IF($B417="","",IF(AND(G417="",H417=""),"Not Counted",IF(OR(G417="",H417=""),"Partially Counted",IF(J417=0,"Match",IF(J417&gt;0,"Overage","Shortage")))))</f>
        <v/>
      </c>
      <c r="L417" s="16" t="str">
        <f aca="false">IF($B417="","",IF(AND(L417&lt;&gt;"",L417&lt;&gt;0),L417,$B$4))</f>
        <v/>
      </c>
      <c r="M417" s="13"/>
      <c r="N417" s="13"/>
      <c r="O417" s="13"/>
    </row>
    <row r="418" customFormat="false" ht="15" hidden="false" customHeight="false" outlineLevel="0" collapsed="false">
      <c r="A418" s="11" t="str">
        <f aca="true">IF($B418="","",IF(AND(A418&lt;&gt;"",A418&lt;&gt;0),A418,TODAY()))</f>
        <v/>
      </c>
      <c r="B418" s="12"/>
      <c r="C418" s="13"/>
      <c r="D418" s="13"/>
      <c r="E418" s="13"/>
      <c r="F418" s="14"/>
      <c r="G418" s="14"/>
      <c r="H418" s="14"/>
      <c r="I418" s="15" t="str">
        <f aca="false">IF($B418="","",IF(AND(G418="",H418=""),"",G418+H418))</f>
        <v/>
      </c>
      <c r="J418" s="15" t="str">
        <f aca="false">IF(OR($B418="",I418=""),"",I418-F418)</f>
        <v/>
      </c>
      <c r="K418" s="16" t="str">
        <f aca="false">IF($B418="","",IF(AND(G418="",H418=""),"Not Counted",IF(OR(G418="",H418=""),"Partially Counted",IF(J418=0,"Match",IF(J418&gt;0,"Overage","Shortage")))))</f>
        <v/>
      </c>
      <c r="L418" s="16" t="str">
        <f aca="false">IF($B418="","",IF(AND(L418&lt;&gt;"",L418&lt;&gt;0),L418,$B$4))</f>
        <v/>
      </c>
      <c r="M418" s="13"/>
      <c r="N418" s="13"/>
      <c r="O418" s="13"/>
    </row>
    <row r="419" customFormat="false" ht="15" hidden="false" customHeight="false" outlineLevel="0" collapsed="false">
      <c r="A419" s="11" t="str">
        <f aca="true">IF($B419="","",IF(AND(A419&lt;&gt;"",A419&lt;&gt;0),A419,TODAY()))</f>
        <v/>
      </c>
      <c r="B419" s="12"/>
      <c r="C419" s="13"/>
      <c r="D419" s="13"/>
      <c r="E419" s="13"/>
      <c r="F419" s="14"/>
      <c r="G419" s="14"/>
      <c r="H419" s="14"/>
      <c r="I419" s="15" t="str">
        <f aca="false">IF($B419="","",IF(AND(G419="",H419=""),"",G419+H419))</f>
        <v/>
      </c>
      <c r="J419" s="15" t="str">
        <f aca="false">IF(OR($B419="",I419=""),"",I419-F419)</f>
        <v/>
      </c>
      <c r="K419" s="16" t="str">
        <f aca="false">IF($B419="","",IF(AND(G419="",H419=""),"Not Counted",IF(OR(G419="",H419=""),"Partially Counted",IF(J419=0,"Match",IF(J419&gt;0,"Overage","Shortage")))))</f>
        <v/>
      </c>
      <c r="L419" s="16" t="str">
        <f aca="false">IF($B419="","",IF(AND(L419&lt;&gt;"",L419&lt;&gt;0),L419,$B$4))</f>
        <v/>
      </c>
      <c r="M419" s="13"/>
      <c r="N419" s="13"/>
      <c r="O419" s="13"/>
    </row>
    <row r="420" customFormat="false" ht="15" hidden="false" customHeight="false" outlineLevel="0" collapsed="false">
      <c r="A420" s="11" t="str">
        <f aca="true">IF($B420="","",IF(AND(A420&lt;&gt;"",A420&lt;&gt;0),A420,TODAY()))</f>
        <v/>
      </c>
      <c r="B420" s="12"/>
      <c r="C420" s="13"/>
      <c r="D420" s="13"/>
      <c r="E420" s="13"/>
      <c r="F420" s="14"/>
      <c r="G420" s="14"/>
      <c r="H420" s="14"/>
      <c r="I420" s="15" t="str">
        <f aca="false">IF($B420="","",IF(AND(G420="",H420=""),"",G420+H420))</f>
        <v/>
      </c>
      <c r="J420" s="15" t="str">
        <f aca="false">IF(OR($B420="",I420=""),"",I420-F420)</f>
        <v/>
      </c>
      <c r="K420" s="16" t="str">
        <f aca="false">IF($B420="","",IF(AND(G420="",H420=""),"Not Counted",IF(OR(G420="",H420=""),"Partially Counted",IF(J420=0,"Match",IF(J420&gt;0,"Overage","Shortage")))))</f>
        <v/>
      </c>
      <c r="L420" s="16" t="str">
        <f aca="false">IF($B420="","",IF(AND(L420&lt;&gt;"",L420&lt;&gt;0),L420,$B$4))</f>
        <v/>
      </c>
      <c r="M420" s="13"/>
      <c r="N420" s="13"/>
      <c r="O420" s="13"/>
    </row>
    <row r="421" customFormat="false" ht="15" hidden="false" customHeight="false" outlineLevel="0" collapsed="false">
      <c r="A421" s="11" t="str">
        <f aca="true">IF($B421="","",IF(AND(A421&lt;&gt;"",A421&lt;&gt;0),A421,TODAY()))</f>
        <v/>
      </c>
      <c r="B421" s="12"/>
      <c r="C421" s="13"/>
      <c r="D421" s="13"/>
      <c r="E421" s="13"/>
      <c r="F421" s="14"/>
      <c r="G421" s="14"/>
      <c r="H421" s="14"/>
      <c r="I421" s="15" t="str">
        <f aca="false">IF($B421="","",IF(AND(G421="",H421=""),"",G421+H421))</f>
        <v/>
      </c>
      <c r="J421" s="15" t="str">
        <f aca="false">IF(OR($B421="",I421=""),"",I421-F421)</f>
        <v/>
      </c>
      <c r="K421" s="16" t="str">
        <f aca="false">IF($B421="","",IF(AND(G421="",H421=""),"Not Counted",IF(OR(G421="",H421=""),"Partially Counted",IF(J421=0,"Match",IF(J421&gt;0,"Overage","Shortage")))))</f>
        <v/>
      </c>
      <c r="L421" s="16" t="str">
        <f aca="false">IF($B421="","",IF(AND(L421&lt;&gt;"",L421&lt;&gt;0),L421,$B$4))</f>
        <v/>
      </c>
      <c r="M421" s="13"/>
      <c r="N421" s="13"/>
      <c r="O421" s="13"/>
    </row>
    <row r="422" customFormat="false" ht="15" hidden="false" customHeight="false" outlineLevel="0" collapsed="false">
      <c r="A422" s="11" t="str">
        <f aca="true">IF($B422="","",IF(AND(A422&lt;&gt;"",A422&lt;&gt;0),A422,TODAY()))</f>
        <v/>
      </c>
      <c r="B422" s="12"/>
      <c r="C422" s="13"/>
      <c r="D422" s="13"/>
      <c r="E422" s="13"/>
      <c r="F422" s="14"/>
      <c r="G422" s="14"/>
      <c r="H422" s="14"/>
      <c r="I422" s="15" t="str">
        <f aca="false">IF($B422="","",IF(AND(G422="",H422=""),"",G422+H422))</f>
        <v/>
      </c>
      <c r="J422" s="15" t="str">
        <f aca="false">IF(OR($B422="",I422=""),"",I422-F422)</f>
        <v/>
      </c>
      <c r="K422" s="16" t="str">
        <f aca="false">IF($B422="","",IF(AND(G422="",H422=""),"Not Counted",IF(OR(G422="",H422=""),"Partially Counted",IF(J422=0,"Match",IF(J422&gt;0,"Overage","Shortage")))))</f>
        <v/>
      </c>
      <c r="L422" s="16" t="str">
        <f aca="false">IF($B422="","",IF(AND(L422&lt;&gt;"",L422&lt;&gt;0),L422,$B$4))</f>
        <v/>
      </c>
      <c r="M422" s="13"/>
      <c r="N422" s="13"/>
      <c r="O422" s="13"/>
    </row>
    <row r="423" customFormat="false" ht="15" hidden="false" customHeight="false" outlineLevel="0" collapsed="false">
      <c r="A423" s="11" t="str">
        <f aca="true">IF($B423="","",IF(AND(A423&lt;&gt;"",A423&lt;&gt;0),A423,TODAY()))</f>
        <v/>
      </c>
      <c r="B423" s="12"/>
      <c r="C423" s="13"/>
      <c r="D423" s="13"/>
      <c r="E423" s="13"/>
      <c r="F423" s="14"/>
      <c r="G423" s="14"/>
      <c r="H423" s="14"/>
      <c r="I423" s="15" t="str">
        <f aca="false">IF($B423="","",IF(AND(G423="",H423=""),"",G423+H423))</f>
        <v/>
      </c>
      <c r="J423" s="15" t="str">
        <f aca="false">IF(OR($B423="",I423=""),"",I423-F423)</f>
        <v/>
      </c>
      <c r="K423" s="16" t="str">
        <f aca="false">IF($B423="","",IF(AND(G423="",H423=""),"Not Counted",IF(OR(G423="",H423=""),"Partially Counted",IF(J423=0,"Match",IF(J423&gt;0,"Overage","Shortage")))))</f>
        <v/>
      </c>
      <c r="L423" s="16" t="str">
        <f aca="false">IF($B423="","",IF(AND(L423&lt;&gt;"",L423&lt;&gt;0),L423,$B$4))</f>
        <v/>
      </c>
      <c r="M423" s="13"/>
      <c r="N423" s="13"/>
      <c r="O423" s="13"/>
    </row>
    <row r="424" customFormat="false" ht="15" hidden="false" customHeight="false" outlineLevel="0" collapsed="false">
      <c r="A424" s="11" t="str">
        <f aca="true">IF($B424="","",IF(AND(A424&lt;&gt;"",A424&lt;&gt;0),A424,TODAY()))</f>
        <v/>
      </c>
      <c r="B424" s="12"/>
      <c r="C424" s="13"/>
      <c r="D424" s="13"/>
      <c r="E424" s="13"/>
      <c r="F424" s="14"/>
      <c r="G424" s="14"/>
      <c r="H424" s="14"/>
      <c r="I424" s="15" t="str">
        <f aca="false">IF($B424="","",IF(AND(G424="",H424=""),"",G424+H424))</f>
        <v/>
      </c>
      <c r="J424" s="15" t="str">
        <f aca="false">IF(OR($B424="",I424=""),"",I424-F424)</f>
        <v/>
      </c>
      <c r="K424" s="16" t="str">
        <f aca="false">IF($B424="","",IF(AND(G424="",H424=""),"Not Counted",IF(OR(G424="",H424=""),"Partially Counted",IF(J424=0,"Match",IF(J424&gt;0,"Overage","Shortage")))))</f>
        <v/>
      </c>
      <c r="L424" s="16" t="str">
        <f aca="false">IF($B424="","",IF(AND(L424&lt;&gt;"",L424&lt;&gt;0),L424,$B$4))</f>
        <v/>
      </c>
      <c r="M424" s="13"/>
      <c r="N424" s="13"/>
      <c r="O424" s="13"/>
    </row>
    <row r="425" customFormat="false" ht="15" hidden="false" customHeight="false" outlineLevel="0" collapsed="false">
      <c r="A425" s="11" t="str">
        <f aca="true">IF($B425="","",IF(AND(A425&lt;&gt;"",A425&lt;&gt;0),A425,TODAY()))</f>
        <v/>
      </c>
      <c r="B425" s="12"/>
      <c r="C425" s="13"/>
      <c r="D425" s="13"/>
      <c r="E425" s="13"/>
      <c r="F425" s="14"/>
      <c r="G425" s="14"/>
      <c r="H425" s="14"/>
      <c r="I425" s="15" t="str">
        <f aca="false">IF($B425="","",IF(AND(G425="",H425=""),"",G425+H425))</f>
        <v/>
      </c>
      <c r="J425" s="15" t="str">
        <f aca="false">IF(OR($B425="",I425=""),"",I425-F425)</f>
        <v/>
      </c>
      <c r="K425" s="16" t="str">
        <f aca="false">IF($B425="","",IF(AND(G425="",H425=""),"Not Counted",IF(OR(G425="",H425=""),"Partially Counted",IF(J425=0,"Match",IF(J425&gt;0,"Overage","Shortage")))))</f>
        <v/>
      </c>
      <c r="L425" s="16" t="str">
        <f aca="false">IF($B425="","",IF(AND(L425&lt;&gt;"",L425&lt;&gt;0),L425,$B$4))</f>
        <v/>
      </c>
      <c r="M425" s="13"/>
      <c r="N425" s="13"/>
      <c r="O425" s="13"/>
    </row>
    <row r="426" customFormat="false" ht="15" hidden="false" customHeight="false" outlineLevel="0" collapsed="false">
      <c r="A426" s="11" t="str">
        <f aca="true">IF($B426="","",IF(AND(A426&lt;&gt;"",A426&lt;&gt;0),A426,TODAY()))</f>
        <v/>
      </c>
      <c r="B426" s="12"/>
      <c r="C426" s="13"/>
      <c r="D426" s="13"/>
      <c r="E426" s="13"/>
      <c r="F426" s="14"/>
      <c r="G426" s="14"/>
      <c r="H426" s="14"/>
      <c r="I426" s="15" t="str">
        <f aca="false">IF($B426="","",IF(AND(G426="",H426=""),"",G426+H426))</f>
        <v/>
      </c>
      <c r="J426" s="15" t="str">
        <f aca="false">IF(OR($B426="",I426=""),"",I426-F426)</f>
        <v/>
      </c>
      <c r="K426" s="16" t="str">
        <f aca="false">IF($B426="","",IF(AND(G426="",H426=""),"Not Counted",IF(OR(G426="",H426=""),"Partially Counted",IF(J426=0,"Match",IF(J426&gt;0,"Overage","Shortage")))))</f>
        <v/>
      </c>
      <c r="L426" s="16" t="str">
        <f aca="false">IF($B426="","",IF(AND(L426&lt;&gt;"",L426&lt;&gt;0),L426,$B$4))</f>
        <v/>
      </c>
      <c r="M426" s="13"/>
      <c r="N426" s="13"/>
      <c r="O426" s="13"/>
    </row>
    <row r="427" customFormat="false" ht="15" hidden="false" customHeight="false" outlineLevel="0" collapsed="false">
      <c r="A427" s="11" t="str">
        <f aca="true">IF($B427="","",IF(AND(A427&lt;&gt;"",A427&lt;&gt;0),A427,TODAY()))</f>
        <v/>
      </c>
      <c r="B427" s="12"/>
      <c r="C427" s="13"/>
      <c r="D427" s="13"/>
      <c r="E427" s="13"/>
      <c r="F427" s="14"/>
      <c r="G427" s="14"/>
      <c r="H427" s="14"/>
      <c r="I427" s="15" t="str">
        <f aca="false">IF($B427="","",IF(AND(G427="",H427=""),"",G427+H427))</f>
        <v/>
      </c>
      <c r="J427" s="15" t="str">
        <f aca="false">IF(OR($B427="",I427=""),"",I427-F427)</f>
        <v/>
      </c>
      <c r="K427" s="16" t="str">
        <f aca="false">IF($B427="","",IF(AND(G427="",H427=""),"Not Counted",IF(OR(G427="",H427=""),"Partially Counted",IF(J427=0,"Match",IF(J427&gt;0,"Overage","Shortage")))))</f>
        <v/>
      </c>
      <c r="L427" s="16" t="str">
        <f aca="false">IF($B427="","",IF(AND(L427&lt;&gt;"",L427&lt;&gt;0),L427,$B$4))</f>
        <v/>
      </c>
      <c r="M427" s="13"/>
      <c r="N427" s="13"/>
      <c r="O427" s="13"/>
    </row>
    <row r="428" customFormat="false" ht="15" hidden="false" customHeight="false" outlineLevel="0" collapsed="false">
      <c r="A428" s="11" t="str">
        <f aca="true">IF($B428="","",IF(AND(A428&lt;&gt;"",A428&lt;&gt;0),A428,TODAY()))</f>
        <v/>
      </c>
      <c r="B428" s="12"/>
      <c r="C428" s="13"/>
      <c r="D428" s="13"/>
      <c r="E428" s="13"/>
      <c r="F428" s="14"/>
      <c r="G428" s="14"/>
      <c r="H428" s="14"/>
      <c r="I428" s="15" t="str">
        <f aca="false">IF($B428="","",IF(AND(G428="",H428=""),"",G428+H428))</f>
        <v/>
      </c>
      <c r="J428" s="15" t="str">
        <f aca="false">IF(OR($B428="",I428=""),"",I428-F428)</f>
        <v/>
      </c>
      <c r="K428" s="16" t="str">
        <f aca="false">IF($B428="","",IF(AND(G428="",H428=""),"Not Counted",IF(OR(G428="",H428=""),"Partially Counted",IF(J428=0,"Match",IF(J428&gt;0,"Overage","Shortage")))))</f>
        <v/>
      </c>
      <c r="L428" s="16" t="str">
        <f aca="false">IF($B428="","",IF(AND(L428&lt;&gt;"",L428&lt;&gt;0),L428,$B$4))</f>
        <v/>
      </c>
      <c r="M428" s="13"/>
      <c r="N428" s="13"/>
      <c r="O428" s="13"/>
    </row>
    <row r="429" customFormat="false" ht="15" hidden="false" customHeight="false" outlineLevel="0" collapsed="false">
      <c r="A429" s="11" t="str">
        <f aca="true">IF($B429="","",IF(AND(A429&lt;&gt;"",A429&lt;&gt;0),A429,TODAY()))</f>
        <v/>
      </c>
      <c r="B429" s="12"/>
      <c r="C429" s="13"/>
      <c r="D429" s="13"/>
      <c r="E429" s="13"/>
      <c r="F429" s="14"/>
      <c r="G429" s="14"/>
      <c r="H429" s="14"/>
      <c r="I429" s="15" t="str">
        <f aca="false">IF($B429="","",IF(AND(G429="",H429=""),"",G429+H429))</f>
        <v/>
      </c>
      <c r="J429" s="15" t="str">
        <f aca="false">IF(OR($B429="",I429=""),"",I429-F429)</f>
        <v/>
      </c>
      <c r="K429" s="16" t="str">
        <f aca="false">IF($B429="","",IF(AND(G429="",H429=""),"Not Counted",IF(OR(G429="",H429=""),"Partially Counted",IF(J429=0,"Match",IF(J429&gt;0,"Overage","Shortage")))))</f>
        <v/>
      </c>
      <c r="L429" s="16" t="str">
        <f aca="false">IF($B429="","",IF(AND(L429&lt;&gt;"",L429&lt;&gt;0),L429,$B$4))</f>
        <v/>
      </c>
      <c r="M429" s="13"/>
      <c r="N429" s="13"/>
      <c r="O429" s="13"/>
    </row>
    <row r="430" customFormat="false" ht="15" hidden="false" customHeight="false" outlineLevel="0" collapsed="false">
      <c r="A430" s="11" t="str">
        <f aca="true">IF($B430="","",IF(AND(A430&lt;&gt;"",A430&lt;&gt;0),A430,TODAY()))</f>
        <v/>
      </c>
      <c r="B430" s="12"/>
      <c r="C430" s="13"/>
      <c r="D430" s="13"/>
      <c r="E430" s="13"/>
      <c r="F430" s="14"/>
      <c r="G430" s="14"/>
      <c r="H430" s="14"/>
      <c r="I430" s="15" t="str">
        <f aca="false">IF($B430="","",IF(AND(G430="",H430=""),"",G430+H430))</f>
        <v/>
      </c>
      <c r="J430" s="15" t="str">
        <f aca="false">IF(OR($B430="",I430=""),"",I430-F430)</f>
        <v/>
      </c>
      <c r="K430" s="16" t="str">
        <f aca="false">IF($B430="","",IF(AND(G430="",H430=""),"Not Counted",IF(OR(G430="",H430=""),"Partially Counted",IF(J430=0,"Match",IF(J430&gt;0,"Overage","Shortage")))))</f>
        <v/>
      </c>
      <c r="L430" s="16" t="str">
        <f aca="false">IF($B430="","",IF(AND(L430&lt;&gt;"",L430&lt;&gt;0),L430,$B$4))</f>
        <v/>
      </c>
      <c r="M430" s="13"/>
      <c r="N430" s="13"/>
      <c r="O430" s="13"/>
    </row>
    <row r="431" customFormat="false" ht="15" hidden="false" customHeight="false" outlineLevel="0" collapsed="false">
      <c r="A431" s="11" t="str">
        <f aca="true">IF($B431="","",IF(AND(A431&lt;&gt;"",A431&lt;&gt;0),A431,TODAY()))</f>
        <v/>
      </c>
      <c r="B431" s="12"/>
      <c r="C431" s="13"/>
      <c r="D431" s="13"/>
      <c r="E431" s="13"/>
      <c r="F431" s="14"/>
      <c r="G431" s="14"/>
      <c r="H431" s="14"/>
      <c r="I431" s="15" t="str">
        <f aca="false">IF($B431="","",IF(AND(G431="",H431=""),"",G431+H431))</f>
        <v/>
      </c>
      <c r="J431" s="15" t="str">
        <f aca="false">IF(OR($B431="",I431=""),"",I431-F431)</f>
        <v/>
      </c>
      <c r="K431" s="16" t="str">
        <f aca="false">IF($B431="","",IF(AND(G431="",H431=""),"Not Counted",IF(OR(G431="",H431=""),"Partially Counted",IF(J431=0,"Match",IF(J431&gt;0,"Overage","Shortage")))))</f>
        <v/>
      </c>
      <c r="L431" s="16" t="str">
        <f aca="false">IF($B431="","",IF(AND(L431&lt;&gt;"",L431&lt;&gt;0),L431,$B$4))</f>
        <v/>
      </c>
      <c r="M431" s="13"/>
      <c r="N431" s="13"/>
      <c r="O431" s="13"/>
    </row>
    <row r="432" customFormat="false" ht="15" hidden="false" customHeight="false" outlineLevel="0" collapsed="false">
      <c r="A432" s="11" t="str">
        <f aca="true">IF($B432="","",IF(AND(A432&lt;&gt;"",A432&lt;&gt;0),A432,TODAY()))</f>
        <v/>
      </c>
      <c r="B432" s="12"/>
      <c r="C432" s="13"/>
      <c r="D432" s="13"/>
      <c r="E432" s="13"/>
      <c r="F432" s="14"/>
      <c r="G432" s="14"/>
      <c r="H432" s="14"/>
      <c r="I432" s="15" t="str">
        <f aca="false">IF($B432="","",IF(AND(G432="",H432=""),"",G432+H432))</f>
        <v/>
      </c>
      <c r="J432" s="15" t="str">
        <f aca="false">IF(OR($B432="",I432=""),"",I432-F432)</f>
        <v/>
      </c>
      <c r="K432" s="16" t="str">
        <f aca="false">IF($B432="","",IF(AND(G432="",H432=""),"Not Counted",IF(OR(G432="",H432=""),"Partially Counted",IF(J432=0,"Match",IF(J432&gt;0,"Overage","Shortage")))))</f>
        <v/>
      </c>
      <c r="L432" s="16" t="str">
        <f aca="false">IF($B432="","",IF(AND(L432&lt;&gt;"",L432&lt;&gt;0),L432,$B$4))</f>
        <v/>
      </c>
      <c r="M432" s="13"/>
      <c r="N432" s="13"/>
      <c r="O432" s="13"/>
    </row>
    <row r="433" customFormat="false" ht="15" hidden="false" customHeight="false" outlineLevel="0" collapsed="false">
      <c r="A433" s="11" t="str">
        <f aca="true">IF($B433="","",IF(AND(A433&lt;&gt;"",A433&lt;&gt;0),A433,TODAY()))</f>
        <v/>
      </c>
      <c r="B433" s="12"/>
      <c r="C433" s="13"/>
      <c r="D433" s="13"/>
      <c r="E433" s="13"/>
      <c r="F433" s="14"/>
      <c r="G433" s="14"/>
      <c r="H433" s="14"/>
      <c r="I433" s="15" t="str">
        <f aca="false">IF($B433="","",IF(AND(G433="",H433=""),"",G433+H433))</f>
        <v/>
      </c>
      <c r="J433" s="15" t="str">
        <f aca="false">IF(OR($B433="",I433=""),"",I433-F433)</f>
        <v/>
      </c>
      <c r="K433" s="16" t="str">
        <f aca="false">IF($B433="","",IF(AND(G433="",H433=""),"Not Counted",IF(OR(G433="",H433=""),"Partially Counted",IF(J433=0,"Match",IF(J433&gt;0,"Overage","Shortage")))))</f>
        <v/>
      </c>
      <c r="L433" s="16" t="str">
        <f aca="false">IF($B433="","",IF(AND(L433&lt;&gt;"",L433&lt;&gt;0),L433,$B$4))</f>
        <v/>
      </c>
      <c r="M433" s="13"/>
      <c r="N433" s="13"/>
      <c r="O433" s="13"/>
    </row>
    <row r="434" customFormat="false" ht="15" hidden="false" customHeight="false" outlineLevel="0" collapsed="false">
      <c r="A434" s="11" t="str">
        <f aca="true">IF($B434="","",IF(AND(A434&lt;&gt;"",A434&lt;&gt;0),A434,TODAY()))</f>
        <v/>
      </c>
      <c r="B434" s="12"/>
      <c r="C434" s="13"/>
      <c r="D434" s="13"/>
      <c r="E434" s="13"/>
      <c r="F434" s="14"/>
      <c r="G434" s="14"/>
      <c r="H434" s="14"/>
      <c r="I434" s="15" t="str">
        <f aca="false">IF($B434="","",IF(AND(G434="",H434=""),"",G434+H434))</f>
        <v/>
      </c>
      <c r="J434" s="15" t="str">
        <f aca="false">IF(OR($B434="",I434=""),"",I434-F434)</f>
        <v/>
      </c>
      <c r="K434" s="16" t="str">
        <f aca="false">IF($B434="","",IF(AND(G434="",H434=""),"Not Counted",IF(OR(G434="",H434=""),"Partially Counted",IF(J434=0,"Match",IF(J434&gt;0,"Overage","Shortage")))))</f>
        <v/>
      </c>
      <c r="L434" s="16" t="str">
        <f aca="false">IF($B434="","",IF(AND(L434&lt;&gt;"",L434&lt;&gt;0),L434,$B$4))</f>
        <v/>
      </c>
      <c r="M434" s="13"/>
      <c r="N434" s="13"/>
      <c r="O434" s="13"/>
    </row>
    <row r="435" customFormat="false" ht="15" hidden="false" customHeight="false" outlineLevel="0" collapsed="false">
      <c r="A435" s="11" t="str">
        <f aca="true">IF($B435="","",IF(AND(A435&lt;&gt;"",A435&lt;&gt;0),A435,TODAY()))</f>
        <v/>
      </c>
      <c r="B435" s="12"/>
      <c r="C435" s="13"/>
      <c r="D435" s="13"/>
      <c r="E435" s="13"/>
      <c r="F435" s="14"/>
      <c r="G435" s="14"/>
      <c r="H435" s="14"/>
      <c r="I435" s="15" t="str">
        <f aca="false">IF($B435="","",IF(AND(G435="",H435=""),"",G435+H435))</f>
        <v/>
      </c>
      <c r="J435" s="15" t="str">
        <f aca="false">IF(OR($B435="",I435=""),"",I435-F435)</f>
        <v/>
      </c>
      <c r="K435" s="16" t="str">
        <f aca="false">IF($B435="","",IF(AND(G435="",H435=""),"Not Counted",IF(OR(G435="",H435=""),"Partially Counted",IF(J435=0,"Match",IF(J435&gt;0,"Overage","Shortage")))))</f>
        <v/>
      </c>
      <c r="L435" s="16" t="str">
        <f aca="false">IF($B435="","",IF(AND(L435&lt;&gt;"",L435&lt;&gt;0),L435,$B$4))</f>
        <v/>
      </c>
      <c r="M435" s="13"/>
      <c r="N435" s="13"/>
      <c r="O435" s="13"/>
    </row>
    <row r="436" customFormat="false" ht="15" hidden="false" customHeight="false" outlineLevel="0" collapsed="false">
      <c r="A436" s="11" t="str">
        <f aca="true">IF($B436="","",IF(AND(A436&lt;&gt;"",A436&lt;&gt;0),A436,TODAY()))</f>
        <v/>
      </c>
      <c r="B436" s="12"/>
      <c r="C436" s="13"/>
      <c r="D436" s="13"/>
      <c r="E436" s="13"/>
      <c r="F436" s="14"/>
      <c r="G436" s="14"/>
      <c r="H436" s="14"/>
      <c r="I436" s="15" t="str">
        <f aca="false">IF($B436="","",IF(AND(G436="",H436=""),"",G436+H436))</f>
        <v/>
      </c>
      <c r="J436" s="15" t="str">
        <f aca="false">IF(OR($B436="",I436=""),"",I436-F436)</f>
        <v/>
      </c>
      <c r="K436" s="16" t="str">
        <f aca="false">IF($B436="","",IF(AND(G436="",H436=""),"Not Counted",IF(OR(G436="",H436=""),"Partially Counted",IF(J436=0,"Match",IF(J436&gt;0,"Overage","Shortage")))))</f>
        <v/>
      </c>
      <c r="L436" s="16" t="str">
        <f aca="false">IF($B436="","",IF(AND(L436&lt;&gt;"",L436&lt;&gt;0),L436,$B$4))</f>
        <v/>
      </c>
      <c r="M436" s="13"/>
      <c r="N436" s="13"/>
      <c r="O436" s="13"/>
    </row>
    <row r="437" customFormat="false" ht="15" hidden="false" customHeight="false" outlineLevel="0" collapsed="false">
      <c r="A437" s="11" t="str">
        <f aca="true">IF($B437="","",IF(AND(A437&lt;&gt;"",A437&lt;&gt;0),A437,TODAY()))</f>
        <v/>
      </c>
      <c r="B437" s="12"/>
      <c r="C437" s="13"/>
      <c r="D437" s="13"/>
      <c r="E437" s="13"/>
      <c r="F437" s="14"/>
      <c r="G437" s="14"/>
      <c r="H437" s="14"/>
      <c r="I437" s="15" t="str">
        <f aca="false">IF($B437="","",IF(AND(G437="",H437=""),"",G437+H437))</f>
        <v/>
      </c>
      <c r="J437" s="15" t="str">
        <f aca="false">IF(OR($B437="",I437=""),"",I437-F437)</f>
        <v/>
      </c>
      <c r="K437" s="16" t="str">
        <f aca="false">IF($B437="","",IF(AND(G437="",H437=""),"Not Counted",IF(OR(G437="",H437=""),"Partially Counted",IF(J437=0,"Match",IF(J437&gt;0,"Overage","Shortage")))))</f>
        <v/>
      </c>
      <c r="L437" s="16" t="str">
        <f aca="false">IF($B437="","",IF(AND(L437&lt;&gt;"",L437&lt;&gt;0),L437,$B$4))</f>
        <v/>
      </c>
      <c r="M437" s="13"/>
      <c r="N437" s="13"/>
      <c r="O437" s="13"/>
    </row>
    <row r="438" customFormat="false" ht="15" hidden="false" customHeight="false" outlineLevel="0" collapsed="false">
      <c r="A438" s="11" t="str">
        <f aca="true">IF($B438="","",IF(AND(A438&lt;&gt;"",A438&lt;&gt;0),A438,TODAY()))</f>
        <v/>
      </c>
      <c r="B438" s="12"/>
      <c r="C438" s="13"/>
      <c r="D438" s="13"/>
      <c r="E438" s="13"/>
      <c r="F438" s="14"/>
      <c r="G438" s="14"/>
      <c r="H438" s="14"/>
      <c r="I438" s="15" t="str">
        <f aca="false">IF($B438="","",IF(AND(G438="",H438=""),"",G438+H438))</f>
        <v/>
      </c>
      <c r="J438" s="15" t="str">
        <f aca="false">IF(OR($B438="",I438=""),"",I438-F438)</f>
        <v/>
      </c>
      <c r="K438" s="16" t="str">
        <f aca="false">IF($B438="","",IF(AND(G438="",H438=""),"Not Counted",IF(OR(G438="",H438=""),"Partially Counted",IF(J438=0,"Match",IF(J438&gt;0,"Overage","Shortage")))))</f>
        <v/>
      </c>
      <c r="L438" s="16" t="str">
        <f aca="false">IF($B438="","",IF(AND(L438&lt;&gt;"",L438&lt;&gt;0),L438,$B$4))</f>
        <v/>
      </c>
      <c r="M438" s="13"/>
      <c r="N438" s="13"/>
      <c r="O438" s="13"/>
    </row>
    <row r="439" customFormat="false" ht="15" hidden="false" customHeight="false" outlineLevel="0" collapsed="false">
      <c r="A439" s="11" t="str">
        <f aca="true">IF($B439="","",IF(AND(A439&lt;&gt;"",A439&lt;&gt;0),A439,TODAY()))</f>
        <v/>
      </c>
      <c r="B439" s="12"/>
      <c r="C439" s="13"/>
      <c r="D439" s="13"/>
      <c r="E439" s="13"/>
      <c r="F439" s="14"/>
      <c r="G439" s="14"/>
      <c r="H439" s="14"/>
      <c r="I439" s="15" t="str">
        <f aca="false">IF($B439="","",IF(AND(G439="",H439=""),"",G439+H439))</f>
        <v/>
      </c>
      <c r="J439" s="15" t="str">
        <f aca="false">IF(OR($B439="",I439=""),"",I439-F439)</f>
        <v/>
      </c>
      <c r="K439" s="16" t="str">
        <f aca="false">IF($B439="","",IF(AND(G439="",H439=""),"Not Counted",IF(OR(G439="",H439=""),"Partially Counted",IF(J439=0,"Match",IF(J439&gt;0,"Overage","Shortage")))))</f>
        <v/>
      </c>
      <c r="L439" s="16" t="str">
        <f aca="false">IF($B439="","",IF(AND(L439&lt;&gt;"",L439&lt;&gt;0),L439,$B$4))</f>
        <v/>
      </c>
      <c r="M439" s="13"/>
      <c r="N439" s="13"/>
      <c r="O439" s="13"/>
    </row>
    <row r="440" customFormat="false" ht="15" hidden="false" customHeight="false" outlineLevel="0" collapsed="false">
      <c r="A440" s="11" t="str">
        <f aca="true">IF($B440="","",IF(AND(A440&lt;&gt;"",A440&lt;&gt;0),A440,TODAY()))</f>
        <v/>
      </c>
      <c r="B440" s="12"/>
      <c r="C440" s="13"/>
      <c r="D440" s="13"/>
      <c r="E440" s="13"/>
      <c r="F440" s="14"/>
      <c r="G440" s="14"/>
      <c r="H440" s="14"/>
      <c r="I440" s="15" t="str">
        <f aca="false">IF($B440="","",IF(AND(G440="",H440=""),"",G440+H440))</f>
        <v/>
      </c>
      <c r="J440" s="15" t="str">
        <f aca="false">IF(OR($B440="",I440=""),"",I440-F440)</f>
        <v/>
      </c>
      <c r="K440" s="16" t="str">
        <f aca="false">IF($B440="","",IF(AND(G440="",H440=""),"Not Counted",IF(OR(G440="",H440=""),"Partially Counted",IF(J440=0,"Match",IF(J440&gt;0,"Overage","Shortage")))))</f>
        <v/>
      </c>
      <c r="L440" s="16" t="str">
        <f aca="false">IF($B440="","",IF(AND(L440&lt;&gt;"",L440&lt;&gt;0),L440,$B$4))</f>
        <v/>
      </c>
      <c r="M440" s="13"/>
      <c r="N440" s="13"/>
      <c r="O440" s="13"/>
    </row>
    <row r="441" customFormat="false" ht="15" hidden="false" customHeight="false" outlineLevel="0" collapsed="false">
      <c r="A441" s="11" t="str">
        <f aca="true">IF($B441="","",IF(AND(A441&lt;&gt;"",A441&lt;&gt;0),A441,TODAY()))</f>
        <v/>
      </c>
      <c r="B441" s="12"/>
      <c r="C441" s="13"/>
      <c r="D441" s="13"/>
      <c r="E441" s="13"/>
      <c r="F441" s="14"/>
      <c r="G441" s="14"/>
      <c r="H441" s="14"/>
      <c r="I441" s="15" t="str">
        <f aca="false">IF($B441="","",IF(AND(G441="",H441=""),"",G441+H441))</f>
        <v/>
      </c>
      <c r="J441" s="15" t="str">
        <f aca="false">IF(OR($B441="",I441=""),"",I441-F441)</f>
        <v/>
      </c>
      <c r="K441" s="16" t="str">
        <f aca="false">IF($B441="","",IF(AND(G441="",H441=""),"Not Counted",IF(OR(G441="",H441=""),"Partially Counted",IF(J441=0,"Match",IF(J441&gt;0,"Overage","Shortage")))))</f>
        <v/>
      </c>
      <c r="L441" s="16" t="str">
        <f aca="false">IF($B441="","",IF(AND(L441&lt;&gt;"",L441&lt;&gt;0),L441,$B$4))</f>
        <v/>
      </c>
      <c r="M441" s="13"/>
      <c r="N441" s="13"/>
      <c r="O441" s="13"/>
    </row>
    <row r="442" customFormat="false" ht="15" hidden="false" customHeight="false" outlineLevel="0" collapsed="false">
      <c r="A442" s="11" t="str">
        <f aca="true">IF($B442="","",IF(AND(A442&lt;&gt;"",A442&lt;&gt;0),A442,TODAY()))</f>
        <v/>
      </c>
      <c r="B442" s="12"/>
      <c r="C442" s="13"/>
      <c r="D442" s="13"/>
      <c r="E442" s="13"/>
      <c r="F442" s="14"/>
      <c r="G442" s="14"/>
      <c r="H442" s="14"/>
      <c r="I442" s="15" t="str">
        <f aca="false">IF($B442="","",IF(AND(G442="",H442=""),"",G442+H442))</f>
        <v/>
      </c>
      <c r="J442" s="15" t="str">
        <f aca="false">IF(OR($B442="",I442=""),"",I442-F442)</f>
        <v/>
      </c>
      <c r="K442" s="16" t="str">
        <f aca="false">IF($B442="","",IF(AND(G442="",H442=""),"Not Counted",IF(OR(G442="",H442=""),"Partially Counted",IF(J442=0,"Match",IF(J442&gt;0,"Overage","Shortage")))))</f>
        <v/>
      </c>
      <c r="L442" s="16" t="str">
        <f aca="false">IF($B442="","",IF(AND(L442&lt;&gt;"",L442&lt;&gt;0),L442,$B$4))</f>
        <v/>
      </c>
      <c r="M442" s="13"/>
      <c r="N442" s="13"/>
      <c r="O442" s="13"/>
    </row>
    <row r="443" customFormat="false" ht="15" hidden="false" customHeight="false" outlineLevel="0" collapsed="false">
      <c r="A443" s="11" t="str">
        <f aca="true">IF($B443="","",IF(AND(A443&lt;&gt;"",A443&lt;&gt;0),A443,TODAY()))</f>
        <v/>
      </c>
      <c r="B443" s="12"/>
      <c r="C443" s="13"/>
      <c r="D443" s="13"/>
      <c r="E443" s="13"/>
      <c r="F443" s="14"/>
      <c r="G443" s="14"/>
      <c r="H443" s="14"/>
      <c r="I443" s="15" t="str">
        <f aca="false">IF($B443="","",IF(AND(G443="",H443=""),"",G443+H443))</f>
        <v/>
      </c>
      <c r="J443" s="15" t="str">
        <f aca="false">IF(OR($B443="",I443=""),"",I443-F443)</f>
        <v/>
      </c>
      <c r="K443" s="16" t="str">
        <f aca="false">IF($B443="","",IF(AND(G443="",H443=""),"Not Counted",IF(OR(G443="",H443=""),"Partially Counted",IF(J443=0,"Match",IF(J443&gt;0,"Overage","Shortage")))))</f>
        <v/>
      </c>
      <c r="L443" s="16" t="str">
        <f aca="false">IF($B443="","",IF(AND(L443&lt;&gt;"",L443&lt;&gt;0),L443,$B$4))</f>
        <v/>
      </c>
      <c r="M443" s="13"/>
      <c r="N443" s="13"/>
      <c r="O443" s="13"/>
    </row>
    <row r="444" customFormat="false" ht="15" hidden="false" customHeight="false" outlineLevel="0" collapsed="false">
      <c r="A444" s="11" t="str">
        <f aca="true">IF($B444="","",IF(AND(A444&lt;&gt;"",A444&lt;&gt;0),A444,TODAY()))</f>
        <v/>
      </c>
      <c r="B444" s="12"/>
      <c r="C444" s="13"/>
      <c r="D444" s="13"/>
      <c r="E444" s="13"/>
      <c r="F444" s="14"/>
      <c r="G444" s="14"/>
      <c r="H444" s="14"/>
      <c r="I444" s="15" t="str">
        <f aca="false">IF($B444="","",IF(AND(G444="",H444=""),"",G444+H444))</f>
        <v/>
      </c>
      <c r="J444" s="15" t="str">
        <f aca="false">IF(OR($B444="",I444=""),"",I444-F444)</f>
        <v/>
      </c>
      <c r="K444" s="16" t="str">
        <f aca="false">IF($B444="","",IF(AND(G444="",H444=""),"Not Counted",IF(OR(G444="",H444=""),"Partially Counted",IF(J444=0,"Match",IF(J444&gt;0,"Overage","Shortage")))))</f>
        <v/>
      </c>
      <c r="L444" s="16" t="str">
        <f aca="false">IF($B444="","",IF(AND(L444&lt;&gt;"",L444&lt;&gt;0),L444,$B$4))</f>
        <v/>
      </c>
      <c r="M444" s="13"/>
      <c r="N444" s="13"/>
      <c r="O444" s="13"/>
    </row>
    <row r="445" customFormat="false" ht="15" hidden="false" customHeight="false" outlineLevel="0" collapsed="false">
      <c r="A445" s="11" t="str">
        <f aca="true">IF($B445="","",IF(AND(A445&lt;&gt;"",A445&lt;&gt;0),A445,TODAY()))</f>
        <v/>
      </c>
      <c r="B445" s="12"/>
      <c r="C445" s="13"/>
      <c r="D445" s="13"/>
      <c r="E445" s="13"/>
      <c r="F445" s="14"/>
      <c r="G445" s="14"/>
      <c r="H445" s="14"/>
      <c r="I445" s="15" t="str">
        <f aca="false">IF($B445="","",IF(AND(G445="",H445=""),"",G445+H445))</f>
        <v/>
      </c>
      <c r="J445" s="15" t="str">
        <f aca="false">IF(OR($B445="",I445=""),"",I445-F445)</f>
        <v/>
      </c>
      <c r="K445" s="16" t="str">
        <f aca="false">IF($B445="","",IF(AND(G445="",H445=""),"Not Counted",IF(OR(G445="",H445=""),"Partially Counted",IF(J445=0,"Match",IF(J445&gt;0,"Overage","Shortage")))))</f>
        <v/>
      </c>
      <c r="L445" s="16" t="str">
        <f aca="false">IF($B445="","",IF(AND(L445&lt;&gt;"",L445&lt;&gt;0),L445,$B$4))</f>
        <v/>
      </c>
      <c r="M445" s="13"/>
      <c r="N445" s="13"/>
      <c r="O445" s="13"/>
    </row>
    <row r="446" customFormat="false" ht="15" hidden="false" customHeight="false" outlineLevel="0" collapsed="false">
      <c r="A446" s="11" t="str">
        <f aca="true">IF($B446="","",IF(AND(A446&lt;&gt;"",A446&lt;&gt;0),A446,TODAY()))</f>
        <v/>
      </c>
      <c r="B446" s="12"/>
      <c r="C446" s="13"/>
      <c r="D446" s="13"/>
      <c r="E446" s="13"/>
      <c r="F446" s="14"/>
      <c r="G446" s="14"/>
      <c r="H446" s="14"/>
      <c r="I446" s="15" t="str">
        <f aca="false">IF($B446="","",IF(AND(G446="",H446=""),"",G446+H446))</f>
        <v/>
      </c>
      <c r="J446" s="15" t="str">
        <f aca="false">IF(OR($B446="",I446=""),"",I446-F446)</f>
        <v/>
      </c>
      <c r="K446" s="16" t="str">
        <f aca="false">IF($B446="","",IF(AND(G446="",H446=""),"Not Counted",IF(OR(G446="",H446=""),"Partially Counted",IF(J446=0,"Match",IF(J446&gt;0,"Overage","Shortage")))))</f>
        <v/>
      </c>
      <c r="L446" s="16" t="str">
        <f aca="false">IF($B446="","",IF(AND(L446&lt;&gt;"",L446&lt;&gt;0),L446,$B$4))</f>
        <v/>
      </c>
      <c r="M446" s="13"/>
      <c r="N446" s="13"/>
      <c r="O446" s="13"/>
    </row>
    <row r="447" customFormat="false" ht="15" hidden="false" customHeight="false" outlineLevel="0" collapsed="false">
      <c r="A447" s="11" t="str">
        <f aca="true">IF($B447="","",IF(AND(A447&lt;&gt;"",A447&lt;&gt;0),A447,TODAY()))</f>
        <v/>
      </c>
      <c r="B447" s="12"/>
      <c r="C447" s="13"/>
      <c r="D447" s="13"/>
      <c r="E447" s="13"/>
      <c r="F447" s="14"/>
      <c r="G447" s="14"/>
      <c r="H447" s="14"/>
      <c r="I447" s="15" t="str">
        <f aca="false">IF($B447="","",IF(AND(G447="",H447=""),"",G447+H447))</f>
        <v/>
      </c>
      <c r="J447" s="15" t="str">
        <f aca="false">IF(OR($B447="",I447=""),"",I447-F447)</f>
        <v/>
      </c>
      <c r="K447" s="16" t="str">
        <f aca="false">IF($B447="","",IF(AND(G447="",H447=""),"Not Counted",IF(OR(G447="",H447=""),"Partially Counted",IF(J447=0,"Match",IF(J447&gt;0,"Overage","Shortage")))))</f>
        <v/>
      </c>
      <c r="L447" s="16" t="str">
        <f aca="false">IF($B447="","",IF(AND(L447&lt;&gt;"",L447&lt;&gt;0),L447,$B$4))</f>
        <v/>
      </c>
      <c r="M447" s="13"/>
      <c r="N447" s="13"/>
      <c r="O447" s="13"/>
    </row>
    <row r="448" customFormat="false" ht="15" hidden="false" customHeight="false" outlineLevel="0" collapsed="false">
      <c r="A448" s="11" t="str">
        <f aca="true">IF($B448="","",IF(AND(A448&lt;&gt;"",A448&lt;&gt;0),A448,TODAY()))</f>
        <v/>
      </c>
      <c r="B448" s="12"/>
      <c r="C448" s="13"/>
      <c r="D448" s="13"/>
      <c r="E448" s="13"/>
      <c r="F448" s="14"/>
      <c r="G448" s="14"/>
      <c r="H448" s="14"/>
      <c r="I448" s="15" t="str">
        <f aca="false">IF($B448="","",IF(AND(G448="",H448=""),"",G448+H448))</f>
        <v/>
      </c>
      <c r="J448" s="15" t="str">
        <f aca="false">IF(OR($B448="",I448=""),"",I448-F448)</f>
        <v/>
      </c>
      <c r="K448" s="16" t="str">
        <f aca="false">IF($B448="","",IF(AND(G448="",H448=""),"Not Counted",IF(OR(G448="",H448=""),"Partially Counted",IF(J448=0,"Match",IF(J448&gt;0,"Overage","Shortage")))))</f>
        <v/>
      </c>
      <c r="L448" s="16" t="str">
        <f aca="false">IF($B448="","",IF(AND(L448&lt;&gt;"",L448&lt;&gt;0),L448,$B$4))</f>
        <v/>
      </c>
      <c r="M448" s="13"/>
      <c r="N448" s="13"/>
      <c r="O448" s="13"/>
    </row>
    <row r="449" customFormat="false" ht="15" hidden="false" customHeight="false" outlineLevel="0" collapsed="false">
      <c r="A449" s="11" t="str">
        <f aca="true">IF($B449="","",IF(AND(A449&lt;&gt;"",A449&lt;&gt;0),A449,TODAY()))</f>
        <v/>
      </c>
      <c r="B449" s="12"/>
      <c r="C449" s="13"/>
      <c r="D449" s="13"/>
      <c r="E449" s="13"/>
      <c r="F449" s="14"/>
      <c r="G449" s="14"/>
      <c r="H449" s="14"/>
      <c r="I449" s="15" t="str">
        <f aca="false">IF($B449="","",IF(AND(G449="",H449=""),"",G449+H449))</f>
        <v/>
      </c>
      <c r="J449" s="15" t="str">
        <f aca="false">IF(OR($B449="",I449=""),"",I449-F449)</f>
        <v/>
      </c>
      <c r="K449" s="16" t="str">
        <f aca="false">IF($B449="","",IF(AND(G449="",H449=""),"Not Counted",IF(OR(G449="",H449=""),"Partially Counted",IF(J449=0,"Match",IF(J449&gt;0,"Overage","Shortage")))))</f>
        <v/>
      </c>
      <c r="L449" s="16" t="str">
        <f aca="false">IF($B449="","",IF(AND(L449&lt;&gt;"",L449&lt;&gt;0),L449,$B$4))</f>
        <v/>
      </c>
      <c r="M449" s="13"/>
      <c r="N449" s="13"/>
      <c r="O449" s="13"/>
    </row>
    <row r="450" customFormat="false" ht="15" hidden="false" customHeight="false" outlineLevel="0" collapsed="false">
      <c r="A450" s="11" t="str">
        <f aca="true">IF($B450="","",IF(AND(A450&lt;&gt;"",A450&lt;&gt;0),A450,TODAY()))</f>
        <v/>
      </c>
      <c r="B450" s="12"/>
      <c r="C450" s="13"/>
      <c r="D450" s="13"/>
      <c r="E450" s="13"/>
      <c r="F450" s="14"/>
      <c r="G450" s="14"/>
      <c r="H450" s="14"/>
      <c r="I450" s="15" t="str">
        <f aca="false">IF($B450="","",IF(AND(G450="",H450=""),"",G450+H450))</f>
        <v/>
      </c>
      <c r="J450" s="15" t="str">
        <f aca="false">IF(OR($B450="",I450=""),"",I450-F450)</f>
        <v/>
      </c>
      <c r="K450" s="16" t="str">
        <f aca="false">IF($B450="","",IF(AND(G450="",H450=""),"Not Counted",IF(OR(G450="",H450=""),"Partially Counted",IF(J450=0,"Match",IF(J450&gt;0,"Overage","Shortage")))))</f>
        <v/>
      </c>
      <c r="L450" s="16" t="str">
        <f aca="false">IF($B450="","",IF(AND(L450&lt;&gt;"",L450&lt;&gt;0),L450,$B$4))</f>
        <v/>
      </c>
      <c r="M450" s="13"/>
      <c r="N450" s="13"/>
      <c r="O450" s="13"/>
    </row>
    <row r="451" customFormat="false" ht="15" hidden="false" customHeight="false" outlineLevel="0" collapsed="false">
      <c r="A451" s="11" t="str">
        <f aca="true">IF($B451="","",IF(AND(A451&lt;&gt;"",A451&lt;&gt;0),A451,TODAY()))</f>
        <v/>
      </c>
      <c r="B451" s="12"/>
      <c r="C451" s="13"/>
      <c r="D451" s="13"/>
      <c r="E451" s="13"/>
      <c r="F451" s="14"/>
      <c r="G451" s="14"/>
      <c r="H451" s="14"/>
      <c r="I451" s="15" t="str">
        <f aca="false">IF($B451="","",IF(AND(G451="",H451=""),"",G451+H451))</f>
        <v/>
      </c>
      <c r="J451" s="15" t="str">
        <f aca="false">IF(OR($B451="",I451=""),"",I451-F451)</f>
        <v/>
      </c>
      <c r="K451" s="16" t="str">
        <f aca="false">IF($B451="","",IF(AND(G451="",H451=""),"Not Counted",IF(OR(G451="",H451=""),"Partially Counted",IF(J451=0,"Match",IF(J451&gt;0,"Overage","Shortage")))))</f>
        <v/>
      </c>
      <c r="L451" s="16" t="str">
        <f aca="false">IF($B451="","",IF(AND(L451&lt;&gt;"",L451&lt;&gt;0),L451,$B$4))</f>
        <v/>
      </c>
      <c r="M451" s="13"/>
      <c r="N451" s="13"/>
      <c r="O451" s="13"/>
    </row>
    <row r="452" customFormat="false" ht="15" hidden="false" customHeight="false" outlineLevel="0" collapsed="false">
      <c r="A452" s="11" t="str">
        <f aca="true">IF($B452="","",IF(AND(A452&lt;&gt;"",A452&lt;&gt;0),A452,TODAY()))</f>
        <v/>
      </c>
      <c r="B452" s="12"/>
      <c r="C452" s="13"/>
      <c r="D452" s="13"/>
      <c r="E452" s="13"/>
      <c r="F452" s="14"/>
      <c r="G452" s="14"/>
      <c r="H452" s="14"/>
      <c r="I452" s="15" t="str">
        <f aca="false">IF($B452="","",IF(AND(G452="",H452=""),"",G452+H452))</f>
        <v/>
      </c>
      <c r="J452" s="15" t="str">
        <f aca="false">IF(OR($B452="",I452=""),"",I452-F452)</f>
        <v/>
      </c>
      <c r="K452" s="16" t="str">
        <f aca="false">IF($B452="","",IF(AND(G452="",H452=""),"Not Counted",IF(OR(G452="",H452=""),"Partially Counted",IF(J452=0,"Match",IF(J452&gt;0,"Overage","Shortage")))))</f>
        <v/>
      </c>
      <c r="L452" s="16" t="str">
        <f aca="false">IF($B452="","",IF(AND(L452&lt;&gt;"",L452&lt;&gt;0),L452,$B$4))</f>
        <v/>
      </c>
      <c r="M452" s="13"/>
      <c r="N452" s="13"/>
      <c r="O452" s="13"/>
    </row>
    <row r="453" customFormat="false" ht="15" hidden="false" customHeight="false" outlineLevel="0" collapsed="false">
      <c r="A453" s="11" t="str">
        <f aca="true">IF($B453="","",IF(AND(A453&lt;&gt;"",A453&lt;&gt;0),A453,TODAY()))</f>
        <v/>
      </c>
      <c r="B453" s="12"/>
      <c r="C453" s="13"/>
      <c r="D453" s="13"/>
      <c r="E453" s="13"/>
      <c r="F453" s="14"/>
      <c r="G453" s="14"/>
      <c r="H453" s="14"/>
      <c r="I453" s="15" t="str">
        <f aca="false">IF($B453="","",IF(AND(G453="",H453=""),"",G453+H453))</f>
        <v/>
      </c>
      <c r="J453" s="15" t="str">
        <f aca="false">IF(OR($B453="",I453=""),"",I453-F453)</f>
        <v/>
      </c>
      <c r="K453" s="16" t="str">
        <f aca="false">IF($B453="","",IF(AND(G453="",H453=""),"Not Counted",IF(OR(G453="",H453=""),"Partially Counted",IF(J453=0,"Match",IF(J453&gt;0,"Overage","Shortage")))))</f>
        <v/>
      </c>
      <c r="L453" s="16" t="str">
        <f aca="false">IF($B453="","",IF(AND(L453&lt;&gt;"",L453&lt;&gt;0),L453,$B$4))</f>
        <v/>
      </c>
      <c r="M453" s="13"/>
      <c r="N453" s="13"/>
      <c r="O453" s="13"/>
    </row>
    <row r="454" customFormat="false" ht="15" hidden="false" customHeight="false" outlineLevel="0" collapsed="false">
      <c r="A454" s="11" t="str">
        <f aca="true">IF($B454="","",IF(AND(A454&lt;&gt;"",A454&lt;&gt;0),A454,TODAY()))</f>
        <v/>
      </c>
      <c r="B454" s="12"/>
      <c r="C454" s="13"/>
      <c r="D454" s="13"/>
      <c r="E454" s="13"/>
      <c r="F454" s="14"/>
      <c r="G454" s="14"/>
      <c r="H454" s="14"/>
      <c r="I454" s="15" t="str">
        <f aca="false">IF($B454="","",IF(AND(G454="",H454=""),"",G454+H454))</f>
        <v/>
      </c>
      <c r="J454" s="15" t="str">
        <f aca="false">IF(OR($B454="",I454=""),"",I454-F454)</f>
        <v/>
      </c>
      <c r="K454" s="16" t="str">
        <f aca="false">IF($B454="","",IF(AND(G454="",H454=""),"Not Counted",IF(OR(G454="",H454=""),"Partially Counted",IF(J454=0,"Match",IF(J454&gt;0,"Overage","Shortage")))))</f>
        <v/>
      </c>
      <c r="L454" s="16" t="str">
        <f aca="false">IF($B454="","",IF(AND(L454&lt;&gt;"",L454&lt;&gt;0),L454,$B$4))</f>
        <v/>
      </c>
      <c r="M454" s="13"/>
      <c r="N454" s="13"/>
      <c r="O454" s="13"/>
    </row>
    <row r="455" customFormat="false" ht="15" hidden="false" customHeight="false" outlineLevel="0" collapsed="false">
      <c r="A455" s="11" t="str">
        <f aca="true">IF($B455="","",IF(AND(A455&lt;&gt;"",A455&lt;&gt;0),A455,TODAY()))</f>
        <v/>
      </c>
      <c r="B455" s="12"/>
      <c r="C455" s="13"/>
      <c r="D455" s="13"/>
      <c r="E455" s="13"/>
      <c r="F455" s="14"/>
      <c r="G455" s="14"/>
      <c r="H455" s="14"/>
      <c r="I455" s="15" t="str">
        <f aca="false">IF($B455="","",IF(AND(G455="",H455=""),"",G455+H455))</f>
        <v/>
      </c>
      <c r="J455" s="15" t="str">
        <f aca="false">IF(OR($B455="",I455=""),"",I455-F455)</f>
        <v/>
      </c>
      <c r="K455" s="16" t="str">
        <f aca="false">IF($B455="","",IF(AND(G455="",H455=""),"Not Counted",IF(OR(G455="",H455=""),"Partially Counted",IF(J455=0,"Match",IF(J455&gt;0,"Overage","Shortage")))))</f>
        <v/>
      </c>
      <c r="L455" s="16" t="str">
        <f aca="false">IF($B455="","",IF(AND(L455&lt;&gt;"",L455&lt;&gt;0),L455,$B$4))</f>
        <v/>
      </c>
      <c r="M455" s="13"/>
      <c r="N455" s="13"/>
      <c r="O455" s="13"/>
    </row>
    <row r="456" customFormat="false" ht="15" hidden="false" customHeight="false" outlineLevel="0" collapsed="false">
      <c r="A456" s="11" t="str">
        <f aca="true">IF($B456="","",IF(AND(A456&lt;&gt;"",A456&lt;&gt;0),A456,TODAY()))</f>
        <v/>
      </c>
      <c r="B456" s="12"/>
      <c r="C456" s="13"/>
      <c r="D456" s="13"/>
      <c r="E456" s="13"/>
      <c r="F456" s="14"/>
      <c r="G456" s="14"/>
      <c r="H456" s="14"/>
      <c r="I456" s="15" t="str">
        <f aca="false">IF($B456="","",IF(AND(G456="",H456=""),"",G456+H456))</f>
        <v/>
      </c>
      <c r="J456" s="15" t="str">
        <f aca="false">IF(OR($B456="",I456=""),"",I456-F456)</f>
        <v/>
      </c>
      <c r="K456" s="16" t="str">
        <f aca="false">IF($B456="","",IF(AND(G456="",H456=""),"Not Counted",IF(OR(G456="",H456=""),"Partially Counted",IF(J456=0,"Match",IF(J456&gt;0,"Overage","Shortage")))))</f>
        <v/>
      </c>
      <c r="L456" s="16" t="str">
        <f aca="false">IF($B456="","",IF(AND(L456&lt;&gt;"",L456&lt;&gt;0),L456,$B$4))</f>
        <v/>
      </c>
      <c r="M456" s="13"/>
      <c r="N456" s="13"/>
      <c r="O456" s="13"/>
    </row>
    <row r="457" customFormat="false" ht="15" hidden="false" customHeight="false" outlineLevel="0" collapsed="false">
      <c r="A457" s="11" t="str">
        <f aca="true">IF($B457="","",IF(AND(A457&lt;&gt;"",A457&lt;&gt;0),A457,TODAY()))</f>
        <v/>
      </c>
      <c r="B457" s="12"/>
      <c r="C457" s="13"/>
      <c r="D457" s="13"/>
      <c r="E457" s="13"/>
      <c r="F457" s="14"/>
      <c r="G457" s="14"/>
      <c r="H457" s="14"/>
      <c r="I457" s="15" t="str">
        <f aca="false">IF($B457="","",IF(AND(G457="",H457=""),"",G457+H457))</f>
        <v/>
      </c>
      <c r="J457" s="15" t="str">
        <f aca="false">IF(OR($B457="",I457=""),"",I457-F457)</f>
        <v/>
      </c>
      <c r="K457" s="16" t="str">
        <f aca="false">IF($B457="","",IF(AND(G457="",H457=""),"Not Counted",IF(OR(G457="",H457=""),"Partially Counted",IF(J457=0,"Match",IF(J457&gt;0,"Overage","Shortage")))))</f>
        <v/>
      </c>
      <c r="L457" s="16" t="str">
        <f aca="false">IF($B457="","",IF(AND(L457&lt;&gt;"",L457&lt;&gt;0),L457,$B$4))</f>
        <v/>
      </c>
      <c r="M457" s="13"/>
      <c r="N457" s="13"/>
      <c r="O457" s="13"/>
    </row>
    <row r="458" customFormat="false" ht="15" hidden="false" customHeight="false" outlineLevel="0" collapsed="false">
      <c r="A458" s="11" t="str">
        <f aca="true">IF($B458="","",IF(AND(A458&lt;&gt;"",A458&lt;&gt;0),A458,TODAY()))</f>
        <v/>
      </c>
      <c r="B458" s="12"/>
      <c r="C458" s="13"/>
      <c r="D458" s="13"/>
      <c r="E458" s="13"/>
      <c r="F458" s="14"/>
      <c r="G458" s="14"/>
      <c r="H458" s="14"/>
      <c r="I458" s="15" t="str">
        <f aca="false">IF($B458="","",IF(AND(G458="",H458=""),"",G458+H458))</f>
        <v/>
      </c>
      <c r="J458" s="15" t="str">
        <f aca="false">IF(OR($B458="",I458=""),"",I458-F458)</f>
        <v/>
      </c>
      <c r="K458" s="16" t="str">
        <f aca="false">IF($B458="","",IF(AND(G458="",H458=""),"Not Counted",IF(OR(G458="",H458=""),"Partially Counted",IF(J458=0,"Match",IF(J458&gt;0,"Overage","Shortage")))))</f>
        <v/>
      </c>
      <c r="L458" s="16" t="str">
        <f aca="false">IF($B458="","",IF(AND(L458&lt;&gt;"",L458&lt;&gt;0),L458,$B$4))</f>
        <v/>
      </c>
      <c r="M458" s="13"/>
      <c r="N458" s="13"/>
      <c r="O458" s="13"/>
    </row>
    <row r="459" customFormat="false" ht="15" hidden="false" customHeight="false" outlineLevel="0" collapsed="false">
      <c r="A459" s="11" t="str">
        <f aca="true">IF($B459="","",IF(AND(A459&lt;&gt;"",A459&lt;&gt;0),A459,TODAY()))</f>
        <v/>
      </c>
      <c r="B459" s="12"/>
      <c r="C459" s="13"/>
      <c r="D459" s="13"/>
      <c r="E459" s="13"/>
      <c r="F459" s="14"/>
      <c r="G459" s="14"/>
      <c r="H459" s="14"/>
      <c r="I459" s="15" t="str">
        <f aca="false">IF($B459="","",IF(AND(G459="",H459=""),"",G459+H459))</f>
        <v/>
      </c>
      <c r="J459" s="15" t="str">
        <f aca="false">IF(OR($B459="",I459=""),"",I459-F459)</f>
        <v/>
      </c>
      <c r="K459" s="16" t="str">
        <f aca="false">IF($B459="","",IF(AND(G459="",H459=""),"Not Counted",IF(OR(G459="",H459=""),"Partially Counted",IF(J459=0,"Match",IF(J459&gt;0,"Overage","Shortage")))))</f>
        <v/>
      </c>
      <c r="L459" s="16" t="str">
        <f aca="false">IF($B459="","",IF(AND(L459&lt;&gt;"",L459&lt;&gt;0),L459,$B$4))</f>
        <v/>
      </c>
      <c r="M459" s="13"/>
      <c r="N459" s="13"/>
      <c r="O459" s="13"/>
    </row>
    <row r="460" customFormat="false" ht="15" hidden="false" customHeight="false" outlineLevel="0" collapsed="false">
      <c r="A460" s="11" t="str">
        <f aca="true">IF($B460="","",IF(AND(A460&lt;&gt;"",A460&lt;&gt;0),A460,TODAY()))</f>
        <v/>
      </c>
      <c r="B460" s="12"/>
      <c r="C460" s="13"/>
      <c r="D460" s="13"/>
      <c r="E460" s="13"/>
      <c r="F460" s="14"/>
      <c r="G460" s="14"/>
      <c r="H460" s="14"/>
      <c r="I460" s="15" t="str">
        <f aca="false">IF($B460="","",IF(AND(G460="",H460=""),"",G460+H460))</f>
        <v/>
      </c>
      <c r="J460" s="15" t="str">
        <f aca="false">IF(OR($B460="",I460=""),"",I460-F460)</f>
        <v/>
      </c>
      <c r="K460" s="16" t="str">
        <f aca="false">IF($B460="","",IF(AND(G460="",H460=""),"Not Counted",IF(OR(G460="",H460=""),"Partially Counted",IF(J460=0,"Match",IF(J460&gt;0,"Overage","Shortage")))))</f>
        <v/>
      </c>
      <c r="L460" s="16" t="str">
        <f aca="false">IF($B460="","",IF(AND(L460&lt;&gt;"",L460&lt;&gt;0),L460,$B$4))</f>
        <v/>
      </c>
      <c r="M460" s="13"/>
      <c r="N460" s="13"/>
      <c r="O460" s="13"/>
    </row>
    <row r="461" customFormat="false" ht="15" hidden="false" customHeight="false" outlineLevel="0" collapsed="false">
      <c r="A461" s="11" t="str">
        <f aca="true">IF($B461="","",IF(AND(A461&lt;&gt;"",A461&lt;&gt;0),A461,TODAY()))</f>
        <v/>
      </c>
      <c r="B461" s="12"/>
      <c r="C461" s="13"/>
      <c r="D461" s="13"/>
      <c r="E461" s="13"/>
      <c r="F461" s="14"/>
      <c r="G461" s="14"/>
      <c r="H461" s="14"/>
      <c r="I461" s="15" t="str">
        <f aca="false">IF($B461="","",IF(AND(G461="",H461=""),"",G461+H461))</f>
        <v/>
      </c>
      <c r="J461" s="15" t="str">
        <f aca="false">IF(OR($B461="",I461=""),"",I461-F461)</f>
        <v/>
      </c>
      <c r="K461" s="16" t="str">
        <f aca="false">IF($B461="","",IF(AND(G461="",H461=""),"Not Counted",IF(OR(G461="",H461=""),"Partially Counted",IF(J461=0,"Match",IF(J461&gt;0,"Overage","Shortage")))))</f>
        <v/>
      </c>
      <c r="L461" s="16" t="str">
        <f aca="false">IF($B461="","",IF(AND(L461&lt;&gt;"",L461&lt;&gt;0),L461,$B$4))</f>
        <v/>
      </c>
      <c r="M461" s="13"/>
      <c r="N461" s="13"/>
      <c r="O461" s="13"/>
    </row>
    <row r="462" customFormat="false" ht="15" hidden="false" customHeight="false" outlineLevel="0" collapsed="false">
      <c r="A462" s="11" t="str">
        <f aca="true">IF($B462="","",IF(AND(A462&lt;&gt;"",A462&lt;&gt;0),A462,TODAY()))</f>
        <v/>
      </c>
      <c r="B462" s="12"/>
      <c r="C462" s="13"/>
      <c r="D462" s="13"/>
      <c r="E462" s="13"/>
      <c r="F462" s="14"/>
      <c r="G462" s="14"/>
      <c r="H462" s="14"/>
      <c r="I462" s="15" t="str">
        <f aca="false">IF($B462="","",IF(AND(G462="",H462=""),"",G462+H462))</f>
        <v/>
      </c>
      <c r="J462" s="15" t="str">
        <f aca="false">IF(OR($B462="",I462=""),"",I462-F462)</f>
        <v/>
      </c>
      <c r="K462" s="16" t="str">
        <f aca="false">IF($B462="","",IF(AND(G462="",H462=""),"Not Counted",IF(OR(G462="",H462=""),"Partially Counted",IF(J462=0,"Match",IF(J462&gt;0,"Overage","Shortage")))))</f>
        <v/>
      </c>
      <c r="L462" s="16" t="str">
        <f aca="false">IF($B462="","",IF(AND(L462&lt;&gt;"",L462&lt;&gt;0),L462,$B$4))</f>
        <v/>
      </c>
      <c r="M462" s="13"/>
      <c r="N462" s="13"/>
      <c r="O462" s="13"/>
    </row>
    <row r="463" customFormat="false" ht="15" hidden="false" customHeight="false" outlineLevel="0" collapsed="false">
      <c r="A463" s="11" t="str">
        <f aca="true">IF($B463="","",IF(AND(A463&lt;&gt;"",A463&lt;&gt;0),A463,TODAY()))</f>
        <v/>
      </c>
      <c r="B463" s="12"/>
      <c r="C463" s="13"/>
      <c r="D463" s="13"/>
      <c r="E463" s="13"/>
      <c r="F463" s="14"/>
      <c r="G463" s="14"/>
      <c r="H463" s="14"/>
      <c r="I463" s="15" t="str">
        <f aca="false">IF($B463="","",IF(AND(G463="",H463=""),"",G463+H463))</f>
        <v/>
      </c>
      <c r="J463" s="15" t="str">
        <f aca="false">IF(OR($B463="",I463=""),"",I463-F463)</f>
        <v/>
      </c>
      <c r="K463" s="16" t="str">
        <f aca="false">IF($B463="","",IF(AND(G463="",H463=""),"Not Counted",IF(OR(G463="",H463=""),"Partially Counted",IF(J463=0,"Match",IF(J463&gt;0,"Overage","Shortage")))))</f>
        <v/>
      </c>
      <c r="L463" s="16" t="str">
        <f aca="false">IF($B463="","",IF(AND(L463&lt;&gt;"",L463&lt;&gt;0),L463,$B$4))</f>
        <v/>
      </c>
      <c r="M463" s="13"/>
      <c r="N463" s="13"/>
      <c r="O463" s="13"/>
    </row>
    <row r="464" customFormat="false" ht="15" hidden="false" customHeight="false" outlineLevel="0" collapsed="false">
      <c r="A464" s="11" t="str">
        <f aca="true">IF($B464="","",IF(AND(A464&lt;&gt;"",A464&lt;&gt;0),A464,TODAY()))</f>
        <v/>
      </c>
      <c r="B464" s="12"/>
      <c r="C464" s="13"/>
      <c r="D464" s="13"/>
      <c r="E464" s="13"/>
      <c r="F464" s="14"/>
      <c r="G464" s="14"/>
      <c r="H464" s="14"/>
      <c r="I464" s="15" t="str">
        <f aca="false">IF($B464="","",IF(AND(G464="",H464=""),"",G464+H464))</f>
        <v/>
      </c>
      <c r="J464" s="15" t="str">
        <f aca="false">IF(OR($B464="",I464=""),"",I464-F464)</f>
        <v/>
      </c>
      <c r="K464" s="16" t="str">
        <f aca="false">IF($B464="","",IF(AND(G464="",H464=""),"Not Counted",IF(OR(G464="",H464=""),"Partially Counted",IF(J464=0,"Match",IF(J464&gt;0,"Overage","Shortage")))))</f>
        <v/>
      </c>
      <c r="L464" s="16" t="str">
        <f aca="false">IF($B464="","",IF(AND(L464&lt;&gt;"",L464&lt;&gt;0),L464,$B$4))</f>
        <v/>
      </c>
      <c r="M464" s="13"/>
      <c r="N464" s="13"/>
      <c r="O464" s="13"/>
    </row>
    <row r="465" customFormat="false" ht="15" hidden="false" customHeight="false" outlineLevel="0" collapsed="false">
      <c r="A465" s="11" t="str">
        <f aca="true">IF($B465="","",IF(AND(A465&lt;&gt;"",A465&lt;&gt;0),A465,TODAY()))</f>
        <v/>
      </c>
      <c r="B465" s="12"/>
      <c r="C465" s="13"/>
      <c r="D465" s="13"/>
      <c r="E465" s="13"/>
      <c r="F465" s="14"/>
      <c r="G465" s="14"/>
      <c r="H465" s="14"/>
      <c r="I465" s="15" t="str">
        <f aca="false">IF($B465="","",IF(AND(G465="",H465=""),"",G465+H465))</f>
        <v/>
      </c>
      <c r="J465" s="15" t="str">
        <f aca="false">IF(OR($B465="",I465=""),"",I465-F465)</f>
        <v/>
      </c>
      <c r="K465" s="16" t="str">
        <f aca="false">IF($B465="","",IF(AND(G465="",H465=""),"Not Counted",IF(OR(G465="",H465=""),"Partially Counted",IF(J465=0,"Match",IF(J465&gt;0,"Overage","Shortage")))))</f>
        <v/>
      </c>
      <c r="L465" s="16" t="str">
        <f aca="false">IF($B465="","",IF(AND(L465&lt;&gt;"",L465&lt;&gt;0),L465,$B$4))</f>
        <v/>
      </c>
      <c r="M465" s="13"/>
      <c r="N465" s="13"/>
      <c r="O465" s="13"/>
    </row>
    <row r="466" customFormat="false" ht="15" hidden="false" customHeight="false" outlineLevel="0" collapsed="false">
      <c r="A466" s="11" t="str">
        <f aca="true">IF($B466="","",IF(AND(A466&lt;&gt;"",A466&lt;&gt;0),A466,TODAY()))</f>
        <v/>
      </c>
      <c r="B466" s="12"/>
      <c r="C466" s="13"/>
      <c r="D466" s="13"/>
      <c r="E466" s="13"/>
      <c r="F466" s="14"/>
      <c r="G466" s="14"/>
      <c r="H466" s="14"/>
      <c r="I466" s="15" t="str">
        <f aca="false">IF($B466="","",IF(AND(G466="",H466=""),"",G466+H466))</f>
        <v/>
      </c>
      <c r="J466" s="15" t="str">
        <f aca="false">IF(OR($B466="",I466=""),"",I466-F466)</f>
        <v/>
      </c>
      <c r="K466" s="16" t="str">
        <f aca="false">IF($B466="","",IF(AND(G466="",H466=""),"Not Counted",IF(OR(G466="",H466=""),"Partially Counted",IF(J466=0,"Match",IF(J466&gt;0,"Overage","Shortage")))))</f>
        <v/>
      </c>
      <c r="L466" s="16" t="str">
        <f aca="false">IF($B466="","",IF(AND(L466&lt;&gt;"",L466&lt;&gt;0),L466,$B$4))</f>
        <v/>
      </c>
      <c r="M466" s="13"/>
      <c r="N466" s="13"/>
      <c r="O466" s="13"/>
    </row>
    <row r="467" customFormat="false" ht="15" hidden="false" customHeight="false" outlineLevel="0" collapsed="false">
      <c r="A467" s="11" t="str">
        <f aca="true">IF($B467="","",IF(AND(A467&lt;&gt;"",A467&lt;&gt;0),A467,TODAY()))</f>
        <v/>
      </c>
      <c r="B467" s="12"/>
      <c r="C467" s="13"/>
      <c r="D467" s="13"/>
      <c r="E467" s="13"/>
      <c r="F467" s="14"/>
      <c r="G467" s="14"/>
      <c r="H467" s="14"/>
      <c r="I467" s="15" t="str">
        <f aca="false">IF($B467="","",IF(AND(G467="",H467=""),"",G467+H467))</f>
        <v/>
      </c>
      <c r="J467" s="15" t="str">
        <f aca="false">IF(OR($B467="",I467=""),"",I467-F467)</f>
        <v/>
      </c>
      <c r="K467" s="16" t="str">
        <f aca="false">IF($B467="","",IF(AND(G467="",H467=""),"Not Counted",IF(OR(G467="",H467=""),"Partially Counted",IF(J467=0,"Match",IF(J467&gt;0,"Overage","Shortage")))))</f>
        <v/>
      </c>
      <c r="L467" s="16" t="str">
        <f aca="false">IF($B467="","",IF(AND(L467&lt;&gt;"",L467&lt;&gt;0),L467,$B$4))</f>
        <v/>
      </c>
      <c r="M467" s="13"/>
      <c r="N467" s="13"/>
      <c r="O467" s="13"/>
    </row>
    <row r="468" customFormat="false" ht="15" hidden="false" customHeight="false" outlineLevel="0" collapsed="false">
      <c r="A468" s="11" t="str">
        <f aca="true">IF($B468="","",IF(AND(A468&lt;&gt;"",A468&lt;&gt;0),A468,TODAY()))</f>
        <v/>
      </c>
      <c r="B468" s="12"/>
      <c r="C468" s="13"/>
      <c r="D468" s="13"/>
      <c r="E468" s="13"/>
      <c r="F468" s="14"/>
      <c r="G468" s="14"/>
      <c r="H468" s="14"/>
      <c r="I468" s="15" t="str">
        <f aca="false">IF($B468="","",IF(AND(G468="",H468=""),"",G468+H468))</f>
        <v/>
      </c>
      <c r="J468" s="15" t="str">
        <f aca="false">IF(OR($B468="",I468=""),"",I468-F468)</f>
        <v/>
      </c>
      <c r="K468" s="16" t="str">
        <f aca="false">IF($B468="","",IF(AND(G468="",H468=""),"Not Counted",IF(OR(G468="",H468=""),"Partially Counted",IF(J468=0,"Match",IF(J468&gt;0,"Overage","Shortage")))))</f>
        <v/>
      </c>
      <c r="L468" s="16" t="str">
        <f aca="false">IF($B468="","",IF(AND(L468&lt;&gt;"",L468&lt;&gt;0),L468,$B$4))</f>
        <v/>
      </c>
      <c r="M468" s="13"/>
      <c r="N468" s="13"/>
      <c r="O468" s="13"/>
    </row>
    <row r="469" customFormat="false" ht="15" hidden="false" customHeight="false" outlineLevel="0" collapsed="false">
      <c r="A469" s="11" t="str">
        <f aca="true">IF($B469="","",IF(AND(A469&lt;&gt;"",A469&lt;&gt;0),A469,TODAY()))</f>
        <v/>
      </c>
      <c r="B469" s="12"/>
      <c r="C469" s="13"/>
      <c r="D469" s="13"/>
      <c r="E469" s="13"/>
      <c r="F469" s="14"/>
      <c r="G469" s="14"/>
      <c r="H469" s="14"/>
      <c r="I469" s="15" t="str">
        <f aca="false">IF($B469="","",IF(AND(G469="",H469=""),"",G469+H469))</f>
        <v/>
      </c>
      <c r="J469" s="15" t="str">
        <f aca="false">IF(OR($B469="",I469=""),"",I469-F469)</f>
        <v/>
      </c>
      <c r="K469" s="16" t="str">
        <f aca="false">IF($B469="","",IF(AND(G469="",H469=""),"Not Counted",IF(OR(G469="",H469=""),"Partially Counted",IF(J469=0,"Match",IF(J469&gt;0,"Overage","Shortage")))))</f>
        <v/>
      </c>
      <c r="L469" s="16" t="str">
        <f aca="false">IF($B469="","",IF(AND(L469&lt;&gt;"",L469&lt;&gt;0),L469,$B$4))</f>
        <v/>
      </c>
      <c r="M469" s="13"/>
      <c r="N469" s="13"/>
      <c r="O469" s="13"/>
    </row>
    <row r="470" customFormat="false" ht="15" hidden="false" customHeight="false" outlineLevel="0" collapsed="false">
      <c r="A470" s="11" t="str">
        <f aca="true">IF($B470="","",IF(AND(A470&lt;&gt;"",A470&lt;&gt;0),A470,TODAY()))</f>
        <v/>
      </c>
      <c r="B470" s="12"/>
      <c r="C470" s="13"/>
      <c r="D470" s="13"/>
      <c r="E470" s="13"/>
      <c r="F470" s="14"/>
      <c r="G470" s="14"/>
      <c r="H470" s="14"/>
      <c r="I470" s="15" t="str">
        <f aca="false">IF($B470="","",IF(AND(G470="",H470=""),"",G470+H470))</f>
        <v/>
      </c>
      <c r="J470" s="15" t="str">
        <f aca="false">IF(OR($B470="",I470=""),"",I470-F470)</f>
        <v/>
      </c>
      <c r="K470" s="16" t="str">
        <f aca="false">IF($B470="","",IF(AND(G470="",H470=""),"Not Counted",IF(OR(G470="",H470=""),"Partially Counted",IF(J470=0,"Match",IF(J470&gt;0,"Overage","Shortage")))))</f>
        <v/>
      </c>
      <c r="L470" s="16" t="str">
        <f aca="false">IF($B470="","",IF(AND(L470&lt;&gt;"",L470&lt;&gt;0),L470,$B$4))</f>
        <v/>
      </c>
      <c r="M470" s="13"/>
      <c r="N470" s="13"/>
      <c r="O470" s="13"/>
    </row>
    <row r="471" customFormat="false" ht="15" hidden="false" customHeight="false" outlineLevel="0" collapsed="false">
      <c r="A471" s="11" t="str">
        <f aca="true">IF($B471="","",IF(AND(A471&lt;&gt;"",A471&lt;&gt;0),A471,TODAY()))</f>
        <v/>
      </c>
      <c r="B471" s="12"/>
      <c r="C471" s="13"/>
      <c r="D471" s="13"/>
      <c r="E471" s="13"/>
      <c r="F471" s="14"/>
      <c r="G471" s="14"/>
      <c r="H471" s="14"/>
      <c r="I471" s="15" t="str">
        <f aca="false">IF($B471="","",IF(AND(G471="",H471=""),"",G471+H471))</f>
        <v/>
      </c>
      <c r="J471" s="15" t="str">
        <f aca="false">IF(OR($B471="",I471=""),"",I471-F471)</f>
        <v/>
      </c>
      <c r="K471" s="16" t="str">
        <f aca="false">IF($B471="","",IF(AND(G471="",H471=""),"Not Counted",IF(OR(G471="",H471=""),"Partially Counted",IF(J471=0,"Match",IF(J471&gt;0,"Overage","Shortage")))))</f>
        <v/>
      </c>
      <c r="L471" s="16" t="str">
        <f aca="false">IF($B471="","",IF(AND(L471&lt;&gt;"",L471&lt;&gt;0),L471,$B$4))</f>
        <v/>
      </c>
      <c r="M471" s="13"/>
      <c r="N471" s="13"/>
      <c r="O471" s="13"/>
    </row>
    <row r="472" customFormat="false" ht="15" hidden="false" customHeight="false" outlineLevel="0" collapsed="false">
      <c r="A472" s="11" t="str">
        <f aca="true">IF($B472="","",IF(AND(A472&lt;&gt;"",A472&lt;&gt;0),A472,TODAY()))</f>
        <v/>
      </c>
      <c r="B472" s="12"/>
      <c r="C472" s="13"/>
      <c r="D472" s="13"/>
      <c r="E472" s="13"/>
      <c r="F472" s="14"/>
      <c r="G472" s="14"/>
      <c r="H472" s="14"/>
      <c r="I472" s="15" t="str">
        <f aca="false">IF($B472="","",IF(AND(G472="",H472=""),"",G472+H472))</f>
        <v/>
      </c>
      <c r="J472" s="15" t="str">
        <f aca="false">IF(OR($B472="",I472=""),"",I472-F472)</f>
        <v/>
      </c>
      <c r="K472" s="16" t="str">
        <f aca="false">IF($B472="","",IF(AND(G472="",H472=""),"Not Counted",IF(OR(G472="",H472=""),"Partially Counted",IF(J472=0,"Match",IF(J472&gt;0,"Overage","Shortage")))))</f>
        <v/>
      </c>
      <c r="L472" s="16" t="str">
        <f aca="false">IF($B472="","",IF(AND(L472&lt;&gt;"",L472&lt;&gt;0),L472,$B$4))</f>
        <v/>
      </c>
      <c r="M472" s="13"/>
      <c r="N472" s="13"/>
      <c r="O472" s="13"/>
    </row>
    <row r="473" customFormat="false" ht="15" hidden="false" customHeight="false" outlineLevel="0" collapsed="false">
      <c r="A473" s="11" t="str">
        <f aca="true">IF($B473="","",IF(AND(A473&lt;&gt;"",A473&lt;&gt;0),A473,TODAY()))</f>
        <v/>
      </c>
      <c r="B473" s="12"/>
      <c r="C473" s="13"/>
      <c r="D473" s="13"/>
      <c r="E473" s="13"/>
      <c r="F473" s="14"/>
      <c r="G473" s="14"/>
      <c r="H473" s="14"/>
      <c r="I473" s="15" t="str">
        <f aca="false">IF($B473="","",IF(AND(G473="",H473=""),"",G473+H473))</f>
        <v/>
      </c>
      <c r="J473" s="15" t="str">
        <f aca="false">IF(OR($B473="",I473=""),"",I473-F473)</f>
        <v/>
      </c>
      <c r="K473" s="16" t="str">
        <f aca="false">IF($B473="","",IF(AND(G473="",H473=""),"Not Counted",IF(OR(G473="",H473=""),"Partially Counted",IF(J473=0,"Match",IF(J473&gt;0,"Overage","Shortage")))))</f>
        <v/>
      </c>
      <c r="L473" s="16" t="str">
        <f aca="false">IF($B473="","",IF(AND(L473&lt;&gt;"",L473&lt;&gt;0),L473,$B$4))</f>
        <v/>
      </c>
      <c r="M473" s="13"/>
      <c r="N473" s="13"/>
      <c r="O473" s="13"/>
    </row>
    <row r="474" customFormat="false" ht="15" hidden="false" customHeight="false" outlineLevel="0" collapsed="false">
      <c r="A474" s="11" t="str">
        <f aca="true">IF($B474="","",IF(AND(A474&lt;&gt;"",A474&lt;&gt;0),A474,TODAY()))</f>
        <v/>
      </c>
      <c r="B474" s="12"/>
      <c r="C474" s="13"/>
      <c r="D474" s="13"/>
      <c r="E474" s="13"/>
      <c r="F474" s="14"/>
      <c r="G474" s="14"/>
      <c r="H474" s="14"/>
      <c r="I474" s="15" t="str">
        <f aca="false">IF($B474="","",IF(AND(G474="",H474=""),"",G474+H474))</f>
        <v/>
      </c>
      <c r="J474" s="15" t="str">
        <f aca="false">IF(OR($B474="",I474=""),"",I474-F474)</f>
        <v/>
      </c>
      <c r="K474" s="16" t="str">
        <f aca="false">IF($B474="","",IF(AND(G474="",H474=""),"Not Counted",IF(OR(G474="",H474=""),"Partially Counted",IF(J474=0,"Match",IF(J474&gt;0,"Overage","Shortage")))))</f>
        <v/>
      </c>
      <c r="L474" s="16" t="str">
        <f aca="false">IF($B474="","",IF(AND(L474&lt;&gt;"",L474&lt;&gt;0),L474,$B$4))</f>
        <v/>
      </c>
      <c r="M474" s="13"/>
      <c r="N474" s="13"/>
      <c r="O474" s="13"/>
    </row>
    <row r="475" customFormat="false" ht="15" hidden="false" customHeight="false" outlineLevel="0" collapsed="false">
      <c r="A475" s="11" t="str">
        <f aca="true">IF($B475="","",IF(AND(A475&lt;&gt;"",A475&lt;&gt;0),A475,TODAY()))</f>
        <v/>
      </c>
      <c r="B475" s="12"/>
      <c r="C475" s="13"/>
      <c r="D475" s="13"/>
      <c r="E475" s="13"/>
      <c r="F475" s="14"/>
      <c r="G475" s="14"/>
      <c r="H475" s="14"/>
      <c r="I475" s="15" t="str">
        <f aca="false">IF($B475="","",IF(AND(G475="",H475=""),"",G475+H475))</f>
        <v/>
      </c>
      <c r="J475" s="15" t="str">
        <f aca="false">IF(OR($B475="",I475=""),"",I475-F475)</f>
        <v/>
      </c>
      <c r="K475" s="16" t="str">
        <f aca="false">IF($B475="","",IF(AND(G475="",H475=""),"Not Counted",IF(OR(G475="",H475=""),"Partially Counted",IF(J475=0,"Match",IF(J475&gt;0,"Overage","Shortage")))))</f>
        <v/>
      </c>
      <c r="L475" s="16" t="str">
        <f aca="false">IF($B475="","",IF(AND(L475&lt;&gt;"",L475&lt;&gt;0),L475,$B$4))</f>
        <v/>
      </c>
      <c r="M475" s="13"/>
      <c r="N475" s="13"/>
      <c r="O475" s="13"/>
    </row>
    <row r="476" customFormat="false" ht="15" hidden="false" customHeight="false" outlineLevel="0" collapsed="false">
      <c r="A476" s="11" t="str">
        <f aca="true">IF($B476="","",IF(AND(A476&lt;&gt;"",A476&lt;&gt;0),A476,TODAY()))</f>
        <v/>
      </c>
      <c r="B476" s="12"/>
      <c r="C476" s="13"/>
      <c r="D476" s="13"/>
      <c r="E476" s="13"/>
      <c r="F476" s="14"/>
      <c r="G476" s="14"/>
      <c r="H476" s="14"/>
      <c r="I476" s="15" t="str">
        <f aca="false">IF($B476="","",IF(AND(G476="",H476=""),"",G476+H476))</f>
        <v/>
      </c>
      <c r="J476" s="15" t="str">
        <f aca="false">IF(OR($B476="",I476=""),"",I476-F476)</f>
        <v/>
      </c>
      <c r="K476" s="16" t="str">
        <f aca="false">IF($B476="","",IF(AND(G476="",H476=""),"Not Counted",IF(OR(G476="",H476=""),"Partially Counted",IF(J476=0,"Match",IF(J476&gt;0,"Overage","Shortage")))))</f>
        <v/>
      </c>
      <c r="L476" s="16" t="str">
        <f aca="false">IF($B476="","",IF(AND(L476&lt;&gt;"",L476&lt;&gt;0),L476,$B$4))</f>
        <v/>
      </c>
      <c r="M476" s="13"/>
      <c r="N476" s="13"/>
      <c r="O476" s="13"/>
    </row>
    <row r="477" customFormat="false" ht="15" hidden="false" customHeight="false" outlineLevel="0" collapsed="false">
      <c r="A477" s="11" t="str">
        <f aca="true">IF($B477="","",IF(AND(A477&lt;&gt;"",A477&lt;&gt;0),A477,TODAY()))</f>
        <v/>
      </c>
      <c r="B477" s="12"/>
      <c r="C477" s="13"/>
      <c r="D477" s="13"/>
      <c r="E477" s="13"/>
      <c r="F477" s="14"/>
      <c r="G477" s="14"/>
      <c r="H477" s="14"/>
      <c r="I477" s="15" t="str">
        <f aca="false">IF($B477="","",IF(AND(G477="",H477=""),"",G477+H477))</f>
        <v/>
      </c>
      <c r="J477" s="15" t="str">
        <f aca="false">IF(OR($B477="",I477=""),"",I477-F477)</f>
        <v/>
      </c>
      <c r="K477" s="16" t="str">
        <f aca="false">IF($B477="","",IF(AND(G477="",H477=""),"Not Counted",IF(OR(G477="",H477=""),"Partially Counted",IF(J477=0,"Match",IF(J477&gt;0,"Overage","Shortage")))))</f>
        <v/>
      </c>
      <c r="L477" s="16" t="str">
        <f aca="false">IF($B477="","",IF(AND(L477&lt;&gt;"",L477&lt;&gt;0),L477,$B$4))</f>
        <v/>
      </c>
      <c r="M477" s="13"/>
      <c r="N477" s="13"/>
      <c r="O477" s="13"/>
    </row>
    <row r="478" customFormat="false" ht="15" hidden="false" customHeight="false" outlineLevel="0" collapsed="false">
      <c r="A478" s="11" t="str">
        <f aca="true">IF($B478="","",IF(AND(A478&lt;&gt;"",A478&lt;&gt;0),A478,TODAY()))</f>
        <v/>
      </c>
      <c r="B478" s="12"/>
      <c r="C478" s="13"/>
      <c r="D478" s="13"/>
      <c r="E478" s="13"/>
      <c r="F478" s="14"/>
      <c r="G478" s="14"/>
      <c r="H478" s="14"/>
      <c r="I478" s="15" t="str">
        <f aca="false">IF($B478="","",IF(AND(G478="",H478=""),"",G478+H478))</f>
        <v/>
      </c>
      <c r="J478" s="15" t="str">
        <f aca="false">IF(OR($B478="",I478=""),"",I478-F478)</f>
        <v/>
      </c>
      <c r="K478" s="16" t="str">
        <f aca="false">IF($B478="","",IF(AND(G478="",H478=""),"Not Counted",IF(OR(G478="",H478=""),"Partially Counted",IF(J478=0,"Match",IF(J478&gt;0,"Overage","Shortage")))))</f>
        <v/>
      </c>
      <c r="L478" s="16" t="str">
        <f aca="false">IF($B478="","",IF(AND(L478&lt;&gt;"",L478&lt;&gt;0),L478,$B$4))</f>
        <v/>
      </c>
      <c r="M478" s="13"/>
      <c r="N478" s="13"/>
      <c r="O478" s="13"/>
    </row>
    <row r="479" customFormat="false" ht="15" hidden="false" customHeight="false" outlineLevel="0" collapsed="false">
      <c r="A479" s="11" t="str">
        <f aca="true">IF($B479="","",IF(AND(A479&lt;&gt;"",A479&lt;&gt;0),A479,TODAY()))</f>
        <v/>
      </c>
      <c r="B479" s="12"/>
      <c r="C479" s="13"/>
      <c r="D479" s="13"/>
      <c r="E479" s="13"/>
      <c r="F479" s="14"/>
      <c r="G479" s="14"/>
      <c r="H479" s="14"/>
      <c r="I479" s="15" t="str">
        <f aca="false">IF($B479="","",IF(AND(G479="",H479=""),"",G479+H479))</f>
        <v/>
      </c>
      <c r="J479" s="15" t="str">
        <f aca="false">IF(OR($B479="",I479=""),"",I479-F479)</f>
        <v/>
      </c>
      <c r="K479" s="16" t="str">
        <f aca="false">IF($B479="","",IF(AND(G479="",H479=""),"Not Counted",IF(OR(G479="",H479=""),"Partially Counted",IF(J479=0,"Match",IF(J479&gt;0,"Overage","Shortage")))))</f>
        <v/>
      </c>
      <c r="L479" s="16" t="str">
        <f aca="false">IF($B479="","",IF(AND(L479&lt;&gt;"",L479&lt;&gt;0),L479,$B$4))</f>
        <v/>
      </c>
      <c r="M479" s="13"/>
      <c r="N479" s="13"/>
      <c r="O479" s="13"/>
    </row>
    <row r="480" customFormat="false" ht="15" hidden="false" customHeight="false" outlineLevel="0" collapsed="false">
      <c r="A480" s="11" t="str">
        <f aca="true">IF($B480="","",IF(AND(A480&lt;&gt;"",A480&lt;&gt;0),A480,TODAY()))</f>
        <v/>
      </c>
      <c r="B480" s="12"/>
      <c r="C480" s="13"/>
      <c r="D480" s="13"/>
      <c r="E480" s="13"/>
      <c r="F480" s="14"/>
      <c r="G480" s="14"/>
      <c r="H480" s="14"/>
      <c r="I480" s="15" t="str">
        <f aca="false">IF($B480="","",IF(AND(G480="",H480=""),"",G480+H480))</f>
        <v/>
      </c>
      <c r="J480" s="15" t="str">
        <f aca="false">IF(OR($B480="",I480=""),"",I480-F480)</f>
        <v/>
      </c>
      <c r="K480" s="16" t="str">
        <f aca="false">IF($B480="","",IF(AND(G480="",H480=""),"Not Counted",IF(OR(G480="",H480=""),"Partially Counted",IF(J480=0,"Match",IF(J480&gt;0,"Overage","Shortage")))))</f>
        <v/>
      </c>
      <c r="L480" s="16" t="str">
        <f aca="false">IF($B480="","",IF(AND(L480&lt;&gt;"",L480&lt;&gt;0),L480,$B$4))</f>
        <v/>
      </c>
      <c r="M480" s="13"/>
      <c r="N480" s="13"/>
      <c r="O480" s="13"/>
    </row>
    <row r="481" customFormat="false" ht="15" hidden="false" customHeight="false" outlineLevel="0" collapsed="false">
      <c r="A481" s="11" t="str">
        <f aca="true">IF($B481="","",IF(AND(A481&lt;&gt;"",A481&lt;&gt;0),A481,TODAY()))</f>
        <v/>
      </c>
      <c r="B481" s="12"/>
      <c r="C481" s="13"/>
      <c r="D481" s="13"/>
      <c r="E481" s="13"/>
      <c r="F481" s="14"/>
      <c r="G481" s="14"/>
      <c r="H481" s="14"/>
      <c r="I481" s="15" t="str">
        <f aca="false">IF($B481="","",IF(AND(G481="",H481=""),"",G481+H481))</f>
        <v/>
      </c>
      <c r="J481" s="15" t="str">
        <f aca="false">IF(OR($B481="",I481=""),"",I481-F481)</f>
        <v/>
      </c>
      <c r="K481" s="16" t="str">
        <f aca="false">IF($B481="","",IF(AND(G481="",H481=""),"Not Counted",IF(OR(G481="",H481=""),"Partially Counted",IF(J481=0,"Match",IF(J481&gt;0,"Overage","Shortage")))))</f>
        <v/>
      </c>
      <c r="L481" s="16" t="str">
        <f aca="false">IF($B481="","",IF(AND(L481&lt;&gt;"",L481&lt;&gt;0),L481,$B$4))</f>
        <v/>
      </c>
      <c r="M481" s="13"/>
      <c r="N481" s="13"/>
      <c r="O481" s="13"/>
    </row>
    <row r="482" customFormat="false" ht="15" hidden="false" customHeight="false" outlineLevel="0" collapsed="false">
      <c r="A482" s="11" t="str">
        <f aca="true">IF($B482="","",IF(AND(A482&lt;&gt;"",A482&lt;&gt;0),A482,TODAY()))</f>
        <v/>
      </c>
      <c r="B482" s="12"/>
      <c r="C482" s="13"/>
      <c r="D482" s="13"/>
      <c r="E482" s="13"/>
      <c r="F482" s="14"/>
      <c r="G482" s="14"/>
      <c r="H482" s="14"/>
      <c r="I482" s="15" t="str">
        <f aca="false">IF($B482="","",IF(AND(G482="",H482=""),"",G482+H482))</f>
        <v/>
      </c>
      <c r="J482" s="15" t="str">
        <f aca="false">IF(OR($B482="",I482=""),"",I482-F482)</f>
        <v/>
      </c>
      <c r="K482" s="16" t="str">
        <f aca="false">IF($B482="","",IF(AND(G482="",H482=""),"Not Counted",IF(OR(G482="",H482=""),"Partially Counted",IF(J482=0,"Match",IF(J482&gt;0,"Overage","Shortage")))))</f>
        <v/>
      </c>
      <c r="L482" s="16" t="str">
        <f aca="false">IF($B482="","",IF(AND(L482&lt;&gt;"",L482&lt;&gt;0),L482,$B$4))</f>
        <v/>
      </c>
      <c r="M482" s="13"/>
      <c r="N482" s="13"/>
      <c r="O482" s="13"/>
    </row>
    <row r="483" customFormat="false" ht="15" hidden="false" customHeight="false" outlineLevel="0" collapsed="false">
      <c r="A483" s="11" t="str">
        <f aca="true">IF($B483="","",IF(AND(A483&lt;&gt;"",A483&lt;&gt;0),A483,TODAY()))</f>
        <v/>
      </c>
      <c r="B483" s="12"/>
      <c r="C483" s="13"/>
      <c r="D483" s="13"/>
      <c r="E483" s="13"/>
      <c r="F483" s="14"/>
      <c r="G483" s="14"/>
      <c r="H483" s="14"/>
      <c r="I483" s="15" t="str">
        <f aca="false">IF($B483="","",IF(AND(G483="",H483=""),"",G483+H483))</f>
        <v/>
      </c>
      <c r="J483" s="15" t="str">
        <f aca="false">IF(OR($B483="",I483=""),"",I483-F483)</f>
        <v/>
      </c>
      <c r="K483" s="16" t="str">
        <f aca="false">IF($B483="","",IF(AND(G483="",H483=""),"Not Counted",IF(OR(G483="",H483=""),"Partially Counted",IF(J483=0,"Match",IF(J483&gt;0,"Overage","Shortage")))))</f>
        <v/>
      </c>
      <c r="L483" s="16" t="str">
        <f aca="false">IF($B483="","",IF(AND(L483&lt;&gt;"",L483&lt;&gt;0),L483,$B$4))</f>
        <v/>
      </c>
      <c r="M483" s="13"/>
      <c r="N483" s="13"/>
      <c r="O483" s="13"/>
    </row>
    <row r="484" customFormat="false" ht="15" hidden="false" customHeight="false" outlineLevel="0" collapsed="false">
      <c r="A484" s="11" t="str">
        <f aca="true">IF($B484="","",IF(AND(A484&lt;&gt;"",A484&lt;&gt;0),A484,TODAY()))</f>
        <v/>
      </c>
      <c r="B484" s="12"/>
      <c r="C484" s="13"/>
      <c r="D484" s="13"/>
      <c r="E484" s="13"/>
      <c r="F484" s="14"/>
      <c r="G484" s="14"/>
      <c r="H484" s="14"/>
      <c r="I484" s="15" t="str">
        <f aca="false">IF($B484="","",IF(AND(G484="",H484=""),"",G484+H484))</f>
        <v/>
      </c>
      <c r="J484" s="15" t="str">
        <f aca="false">IF(OR($B484="",I484=""),"",I484-F484)</f>
        <v/>
      </c>
      <c r="K484" s="16" t="str">
        <f aca="false">IF($B484="","",IF(AND(G484="",H484=""),"Not Counted",IF(OR(G484="",H484=""),"Partially Counted",IF(J484=0,"Match",IF(J484&gt;0,"Overage","Shortage")))))</f>
        <v/>
      </c>
      <c r="L484" s="16" t="str">
        <f aca="false">IF($B484="","",IF(AND(L484&lt;&gt;"",L484&lt;&gt;0),L484,$B$4))</f>
        <v/>
      </c>
      <c r="M484" s="13"/>
      <c r="N484" s="13"/>
      <c r="O484" s="13"/>
    </row>
    <row r="485" customFormat="false" ht="15" hidden="false" customHeight="false" outlineLevel="0" collapsed="false">
      <c r="A485" s="11" t="str">
        <f aca="true">IF($B485="","",IF(AND(A485&lt;&gt;"",A485&lt;&gt;0),A485,TODAY()))</f>
        <v/>
      </c>
      <c r="B485" s="12"/>
      <c r="C485" s="13"/>
      <c r="D485" s="13"/>
      <c r="E485" s="13"/>
      <c r="F485" s="14"/>
      <c r="G485" s="14"/>
      <c r="H485" s="14"/>
      <c r="I485" s="15" t="str">
        <f aca="false">IF($B485="","",IF(AND(G485="",H485=""),"",G485+H485))</f>
        <v/>
      </c>
      <c r="J485" s="15" t="str">
        <f aca="false">IF(OR($B485="",I485=""),"",I485-F485)</f>
        <v/>
      </c>
      <c r="K485" s="16" t="str">
        <f aca="false">IF($B485="","",IF(AND(G485="",H485=""),"Not Counted",IF(OR(G485="",H485=""),"Partially Counted",IF(J485=0,"Match",IF(J485&gt;0,"Overage","Shortage")))))</f>
        <v/>
      </c>
      <c r="L485" s="16" t="str">
        <f aca="false">IF($B485="","",IF(AND(L485&lt;&gt;"",L485&lt;&gt;0),L485,$B$4))</f>
        <v/>
      </c>
      <c r="M485" s="13"/>
      <c r="N485" s="13"/>
      <c r="O485" s="13"/>
    </row>
    <row r="486" customFormat="false" ht="15" hidden="false" customHeight="false" outlineLevel="0" collapsed="false">
      <c r="A486" s="11" t="str">
        <f aca="true">IF($B486="","",IF(AND(A486&lt;&gt;"",A486&lt;&gt;0),A486,TODAY()))</f>
        <v/>
      </c>
      <c r="B486" s="12"/>
      <c r="C486" s="13"/>
      <c r="D486" s="13"/>
      <c r="E486" s="13"/>
      <c r="F486" s="14"/>
      <c r="G486" s="14"/>
      <c r="H486" s="14"/>
      <c r="I486" s="15" t="str">
        <f aca="false">IF($B486="","",IF(AND(G486="",H486=""),"",G486+H486))</f>
        <v/>
      </c>
      <c r="J486" s="15" t="str">
        <f aca="false">IF(OR($B486="",I486=""),"",I486-F486)</f>
        <v/>
      </c>
      <c r="K486" s="16" t="str">
        <f aca="false">IF($B486="","",IF(AND(G486="",H486=""),"Not Counted",IF(OR(G486="",H486=""),"Partially Counted",IF(J486=0,"Match",IF(J486&gt;0,"Overage","Shortage")))))</f>
        <v/>
      </c>
      <c r="L486" s="16" t="str">
        <f aca="false">IF($B486="","",IF(AND(L486&lt;&gt;"",L486&lt;&gt;0),L486,$B$4))</f>
        <v/>
      </c>
      <c r="M486" s="13"/>
      <c r="N486" s="13"/>
      <c r="O486" s="13"/>
    </row>
    <row r="487" customFormat="false" ht="15" hidden="false" customHeight="false" outlineLevel="0" collapsed="false">
      <c r="A487" s="11" t="str">
        <f aca="true">IF($B487="","",IF(AND(A487&lt;&gt;"",A487&lt;&gt;0),A487,TODAY()))</f>
        <v/>
      </c>
      <c r="B487" s="12"/>
      <c r="C487" s="13"/>
      <c r="D487" s="13"/>
      <c r="E487" s="13"/>
      <c r="F487" s="14"/>
      <c r="G487" s="14"/>
      <c r="H487" s="14"/>
      <c r="I487" s="15" t="str">
        <f aca="false">IF($B487="","",IF(AND(G487="",H487=""),"",G487+H487))</f>
        <v/>
      </c>
      <c r="J487" s="15" t="str">
        <f aca="false">IF(OR($B487="",I487=""),"",I487-F487)</f>
        <v/>
      </c>
      <c r="K487" s="16" t="str">
        <f aca="false">IF($B487="","",IF(AND(G487="",H487=""),"Not Counted",IF(OR(G487="",H487=""),"Partially Counted",IF(J487=0,"Match",IF(J487&gt;0,"Overage","Shortage")))))</f>
        <v/>
      </c>
      <c r="L487" s="16" t="str">
        <f aca="false">IF($B487="","",IF(AND(L487&lt;&gt;"",L487&lt;&gt;0),L487,$B$4))</f>
        <v/>
      </c>
      <c r="M487" s="13"/>
      <c r="N487" s="13"/>
      <c r="O487" s="13"/>
    </row>
    <row r="488" customFormat="false" ht="15" hidden="false" customHeight="false" outlineLevel="0" collapsed="false">
      <c r="A488" s="11" t="str">
        <f aca="true">IF($B488="","",IF(AND(A488&lt;&gt;"",A488&lt;&gt;0),A488,TODAY()))</f>
        <v/>
      </c>
      <c r="B488" s="12"/>
      <c r="C488" s="13"/>
      <c r="D488" s="13"/>
      <c r="E488" s="13"/>
      <c r="F488" s="14"/>
      <c r="G488" s="14"/>
      <c r="H488" s="14"/>
      <c r="I488" s="15" t="str">
        <f aca="false">IF($B488="","",IF(AND(G488="",H488=""),"",G488+H488))</f>
        <v/>
      </c>
      <c r="J488" s="15" t="str">
        <f aca="false">IF(OR($B488="",I488=""),"",I488-F488)</f>
        <v/>
      </c>
      <c r="K488" s="16" t="str">
        <f aca="false">IF($B488="","",IF(AND(G488="",H488=""),"Not Counted",IF(OR(G488="",H488=""),"Partially Counted",IF(J488=0,"Match",IF(J488&gt;0,"Overage","Shortage")))))</f>
        <v/>
      </c>
      <c r="L488" s="16" t="str">
        <f aca="false">IF($B488="","",IF(AND(L488&lt;&gt;"",L488&lt;&gt;0),L488,$B$4))</f>
        <v/>
      </c>
      <c r="M488" s="13"/>
      <c r="N488" s="13"/>
      <c r="O488" s="13"/>
    </row>
    <row r="489" customFormat="false" ht="15" hidden="false" customHeight="false" outlineLevel="0" collapsed="false">
      <c r="A489" s="11" t="str">
        <f aca="true">IF($B489="","",IF(AND(A489&lt;&gt;"",A489&lt;&gt;0),A489,TODAY()))</f>
        <v/>
      </c>
      <c r="B489" s="12"/>
      <c r="C489" s="13"/>
      <c r="D489" s="13"/>
      <c r="E489" s="13"/>
      <c r="F489" s="14"/>
      <c r="G489" s="14"/>
      <c r="H489" s="14"/>
      <c r="I489" s="15" t="str">
        <f aca="false">IF($B489="","",IF(AND(G489="",H489=""),"",G489+H489))</f>
        <v/>
      </c>
      <c r="J489" s="15" t="str">
        <f aca="false">IF(OR($B489="",I489=""),"",I489-F489)</f>
        <v/>
      </c>
      <c r="K489" s="16" t="str">
        <f aca="false">IF($B489="","",IF(AND(G489="",H489=""),"Not Counted",IF(OR(G489="",H489=""),"Partially Counted",IF(J489=0,"Match",IF(J489&gt;0,"Overage","Shortage")))))</f>
        <v/>
      </c>
      <c r="L489" s="16" t="str">
        <f aca="false">IF($B489="","",IF(AND(L489&lt;&gt;"",L489&lt;&gt;0),L489,$B$4))</f>
        <v/>
      </c>
      <c r="M489" s="13"/>
      <c r="N489" s="13"/>
      <c r="O489" s="13"/>
    </row>
    <row r="490" customFormat="false" ht="15" hidden="false" customHeight="false" outlineLevel="0" collapsed="false">
      <c r="A490" s="11" t="str">
        <f aca="true">IF($B490="","",IF(AND(A490&lt;&gt;"",A490&lt;&gt;0),A490,TODAY()))</f>
        <v/>
      </c>
      <c r="B490" s="12"/>
      <c r="C490" s="13"/>
      <c r="D490" s="13"/>
      <c r="E490" s="13"/>
      <c r="F490" s="14"/>
      <c r="G490" s="14"/>
      <c r="H490" s="14"/>
      <c r="I490" s="15" t="str">
        <f aca="false">IF($B490="","",IF(AND(G490="",H490=""),"",G490+H490))</f>
        <v/>
      </c>
      <c r="J490" s="15" t="str">
        <f aca="false">IF(OR($B490="",I490=""),"",I490-F490)</f>
        <v/>
      </c>
      <c r="K490" s="16" t="str">
        <f aca="false">IF($B490="","",IF(AND(G490="",H490=""),"Not Counted",IF(OR(G490="",H490=""),"Partially Counted",IF(J490=0,"Match",IF(J490&gt;0,"Overage","Shortage")))))</f>
        <v/>
      </c>
      <c r="L490" s="16" t="str">
        <f aca="false">IF($B490="","",IF(AND(L490&lt;&gt;"",L490&lt;&gt;0),L490,$B$4))</f>
        <v/>
      </c>
      <c r="M490" s="13"/>
      <c r="N490" s="13"/>
      <c r="O490" s="13"/>
    </row>
    <row r="491" customFormat="false" ht="15" hidden="false" customHeight="false" outlineLevel="0" collapsed="false">
      <c r="A491" s="11" t="str">
        <f aca="true">IF($B491="","",IF(AND(A491&lt;&gt;"",A491&lt;&gt;0),A491,TODAY()))</f>
        <v/>
      </c>
      <c r="B491" s="12"/>
      <c r="C491" s="13"/>
      <c r="D491" s="13"/>
      <c r="E491" s="13"/>
      <c r="F491" s="14"/>
      <c r="G491" s="14"/>
      <c r="H491" s="14"/>
      <c r="I491" s="15" t="str">
        <f aca="false">IF($B491="","",IF(AND(G491="",H491=""),"",G491+H491))</f>
        <v/>
      </c>
      <c r="J491" s="15" t="str">
        <f aca="false">IF(OR($B491="",I491=""),"",I491-F491)</f>
        <v/>
      </c>
      <c r="K491" s="16" t="str">
        <f aca="false">IF($B491="","",IF(AND(G491="",H491=""),"Not Counted",IF(OR(G491="",H491=""),"Partially Counted",IF(J491=0,"Match",IF(J491&gt;0,"Overage","Shortage")))))</f>
        <v/>
      </c>
      <c r="L491" s="16" t="str">
        <f aca="false">IF($B491="","",IF(AND(L491&lt;&gt;"",L491&lt;&gt;0),L491,$B$4))</f>
        <v/>
      </c>
      <c r="M491" s="13"/>
      <c r="N491" s="13"/>
      <c r="O491" s="13"/>
    </row>
    <row r="492" customFormat="false" ht="15" hidden="false" customHeight="false" outlineLevel="0" collapsed="false">
      <c r="A492" s="11" t="str">
        <f aca="true">IF($B492="","",IF(AND(A492&lt;&gt;"",A492&lt;&gt;0),A492,TODAY()))</f>
        <v/>
      </c>
      <c r="B492" s="12"/>
      <c r="C492" s="13"/>
      <c r="D492" s="13"/>
      <c r="E492" s="13"/>
      <c r="F492" s="14"/>
      <c r="G492" s="14"/>
      <c r="H492" s="14"/>
      <c r="I492" s="15" t="str">
        <f aca="false">IF($B492="","",IF(AND(G492="",H492=""),"",G492+H492))</f>
        <v/>
      </c>
      <c r="J492" s="15" t="str">
        <f aca="false">IF(OR($B492="",I492=""),"",I492-F492)</f>
        <v/>
      </c>
      <c r="K492" s="16" t="str">
        <f aca="false">IF($B492="","",IF(AND(G492="",H492=""),"Not Counted",IF(OR(G492="",H492=""),"Partially Counted",IF(J492=0,"Match",IF(J492&gt;0,"Overage","Shortage")))))</f>
        <v/>
      </c>
      <c r="L492" s="16" t="str">
        <f aca="false">IF($B492="","",IF(AND(L492&lt;&gt;"",L492&lt;&gt;0),L492,$B$4))</f>
        <v/>
      </c>
      <c r="M492" s="13"/>
      <c r="N492" s="13"/>
      <c r="O492" s="13"/>
    </row>
    <row r="493" customFormat="false" ht="15" hidden="false" customHeight="false" outlineLevel="0" collapsed="false">
      <c r="A493" s="11" t="str">
        <f aca="true">IF($B493="","",IF(AND(A493&lt;&gt;"",A493&lt;&gt;0),A493,TODAY()))</f>
        <v/>
      </c>
      <c r="B493" s="12"/>
      <c r="C493" s="13"/>
      <c r="D493" s="13"/>
      <c r="E493" s="13"/>
      <c r="F493" s="14"/>
      <c r="G493" s="14"/>
      <c r="H493" s="14"/>
      <c r="I493" s="15" t="str">
        <f aca="false">IF($B493="","",IF(AND(G493="",H493=""),"",G493+H493))</f>
        <v/>
      </c>
      <c r="J493" s="15" t="str">
        <f aca="false">IF(OR($B493="",I493=""),"",I493-F493)</f>
        <v/>
      </c>
      <c r="K493" s="16" t="str">
        <f aca="false">IF($B493="","",IF(AND(G493="",H493=""),"Not Counted",IF(OR(G493="",H493=""),"Partially Counted",IF(J493=0,"Match",IF(J493&gt;0,"Overage","Shortage")))))</f>
        <v/>
      </c>
      <c r="L493" s="16" t="str">
        <f aca="false">IF($B493="","",IF(AND(L493&lt;&gt;"",L493&lt;&gt;0),L493,$B$4))</f>
        <v/>
      </c>
      <c r="M493" s="13"/>
      <c r="N493" s="13"/>
      <c r="O493" s="13"/>
    </row>
    <row r="494" customFormat="false" ht="15" hidden="false" customHeight="false" outlineLevel="0" collapsed="false">
      <c r="A494" s="11" t="str">
        <f aca="true">IF($B494="","",IF(AND(A494&lt;&gt;"",A494&lt;&gt;0),A494,TODAY()))</f>
        <v/>
      </c>
      <c r="B494" s="12"/>
      <c r="C494" s="13"/>
      <c r="D494" s="13"/>
      <c r="E494" s="13"/>
      <c r="F494" s="14"/>
      <c r="G494" s="14"/>
      <c r="H494" s="14"/>
      <c r="I494" s="15" t="str">
        <f aca="false">IF($B494="","",IF(AND(G494="",H494=""),"",G494+H494))</f>
        <v/>
      </c>
      <c r="J494" s="15" t="str">
        <f aca="false">IF(OR($B494="",I494=""),"",I494-F494)</f>
        <v/>
      </c>
      <c r="K494" s="16" t="str">
        <f aca="false">IF($B494="","",IF(AND(G494="",H494=""),"Not Counted",IF(OR(G494="",H494=""),"Partially Counted",IF(J494=0,"Match",IF(J494&gt;0,"Overage","Shortage")))))</f>
        <v/>
      </c>
      <c r="L494" s="16" t="str">
        <f aca="false">IF($B494="","",IF(AND(L494&lt;&gt;"",L494&lt;&gt;0),L494,$B$4))</f>
        <v/>
      </c>
      <c r="M494" s="13"/>
      <c r="N494" s="13"/>
      <c r="O494" s="13"/>
    </row>
    <row r="495" customFormat="false" ht="15" hidden="false" customHeight="false" outlineLevel="0" collapsed="false">
      <c r="A495" s="11" t="str">
        <f aca="true">IF($B495="","",IF(AND(A495&lt;&gt;"",A495&lt;&gt;0),A495,TODAY()))</f>
        <v/>
      </c>
      <c r="B495" s="12"/>
      <c r="C495" s="13"/>
      <c r="D495" s="13"/>
      <c r="E495" s="13"/>
      <c r="F495" s="14"/>
      <c r="G495" s="14"/>
      <c r="H495" s="14"/>
      <c r="I495" s="15" t="str">
        <f aca="false">IF($B495="","",IF(AND(G495="",H495=""),"",G495+H495))</f>
        <v/>
      </c>
      <c r="J495" s="15" t="str">
        <f aca="false">IF(OR($B495="",I495=""),"",I495-F495)</f>
        <v/>
      </c>
      <c r="K495" s="16" t="str">
        <f aca="false">IF($B495="","",IF(AND(G495="",H495=""),"Not Counted",IF(OR(G495="",H495=""),"Partially Counted",IF(J495=0,"Match",IF(J495&gt;0,"Overage","Shortage")))))</f>
        <v/>
      </c>
      <c r="L495" s="16" t="str">
        <f aca="false">IF($B495="","",IF(AND(L495&lt;&gt;"",L495&lt;&gt;0),L495,$B$4))</f>
        <v/>
      </c>
      <c r="M495" s="13"/>
      <c r="N495" s="13"/>
      <c r="O495" s="13"/>
    </row>
    <row r="496" customFormat="false" ht="15" hidden="false" customHeight="false" outlineLevel="0" collapsed="false">
      <c r="A496" s="11" t="str">
        <f aca="true">IF($B496="","",IF(AND(A496&lt;&gt;"",A496&lt;&gt;0),A496,TODAY()))</f>
        <v/>
      </c>
      <c r="B496" s="12"/>
      <c r="C496" s="13"/>
      <c r="D496" s="13"/>
      <c r="E496" s="13"/>
      <c r="F496" s="14"/>
      <c r="G496" s="14"/>
      <c r="H496" s="14"/>
      <c r="I496" s="15" t="str">
        <f aca="false">IF($B496="","",IF(AND(G496="",H496=""),"",G496+H496))</f>
        <v/>
      </c>
      <c r="J496" s="15" t="str">
        <f aca="false">IF(OR($B496="",I496=""),"",I496-F496)</f>
        <v/>
      </c>
      <c r="K496" s="16" t="str">
        <f aca="false">IF($B496="","",IF(AND(G496="",H496=""),"Not Counted",IF(OR(G496="",H496=""),"Partially Counted",IF(J496=0,"Match",IF(J496&gt;0,"Overage","Shortage")))))</f>
        <v/>
      </c>
      <c r="L496" s="16" t="str">
        <f aca="false">IF($B496="","",IF(AND(L496&lt;&gt;"",L496&lt;&gt;0),L496,$B$4))</f>
        <v/>
      </c>
      <c r="M496" s="13"/>
      <c r="N496" s="13"/>
      <c r="O496" s="13"/>
    </row>
    <row r="497" customFormat="false" ht="15" hidden="false" customHeight="false" outlineLevel="0" collapsed="false">
      <c r="A497" s="11" t="str">
        <f aca="true">IF($B497="","",IF(AND(A497&lt;&gt;"",A497&lt;&gt;0),A497,TODAY()))</f>
        <v/>
      </c>
      <c r="B497" s="12"/>
      <c r="C497" s="13"/>
      <c r="D497" s="13"/>
      <c r="E497" s="13"/>
      <c r="F497" s="14"/>
      <c r="G497" s="14"/>
      <c r="H497" s="14"/>
      <c r="I497" s="15" t="str">
        <f aca="false">IF($B497="","",IF(AND(G497="",H497=""),"",G497+H497))</f>
        <v/>
      </c>
      <c r="J497" s="15" t="str">
        <f aca="false">IF(OR($B497="",I497=""),"",I497-F497)</f>
        <v/>
      </c>
      <c r="K497" s="16" t="str">
        <f aca="false">IF($B497="","",IF(AND(G497="",H497=""),"Not Counted",IF(OR(G497="",H497=""),"Partially Counted",IF(J497=0,"Match",IF(J497&gt;0,"Overage","Shortage")))))</f>
        <v/>
      </c>
      <c r="L497" s="16" t="str">
        <f aca="false">IF($B497="","",IF(AND(L497&lt;&gt;"",L497&lt;&gt;0),L497,$B$4))</f>
        <v/>
      </c>
      <c r="M497" s="13"/>
      <c r="N497" s="13"/>
      <c r="O497" s="13"/>
    </row>
    <row r="498" customFormat="false" ht="15" hidden="false" customHeight="false" outlineLevel="0" collapsed="false">
      <c r="A498" s="11" t="str">
        <f aca="true">IF($B498="","",IF(AND(A498&lt;&gt;"",A498&lt;&gt;0),A498,TODAY()))</f>
        <v/>
      </c>
      <c r="B498" s="12"/>
      <c r="C498" s="13"/>
      <c r="D498" s="13"/>
      <c r="E498" s="13"/>
      <c r="F498" s="14"/>
      <c r="G498" s="14"/>
      <c r="H498" s="14"/>
      <c r="I498" s="15" t="str">
        <f aca="false">IF($B498="","",IF(AND(G498="",H498=""),"",G498+H498))</f>
        <v/>
      </c>
      <c r="J498" s="15" t="str">
        <f aca="false">IF(OR($B498="",I498=""),"",I498-F498)</f>
        <v/>
      </c>
      <c r="K498" s="16" t="str">
        <f aca="false">IF($B498="","",IF(AND(G498="",H498=""),"Not Counted",IF(OR(G498="",H498=""),"Partially Counted",IF(J498=0,"Match",IF(J498&gt;0,"Overage","Shortage")))))</f>
        <v/>
      </c>
      <c r="L498" s="16" t="str">
        <f aca="false">IF($B498="","",IF(AND(L498&lt;&gt;"",L498&lt;&gt;0),L498,$B$4))</f>
        <v/>
      </c>
      <c r="M498" s="13"/>
      <c r="N498" s="13"/>
      <c r="O498" s="13"/>
    </row>
    <row r="499" customFormat="false" ht="15" hidden="false" customHeight="false" outlineLevel="0" collapsed="false">
      <c r="A499" s="11" t="str">
        <f aca="true">IF($B499="","",IF(AND(A499&lt;&gt;"",A499&lt;&gt;0),A499,TODAY()))</f>
        <v/>
      </c>
      <c r="B499" s="12"/>
      <c r="C499" s="13"/>
      <c r="D499" s="13"/>
      <c r="E499" s="13"/>
      <c r="F499" s="14"/>
      <c r="G499" s="14"/>
      <c r="H499" s="14"/>
      <c r="I499" s="15" t="str">
        <f aca="false">IF($B499="","",IF(AND(G499="",H499=""),"",G499+H499))</f>
        <v/>
      </c>
      <c r="J499" s="15" t="str">
        <f aca="false">IF(OR($B499="",I499=""),"",I499-F499)</f>
        <v/>
      </c>
      <c r="K499" s="16" t="str">
        <f aca="false">IF($B499="","",IF(AND(G499="",H499=""),"Not Counted",IF(OR(G499="",H499=""),"Partially Counted",IF(J499=0,"Match",IF(J499&gt;0,"Overage","Shortage")))))</f>
        <v/>
      </c>
      <c r="L499" s="16" t="str">
        <f aca="false">IF($B499="","",IF(AND(L499&lt;&gt;"",L499&lt;&gt;0),L499,$B$4))</f>
        <v/>
      </c>
      <c r="M499" s="13"/>
      <c r="N499" s="13"/>
      <c r="O499" s="13"/>
    </row>
    <row r="500" customFormat="false" ht="15" hidden="false" customHeight="false" outlineLevel="0" collapsed="false">
      <c r="A500" s="11" t="str">
        <f aca="true">IF($B500="","",IF(AND(A500&lt;&gt;"",A500&lt;&gt;0),A500,TODAY()))</f>
        <v/>
      </c>
      <c r="B500" s="12"/>
      <c r="C500" s="13"/>
      <c r="D500" s="13"/>
      <c r="E500" s="13"/>
      <c r="F500" s="14"/>
      <c r="G500" s="14"/>
      <c r="H500" s="14"/>
      <c r="I500" s="15" t="str">
        <f aca="false">IF($B500="","",IF(AND(G500="",H500=""),"",G500+H500))</f>
        <v/>
      </c>
      <c r="J500" s="15" t="str">
        <f aca="false">IF(OR($B500="",I500=""),"",I500-F500)</f>
        <v/>
      </c>
      <c r="K500" s="16" t="str">
        <f aca="false">IF($B500="","",IF(AND(G500="",H500=""),"Not Counted",IF(OR(G500="",H500=""),"Partially Counted",IF(J500=0,"Match",IF(J500&gt;0,"Overage","Shortage")))))</f>
        <v/>
      </c>
      <c r="L500" s="16" t="str">
        <f aca="false">IF($B500="","",IF(AND(L500&lt;&gt;"",L500&lt;&gt;0),L500,$B$4))</f>
        <v/>
      </c>
      <c r="M500" s="13"/>
      <c r="N500" s="13"/>
      <c r="O500" s="13"/>
    </row>
    <row r="501" customFormat="false" ht="15" hidden="false" customHeight="false" outlineLevel="0" collapsed="false">
      <c r="A501" s="11" t="str">
        <f aca="true">IF($B501="","",IF(AND(A501&lt;&gt;"",A501&lt;&gt;0),A501,TODAY()))</f>
        <v/>
      </c>
      <c r="B501" s="12"/>
      <c r="C501" s="13"/>
      <c r="D501" s="13"/>
      <c r="E501" s="13"/>
      <c r="F501" s="14"/>
      <c r="G501" s="14"/>
      <c r="H501" s="14"/>
      <c r="I501" s="15" t="str">
        <f aca="false">IF($B501="","",IF(AND(G501="",H501=""),"",G501+H501))</f>
        <v/>
      </c>
      <c r="J501" s="15" t="str">
        <f aca="false">IF(OR($B501="",I501=""),"",I501-F501)</f>
        <v/>
      </c>
      <c r="K501" s="16" t="str">
        <f aca="false">IF($B501="","",IF(AND(G501="",H501=""),"Not Counted",IF(OR(G501="",H501=""),"Partially Counted",IF(J501=0,"Match",IF(J501&gt;0,"Overage","Shortage")))))</f>
        <v/>
      </c>
      <c r="L501" s="16" t="str">
        <f aca="false">IF($B501="","",IF(AND(L501&lt;&gt;"",L501&lt;&gt;0),L501,$B$4))</f>
        <v/>
      </c>
      <c r="M501" s="13"/>
      <c r="N501" s="13"/>
      <c r="O501" s="13"/>
    </row>
    <row r="502" customFormat="false" ht="15" hidden="false" customHeight="false" outlineLevel="0" collapsed="false">
      <c r="A502" s="11" t="str">
        <f aca="true">IF($B502="","",IF(AND(A502&lt;&gt;"",A502&lt;&gt;0),A502,TODAY()))</f>
        <v/>
      </c>
      <c r="B502" s="12"/>
      <c r="C502" s="13"/>
      <c r="D502" s="13"/>
      <c r="E502" s="13"/>
      <c r="F502" s="14"/>
      <c r="G502" s="14"/>
      <c r="H502" s="14"/>
      <c r="I502" s="15" t="str">
        <f aca="false">IF($B502="","",IF(AND(G502="",H502=""),"",G502+H502))</f>
        <v/>
      </c>
      <c r="J502" s="15" t="str">
        <f aca="false">IF(OR($B502="",I502=""),"",I502-F502)</f>
        <v/>
      </c>
      <c r="K502" s="16" t="str">
        <f aca="false">IF($B502="","",IF(AND(G502="",H502=""),"Not Counted",IF(OR(G502="",H502=""),"Partially Counted",IF(J502=0,"Match",IF(J502&gt;0,"Overage","Shortage")))))</f>
        <v/>
      </c>
      <c r="L502" s="16" t="str">
        <f aca="false">IF($B502="","",IF(AND(L502&lt;&gt;"",L502&lt;&gt;0),L502,$B$4))</f>
        <v/>
      </c>
      <c r="M502" s="13"/>
      <c r="N502" s="13"/>
      <c r="O502" s="13"/>
    </row>
    <row r="503" customFormat="false" ht="15" hidden="false" customHeight="false" outlineLevel="0" collapsed="false">
      <c r="A503" s="11" t="str">
        <f aca="true">IF($B503="","",IF(AND(A503&lt;&gt;"",A503&lt;&gt;0),A503,TODAY()))</f>
        <v/>
      </c>
      <c r="B503" s="12"/>
      <c r="C503" s="13"/>
      <c r="D503" s="13"/>
      <c r="E503" s="13"/>
      <c r="F503" s="14"/>
      <c r="G503" s="14"/>
      <c r="H503" s="14"/>
      <c r="I503" s="15" t="str">
        <f aca="false">IF($B503="","",IF(AND(G503="",H503=""),"",G503+H503))</f>
        <v/>
      </c>
      <c r="J503" s="15" t="str">
        <f aca="false">IF(OR($B503="",I503=""),"",I503-F503)</f>
        <v/>
      </c>
      <c r="K503" s="16" t="str">
        <f aca="false">IF($B503="","",IF(AND(G503="",H503=""),"Not Counted",IF(OR(G503="",H503=""),"Partially Counted",IF(J503=0,"Match",IF(J503&gt;0,"Overage","Shortage")))))</f>
        <v/>
      </c>
      <c r="L503" s="16" t="str">
        <f aca="false">IF($B503="","",IF(AND(L503&lt;&gt;"",L503&lt;&gt;0),L503,$B$4))</f>
        <v/>
      </c>
      <c r="M503" s="13"/>
      <c r="N503" s="13"/>
      <c r="O503" s="13"/>
    </row>
    <row r="504" customFormat="false" ht="15" hidden="false" customHeight="false" outlineLevel="0" collapsed="false">
      <c r="A504" s="11" t="str">
        <f aca="true">IF($B504="","",IF(AND(A504&lt;&gt;"",A504&lt;&gt;0),A504,TODAY()))</f>
        <v/>
      </c>
      <c r="B504" s="12"/>
      <c r="C504" s="13"/>
      <c r="D504" s="13"/>
      <c r="E504" s="13"/>
      <c r="F504" s="14"/>
      <c r="G504" s="14"/>
      <c r="H504" s="14"/>
      <c r="I504" s="15" t="str">
        <f aca="false">IF($B504="","",IF(AND(G504="",H504=""),"",G504+H504))</f>
        <v/>
      </c>
      <c r="J504" s="15" t="str">
        <f aca="false">IF(OR($B504="",I504=""),"",I504-F504)</f>
        <v/>
      </c>
      <c r="K504" s="16" t="str">
        <f aca="false">IF($B504="","",IF(AND(G504="",H504=""),"Not Counted",IF(OR(G504="",H504=""),"Partially Counted",IF(J504=0,"Match",IF(J504&gt;0,"Overage","Shortage")))))</f>
        <v/>
      </c>
      <c r="L504" s="16" t="str">
        <f aca="false">IF($B504="","",IF(AND(L504&lt;&gt;"",L504&lt;&gt;0),L504,$B$4))</f>
        <v/>
      </c>
      <c r="M504" s="13"/>
      <c r="N504" s="13"/>
      <c r="O504" s="13"/>
    </row>
    <row r="505" customFormat="false" ht="15" hidden="false" customHeight="false" outlineLevel="0" collapsed="false">
      <c r="A505" s="11" t="str">
        <f aca="true">IF($B505="","",IF(AND(A505&lt;&gt;"",A505&lt;&gt;0),A505,TODAY()))</f>
        <v/>
      </c>
      <c r="B505" s="12"/>
      <c r="C505" s="13"/>
      <c r="D505" s="13"/>
      <c r="E505" s="13"/>
      <c r="F505" s="14"/>
      <c r="G505" s="14"/>
      <c r="H505" s="14"/>
      <c r="I505" s="15" t="str">
        <f aca="false">IF($B505="","",IF(AND(G505="",H505=""),"",G505+H505))</f>
        <v/>
      </c>
      <c r="J505" s="15" t="str">
        <f aca="false">IF(OR($B505="",I505=""),"",I505-F505)</f>
        <v/>
      </c>
      <c r="K505" s="16" t="str">
        <f aca="false">IF($B505="","",IF(AND(G505="",H505=""),"Not Counted",IF(OR(G505="",H505=""),"Partially Counted",IF(J505=0,"Match",IF(J505&gt;0,"Overage","Shortage")))))</f>
        <v/>
      </c>
      <c r="L505" s="16" t="str">
        <f aca="false">IF($B505="","",IF(AND(L505&lt;&gt;"",L505&lt;&gt;0),L505,$B$4))</f>
        <v/>
      </c>
      <c r="M505" s="13"/>
      <c r="N505" s="13"/>
      <c r="O505" s="13"/>
    </row>
    <row r="506" customFormat="false" ht="15" hidden="false" customHeight="false" outlineLevel="0" collapsed="false">
      <c r="A506" s="11" t="str">
        <f aca="true">IF($B506="","",IF(AND(A506&lt;&gt;"",A506&lt;&gt;0),A506,TODAY()))</f>
        <v/>
      </c>
      <c r="B506" s="12"/>
      <c r="C506" s="13"/>
      <c r="D506" s="13"/>
      <c r="E506" s="13"/>
      <c r="F506" s="14"/>
      <c r="G506" s="14"/>
      <c r="H506" s="14"/>
      <c r="I506" s="15" t="str">
        <f aca="false">IF($B506="","",IF(AND(G506="",H506=""),"",G506+H506))</f>
        <v/>
      </c>
      <c r="J506" s="15" t="str">
        <f aca="false">IF(OR($B506="",I506=""),"",I506-F506)</f>
        <v/>
      </c>
      <c r="K506" s="16" t="str">
        <f aca="false">IF($B506="","",IF(AND(G506="",H506=""),"Not Counted",IF(OR(G506="",H506=""),"Partially Counted",IF(J506=0,"Match",IF(J506&gt;0,"Overage","Shortage")))))</f>
        <v/>
      </c>
      <c r="L506" s="16" t="str">
        <f aca="false">IF($B506="","",IF(AND(L506&lt;&gt;"",L506&lt;&gt;0),L506,$B$4))</f>
        <v/>
      </c>
      <c r="M506" s="13"/>
      <c r="N506" s="13"/>
      <c r="O506" s="13"/>
    </row>
  </sheetData>
  <mergeCells count="4">
    <mergeCell ref="A1:O1"/>
    <mergeCell ref="Q1:R1"/>
    <mergeCell ref="A2:O2"/>
    <mergeCell ref="Q2:R2"/>
  </mergeCells>
  <conditionalFormatting sqref="A7:O506">
    <cfRule type="expression" priority="2" aboveAverage="0" equalAverage="0" bottom="0" percent="0" rank="0" text="" dxfId="8">
      <formula>AND($A7&lt;&gt;"",(TODAY()-$A7)&lt;=14)</formula>
    </cfRule>
    <cfRule type="expression" priority="3" aboveAverage="0" equalAverage="0" bottom="0" percent="0" rank="0" text="" dxfId="9">
      <formula>AND($A7&lt;&gt;"",(TODAY()-$A7)&gt;=15,(TODAY()-$A7)&lt;=28)</formula>
    </cfRule>
    <cfRule type="expression" priority="4" aboveAverage="0" equalAverage="0" bottom="0" percent="0" rank="0" text="" dxfId="10">
      <formula>AND($A7&lt;&gt;"",(TODAY()-$A7)&gt;=29)</formula>
    </cfRule>
  </conditionalFormatting>
  <dataValidations count="4">
    <dataValidation allowBlank="true" errorStyle="stop" operator="between" showDropDown="false" showErrorMessage="false" showInputMessage="false" sqref="B4" type="list">
      <formula1>Lists!$A$2:$A$31</formula1>
      <formula2>0</formula2>
    </dataValidation>
    <dataValidation allowBlank="true" errorStyle="stop" operator="between" showDropDown="false" showErrorMessage="false" showInputMessage="false" sqref="L7:L506" type="list">
      <formula1>Lists!$A$2:$A$31</formula1>
      <formula2>0</formula2>
    </dataValidation>
    <dataValidation allowBlank="true" errorStyle="stop" operator="between" showDropDown="false" showErrorMessage="false" showInputMessage="false" sqref="M7:M506" type="list">
      <formula1>Lists!$C$2:$C$31</formula1>
      <formula2>0</formula2>
    </dataValidation>
    <dataValidation allowBlank="true" errorStyle="stop" operator="between" showDropDown="false" showErrorMessage="false" showInputMessage="false" sqref="N7:N506" type="list">
      <formula1>Lists!$C$2:$C$31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20"/>
  </cols>
  <sheetData>
    <row r="1" customFormat="false" ht="15" hidden="false" customHeight="false" outlineLevel="0" collapsed="false">
      <c r="A1" s="10" t="s">
        <v>18</v>
      </c>
      <c r="B1" s="10" t="s">
        <v>40</v>
      </c>
      <c r="C1" s="10" t="s">
        <v>40</v>
      </c>
    </row>
    <row r="2" customFormat="false" ht="15" hidden="false" customHeight="false" outlineLevel="0" collapsed="false">
      <c r="A2" s="17" t="s">
        <v>5</v>
      </c>
      <c r="B2" s="17" t="s">
        <v>32</v>
      </c>
      <c r="C2" s="17" t="s">
        <v>32</v>
      </c>
    </row>
    <row r="3" customFormat="false" ht="15" hidden="false" customHeight="false" outlineLevel="0" collapsed="false">
      <c r="A3" s="17" t="s">
        <v>41</v>
      </c>
      <c r="B3" s="17" t="s">
        <v>26</v>
      </c>
      <c r="C3" s="17" t="s">
        <v>26</v>
      </c>
    </row>
    <row r="4" customFormat="false" ht="15" hidden="false" customHeight="false" outlineLevel="0" collapsed="false">
      <c r="A4" s="17" t="s">
        <v>42</v>
      </c>
      <c r="B4" s="17" t="s">
        <v>38</v>
      </c>
      <c r="C4" s="17" t="s">
        <v>38</v>
      </c>
    </row>
    <row r="5" customFormat="false" ht="15" hidden="false" customHeight="false" outlineLevel="0" collapsed="false">
      <c r="A5" s="17"/>
      <c r="B5" s="17"/>
      <c r="C5" s="17"/>
    </row>
    <row r="6" customFormat="false" ht="15" hidden="false" customHeight="false" outlineLevel="0" collapsed="false">
      <c r="A6" s="17"/>
      <c r="B6" s="17"/>
      <c r="C6" s="17"/>
    </row>
    <row r="7" customFormat="false" ht="15" hidden="false" customHeight="false" outlineLevel="0" collapsed="false">
      <c r="A7" s="17"/>
      <c r="B7" s="17"/>
      <c r="C7" s="17"/>
    </row>
    <row r="8" customFormat="false" ht="15" hidden="false" customHeight="false" outlineLevel="0" collapsed="false">
      <c r="A8" s="17"/>
      <c r="B8" s="17"/>
      <c r="C8" s="17"/>
    </row>
    <row r="9" customFormat="false" ht="15" hidden="false" customHeight="false" outlineLevel="0" collapsed="false">
      <c r="A9" s="17"/>
      <c r="B9" s="17"/>
      <c r="C9" s="17"/>
    </row>
    <row r="10" customFormat="false" ht="15" hidden="false" customHeight="false" outlineLevel="0" collapsed="false">
      <c r="A10" s="17"/>
      <c r="B10" s="17"/>
      <c r="C10" s="17"/>
    </row>
    <row r="11" customFormat="false" ht="15" hidden="false" customHeight="false" outlineLevel="0" collapsed="false">
      <c r="A11" s="17"/>
      <c r="B11" s="17"/>
      <c r="C11" s="17"/>
    </row>
    <row r="12" customFormat="false" ht="15" hidden="false" customHeight="false" outlineLevel="0" collapsed="false">
      <c r="A12" s="17"/>
      <c r="B12" s="17"/>
      <c r="C12" s="17"/>
    </row>
    <row r="13" customFormat="false" ht="15" hidden="false" customHeight="false" outlineLevel="0" collapsed="false">
      <c r="A13" s="17"/>
      <c r="B13" s="17"/>
      <c r="C13" s="17"/>
    </row>
    <row r="14" customFormat="false" ht="15" hidden="false" customHeight="false" outlineLevel="0" collapsed="false">
      <c r="A14" s="17"/>
      <c r="B14" s="17"/>
      <c r="C14" s="17"/>
    </row>
    <row r="15" customFormat="false" ht="15" hidden="false" customHeight="false" outlineLevel="0" collapsed="false">
      <c r="A15" s="17"/>
      <c r="B15" s="17"/>
      <c r="C15" s="17"/>
    </row>
    <row r="16" customFormat="false" ht="15" hidden="false" customHeight="false" outlineLevel="0" collapsed="false">
      <c r="A16" s="17"/>
      <c r="B16" s="17"/>
      <c r="C16" s="17"/>
    </row>
    <row r="17" customFormat="false" ht="15" hidden="false" customHeight="false" outlineLevel="0" collapsed="false">
      <c r="A17" s="17"/>
      <c r="B17" s="17"/>
      <c r="C17" s="17"/>
    </row>
    <row r="18" customFormat="false" ht="15" hidden="false" customHeight="false" outlineLevel="0" collapsed="false">
      <c r="A18" s="17"/>
      <c r="B18" s="17"/>
      <c r="C18" s="17"/>
    </row>
    <row r="19" customFormat="false" ht="15" hidden="false" customHeight="false" outlineLevel="0" collapsed="false">
      <c r="A19" s="17"/>
      <c r="B19" s="17"/>
      <c r="C19" s="17"/>
    </row>
    <row r="20" customFormat="false" ht="15" hidden="false" customHeight="false" outlineLevel="0" collapsed="false">
      <c r="A20" s="17"/>
      <c r="B20" s="17"/>
      <c r="C20" s="17"/>
    </row>
    <row r="21" customFormat="false" ht="15" hidden="false" customHeight="false" outlineLevel="0" collapsed="false">
      <c r="A21" s="17"/>
      <c r="B21" s="17"/>
      <c r="C21" s="17"/>
    </row>
    <row r="22" customFormat="false" ht="15" hidden="false" customHeight="false" outlineLevel="0" collapsed="false">
      <c r="A22" s="17"/>
      <c r="B22" s="17"/>
      <c r="C22" s="17"/>
    </row>
    <row r="23" customFormat="false" ht="15" hidden="false" customHeight="false" outlineLevel="0" collapsed="false">
      <c r="A23" s="17"/>
      <c r="B23" s="17"/>
      <c r="C23" s="17"/>
    </row>
    <row r="24" customFormat="false" ht="15" hidden="false" customHeight="false" outlineLevel="0" collapsed="false">
      <c r="A24" s="17"/>
      <c r="B24" s="17"/>
      <c r="C24" s="17"/>
    </row>
    <row r="25" customFormat="false" ht="15" hidden="false" customHeight="false" outlineLevel="0" collapsed="false">
      <c r="A25" s="17"/>
      <c r="B25" s="17"/>
      <c r="C25" s="17"/>
    </row>
    <row r="26" customFormat="false" ht="15" hidden="false" customHeight="false" outlineLevel="0" collapsed="false">
      <c r="A26" s="17"/>
      <c r="B26" s="17"/>
      <c r="C26" s="17"/>
    </row>
    <row r="27" customFormat="false" ht="15" hidden="false" customHeight="false" outlineLevel="0" collapsed="false">
      <c r="A27" s="17"/>
      <c r="B27" s="17"/>
      <c r="C27" s="17"/>
    </row>
    <row r="28" customFormat="false" ht="15" hidden="false" customHeight="false" outlineLevel="0" collapsed="false">
      <c r="A28" s="17"/>
      <c r="B28" s="17"/>
      <c r="C28" s="17"/>
    </row>
    <row r="29" customFormat="false" ht="15" hidden="false" customHeight="false" outlineLevel="0" collapsed="false">
      <c r="A29" s="17"/>
      <c r="B29" s="17"/>
      <c r="C29" s="17"/>
    </row>
    <row r="30" customFormat="false" ht="15" hidden="false" customHeight="false" outlineLevel="0" collapsed="false">
      <c r="A30" s="17"/>
      <c r="B30" s="17"/>
      <c r="C30" s="17"/>
    </row>
    <row r="31" customFormat="false" ht="15" hidden="false" customHeight="false" outlineLevel="0" collapsed="false">
      <c r="A31" s="17"/>
      <c r="B31" s="17"/>
      <c r="C31" s="1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5"/>
  </cols>
  <sheetData>
    <row r="1" customFormat="false" ht="17.35" hidden="false" customHeight="false" outlineLevel="0" collapsed="false">
      <c r="A1" s="18" t="s">
        <v>43</v>
      </c>
    </row>
    <row r="2" customFormat="false" ht="15" hidden="false" customHeight="false" outlineLevel="0" collapsed="false">
      <c r="A2" s="16"/>
    </row>
    <row r="3" customFormat="false" ht="15" hidden="false" customHeight="false" outlineLevel="0" collapsed="false">
      <c r="A3" s="19" t="s">
        <v>44</v>
      </c>
    </row>
    <row r="4" customFormat="false" ht="15" hidden="false" customHeight="false" outlineLevel="0" collapsed="false">
      <c r="A4" s="16" t="s">
        <v>45</v>
      </c>
    </row>
    <row r="5" customFormat="false" ht="15" hidden="false" customHeight="false" outlineLevel="0" collapsed="false">
      <c r="A5" s="16" t="s">
        <v>46</v>
      </c>
    </row>
    <row r="6" customFormat="false" ht="15" hidden="false" customHeight="false" outlineLevel="0" collapsed="false">
      <c r="A6" s="16" t="s">
        <v>47</v>
      </c>
    </row>
    <row r="7" customFormat="false" ht="15" hidden="false" customHeight="false" outlineLevel="0" collapsed="false">
      <c r="A7" s="16" t="s">
        <v>48</v>
      </c>
    </row>
    <row r="8" customFormat="false" ht="15" hidden="false" customHeight="false" outlineLevel="0" collapsed="false">
      <c r="A8" s="16" t="s">
        <v>49</v>
      </c>
    </row>
    <row r="9" customFormat="false" ht="15" hidden="false" customHeight="false" outlineLevel="0" collapsed="false">
      <c r="A9" s="16" t="s">
        <v>50</v>
      </c>
    </row>
    <row r="10" customFormat="false" ht="15" hidden="false" customHeight="false" outlineLevel="0" collapsed="false">
      <c r="A10" s="16" t="s">
        <v>51</v>
      </c>
    </row>
    <row r="11" customFormat="false" ht="15" hidden="false" customHeight="false" outlineLevel="0" collapsed="false">
      <c r="A11" s="16" t="s">
        <v>52</v>
      </c>
    </row>
    <row r="12" customFormat="false" ht="15" hidden="false" customHeight="false" outlineLevel="0" collapsed="false">
      <c r="A12" s="16" t="s">
        <v>53</v>
      </c>
    </row>
    <row r="13" customFormat="false" ht="15" hidden="false" customHeight="false" outlineLevel="0" collapsed="false">
      <c r="A13" s="16" t="s">
        <v>54</v>
      </c>
    </row>
    <row r="14" customFormat="false" ht="15" hidden="false" customHeight="false" outlineLevel="0" collapsed="false">
      <c r="A14" s="16" t="s">
        <v>55</v>
      </c>
    </row>
    <row r="15" customFormat="false" ht="15" hidden="false" customHeight="false" outlineLevel="0" collapsed="false">
      <c r="A15" s="16" t="s">
        <v>56</v>
      </c>
    </row>
    <row r="16" customFormat="false" ht="15" hidden="false" customHeight="false" outlineLevel="0" collapsed="false">
      <c r="A16" s="16" t="s">
        <v>57</v>
      </c>
    </row>
    <row r="17" customFormat="false" ht="15" hidden="false" customHeight="false" outlineLevel="0" collapsed="false">
      <c r="A17" s="16" t="s">
        <v>58</v>
      </c>
    </row>
    <row r="18" customFormat="false" ht="15" hidden="false" customHeight="false" outlineLevel="0" collapsed="false">
      <c r="A18" s="16" t="s">
        <v>59</v>
      </c>
    </row>
    <row r="19" customFormat="false" ht="15" hidden="false" customHeight="false" outlineLevel="0" collapsed="false">
      <c r="A19" s="16" t="s">
        <v>60</v>
      </c>
    </row>
    <row r="20" customFormat="false" ht="15" hidden="false" customHeight="false" outlineLevel="0" collapsed="false">
      <c r="A20" s="16"/>
    </row>
    <row r="21" customFormat="false" ht="15" hidden="false" customHeight="false" outlineLevel="0" collapsed="false">
      <c r="A21" s="19" t="s">
        <v>61</v>
      </c>
    </row>
    <row r="22" customFormat="false" ht="15" hidden="false" customHeight="false" outlineLevel="0" collapsed="false">
      <c r="A22" s="16" t="s">
        <v>62</v>
      </c>
    </row>
    <row r="23" customFormat="false" ht="15" hidden="false" customHeight="false" outlineLevel="0" collapsed="false">
      <c r="A23" s="16" t="s">
        <v>63</v>
      </c>
    </row>
    <row r="24" customFormat="false" ht="15" hidden="false" customHeight="false" outlineLevel="0" collapsed="false">
      <c r="A24" s="16" t="s">
        <v>64</v>
      </c>
    </row>
    <row r="25" customFormat="false" ht="15" hidden="false" customHeight="false" outlineLevel="0" collapsed="false">
      <c r="A25" s="16"/>
    </row>
    <row r="26" customFormat="false" ht="15" hidden="false" customHeight="false" outlineLevel="0" collapsed="false">
      <c r="A26" s="19" t="s">
        <v>65</v>
      </c>
    </row>
    <row r="27" customFormat="false" ht="15" hidden="false" customHeight="false" outlineLevel="0" collapsed="false">
      <c r="A27" s="16" t="s">
        <v>66</v>
      </c>
    </row>
    <row r="28" customFormat="false" ht="15" hidden="false" customHeight="false" outlineLevel="0" collapsed="false">
      <c r="A28" s="16" t="s">
        <v>67</v>
      </c>
    </row>
    <row r="29" customFormat="false" ht="15" hidden="false" customHeight="false" outlineLevel="0" collapsed="false">
      <c r="A29" s="16" t="s">
        <v>68</v>
      </c>
    </row>
    <row r="30" customFormat="false" ht="15" hidden="false" customHeight="false" outlineLevel="0" collapsed="false">
      <c r="A30" s="16" t="s">
        <v>69</v>
      </c>
    </row>
    <row r="31" customFormat="false" ht="15" hidden="false" customHeight="false" outlineLevel="0" collapsed="false">
      <c r="A31" s="16"/>
    </row>
    <row r="32" customFormat="false" ht="15" hidden="false" customHeight="false" outlineLevel="0" collapsed="false">
      <c r="A32" s="16" t="s">
        <v>70</v>
      </c>
    </row>
    <row r="33" customFormat="false" ht="15" hidden="false" customHeight="false" outlineLevel="0" collapsed="false">
      <c r="A33" s="16" t="s">
        <v>71</v>
      </c>
    </row>
    <row r="34" customFormat="false" ht="15" hidden="false" customHeight="false" outlineLevel="0" collapsed="false">
      <c r="A34" s="16" t="s">
        <v>72</v>
      </c>
    </row>
    <row r="35" customFormat="false" ht="15" hidden="false" customHeight="false" outlineLevel="0" collapsed="false">
      <c r="A35" s="16" t="s">
        <v>73</v>
      </c>
    </row>
    <row r="36" customFormat="false" ht="15" hidden="false" customHeight="false" outlineLevel="0" collapsed="false">
      <c r="A36" s="16"/>
    </row>
    <row r="37" customFormat="false" ht="15" hidden="false" customHeight="false" outlineLevel="0" collapsed="false">
      <c r="A37" s="19" t="s">
        <v>74</v>
      </c>
    </row>
    <row r="38" customFormat="false" ht="15" hidden="false" customHeight="false" outlineLevel="0" collapsed="false">
      <c r="A38" s="16" t="s">
        <v>75</v>
      </c>
    </row>
    <row r="39" customFormat="false" ht="15" hidden="false" customHeight="false" outlineLevel="0" collapsed="false">
      <c r="A39" s="16" t="s">
        <v>76</v>
      </c>
    </row>
    <row r="40" customFormat="false" ht="15" hidden="false" customHeight="false" outlineLevel="0" collapsed="false">
      <c r="A40" s="16" t="s">
        <v>77</v>
      </c>
    </row>
    <row r="41" customFormat="false" ht="15" hidden="false" customHeight="false" outlineLevel="0" collapsed="false">
      <c r="A41" s="16"/>
    </row>
    <row r="42" customFormat="false" ht="15" hidden="false" customHeight="false" outlineLevel="0" collapsed="false">
      <c r="A42" s="19" t="s">
        <v>78</v>
      </c>
    </row>
    <row r="43" customFormat="false" ht="15" hidden="false" customHeight="false" outlineLevel="0" collapsed="false">
      <c r="A43" s="16" t="s">
        <v>79</v>
      </c>
    </row>
    <row r="44" customFormat="false" ht="15" hidden="false" customHeight="false" outlineLevel="0" collapsed="false">
      <c r="A44" s="16" t="s">
        <v>80</v>
      </c>
    </row>
    <row r="45" customFormat="false" ht="15" hidden="false" customHeight="false" outlineLevel="0" collapsed="false">
      <c r="A45" s="16" t="s">
        <v>81</v>
      </c>
    </row>
    <row r="46" customFormat="false" ht="15" hidden="false" customHeight="false" outlineLevel="0" collapsed="false">
      <c r="A46" s="16" t="s">
        <v>82</v>
      </c>
    </row>
    <row r="47" customFormat="false" ht="15" hidden="false" customHeight="false" outlineLevel="0" collapsed="false">
      <c r="A47" s="16"/>
    </row>
    <row r="48" customFormat="false" ht="15" hidden="false" customHeight="false" outlineLevel="0" collapsed="false">
      <c r="A48" s="19" t="s">
        <v>83</v>
      </c>
    </row>
    <row r="49" customFormat="false" ht="15" hidden="false" customHeight="false" outlineLevel="0" collapsed="false">
      <c r="A49" s="16" t="s">
        <v>84</v>
      </c>
    </row>
    <row r="50" customFormat="false" ht="15" hidden="false" customHeight="false" outlineLevel="0" collapsed="false">
      <c r="A50" s="16" t="s">
        <v>85</v>
      </c>
    </row>
    <row r="51" customFormat="false" ht="15" hidden="false" customHeight="false" outlineLevel="0" collapsed="false">
      <c r="A51" s="16"/>
    </row>
    <row r="52" customFormat="false" ht="15" hidden="false" customHeight="false" outlineLevel="0" collapsed="false">
      <c r="A52" s="16" t="s">
        <v>86</v>
      </c>
    </row>
    <row r="53" customFormat="false" ht="15" hidden="false" customHeight="false" outlineLevel="0" collapsed="false">
      <c r="A53" s="16" t="s">
        <v>87</v>
      </c>
    </row>
    <row r="54" customFormat="false" ht="15" hidden="false" customHeight="false" outlineLevel="0" collapsed="false">
      <c r="A54" s="16" t="s">
        <v>88</v>
      </c>
    </row>
    <row r="55" customFormat="false" ht="15" hidden="false" customHeight="false" outlineLevel="0" collapsed="false">
      <c r="A55" s="16" t="s">
        <v>89</v>
      </c>
    </row>
    <row r="56" customFormat="false" ht="15" hidden="false" customHeight="false" outlineLevel="0" collapsed="false">
      <c r="A56" s="16" t="s">
        <v>90</v>
      </c>
    </row>
    <row r="57" customFormat="false" ht="15" hidden="false" customHeight="false" outlineLevel="0" collapsed="false">
      <c r="A57" s="16" t="s">
        <v>91</v>
      </c>
    </row>
    <row r="58" customFormat="false" ht="15" hidden="false" customHeight="false" outlineLevel="0" collapsed="false">
      <c r="A58" s="16" t="s">
        <v>92</v>
      </c>
    </row>
    <row r="59" customFormat="false" ht="15" hidden="false" customHeight="false" outlineLevel="0" collapsed="false">
      <c r="A59" s="16" t="s">
        <v>93</v>
      </c>
    </row>
    <row r="60" customFormat="false" ht="15" hidden="false" customHeight="false" outlineLevel="0" collapsed="false">
      <c r="A60" s="16" t="s">
        <v>94</v>
      </c>
    </row>
    <row r="61" customFormat="false" ht="15" hidden="false" customHeight="false" outlineLevel="0" collapsed="false">
      <c r="A61" s="16" t="s">
        <v>95</v>
      </c>
    </row>
    <row r="62" customFormat="false" ht="15" hidden="false" customHeight="false" outlineLevel="0" collapsed="false">
      <c r="A62" s="16" t="s">
        <v>96</v>
      </c>
    </row>
    <row r="63" customFormat="false" ht="15" hidden="false" customHeight="false" outlineLevel="0" collapsed="false">
      <c r="A63" s="16" t="s">
        <v>97</v>
      </c>
    </row>
    <row r="64" customFormat="false" ht="15" hidden="false" customHeight="false" outlineLevel="0" collapsed="false">
      <c r="A64" s="16" t="s">
        <v>98</v>
      </c>
    </row>
    <row r="65" customFormat="false" ht="15" hidden="false" customHeight="false" outlineLevel="0" collapsed="false">
      <c r="A65" s="16" t="s">
        <v>99</v>
      </c>
    </row>
    <row r="66" customFormat="false" ht="15" hidden="false" customHeight="false" outlineLevel="0" collapsed="false">
      <c r="A66" s="16" t="s">
        <v>100</v>
      </c>
    </row>
    <row r="67" customFormat="false" ht="15" hidden="false" customHeight="false" outlineLevel="0" collapsed="false">
      <c r="A67" s="16" t="s">
        <v>101</v>
      </c>
    </row>
    <row r="68" customFormat="false" ht="15" hidden="false" customHeight="false" outlineLevel="0" collapsed="false">
      <c r="A68" s="16" t="s">
        <v>102</v>
      </c>
    </row>
    <row r="69" customFormat="false" ht="15" hidden="false" customHeight="false" outlineLevel="0" collapsed="false">
      <c r="A69" s="16" t="s">
        <v>103</v>
      </c>
    </row>
    <row r="70" customFormat="false" ht="15" hidden="false" customHeight="false" outlineLevel="0" collapsed="false">
      <c r="A70" s="16" t="s">
        <v>104</v>
      </c>
    </row>
    <row r="71" customFormat="false" ht="15" hidden="false" customHeight="false" outlineLevel="0" collapsed="false">
      <c r="A71" s="16" t="s">
        <v>105</v>
      </c>
    </row>
    <row r="72" customFormat="false" ht="15" hidden="false" customHeight="false" outlineLevel="0" collapsed="false">
      <c r="A72" s="16" t="s">
        <v>106</v>
      </c>
    </row>
    <row r="73" customFormat="false" ht="15" hidden="false" customHeight="false" outlineLevel="0" collapsed="false">
      <c r="A73" s="16" t="s">
        <v>107</v>
      </c>
    </row>
    <row r="74" customFormat="false" ht="15" hidden="false" customHeight="false" outlineLevel="0" collapsed="false">
      <c r="A74" s="16" t="s">
        <v>108</v>
      </c>
    </row>
    <row r="75" customFormat="false" ht="15" hidden="false" customHeight="false" outlineLevel="0" collapsed="false">
      <c r="A75" s="16" t="s">
        <v>109</v>
      </c>
    </row>
    <row r="76" customFormat="false" ht="15" hidden="false" customHeight="false" outlineLevel="0" collapsed="false">
      <c r="A76" s="16"/>
    </row>
    <row r="77" customFormat="false" ht="15" hidden="false" customHeight="false" outlineLevel="0" collapsed="false">
      <c r="A77" s="19" t="s">
        <v>110</v>
      </c>
    </row>
    <row r="78" customFormat="false" ht="15" hidden="false" customHeight="false" outlineLevel="0" collapsed="false">
      <c r="A78" s="16" t="s">
        <v>111</v>
      </c>
    </row>
    <row r="79" customFormat="false" ht="15" hidden="false" customHeight="false" outlineLevel="0" collapsed="false">
      <c r="A79" s="16" t="s">
        <v>112</v>
      </c>
    </row>
    <row r="80" customFormat="false" ht="15" hidden="false" customHeight="false" outlineLevel="0" collapsed="false">
      <c r="A80" s="16"/>
    </row>
    <row r="81" customFormat="false" ht="15" hidden="false" customHeight="false" outlineLevel="0" collapsed="false">
      <c r="A81" s="16" t="s">
        <v>113</v>
      </c>
    </row>
    <row r="82" customFormat="false" ht="15" hidden="false" customHeight="false" outlineLevel="0" collapsed="false">
      <c r="A82" s="16" t="s">
        <v>114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20" t="s">
        <v>115</v>
      </c>
    </row>
    <row r="3" customFormat="false" ht="15" hidden="false" customHeight="false" outlineLevel="0" collapsed="false">
      <c r="A3" s="21" t="s">
        <v>116</v>
      </c>
    </row>
    <row r="4" customFormat="false" ht="15" hidden="false" customHeight="false" outlineLevel="0" collapsed="false">
      <c r="A4" s="21"/>
    </row>
    <row r="5" customFormat="false" ht="15" hidden="false" customHeight="false" outlineLevel="0" collapsed="false">
      <c r="A5" s="21" t="s">
        <v>117</v>
      </c>
    </row>
    <row r="6" customFormat="false" ht="15" hidden="false" customHeight="false" outlineLevel="0" collapsed="false">
      <c r="A6" s="21" t="s">
        <v>118</v>
      </c>
    </row>
    <row r="7" customFormat="false" ht="15" hidden="false" customHeight="false" outlineLevel="0" collapsed="false">
      <c r="A7" s="21" t="s">
        <v>119</v>
      </c>
    </row>
    <row r="8" customFormat="false" ht="15" hidden="false" customHeight="false" outlineLevel="0" collapsed="false">
      <c r="A8" s="21" t="s">
        <v>120</v>
      </c>
    </row>
    <row r="9" customFormat="false" ht="15" hidden="false" customHeight="false" outlineLevel="0" collapsed="false">
      <c r="A9" s="21"/>
    </row>
    <row r="10" customFormat="false" ht="15" hidden="false" customHeight="false" outlineLevel="0" collapsed="false">
      <c r="A10" s="21" t="s">
        <v>121</v>
      </c>
    </row>
    <row r="11" customFormat="false" ht="15" hidden="false" customHeight="false" outlineLevel="0" collapsed="false">
      <c r="A11" s="21" t="s">
        <v>122</v>
      </c>
    </row>
    <row r="12" customFormat="false" ht="15" hidden="false" customHeight="false" outlineLevel="0" collapsed="false">
      <c r="A12" s="21" t="s">
        <v>123</v>
      </c>
    </row>
    <row r="13" customFormat="false" ht="15" hidden="false" customHeight="false" outlineLevel="0" collapsed="false">
      <c r="A13" s="21"/>
    </row>
    <row r="14" customFormat="false" ht="15" hidden="false" customHeight="false" outlineLevel="0" collapsed="false">
      <c r="A14" s="21" t="s">
        <v>124</v>
      </c>
    </row>
    <row r="15" customFormat="false" ht="15" hidden="false" customHeight="false" outlineLevel="0" collapsed="false">
      <c r="A15" s="21" t="s">
        <v>125</v>
      </c>
    </row>
    <row r="16" customFormat="false" ht="15" hidden="false" customHeight="false" outlineLevel="0" collapsed="false">
      <c r="A16" s="21" t="s">
        <v>126</v>
      </c>
    </row>
    <row r="17" customFormat="false" ht="15" hidden="false" customHeight="false" outlineLevel="0" collapsed="false">
      <c r="A17" s="21"/>
    </row>
    <row r="18" customFormat="false" ht="15" hidden="false" customHeight="false" outlineLevel="0" collapsed="false">
      <c r="A18" s="21" t="s">
        <v>127</v>
      </c>
    </row>
    <row r="19" customFormat="false" ht="15" hidden="false" customHeight="false" outlineLevel="0" collapsed="false">
      <c r="A19" s="21" t="s">
        <v>128</v>
      </c>
    </row>
    <row r="20" customFormat="false" ht="15" hidden="false" customHeight="false" outlineLevel="0" collapsed="false">
      <c r="A20" s="21"/>
    </row>
    <row r="21" customFormat="false" ht="15" hidden="false" customHeight="false" outlineLevel="0" collapsed="false">
      <c r="A21" s="21" t="s">
        <v>129</v>
      </c>
    </row>
    <row r="22" customFormat="false" ht="15" hidden="false" customHeight="false" outlineLevel="0" collapsed="false">
      <c r="A22" s="21" t="s">
        <v>130</v>
      </c>
    </row>
    <row r="23" customFormat="false" ht="15" hidden="false" customHeight="false" outlineLevel="0" collapsed="false">
      <c r="A23" s="21" t="s">
        <v>131</v>
      </c>
    </row>
    <row r="24" customFormat="false" ht="15" hidden="false" customHeight="false" outlineLevel="0" collapsed="false">
      <c r="A24" s="21" t="s">
        <v>132</v>
      </c>
    </row>
    <row r="25" customFormat="false" ht="15" hidden="false" customHeight="false" outlineLevel="0" collapsed="false">
      <c r="A25" s="21" t="s">
        <v>133</v>
      </c>
    </row>
    <row r="26" customFormat="false" ht="15" hidden="false" customHeight="false" outlineLevel="0" collapsed="false">
      <c r="A26" s="21"/>
    </row>
    <row r="27" customFormat="false" ht="15" hidden="false" customHeight="false" outlineLevel="0" collapsed="false">
      <c r="A27" s="21" t="s">
        <v>134</v>
      </c>
    </row>
    <row r="28" customFormat="false" ht="15" hidden="false" customHeight="false" outlineLevel="0" collapsed="false">
      <c r="A28" s="21" t="s">
        <v>135</v>
      </c>
    </row>
    <row r="29" customFormat="false" ht="15" hidden="false" customHeight="false" outlineLevel="0" collapsed="false">
      <c r="A29" s="21" t="s">
        <v>136</v>
      </c>
    </row>
    <row r="30" customFormat="false" ht="15" hidden="false" customHeight="false" outlineLevel="0" collapsed="false">
      <c r="A30" s="21" t="s">
        <v>137</v>
      </c>
    </row>
    <row r="31" customFormat="false" ht="15" hidden="false" customHeight="false" outlineLevel="0" collapsed="false">
      <c r="A31" s="21" t="s">
        <v>138</v>
      </c>
    </row>
    <row r="32" customFormat="false" ht="15" hidden="false" customHeight="false" outlineLevel="0" collapsed="false">
      <c r="A32" s="21" t="s">
        <v>139</v>
      </c>
    </row>
    <row r="33" customFormat="false" ht="15" hidden="false" customHeight="false" outlineLevel="0" collapsed="false">
      <c r="A33" s="21" t="s">
        <v>140</v>
      </c>
    </row>
    <row r="34" customFormat="false" ht="15" hidden="false" customHeight="false" outlineLevel="0" collapsed="false">
      <c r="A34" s="21" t="s">
        <v>141</v>
      </c>
    </row>
    <row r="35" customFormat="false" ht="15" hidden="false" customHeight="false" outlineLevel="0" collapsed="false">
      <c r="A35" s="21" t="s">
        <v>142</v>
      </c>
    </row>
    <row r="36" customFormat="false" ht="15" hidden="false" customHeight="false" outlineLevel="0" collapsed="false">
      <c r="A36" s="21" t="s">
        <v>143</v>
      </c>
    </row>
    <row r="37" customFormat="false" ht="15" hidden="false" customHeight="false" outlineLevel="0" collapsed="false">
      <c r="A37" s="21" t="s">
        <v>144</v>
      </c>
    </row>
    <row r="38" customFormat="false" ht="15" hidden="false" customHeight="false" outlineLevel="0" collapsed="false">
      <c r="A38" s="21" t="s">
        <v>145</v>
      </c>
    </row>
    <row r="39" customFormat="false" ht="15" hidden="false" customHeight="false" outlineLevel="0" collapsed="false">
      <c r="A39" s="21" t="s">
        <v>146</v>
      </c>
    </row>
    <row r="40" customFormat="false" ht="15" hidden="false" customHeight="false" outlineLevel="0" collapsed="false">
      <c r="A40" s="21" t="s">
        <v>147</v>
      </c>
    </row>
    <row r="41" customFormat="false" ht="15" hidden="false" customHeight="false" outlineLevel="0" collapsed="false">
      <c r="A41" s="21" t="s">
        <v>148</v>
      </c>
    </row>
    <row r="42" customFormat="false" ht="15" hidden="false" customHeight="false" outlineLevel="0" collapsed="false">
      <c r="A42" s="21" t="s">
        <v>149</v>
      </c>
    </row>
    <row r="43" customFormat="false" ht="15" hidden="false" customHeight="false" outlineLevel="0" collapsed="false">
      <c r="A43" s="21" t="s">
        <v>150</v>
      </c>
    </row>
    <row r="44" customFormat="false" ht="15" hidden="false" customHeight="false" outlineLevel="0" collapsed="false">
      <c r="A44" s="21" t="s">
        <v>151</v>
      </c>
    </row>
    <row r="45" customFormat="false" ht="15" hidden="false" customHeight="false" outlineLevel="0" collapsed="false">
      <c r="A45" s="21" t="s">
        <v>152</v>
      </c>
    </row>
    <row r="46" customFormat="false" ht="15" hidden="false" customHeight="false" outlineLevel="0" collapsed="false">
      <c r="A46" s="21" t="s">
        <v>153</v>
      </c>
    </row>
    <row r="47" customFormat="false" ht="15" hidden="false" customHeight="false" outlineLevel="0" collapsed="false">
      <c r="A47" s="21" t="s">
        <v>154</v>
      </c>
    </row>
    <row r="48" customFormat="false" ht="15" hidden="false" customHeight="false" outlineLevel="0" collapsed="false">
      <c r="A48" s="21" t="s">
        <v>155</v>
      </c>
    </row>
    <row r="49" customFormat="false" ht="15" hidden="false" customHeight="false" outlineLevel="0" collapsed="false">
      <c r="A49" s="21" t="s">
        <v>156</v>
      </c>
    </row>
    <row r="50" customFormat="false" ht="15" hidden="false" customHeight="false" outlineLevel="0" collapsed="false">
      <c r="A50" s="21" t="s">
        <v>157</v>
      </c>
    </row>
    <row r="51" customFormat="false" ht="15" hidden="false" customHeight="false" outlineLevel="0" collapsed="false">
      <c r="A51" s="21" t="s">
        <v>158</v>
      </c>
    </row>
    <row r="52" customFormat="false" ht="15" hidden="false" customHeight="false" outlineLevel="0" collapsed="false">
      <c r="A52" s="21"/>
    </row>
    <row r="53" customFormat="false" ht="15" hidden="false" customHeight="false" outlineLevel="0" collapsed="false">
      <c r="A53" s="21" t="s">
        <v>159</v>
      </c>
    </row>
    <row r="54" customFormat="false" ht="15" hidden="false" customHeight="false" outlineLevel="0" collapsed="false">
      <c r="A54" s="21" t="s">
        <v>160</v>
      </c>
    </row>
    <row r="55" customFormat="false" ht="15" hidden="false" customHeight="false" outlineLevel="0" collapsed="false">
      <c r="A55" s="21" t="s">
        <v>161</v>
      </c>
    </row>
    <row r="56" customFormat="false" ht="15" hidden="false" customHeight="false" outlineLevel="0" collapsed="false">
      <c r="A56" s="21" t="s">
        <v>162</v>
      </c>
    </row>
    <row r="57" customFormat="false" ht="15" hidden="false" customHeight="false" outlineLevel="0" collapsed="false">
      <c r="A57" s="21" t="s">
        <v>163</v>
      </c>
    </row>
    <row r="58" customFormat="false" ht="15" hidden="false" customHeight="false" outlineLevel="0" collapsed="false">
      <c r="A58" s="21" t="s">
        <v>164</v>
      </c>
    </row>
    <row r="59" customFormat="false" ht="15" hidden="false" customHeight="false" outlineLevel="0" collapsed="false">
      <c r="A59" s="21" t="s">
        <v>165</v>
      </c>
    </row>
    <row r="60" customFormat="false" ht="15" hidden="false" customHeight="false" outlineLevel="0" collapsed="false">
      <c r="A60" s="21" t="s">
        <v>166</v>
      </c>
    </row>
    <row r="61" customFormat="false" ht="15" hidden="false" customHeight="false" outlineLevel="0" collapsed="false">
      <c r="A61" s="21" t="s">
        <v>167</v>
      </c>
    </row>
    <row r="62" customFormat="false" ht="15" hidden="false" customHeight="false" outlineLevel="0" collapsed="false">
      <c r="A62" s="21" t="s">
        <v>168</v>
      </c>
    </row>
    <row r="63" customFormat="false" ht="15" hidden="false" customHeight="false" outlineLevel="0" collapsed="false">
      <c r="A63" s="21" t="s">
        <v>169</v>
      </c>
    </row>
    <row r="64" customFormat="false" ht="15" hidden="false" customHeight="false" outlineLevel="0" collapsed="false">
      <c r="A64" s="21"/>
    </row>
    <row r="65" customFormat="false" ht="15" hidden="false" customHeight="false" outlineLevel="0" collapsed="false">
      <c r="A65" s="21" t="s">
        <v>170</v>
      </c>
    </row>
    <row r="66" customFormat="false" ht="15" hidden="false" customHeight="false" outlineLevel="0" collapsed="false">
      <c r="A66" s="21" t="s">
        <v>171</v>
      </c>
    </row>
    <row r="67" customFormat="false" ht="15" hidden="false" customHeight="false" outlineLevel="0" collapsed="false">
      <c r="A67" s="21" t="s">
        <v>172</v>
      </c>
    </row>
    <row r="68" customFormat="false" ht="15" hidden="false" customHeight="false" outlineLevel="0" collapsed="false">
      <c r="A68" s="21"/>
    </row>
    <row r="69" customFormat="false" ht="15" hidden="false" customHeight="false" outlineLevel="0" collapsed="false">
      <c r="A69" s="21" t="s">
        <v>173</v>
      </c>
    </row>
    <row r="70" customFormat="false" ht="15" hidden="false" customHeight="false" outlineLevel="0" collapsed="false">
      <c r="A70" s="21" t="s">
        <v>174</v>
      </c>
    </row>
    <row r="71" customFormat="false" ht="15" hidden="false" customHeight="false" outlineLevel="0" collapsed="false">
      <c r="A71" s="21" t="s">
        <v>175</v>
      </c>
    </row>
    <row r="72" customFormat="false" ht="15" hidden="false" customHeight="false" outlineLevel="0" collapsed="false">
      <c r="A72" s="21"/>
    </row>
    <row r="73" customFormat="false" ht="15" hidden="false" customHeight="false" outlineLevel="0" collapsed="false">
      <c r="A73" s="21" t="s">
        <v>176</v>
      </c>
    </row>
    <row r="74" customFormat="false" ht="15" hidden="false" customHeight="false" outlineLevel="0" collapsed="false">
      <c r="A74" s="21" t="s">
        <v>177</v>
      </c>
    </row>
    <row r="75" customFormat="false" ht="15" hidden="false" customHeight="false" outlineLevel="0" collapsed="false">
      <c r="A75" s="21" t="s">
        <v>178</v>
      </c>
    </row>
    <row r="76" customFormat="false" ht="15" hidden="false" customHeight="false" outlineLevel="0" collapsed="false">
      <c r="A76" s="21" t="s">
        <v>179</v>
      </c>
    </row>
    <row r="77" customFormat="false" ht="15" hidden="false" customHeight="false" outlineLevel="0" collapsed="false">
      <c r="A77" s="21" t="s">
        <v>180</v>
      </c>
    </row>
    <row r="78" customFormat="false" ht="15" hidden="false" customHeight="false" outlineLevel="0" collapsed="false">
      <c r="A78" s="21" t="s">
        <v>181</v>
      </c>
    </row>
    <row r="79" customFormat="false" ht="15" hidden="false" customHeight="false" outlineLevel="0" collapsed="false">
      <c r="A79" s="21" t="s">
        <v>162</v>
      </c>
    </row>
    <row r="80" customFormat="false" ht="15" hidden="false" customHeight="false" outlineLevel="0" collapsed="false">
      <c r="A80" s="21" t="s">
        <v>182</v>
      </c>
    </row>
    <row r="81" customFormat="false" ht="15" hidden="false" customHeight="false" outlineLevel="0" collapsed="false">
      <c r="A81" s="21" t="s">
        <v>158</v>
      </c>
    </row>
    <row r="82" customFormat="false" ht="15" hidden="false" customHeight="false" outlineLevel="0" collapsed="false">
      <c r="A82" s="21"/>
    </row>
    <row r="83" customFormat="false" ht="15" hidden="false" customHeight="false" outlineLevel="0" collapsed="false">
      <c r="A83" s="21" t="s">
        <v>183</v>
      </c>
    </row>
    <row r="84" customFormat="false" ht="15" hidden="false" customHeight="false" outlineLevel="0" collapsed="false">
      <c r="A84" s="21" t="s">
        <v>184</v>
      </c>
    </row>
    <row r="85" customFormat="false" ht="15" hidden="false" customHeight="false" outlineLevel="0" collapsed="false">
      <c r="A85" s="21" t="s">
        <v>185</v>
      </c>
    </row>
    <row r="86" customFormat="false" ht="15" hidden="false" customHeight="false" outlineLevel="0" collapsed="false">
      <c r="A86" s="21" t="s">
        <v>186</v>
      </c>
    </row>
    <row r="87" customFormat="false" ht="15" hidden="false" customHeight="false" outlineLevel="0" collapsed="false">
      <c r="A87" s="21" t="s">
        <v>187</v>
      </c>
    </row>
    <row r="88" customFormat="false" ht="15" hidden="false" customHeight="false" outlineLevel="0" collapsed="false">
      <c r="A88" s="21" t="s">
        <v>188</v>
      </c>
    </row>
    <row r="89" customFormat="false" ht="15" hidden="false" customHeight="false" outlineLevel="0" collapsed="false">
      <c r="A89" s="21" t="s">
        <v>189</v>
      </c>
    </row>
    <row r="90" customFormat="false" ht="15" hidden="false" customHeight="false" outlineLevel="0" collapsed="false">
      <c r="A90" s="21"/>
    </row>
    <row r="91" customFormat="false" ht="15" hidden="false" customHeight="false" outlineLevel="0" collapsed="false">
      <c r="A91" s="21" t="s">
        <v>190</v>
      </c>
    </row>
    <row r="92" customFormat="false" ht="15" hidden="false" customHeight="false" outlineLevel="0" collapsed="false">
      <c r="A92" s="21" t="s">
        <v>191</v>
      </c>
    </row>
    <row r="93" customFormat="false" ht="15" hidden="false" customHeight="false" outlineLevel="0" collapsed="false">
      <c r="A93" s="21" t="s">
        <v>192</v>
      </c>
    </row>
    <row r="94" customFormat="false" ht="15" hidden="false" customHeight="false" outlineLevel="0" collapsed="false">
      <c r="A94" s="21" t="s">
        <v>193</v>
      </c>
    </row>
    <row r="95" customFormat="false" ht="15" hidden="false" customHeight="false" outlineLevel="0" collapsed="false">
      <c r="A95" s="21" t="s">
        <v>194</v>
      </c>
    </row>
    <row r="96" customFormat="false" ht="15" hidden="false" customHeight="false" outlineLevel="0" collapsed="false">
      <c r="A96" s="21" t="s">
        <v>195</v>
      </c>
    </row>
    <row r="97" customFormat="false" ht="15" hidden="false" customHeight="false" outlineLevel="0" collapsed="false">
      <c r="A97" s="21" t="s">
        <v>196</v>
      </c>
    </row>
    <row r="98" customFormat="false" ht="15" hidden="false" customHeight="false" outlineLevel="0" collapsed="false">
      <c r="A98" s="21" t="s">
        <v>197</v>
      </c>
    </row>
    <row r="99" customFormat="false" ht="15" hidden="false" customHeight="false" outlineLevel="0" collapsed="false">
      <c r="A99" s="21"/>
    </row>
    <row r="100" customFormat="false" ht="15" hidden="false" customHeight="false" outlineLevel="0" collapsed="false">
      <c r="A100" s="21" t="s">
        <v>198</v>
      </c>
    </row>
    <row r="101" customFormat="false" ht="15" hidden="false" customHeight="false" outlineLevel="0" collapsed="false">
      <c r="A101"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2026-08-30T19:55:34Z</dcterms:created>
  <dc:creator>openpyxl</dc:creator>
  <dc:description/>
  <dc:language>en-US</dc:language>
  <cp:lastModifiedBy/>
  <dcterms:modified xsi:type="dcterms:W3CDTF">2026-08-30T19:55:34Z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