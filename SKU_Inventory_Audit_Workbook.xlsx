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KU Audit" sheetId="1" state="visible" r:id="rId3"/>
    <sheet name="Product Master" sheetId="2" state="visible" r:id="rId4"/>
    <sheet name="Lists" sheetId="3" state="visible" r:id="rId5"/>
    <sheet name="Instructions" sheetId="4" state="visible" r:id="rId6"/>
  </sheets>
  <calcPr iterateCount="20" refMode="A1" iterate="tru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<sst xmlns="http://schemas.openxmlformats.org/spreadsheetml/2006/main" count="101" uniqueCount="86">
  <si>
    <t xml:space="preserve">SKU Inventory Audit Workbook — Scan Log</t>
  </si>
  <si>
    <t xml:space="preserve">Set your Active Auditor Initials and Active Location below before scanning. Each new scan row stamps the CURRENT values from this panel and keeps them even if the panel is changed later, so historical entries never change.</t>
  </si>
  <si>
    <t xml:space="preserve">Active Auditor Initials:</t>
  </si>
  <si>
    <t xml:space="preserve">JS</t>
  </si>
  <si>
    <t xml:space="preserve">Active Location:</t>
  </si>
  <si>
    <t xml:space="preserve">BOH</t>
  </si>
  <si>
    <t xml:space="preserve">Today's Date:</t>
  </si>
  <si>
    <t xml:space="preserve">Scan Date</t>
  </si>
  <si>
    <t xml:space="preserve">Location</t>
  </si>
  <si>
    <t xml:space="preserve">UPC</t>
  </si>
  <si>
    <t xml:space="preserve">SKU</t>
  </si>
  <si>
    <t xml:space="preserve">Product Name</t>
  </si>
  <si>
    <t xml:space="preserve">Description</t>
  </si>
  <si>
    <t xml:space="preserve">Expected Qty</t>
  </si>
  <si>
    <t xml:space="preserve">Counted Qty</t>
  </si>
  <si>
    <t xml:space="preserve">Variance</t>
  </si>
  <si>
    <t xml:space="preserve">Discrepancy Status</t>
  </si>
  <si>
    <t xml:space="preserve">Auditor Initials</t>
  </si>
  <si>
    <t xml:space="preserve">Check By User</t>
  </si>
  <si>
    <t xml:space="preserve">Marked Out By User</t>
  </si>
  <si>
    <t xml:space="preserve">Notes</t>
  </si>
  <si>
    <t xml:space="preserve">012345678905</t>
  </si>
  <si>
    <t xml:space="preserve">Morgan Kim</t>
  </si>
  <si>
    <t xml:space="preserve">Demo row - minor variance, within normal shrink tolerance. Delete before real use.</t>
  </si>
  <si>
    <t xml:space="preserve">073456789012</t>
  </si>
  <si>
    <t xml:space="preserve">Jamie Smith</t>
  </si>
  <si>
    <t xml:space="preserve">Demo row - count matched expected. Delete before real use.</t>
  </si>
  <si>
    <t xml:space="preserve">041234567890</t>
  </si>
  <si>
    <t xml:space="preserve">Ade Lawal</t>
  </si>
  <si>
    <t xml:space="preserve">Demo row - shrinkage suspected, recount requested. Delete before real use.</t>
  </si>
  <si>
    <t xml:space="preserve">Expected Quantity</t>
  </si>
  <si>
    <t xml:space="preserve">BEV-COLA-12OZ</t>
  </si>
  <si>
    <t xml:space="preserve">Cola 12oz Can (24-pack)</t>
  </si>
  <si>
    <t xml:space="preserve">Carbonated soft drink, 24 x 12oz cans</t>
  </si>
  <si>
    <t xml:space="preserve">SNK-CHIP-BBQ</t>
  </si>
  <si>
    <t xml:space="preserve">BBQ Potato Chips 8oz</t>
  </si>
  <si>
    <t xml:space="preserve">Bagged snack, BBQ flavor, 8oz bag, case of 12</t>
  </si>
  <si>
    <t xml:space="preserve">DRY-PASTA-16</t>
  </si>
  <si>
    <t xml:space="preserve">Spaghetti Pasta 16oz</t>
  </si>
  <si>
    <t xml:space="preserve">Dry pasta, 16oz box, case of 20</t>
  </si>
  <si>
    <t xml:space="preserve">099876543210</t>
  </si>
  <si>
    <t xml:space="preserve">CLN-SPRAY-32</t>
  </si>
  <si>
    <t xml:space="preserve">All-Purpose Cleaner 32oz</t>
  </si>
  <si>
    <t xml:space="preserve">Multi-surface spray cleaner, 32oz bottle</t>
  </si>
  <si>
    <t xml:space="preserve">055512340009</t>
  </si>
  <si>
    <t xml:space="preserve">PPR-TOWEL-6PK</t>
  </si>
  <si>
    <t xml:space="preserve">Paper Towels 6-Roll Pack</t>
  </si>
  <si>
    <t xml:space="preserve">Household paper towels, 6 rolls per pack</t>
  </si>
  <si>
    <t xml:space="preserve">Employee Names</t>
  </si>
  <si>
    <t xml:space="preserve">MK</t>
  </si>
  <si>
    <t xml:space="preserve">Floor</t>
  </si>
  <si>
    <t xml:space="preserve">AL</t>
  </si>
  <si>
    <t xml:space="preserve">SKU Inventory Audit Workbook — Instructions</t>
  </si>
  <si>
    <t xml:space="preserve">AUDIT WORKFLOW</t>
  </si>
  <si>
    <t xml:space="preserve">1. On the SKU Audit sheet, set Active Auditor Initials (cell B4) and Active Location (cell E4).</t>
  </si>
  <si>
    <t xml:space="preserve">2. Scan or type the UPC into the UPC column for the next blank row.</t>
  </si>
  <si>
    <t xml:space="preserve">3. SKU, Product Name, Description, and Expected Qty auto-populate from the Product Master sheet.</t>
  </si>
  <si>
    <t xml:space="preserve">4. Enter the Counted Qty; Variance and Discrepancy Status calculate automatically.</t>
  </si>
  <si>
    <t xml:space="preserve">5. The Scan Date, Location, and Auditor Initials are stamped onto the row and never change again,</t>
  </si>
  <si>
    <t xml:space="preserve">   even if the control panel is updated later — this preserves audit history.</t>
  </si>
  <si>
    <t xml:space="preserve">6. A second employee can be recorded under Check By User to verify the count.</t>
  </si>
  <si>
    <t xml:space="preserve">7. If a discrepancy is resolved or inventory is written off, record the responsible employee under</t>
  </si>
  <si>
    <t xml:space="preserve">   Marked Out By User, and document details in Notes.</t>
  </si>
  <si>
    <t xml:space="preserve">8. Use the filter arrows on the table header to sort or review by date, location, SKU, UPC, user,</t>
  </si>
  <si>
    <t xml:space="preserve">   or discrepancy status.</t>
  </si>
  <si>
    <t xml:space="preserve">COLOR CODING (auto-updates daily based on Scan Date)</t>
  </si>
  <si>
    <t xml:space="preserve">Green  = scanned 0–14 days ago</t>
  </si>
  <si>
    <t xml:space="preserve">Orange = scanned 15–28 days ago</t>
  </si>
  <si>
    <t xml:space="preserve">Red    = scanned 29+ days ago</t>
  </si>
  <si>
    <t xml:space="preserve">A UPC that doesn't match any record in Product Master is flagged red in the UPC cell and</t>
  </si>
  <si>
    <t xml:space="preserve">shows "UPC Not Found" until corrected.</t>
  </si>
  <si>
    <t xml:space="preserve">LEGEND</t>
  </si>
  <si>
    <t xml:space="preserve">Blue text  = cells you type into (UPC, Counted Qty, Check By User, Marked Out By User, Notes,</t>
  </si>
  <si>
    <t xml:space="preserve">             and the Active Auditor / Active Location control panel).</t>
  </si>
  <si>
    <t xml:space="preserve">Black text = automatic formulas — do not overwrite unless you intend to manually correct a row.</t>
  </si>
  <si>
    <t xml:space="preserve">MAINTAINING THE PRODUCT MASTER</t>
  </si>
  <si>
    <t xml:space="preserve">Add, edit, or remove rows on the Product Master sheet as products or expected quantities change.</t>
  </si>
  <si>
    <t xml:space="preserve">Changes there only affect future lookups — already-scanned rows keep their frozen values.</t>
  </si>
  <si>
    <t xml:space="preserve">MAINTAINING THE LISTS SHEET</t>
  </si>
  <si>
    <t xml:space="preserve">Add auditor initials and employee names to the Lists sheet to make them available in the</t>
  </si>
  <si>
    <t xml:space="preserve">dropdown menus on the SKU Audit sheet.</t>
  </si>
  <si>
    <t xml:space="preserve">NOTE</t>
  </si>
  <si>
    <t xml:space="preserve">This workbook enables Iterative Calculation (Excel: File &gt; Options &gt; Formulas) to support the</t>
  </si>
  <si>
    <t xml:space="preserve">"freeze on first entry" formulas. This setting is saved in the file, so no manual setup is needed.</t>
  </si>
  <si>
    <t xml:space="preserve">The first three rows on the SKU Audit sheet are example entries demonstrating the color coding</t>
  </si>
  <si>
    <t xml:space="preserve">and workflow — delete or overwrite them before starting a real audit.</t>
  </si>
</sst>
</file>

<file path=xl/styles.xml><?xml version="1.0" encoding="utf-8"?>
<styleSheet xmlns="http://schemas.openxmlformats.org/spreadsheetml/2006/main">
  <numFmts count="4">
    <numFmt numFmtId="164" formatCode="General"/>
    <numFmt numFmtId="165" formatCode="@"/>
    <numFmt numFmtId="166" formatCode="mm/dd/yyyy"/>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0"/>
      <name val="Arial"/>
      <family val="0"/>
      <charset val="1"/>
    </font>
    <font>
      <b val="true"/>
      <sz val="10"/>
      <color rgb="FF0000FF"/>
      <name val="Arial"/>
      <family val="0"/>
      <charset val="1"/>
    </font>
    <font>
      <sz val="10"/>
      <color rgb="FF000000"/>
      <name val="Arial"/>
      <family val="0"/>
      <charset val="1"/>
    </font>
    <font>
      <b val="true"/>
      <sz val="11"/>
      <color rgb="FFFFFFFF"/>
      <name val="Arial"/>
      <family val="0"/>
      <charset val="1"/>
    </font>
    <font>
      <sz val="10"/>
      <color rgb="FF0000FF"/>
      <name val="Arial"/>
      <family val="0"/>
      <charset val="1"/>
    </font>
    <font>
      <sz val="10"/>
      <name val="Arial"/>
      <family val="0"/>
      <charset val="1"/>
    </font>
    <font>
      <b val="true"/>
      <sz val="14"/>
      <color rgb="FF1F3864"/>
      <name val="Arial"/>
      <family val="0"/>
      <charset val="1"/>
    </font>
    <font>
      <b val="true"/>
      <sz val="10"/>
      <color rgb="FF1F3864"/>
      <name val="Arial"/>
      <family val="0"/>
      <charset val="1"/>
    </font>
  </fonts>
  <fills count="5">
    <fill>
      <patternFill patternType="none"/>
    </fill>
    <fill>
      <patternFill patternType="gray125"/>
    </fill>
    <fill>
      <patternFill patternType="solid">
        <fgColor rgb="FFD9E2F3"/>
        <bgColor rgb="FFF2F2F2"/>
      </patternFill>
    </fill>
    <fill>
      <patternFill patternType="solid">
        <fgColor rgb="FF1F3864"/>
        <bgColor rgb="FF333333"/>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7" fontId="11" fillId="4"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C6E8C6"/>
          <bgColor rgb="FF000000"/>
        </patternFill>
      </fill>
    </dxf>
    <dxf>
      <fill>
        <patternFill patternType="solid">
          <fgColor rgb="FFF4B6B6"/>
          <bgColor rgb="FF000000"/>
        </patternFill>
      </fill>
    </dxf>
    <dxf>
      <fill>
        <patternFill patternType="solid">
          <fgColor rgb="FFFBD9A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bgColor rgb="FFC6E8C6"/>
        </patternFill>
      </fill>
    </dxf>
    <dxf>
      <fill>
        <patternFill>
          <bgColor rgb="FFFBD9A5"/>
        </patternFill>
      </fill>
    </dxf>
    <dxf>
      <fill>
        <patternFill>
          <bgColor rgb="FFF4B6B6"/>
        </patternFill>
      </fill>
    </dxf>
    <dxf>
      <font>
        <name val="Arial"/>
        <charset val="1"/>
        <family val="0"/>
        <b val="1"/>
        <color rgb="FFFFFFFF"/>
      </font>
      <fill>
        <patternFill>
          <bgColor rgb="FFFF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8C6"/>
      <rgbColor rgb="FFFFFF99"/>
      <rgbColor rgb="FF99CCFF"/>
      <rgbColor rgb="FFF4B6B6"/>
      <rgbColor rgb="FFCC99FF"/>
      <rgbColor rgb="FFFBD9A5"/>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AuditLog" displayName="AuditLog" ref="A6:N206" headerRowCount="1" totalsRowCount="0" totalsRowShown="0">
  <autoFilter ref="A6:N206"/>
  <tableColumns count="14">
    <tableColumn id="1" name="Scan Date"/>
    <tableColumn id="2" name="Location"/>
    <tableColumn id="3" name="UPC"/>
    <tableColumn id="4" name="SKU"/>
    <tableColumn id="5" name="Product Name"/>
    <tableColumn id="6" name="Description"/>
    <tableColumn id="7" name="Expected Qty"/>
    <tableColumn id="8" name="Counted Qty"/>
    <tableColumn id="9" name="Variance"/>
    <tableColumn id="10" name="Discrepancy Status"/>
    <tableColumn id="11" name="Auditor Initials"/>
    <tableColumn id="12" name="Check By User"/>
    <tableColumn id="13" name="Marked Out By User"/>
    <tableColumn id="14" name="Notes"/>
  </tableColumns>
</table>
</file>

<file path=xl/tables/table2.xml><?xml version="1.0" encoding="utf-8"?>
<table xmlns="http://schemas.openxmlformats.org/spreadsheetml/2006/main" id="2" name="ProductMaster" displayName="ProductMaster" ref="A1:E200" headerRowCount="1" totalsRowCount="0" totalsRowShown="0">
  <autoFilter ref="A1:E200"/>
  <tableColumns count="5">
    <tableColumn id="1" name="UPC"/>
    <tableColumn id="2" name="SKU"/>
    <tableColumn id="3" name="Product Name"/>
    <tableColumn id="4" name="Description"/>
    <tableColumn id="5" name="Expected Quantit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6"/>
    <col collapsed="false" customWidth="true" hidden="false" outlineLevel="0" max="4" min="4" style="0" width="12"/>
    <col collapsed="false" customWidth="true" hidden="false" outlineLevel="0" max="5" min="5" style="0" width="22"/>
    <col collapsed="false" customWidth="true" hidden="false" outlineLevel="0" max="6" min="6" style="0" width="26"/>
    <col collapsed="false" customWidth="true" hidden="false" outlineLevel="0" max="8" min="7" style="0" width="12"/>
    <col collapsed="false" customWidth="true" hidden="false" outlineLevel="0" max="9" min="9" style="0" width="10"/>
    <col collapsed="false" customWidth="true" hidden="false" outlineLevel="0" max="10" min="10" style="0" width="16"/>
    <col collapsed="false" customWidth="true" hidden="false" outlineLevel="0" max="11" min="11" style="0" width="10"/>
    <col collapsed="false" customWidth="true" hidden="false" outlineLevel="0" max="12" min="12" style="0" width="16"/>
    <col collapsed="false" customWidth="true" hidden="false" outlineLevel="0" max="13" min="13" style="0" width="18"/>
    <col collapsed="false" customWidth="true" hidden="false" outlineLevel="0" max="14" min="14" style="0" width="30"/>
  </cols>
  <sheetData>
    <row r="1" customFormat="false" ht="24" hidden="false" customHeight="true" outlineLevel="0" collapsed="false">
      <c r="A1" s="1" t="s">
        <v>0</v>
      </c>
      <c r="B1" s="1"/>
      <c r="C1" s="1"/>
      <c r="D1" s="1"/>
      <c r="E1" s="1"/>
      <c r="F1" s="1"/>
      <c r="G1" s="1"/>
      <c r="H1" s="1"/>
      <c r="I1" s="1"/>
      <c r="J1" s="1"/>
      <c r="K1" s="1"/>
      <c r="L1" s="1"/>
      <c r="M1" s="1"/>
      <c r="N1" s="1"/>
    </row>
    <row r="2" customFormat="false" ht="15.75" hidden="false" customHeight="true" outlineLevel="0" collapsed="false">
      <c r="A2" s="2" t="s">
        <v>1</v>
      </c>
      <c r="B2" s="2"/>
      <c r="C2" s="2"/>
      <c r="D2" s="2"/>
      <c r="E2" s="2"/>
      <c r="F2" s="2"/>
      <c r="G2" s="2"/>
      <c r="H2" s="2"/>
      <c r="I2" s="2"/>
      <c r="J2" s="2"/>
      <c r="K2" s="2"/>
      <c r="L2" s="2"/>
      <c r="M2" s="2"/>
      <c r="N2" s="2"/>
    </row>
    <row r="4" customFormat="false" ht="15" hidden="false" customHeight="false" outlineLevel="0" collapsed="false">
      <c r="A4" s="3" t="s">
        <v>2</v>
      </c>
      <c r="B4" s="4" t="s">
        <v>3</v>
      </c>
      <c r="D4" s="3" t="s">
        <v>4</v>
      </c>
      <c r="E4" s="5" t="s">
        <v>5</v>
      </c>
      <c r="G4" s="3" t="s">
        <v>6</v>
      </c>
      <c r="H4" s="6" t="n">
        <f aca="true">TODAY()</f>
        <v>46262</v>
      </c>
    </row>
    <row r="6" customFormat="false" ht="30" hidden="false" customHeight="true" outlineLevel="0" collapsed="false">
      <c r="A6" s="7" t="s">
        <v>7</v>
      </c>
      <c r="B6" s="7" t="s">
        <v>8</v>
      </c>
      <c r="C6" s="7" t="s">
        <v>9</v>
      </c>
      <c r="D6" s="7" t="s">
        <v>10</v>
      </c>
      <c r="E6" s="7" t="s">
        <v>11</v>
      </c>
      <c r="F6" s="7" t="s">
        <v>12</v>
      </c>
      <c r="G6" s="7" t="s">
        <v>13</v>
      </c>
      <c r="H6" s="7" t="s">
        <v>14</v>
      </c>
      <c r="I6" s="7" t="s">
        <v>15</v>
      </c>
      <c r="J6" s="7" t="s">
        <v>16</v>
      </c>
      <c r="K6" s="7" t="s">
        <v>17</v>
      </c>
      <c r="L6" s="7" t="s">
        <v>18</v>
      </c>
      <c r="M6" s="7" t="s">
        <v>19</v>
      </c>
      <c r="N6" s="7" t="s">
        <v>20</v>
      </c>
    </row>
    <row r="7" customFormat="false" ht="15" hidden="false" customHeight="false" outlineLevel="0" collapsed="false">
      <c r="A7" s="8" t="n">
        <f aca="true">IF($C7="","",IF(AND(A7&lt;&gt;"",A7&lt;&gt;0),A7,TODAY()))</f>
        <v>46262</v>
      </c>
      <c r="B7" s="9" t="str">
        <f aca="false">IF($C7="","",IF(AND(B7&lt;&gt;"",B7&lt;&gt;0),B7,$E$4))</f>
        <v>BOH</v>
      </c>
      <c r="C7" s="10" t="s">
        <v>21</v>
      </c>
      <c r="D7" s="9" t="str">
        <f aca="false">IF($C7="","",IF(AND(D7&lt;&gt;"",D7&lt;&gt;0,D7&lt;&gt;"UPC Not Found"),D7,IFERROR(INDEX('Product Master'!$B$2:$B$200,MATCH($C7,'Product Master'!$A$2:$A$200,0)),"UPC Not Found")))</f>
        <v>BEV-COLA-12OZ</v>
      </c>
      <c r="E7" s="9" t="str">
        <f aca="false">IF($C7="","",IF(AND(E7&lt;&gt;"",E7&lt;&gt;0,E7&lt;&gt;"UPC Not Found"),E7,IFERROR(INDEX('Product Master'!$C$2:$C$200,MATCH($C7,'Product Master'!$A$2:$A$200,0)),"UPC Not Found")))</f>
        <v>Cola 12oz Can (24-pack)</v>
      </c>
      <c r="F7" s="9" t="str">
        <f aca="false">IF($C7="","",IF(AND(F7&lt;&gt;"",F7&lt;&gt;0,F7&lt;&gt;"UPC Not Found"),F7,IFERROR(INDEX('Product Master'!$D$2:$D$200,MATCH($C7,'Product Master'!$A$2:$A$200,0)),"UPC Not Found")))</f>
        <v>Carbonated soft drink, 24 x 12oz cans</v>
      </c>
      <c r="G7" s="11" t="n">
        <f aca="false">IF($C7="","",IF(AND(G7&lt;&gt;"",G7&lt;&gt;0,G7&lt;&gt;"UPC Not Found"),G7,IFERROR(INDEX('Product Master'!$E$2:$E$200,MATCH($C7,'Product Master'!$A$2:$A$200,0)),"UPC Not Found")))</f>
        <v>180</v>
      </c>
      <c r="H7" s="12" t="n">
        <v>175</v>
      </c>
      <c r="I7" s="11" t="n">
        <f aca="false">IF(OR($C7="",H7="",G7="UPC Not Found"),"",H7-G7)</f>
        <v>-5</v>
      </c>
      <c r="J7" s="9" t="str">
        <f aca="false">IF($C7="","",IF(H7="","Not Counted",IF(I7=0,"Match",IF(I7&gt;0,"Overage","Shortage"))))</f>
        <v>Shortage</v>
      </c>
      <c r="K7" s="9" t="str">
        <f aca="false">IF($C7="","",IF(AND(K7&lt;&gt;"",K7&lt;&gt;0),K7,$B$4))</f>
        <v>JS</v>
      </c>
      <c r="L7" s="13" t="s">
        <v>22</v>
      </c>
      <c r="M7" s="13"/>
      <c r="N7" s="13" t="s">
        <v>23</v>
      </c>
    </row>
    <row r="8" customFormat="false" ht="15" hidden="false" customHeight="false" outlineLevel="0" collapsed="false">
      <c r="A8" s="8" t="n">
        <f aca="true">TODAY()-20</f>
        <v>46242</v>
      </c>
      <c r="B8" s="9" t="str">
        <f aca="false">IF($C8="","",IF(AND(B8&lt;&gt;"",B8&lt;&gt;0),B8,$E$4))</f>
        <v>BOH</v>
      </c>
      <c r="C8" s="10" t="s">
        <v>24</v>
      </c>
      <c r="D8" s="9" t="str">
        <f aca="false">IF($C8="","",IF(AND(D8&lt;&gt;"",D8&lt;&gt;0,D8&lt;&gt;"UPC Not Found"),D8,IFERROR(INDEX('Product Master'!$B$2:$B$200,MATCH($C8,'Product Master'!$A$2:$A$200,0)),"UPC Not Found")))</f>
        <v>DRY-PASTA-16</v>
      </c>
      <c r="E8" s="9" t="str">
        <f aca="false">IF($C8="","",IF(AND(E8&lt;&gt;"",E8&lt;&gt;0,E8&lt;&gt;"UPC Not Found"),E8,IFERROR(INDEX('Product Master'!$C$2:$C$200,MATCH($C8,'Product Master'!$A$2:$A$200,0)),"UPC Not Found")))</f>
        <v>Spaghetti Pasta 16oz</v>
      </c>
      <c r="F8" s="9" t="str">
        <f aca="false">IF($C8="","",IF(AND(F8&lt;&gt;"",F8&lt;&gt;0,F8&lt;&gt;"UPC Not Found"),F8,IFERROR(INDEX('Product Master'!$D$2:$D$200,MATCH($C8,'Product Master'!$A$2:$A$200,0)),"UPC Not Found")))</f>
        <v>Dry pasta, 16oz box, case of 20</v>
      </c>
      <c r="G8" s="11" t="n">
        <f aca="false">IF($C8="","",IF(AND(G8&lt;&gt;"",G8&lt;&gt;0,G8&lt;&gt;"UPC Not Found"),G8,IFERROR(INDEX('Product Master'!$E$2:$E$200,MATCH($C8,'Product Master'!$A$2:$A$200,0)),"UPC Not Found")))</f>
        <v>60</v>
      </c>
      <c r="H8" s="12" t="n">
        <v>60</v>
      </c>
      <c r="I8" s="11" t="n">
        <f aca="false">IF(OR($C8="",H8="",G8="UPC Not Found"),"",H8-G8)</f>
        <v>0</v>
      </c>
      <c r="J8" s="9" t="str">
        <f aca="false">IF($C8="","",IF(H8="","Not Counted",IF(I8=0,"Match",IF(I8&gt;0,"Overage","Shortage"))))</f>
        <v>Match</v>
      </c>
      <c r="K8" s="9" t="str">
        <f aca="false">IF($C8="","",IF(AND(K8&lt;&gt;"",K8&lt;&gt;0),K8,$B$4))</f>
        <v>JS</v>
      </c>
      <c r="L8" s="13" t="s">
        <v>25</v>
      </c>
      <c r="M8" s="13"/>
      <c r="N8" s="13" t="s">
        <v>26</v>
      </c>
    </row>
    <row r="9" customFormat="false" ht="15" hidden="false" customHeight="false" outlineLevel="0" collapsed="false">
      <c r="A9" s="8" t="n">
        <f aca="true">TODAY()-35</f>
        <v>46227</v>
      </c>
      <c r="B9" s="9" t="str">
        <f aca="false">IF($C9="","",IF(AND(B9&lt;&gt;"",B9&lt;&gt;0),B9,$E$4))</f>
        <v>BOH</v>
      </c>
      <c r="C9" s="10" t="s">
        <v>27</v>
      </c>
      <c r="D9" s="9" t="str">
        <f aca="false">IF($C9="","",IF(AND(D9&lt;&gt;"",D9&lt;&gt;0,D9&lt;&gt;"UPC Not Found"),D9,IFERROR(INDEX('Product Master'!$B$2:$B$200,MATCH($C9,'Product Master'!$A$2:$A$200,0)),"UPC Not Found")))</f>
        <v>SNK-CHIP-BBQ</v>
      </c>
      <c r="E9" s="9" t="str">
        <f aca="false">IF($C9="","",IF(AND(E9&lt;&gt;"",E9&lt;&gt;0,E9&lt;&gt;"UPC Not Found"),E9,IFERROR(INDEX('Product Master'!$C$2:$C$200,MATCH($C9,'Product Master'!$A$2:$A$200,0)),"UPC Not Found")))</f>
        <v>BBQ Potato Chips 8oz</v>
      </c>
      <c r="F9" s="9" t="str">
        <f aca="false">IF($C9="","",IF(AND(F9&lt;&gt;"",F9&lt;&gt;0,F9&lt;&gt;"UPC Not Found"),F9,IFERROR(INDEX('Product Master'!$D$2:$D$200,MATCH($C9,'Product Master'!$A$2:$A$200,0)),"UPC Not Found")))</f>
        <v>Bagged snack, BBQ flavor, 8oz bag, case of 12</v>
      </c>
      <c r="G9" s="11" t="n">
        <f aca="false">IF($C9="","",IF(AND(G9&lt;&gt;"",G9&lt;&gt;0,G9&lt;&gt;"UPC Not Found"),G9,IFERROR(INDEX('Product Master'!$E$2:$E$200,MATCH($C9,'Product Master'!$A$2:$A$200,0)),"UPC Not Found")))</f>
        <v>96</v>
      </c>
      <c r="H9" s="12" t="n">
        <v>80</v>
      </c>
      <c r="I9" s="11" t="n">
        <f aca="false">IF(OR($C9="",H9="",G9="UPC Not Found"),"",H9-G9)</f>
        <v>-16</v>
      </c>
      <c r="J9" s="9" t="str">
        <f aca="false">IF($C9="","",IF(H9="","Not Counted",IF(I9=0,"Match",IF(I9&gt;0,"Overage","Shortage"))))</f>
        <v>Shortage</v>
      </c>
      <c r="K9" s="9" t="str">
        <f aca="false">IF($C9="","",IF(AND(K9&lt;&gt;"",K9&lt;&gt;0),K9,$B$4))</f>
        <v>JS</v>
      </c>
      <c r="L9" s="13" t="s">
        <v>25</v>
      </c>
      <c r="M9" s="13" t="s">
        <v>28</v>
      </c>
      <c r="N9" s="13" t="s">
        <v>29</v>
      </c>
    </row>
    <row r="10" customFormat="false" ht="15" hidden="false" customHeight="false" outlineLevel="0" collapsed="false">
      <c r="A10" s="8" t="str">
        <f aca="true">IF($C10="","",IF(AND(A10&lt;&gt;"",A10&lt;&gt;0),A10,TODAY()))</f>
        <v/>
      </c>
      <c r="B10" s="9" t="str">
        <f aca="false">IF($C10="","",IF(AND(B10&lt;&gt;"",B10&lt;&gt;0),B10,$E$4))</f>
        <v/>
      </c>
      <c r="C10" s="10"/>
      <c r="D10" s="9" t="str">
        <f aca="false">IF($C10="","",IF(AND(D10&lt;&gt;"",D10&lt;&gt;0,D10&lt;&gt;"UPC Not Found"),D10,IFERROR(INDEX('Product Master'!$B$2:$B$200,MATCH($C10,'Product Master'!$A$2:$A$200,0)),"UPC Not Found")))</f>
        <v/>
      </c>
      <c r="E10" s="9" t="str">
        <f aca="false">IF($C10="","",IF(AND(E10&lt;&gt;"",E10&lt;&gt;0,E10&lt;&gt;"UPC Not Found"),E10,IFERROR(INDEX('Product Master'!$C$2:$C$200,MATCH($C10,'Product Master'!$A$2:$A$200,0)),"UPC Not Found")))</f>
        <v/>
      </c>
      <c r="F10" s="9" t="str">
        <f aca="false">IF($C10="","",IF(AND(F10&lt;&gt;"",F10&lt;&gt;0,F10&lt;&gt;"UPC Not Found"),F10,IFERROR(INDEX('Product Master'!$D$2:$D$200,MATCH($C10,'Product Master'!$A$2:$A$200,0)),"UPC Not Found")))</f>
        <v/>
      </c>
      <c r="G10" s="11" t="str">
        <f aca="false">IF($C10="","",IF(AND(G10&lt;&gt;"",G10&lt;&gt;0,G10&lt;&gt;"UPC Not Found"),G10,IFERROR(INDEX('Product Master'!$E$2:$E$200,MATCH($C10,'Product Master'!$A$2:$A$200,0)),"UPC Not Found")))</f>
        <v/>
      </c>
      <c r="H10" s="12"/>
      <c r="I10" s="11" t="str">
        <f aca="false">IF(OR($C10="",H10="",G10="UPC Not Found"),"",H10-G10)</f>
        <v/>
      </c>
      <c r="J10" s="9" t="str">
        <f aca="false">IF($C10="","",IF(H10="","Not Counted",IF(I10=0,"Match",IF(I10&gt;0,"Overage","Shortage"))))</f>
        <v/>
      </c>
      <c r="K10" s="9" t="str">
        <f aca="false">IF($C10="","",IF(AND(K10&lt;&gt;"",K10&lt;&gt;0),K10,$B$4))</f>
        <v/>
      </c>
      <c r="L10" s="13"/>
      <c r="M10" s="13"/>
      <c r="N10" s="13"/>
    </row>
    <row r="11" customFormat="false" ht="15" hidden="false" customHeight="false" outlineLevel="0" collapsed="false">
      <c r="A11" s="8" t="str">
        <f aca="true">IF($C11="","",IF(AND(A11&lt;&gt;"",A11&lt;&gt;0),A11,TODAY()))</f>
        <v/>
      </c>
      <c r="B11" s="9" t="str">
        <f aca="false">IF($C11="","",IF(AND(B11&lt;&gt;"",B11&lt;&gt;0),B11,$E$4))</f>
        <v/>
      </c>
      <c r="C11" s="10"/>
      <c r="D11" s="9" t="str">
        <f aca="false">IF($C11="","",IF(AND(D11&lt;&gt;"",D11&lt;&gt;0,D11&lt;&gt;"UPC Not Found"),D11,IFERROR(INDEX('Product Master'!$B$2:$B$200,MATCH($C11,'Product Master'!$A$2:$A$200,0)),"UPC Not Found")))</f>
        <v/>
      </c>
      <c r="E11" s="9" t="str">
        <f aca="false">IF($C11="","",IF(AND(E11&lt;&gt;"",E11&lt;&gt;0,E11&lt;&gt;"UPC Not Found"),E11,IFERROR(INDEX('Product Master'!$C$2:$C$200,MATCH($C11,'Product Master'!$A$2:$A$200,0)),"UPC Not Found")))</f>
        <v/>
      </c>
      <c r="F11" s="9" t="str">
        <f aca="false">IF($C11="","",IF(AND(F11&lt;&gt;"",F11&lt;&gt;0,F11&lt;&gt;"UPC Not Found"),F11,IFERROR(INDEX('Product Master'!$D$2:$D$200,MATCH($C11,'Product Master'!$A$2:$A$200,0)),"UPC Not Found")))</f>
        <v/>
      </c>
      <c r="G11" s="11" t="str">
        <f aca="false">IF($C11="","",IF(AND(G11&lt;&gt;"",G11&lt;&gt;0,G11&lt;&gt;"UPC Not Found"),G11,IFERROR(INDEX('Product Master'!$E$2:$E$200,MATCH($C11,'Product Master'!$A$2:$A$200,0)),"UPC Not Found")))</f>
        <v/>
      </c>
      <c r="H11" s="12"/>
      <c r="I11" s="11" t="str">
        <f aca="false">IF(OR($C11="",H11="",G11="UPC Not Found"),"",H11-G11)</f>
        <v/>
      </c>
      <c r="J11" s="9" t="str">
        <f aca="false">IF($C11="","",IF(H11="","Not Counted",IF(I11=0,"Match",IF(I11&gt;0,"Overage","Shortage"))))</f>
        <v/>
      </c>
      <c r="K11" s="9" t="str">
        <f aca="false">IF($C11="","",IF(AND(K11&lt;&gt;"",K11&lt;&gt;0),K11,$B$4))</f>
        <v/>
      </c>
      <c r="L11" s="13"/>
      <c r="M11" s="13"/>
      <c r="N11" s="13"/>
    </row>
    <row r="12" customFormat="false" ht="15" hidden="false" customHeight="false" outlineLevel="0" collapsed="false">
      <c r="A12" s="8" t="str">
        <f aca="true">IF($C12="","",IF(AND(A12&lt;&gt;"",A12&lt;&gt;0),A12,TODAY()))</f>
        <v/>
      </c>
      <c r="B12" s="9" t="str">
        <f aca="false">IF($C12="","",IF(AND(B12&lt;&gt;"",B12&lt;&gt;0),B12,$E$4))</f>
        <v/>
      </c>
      <c r="C12" s="10"/>
      <c r="D12" s="9" t="str">
        <f aca="false">IF($C12="","",IF(AND(D12&lt;&gt;"",D12&lt;&gt;0,D12&lt;&gt;"UPC Not Found"),D12,IFERROR(INDEX('Product Master'!$B$2:$B$200,MATCH($C12,'Product Master'!$A$2:$A$200,0)),"UPC Not Found")))</f>
        <v/>
      </c>
      <c r="E12" s="9" t="str">
        <f aca="false">IF($C12="","",IF(AND(E12&lt;&gt;"",E12&lt;&gt;0,E12&lt;&gt;"UPC Not Found"),E12,IFERROR(INDEX('Product Master'!$C$2:$C$200,MATCH($C12,'Product Master'!$A$2:$A$200,0)),"UPC Not Found")))</f>
        <v/>
      </c>
      <c r="F12" s="9" t="str">
        <f aca="false">IF($C12="","",IF(AND(F12&lt;&gt;"",F12&lt;&gt;0,F12&lt;&gt;"UPC Not Found"),F12,IFERROR(INDEX('Product Master'!$D$2:$D$200,MATCH($C12,'Product Master'!$A$2:$A$200,0)),"UPC Not Found")))</f>
        <v/>
      </c>
      <c r="G12" s="11" t="str">
        <f aca="false">IF($C12="","",IF(AND(G12&lt;&gt;"",G12&lt;&gt;0,G12&lt;&gt;"UPC Not Found"),G12,IFERROR(INDEX('Product Master'!$E$2:$E$200,MATCH($C12,'Product Master'!$A$2:$A$200,0)),"UPC Not Found")))</f>
        <v/>
      </c>
      <c r="H12" s="12"/>
      <c r="I12" s="11" t="str">
        <f aca="false">IF(OR($C12="",H12="",G12="UPC Not Found"),"",H12-G12)</f>
        <v/>
      </c>
      <c r="J12" s="9" t="str">
        <f aca="false">IF($C12="","",IF(H12="","Not Counted",IF(I12=0,"Match",IF(I12&gt;0,"Overage","Shortage"))))</f>
        <v/>
      </c>
      <c r="K12" s="9" t="str">
        <f aca="false">IF($C12="","",IF(AND(K12&lt;&gt;"",K12&lt;&gt;0),K12,$B$4))</f>
        <v/>
      </c>
      <c r="L12" s="13"/>
      <c r="M12" s="13"/>
      <c r="N12" s="13"/>
    </row>
    <row r="13" customFormat="false" ht="15" hidden="false" customHeight="false" outlineLevel="0" collapsed="false">
      <c r="A13" s="8" t="str">
        <f aca="true">IF($C13="","",IF(AND(A13&lt;&gt;"",A13&lt;&gt;0),A13,TODAY()))</f>
        <v/>
      </c>
      <c r="B13" s="9" t="str">
        <f aca="false">IF($C13="","",IF(AND(B13&lt;&gt;"",B13&lt;&gt;0),B13,$E$4))</f>
        <v/>
      </c>
      <c r="C13" s="10"/>
      <c r="D13" s="9" t="str">
        <f aca="false">IF($C13="","",IF(AND(D13&lt;&gt;"",D13&lt;&gt;0,D13&lt;&gt;"UPC Not Found"),D13,IFERROR(INDEX('Product Master'!$B$2:$B$200,MATCH($C13,'Product Master'!$A$2:$A$200,0)),"UPC Not Found")))</f>
        <v/>
      </c>
      <c r="E13" s="9" t="str">
        <f aca="false">IF($C13="","",IF(AND(E13&lt;&gt;"",E13&lt;&gt;0,E13&lt;&gt;"UPC Not Found"),E13,IFERROR(INDEX('Product Master'!$C$2:$C$200,MATCH($C13,'Product Master'!$A$2:$A$200,0)),"UPC Not Found")))</f>
        <v/>
      </c>
      <c r="F13" s="9" t="str">
        <f aca="false">IF($C13="","",IF(AND(F13&lt;&gt;"",F13&lt;&gt;0,F13&lt;&gt;"UPC Not Found"),F13,IFERROR(INDEX('Product Master'!$D$2:$D$200,MATCH($C13,'Product Master'!$A$2:$A$200,0)),"UPC Not Found")))</f>
        <v/>
      </c>
      <c r="G13" s="11" t="str">
        <f aca="false">IF($C13="","",IF(AND(G13&lt;&gt;"",G13&lt;&gt;0,G13&lt;&gt;"UPC Not Found"),G13,IFERROR(INDEX('Product Master'!$E$2:$E$200,MATCH($C13,'Product Master'!$A$2:$A$200,0)),"UPC Not Found")))</f>
        <v/>
      </c>
      <c r="H13" s="12"/>
      <c r="I13" s="11" t="str">
        <f aca="false">IF(OR($C13="",H13="",G13="UPC Not Found"),"",H13-G13)</f>
        <v/>
      </c>
      <c r="J13" s="9" t="str">
        <f aca="false">IF($C13="","",IF(H13="","Not Counted",IF(I13=0,"Match",IF(I13&gt;0,"Overage","Shortage"))))</f>
        <v/>
      </c>
      <c r="K13" s="9" t="str">
        <f aca="false">IF($C13="","",IF(AND(K13&lt;&gt;"",K13&lt;&gt;0),K13,$B$4))</f>
        <v/>
      </c>
      <c r="L13" s="13"/>
      <c r="M13" s="13"/>
      <c r="N13" s="13"/>
    </row>
    <row r="14" customFormat="false" ht="15" hidden="false" customHeight="false" outlineLevel="0" collapsed="false">
      <c r="A14" s="8" t="str">
        <f aca="true">IF($C14="","",IF(AND(A14&lt;&gt;"",A14&lt;&gt;0),A14,TODAY()))</f>
        <v/>
      </c>
      <c r="B14" s="9" t="str">
        <f aca="false">IF($C14="","",IF(AND(B14&lt;&gt;"",B14&lt;&gt;0),B14,$E$4))</f>
        <v/>
      </c>
      <c r="C14" s="10"/>
      <c r="D14" s="9" t="str">
        <f aca="false">IF($C14="","",IF(AND(D14&lt;&gt;"",D14&lt;&gt;0,D14&lt;&gt;"UPC Not Found"),D14,IFERROR(INDEX('Product Master'!$B$2:$B$200,MATCH($C14,'Product Master'!$A$2:$A$200,0)),"UPC Not Found")))</f>
        <v/>
      </c>
      <c r="E14" s="9" t="str">
        <f aca="false">IF($C14="","",IF(AND(E14&lt;&gt;"",E14&lt;&gt;0,E14&lt;&gt;"UPC Not Found"),E14,IFERROR(INDEX('Product Master'!$C$2:$C$200,MATCH($C14,'Product Master'!$A$2:$A$200,0)),"UPC Not Found")))</f>
        <v/>
      </c>
      <c r="F14" s="9" t="str">
        <f aca="false">IF($C14="","",IF(AND(F14&lt;&gt;"",F14&lt;&gt;0,F14&lt;&gt;"UPC Not Found"),F14,IFERROR(INDEX('Product Master'!$D$2:$D$200,MATCH($C14,'Product Master'!$A$2:$A$200,0)),"UPC Not Found")))</f>
        <v/>
      </c>
      <c r="G14" s="11" t="str">
        <f aca="false">IF($C14="","",IF(AND(G14&lt;&gt;"",G14&lt;&gt;0,G14&lt;&gt;"UPC Not Found"),G14,IFERROR(INDEX('Product Master'!$E$2:$E$200,MATCH($C14,'Product Master'!$A$2:$A$200,0)),"UPC Not Found")))</f>
        <v/>
      </c>
      <c r="H14" s="12"/>
      <c r="I14" s="11" t="str">
        <f aca="false">IF(OR($C14="",H14="",G14="UPC Not Found"),"",H14-G14)</f>
        <v/>
      </c>
      <c r="J14" s="9" t="str">
        <f aca="false">IF($C14="","",IF(H14="","Not Counted",IF(I14=0,"Match",IF(I14&gt;0,"Overage","Shortage"))))</f>
        <v/>
      </c>
      <c r="K14" s="9" t="str">
        <f aca="false">IF($C14="","",IF(AND(K14&lt;&gt;"",K14&lt;&gt;0),K14,$B$4))</f>
        <v/>
      </c>
      <c r="L14" s="13"/>
      <c r="M14" s="13"/>
      <c r="N14" s="13"/>
    </row>
    <row r="15" customFormat="false" ht="15" hidden="false" customHeight="false" outlineLevel="0" collapsed="false">
      <c r="A15" s="8" t="str">
        <f aca="true">IF($C15="","",IF(AND(A15&lt;&gt;"",A15&lt;&gt;0),A15,TODAY()))</f>
        <v/>
      </c>
      <c r="B15" s="9" t="str">
        <f aca="false">IF($C15="","",IF(AND(B15&lt;&gt;"",B15&lt;&gt;0),B15,$E$4))</f>
        <v/>
      </c>
      <c r="C15" s="10"/>
      <c r="D15" s="9" t="str">
        <f aca="false">IF($C15="","",IF(AND(D15&lt;&gt;"",D15&lt;&gt;0,D15&lt;&gt;"UPC Not Found"),D15,IFERROR(INDEX('Product Master'!$B$2:$B$200,MATCH($C15,'Product Master'!$A$2:$A$200,0)),"UPC Not Found")))</f>
        <v/>
      </c>
      <c r="E15" s="9" t="str">
        <f aca="false">IF($C15="","",IF(AND(E15&lt;&gt;"",E15&lt;&gt;0,E15&lt;&gt;"UPC Not Found"),E15,IFERROR(INDEX('Product Master'!$C$2:$C$200,MATCH($C15,'Product Master'!$A$2:$A$200,0)),"UPC Not Found")))</f>
        <v/>
      </c>
      <c r="F15" s="9" t="str">
        <f aca="false">IF($C15="","",IF(AND(F15&lt;&gt;"",F15&lt;&gt;0,F15&lt;&gt;"UPC Not Found"),F15,IFERROR(INDEX('Product Master'!$D$2:$D$200,MATCH($C15,'Product Master'!$A$2:$A$200,0)),"UPC Not Found")))</f>
        <v/>
      </c>
      <c r="G15" s="11" t="str">
        <f aca="false">IF($C15="","",IF(AND(G15&lt;&gt;"",G15&lt;&gt;0,G15&lt;&gt;"UPC Not Found"),G15,IFERROR(INDEX('Product Master'!$E$2:$E$200,MATCH($C15,'Product Master'!$A$2:$A$200,0)),"UPC Not Found")))</f>
        <v/>
      </c>
      <c r="H15" s="12"/>
      <c r="I15" s="11" t="str">
        <f aca="false">IF(OR($C15="",H15="",G15="UPC Not Found"),"",H15-G15)</f>
        <v/>
      </c>
      <c r="J15" s="9" t="str">
        <f aca="false">IF($C15="","",IF(H15="","Not Counted",IF(I15=0,"Match",IF(I15&gt;0,"Overage","Shortage"))))</f>
        <v/>
      </c>
      <c r="K15" s="9" t="str">
        <f aca="false">IF($C15="","",IF(AND(K15&lt;&gt;"",K15&lt;&gt;0),K15,$B$4))</f>
        <v/>
      </c>
      <c r="L15" s="13"/>
      <c r="M15" s="13"/>
      <c r="N15" s="13"/>
    </row>
    <row r="16" customFormat="false" ht="15" hidden="false" customHeight="false" outlineLevel="0" collapsed="false">
      <c r="A16" s="8" t="str">
        <f aca="true">IF($C16="","",IF(AND(A16&lt;&gt;"",A16&lt;&gt;0),A16,TODAY()))</f>
        <v/>
      </c>
      <c r="B16" s="9" t="str">
        <f aca="false">IF($C16="","",IF(AND(B16&lt;&gt;"",B16&lt;&gt;0),B16,$E$4))</f>
        <v/>
      </c>
      <c r="C16" s="10"/>
      <c r="D16" s="9" t="str">
        <f aca="false">IF($C16="","",IF(AND(D16&lt;&gt;"",D16&lt;&gt;0,D16&lt;&gt;"UPC Not Found"),D16,IFERROR(INDEX('Product Master'!$B$2:$B$200,MATCH($C16,'Product Master'!$A$2:$A$200,0)),"UPC Not Found")))</f>
        <v/>
      </c>
      <c r="E16" s="9" t="str">
        <f aca="false">IF($C16="","",IF(AND(E16&lt;&gt;"",E16&lt;&gt;0,E16&lt;&gt;"UPC Not Found"),E16,IFERROR(INDEX('Product Master'!$C$2:$C$200,MATCH($C16,'Product Master'!$A$2:$A$200,0)),"UPC Not Found")))</f>
        <v/>
      </c>
      <c r="F16" s="9" t="str">
        <f aca="false">IF($C16="","",IF(AND(F16&lt;&gt;"",F16&lt;&gt;0,F16&lt;&gt;"UPC Not Found"),F16,IFERROR(INDEX('Product Master'!$D$2:$D$200,MATCH($C16,'Product Master'!$A$2:$A$200,0)),"UPC Not Found")))</f>
        <v/>
      </c>
      <c r="G16" s="11" t="str">
        <f aca="false">IF($C16="","",IF(AND(G16&lt;&gt;"",G16&lt;&gt;0,G16&lt;&gt;"UPC Not Found"),G16,IFERROR(INDEX('Product Master'!$E$2:$E$200,MATCH($C16,'Product Master'!$A$2:$A$200,0)),"UPC Not Found")))</f>
        <v/>
      </c>
      <c r="H16" s="12"/>
      <c r="I16" s="11" t="str">
        <f aca="false">IF(OR($C16="",H16="",G16="UPC Not Found"),"",H16-G16)</f>
        <v/>
      </c>
      <c r="J16" s="9" t="str">
        <f aca="false">IF($C16="","",IF(H16="","Not Counted",IF(I16=0,"Match",IF(I16&gt;0,"Overage","Shortage"))))</f>
        <v/>
      </c>
      <c r="K16" s="9" t="str">
        <f aca="false">IF($C16="","",IF(AND(K16&lt;&gt;"",K16&lt;&gt;0),K16,$B$4))</f>
        <v/>
      </c>
      <c r="L16" s="13"/>
      <c r="M16" s="13"/>
      <c r="N16" s="13"/>
    </row>
    <row r="17" customFormat="false" ht="15" hidden="false" customHeight="false" outlineLevel="0" collapsed="false">
      <c r="A17" s="8" t="str">
        <f aca="true">IF($C17="","",IF(AND(A17&lt;&gt;"",A17&lt;&gt;0),A17,TODAY()))</f>
        <v/>
      </c>
      <c r="B17" s="9" t="str">
        <f aca="false">IF($C17="","",IF(AND(B17&lt;&gt;"",B17&lt;&gt;0),B17,$E$4))</f>
        <v/>
      </c>
      <c r="C17" s="10"/>
      <c r="D17" s="9" t="str">
        <f aca="false">IF($C17="","",IF(AND(D17&lt;&gt;"",D17&lt;&gt;0,D17&lt;&gt;"UPC Not Found"),D17,IFERROR(INDEX('Product Master'!$B$2:$B$200,MATCH($C17,'Product Master'!$A$2:$A$200,0)),"UPC Not Found")))</f>
        <v/>
      </c>
      <c r="E17" s="9" t="str">
        <f aca="false">IF($C17="","",IF(AND(E17&lt;&gt;"",E17&lt;&gt;0,E17&lt;&gt;"UPC Not Found"),E17,IFERROR(INDEX('Product Master'!$C$2:$C$200,MATCH($C17,'Product Master'!$A$2:$A$200,0)),"UPC Not Found")))</f>
        <v/>
      </c>
      <c r="F17" s="9" t="str">
        <f aca="false">IF($C17="","",IF(AND(F17&lt;&gt;"",F17&lt;&gt;0,F17&lt;&gt;"UPC Not Found"),F17,IFERROR(INDEX('Product Master'!$D$2:$D$200,MATCH($C17,'Product Master'!$A$2:$A$200,0)),"UPC Not Found")))</f>
        <v/>
      </c>
      <c r="G17" s="11" t="str">
        <f aca="false">IF($C17="","",IF(AND(G17&lt;&gt;"",G17&lt;&gt;0,G17&lt;&gt;"UPC Not Found"),G17,IFERROR(INDEX('Product Master'!$E$2:$E$200,MATCH($C17,'Product Master'!$A$2:$A$200,0)),"UPC Not Found")))</f>
        <v/>
      </c>
      <c r="H17" s="12"/>
      <c r="I17" s="11" t="str">
        <f aca="false">IF(OR($C17="",H17="",G17="UPC Not Found"),"",H17-G17)</f>
        <v/>
      </c>
      <c r="J17" s="9" t="str">
        <f aca="false">IF($C17="","",IF(H17="","Not Counted",IF(I17=0,"Match",IF(I17&gt;0,"Overage","Shortage"))))</f>
        <v/>
      </c>
      <c r="K17" s="9" t="str">
        <f aca="false">IF($C17="","",IF(AND(K17&lt;&gt;"",K17&lt;&gt;0),K17,$B$4))</f>
        <v/>
      </c>
      <c r="L17" s="13"/>
      <c r="M17" s="13"/>
      <c r="N17" s="13"/>
    </row>
    <row r="18" customFormat="false" ht="15" hidden="false" customHeight="false" outlineLevel="0" collapsed="false">
      <c r="A18" s="8" t="str">
        <f aca="true">IF($C18="","",IF(AND(A18&lt;&gt;"",A18&lt;&gt;0),A18,TODAY()))</f>
        <v/>
      </c>
      <c r="B18" s="9" t="str">
        <f aca="false">IF($C18="","",IF(AND(B18&lt;&gt;"",B18&lt;&gt;0),B18,$E$4))</f>
        <v/>
      </c>
      <c r="C18" s="10"/>
      <c r="D18" s="9" t="str">
        <f aca="false">IF($C18="","",IF(AND(D18&lt;&gt;"",D18&lt;&gt;0,D18&lt;&gt;"UPC Not Found"),D18,IFERROR(INDEX('Product Master'!$B$2:$B$200,MATCH($C18,'Product Master'!$A$2:$A$200,0)),"UPC Not Found")))</f>
        <v/>
      </c>
      <c r="E18" s="9" t="str">
        <f aca="false">IF($C18="","",IF(AND(E18&lt;&gt;"",E18&lt;&gt;0,E18&lt;&gt;"UPC Not Found"),E18,IFERROR(INDEX('Product Master'!$C$2:$C$200,MATCH($C18,'Product Master'!$A$2:$A$200,0)),"UPC Not Found")))</f>
        <v/>
      </c>
      <c r="F18" s="9" t="str">
        <f aca="false">IF($C18="","",IF(AND(F18&lt;&gt;"",F18&lt;&gt;0,F18&lt;&gt;"UPC Not Found"),F18,IFERROR(INDEX('Product Master'!$D$2:$D$200,MATCH($C18,'Product Master'!$A$2:$A$200,0)),"UPC Not Found")))</f>
        <v/>
      </c>
      <c r="G18" s="11" t="str">
        <f aca="false">IF($C18="","",IF(AND(G18&lt;&gt;"",G18&lt;&gt;0,G18&lt;&gt;"UPC Not Found"),G18,IFERROR(INDEX('Product Master'!$E$2:$E$200,MATCH($C18,'Product Master'!$A$2:$A$200,0)),"UPC Not Found")))</f>
        <v/>
      </c>
      <c r="H18" s="12"/>
      <c r="I18" s="11" t="str">
        <f aca="false">IF(OR($C18="",H18="",G18="UPC Not Found"),"",H18-G18)</f>
        <v/>
      </c>
      <c r="J18" s="9" t="str">
        <f aca="false">IF($C18="","",IF(H18="","Not Counted",IF(I18=0,"Match",IF(I18&gt;0,"Overage","Shortage"))))</f>
        <v/>
      </c>
      <c r="K18" s="9" t="str">
        <f aca="false">IF($C18="","",IF(AND(K18&lt;&gt;"",K18&lt;&gt;0),K18,$B$4))</f>
        <v/>
      </c>
      <c r="L18" s="13"/>
      <c r="M18" s="13"/>
      <c r="N18" s="13"/>
    </row>
    <row r="19" customFormat="false" ht="15" hidden="false" customHeight="false" outlineLevel="0" collapsed="false">
      <c r="A19" s="8" t="str">
        <f aca="true">IF($C19="","",IF(AND(A19&lt;&gt;"",A19&lt;&gt;0),A19,TODAY()))</f>
        <v/>
      </c>
      <c r="B19" s="9" t="str">
        <f aca="false">IF($C19="","",IF(AND(B19&lt;&gt;"",B19&lt;&gt;0),B19,$E$4))</f>
        <v/>
      </c>
      <c r="C19" s="10"/>
      <c r="D19" s="9" t="str">
        <f aca="false">IF($C19="","",IF(AND(D19&lt;&gt;"",D19&lt;&gt;0,D19&lt;&gt;"UPC Not Found"),D19,IFERROR(INDEX('Product Master'!$B$2:$B$200,MATCH($C19,'Product Master'!$A$2:$A$200,0)),"UPC Not Found")))</f>
        <v/>
      </c>
      <c r="E19" s="9" t="str">
        <f aca="false">IF($C19="","",IF(AND(E19&lt;&gt;"",E19&lt;&gt;0,E19&lt;&gt;"UPC Not Found"),E19,IFERROR(INDEX('Product Master'!$C$2:$C$200,MATCH($C19,'Product Master'!$A$2:$A$200,0)),"UPC Not Found")))</f>
        <v/>
      </c>
      <c r="F19" s="9" t="str">
        <f aca="false">IF($C19="","",IF(AND(F19&lt;&gt;"",F19&lt;&gt;0,F19&lt;&gt;"UPC Not Found"),F19,IFERROR(INDEX('Product Master'!$D$2:$D$200,MATCH($C19,'Product Master'!$A$2:$A$200,0)),"UPC Not Found")))</f>
        <v/>
      </c>
      <c r="G19" s="11" t="str">
        <f aca="false">IF($C19="","",IF(AND(G19&lt;&gt;"",G19&lt;&gt;0,G19&lt;&gt;"UPC Not Found"),G19,IFERROR(INDEX('Product Master'!$E$2:$E$200,MATCH($C19,'Product Master'!$A$2:$A$200,0)),"UPC Not Found")))</f>
        <v/>
      </c>
      <c r="H19" s="12"/>
      <c r="I19" s="11" t="str">
        <f aca="false">IF(OR($C19="",H19="",G19="UPC Not Found"),"",H19-G19)</f>
        <v/>
      </c>
      <c r="J19" s="9" t="str">
        <f aca="false">IF($C19="","",IF(H19="","Not Counted",IF(I19=0,"Match",IF(I19&gt;0,"Overage","Shortage"))))</f>
        <v/>
      </c>
      <c r="K19" s="9" t="str">
        <f aca="false">IF($C19="","",IF(AND(K19&lt;&gt;"",K19&lt;&gt;0),K19,$B$4))</f>
        <v/>
      </c>
      <c r="L19" s="13"/>
      <c r="M19" s="13"/>
      <c r="N19" s="13"/>
    </row>
    <row r="20" customFormat="false" ht="15" hidden="false" customHeight="false" outlineLevel="0" collapsed="false">
      <c r="A20" s="8" t="str">
        <f aca="true">IF($C20="","",IF(AND(A20&lt;&gt;"",A20&lt;&gt;0),A20,TODAY()))</f>
        <v/>
      </c>
      <c r="B20" s="9" t="str">
        <f aca="false">IF($C20="","",IF(AND(B20&lt;&gt;"",B20&lt;&gt;0),B20,$E$4))</f>
        <v/>
      </c>
      <c r="C20" s="10"/>
      <c r="D20" s="9" t="str">
        <f aca="false">IF($C20="","",IF(AND(D20&lt;&gt;"",D20&lt;&gt;0,D20&lt;&gt;"UPC Not Found"),D20,IFERROR(INDEX('Product Master'!$B$2:$B$200,MATCH($C20,'Product Master'!$A$2:$A$200,0)),"UPC Not Found")))</f>
        <v/>
      </c>
      <c r="E20" s="9" t="str">
        <f aca="false">IF($C20="","",IF(AND(E20&lt;&gt;"",E20&lt;&gt;0,E20&lt;&gt;"UPC Not Found"),E20,IFERROR(INDEX('Product Master'!$C$2:$C$200,MATCH($C20,'Product Master'!$A$2:$A$200,0)),"UPC Not Found")))</f>
        <v/>
      </c>
      <c r="F20" s="9" t="str">
        <f aca="false">IF($C20="","",IF(AND(F20&lt;&gt;"",F20&lt;&gt;0,F20&lt;&gt;"UPC Not Found"),F20,IFERROR(INDEX('Product Master'!$D$2:$D$200,MATCH($C20,'Product Master'!$A$2:$A$200,0)),"UPC Not Found")))</f>
        <v/>
      </c>
      <c r="G20" s="11" t="str">
        <f aca="false">IF($C20="","",IF(AND(G20&lt;&gt;"",G20&lt;&gt;0,G20&lt;&gt;"UPC Not Found"),G20,IFERROR(INDEX('Product Master'!$E$2:$E$200,MATCH($C20,'Product Master'!$A$2:$A$200,0)),"UPC Not Found")))</f>
        <v/>
      </c>
      <c r="H20" s="12"/>
      <c r="I20" s="11" t="str">
        <f aca="false">IF(OR($C20="",H20="",G20="UPC Not Found"),"",H20-G20)</f>
        <v/>
      </c>
      <c r="J20" s="9" t="str">
        <f aca="false">IF($C20="","",IF(H20="","Not Counted",IF(I20=0,"Match",IF(I20&gt;0,"Overage","Shortage"))))</f>
        <v/>
      </c>
      <c r="K20" s="9" t="str">
        <f aca="false">IF($C20="","",IF(AND(K20&lt;&gt;"",K20&lt;&gt;0),K20,$B$4))</f>
        <v/>
      </c>
      <c r="L20" s="13"/>
      <c r="M20" s="13"/>
      <c r="N20" s="13"/>
    </row>
    <row r="21" customFormat="false" ht="15" hidden="false" customHeight="false" outlineLevel="0" collapsed="false">
      <c r="A21" s="8" t="str">
        <f aca="true">IF($C21="","",IF(AND(A21&lt;&gt;"",A21&lt;&gt;0),A21,TODAY()))</f>
        <v/>
      </c>
      <c r="B21" s="9" t="str">
        <f aca="false">IF($C21="","",IF(AND(B21&lt;&gt;"",B21&lt;&gt;0),B21,$E$4))</f>
        <v/>
      </c>
      <c r="C21" s="10"/>
      <c r="D21" s="9" t="str">
        <f aca="false">IF($C21="","",IF(AND(D21&lt;&gt;"",D21&lt;&gt;0,D21&lt;&gt;"UPC Not Found"),D21,IFERROR(INDEX('Product Master'!$B$2:$B$200,MATCH($C21,'Product Master'!$A$2:$A$200,0)),"UPC Not Found")))</f>
        <v/>
      </c>
      <c r="E21" s="9" t="str">
        <f aca="false">IF($C21="","",IF(AND(E21&lt;&gt;"",E21&lt;&gt;0,E21&lt;&gt;"UPC Not Found"),E21,IFERROR(INDEX('Product Master'!$C$2:$C$200,MATCH($C21,'Product Master'!$A$2:$A$200,0)),"UPC Not Found")))</f>
        <v/>
      </c>
      <c r="F21" s="9" t="str">
        <f aca="false">IF($C21="","",IF(AND(F21&lt;&gt;"",F21&lt;&gt;0,F21&lt;&gt;"UPC Not Found"),F21,IFERROR(INDEX('Product Master'!$D$2:$D$200,MATCH($C21,'Product Master'!$A$2:$A$200,0)),"UPC Not Found")))</f>
        <v/>
      </c>
      <c r="G21" s="11" t="str">
        <f aca="false">IF($C21="","",IF(AND(G21&lt;&gt;"",G21&lt;&gt;0,G21&lt;&gt;"UPC Not Found"),G21,IFERROR(INDEX('Product Master'!$E$2:$E$200,MATCH($C21,'Product Master'!$A$2:$A$200,0)),"UPC Not Found")))</f>
        <v/>
      </c>
      <c r="H21" s="12"/>
      <c r="I21" s="11" t="str">
        <f aca="false">IF(OR($C21="",H21="",G21="UPC Not Found"),"",H21-G21)</f>
        <v/>
      </c>
      <c r="J21" s="9" t="str">
        <f aca="false">IF($C21="","",IF(H21="","Not Counted",IF(I21=0,"Match",IF(I21&gt;0,"Overage","Shortage"))))</f>
        <v/>
      </c>
      <c r="K21" s="9" t="str">
        <f aca="false">IF($C21="","",IF(AND(K21&lt;&gt;"",K21&lt;&gt;0),K21,$B$4))</f>
        <v/>
      </c>
      <c r="L21" s="13"/>
      <c r="M21" s="13"/>
      <c r="N21" s="13"/>
    </row>
    <row r="22" customFormat="false" ht="15" hidden="false" customHeight="false" outlineLevel="0" collapsed="false">
      <c r="A22" s="8" t="str">
        <f aca="true">IF($C22="","",IF(AND(A22&lt;&gt;"",A22&lt;&gt;0),A22,TODAY()))</f>
        <v/>
      </c>
      <c r="B22" s="9" t="str">
        <f aca="false">IF($C22="","",IF(AND(B22&lt;&gt;"",B22&lt;&gt;0),B22,$E$4))</f>
        <v/>
      </c>
      <c r="C22" s="10"/>
      <c r="D22" s="9" t="str">
        <f aca="false">IF($C22="","",IF(AND(D22&lt;&gt;"",D22&lt;&gt;0,D22&lt;&gt;"UPC Not Found"),D22,IFERROR(INDEX('Product Master'!$B$2:$B$200,MATCH($C22,'Product Master'!$A$2:$A$200,0)),"UPC Not Found")))</f>
        <v/>
      </c>
      <c r="E22" s="9" t="str">
        <f aca="false">IF($C22="","",IF(AND(E22&lt;&gt;"",E22&lt;&gt;0,E22&lt;&gt;"UPC Not Found"),E22,IFERROR(INDEX('Product Master'!$C$2:$C$200,MATCH($C22,'Product Master'!$A$2:$A$200,0)),"UPC Not Found")))</f>
        <v/>
      </c>
      <c r="F22" s="9" t="str">
        <f aca="false">IF($C22="","",IF(AND(F22&lt;&gt;"",F22&lt;&gt;0,F22&lt;&gt;"UPC Not Found"),F22,IFERROR(INDEX('Product Master'!$D$2:$D$200,MATCH($C22,'Product Master'!$A$2:$A$200,0)),"UPC Not Found")))</f>
        <v/>
      </c>
      <c r="G22" s="11" t="str">
        <f aca="false">IF($C22="","",IF(AND(G22&lt;&gt;"",G22&lt;&gt;0,G22&lt;&gt;"UPC Not Found"),G22,IFERROR(INDEX('Product Master'!$E$2:$E$200,MATCH($C22,'Product Master'!$A$2:$A$200,0)),"UPC Not Found")))</f>
        <v/>
      </c>
      <c r="H22" s="12"/>
      <c r="I22" s="11" t="str">
        <f aca="false">IF(OR($C22="",H22="",G22="UPC Not Found"),"",H22-G22)</f>
        <v/>
      </c>
      <c r="J22" s="9" t="str">
        <f aca="false">IF($C22="","",IF(H22="","Not Counted",IF(I22=0,"Match",IF(I22&gt;0,"Overage","Shortage"))))</f>
        <v/>
      </c>
      <c r="K22" s="9" t="str">
        <f aca="false">IF($C22="","",IF(AND(K22&lt;&gt;"",K22&lt;&gt;0),K22,$B$4))</f>
        <v/>
      </c>
      <c r="L22" s="13"/>
      <c r="M22" s="13"/>
      <c r="N22" s="13"/>
    </row>
    <row r="23" customFormat="false" ht="15" hidden="false" customHeight="false" outlineLevel="0" collapsed="false">
      <c r="A23" s="8" t="str">
        <f aca="true">IF($C23="","",IF(AND(A23&lt;&gt;"",A23&lt;&gt;0),A23,TODAY()))</f>
        <v/>
      </c>
      <c r="B23" s="9" t="str">
        <f aca="false">IF($C23="","",IF(AND(B23&lt;&gt;"",B23&lt;&gt;0),B23,$E$4))</f>
        <v/>
      </c>
      <c r="C23" s="10"/>
      <c r="D23" s="9" t="str">
        <f aca="false">IF($C23="","",IF(AND(D23&lt;&gt;"",D23&lt;&gt;0,D23&lt;&gt;"UPC Not Found"),D23,IFERROR(INDEX('Product Master'!$B$2:$B$200,MATCH($C23,'Product Master'!$A$2:$A$200,0)),"UPC Not Found")))</f>
        <v/>
      </c>
      <c r="E23" s="9" t="str">
        <f aca="false">IF($C23="","",IF(AND(E23&lt;&gt;"",E23&lt;&gt;0,E23&lt;&gt;"UPC Not Found"),E23,IFERROR(INDEX('Product Master'!$C$2:$C$200,MATCH($C23,'Product Master'!$A$2:$A$200,0)),"UPC Not Found")))</f>
        <v/>
      </c>
      <c r="F23" s="9" t="str">
        <f aca="false">IF($C23="","",IF(AND(F23&lt;&gt;"",F23&lt;&gt;0,F23&lt;&gt;"UPC Not Found"),F23,IFERROR(INDEX('Product Master'!$D$2:$D$200,MATCH($C23,'Product Master'!$A$2:$A$200,0)),"UPC Not Found")))</f>
        <v/>
      </c>
      <c r="G23" s="11" t="str">
        <f aca="false">IF($C23="","",IF(AND(G23&lt;&gt;"",G23&lt;&gt;0,G23&lt;&gt;"UPC Not Found"),G23,IFERROR(INDEX('Product Master'!$E$2:$E$200,MATCH($C23,'Product Master'!$A$2:$A$200,0)),"UPC Not Found")))</f>
        <v/>
      </c>
      <c r="H23" s="12"/>
      <c r="I23" s="11" t="str">
        <f aca="false">IF(OR($C23="",H23="",G23="UPC Not Found"),"",H23-G23)</f>
        <v/>
      </c>
      <c r="J23" s="9" t="str">
        <f aca="false">IF($C23="","",IF(H23="","Not Counted",IF(I23=0,"Match",IF(I23&gt;0,"Overage","Shortage"))))</f>
        <v/>
      </c>
      <c r="K23" s="9" t="str">
        <f aca="false">IF($C23="","",IF(AND(K23&lt;&gt;"",K23&lt;&gt;0),K23,$B$4))</f>
        <v/>
      </c>
      <c r="L23" s="13"/>
      <c r="M23" s="13"/>
      <c r="N23" s="13"/>
    </row>
    <row r="24" customFormat="false" ht="15" hidden="false" customHeight="false" outlineLevel="0" collapsed="false">
      <c r="A24" s="8" t="str">
        <f aca="true">IF($C24="","",IF(AND(A24&lt;&gt;"",A24&lt;&gt;0),A24,TODAY()))</f>
        <v/>
      </c>
      <c r="B24" s="9" t="str">
        <f aca="false">IF($C24="","",IF(AND(B24&lt;&gt;"",B24&lt;&gt;0),B24,$E$4))</f>
        <v/>
      </c>
      <c r="C24" s="10"/>
      <c r="D24" s="9" t="str">
        <f aca="false">IF($C24="","",IF(AND(D24&lt;&gt;"",D24&lt;&gt;0,D24&lt;&gt;"UPC Not Found"),D24,IFERROR(INDEX('Product Master'!$B$2:$B$200,MATCH($C24,'Product Master'!$A$2:$A$200,0)),"UPC Not Found")))</f>
        <v/>
      </c>
      <c r="E24" s="9" t="str">
        <f aca="false">IF($C24="","",IF(AND(E24&lt;&gt;"",E24&lt;&gt;0,E24&lt;&gt;"UPC Not Found"),E24,IFERROR(INDEX('Product Master'!$C$2:$C$200,MATCH($C24,'Product Master'!$A$2:$A$200,0)),"UPC Not Found")))</f>
        <v/>
      </c>
      <c r="F24" s="9" t="str">
        <f aca="false">IF($C24="","",IF(AND(F24&lt;&gt;"",F24&lt;&gt;0,F24&lt;&gt;"UPC Not Found"),F24,IFERROR(INDEX('Product Master'!$D$2:$D$200,MATCH($C24,'Product Master'!$A$2:$A$200,0)),"UPC Not Found")))</f>
        <v/>
      </c>
      <c r="G24" s="11" t="str">
        <f aca="false">IF($C24="","",IF(AND(G24&lt;&gt;"",G24&lt;&gt;0,G24&lt;&gt;"UPC Not Found"),G24,IFERROR(INDEX('Product Master'!$E$2:$E$200,MATCH($C24,'Product Master'!$A$2:$A$200,0)),"UPC Not Found")))</f>
        <v/>
      </c>
      <c r="H24" s="12"/>
      <c r="I24" s="11" t="str">
        <f aca="false">IF(OR($C24="",H24="",G24="UPC Not Found"),"",H24-G24)</f>
        <v/>
      </c>
      <c r="J24" s="9" t="str">
        <f aca="false">IF($C24="","",IF(H24="","Not Counted",IF(I24=0,"Match",IF(I24&gt;0,"Overage","Shortage"))))</f>
        <v/>
      </c>
      <c r="K24" s="9" t="str">
        <f aca="false">IF($C24="","",IF(AND(K24&lt;&gt;"",K24&lt;&gt;0),K24,$B$4))</f>
        <v/>
      </c>
      <c r="L24" s="13"/>
      <c r="M24" s="13"/>
      <c r="N24" s="13"/>
    </row>
    <row r="25" customFormat="false" ht="15" hidden="false" customHeight="false" outlineLevel="0" collapsed="false">
      <c r="A25" s="8" t="str">
        <f aca="true">IF($C25="","",IF(AND(A25&lt;&gt;"",A25&lt;&gt;0),A25,TODAY()))</f>
        <v/>
      </c>
      <c r="B25" s="9" t="str">
        <f aca="false">IF($C25="","",IF(AND(B25&lt;&gt;"",B25&lt;&gt;0),B25,$E$4))</f>
        <v/>
      </c>
      <c r="C25" s="10"/>
      <c r="D25" s="9" t="str">
        <f aca="false">IF($C25="","",IF(AND(D25&lt;&gt;"",D25&lt;&gt;0,D25&lt;&gt;"UPC Not Found"),D25,IFERROR(INDEX('Product Master'!$B$2:$B$200,MATCH($C25,'Product Master'!$A$2:$A$200,0)),"UPC Not Found")))</f>
        <v/>
      </c>
      <c r="E25" s="9" t="str">
        <f aca="false">IF($C25="","",IF(AND(E25&lt;&gt;"",E25&lt;&gt;0,E25&lt;&gt;"UPC Not Found"),E25,IFERROR(INDEX('Product Master'!$C$2:$C$200,MATCH($C25,'Product Master'!$A$2:$A$200,0)),"UPC Not Found")))</f>
        <v/>
      </c>
      <c r="F25" s="9" t="str">
        <f aca="false">IF($C25="","",IF(AND(F25&lt;&gt;"",F25&lt;&gt;0,F25&lt;&gt;"UPC Not Found"),F25,IFERROR(INDEX('Product Master'!$D$2:$D$200,MATCH($C25,'Product Master'!$A$2:$A$200,0)),"UPC Not Found")))</f>
        <v/>
      </c>
      <c r="G25" s="11" t="str">
        <f aca="false">IF($C25="","",IF(AND(G25&lt;&gt;"",G25&lt;&gt;0,G25&lt;&gt;"UPC Not Found"),G25,IFERROR(INDEX('Product Master'!$E$2:$E$200,MATCH($C25,'Product Master'!$A$2:$A$200,0)),"UPC Not Found")))</f>
        <v/>
      </c>
      <c r="H25" s="12"/>
      <c r="I25" s="11" t="str">
        <f aca="false">IF(OR($C25="",H25="",G25="UPC Not Found"),"",H25-G25)</f>
        <v/>
      </c>
      <c r="J25" s="9" t="str">
        <f aca="false">IF($C25="","",IF(H25="","Not Counted",IF(I25=0,"Match",IF(I25&gt;0,"Overage","Shortage"))))</f>
        <v/>
      </c>
      <c r="K25" s="9" t="str">
        <f aca="false">IF($C25="","",IF(AND(K25&lt;&gt;"",K25&lt;&gt;0),K25,$B$4))</f>
        <v/>
      </c>
      <c r="L25" s="13"/>
      <c r="M25" s="13"/>
      <c r="N25" s="13"/>
    </row>
    <row r="26" customFormat="false" ht="15" hidden="false" customHeight="false" outlineLevel="0" collapsed="false">
      <c r="A26" s="8" t="str">
        <f aca="true">IF($C26="","",IF(AND(A26&lt;&gt;"",A26&lt;&gt;0),A26,TODAY()))</f>
        <v/>
      </c>
      <c r="B26" s="9" t="str">
        <f aca="false">IF($C26="","",IF(AND(B26&lt;&gt;"",B26&lt;&gt;0),B26,$E$4))</f>
        <v/>
      </c>
      <c r="C26" s="10"/>
      <c r="D26" s="9" t="str">
        <f aca="false">IF($C26="","",IF(AND(D26&lt;&gt;"",D26&lt;&gt;0,D26&lt;&gt;"UPC Not Found"),D26,IFERROR(INDEX('Product Master'!$B$2:$B$200,MATCH($C26,'Product Master'!$A$2:$A$200,0)),"UPC Not Found")))</f>
        <v/>
      </c>
      <c r="E26" s="9" t="str">
        <f aca="false">IF($C26="","",IF(AND(E26&lt;&gt;"",E26&lt;&gt;0,E26&lt;&gt;"UPC Not Found"),E26,IFERROR(INDEX('Product Master'!$C$2:$C$200,MATCH($C26,'Product Master'!$A$2:$A$200,0)),"UPC Not Found")))</f>
        <v/>
      </c>
      <c r="F26" s="9" t="str">
        <f aca="false">IF($C26="","",IF(AND(F26&lt;&gt;"",F26&lt;&gt;0,F26&lt;&gt;"UPC Not Found"),F26,IFERROR(INDEX('Product Master'!$D$2:$D$200,MATCH($C26,'Product Master'!$A$2:$A$200,0)),"UPC Not Found")))</f>
        <v/>
      </c>
      <c r="G26" s="11" t="str">
        <f aca="false">IF($C26="","",IF(AND(G26&lt;&gt;"",G26&lt;&gt;0,G26&lt;&gt;"UPC Not Found"),G26,IFERROR(INDEX('Product Master'!$E$2:$E$200,MATCH($C26,'Product Master'!$A$2:$A$200,0)),"UPC Not Found")))</f>
        <v/>
      </c>
      <c r="H26" s="12"/>
      <c r="I26" s="11" t="str">
        <f aca="false">IF(OR($C26="",H26="",G26="UPC Not Found"),"",H26-G26)</f>
        <v/>
      </c>
      <c r="J26" s="9" t="str">
        <f aca="false">IF($C26="","",IF(H26="","Not Counted",IF(I26=0,"Match",IF(I26&gt;0,"Overage","Shortage"))))</f>
        <v/>
      </c>
      <c r="K26" s="9" t="str">
        <f aca="false">IF($C26="","",IF(AND(K26&lt;&gt;"",K26&lt;&gt;0),K26,$B$4))</f>
        <v/>
      </c>
      <c r="L26" s="13"/>
      <c r="M26" s="13"/>
      <c r="N26" s="13"/>
    </row>
    <row r="27" customFormat="false" ht="15" hidden="false" customHeight="false" outlineLevel="0" collapsed="false">
      <c r="A27" s="8" t="str">
        <f aca="true">IF($C27="","",IF(AND(A27&lt;&gt;"",A27&lt;&gt;0),A27,TODAY()))</f>
        <v/>
      </c>
      <c r="B27" s="9" t="str">
        <f aca="false">IF($C27="","",IF(AND(B27&lt;&gt;"",B27&lt;&gt;0),B27,$E$4))</f>
        <v/>
      </c>
      <c r="C27" s="10"/>
      <c r="D27" s="9" t="str">
        <f aca="false">IF($C27="","",IF(AND(D27&lt;&gt;"",D27&lt;&gt;0,D27&lt;&gt;"UPC Not Found"),D27,IFERROR(INDEX('Product Master'!$B$2:$B$200,MATCH($C27,'Product Master'!$A$2:$A$200,0)),"UPC Not Found")))</f>
        <v/>
      </c>
      <c r="E27" s="9" t="str">
        <f aca="false">IF($C27="","",IF(AND(E27&lt;&gt;"",E27&lt;&gt;0,E27&lt;&gt;"UPC Not Found"),E27,IFERROR(INDEX('Product Master'!$C$2:$C$200,MATCH($C27,'Product Master'!$A$2:$A$200,0)),"UPC Not Found")))</f>
        <v/>
      </c>
      <c r="F27" s="9" t="str">
        <f aca="false">IF($C27="","",IF(AND(F27&lt;&gt;"",F27&lt;&gt;0,F27&lt;&gt;"UPC Not Found"),F27,IFERROR(INDEX('Product Master'!$D$2:$D$200,MATCH($C27,'Product Master'!$A$2:$A$200,0)),"UPC Not Found")))</f>
        <v/>
      </c>
      <c r="G27" s="11" t="str">
        <f aca="false">IF($C27="","",IF(AND(G27&lt;&gt;"",G27&lt;&gt;0,G27&lt;&gt;"UPC Not Found"),G27,IFERROR(INDEX('Product Master'!$E$2:$E$200,MATCH($C27,'Product Master'!$A$2:$A$200,0)),"UPC Not Found")))</f>
        <v/>
      </c>
      <c r="H27" s="12"/>
      <c r="I27" s="11" t="str">
        <f aca="false">IF(OR($C27="",H27="",G27="UPC Not Found"),"",H27-G27)</f>
        <v/>
      </c>
      <c r="J27" s="9" t="str">
        <f aca="false">IF($C27="","",IF(H27="","Not Counted",IF(I27=0,"Match",IF(I27&gt;0,"Overage","Shortage"))))</f>
        <v/>
      </c>
      <c r="K27" s="9" t="str">
        <f aca="false">IF($C27="","",IF(AND(K27&lt;&gt;"",K27&lt;&gt;0),K27,$B$4))</f>
        <v/>
      </c>
      <c r="L27" s="13"/>
      <c r="M27" s="13"/>
      <c r="N27" s="13"/>
    </row>
    <row r="28" customFormat="false" ht="15" hidden="false" customHeight="false" outlineLevel="0" collapsed="false">
      <c r="A28" s="8" t="str">
        <f aca="true">IF($C28="","",IF(AND(A28&lt;&gt;"",A28&lt;&gt;0),A28,TODAY()))</f>
        <v/>
      </c>
      <c r="B28" s="9" t="str">
        <f aca="false">IF($C28="","",IF(AND(B28&lt;&gt;"",B28&lt;&gt;0),B28,$E$4))</f>
        <v/>
      </c>
      <c r="C28" s="10"/>
      <c r="D28" s="9" t="str">
        <f aca="false">IF($C28="","",IF(AND(D28&lt;&gt;"",D28&lt;&gt;0,D28&lt;&gt;"UPC Not Found"),D28,IFERROR(INDEX('Product Master'!$B$2:$B$200,MATCH($C28,'Product Master'!$A$2:$A$200,0)),"UPC Not Found")))</f>
        <v/>
      </c>
      <c r="E28" s="9" t="str">
        <f aca="false">IF($C28="","",IF(AND(E28&lt;&gt;"",E28&lt;&gt;0,E28&lt;&gt;"UPC Not Found"),E28,IFERROR(INDEX('Product Master'!$C$2:$C$200,MATCH($C28,'Product Master'!$A$2:$A$200,0)),"UPC Not Found")))</f>
        <v/>
      </c>
      <c r="F28" s="9" t="str">
        <f aca="false">IF($C28="","",IF(AND(F28&lt;&gt;"",F28&lt;&gt;0,F28&lt;&gt;"UPC Not Found"),F28,IFERROR(INDEX('Product Master'!$D$2:$D$200,MATCH($C28,'Product Master'!$A$2:$A$200,0)),"UPC Not Found")))</f>
        <v/>
      </c>
      <c r="G28" s="11" t="str">
        <f aca="false">IF($C28="","",IF(AND(G28&lt;&gt;"",G28&lt;&gt;0,G28&lt;&gt;"UPC Not Found"),G28,IFERROR(INDEX('Product Master'!$E$2:$E$200,MATCH($C28,'Product Master'!$A$2:$A$200,0)),"UPC Not Found")))</f>
        <v/>
      </c>
      <c r="H28" s="12"/>
      <c r="I28" s="11" t="str">
        <f aca="false">IF(OR($C28="",H28="",G28="UPC Not Found"),"",H28-G28)</f>
        <v/>
      </c>
      <c r="J28" s="9" t="str">
        <f aca="false">IF($C28="","",IF(H28="","Not Counted",IF(I28=0,"Match",IF(I28&gt;0,"Overage","Shortage"))))</f>
        <v/>
      </c>
      <c r="K28" s="9" t="str">
        <f aca="false">IF($C28="","",IF(AND(K28&lt;&gt;"",K28&lt;&gt;0),K28,$B$4))</f>
        <v/>
      </c>
      <c r="L28" s="13"/>
      <c r="M28" s="13"/>
      <c r="N28" s="13"/>
    </row>
    <row r="29" customFormat="false" ht="15" hidden="false" customHeight="false" outlineLevel="0" collapsed="false">
      <c r="A29" s="8" t="str">
        <f aca="true">IF($C29="","",IF(AND(A29&lt;&gt;"",A29&lt;&gt;0),A29,TODAY()))</f>
        <v/>
      </c>
      <c r="B29" s="9" t="str">
        <f aca="false">IF($C29="","",IF(AND(B29&lt;&gt;"",B29&lt;&gt;0),B29,$E$4))</f>
        <v/>
      </c>
      <c r="C29" s="10"/>
      <c r="D29" s="9" t="str">
        <f aca="false">IF($C29="","",IF(AND(D29&lt;&gt;"",D29&lt;&gt;0,D29&lt;&gt;"UPC Not Found"),D29,IFERROR(INDEX('Product Master'!$B$2:$B$200,MATCH($C29,'Product Master'!$A$2:$A$200,0)),"UPC Not Found")))</f>
        <v/>
      </c>
      <c r="E29" s="9" t="str">
        <f aca="false">IF($C29="","",IF(AND(E29&lt;&gt;"",E29&lt;&gt;0,E29&lt;&gt;"UPC Not Found"),E29,IFERROR(INDEX('Product Master'!$C$2:$C$200,MATCH($C29,'Product Master'!$A$2:$A$200,0)),"UPC Not Found")))</f>
        <v/>
      </c>
      <c r="F29" s="9" t="str">
        <f aca="false">IF($C29="","",IF(AND(F29&lt;&gt;"",F29&lt;&gt;0,F29&lt;&gt;"UPC Not Found"),F29,IFERROR(INDEX('Product Master'!$D$2:$D$200,MATCH($C29,'Product Master'!$A$2:$A$200,0)),"UPC Not Found")))</f>
        <v/>
      </c>
      <c r="G29" s="11" t="str">
        <f aca="false">IF($C29="","",IF(AND(G29&lt;&gt;"",G29&lt;&gt;0,G29&lt;&gt;"UPC Not Found"),G29,IFERROR(INDEX('Product Master'!$E$2:$E$200,MATCH($C29,'Product Master'!$A$2:$A$200,0)),"UPC Not Found")))</f>
        <v/>
      </c>
      <c r="H29" s="12"/>
      <c r="I29" s="11" t="str">
        <f aca="false">IF(OR($C29="",H29="",G29="UPC Not Found"),"",H29-G29)</f>
        <v/>
      </c>
      <c r="J29" s="9" t="str">
        <f aca="false">IF($C29="","",IF(H29="","Not Counted",IF(I29=0,"Match",IF(I29&gt;0,"Overage","Shortage"))))</f>
        <v/>
      </c>
      <c r="K29" s="9" t="str">
        <f aca="false">IF($C29="","",IF(AND(K29&lt;&gt;"",K29&lt;&gt;0),K29,$B$4))</f>
        <v/>
      </c>
      <c r="L29" s="13"/>
      <c r="M29" s="13"/>
      <c r="N29" s="13"/>
    </row>
    <row r="30" customFormat="false" ht="15" hidden="false" customHeight="false" outlineLevel="0" collapsed="false">
      <c r="A30" s="8" t="str">
        <f aca="true">IF($C30="","",IF(AND(A30&lt;&gt;"",A30&lt;&gt;0),A30,TODAY()))</f>
        <v/>
      </c>
      <c r="B30" s="9" t="str">
        <f aca="false">IF($C30="","",IF(AND(B30&lt;&gt;"",B30&lt;&gt;0),B30,$E$4))</f>
        <v/>
      </c>
      <c r="C30" s="10"/>
      <c r="D30" s="9" t="str">
        <f aca="false">IF($C30="","",IF(AND(D30&lt;&gt;"",D30&lt;&gt;0,D30&lt;&gt;"UPC Not Found"),D30,IFERROR(INDEX('Product Master'!$B$2:$B$200,MATCH($C30,'Product Master'!$A$2:$A$200,0)),"UPC Not Found")))</f>
        <v/>
      </c>
      <c r="E30" s="9" t="str">
        <f aca="false">IF($C30="","",IF(AND(E30&lt;&gt;"",E30&lt;&gt;0,E30&lt;&gt;"UPC Not Found"),E30,IFERROR(INDEX('Product Master'!$C$2:$C$200,MATCH($C30,'Product Master'!$A$2:$A$200,0)),"UPC Not Found")))</f>
        <v/>
      </c>
      <c r="F30" s="9" t="str">
        <f aca="false">IF($C30="","",IF(AND(F30&lt;&gt;"",F30&lt;&gt;0,F30&lt;&gt;"UPC Not Found"),F30,IFERROR(INDEX('Product Master'!$D$2:$D$200,MATCH($C30,'Product Master'!$A$2:$A$200,0)),"UPC Not Found")))</f>
        <v/>
      </c>
      <c r="G30" s="11" t="str">
        <f aca="false">IF($C30="","",IF(AND(G30&lt;&gt;"",G30&lt;&gt;0,G30&lt;&gt;"UPC Not Found"),G30,IFERROR(INDEX('Product Master'!$E$2:$E$200,MATCH($C30,'Product Master'!$A$2:$A$200,0)),"UPC Not Found")))</f>
        <v/>
      </c>
      <c r="H30" s="12"/>
      <c r="I30" s="11" t="str">
        <f aca="false">IF(OR($C30="",H30="",G30="UPC Not Found"),"",H30-G30)</f>
        <v/>
      </c>
      <c r="J30" s="9" t="str">
        <f aca="false">IF($C30="","",IF(H30="","Not Counted",IF(I30=0,"Match",IF(I30&gt;0,"Overage","Shortage"))))</f>
        <v/>
      </c>
      <c r="K30" s="9" t="str">
        <f aca="false">IF($C30="","",IF(AND(K30&lt;&gt;"",K30&lt;&gt;0),K30,$B$4))</f>
        <v/>
      </c>
      <c r="L30" s="13"/>
      <c r="M30" s="13"/>
      <c r="N30" s="13"/>
    </row>
    <row r="31" customFormat="false" ht="15" hidden="false" customHeight="false" outlineLevel="0" collapsed="false">
      <c r="A31" s="8" t="str">
        <f aca="true">IF($C31="","",IF(AND(A31&lt;&gt;"",A31&lt;&gt;0),A31,TODAY()))</f>
        <v/>
      </c>
      <c r="B31" s="9" t="str">
        <f aca="false">IF($C31="","",IF(AND(B31&lt;&gt;"",B31&lt;&gt;0),B31,$E$4))</f>
        <v/>
      </c>
      <c r="C31" s="10"/>
      <c r="D31" s="9" t="str">
        <f aca="false">IF($C31="","",IF(AND(D31&lt;&gt;"",D31&lt;&gt;0,D31&lt;&gt;"UPC Not Found"),D31,IFERROR(INDEX('Product Master'!$B$2:$B$200,MATCH($C31,'Product Master'!$A$2:$A$200,0)),"UPC Not Found")))</f>
        <v/>
      </c>
      <c r="E31" s="9" t="str">
        <f aca="false">IF($C31="","",IF(AND(E31&lt;&gt;"",E31&lt;&gt;0,E31&lt;&gt;"UPC Not Found"),E31,IFERROR(INDEX('Product Master'!$C$2:$C$200,MATCH($C31,'Product Master'!$A$2:$A$200,0)),"UPC Not Found")))</f>
        <v/>
      </c>
      <c r="F31" s="9" t="str">
        <f aca="false">IF($C31="","",IF(AND(F31&lt;&gt;"",F31&lt;&gt;0,F31&lt;&gt;"UPC Not Found"),F31,IFERROR(INDEX('Product Master'!$D$2:$D$200,MATCH($C31,'Product Master'!$A$2:$A$200,0)),"UPC Not Found")))</f>
        <v/>
      </c>
      <c r="G31" s="11" t="str">
        <f aca="false">IF($C31="","",IF(AND(G31&lt;&gt;"",G31&lt;&gt;0,G31&lt;&gt;"UPC Not Found"),G31,IFERROR(INDEX('Product Master'!$E$2:$E$200,MATCH($C31,'Product Master'!$A$2:$A$200,0)),"UPC Not Found")))</f>
        <v/>
      </c>
      <c r="H31" s="12"/>
      <c r="I31" s="11" t="str">
        <f aca="false">IF(OR($C31="",H31="",G31="UPC Not Found"),"",H31-G31)</f>
        <v/>
      </c>
      <c r="J31" s="9" t="str">
        <f aca="false">IF($C31="","",IF(H31="","Not Counted",IF(I31=0,"Match",IF(I31&gt;0,"Overage","Shortage"))))</f>
        <v/>
      </c>
      <c r="K31" s="9" t="str">
        <f aca="false">IF($C31="","",IF(AND(K31&lt;&gt;"",K31&lt;&gt;0),K31,$B$4))</f>
        <v/>
      </c>
      <c r="L31" s="13"/>
      <c r="M31" s="13"/>
      <c r="N31" s="13"/>
    </row>
    <row r="32" customFormat="false" ht="15" hidden="false" customHeight="false" outlineLevel="0" collapsed="false">
      <c r="A32" s="8" t="str">
        <f aca="true">IF($C32="","",IF(AND(A32&lt;&gt;"",A32&lt;&gt;0),A32,TODAY()))</f>
        <v/>
      </c>
      <c r="B32" s="9" t="str">
        <f aca="false">IF($C32="","",IF(AND(B32&lt;&gt;"",B32&lt;&gt;0),B32,$E$4))</f>
        <v/>
      </c>
      <c r="C32" s="10"/>
      <c r="D32" s="9" t="str">
        <f aca="false">IF($C32="","",IF(AND(D32&lt;&gt;"",D32&lt;&gt;0,D32&lt;&gt;"UPC Not Found"),D32,IFERROR(INDEX('Product Master'!$B$2:$B$200,MATCH($C32,'Product Master'!$A$2:$A$200,0)),"UPC Not Found")))</f>
        <v/>
      </c>
      <c r="E32" s="9" t="str">
        <f aca="false">IF($C32="","",IF(AND(E32&lt;&gt;"",E32&lt;&gt;0,E32&lt;&gt;"UPC Not Found"),E32,IFERROR(INDEX('Product Master'!$C$2:$C$200,MATCH($C32,'Product Master'!$A$2:$A$200,0)),"UPC Not Found")))</f>
        <v/>
      </c>
      <c r="F32" s="9" t="str">
        <f aca="false">IF($C32="","",IF(AND(F32&lt;&gt;"",F32&lt;&gt;0,F32&lt;&gt;"UPC Not Found"),F32,IFERROR(INDEX('Product Master'!$D$2:$D$200,MATCH($C32,'Product Master'!$A$2:$A$200,0)),"UPC Not Found")))</f>
        <v/>
      </c>
      <c r="G32" s="11" t="str">
        <f aca="false">IF($C32="","",IF(AND(G32&lt;&gt;"",G32&lt;&gt;0,G32&lt;&gt;"UPC Not Found"),G32,IFERROR(INDEX('Product Master'!$E$2:$E$200,MATCH($C32,'Product Master'!$A$2:$A$200,0)),"UPC Not Found")))</f>
        <v/>
      </c>
      <c r="H32" s="12"/>
      <c r="I32" s="11" t="str">
        <f aca="false">IF(OR($C32="",H32="",G32="UPC Not Found"),"",H32-G32)</f>
        <v/>
      </c>
      <c r="J32" s="9" t="str">
        <f aca="false">IF($C32="","",IF(H32="","Not Counted",IF(I32=0,"Match",IF(I32&gt;0,"Overage","Shortage"))))</f>
        <v/>
      </c>
      <c r="K32" s="9" t="str">
        <f aca="false">IF($C32="","",IF(AND(K32&lt;&gt;"",K32&lt;&gt;0),K32,$B$4))</f>
        <v/>
      </c>
      <c r="L32" s="13"/>
      <c r="M32" s="13"/>
      <c r="N32" s="13"/>
    </row>
    <row r="33" customFormat="false" ht="15" hidden="false" customHeight="false" outlineLevel="0" collapsed="false">
      <c r="A33" s="8" t="str">
        <f aca="true">IF($C33="","",IF(AND(A33&lt;&gt;"",A33&lt;&gt;0),A33,TODAY()))</f>
        <v/>
      </c>
      <c r="B33" s="9" t="str">
        <f aca="false">IF($C33="","",IF(AND(B33&lt;&gt;"",B33&lt;&gt;0),B33,$E$4))</f>
        <v/>
      </c>
      <c r="C33" s="10"/>
      <c r="D33" s="9" t="str">
        <f aca="false">IF($C33="","",IF(AND(D33&lt;&gt;"",D33&lt;&gt;0,D33&lt;&gt;"UPC Not Found"),D33,IFERROR(INDEX('Product Master'!$B$2:$B$200,MATCH($C33,'Product Master'!$A$2:$A$200,0)),"UPC Not Found")))</f>
        <v/>
      </c>
      <c r="E33" s="9" t="str">
        <f aca="false">IF($C33="","",IF(AND(E33&lt;&gt;"",E33&lt;&gt;0,E33&lt;&gt;"UPC Not Found"),E33,IFERROR(INDEX('Product Master'!$C$2:$C$200,MATCH($C33,'Product Master'!$A$2:$A$200,0)),"UPC Not Found")))</f>
        <v/>
      </c>
      <c r="F33" s="9" t="str">
        <f aca="false">IF($C33="","",IF(AND(F33&lt;&gt;"",F33&lt;&gt;0,F33&lt;&gt;"UPC Not Found"),F33,IFERROR(INDEX('Product Master'!$D$2:$D$200,MATCH($C33,'Product Master'!$A$2:$A$200,0)),"UPC Not Found")))</f>
        <v/>
      </c>
      <c r="G33" s="11" t="str">
        <f aca="false">IF($C33="","",IF(AND(G33&lt;&gt;"",G33&lt;&gt;0,G33&lt;&gt;"UPC Not Found"),G33,IFERROR(INDEX('Product Master'!$E$2:$E$200,MATCH($C33,'Product Master'!$A$2:$A$200,0)),"UPC Not Found")))</f>
        <v/>
      </c>
      <c r="H33" s="12"/>
      <c r="I33" s="11" t="str">
        <f aca="false">IF(OR($C33="",H33="",G33="UPC Not Found"),"",H33-G33)</f>
        <v/>
      </c>
      <c r="J33" s="9" t="str">
        <f aca="false">IF($C33="","",IF(H33="","Not Counted",IF(I33=0,"Match",IF(I33&gt;0,"Overage","Shortage"))))</f>
        <v/>
      </c>
      <c r="K33" s="9" t="str">
        <f aca="false">IF($C33="","",IF(AND(K33&lt;&gt;"",K33&lt;&gt;0),K33,$B$4))</f>
        <v/>
      </c>
      <c r="L33" s="13"/>
      <c r="M33" s="13"/>
      <c r="N33" s="13"/>
    </row>
    <row r="34" customFormat="false" ht="15" hidden="false" customHeight="false" outlineLevel="0" collapsed="false">
      <c r="A34" s="8" t="str">
        <f aca="true">IF($C34="","",IF(AND(A34&lt;&gt;"",A34&lt;&gt;0),A34,TODAY()))</f>
        <v/>
      </c>
      <c r="B34" s="9" t="str">
        <f aca="false">IF($C34="","",IF(AND(B34&lt;&gt;"",B34&lt;&gt;0),B34,$E$4))</f>
        <v/>
      </c>
      <c r="C34" s="10"/>
      <c r="D34" s="9" t="str">
        <f aca="false">IF($C34="","",IF(AND(D34&lt;&gt;"",D34&lt;&gt;0,D34&lt;&gt;"UPC Not Found"),D34,IFERROR(INDEX('Product Master'!$B$2:$B$200,MATCH($C34,'Product Master'!$A$2:$A$200,0)),"UPC Not Found")))</f>
        <v/>
      </c>
      <c r="E34" s="9" t="str">
        <f aca="false">IF($C34="","",IF(AND(E34&lt;&gt;"",E34&lt;&gt;0,E34&lt;&gt;"UPC Not Found"),E34,IFERROR(INDEX('Product Master'!$C$2:$C$200,MATCH($C34,'Product Master'!$A$2:$A$200,0)),"UPC Not Found")))</f>
        <v/>
      </c>
      <c r="F34" s="9" t="str">
        <f aca="false">IF($C34="","",IF(AND(F34&lt;&gt;"",F34&lt;&gt;0,F34&lt;&gt;"UPC Not Found"),F34,IFERROR(INDEX('Product Master'!$D$2:$D$200,MATCH($C34,'Product Master'!$A$2:$A$200,0)),"UPC Not Found")))</f>
        <v/>
      </c>
      <c r="G34" s="11" t="str">
        <f aca="false">IF($C34="","",IF(AND(G34&lt;&gt;"",G34&lt;&gt;0,G34&lt;&gt;"UPC Not Found"),G34,IFERROR(INDEX('Product Master'!$E$2:$E$200,MATCH($C34,'Product Master'!$A$2:$A$200,0)),"UPC Not Found")))</f>
        <v/>
      </c>
      <c r="H34" s="12"/>
      <c r="I34" s="11" t="str">
        <f aca="false">IF(OR($C34="",H34="",G34="UPC Not Found"),"",H34-G34)</f>
        <v/>
      </c>
      <c r="J34" s="9" t="str">
        <f aca="false">IF($C34="","",IF(H34="","Not Counted",IF(I34=0,"Match",IF(I34&gt;0,"Overage","Shortage"))))</f>
        <v/>
      </c>
      <c r="K34" s="9" t="str">
        <f aca="false">IF($C34="","",IF(AND(K34&lt;&gt;"",K34&lt;&gt;0),K34,$B$4))</f>
        <v/>
      </c>
      <c r="L34" s="13"/>
      <c r="M34" s="13"/>
      <c r="N34" s="13"/>
    </row>
    <row r="35" customFormat="false" ht="15" hidden="false" customHeight="false" outlineLevel="0" collapsed="false">
      <c r="A35" s="8" t="str">
        <f aca="true">IF($C35="","",IF(AND(A35&lt;&gt;"",A35&lt;&gt;0),A35,TODAY()))</f>
        <v/>
      </c>
      <c r="B35" s="9" t="str">
        <f aca="false">IF($C35="","",IF(AND(B35&lt;&gt;"",B35&lt;&gt;0),B35,$E$4))</f>
        <v/>
      </c>
      <c r="C35" s="10"/>
      <c r="D35" s="9" t="str">
        <f aca="false">IF($C35="","",IF(AND(D35&lt;&gt;"",D35&lt;&gt;0,D35&lt;&gt;"UPC Not Found"),D35,IFERROR(INDEX('Product Master'!$B$2:$B$200,MATCH($C35,'Product Master'!$A$2:$A$200,0)),"UPC Not Found")))</f>
        <v/>
      </c>
      <c r="E35" s="9" t="str">
        <f aca="false">IF($C35="","",IF(AND(E35&lt;&gt;"",E35&lt;&gt;0,E35&lt;&gt;"UPC Not Found"),E35,IFERROR(INDEX('Product Master'!$C$2:$C$200,MATCH($C35,'Product Master'!$A$2:$A$200,0)),"UPC Not Found")))</f>
        <v/>
      </c>
      <c r="F35" s="9" t="str">
        <f aca="false">IF($C35="","",IF(AND(F35&lt;&gt;"",F35&lt;&gt;0,F35&lt;&gt;"UPC Not Found"),F35,IFERROR(INDEX('Product Master'!$D$2:$D$200,MATCH($C35,'Product Master'!$A$2:$A$200,0)),"UPC Not Found")))</f>
        <v/>
      </c>
      <c r="G35" s="11" t="str">
        <f aca="false">IF($C35="","",IF(AND(G35&lt;&gt;"",G35&lt;&gt;0,G35&lt;&gt;"UPC Not Found"),G35,IFERROR(INDEX('Product Master'!$E$2:$E$200,MATCH($C35,'Product Master'!$A$2:$A$200,0)),"UPC Not Found")))</f>
        <v/>
      </c>
      <c r="H35" s="12"/>
      <c r="I35" s="11" t="str">
        <f aca="false">IF(OR($C35="",H35="",G35="UPC Not Found"),"",H35-G35)</f>
        <v/>
      </c>
      <c r="J35" s="9" t="str">
        <f aca="false">IF($C35="","",IF(H35="","Not Counted",IF(I35=0,"Match",IF(I35&gt;0,"Overage","Shortage"))))</f>
        <v/>
      </c>
      <c r="K35" s="9" t="str">
        <f aca="false">IF($C35="","",IF(AND(K35&lt;&gt;"",K35&lt;&gt;0),K35,$B$4))</f>
        <v/>
      </c>
      <c r="L35" s="13"/>
      <c r="M35" s="13"/>
      <c r="N35" s="13"/>
    </row>
    <row r="36" customFormat="false" ht="15" hidden="false" customHeight="false" outlineLevel="0" collapsed="false">
      <c r="A36" s="8" t="str">
        <f aca="true">IF($C36="","",IF(AND(A36&lt;&gt;"",A36&lt;&gt;0),A36,TODAY()))</f>
        <v/>
      </c>
      <c r="B36" s="9" t="str">
        <f aca="false">IF($C36="","",IF(AND(B36&lt;&gt;"",B36&lt;&gt;0),B36,$E$4))</f>
        <v/>
      </c>
      <c r="C36" s="10"/>
      <c r="D36" s="9" t="str">
        <f aca="false">IF($C36="","",IF(AND(D36&lt;&gt;"",D36&lt;&gt;0,D36&lt;&gt;"UPC Not Found"),D36,IFERROR(INDEX('Product Master'!$B$2:$B$200,MATCH($C36,'Product Master'!$A$2:$A$200,0)),"UPC Not Found")))</f>
        <v/>
      </c>
      <c r="E36" s="9" t="str">
        <f aca="false">IF($C36="","",IF(AND(E36&lt;&gt;"",E36&lt;&gt;0,E36&lt;&gt;"UPC Not Found"),E36,IFERROR(INDEX('Product Master'!$C$2:$C$200,MATCH($C36,'Product Master'!$A$2:$A$200,0)),"UPC Not Found")))</f>
        <v/>
      </c>
      <c r="F36" s="9" t="str">
        <f aca="false">IF($C36="","",IF(AND(F36&lt;&gt;"",F36&lt;&gt;0,F36&lt;&gt;"UPC Not Found"),F36,IFERROR(INDEX('Product Master'!$D$2:$D$200,MATCH($C36,'Product Master'!$A$2:$A$200,0)),"UPC Not Found")))</f>
        <v/>
      </c>
      <c r="G36" s="11" t="str">
        <f aca="false">IF($C36="","",IF(AND(G36&lt;&gt;"",G36&lt;&gt;0,G36&lt;&gt;"UPC Not Found"),G36,IFERROR(INDEX('Product Master'!$E$2:$E$200,MATCH($C36,'Product Master'!$A$2:$A$200,0)),"UPC Not Found")))</f>
        <v/>
      </c>
      <c r="H36" s="12"/>
      <c r="I36" s="11" t="str">
        <f aca="false">IF(OR($C36="",H36="",G36="UPC Not Found"),"",H36-G36)</f>
        <v/>
      </c>
      <c r="J36" s="9" t="str">
        <f aca="false">IF($C36="","",IF(H36="","Not Counted",IF(I36=0,"Match",IF(I36&gt;0,"Overage","Shortage"))))</f>
        <v/>
      </c>
      <c r="K36" s="9" t="str">
        <f aca="false">IF($C36="","",IF(AND(K36&lt;&gt;"",K36&lt;&gt;0),K36,$B$4))</f>
        <v/>
      </c>
      <c r="L36" s="13"/>
      <c r="M36" s="13"/>
      <c r="N36" s="13"/>
    </row>
    <row r="37" customFormat="false" ht="15" hidden="false" customHeight="false" outlineLevel="0" collapsed="false">
      <c r="A37" s="8" t="str">
        <f aca="true">IF($C37="","",IF(AND(A37&lt;&gt;"",A37&lt;&gt;0),A37,TODAY()))</f>
        <v/>
      </c>
      <c r="B37" s="9" t="str">
        <f aca="false">IF($C37="","",IF(AND(B37&lt;&gt;"",B37&lt;&gt;0),B37,$E$4))</f>
        <v/>
      </c>
      <c r="C37" s="10"/>
      <c r="D37" s="9" t="str">
        <f aca="false">IF($C37="","",IF(AND(D37&lt;&gt;"",D37&lt;&gt;0,D37&lt;&gt;"UPC Not Found"),D37,IFERROR(INDEX('Product Master'!$B$2:$B$200,MATCH($C37,'Product Master'!$A$2:$A$200,0)),"UPC Not Found")))</f>
        <v/>
      </c>
      <c r="E37" s="9" t="str">
        <f aca="false">IF($C37="","",IF(AND(E37&lt;&gt;"",E37&lt;&gt;0,E37&lt;&gt;"UPC Not Found"),E37,IFERROR(INDEX('Product Master'!$C$2:$C$200,MATCH($C37,'Product Master'!$A$2:$A$200,0)),"UPC Not Found")))</f>
        <v/>
      </c>
      <c r="F37" s="9" t="str">
        <f aca="false">IF($C37="","",IF(AND(F37&lt;&gt;"",F37&lt;&gt;0,F37&lt;&gt;"UPC Not Found"),F37,IFERROR(INDEX('Product Master'!$D$2:$D$200,MATCH($C37,'Product Master'!$A$2:$A$200,0)),"UPC Not Found")))</f>
        <v/>
      </c>
      <c r="G37" s="11" t="str">
        <f aca="false">IF($C37="","",IF(AND(G37&lt;&gt;"",G37&lt;&gt;0,G37&lt;&gt;"UPC Not Found"),G37,IFERROR(INDEX('Product Master'!$E$2:$E$200,MATCH($C37,'Product Master'!$A$2:$A$200,0)),"UPC Not Found")))</f>
        <v/>
      </c>
      <c r="H37" s="12"/>
      <c r="I37" s="11" t="str">
        <f aca="false">IF(OR($C37="",H37="",G37="UPC Not Found"),"",H37-G37)</f>
        <v/>
      </c>
      <c r="J37" s="9" t="str">
        <f aca="false">IF($C37="","",IF(H37="","Not Counted",IF(I37=0,"Match",IF(I37&gt;0,"Overage","Shortage"))))</f>
        <v/>
      </c>
      <c r="K37" s="9" t="str">
        <f aca="false">IF($C37="","",IF(AND(K37&lt;&gt;"",K37&lt;&gt;0),K37,$B$4))</f>
        <v/>
      </c>
      <c r="L37" s="13"/>
      <c r="M37" s="13"/>
      <c r="N37" s="13"/>
    </row>
    <row r="38" customFormat="false" ht="15" hidden="false" customHeight="false" outlineLevel="0" collapsed="false">
      <c r="A38" s="8" t="str">
        <f aca="true">IF($C38="","",IF(AND(A38&lt;&gt;"",A38&lt;&gt;0),A38,TODAY()))</f>
        <v/>
      </c>
      <c r="B38" s="9" t="str">
        <f aca="false">IF($C38="","",IF(AND(B38&lt;&gt;"",B38&lt;&gt;0),B38,$E$4))</f>
        <v/>
      </c>
      <c r="C38" s="10"/>
      <c r="D38" s="9" t="str">
        <f aca="false">IF($C38="","",IF(AND(D38&lt;&gt;"",D38&lt;&gt;0,D38&lt;&gt;"UPC Not Found"),D38,IFERROR(INDEX('Product Master'!$B$2:$B$200,MATCH($C38,'Product Master'!$A$2:$A$200,0)),"UPC Not Found")))</f>
        <v/>
      </c>
      <c r="E38" s="9" t="str">
        <f aca="false">IF($C38="","",IF(AND(E38&lt;&gt;"",E38&lt;&gt;0,E38&lt;&gt;"UPC Not Found"),E38,IFERROR(INDEX('Product Master'!$C$2:$C$200,MATCH($C38,'Product Master'!$A$2:$A$200,0)),"UPC Not Found")))</f>
        <v/>
      </c>
      <c r="F38" s="9" t="str">
        <f aca="false">IF($C38="","",IF(AND(F38&lt;&gt;"",F38&lt;&gt;0,F38&lt;&gt;"UPC Not Found"),F38,IFERROR(INDEX('Product Master'!$D$2:$D$200,MATCH($C38,'Product Master'!$A$2:$A$200,0)),"UPC Not Found")))</f>
        <v/>
      </c>
      <c r="G38" s="11" t="str">
        <f aca="false">IF($C38="","",IF(AND(G38&lt;&gt;"",G38&lt;&gt;0,G38&lt;&gt;"UPC Not Found"),G38,IFERROR(INDEX('Product Master'!$E$2:$E$200,MATCH($C38,'Product Master'!$A$2:$A$200,0)),"UPC Not Found")))</f>
        <v/>
      </c>
      <c r="H38" s="12"/>
      <c r="I38" s="11" t="str">
        <f aca="false">IF(OR($C38="",H38="",G38="UPC Not Found"),"",H38-G38)</f>
        <v/>
      </c>
      <c r="J38" s="9" t="str">
        <f aca="false">IF($C38="","",IF(H38="","Not Counted",IF(I38=0,"Match",IF(I38&gt;0,"Overage","Shortage"))))</f>
        <v/>
      </c>
      <c r="K38" s="9" t="str">
        <f aca="false">IF($C38="","",IF(AND(K38&lt;&gt;"",K38&lt;&gt;0),K38,$B$4))</f>
        <v/>
      </c>
      <c r="L38" s="13"/>
      <c r="M38" s="13"/>
      <c r="N38" s="13"/>
    </row>
    <row r="39" customFormat="false" ht="15" hidden="false" customHeight="false" outlineLevel="0" collapsed="false">
      <c r="A39" s="8" t="str">
        <f aca="true">IF($C39="","",IF(AND(A39&lt;&gt;"",A39&lt;&gt;0),A39,TODAY()))</f>
        <v/>
      </c>
      <c r="B39" s="9" t="str">
        <f aca="false">IF($C39="","",IF(AND(B39&lt;&gt;"",B39&lt;&gt;0),B39,$E$4))</f>
        <v/>
      </c>
      <c r="C39" s="10"/>
      <c r="D39" s="9" t="str">
        <f aca="false">IF($C39="","",IF(AND(D39&lt;&gt;"",D39&lt;&gt;0,D39&lt;&gt;"UPC Not Found"),D39,IFERROR(INDEX('Product Master'!$B$2:$B$200,MATCH($C39,'Product Master'!$A$2:$A$200,0)),"UPC Not Found")))</f>
        <v/>
      </c>
      <c r="E39" s="9" t="str">
        <f aca="false">IF($C39="","",IF(AND(E39&lt;&gt;"",E39&lt;&gt;0,E39&lt;&gt;"UPC Not Found"),E39,IFERROR(INDEX('Product Master'!$C$2:$C$200,MATCH($C39,'Product Master'!$A$2:$A$200,0)),"UPC Not Found")))</f>
        <v/>
      </c>
      <c r="F39" s="9" t="str">
        <f aca="false">IF($C39="","",IF(AND(F39&lt;&gt;"",F39&lt;&gt;0,F39&lt;&gt;"UPC Not Found"),F39,IFERROR(INDEX('Product Master'!$D$2:$D$200,MATCH($C39,'Product Master'!$A$2:$A$200,0)),"UPC Not Found")))</f>
        <v/>
      </c>
      <c r="G39" s="11" t="str">
        <f aca="false">IF($C39="","",IF(AND(G39&lt;&gt;"",G39&lt;&gt;0,G39&lt;&gt;"UPC Not Found"),G39,IFERROR(INDEX('Product Master'!$E$2:$E$200,MATCH($C39,'Product Master'!$A$2:$A$200,0)),"UPC Not Found")))</f>
        <v/>
      </c>
      <c r="H39" s="12"/>
      <c r="I39" s="11" t="str">
        <f aca="false">IF(OR($C39="",H39="",G39="UPC Not Found"),"",H39-G39)</f>
        <v/>
      </c>
      <c r="J39" s="9" t="str">
        <f aca="false">IF($C39="","",IF(H39="","Not Counted",IF(I39=0,"Match",IF(I39&gt;0,"Overage","Shortage"))))</f>
        <v/>
      </c>
      <c r="K39" s="9" t="str">
        <f aca="false">IF($C39="","",IF(AND(K39&lt;&gt;"",K39&lt;&gt;0),K39,$B$4))</f>
        <v/>
      </c>
      <c r="L39" s="13"/>
      <c r="M39" s="13"/>
      <c r="N39" s="13"/>
    </row>
    <row r="40" customFormat="false" ht="15" hidden="false" customHeight="false" outlineLevel="0" collapsed="false">
      <c r="A40" s="8" t="str">
        <f aca="true">IF($C40="","",IF(AND(A40&lt;&gt;"",A40&lt;&gt;0),A40,TODAY()))</f>
        <v/>
      </c>
      <c r="B40" s="9" t="str">
        <f aca="false">IF($C40="","",IF(AND(B40&lt;&gt;"",B40&lt;&gt;0),B40,$E$4))</f>
        <v/>
      </c>
      <c r="C40" s="10"/>
      <c r="D40" s="9" t="str">
        <f aca="false">IF($C40="","",IF(AND(D40&lt;&gt;"",D40&lt;&gt;0,D40&lt;&gt;"UPC Not Found"),D40,IFERROR(INDEX('Product Master'!$B$2:$B$200,MATCH($C40,'Product Master'!$A$2:$A$200,0)),"UPC Not Found")))</f>
        <v/>
      </c>
      <c r="E40" s="9" t="str">
        <f aca="false">IF($C40="","",IF(AND(E40&lt;&gt;"",E40&lt;&gt;0,E40&lt;&gt;"UPC Not Found"),E40,IFERROR(INDEX('Product Master'!$C$2:$C$200,MATCH($C40,'Product Master'!$A$2:$A$200,0)),"UPC Not Found")))</f>
        <v/>
      </c>
      <c r="F40" s="9" t="str">
        <f aca="false">IF($C40="","",IF(AND(F40&lt;&gt;"",F40&lt;&gt;0,F40&lt;&gt;"UPC Not Found"),F40,IFERROR(INDEX('Product Master'!$D$2:$D$200,MATCH($C40,'Product Master'!$A$2:$A$200,0)),"UPC Not Found")))</f>
        <v/>
      </c>
      <c r="G40" s="11" t="str">
        <f aca="false">IF($C40="","",IF(AND(G40&lt;&gt;"",G40&lt;&gt;0,G40&lt;&gt;"UPC Not Found"),G40,IFERROR(INDEX('Product Master'!$E$2:$E$200,MATCH($C40,'Product Master'!$A$2:$A$200,0)),"UPC Not Found")))</f>
        <v/>
      </c>
      <c r="H40" s="12"/>
      <c r="I40" s="11" t="str">
        <f aca="false">IF(OR($C40="",H40="",G40="UPC Not Found"),"",H40-G40)</f>
        <v/>
      </c>
      <c r="J40" s="9" t="str">
        <f aca="false">IF($C40="","",IF(H40="","Not Counted",IF(I40=0,"Match",IF(I40&gt;0,"Overage","Shortage"))))</f>
        <v/>
      </c>
      <c r="K40" s="9" t="str">
        <f aca="false">IF($C40="","",IF(AND(K40&lt;&gt;"",K40&lt;&gt;0),K40,$B$4))</f>
        <v/>
      </c>
      <c r="L40" s="13"/>
      <c r="M40" s="13"/>
      <c r="N40" s="13"/>
    </row>
    <row r="41" customFormat="false" ht="15" hidden="false" customHeight="false" outlineLevel="0" collapsed="false">
      <c r="A41" s="8" t="str">
        <f aca="true">IF($C41="","",IF(AND(A41&lt;&gt;"",A41&lt;&gt;0),A41,TODAY()))</f>
        <v/>
      </c>
      <c r="B41" s="9" t="str">
        <f aca="false">IF($C41="","",IF(AND(B41&lt;&gt;"",B41&lt;&gt;0),B41,$E$4))</f>
        <v/>
      </c>
      <c r="C41" s="10"/>
      <c r="D41" s="9" t="str">
        <f aca="false">IF($C41="","",IF(AND(D41&lt;&gt;"",D41&lt;&gt;0,D41&lt;&gt;"UPC Not Found"),D41,IFERROR(INDEX('Product Master'!$B$2:$B$200,MATCH($C41,'Product Master'!$A$2:$A$200,0)),"UPC Not Found")))</f>
        <v/>
      </c>
      <c r="E41" s="9" t="str">
        <f aca="false">IF($C41="","",IF(AND(E41&lt;&gt;"",E41&lt;&gt;0,E41&lt;&gt;"UPC Not Found"),E41,IFERROR(INDEX('Product Master'!$C$2:$C$200,MATCH($C41,'Product Master'!$A$2:$A$200,0)),"UPC Not Found")))</f>
        <v/>
      </c>
      <c r="F41" s="9" t="str">
        <f aca="false">IF($C41="","",IF(AND(F41&lt;&gt;"",F41&lt;&gt;0,F41&lt;&gt;"UPC Not Found"),F41,IFERROR(INDEX('Product Master'!$D$2:$D$200,MATCH($C41,'Product Master'!$A$2:$A$200,0)),"UPC Not Found")))</f>
        <v/>
      </c>
      <c r="G41" s="11" t="str">
        <f aca="false">IF($C41="","",IF(AND(G41&lt;&gt;"",G41&lt;&gt;0,G41&lt;&gt;"UPC Not Found"),G41,IFERROR(INDEX('Product Master'!$E$2:$E$200,MATCH($C41,'Product Master'!$A$2:$A$200,0)),"UPC Not Found")))</f>
        <v/>
      </c>
      <c r="H41" s="12"/>
      <c r="I41" s="11" t="str">
        <f aca="false">IF(OR($C41="",H41="",G41="UPC Not Found"),"",H41-G41)</f>
        <v/>
      </c>
      <c r="J41" s="9" t="str">
        <f aca="false">IF($C41="","",IF(H41="","Not Counted",IF(I41=0,"Match",IF(I41&gt;0,"Overage","Shortage"))))</f>
        <v/>
      </c>
      <c r="K41" s="9" t="str">
        <f aca="false">IF($C41="","",IF(AND(K41&lt;&gt;"",K41&lt;&gt;0),K41,$B$4))</f>
        <v/>
      </c>
      <c r="L41" s="13"/>
      <c r="M41" s="13"/>
      <c r="N41" s="13"/>
    </row>
    <row r="42" customFormat="false" ht="15" hidden="false" customHeight="false" outlineLevel="0" collapsed="false">
      <c r="A42" s="8" t="str">
        <f aca="true">IF($C42="","",IF(AND(A42&lt;&gt;"",A42&lt;&gt;0),A42,TODAY()))</f>
        <v/>
      </c>
      <c r="B42" s="9" t="str">
        <f aca="false">IF($C42="","",IF(AND(B42&lt;&gt;"",B42&lt;&gt;0),B42,$E$4))</f>
        <v/>
      </c>
      <c r="C42" s="10"/>
      <c r="D42" s="9" t="str">
        <f aca="false">IF($C42="","",IF(AND(D42&lt;&gt;"",D42&lt;&gt;0,D42&lt;&gt;"UPC Not Found"),D42,IFERROR(INDEX('Product Master'!$B$2:$B$200,MATCH($C42,'Product Master'!$A$2:$A$200,0)),"UPC Not Found")))</f>
        <v/>
      </c>
      <c r="E42" s="9" t="str">
        <f aca="false">IF($C42="","",IF(AND(E42&lt;&gt;"",E42&lt;&gt;0,E42&lt;&gt;"UPC Not Found"),E42,IFERROR(INDEX('Product Master'!$C$2:$C$200,MATCH($C42,'Product Master'!$A$2:$A$200,0)),"UPC Not Found")))</f>
        <v/>
      </c>
      <c r="F42" s="9" t="str">
        <f aca="false">IF($C42="","",IF(AND(F42&lt;&gt;"",F42&lt;&gt;0,F42&lt;&gt;"UPC Not Found"),F42,IFERROR(INDEX('Product Master'!$D$2:$D$200,MATCH($C42,'Product Master'!$A$2:$A$200,0)),"UPC Not Found")))</f>
        <v/>
      </c>
      <c r="G42" s="11" t="str">
        <f aca="false">IF($C42="","",IF(AND(G42&lt;&gt;"",G42&lt;&gt;0,G42&lt;&gt;"UPC Not Found"),G42,IFERROR(INDEX('Product Master'!$E$2:$E$200,MATCH($C42,'Product Master'!$A$2:$A$200,0)),"UPC Not Found")))</f>
        <v/>
      </c>
      <c r="H42" s="12"/>
      <c r="I42" s="11" t="str">
        <f aca="false">IF(OR($C42="",H42="",G42="UPC Not Found"),"",H42-G42)</f>
        <v/>
      </c>
      <c r="J42" s="9" t="str">
        <f aca="false">IF($C42="","",IF(H42="","Not Counted",IF(I42=0,"Match",IF(I42&gt;0,"Overage","Shortage"))))</f>
        <v/>
      </c>
      <c r="K42" s="9" t="str">
        <f aca="false">IF($C42="","",IF(AND(K42&lt;&gt;"",K42&lt;&gt;0),K42,$B$4))</f>
        <v/>
      </c>
      <c r="L42" s="13"/>
      <c r="M42" s="13"/>
      <c r="N42" s="13"/>
    </row>
    <row r="43" customFormat="false" ht="15" hidden="false" customHeight="false" outlineLevel="0" collapsed="false">
      <c r="A43" s="8" t="str">
        <f aca="true">IF($C43="","",IF(AND(A43&lt;&gt;"",A43&lt;&gt;0),A43,TODAY()))</f>
        <v/>
      </c>
      <c r="B43" s="9" t="str">
        <f aca="false">IF($C43="","",IF(AND(B43&lt;&gt;"",B43&lt;&gt;0),B43,$E$4))</f>
        <v/>
      </c>
      <c r="C43" s="10"/>
      <c r="D43" s="9" t="str">
        <f aca="false">IF($C43="","",IF(AND(D43&lt;&gt;"",D43&lt;&gt;0,D43&lt;&gt;"UPC Not Found"),D43,IFERROR(INDEX('Product Master'!$B$2:$B$200,MATCH($C43,'Product Master'!$A$2:$A$200,0)),"UPC Not Found")))</f>
        <v/>
      </c>
      <c r="E43" s="9" t="str">
        <f aca="false">IF($C43="","",IF(AND(E43&lt;&gt;"",E43&lt;&gt;0,E43&lt;&gt;"UPC Not Found"),E43,IFERROR(INDEX('Product Master'!$C$2:$C$200,MATCH($C43,'Product Master'!$A$2:$A$200,0)),"UPC Not Found")))</f>
        <v/>
      </c>
      <c r="F43" s="9" t="str">
        <f aca="false">IF($C43="","",IF(AND(F43&lt;&gt;"",F43&lt;&gt;0,F43&lt;&gt;"UPC Not Found"),F43,IFERROR(INDEX('Product Master'!$D$2:$D$200,MATCH($C43,'Product Master'!$A$2:$A$200,0)),"UPC Not Found")))</f>
        <v/>
      </c>
      <c r="G43" s="11" t="str">
        <f aca="false">IF($C43="","",IF(AND(G43&lt;&gt;"",G43&lt;&gt;0,G43&lt;&gt;"UPC Not Found"),G43,IFERROR(INDEX('Product Master'!$E$2:$E$200,MATCH($C43,'Product Master'!$A$2:$A$200,0)),"UPC Not Found")))</f>
        <v/>
      </c>
      <c r="H43" s="12"/>
      <c r="I43" s="11" t="str">
        <f aca="false">IF(OR($C43="",H43="",G43="UPC Not Found"),"",H43-G43)</f>
        <v/>
      </c>
      <c r="J43" s="9" t="str">
        <f aca="false">IF($C43="","",IF(H43="","Not Counted",IF(I43=0,"Match",IF(I43&gt;0,"Overage","Shortage"))))</f>
        <v/>
      </c>
      <c r="K43" s="9" t="str">
        <f aca="false">IF($C43="","",IF(AND(K43&lt;&gt;"",K43&lt;&gt;0),K43,$B$4))</f>
        <v/>
      </c>
      <c r="L43" s="13"/>
      <c r="M43" s="13"/>
      <c r="N43" s="13"/>
    </row>
    <row r="44" customFormat="false" ht="15" hidden="false" customHeight="false" outlineLevel="0" collapsed="false">
      <c r="A44" s="8" t="str">
        <f aca="true">IF($C44="","",IF(AND(A44&lt;&gt;"",A44&lt;&gt;0),A44,TODAY()))</f>
        <v/>
      </c>
      <c r="B44" s="9" t="str">
        <f aca="false">IF($C44="","",IF(AND(B44&lt;&gt;"",B44&lt;&gt;0),B44,$E$4))</f>
        <v/>
      </c>
      <c r="C44" s="10"/>
      <c r="D44" s="9" t="str">
        <f aca="false">IF($C44="","",IF(AND(D44&lt;&gt;"",D44&lt;&gt;0,D44&lt;&gt;"UPC Not Found"),D44,IFERROR(INDEX('Product Master'!$B$2:$B$200,MATCH($C44,'Product Master'!$A$2:$A$200,0)),"UPC Not Found")))</f>
        <v/>
      </c>
      <c r="E44" s="9" t="str">
        <f aca="false">IF($C44="","",IF(AND(E44&lt;&gt;"",E44&lt;&gt;0,E44&lt;&gt;"UPC Not Found"),E44,IFERROR(INDEX('Product Master'!$C$2:$C$200,MATCH($C44,'Product Master'!$A$2:$A$200,0)),"UPC Not Found")))</f>
        <v/>
      </c>
      <c r="F44" s="9" t="str">
        <f aca="false">IF($C44="","",IF(AND(F44&lt;&gt;"",F44&lt;&gt;0,F44&lt;&gt;"UPC Not Found"),F44,IFERROR(INDEX('Product Master'!$D$2:$D$200,MATCH($C44,'Product Master'!$A$2:$A$200,0)),"UPC Not Found")))</f>
        <v/>
      </c>
      <c r="G44" s="11" t="str">
        <f aca="false">IF($C44="","",IF(AND(G44&lt;&gt;"",G44&lt;&gt;0,G44&lt;&gt;"UPC Not Found"),G44,IFERROR(INDEX('Product Master'!$E$2:$E$200,MATCH($C44,'Product Master'!$A$2:$A$200,0)),"UPC Not Found")))</f>
        <v/>
      </c>
      <c r="H44" s="12"/>
      <c r="I44" s="11" t="str">
        <f aca="false">IF(OR($C44="",H44="",G44="UPC Not Found"),"",H44-G44)</f>
        <v/>
      </c>
      <c r="J44" s="9" t="str">
        <f aca="false">IF($C44="","",IF(H44="","Not Counted",IF(I44=0,"Match",IF(I44&gt;0,"Overage","Shortage"))))</f>
        <v/>
      </c>
      <c r="K44" s="9" t="str">
        <f aca="false">IF($C44="","",IF(AND(K44&lt;&gt;"",K44&lt;&gt;0),K44,$B$4))</f>
        <v/>
      </c>
      <c r="L44" s="13"/>
      <c r="M44" s="13"/>
      <c r="N44" s="13"/>
    </row>
    <row r="45" customFormat="false" ht="15" hidden="false" customHeight="false" outlineLevel="0" collapsed="false">
      <c r="A45" s="8" t="str">
        <f aca="true">IF($C45="","",IF(AND(A45&lt;&gt;"",A45&lt;&gt;0),A45,TODAY()))</f>
        <v/>
      </c>
      <c r="B45" s="9" t="str">
        <f aca="false">IF($C45="","",IF(AND(B45&lt;&gt;"",B45&lt;&gt;0),B45,$E$4))</f>
        <v/>
      </c>
      <c r="C45" s="10"/>
      <c r="D45" s="9" t="str">
        <f aca="false">IF($C45="","",IF(AND(D45&lt;&gt;"",D45&lt;&gt;0,D45&lt;&gt;"UPC Not Found"),D45,IFERROR(INDEX('Product Master'!$B$2:$B$200,MATCH($C45,'Product Master'!$A$2:$A$200,0)),"UPC Not Found")))</f>
        <v/>
      </c>
      <c r="E45" s="9" t="str">
        <f aca="false">IF($C45="","",IF(AND(E45&lt;&gt;"",E45&lt;&gt;0,E45&lt;&gt;"UPC Not Found"),E45,IFERROR(INDEX('Product Master'!$C$2:$C$200,MATCH($C45,'Product Master'!$A$2:$A$200,0)),"UPC Not Found")))</f>
        <v/>
      </c>
      <c r="F45" s="9" t="str">
        <f aca="false">IF($C45="","",IF(AND(F45&lt;&gt;"",F45&lt;&gt;0,F45&lt;&gt;"UPC Not Found"),F45,IFERROR(INDEX('Product Master'!$D$2:$D$200,MATCH($C45,'Product Master'!$A$2:$A$200,0)),"UPC Not Found")))</f>
        <v/>
      </c>
      <c r="G45" s="11" t="str">
        <f aca="false">IF($C45="","",IF(AND(G45&lt;&gt;"",G45&lt;&gt;0,G45&lt;&gt;"UPC Not Found"),G45,IFERROR(INDEX('Product Master'!$E$2:$E$200,MATCH($C45,'Product Master'!$A$2:$A$200,0)),"UPC Not Found")))</f>
        <v/>
      </c>
      <c r="H45" s="12"/>
      <c r="I45" s="11" t="str">
        <f aca="false">IF(OR($C45="",H45="",G45="UPC Not Found"),"",H45-G45)</f>
        <v/>
      </c>
      <c r="J45" s="9" t="str">
        <f aca="false">IF($C45="","",IF(H45="","Not Counted",IF(I45=0,"Match",IF(I45&gt;0,"Overage","Shortage"))))</f>
        <v/>
      </c>
      <c r="K45" s="9" t="str">
        <f aca="false">IF($C45="","",IF(AND(K45&lt;&gt;"",K45&lt;&gt;0),K45,$B$4))</f>
        <v/>
      </c>
      <c r="L45" s="13"/>
      <c r="M45" s="13"/>
      <c r="N45" s="13"/>
    </row>
    <row r="46" customFormat="false" ht="15" hidden="false" customHeight="false" outlineLevel="0" collapsed="false">
      <c r="A46" s="8" t="str">
        <f aca="true">IF($C46="","",IF(AND(A46&lt;&gt;"",A46&lt;&gt;0),A46,TODAY()))</f>
        <v/>
      </c>
      <c r="B46" s="9" t="str">
        <f aca="false">IF($C46="","",IF(AND(B46&lt;&gt;"",B46&lt;&gt;0),B46,$E$4))</f>
        <v/>
      </c>
      <c r="C46" s="10"/>
      <c r="D46" s="9" t="str">
        <f aca="false">IF($C46="","",IF(AND(D46&lt;&gt;"",D46&lt;&gt;0,D46&lt;&gt;"UPC Not Found"),D46,IFERROR(INDEX('Product Master'!$B$2:$B$200,MATCH($C46,'Product Master'!$A$2:$A$200,0)),"UPC Not Found")))</f>
        <v/>
      </c>
      <c r="E46" s="9" t="str">
        <f aca="false">IF($C46="","",IF(AND(E46&lt;&gt;"",E46&lt;&gt;0,E46&lt;&gt;"UPC Not Found"),E46,IFERROR(INDEX('Product Master'!$C$2:$C$200,MATCH($C46,'Product Master'!$A$2:$A$200,0)),"UPC Not Found")))</f>
        <v/>
      </c>
      <c r="F46" s="9" t="str">
        <f aca="false">IF($C46="","",IF(AND(F46&lt;&gt;"",F46&lt;&gt;0,F46&lt;&gt;"UPC Not Found"),F46,IFERROR(INDEX('Product Master'!$D$2:$D$200,MATCH($C46,'Product Master'!$A$2:$A$200,0)),"UPC Not Found")))</f>
        <v/>
      </c>
      <c r="G46" s="11" t="str">
        <f aca="false">IF($C46="","",IF(AND(G46&lt;&gt;"",G46&lt;&gt;0,G46&lt;&gt;"UPC Not Found"),G46,IFERROR(INDEX('Product Master'!$E$2:$E$200,MATCH($C46,'Product Master'!$A$2:$A$200,0)),"UPC Not Found")))</f>
        <v/>
      </c>
      <c r="H46" s="12"/>
      <c r="I46" s="11" t="str">
        <f aca="false">IF(OR($C46="",H46="",G46="UPC Not Found"),"",H46-G46)</f>
        <v/>
      </c>
      <c r="J46" s="9" t="str">
        <f aca="false">IF($C46="","",IF(H46="","Not Counted",IF(I46=0,"Match",IF(I46&gt;0,"Overage","Shortage"))))</f>
        <v/>
      </c>
      <c r="K46" s="9" t="str">
        <f aca="false">IF($C46="","",IF(AND(K46&lt;&gt;"",K46&lt;&gt;0),K46,$B$4))</f>
        <v/>
      </c>
      <c r="L46" s="13"/>
      <c r="M46" s="13"/>
      <c r="N46" s="13"/>
    </row>
    <row r="47" customFormat="false" ht="15" hidden="false" customHeight="false" outlineLevel="0" collapsed="false">
      <c r="A47" s="8" t="str">
        <f aca="true">IF($C47="","",IF(AND(A47&lt;&gt;"",A47&lt;&gt;0),A47,TODAY()))</f>
        <v/>
      </c>
      <c r="B47" s="9" t="str">
        <f aca="false">IF($C47="","",IF(AND(B47&lt;&gt;"",B47&lt;&gt;0),B47,$E$4))</f>
        <v/>
      </c>
      <c r="C47" s="10"/>
      <c r="D47" s="9" t="str">
        <f aca="false">IF($C47="","",IF(AND(D47&lt;&gt;"",D47&lt;&gt;0,D47&lt;&gt;"UPC Not Found"),D47,IFERROR(INDEX('Product Master'!$B$2:$B$200,MATCH($C47,'Product Master'!$A$2:$A$200,0)),"UPC Not Found")))</f>
        <v/>
      </c>
      <c r="E47" s="9" t="str">
        <f aca="false">IF($C47="","",IF(AND(E47&lt;&gt;"",E47&lt;&gt;0,E47&lt;&gt;"UPC Not Found"),E47,IFERROR(INDEX('Product Master'!$C$2:$C$200,MATCH($C47,'Product Master'!$A$2:$A$200,0)),"UPC Not Found")))</f>
        <v/>
      </c>
      <c r="F47" s="9" t="str">
        <f aca="false">IF($C47="","",IF(AND(F47&lt;&gt;"",F47&lt;&gt;0,F47&lt;&gt;"UPC Not Found"),F47,IFERROR(INDEX('Product Master'!$D$2:$D$200,MATCH($C47,'Product Master'!$A$2:$A$200,0)),"UPC Not Found")))</f>
        <v/>
      </c>
      <c r="G47" s="11" t="str">
        <f aca="false">IF($C47="","",IF(AND(G47&lt;&gt;"",G47&lt;&gt;0,G47&lt;&gt;"UPC Not Found"),G47,IFERROR(INDEX('Product Master'!$E$2:$E$200,MATCH($C47,'Product Master'!$A$2:$A$200,0)),"UPC Not Found")))</f>
        <v/>
      </c>
      <c r="H47" s="12"/>
      <c r="I47" s="11" t="str">
        <f aca="false">IF(OR($C47="",H47="",G47="UPC Not Found"),"",H47-G47)</f>
        <v/>
      </c>
      <c r="J47" s="9" t="str">
        <f aca="false">IF($C47="","",IF(H47="","Not Counted",IF(I47=0,"Match",IF(I47&gt;0,"Overage","Shortage"))))</f>
        <v/>
      </c>
      <c r="K47" s="9" t="str">
        <f aca="false">IF($C47="","",IF(AND(K47&lt;&gt;"",K47&lt;&gt;0),K47,$B$4))</f>
        <v/>
      </c>
      <c r="L47" s="13"/>
      <c r="M47" s="13"/>
      <c r="N47" s="13"/>
    </row>
    <row r="48" customFormat="false" ht="15" hidden="false" customHeight="false" outlineLevel="0" collapsed="false">
      <c r="A48" s="8" t="str">
        <f aca="true">IF($C48="","",IF(AND(A48&lt;&gt;"",A48&lt;&gt;0),A48,TODAY()))</f>
        <v/>
      </c>
      <c r="B48" s="9" t="str">
        <f aca="false">IF($C48="","",IF(AND(B48&lt;&gt;"",B48&lt;&gt;0),B48,$E$4))</f>
        <v/>
      </c>
      <c r="C48" s="10"/>
      <c r="D48" s="9" t="str">
        <f aca="false">IF($C48="","",IF(AND(D48&lt;&gt;"",D48&lt;&gt;0,D48&lt;&gt;"UPC Not Found"),D48,IFERROR(INDEX('Product Master'!$B$2:$B$200,MATCH($C48,'Product Master'!$A$2:$A$200,0)),"UPC Not Found")))</f>
        <v/>
      </c>
      <c r="E48" s="9" t="str">
        <f aca="false">IF($C48="","",IF(AND(E48&lt;&gt;"",E48&lt;&gt;0,E48&lt;&gt;"UPC Not Found"),E48,IFERROR(INDEX('Product Master'!$C$2:$C$200,MATCH($C48,'Product Master'!$A$2:$A$200,0)),"UPC Not Found")))</f>
        <v/>
      </c>
      <c r="F48" s="9" t="str">
        <f aca="false">IF($C48="","",IF(AND(F48&lt;&gt;"",F48&lt;&gt;0,F48&lt;&gt;"UPC Not Found"),F48,IFERROR(INDEX('Product Master'!$D$2:$D$200,MATCH($C48,'Product Master'!$A$2:$A$200,0)),"UPC Not Found")))</f>
        <v/>
      </c>
      <c r="G48" s="11" t="str">
        <f aca="false">IF($C48="","",IF(AND(G48&lt;&gt;"",G48&lt;&gt;0,G48&lt;&gt;"UPC Not Found"),G48,IFERROR(INDEX('Product Master'!$E$2:$E$200,MATCH($C48,'Product Master'!$A$2:$A$200,0)),"UPC Not Found")))</f>
        <v/>
      </c>
      <c r="H48" s="12"/>
      <c r="I48" s="11" t="str">
        <f aca="false">IF(OR($C48="",H48="",G48="UPC Not Found"),"",H48-G48)</f>
        <v/>
      </c>
      <c r="J48" s="9" t="str">
        <f aca="false">IF($C48="","",IF(H48="","Not Counted",IF(I48=0,"Match",IF(I48&gt;0,"Overage","Shortage"))))</f>
        <v/>
      </c>
      <c r="K48" s="9" t="str">
        <f aca="false">IF($C48="","",IF(AND(K48&lt;&gt;"",K48&lt;&gt;0),K48,$B$4))</f>
        <v/>
      </c>
      <c r="L48" s="13"/>
      <c r="M48" s="13"/>
      <c r="N48" s="13"/>
    </row>
    <row r="49" customFormat="false" ht="15" hidden="false" customHeight="false" outlineLevel="0" collapsed="false">
      <c r="A49" s="8" t="str">
        <f aca="true">IF($C49="","",IF(AND(A49&lt;&gt;"",A49&lt;&gt;0),A49,TODAY()))</f>
        <v/>
      </c>
      <c r="B49" s="9" t="str">
        <f aca="false">IF($C49="","",IF(AND(B49&lt;&gt;"",B49&lt;&gt;0),B49,$E$4))</f>
        <v/>
      </c>
      <c r="C49" s="10"/>
      <c r="D49" s="9" t="str">
        <f aca="false">IF($C49="","",IF(AND(D49&lt;&gt;"",D49&lt;&gt;0,D49&lt;&gt;"UPC Not Found"),D49,IFERROR(INDEX('Product Master'!$B$2:$B$200,MATCH($C49,'Product Master'!$A$2:$A$200,0)),"UPC Not Found")))</f>
        <v/>
      </c>
      <c r="E49" s="9" t="str">
        <f aca="false">IF($C49="","",IF(AND(E49&lt;&gt;"",E49&lt;&gt;0,E49&lt;&gt;"UPC Not Found"),E49,IFERROR(INDEX('Product Master'!$C$2:$C$200,MATCH($C49,'Product Master'!$A$2:$A$200,0)),"UPC Not Found")))</f>
        <v/>
      </c>
      <c r="F49" s="9" t="str">
        <f aca="false">IF($C49="","",IF(AND(F49&lt;&gt;"",F49&lt;&gt;0,F49&lt;&gt;"UPC Not Found"),F49,IFERROR(INDEX('Product Master'!$D$2:$D$200,MATCH($C49,'Product Master'!$A$2:$A$200,0)),"UPC Not Found")))</f>
        <v/>
      </c>
      <c r="G49" s="11" t="str">
        <f aca="false">IF($C49="","",IF(AND(G49&lt;&gt;"",G49&lt;&gt;0,G49&lt;&gt;"UPC Not Found"),G49,IFERROR(INDEX('Product Master'!$E$2:$E$200,MATCH($C49,'Product Master'!$A$2:$A$200,0)),"UPC Not Found")))</f>
        <v/>
      </c>
      <c r="H49" s="12"/>
      <c r="I49" s="11" t="str">
        <f aca="false">IF(OR($C49="",H49="",G49="UPC Not Found"),"",H49-G49)</f>
        <v/>
      </c>
      <c r="J49" s="9" t="str">
        <f aca="false">IF($C49="","",IF(H49="","Not Counted",IF(I49=0,"Match",IF(I49&gt;0,"Overage","Shortage"))))</f>
        <v/>
      </c>
      <c r="K49" s="9" t="str">
        <f aca="false">IF($C49="","",IF(AND(K49&lt;&gt;"",K49&lt;&gt;0),K49,$B$4))</f>
        <v/>
      </c>
      <c r="L49" s="13"/>
      <c r="M49" s="13"/>
      <c r="N49" s="13"/>
    </row>
    <row r="50" customFormat="false" ht="15" hidden="false" customHeight="false" outlineLevel="0" collapsed="false">
      <c r="A50" s="8" t="str">
        <f aca="true">IF($C50="","",IF(AND(A50&lt;&gt;"",A50&lt;&gt;0),A50,TODAY()))</f>
        <v/>
      </c>
      <c r="B50" s="9" t="str">
        <f aca="false">IF($C50="","",IF(AND(B50&lt;&gt;"",B50&lt;&gt;0),B50,$E$4))</f>
        <v/>
      </c>
      <c r="C50" s="10"/>
      <c r="D50" s="9" t="str">
        <f aca="false">IF($C50="","",IF(AND(D50&lt;&gt;"",D50&lt;&gt;0,D50&lt;&gt;"UPC Not Found"),D50,IFERROR(INDEX('Product Master'!$B$2:$B$200,MATCH($C50,'Product Master'!$A$2:$A$200,0)),"UPC Not Found")))</f>
        <v/>
      </c>
      <c r="E50" s="9" t="str">
        <f aca="false">IF($C50="","",IF(AND(E50&lt;&gt;"",E50&lt;&gt;0,E50&lt;&gt;"UPC Not Found"),E50,IFERROR(INDEX('Product Master'!$C$2:$C$200,MATCH($C50,'Product Master'!$A$2:$A$200,0)),"UPC Not Found")))</f>
        <v/>
      </c>
      <c r="F50" s="9" t="str">
        <f aca="false">IF($C50="","",IF(AND(F50&lt;&gt;"",F50&lt;&gt;0,F50&lt;&gt;"UPC Not Found"),F50,IFERROR(INDEX('Product Master'!$D$2:$D$200,MATCH($C50,'Product Master'!$A$2:$A$200,0)),"UPC Not Found")))</f>
        <v/>
      </c>
      <c r="G50" s="11" t="str">
        <f aca="false">IF($C50="","",IF(AND(G50&lt;&gt;"",G50&lt;&gt;0,G50&lt;&gt;"UPC Not Found"),G50,IFERROR(INDEX('Product Master'!$E$2:$E$200,MATCH($C50,'Product Master'!$A$2:$A$200,0)),"UPC Not Found")))</f>
        <v/>
      </c>
      <c r="H50" s="12"/>
      <c r="I50" s="11" t="str">
        <f aca="false">IF(OR($C50="",H50="",G50="UPC Not Found"),"",H50-G50)</f>
        <v/>
      </c>
      <c r="J50" s="9" t="str">
        <f aca="false">IF($C50="","",IF(H50="","Not Counted",IF(I50=0,"Match",IF(I50&gt;0,"Overage","Shortage"))))</f>
        <v/>
      </c>
      <c r="K50" s="9" t="str">
        <f aca="false">IF($C50="","",IF(AND(K50&lt;&gt;"",K50&lt;&gt;0),K50,$B$4))</f>
        <v/>
      </c>
      <c r="L50" s="13"/>
      <c r="M50" s="13"/>
      <c r="N50" s="13"/>
    </row>
    <row r="51" customFormat="false" ht="15" hidden="false" customHeight="false" outlineLevel="0" collapsed="false">
      <c r="A51" s="8" t="str">
        <f aca="true">IF($C51="","",IF(AND(A51&lt;&gt;"",A51&lt;&gt;0),A51,TODAY()))</f>
        <v/>
      </c>
      <c r="B51" s="9" t="str">
        <f aca="false">IF($C51="","",IF(AND(B51&lt;&gt;"",B51&lt;&gt;0),B51,$E$4))</f>
        <v/>
      </c>
      <c r="C51" s="10"/>
      <c r="D51" s="9" t="str">
        <f aca="false">IF($C51="","",IF(AND(D51&lt;&gt;"",D51&lt;&gt;0,D51&lt;&gt;"UPC Not Found"),D51,IFERROR(INDEX('Product Master'!$B$2:$B$200,MATCH($C51,'Product Master'!$A$2:$A$200,0)),"UPC Not Found")))</f>
        <v/>
      </c>
      <c r="E51" s="9" t="str">
        <f aca="false">IF($C51="","",IF(AND(E51&lt;&gt;"",E51&lt;&gt;0,E51&lt;&gt;"UPC Not Found"),E51,IFERROR(INDEX('Product Master'!$C$2:$C$200,MATCH($C51,'Product Master'!$A$2:$A$200,0)),"UPC Not Found")))</f>
        <v/>
      </c>
      <c r="F51" s="9" t="str">
        <f aca="false">IF($C51="","",IF(AND(F51&lt;&gt;"",F51&lt;&gt;0,F51&lt;&gt;"UPC Not Found"),F51,IFERROR(INDEX('Product Master'!$D$2:$D$200,MATCH($C51,'Product Master'!$A$2:$A$200,0)),"UPC Not Found")))</f>
        <v/>
      </c>
      <c r="G51" s="11" t="str">
        <f aca="false">IF($C51="","",IF(AND(G51&lt;&gt;"",G51&lt;&gt;0,G51&lt;&gt;"UPC Not Found"),G51,IFERROR(INDEX('Product Master'!$E$2:$E$200,MATCH($C51,'Product Master'!$A$2:$A$200,0)),"UPC Not Found")))</f>
        <v/>
      </c>
      <c r="H51" s="12"/>
      <c r="I51" s="11" t="str">
        <f aca="false">IF(OR($C51="",H51="",G51="UPC Not Found"),"",H51-G51)</f>
        <v/>
      </c>
      <c r="J51" s="9" t="str">
        <f aca="false">IF($C51="","",IF(H51="","Not Counted",IF(I51=0,"Match",IF(I51&gt;0,"Overage","Shortage"))))</f>
        <v/>
      </c>
      <c r="K51" s="9" t="str">
        <f aca="false">IF($C51="","",IF(AND(K51&lt;&gt;"",K51&lt;&gt;0),K51,$B$4))</f>
        <v/>
      </c>
      <c r="L51" s="13"/>
      <c r="M51" s="13"/>
      <c r="N51" s="13"/>
    </row>
    <row r="52" customFormat="false" ht="15" hidden="false" customHeight="false" outlineLevel="0" collapsed="false">
      <c r="A52" s="8" t="str">
        <f aca="true">IF($C52="","",IF(AND(A52&lt;&gt;"",A52&lt;&gt;0),A52,TODAY()))</f>
        <v/>
      </c>
      <c r="B52" s="9" t="str">
        <f aca="false">IF($C52="","",IF(AND(B52&lt;&gt;"",B52&lt;&gt;0),B52,$E$4))</f>
        <v/>
      </c>
      <c r="C52" s="10"/>
      <c r="D52" s="9" t="str">
        <f aca="false">IF($C52="","",IF(AND(D52&lt;&gt;"",D52&lt;&gt;0,D52&lt;&gt;"UPC Not Found"),D52,IFERROR(INDEX('Product Master'!$B$2:$B$200,MATCH($C52,'Product Master'!$A$2:$A$200,0)),"UPC Not Found")))</f>
        <v/>
      </c>
      <c r="E52" s="9" t="str">
        <f aca="false">IF($C52="","",IF(AND(E52&lt;&gt;"",E52&lt;&gt;0,E52&lt;&gt;"UPC Not Found"),E52,IFERROR(INDEX('Product Master'!$C$2:$C$200,MATCH($C52,'Product Master'!$A$2:$A$200,0)),"UPC Not Found")))</f>
        <v/>
      </c>
      <c r="F52" s="9" t="str">
        <f aca="false">IF($C52="","",IF(AND(F52&lt;&gt;"",F52&lt;&gt;0,F52&lt;&gt;"UPC Not Found"),F52,IFERROR(INDEX('Product Master'!$D$2:$D$200,MATCH($C52,'Product Master'!$A$2:$A$200,0)),"UPC Not Found")))</f>
        <v/>
      </c>
      <c r="G52" s="11" t="str">
        <f aca="false">IF($C52="","",IF(AND(G52&lt;&gt;"",G52&lt;&gt;0,G52&lt;&gt;"UPC Not Found"),G52,IFERROR(INDEX('Product Master'!$E$2:$E$200,MATCH($C52,'Product Master'!$A$2:$A$200,0)),"UPC Not Found")))</f>
        <v/>
      </c>
      <c r="H52" s="12"/>
      <c r="I52" s="11" t="str">
        <f aca="false">IF(OR($C52="",H52="",G52="UPC Not Found"),"",H52-G52)</f>
        <v/>
      </c>
      <c r="J52" s="9" t="str">
        <f aca="false">IF($C52="","",IF(H52="","Not Counted",IF(I52=0,"Match",IF(I52&gt;0,"Overage","Shortage"))))</f>
        <v/>
      </c>
      <c r="K52" s="9" t="str">
        <f aca="false">IF($C52="","",IF(AND(K52&lt;&gt;"",K52&lt;&gt;0),K52,$B$4))</f>
        <v/>
      </c>
      <c r="L52" s="13"/>
      <c r="M52" s="13"/>
      <c r="N52" s="13"/>
    </row>
    <row r="53" customFormat="false" ht="15" hidden="false" customHeight="false" outlineLevel="0" collapsed="false">
      <c r="A53" s="8" t="str">
        <f aca="true">IF($C53="","",IF(AND(A53&lt;&gt;"",A53&lt;&gt;0),A53,TODAY()))</f>
        <v/>
      </c>
      <c r="B53" s="9" t="str">
        <f aca="false">IF($C53="","",IF(AND(B53&lt;&gt;"",B53&lt;&gt;0),B53,$E$4))</f>
        <v/>
      </c>
      <c r="C53" s="10"/>
      <c r="D53" s="9" t="str">
        <f aca="false">IF($C53="","",IF(AND(D53&lt;&gt;"",D53&lt;&gt;0,D53&lt;&gt;"UPC Not Found"),D53,IFERROR(INDEX('Product Master'!$B$2:$B$200,MATCH($C53,'Product Master'!$A$2:$A$200,0)),"UPC Not Found")))</f>
        <v/>
      </c>
      <c r="E53" s="9" t="str">
        <f aca="false">IF($C53="","",IF(AND(E53&lt;&gt;"",E53&lt;&gt;0,E53&lt;&gt;"UPC Not Found"),E53,IFERROR(INDEX('Product Master'!$C$2:$C$200,MATCH($C53,'Product Master'!$A$2:$A$200,0)),"UPC Not Found")))</f>
        <v/>
      </c>
      <c r="F53" s="9" t="str">
        <f aca="false">IF($C53="","",IF(AND(F53&lt;&gt;"",F53&lt;&gt;0,F53&lt;&gt;"UPC Not Found"),F53,IFERROR(INDEX('Product Master'!$D$2:$D$200,MATCH($C53,'Product Master'!$A$2:$A$200,0)),"UPC Not Found")))</f>
        <v/>
      </c>
      <c r="G53" s="11" t="str">
        <f aca="false">IF($C53="","",IF(AND(G53&lt;&gt;"",G53&lt;&gt;0,G53&lt;&gt;"UPC Not Found"),G53,IFERROR(INDEX('Product Master'!$E$2:$E$200,MATCH($C53,'Product Master'!$A$2:$A$200,0)),"UPC Not Found")))</f>
        <v/>
      </c>
      <c r="H53" s="12"/>
      <c r="I53" s="11" t="str">
        <f aca="false">IF(OR($C53="",H53="",G53="UPC Not Found"),"",H53-G53)</f>
        <v/>
      </c>
      <c r="J53" s="9" t="str">
        <f aca="false">IF($C53="","",IF(H53="","Not Counted",IF(I53=0,"Match",IF(I53&gt;0,"Overage","Shortage"))))</f>
        <v/>
      </c>
      <c r="K53" s="9" t="str">
        <f aca="false">IF($C53="","",IF(AND(K53&lt;&gt;"",K53&lt;&gt;0),K53,$B$4))</f>
        <v/>
      </c>
      <c r="L53" s="13"/>
      <c r="M53" s="13"/>
      <c r="N53" s="13"/>
    </row>
    <row r="54" customFormat="false" ht="15" hidden="false" customHeight="false" outlineLevel="0" collapsed="false">
      <c r="A54" s="8" t="str">
        <f aca="true">IF($C54="","",IF(AND(A54&lt;&gt;"",A54&lt;&gt;0),A54,TODAY()))</f>
        <v/>
      </c>
      <c r="B54" s="9" t="str">
        <f aca="false">IF($C54="","",IF(AND(B54&lt;&gt;"",B54&lt;&gt;0),B54,$E$4))</f>
        <v/>
      </c>
      <c r="C54" s="10"/>
      <c r="D54" s="9" t="str">
        <f aca="false">IF($C54="","",IF(AND(D54&lt;&gt;"",D54&lt;&gt;0,D54&lt;&gt;"UPC Not Found"),D54,IFERROR(INDEX('Product Master'!$B$2:$B$200,MATCH($C54,'Product Master'!$A$2:$A$200,0)),"UPC Not Found")))</f>
        <v/>
      </c>
      <c r="E54" s="9" t="str">
        <f aca="false">IF($C54="","",IF(AND(E54&lt;&gt;"",E54&lt;&gt;0,E54&lt;&gt;"UPC Not Found"),E54,IFERROR(INDEX('Product Master'!$C$2:$C$200,MATCH($C54,'Product Master'!$A$2:$A$200,0)),"UPC Not Found")))</f>
        <v/>
      </c>
      <c r="F54" s="9" t="str">
        <f aca="false">IF($C54="","",IF(AND(F54&lt;&gt;"",F54&lt;&gt;0,F54&lt;&gt;"UPC Not Found"),F54,IFERROR(INDEX('Product Master'!$D$2:$D$200,MATCH($C54,'Product Master'!$A$2:$A$200,0)),"UPC Not Found")))</f>
        <v/>
      </c>
      <c r="G54" s="11" t="str">
        <f aca="false">IF($C54="","",IF(AND(G54&lt;&gt;"",G54&lt;&gt;0,G54&lt;&gt;"UPC Not Found"),G54,IFERROR(INDEX('Product Master'!$E$2:$E$200,MATCH($C54,'Product Master'!$A$2:$A$200,0)),"UPC Not Found")))</f>
        <v/>
      </c>
      <c r="H54" s="12"/>
      <c r="I54" s="11" t="str">
        <f aca="false">IF(OR($C54="",H54="",G54="UPC Not Found"),"",H54-G54)</f>
        <v/>
      </c>
      <c r="J54" s="9" t="str">
        <f aca="false">IF($C54="","",IF(H54="","Not Counted",IF(I54=0,"Match",IF(I54&gt;0,"Overage","Shortage"))))</f>
        <v/>
      </c>
      <c r="K54" s="9" t="str">
        <f aca="false">IF($C54="","",IF(AND(K54&lt;&gt;"",K54&lt;&gt;0),K54,$B$4))</f>
        <v/>
      </c>
      <c r="L54" s="13"/>
      <c r="M54" s="13"/>
      <c r="N54" s="13"/>
    </row>
    <row r="55" customFormat="false" ht="15" hidden="false" customHeight="false" outlineLevel="0" collapsed="false">
      <c r="A55" s="8" t="str">
        <f aca="true">IF($C55="","",IF(AND(A55&lt;&gt;"",A55&lt;&gt;0),A55,TODAY()))</f>
        <v/>
      </c>
      <c r="B55" s="9" t="str">
        <f aca="false">IF($C55="","",IF(AND(B55&lt;&gt;"",B55&lt;&gt;0),B55,$E$4))</f>
        <v/>
      </c>
      <c r="C55" s="10"/>
      <c r="D55" s="9" t="str">
        <f aca="false">IF($C55="","",IF(AND(D55&lt;&gt;"",D55&lt;&gt;0,D55&lt;&gt;"UPC Not Found"),D55,IFERROR(INDEX('Product Master'!$B$2:$B$200,MATCH($C55,'Product Master'!$A$2:$A$200,0)),"UPC Not Found")))</f>
        <v/>
      </c>
      <c r="E55" s="9" t="str">
        <f aca="false">IF($C55="","",IF(AND(E55&lt;&gt;"",E55&lt;&gt;0,E55&lt;&gt;"UPC Not Found"),E55,IFERROR(INDEX('Product Master'!$C$2:$C$200,MATCH($C55,'Product Master'!$A$2:$A$200,0)),"UPC Not Found")))</f>
        <v/>
      </c>
      <c r="F55" s="9" t="str">
        <f aca="false">IF($C55="","",IF(AND(F55&lt;&gt;"",F55&lt;&gt;0,F55&lt;&gt;"UPC Not Found"),F55,IFERROR(INDEX('Product Master'!$D$2:$D$200,MATCH($C55,'Product Master'!$A$2:$A$200,0)),"UPC Not Found")))</f>
        <v/>
      </c>
      <c r="G55" s="11" t="str">
        <f aca="false">IF($C55="","",IF(AND(G55&lt;&gt;"",G55&lt;&gt;0,G55&lt;&gt;"UPC Not Found"),G55,IFERROR(INDEX('Product Master'!$E$2:$E$200,MATCH($C55,'Product Master'!$A$2:$A$200,0)),"UPC Not Found")))</f>
        <v/>
      </c>
      <c r="H55" s="12"/>
      <c r="I55" s="11" t="str">
        <f aca="false">IF(OR($C55="",H55="",G55="UPC Not Found"),"",H55-G55)</f>
        <v/>
      </c>
      <c r="J55" s="9" t="str">
        <f aca="false">IF($C55="","",IF(H55="","Not Counted",IF(I55=0,"Match",IF(I55&gt;0,"Overage","Shortage"))))</f>
        <v/>
      </c>
      <c r="K55" s="9" t="str">
        <f aca="false">IF($C55="","",IF(AND(K55&lt;&gt;"",K55&lt;&gt;0),K55,$B$4))</f>
        <v/>
      </c>
      <c r="L55" s="13"/>
      <c r="M55" s="13"/>
      <c r="N55" s="13"/>
    </row>
    <row r="56" customFormat="false" ht="15" hidden="false" customHeight="false" outlineLevel="0" collapsed="false">
      <c r="A56" s="8" t="str">
        <f aca="true">IF($C56="","",IF(AND(A56&lt;&gt;"",A56&lt;&gt;0),A56,TODAY()))</f>
        <v/>
      </c>
      <c r="B56" s="9" t="str">
        <f aca="false">IF($C56="","",IF(AND(B56&lt;&gt;"",B56&lt;&gt;0),B56,$E$4))</f>
        <v/>
      </c>
      <c r="C56" s="10"/>
      <c r="D56" s="9" t="str">
        <f aca="false">IF($C56="","",IF(AND(D56&lt;&gt;"",D56&lt;&gt;0,D56&lt;&gt;"UPC Not Found"),D56,IFERROR(INDEX('Product Master'!$B$2:$B$200,MATCH($C56,'Product Master'!$A$2:$A$200,0)),"UPC Not Found")))</f>
        <v/>
      </c>
      <c r="E56" s="9" t="str">
        <f aca="false">IF($C56="","",IF(AND(E56&lt;&gt;"",E56&lt;&gt;0,E56&lt;&gt;"UPC Not Found"),E56,IFERROR(INDEX('Product Master'!$C$2:$C$200,MATCH($C56,'Product Master'!$A$2:$A$200,0)),"UPC Not Found")))</f>
        <v/>
      </c>
      <c r="F56" s="9" t="str">
        <f aca="false">IF($C56="","",IF(AND(F56&lt;&gt;"",F56&lt;&gt;0,F56&lt;&gt;"UPC Not Found"),F56,IFERROR(INDEX('Product Master'!$D$2:$D$200,MATCH($C56,'Product Master'!$A$2:$A$200,0)),"UPC Not Found")))</f>
        <v/>
      </c>
      <c r="G56" s="11" t="str">
        <f aca="false">IF($C56="","",IF(AND(G56&lt;&gt;"",G56&lt;&gt;0,G56&lt;&gt;"UPC Not Found"),G56,IFERROR(INDEX('Product Master'!$E$2:$E$200,MATCH($C56,'Product Master'!$A$2:$A$200,0)),"UPC Not Found")))</f>
        <v/>
      </c>
      <c r="H56" s="12"/>
      <c r="I56" s="11" t="str">
        <f aca="false">IF(OR($C56="",H56="",G56="UPC Not Found"),"",H56-G56)</f>
        <v/>
      </c>
      <c r="J56" s="9" t="str">
        <f aca="false">IF($C56="","",IF(H56="","Not Counted",IF(I56=0,"Match",IF(I56&gt;0,"Overage","Shortage"))))</f>
        <v/>
      </c>
      <c r="K56" s="9" t="str">
        <f aca="false">IF($C56="","",IF(AND(K56&lt;&gt;"",K56&lt;&gt;0),K56,$B$4))</f>
        <v/>
      </c>
      <c r="L56" s="13"/>
      <c r="M56" s="13"/>
      <c r="N56" s="13"/>
    </row>
    <row r="57" customFormat="false" ht="15" hidden="false" customHeight="false" outlineLevel="0" collapsed="false">
      <c r="A57" s="8" t="str">
        <f aca="true">IF($C57="","",IF(AND(A57&lt;&gt;"",A57&lt;&gt;0),A57,TODAY()))</f>
        <v/>
      </c>
      <c r="B57" s="9" t="str">
        <f aca="false">IF($C57="","",IF(AND(B57&lt;&gt;"",B57&lt;&gt;0),B57,$E$4))</f>
        <v/>
      </c>
      <c r="C57" s="10"/>
      <c r="D57" s="9" t="str">
        <f aca="false">IF($C57="","",IF(AND(D57&lt;&gt;"",D57&lt;&gt;0,D57&lt;&gt;"UPC Not Found"),D57,IFERROR(INDEX('Product Master'!$B$2:$B$200,MATCH($C57,'Product Master'!$A$2:$A$200,0)),"UPC Not Found")))</f>
        <v/>
      </c>
      <c r="E57" s="9" t="str">
        <f aca="false">IF($C57="","",IF(AND(E57&lt;&gt;"",E57&lt;&gt;0,E57&lt;&gt;"UPC Not Found"),E57,IFERROR(INDEX('Product Master'!$C$2:$C$200,MATCH($C57,'Product Master'!$A$2:$A$200,0)),"UPC Not Found")))</f>
        <v/>
      </c>
      <c r="F57" s="9" t="str">
        <f aca="false">IF($C57="","",IF(AND(F57&lt;&gt;"",F57&lt;&gt;0,F57&lt;&gt;"UPC Not Found"),F57,IFERROR(INDEX('Product Master'!$D$2:$D$200,MATCH($C57,'Product Master'!$A$2:$A$200,0)),"UPC Not Found")))</f>
        <v/>
      </c>
      <c r="G57" s="11" t="str">
        <f aca="false">IF($C57="","",IF(AND(G57&lt;&gt;"",G57&lt;&gt;0,G57&lt;&gt;"UPC Not Found"),G57,IFERROR(INDEX('Product Master'!$E$2:$E$200,MATCH($C57,'Product Master'!$A$2:$A$200,0)),"UPC Not Found")))</f>
        <v/>
      </c>
      <c r="H57" s="12"/>
      <c r="I57" s="11" t="str">
        <f aca="false">IF(OR($C57="",H57="",G57="UPC Not Found"),"",H57-G57)</f>
        <v/>
      </c>
      <c r="J57" s="9" t="str">
        <f aca="false">IF($C57="","",IF(H57="","Not Counted",IF(I57=0,"Match",IF(I57&gt;0,"Overage","Shortage"))))</f>
        <v/>
      </c>
      <c r="K57" s="9" t="str">
        <f aca="false">IF($C57="","",IF(AND(K57&lt;&gt;"",K57&lt;&gt;0),K57,$B$4))</f>
        <v/>
      </c>
      <c r="L57" s="13"/>
      <c r="M57" s="13"/>
      <c r="N57" s="13"/>
    </row>
    <row r="58" customFormat="false" ht="15" hidden="false" customHeight="false" outlineLevel="0" collapsed="false">
      <c r="A58" s="8" t="str">
        <f aca="true">IF($C58="","",IF(AND(A58&lt;&gt;"",A58&lt;&gt;0),A58,TODAY()))</f>
        <v/>
      </c>
      <c r="B58" s="9" t="str">
        <f aca="false">IF($C58="","",IF(AND(B58&lt;&gt;"",B58&lt;&gt;0),B58,$E$4))</f>
        <v/>
      </c>
      <c r="C58" s="10"/>
      <c r="D58" s="9" t="str">
        <f aca="false">IF($C58="","",IF(AND(D58&lt;&gt;"",D58&lt;&gt;0,D58&lt;&gt;"UPC Not Found"),D58,IFERROR(INDEX('Product Master'!$B$2:$B$200,MATCH($C58,'Product Master'!$A$2:$A$200,0)),"UPC Not Found")))</f>
        <v/>
      </c>
      <c r="E58" s="9" t="str">
        <f aca="false">IF($C58="","",IF(AND(E58&lt;&gt;"",E58&lt;&gt;0,E58&lt;&gt;"UPC Not Found"),E58,IFERROR(INDEX('Product Master'!$C$2:$C$200,MATCH($C58,'Product Master'!$A$2:$A$200,0)),"UPC Not Found")))</f>
        <v/>
      </c>
      <c r="F58" s="9" t="str">
        <f aca="false">IF($C58="","",IF(AND(F58&lt;&gt;"",F58&lt;&gt;0,F58&lt;&gt;"UPC Not Found"),F58,IFERROR(INDEX('Product Master'!$D$2:$D$200,MATCH($C58,'Product Master'!$A$2:$A$200,0)),"UPC Not Found")))</f>
        <v/>
      </c>
      <c r="G58" s="11" t="str">
        <f aca="false">IF($C58="","",IF(AND(G58&lt;&gt;"",G58&lt;&gt;0,G58&lt;&gt;"UPC Not Found"),G58,IFERROR(INDEX('Product Master'!$E$2:$E$200,MATCH($C58,'Product Master'!$A$2:$A$200,0)),"UPC Not Found")))</f>
        <v/>
      </c>
      <c r="H58" s="12"/>
      <c r="I58" s="11" t="str">
        <f aca="false">IF(OR($C58="",H58="",G58="UPC Not Found"),"",H58-G58)</f>
        <v/>
      </c>
      <c r="J58" s="9" t="str">
        <f aca="false">IF($C58="","",IF(H58="","Not Counted",IF(I58=0,"Match",IF(I58&gt;0,"Overage","Shortage"))))</f>
        <v/>
      </c>
      <c r="K58" s="9" t="str">
        <f aca="false">IF($C58="","",IF(AND(K58&lt;&gt;"",K58&lt;&gt;0),K58,$B$4))</f>
        <v/>
      </c>
      <c r="L58" s="13"/>
      <c r="M58" s="13"/>
      <c r="N58" s="13"/>
    </row>
    <row r="59" customFormat="false" ht="15" hidden="false" customHeight="false" outlineLevel="0" collapsed="false">
      <c r="A59" s="8" t="str">
        <f aca="true">IF($C59="","",IF(AND(A59&lt;&gt;"",A59&lt;&gt;0),A59,TODAY()))</f>
        <v/>
      </c>
      <c r="B59" s="9" t="str">
        <f aca="false">IF($C59="","",IF(AND(B59&lt;&gt;"",B59&lt;&gt;0),B59,$E$4))</f>
        <v/>
      </c>
      <c r="C59" s="10"/>
      <c r="D59" s="9" t="str">
        <f aca="false">IF($C59="","",IF(AND(D59&lt;&gt;"",D59&lt;&gt;0,D59&lt;&gt;"UPC Not Found"),D59,IFERROR(INDEX('Product Master'!$B$2:$B$200,MATCH($C59,'Product Master'!$A$2:$A$200,0)),"UPC Not Found")))</f>
        <v/>
      </c>
      <c r="E59" s="9" t="str">
        <f aca="false">IF($C59="","",IF(AND(E59&lt;&gt;"",E59&lt;&gt;0,E59&lt;&gt;"UPC Not Found"),E59,IFERROR(INDEX('Product Master'!$C$2:$C$200,MATCH($C59,'Product Master'!$A$2:$A$200,0)),"UPC Not Found")))</f>
        <v/>
      </c>
      <c r="F59" s="9" t="str">
        <f aca="false">IF($C59="","",IF(AND(F59&lt;&gt;"",F59&lt;&gt;0,F59&lt;&gt;"UPC Not Found"),F59,IFERROR(INDEX('Product Master'!$D$2:$D$200,MATCH($C59,'Product Master'!$A$2:$A$200,0)),"UPC Not Found")))</f>
        <v/>
      </c>
      <c r="G59" s="11" t="str">
        <f aca="false">IF($C59="","",IF(AND(G59&lt;&gt;"",G59&lt;&gt;0,G59&lt;&gt;"UPC Not Found"),G59,IFERROR(INDEX('Product Master'!$E$2:$E$200,MATCH($C59,'Product Master'!$A$2:$A$200,0)),"UPC Not Found")))</f>
        <v/>
      </c>
      <c r="H59" s="12"/>
      <c r="I59" s="11" t="str">
        <f aca="false">IF(OR($C59="",H59="",G59="UPC Not Found"),"",H59-G59)</f>
        <v/>
      </c>
      <c r="J59" s="9" t="str">
        <f aca="false">IF($C59="","",IF(H59="","Not Counted",IF(I59=0,"Match",IF(I59&gt;0,"Overage","Shortage"))))</f>
        <v/>
      </c>
      <c r="K59" s="9" t="str">
        <f aca="false">IF($C59="","",IF(AND(K59&lt;&gt;"",K59&lt;&gt;0),K59,$B$4))</f>
        <v/>
      </c>
      <c r="L59" s="13"/>
      <c r="M59" s="13"/>
      <c r="N59" s="13"/>
    </row>
    <row r="60" customFormat="false" ht="15" hidden="false" customHeight="false" outlineLevel="0" collapsed="false">
      <c r="A60" s="8" t="str">
        <f aca="true">IF($C60="","",IF(AND(A60&lt;&gt;"",A60&lt;&gt;0),A60,TODAY()))</f>
        <v/>
      </c>
      <c r="B60" s="9" t="str">
        <f aca="false">IF($C60="","",IF(AND(B60&lt;&gt;"",B60&lt;&gt;0),B60,$E$4))</f>
        <v/>
      </c>
      <c r="C60" s="10"/>
      <c r="D60" s="9" t="str">
        <f aca="false">IF($C60="","",IF(AND(D60&lt;&gt;"",D60&lt;&gt;0,D60&lt;&gt;"UPC Not Found"),D60,IFERROR(INDEX('Product Master'!$B$2:$B$200,MATCH($C60,'Product Master'!$A$2:$A$200,0)),"UPC Not Found")))</f>
        <v/>
      </c>
      <c r="E60" s="9" t="str">
        <f aca="false">IF($C60="","",IF(AND(E60&lt;&gt;"",E60&lt;&gt;0,E60&lt;&gt;"UPC Not Found"),E60,IFERROR(INDEX('Product Master'!$C$2:$C$200,MATCH($C60,'Product Master'!$A$2:$A$200,0)),"UPC Not Found")))</f>
        <v/>
      </c>
      <c r="F60" s="9" t="str">
        <f aca="false">IF($C60="","",IF(AND(F60&lt;&gt;"",F60&lt;&gt;0,F60&lt;&gt;"UPC Not Found"),F60,IFERROR(INDEX('Product Master'!$D$2:$D$200,MATCH($C60,'Product Master'!$A$2:$A$200,0)),"UPC Not Found")))</f>
        <v/>
      </c>
      <c r="G60" s="11" t="str">
        <f aca="false">IF($C60="","",IF(AND(G60&lt;&gt;"",G60&lt;&gt;0,G60&lt;&gt;"UPC Not Found"),G60,IFERROR(INDEX('Product Master'!$E$2:$E$200,MATCH($C60,'Product Master'!$A$2:$A$200,0)),"UPC Not Found")))</f>
        <v/>
      </c>
      <c r="H60" s="12"/>
      <c r="I60" s="11" t="str">
        <f aca="false">IF(OR($C60="",H60="",G60="UPC Not Found"),"",H60-G60)</f>
        <v/>
      </c>
      <c r="J60" s="9" t="str">
        <f aca="false">IF($C60="","",IF(H60="","Not Counted",IF(I60=0,"Match",IF(I60&gt;0,"Overage","Shortage"))))</f>
        <v/>
      </c>
      <c r="K60" s="9" t="str">
        <f aca="false">IF($C60="","",IF(AND(K60&lt;&gt;"",K60&lt;&gt;0),K60,$B$4))</f>
        <v/>
      </c>
      <c r="L60" s="13"/>
      <c r="M60" s="13"/>
      <c r="N60" s="13"/>
    </row>
    <row r="61" customFormat="false" ht="15" hidden="false" customHeight="false" outlineLevel="0" collapsed="false">
      <c r="A61" s="8" t="str">
        <f aca="true">IF($C61="","",IF(AND(A61&lt;&gt;"",A61&lt;&gt;0),A61,TODAY()))</f>
        <v/>
      </c>
      <c r="B61" s="9" t="str">
        <f aca="false">IF($C61="","",IF(AND(B61&lt;&gt;"",B61&lt;&gt;0),B61,$E$4))</f>
        <v/>
      </c>
      <c r="C61" s="10"/>
      <c r="D61" s="9" t="str">
        <f aca="false">IF($C61="","",IF(AND(D61&lt;&gt;"",D61&lt;&gt;0,D61&lt;&gt;"UPC Not Found"),D61,IFERROR(INDEX('Product Master'!$B$2:$B$200,MATCH($C61,'Product Master'!$A$2:$A$200,0)),"UPC Not Found")))</f>
        <v/>
      </c>
      <c r="E61" s="9" t="str">
        <f aca="false">IF($C61="","",IF(AND(E61&lt;&gt;"",E61&lt;&gt;0,E61&lt;&gt;"UPC Not Found"),E61,IFERROR(INDEX('Product Master'!$C$2:$C$200,MATCH($C61,'Product Master'!$A$2:$A$200,0)),"UPC Not Found")))</f>
        <v/>
      </c>
      <c r="F61" s="9" t="str">
        <f aca="false">IF($C61="","",IF(AND(F61&lt;&gt;"",F61&lt;&gt;0,F61&lt;&gt;"UPC Not Found"),F61,IFERROR(INDEX('Product Master'!$D$2:$D$200,MATCH($C61,'Product Master'!$A$2:$A$200,0)),"UPC Not Found")))</f>
        <v/>
      </c>
      <c r="G61" s="11" t="str">
        <f aca="false">IF($C61="","",IF(AND(G61&lt;&gt;"",G61&lt;&gt;0,G61&lt;&gt;"UPC Not Found"),G61,IFERROR(INDEX('Product Master'!$E$2:$E$200,MATCH($C61,'Product Master'!$A$2:$A$200,0)),"UPC Not Found")))</f>
        <v/>
      </c>
      <c r="H61" s="12"/>
      <c r="I61" s="11" t="str">
        <f aca="false">IF(OR($C61="",H61="",G61="UPC Not Found"),"",H61-G61)</f>
        <v/>
      </c>
      <c r="J61" s="9" t="str">
        <f aca="false">IF($C61="","",IF(H61="","Not Counted",IF(I61=0,"Match",IF(I61&gt;0,"Overage","Shortage"))))</f>
        <v/>
      </c>
      <c r="K61" s="9" t="str">
        <f aca="false">IF($C61="","",IF(AND(K61&lt;&gt;"",K61&lt;&gt;0),K61,$B$4))</f>
        <v/>
      </c>
      <c r="L61" s="13"/>
      <c r="M61" s="13"/>
      <c r="N61" s="13"/>
    </row>
    <row r="62" customFormat="false" ht="15" hidden="false" customHeight="false" outlineLevel="0" collapsed="false">
      <c r="A62" s="8" t="str">
        <f aca="true">IF($C62="","",IF(AND(A62&lt;&gt;"",A62&lt;&gt;0),A62,TODAY()))</f>
        <v/>
      </c>
      <c r="B62" s="9" t="str">
        <f aca="false">IF($C62="","",IF(AND(B62&lt;&gt;"",B62&lt;&gt;0),B62,$E$4))</f>
        <v/>
      </c>
      <c r="C62" s="10"/>
      <c r="D62" s="9" t="str">
        <f aca="false">IF($C62="","",IF(AND(D62&lt;&gt;"",D62&lt;&gt;0,D62&lt;&gt;"UPC Not Found"),D62,IFERROR(INDEX('Product Master'!$B$2:$B$200,MATCH($C62,'Product Master'!$A$2:$A$200,0)),"UPC Not Found")))</f>
        <v/>
      </c>
      <c r="E62" s="9" t="str">
        <f aca="false">IF($C62="","",IF(AND(E62&lt;&gt;"",E62&lt;&gt;0,E62&lt;&gt;"UPC Not Found"),E62,IFERROR(INDEX('Product Master'!$C$2:$C$200,MATCH($C62,'Product Master'!$A$2:$A$200,0)),"UPC Not Found")))</f>
        <v/>
      </c>
      <c r="F62" s="9" t="str">
        <f aca="false">IF($C62="","",IF(AND(F62&lt;&gt;"",F62&lt;&gt;0,F62&lt;&gt;"UPC Not Found"),F62,IFERROR(INDEX('Product Master'!$D$2:$D$200,MATCH($C62,'Product Master'!$A$2:$A$200,0)),"UPC Not Found")))</f>
        <v/>
      </c>
      <c r="G62" s="11" t="str">
        <f aca="false">IF($C62="","",IF(AND(G62&lt;&gt;"",G62&lt;&gt;0,G62&lt;&gt;"UPC Not Found"),G62,IFERROR(INDEX('Product Master'!$E$2:$E$200,MATCH($C62,'Product Master'!$A$2:$A$200,0)),"UPC Not Found")))</f>
        <v/>
      </c>
      <c r="H62" s="12"/>
      <c r="I62" s="11" t="str">
        <f aca="false">IF(OR($C62="",H62="",G62="UPC Not Found"),"",H62-G62)</f>
        <v/>
      </c>
      <c r="J62" s="9" t="str">
        <f aca="false">IF($C62="","",IF(H62="","Not Counted",IF(I62=0,"Match",IF(I62&gt;0,"Overage","Shortage"))))</f>
        <v/>
      </c>
      <c r="K62" s="9" t="str">
        <f aca="false">IF($C62="","",IF(AND(K62&lt;&gt;"",K62&lt;&gt;0),K62,$B$4))</f>
        <v/>
      </c>
      <c r="L62" s="13"/>
      <c r="M62" s="13"/>
      <c r="N62" s="13"/>
    </row>
    <row r="63" customFormat="false" ht="15" hidden="false" customHeight="false" outlineLevel="0" collapsed="false">
      <c r="A63" s="8" t="str">
        <f aca="true">IF($C63="","",IF(AND(A63&lt;&gt;"",A63&lt;&gt;0),A63,TODAY()))</f>
        <v/>
      </c>
      <c r="B63" s="9" t="str">
        <f aca="false">IF($C63="","",IF(AND(B63&lt;&gt;"",B63&lt;&gt;0),B63,$E$4))</f>
        <v/>
      </c>
      <c r="C63" s="10"/>
      <c r="D63" s="9" t="str">
        <f aca="false">IF($C63="","",IF(AND(D63&lt;&gt;"",D63&lt;&gt;0,D63&lt;&gt;"UPC Not Found"),D63,IFERROR(INDEX('Product Master'!$B$2:$B$200,MATCH($C63,'Product Master'!$A$2:$A$200,0)),"UPC Not Found")))</f>
        <v/>
      </c>
      <c r="E63" s="9" t="str">
        <f aca="false">IF($C63="","",IF(AND(E63&lt;&gt;"",E63&lt;&gt;0,E63&lt;&gt;"UPC Not Found"),E63,IFERROR(INDEX('Product Master'!$C$2:$C$200,MATCH($C63,'Product Master'!$A$2:$A$200,0)),"UPC Not Found")))</f>
        <v/>
      </c>
      <c r="F63" s="9" t="str">
        <f aca="false">IF($C63="","",IF(AND(F63&lt;&gt;"",F63&lt;&gt;0,F63&lt;&gt;"UPC Not Found"),F63,IFERROR(INDEX('Product Master'!$D$2:$D$200,MATCH($C63,'Product Master'!$A$2:$A$200,0)),"UPC Not Found")))</f>
        <v/>
      </c>
      <c r="G63" s="11" t="str">
        <f aca="false">IF($C63="","",IF(AND(G63&lt;&gt;"",G63&lt;&gt;0,G63&lt;&gt;"UPC Not Found"),G63,IFERROR(INDEX('Product Master'!$E$2:$E$200,MATCH($C63,'Product Master'!$A$2:$A$200,0)),"UPC Not Found")))</f>
        <v/>
      </c>
      <c r="H63" s="12"/>
      <c r="I63" s="11" t="str">
        <f aca="false">IF(OR($C63="",H63="",G63="UPC Not Found"),"",H63-G63)</f>
        <v/>
      </c>
      <c r="J63" s="9" t="str">
        <f aca="false">IF($C63="","",IF(H63="","Not Counted",IF(I63=0,"Match",IF(I63&gt;0,"Overage","Shortage"))))</f>
        <v/>
      </c>
      <c r="K63" s="9" t="str">
        <f aca="false">IF($C63="","",IF(AND(K63&lt;&gt;"",K63&lt;&gt;0),K63,$B$4))</f>
        <v/>
      </c>
      <c r="L63" s="13"/>
      <c r="M63" s="13"/>
      <c r="N63" s="13"/>
    </row>
    <row r="64" customFormat="false" ht="15" hidden="false" customHeight="false" outlineLevel="0" collapsed="false">
      <c r="A64" s="8" t="str">
        <f aca="true">IF($C64="","",IF(AND(A64&lt;&gt;"",A64&lt;&gt;0),A64,TODAY()))</f>
        <v/>
      </c>
      <c r="B64" s="9" t="str">
        <f aca="false">IF($C64="","",IF(AND(B64&lt;&gt;"",B64&lt;&gt;0),B64,$E$4))</f>
        <v/>
      </c>
      <c r="C64" s="10"/>
      <c r="D64" s="9" t="str">
        <f aca="false">IF($C64="","",IF(AND(D64&lt;&gt;"",D64&lt;&gt;0,D64&lt;&gt;"UPC Not Found"),D64,IFERROR(INDEX('Product Master'!$B$2:$B$200,MATCH($C64,'Product Master'!$A$2:$A$200,0)),"UPC Not Found")))</f>
        <v/>
      </c>
      <c r="E64" s="9" t="str">
        <f aca="false">IF($C64="","",IF(AND(E64&lt;&gt;"",E64&lt;&gt;0,E64&lt;&gt;"UPC Not Found"),E64,IFERROR(INDEX('Product Master'!$C$2:$C$200,MATCH($C64,'Product Master'!$A$2:$A$200,0)),"UPC Not Found")))</f>
        <v/>
      </c>
      <c r="F64" s="9" t="str">
        <f aca="false">IF($C64="","",IF(AND(F64&lt;&gt;"",F64&lt;&gt;0,F64&lt;&gt;"UPC Not Found"),F64,IFERROR(INDEX('Product Master'!$D$2:$D$200,MATCH($C64,'Product Master'!$A$2:$A$200,0)),"UPC Not Found")))</f>
        <v/>
      </c>
      <c r="G64" s="11" t="str">
        <f aca="false">IF($C64="","",IF(AND(G64&lt;&gt;"",G64&lt;&gt;0,G64&lt;&gt;"UPC Not Found"),G64,IFERROR(INDEX('Product Master'!$E$2:$E$200,MATCH($C64,'Product Master'!$A$2:$A$200,0)),"UPC Not Found")))</f>
        <v/>
      </c>
      <c r="H64" s="12"/>
      <c r="I64" s="11" t="str">
        <f aca="false">IF(OR($C64="",H64="",G64="UPC Not Found"),"",H64-G64)</f>
        <v/>
      </c>
      <c r="J64" s="9" t="str">
        <f aca="false">IF($C64="","",IF(H64="","Not Counted",IF(I64=0,"Match",IF(I64&gt;0,"Overage","Shortage"))))</f>
        <v/>
      </c>
      <c r="K64" s="9" t="str">
        <f aca="false">IF($C64="","",IF(AND(K64&lt;&gt;"",K64&lt;&gt;0),K64,$B$4))</f>
        <v/>
      </c>
      <c r="L64" s="13"/>
      <c r="M64" s="13"/>
      <c r="N64" s="13"/>
    </row>
    <row r="65" customFormat="false" ht="15" hidden="false" customHeight="false" outlineLevel="0" collapsed="false">
      <c r="A65" s="8" t="str">
        <f aca="true">IF($C65="","",IF(AND(A65&lt;&gt;"",A65&lt;&gt;0),A65,TODAY()))</f>
        <v/>
      </c>
      <c r="B65" s="9" t="str">
        <f aca="false">IF($C65="","",IF(AND(B65&lt;&gt;"",B65&lt;&gt;0),B65,$E$4))</f>
        <v/>
      </c>
      <c r="C65" s="10"/>
      <c r="D65" s="9" t="str">
        <f aca="false">IF($C65="","",IF(AND(D65&lt;&gt;"",D65&lt;&gt;0,D65&lt;&gt;"UPC Not Found"),D65,IFERROR(INDEX('Product Master'!$B$2:$B$200,MATCH($C65,'Product Master'!$A$2:$A$200,0)),"UPC Not Found")))</f>
        <v/>
      </c>
      <c r="E65" s="9" t="str">
        <f aca="false">IF($C65="","",IF(AND(E65&lt;&gt;"",E65&lt;&gt;0,E65&lt;&gt;"UPC Not Found"),E65,IFERROR(INDEX('Product Master'!$C$2:$C$200,MATCH($C65,'Product Master'!$A$2:$A$200,0)),"UPC Not Found")))</f>
        <v/>
      </c>
      <c r="F65" s="9" t="str">
        <f aca="false">IF($C65="","",IF(AND(F65&lt;&gt;"",F65&lt;&gt;0,F65&lt;&gt;"UPC Not Found"),F65,IFERROR(INDEX('Product Master'!$D$2:$D$200,MATCH($C65,'Product Master'!$A$2:$A$200,0)),"UPC Not Found")))</f>
        <v/>
      </c>
      <c r="G65" s="11" t="str">
        <f aca="false">IF($C65="","",IF(AND(G65&lt;&gt;"",G65&lt;&gt;0,G65&lt;&gt;"UPC Not Found"),G65,IFERROR(INDEX('Product Master'!$E$2:$E$200,MATCH($C65,'Product Master'!$A$2:$A$200,0)),"UPC Not Found")))</f>
        <v/>
      </c>
      <c r="H65" s="12"/>
      <c r="I65" s="11" t="str">
        <f aca="false">IF(OR($C65="",H65="",G65="UPC Not Found"),"",H65-G65)</f>
        <v/>
      </c>
      <c r="J65" s="9" t="str">
        <f aca="false">IF($C65="","",IF(H65="","Not Counted",IF(I65=0,"Match",IF(I65&gt;0,"Overage","Shortage"))))</f>
        <v/>
      </c>
      <c r="K65" s="9" t="str">
        <f aca="false">IF($C65="","",IF(AND(K65&lt;&gt;"",K65&lt;&gt;0),K65,$B$4))</f>
        <v/>
      </c>
      <c r="L65" s="13"/>
      <c r="M65" s="13"/>
      <c r="N65" s="13"/>
    </row>
    <row r="66" customFormat="false" ht="15" hidden="false" customHeight="false" outlineLevel="0" collapsed="false">
      <c r="A66" s="8" t="str">
        <f aca="true">IF($C66="","",IF(AND(A66&lt;&gt;"",A66&lt;&gt;0),A66,TODAY()))</f>
        <v/>
      </c>
      <c r="B66" s="9" t="str">
        <f aca="false">IF($C66="","",IF(AND(B66&lt;&gt;"",B66&lt;&gt;0),B66,$E$4))</f>
        <v/>
      </c>
      <c r="C66" s="10"/>
      <c r="D66" s="9" t="str">
        <f aca="false">IF($C66="","",IF(AND(D66&lt;&gt;"",D66&lt;&gt;0,D66&lt;&gt;"UPC Not Found"),D66,IFERROR(INDEX('Product Master'!$B$2:$B$200,MATCH($C66,'Product Master'!$A$2:$A$200,0)),"UPC Not Found")))</f>
        <v/>
      </c>
      <c r="E66" s="9" t="str">
        <f aca="false">IF($C66="","",IF(AND(E66&lt;&gt;"",E66&lt;&gt;0,E66&lt;&gt;"UPC Not Found"),E66,IFERROR(INDEX('Product Master'!$C$2:$C$200,MATCH($C66,'Product Master'!$A$2:$A$200,0)),"UPC Not Found")))</f>
        <v/>
      </c>
      <c r="F66" s="9" t="str">
        <f aca="false">IF($C66="","",IF(AND(F66&lt;&gt;"",F66&lt;&gt;0,F66&lt;&gt;"UPC Not Found"),F66,IFERROR(INDEX('Product Master'!$D$2:$D$200,MATCH($C66,'Product Master'!$A$2:$A$200,0)),"UPC Not Found")))</f>
        <v/>
      </c>
      <c r="G66" s="11" t="str">
        <f aca="false">IF($C66="","",IF(AND(G66&lt;&gt;"",G66&lt;&gt;0,G66&lt;&gt;"UPC Not Found"),G66,IFERROR(INDEX('Product Master'!$E$2:$E$200,MATCH($C66,'Product Master'!$A$2:$A$200,0)),"UPC Not Found")))</f>
        <v/>
      </c>
      <c r="H66" s="12"/>
      <c r="I66" s="11" t="str">
        <f aca="false">IF(OR($C66="",H66="",G66="UPC Not Found"),"",H66-G66)</f>
        <v/>
      </c>
      <c r="J66" s="9" t="str">
        <f aca="false">IF($C66="","",IF(H66="","Not Counted",IF(I66=0,"Match",IF(I66&gt;0,"Overage","Shortage"))))</f>
        <v/>
      </c>
      <c r="K66" s="9" t="str">
        <f aca="false">IF($C66="","",IF(AND(K66&lt;&gt;"",K66&lt;&gt;0),K66,$B$4))</f>
        <v/>
      </c>
      <c r="L66" s="13"/>
      <c r="M66" s="13"/>
      <c r="N66" s="13"/>
    </row>
    <row r="67" customFormat="false" ht="15" hidden="false" customHeight="false" outlineLevel="0" collapsed="false">
      <c r="A67" s="8" t="str">
        <f aca="true">IF($C67="","",IF(AND(A67&lt;&gt;"",A67&lt;&gt;0),A67,TODAY()))</f>
        <v/>
      </c>
      <c r="B67" s="9" t="str">
        <f aca="false">IF($C67="","",IF(AND(B67&lt;&gt;"",B67&lt;&gt;0),B67,$E$4))</f>
        <v/>
      </c>
      <c r="C67" s="10"/>
      <c r="D67" s="9" t="str">
        <f aca="false">IF($C67="","",IF(AND(D67&lt;&gt;"",D67&lt;&gt;0,D67&lt;&gt;"UPC Not Found"),D67,IFERROR(INDEX('Product Master'!$B$2:$B$200,MATCH($C67,'Product Master'!$A$2:$A$200,0)),"UPC Not Found")))</f>
        <v/>
      </c>
      <c r="E67" s="9" t="str">
        <f aca="false">IF($C67="","",IF(AND(E67&lt;&gt;"",E67&lt;&gt;0,E67&lt;&gt;"UPC Not Found"),E67,IFERROR(INDEX('Product Master'!$C$2:$C$200,MATCH($C67,'Product Master'!$A$2:$A$200,0)),"UPC Not Found")))</f>
        <v/>
      </c>
      <c r="F67" s="9" t="str">
        <f aca="false">IF($C67="","",IF(AND(F67&lt;&gt;"",F67&lt;&gt;0,F67&lt;&gt;"UPC Not Found"),F67,IFERROR(INDEX('Product Master'!$D$2:$D$200,MATCH($C67,'Product Master'!$A$2:$A$200,0)),"UPC Not Found")))</f>
        <v/>
      </c>
      <c r="G67" s="11" t="str">
        <f aca="false">IF($C67="","",IF(AND(G67&lt;&gt;"",G67&lt;&gt;0,G67&lt;&gt;"UPC Not Found"),G67,IFERROR(INDEX('Product Master'!$E$2:$E$200,MATCH($C67,'Product Master'!$A$2:$A$200,0)),"UPC Not Found")))</f>
        <v/>
      </c>
      <c r="H67" s="12"/>
      <c r="I67" s="11" t="str">
        <f aca="false">IF(OR($C67="",H67="",G67="UPC Not Found"),"",H67-G67)</f>
        <v/>
      </c>
      <c r="J67" s="9" t="str">
        <f aca="false">IF($C67="","",IF(H67="","Not Counted",IF(I67=0,"Match",IF(I67&gt;0,"Overage","Shortage"))))</f>
        <v/>
      </c>
      <c r="K67" s="9" t="str">
        <f aca="false">IF($C67="","",IF(AND(K67&lt;&gt;"",K67&lt;&gt;0),K67,$B$4))</f>
        <v/>
      </c>
      <c r="L67" s="13"/>
      <c r="M67" s="13"/>
      <c r="N67" s="13"/>
    </row>
    <row r="68" customFormat="false" ht="15" hidden="false" customHeight="false" outlineLevel="0" collapsed="false">
      <c r="A68" s="8" t="str">
        <f aca="true">IF($C68="","",IF(AND(A68&lt;&gt;"",A68&lt;&gt;0),A68,TODAY()))</f>
        <v/>
      </c>
      <c r="B68" s="9" t="str">
        <f aca="false">IF($C68="","",IF(AND(B68&lt;&gt;"",B68&lt;&gt;0),B68,$E$4))</f>
        <v/>
      </c>
      <c r="C68" s="10"/>
      <c r="D68" s="9" t="str">
        <f aca="false">IF($C68="","",IF(AND(D68&lt;&gt;"",D68&lt;&gt;0,D68&lt;&gt;"UPC Not Found"),D68,IFERROR(INDEX('Product Master'!$B$2:$B$200,MATCH($C68,'Product Master'!$A$2:$A$200,0)),"UPC Not Found")))</f>
        <v/>
      </c>
      <c r="E68" s="9" t="str">
        <f aca="false">IF($C68="","",IF(AND(E68&lt;&gt;"",E68&lt;&gt;0,E68&lt;&gt;"UPC Not Found"),E68,IFERROR(INDEX('Product Master'!$C$2:$C$200,MATCH($C68,'Product Master'!$A$2:$A$200,0)),"UPC Not Found")))</f>
        <v/>
      </c>
      <c r="F68" s="9" t="str">
        <f aca="false">IF($C68="","",IF(AND(F68&lt;&gt;"",F68&lt;&gt;0,F68&lt;&gt;"UPC Not Found"),F68,IFERROR(INDEX('Product Master'!$D$2:$D$200,MATCH($C68,'Product Master'!$A$2:$A$200,0)),"UPC Not Found")))</f>
        <v/>
      </c>
      <c r="G68" s="11" t="str">
        <f aca="false">IF($C68="","",IF(AND(G68&lt;&gt;"",G68&lt;&gt;0,G68&lt;&gt;"UPC Not Found"),G68,IFERROR(INDEX('Product Master'!$E$2:$E$200,MATCH($C68,'Product Master'!$A$2:$A$200,0)),"UPC Not Found")))</f>
        <v/>
      </c>
      <c r="H68" s="12"/>
      <c r="I68" s="11" t="str">
        <f aca="false">IF(OR($C68="",H68="",G68="UPC Not Found"),"",H68-G68)</f>
        <v/>
      </c>
      <c r="J68" s="9" t="str">
        <f aca="false">IF($C68="","",IF(H68="","Not Counted",IF(I68=0,"Match",IF(I68&gt;0,"Overage","Shortage"))))</f>
        <v/>
      </c>
      <c r="K68" s="9" t="str">
        <f aca="false">IF($C68="","",IF(AND(K68&lt;&gt;"",K68&lt;&gt;0),K68,$B$4))</f>
        <v/>
      </c>
      <c r="L68" s="13"/>
      <c r="M68" s="13"/>
      <c r="N68" s="13"/>
    </row>
    <row r="69" customFormat="false" ht="15" hidden="false" customHeight="false" outlineLevel="0" collapsed="false">
      <c r="A69" s="8" t="str">
        <f aca="true">IF($C69="","",IF(AND(A69&lt;&gt;"",A69&lt;&gt;0),A69,TODAY()))</f>
        <v/>
      </c>
      <c r="B69" s="9" t="str">
        <f aca="false">IF($C69="","",IF(AND(B69&lt;&gt;"",B69&lt;&gt;0),B69,$E$4))</f>
        <v/>
      </c>
      <c r="C69" s="10"/>
      <c r="D69" s="9" t="str">
        <f aca="false">IF($C69="","",IF(AND(D69&lt;&gt;"",D69&lt;&gt;0,D69&lt;&gt;"UPC Not Found"),D69,IFERROR(INDEX('Product Master'!$B$2:$B$200,MATCH($C69,'Product Master'!$A$2:$A$200,0)),"UPC Not Found")))</f>
        <v/>
      </c>
      <c r="E69" s="9" t="str">
        <f aca="false">IF($C69="","",IF(AND(E69&lt;&gt;"",E69&lt;&gt;0,E69&lt;&gt;"UPC Not Found"),E69,IFERROR(INDEX('Product Master'!$C$2:$C$200,MATCH($C69,'Product Master'!$A$2:$A$200,0)),"UPC Not Found")))</f>
        <v/>
      </c>
      <c r="F69" s="9" t="str">
        <f aca="false">IF($C69="","",IF(AND(F69&lt;&gt;"",F69&lt;&gt;0,F69&lt;&gt;"UPC Not Found"),F69,IFERROR(INDEX('Product Master'!$D$2:$D$200,MATCH($C69,'Product Master'!$A$2:$A$200,0)),"UPC Not Found")))</f>
        <v/>
      </c>
      <c r="G69" s="11" t="str">
        <f aca="false">IF($C69="","",IF(AND(G69&lt;&gt;"",G69&lt;&gt;0,G69&lt;&gt;"UPC Not Found"),G69,IFERROR(INDEX('Product Master'!$E$2:$E$200,MATCH($C69,'Product Master'!$A$2:$A$200,0)),"UPC Not Found")))</f>
        <v/>
      </c>
      <c r="H69" s="12"/>
      <c r="I69" s="11" t="str">
        <f aca="false">IF(OR($C69="",H69="",G69="UPC Not Found"),"",H69-G69)</f>
        <v/>
      </c>
      <c r="J69" s="9" t="str">
        <f aca="false">IF($C69="","",IF(H69="","Not Counted",IF(I69=0,"Match",IF(I69&gt;0,"Overage","Shortage"))))</f>
        <v/>
      </c>
      <c r="K69" s="9" t="str">
        <f aca="false">IF($C69="","",IF(AND(K69&lt;&gt;"",K69&lt;&gt;0),K69,$B$4))</f>
        <v/>
      </c>
      <c r="L69" s="13"/>
      <c r="M69" s="13"/>
      <c r="N69" s="13"/>
    </row>
    <row r="70" customFormat="false" ht="15" hidden="false" customHeight="false" outlineLevel="0" collapsed="false">
      <c r="A70" s="8" t="str">
        <f aca="true">IF($C70="","",IF(AND(A70&lt;&gt;"",A70&lt;&gt;0),A70,TODAY()))</f>
        <v/>
      </c>
      <c r="B70" s="9" t="str">
        <f aca="false">IF($C70="","",IF(AND(B70&lt;&gt;"",B70&lt;&gt;0),B70,$E$4))</f>
        <v/>
      </c>
      <c r="C70" s="10"/>
      <c r="D70" s="9" t="str">
        <f aca="false">IF($C70="","",IF(AND(D70&lt;&gt;"",D70&lt;&gt;0,D70&lt;&gt;"UPC Not Found"),D70,IFERROR(INDEX('Product Master'!$B$2:$B$200,MATCH($C70,'Product Master'!$A$2:$A$200,0)),"UPC Not Found")))</f>
        <v/>
      </c>
      <c r="E70" s="9" t="str">
        <f aca="false">IF($C70="","",IF(AND(E70&lt;&gt;"",E70&lt;&gt;0,E70&lt;&gt;"UPC Not Found"),E70,IFERROR(INDEX('Product Master'!$C$2:$C$200,MATCH($C70,'Product Master'!$A$2:$A$200,0)),"UPC Not Found")))</f>
        <v/>
      </c>
      <c r="F70" s="9" t="str">
        <f aca="false">IF($C70="","",IF(AND(F70&lt;&gt;"",F70&lt;&gt;0,F70&lt;&gt;"UPC Not Found"),F70,IFERROR(INDEX('Product Master'!$D$2:$D$200,MATCH($C70,'Product Master'!$A$2:$A$200,0)),"UPC Not Found")))</f>
        <v/>
      </c>
      <c r="G70" s="11" t="str">
        <f aca="false">IF($C70="","",IF(AND(G70&lt;&gt;"",G70&lt;&gt;0,G70&lt;&gt;"UPC Not Found"),G70,IFERROR(INDEX('Product Master'!$E$2:$E$200,MATCH($C70,'Product Master'!$A$2:$A$200,0)),"UPC Not Found")))</f>
        <v/>
      </c>
      <c r="H70" s="12"/>
      <c r="I70" s="11" t="str">
        <f aca="false">IF(OR($C70="",H70="",G70="UPC Not Found"),"",H70-G70)</f>
        <v/>
      </c>
      <c r="J70" s="9" t="str">
        <f aca="false">IF($C70="","",IF(H70="","Not Counted",IF(I70=0,"Match",IF(I70&gt;0,"Overage","Shortage"))))</f>
        <v/>
      </c>
      <c r="K70" s="9" t="str">
        <f aca="false">IF($C70="","",IF(AND(K70&lt;&gt;"",K70&lt;&gt;0),K70,$B$4))</f>
        <v/>
      </c>
      <c r="L70" s="13"/>
      <c r="M70" s="13"/>
      <c r="N70" s="13"/>
    </row>
    <row r="71" customFormat="false" ht="15" hidden="false" customHeight="false" outlineLevel="0" collapsed="false">
      <c r="A71" s="8" t="str">
        <f aca="true">IF($C71="","",IF(AND(A71&lt;&gt;"",A71&lt;&gt;0),A71,TODAY()))</f>
        <v/>
      </c>
      <c r="B71" s="9" t="str">
        <f aca="false">IF($C71="","",IF(AND(B71&lt;&gt;"",B71&lt;&gt;0),B71,$E$4))</f>
        <v/>
      </c>
      <c r="C71" s="10"/>
      <c r="D71" s="9" t="str">
        <f aca="false">IF($C71="","",IF(AND(D71&lt;&gt;"",D71&lt;&gt;0,D71&lt;&gt;"UPC Not Found"),D71,IFERROR(INDEX('Product Master'!$B$2:$B$200,MATCH($C71,'Product Master'!$A$2:$A$200,0)),"UPC Not Found")))</f>
        <v/>
      </c>
      <c r="E71" s="9" t="str">
        <f aca="false">IF($C71="","",IF(AND(E71&lt;&gt;"",E71&lt;&gt;0,E71&lt;&gt;"UPC Not Found"),E71,IFERROR(INDEX('Product Master'!$C$2:$C$200,MATCH($C71,'Product Master'!$A$2:$A$200,0)),"UPC Not Found")))</f>
        <v/>
      </c>
      <c r="F71" s="9" t="str">
        <f aca="false">IF($C71="","",IF(AND(F71&lt;&gt;"",F71&lt;&gt;0,F71&lt;&gt;"UPC Not Found"),F71,IFERROR(INDEX('Product Master'!$D$2:$D$200,MATCH($C71,'Product Master'!$A$2:$A$200,0)),"UPC Not Found")))</f>
        <v/>
      </c>
      <c r="G71" s="11" t="str">
        <f aca="false">IF($C71="","",IF(AND(G71&lt;&gt;"",G71&lt;&gt;0,G71&lt;&gt;"UPC Not Found"),G71,IFERROR(INDEX('Product Master'!$E$2:$E$200,MATCH($C71,'Product Master'!$A$2:$A$200,0)),"UPC Not Found")))</f>
        <v/>
      </c>
      <c r="H71" s="12"/>
      <c r="I71" s="11" t="str">
        <f aca="false">IF(OR($C71="",H71="",G71="UPC Not Found"),"",H71-G71)</f>
        <v/>
      </c>
      <c r="J71" s="9" t="str">
        <f aca="false">IF($C71="","",IF(H71="","Not Counted",IF(I71=0,"Match",IF(I71&gt;0,"Overage","Shortage"))))</f>
        <v/>
      </c>
      <c r="K71" s="9" t="str">
        <f aca="false">IF($C71="","",IF(AND(K71&lt;&gt;"",K71&lt;&gt;0),K71,$B$4))</f>
        <v/>
      </c>
      <c r="L71" s="13"/>
      <c r="M71" s="13"/>
      <c r="N71" s="13"/>
    </row>
    <row r="72" customFormat="false" ht="15" hidden="false" customHeight="false" outlineLevel="0" collapsed="false">
      <c r="A72" s="8" t="str">
        <f aca="true">IF($C72="","",IF(AND(A72&lt;&gt;"",A72&lt;&gt;0),A72,TODAY()))</f>
        <v/>
      </c>
      <c r="B72" s="9" t="str">
        <f aca="false">IF($C72="","",IF(AND(B72&lt;&gt;"",B72&lt;&gt;0),B72,$E$4))</f>
        <v/>
      </c>
      <c r="C72" s="10"/>
      <c r="D72" s="9" t="str">
        <f aca="false">IF($C72="","",IF(AND(D72&lt;&gt;"",D72&lt;&gt;0,D72&lt;&gt;"UPC Not Found"),D72,IFERROR(INDEX('Product Master'!$B$2:$B$200,MATCH($C72,'Product Master'!$A$2:$A$200,0)),"UPC Not Found")))</f>
        <v/>
      </c>
      <c r="E72" s="9" t="str">
        <f aca="false">IF($C72="","",IF(AND(E72&lt;&gt;"",E72&lt;&gt;0,E72&lt;&gt;"UPC Not Found"),E72,IFERROR(INDEX('Product Master'!$C$2:$C$200,MATCH($C72,'Product Master'!$A$2:$A$200,0)),"UPC Not Found")))</f>
        <v/>
      </c>
      <c r="F72" s="9" t="str">
        <f aca="false">IF($C72="","",IF(AND(F72&lt;&gt;"",F72&lt;&gt;0,F72&lt;&gt;"UPC Not Found"),F72,IFERROR(INDEX('Product Master'!$D$2:$D$200,MATCH($C72,'Product Master'!$A$2:$A$200,0)),"UPC Not Found")))</f>
        <v/>
      </c>
      <c r="G72" s="11" t="str">
        <f aca="false">IF($C72="","",IF(AND(G72&lt;&gt;"",G72&lt;&gt;0,G72&lt;&gt;"UPC Not Found"),G72,IFERROR(INDEX('Product Master'!$E$2:$E$200,MATCH($C72,'Product Master'!$A$2:$A$200,0)),"UPC Not Found")))</f>
        <v/>
      </c>
      <c r="H72" s="12"/>
      <c r="I72" s="11" t="str">
        <f aca="false">IF(OR($C72="",H72="",G72="UPC Not Found"),"",H72-G72)</f>
        <v/>
      </c>
      <c r="J72" s="9" t="str">
        <f aca="false">IF($C72="","",IF(H72="","Not Counted",IF(I72=0,"Match",IF(I72&gt;0,"Overage","Shortage"))))</f>
        <v/>
      </c>
      <c r="K72" s="9" t="str">
        <f aca="false">IF($C72="","",IF(AND(K72&lt;&gt;"",K72&lt;&gt;0),K72,$B$4))</f>
        <v/>
      </c>
      <c r="L72" s="13"/>
      <c r="M72" s="13"/>
      <c r="N72" s="13"/>
    </row>
    <row r="73" customFormat="false" ht="15" hidden="false" customHeight="false" outlineLevel="0" collapsed="false">
      <c r="A73" s="8" t="str">
        <f aca="true">IF($C73="","",IF(AND(A73&lt;&gt;"",A73&lt;&gt;0),A73,TODAY()))</f>
        <v/>
      </c>
      <c r="B73" s="9" t="str">
        <f aca="false">IF($C73="","",IF(AND(B73&lt;&gt;"",B73&lt;&gt;0),B73,$E$4))</f>
        <v/>
      </c>
      <c r="C73" s="10"/>
      <c r="D73" s="9" t="str">
        <f aca="false">IF($C73="","",IF(AND(D73&lt;&gt;"",D73&lt;&gt;0,D73&lt;&gt;"UPC Not Found"),D73,IFERROR(INDEX('Product Master'!$B$2:$B$200,MATCH($C73,'Product Master'!$A$2:$A$200,0)),"UPC Not Found")))</f>
        <v/>
      </c>
      <c r="E73" s="9" t="str">
        <f aca="false">IF($C73="","",IF(AND(E73&lt;&gt;"",E73&lt;&gt;0,E73&lt;&gt;"UPC Not Found"),E73,IFERROR(INDEX('Product Master'!$C$2:$C$200,MATCH($C73,'Product Master'!$A$2:$A$200,0)),"UPC Not Found")))</f>
        <v/>
      </c>
      <c r="F73" s="9" t="str">
        <f aca="false">IF($C73="","",IF(AND(F73&lt;&gt;"",F73&lt;&gt;0,F73&lt;&gt;"UPC Not Found"),F73,IFERROR(INDEX('Product Master'!$D$2:$D$200,MATCH($C73,'Product Master'!$A$2:$A$200,0)),"UPC Not Found")))</f>
        <v/>
      </c>
      <c r="G73" s="11" t="str">
        <f aca="false">IF($C73="","",IF(AND(G73&lt;&gt;"",G73&lt;&gt;0,G73&lt;&gt;"UPC Not Found"),G73,IFERROR(INDEX('Product Master'!$E$2:$E$200,MATCH($C73,'Product Master'!$A$2:$A$200,0)),"UPC Not Found")))</f>
        <v/>
      </c>
      <c r="H73" s="12"/>
      <c r="I73" s="11" t="str">
        <f aca="false">IF(OR($C73="",H73="",G73="UPC Not Found"),"",H73-G73)</f>
        <v/>
      </c>
      <c r="J73" s="9" t="str">
        <f aca="false">IF($C73="","",IF(H73="","Not Counted",IF(I73=0,"Match",IF(I73&gt;0,"Overage","Shortage"))))</f>
        <v/>
      </c>
      <c r="K73" s="9" t="str">
        <f aca="false">IF($C73="","",IF(AND(K73&lt;&gt;"",K73&lt;&gt;0),K73,$B$4))</f>
        <v/>
      </c>
      <c r="L73" s="13"/>
      <c r="M73" s="13"/>
      <c r="N73" s="13"/>
    </row>
    <row r="74" customFormat="false" ht="15" hidden="false" customHeight="false" outlineLevel="0" collapsed="false">
      <c r="A74" s="8" t="str">
        <f aca="true">IF($C74="","",IF(AND(A74&lt;&gt;"",A74&lt;&gt;0),A74,TODAY()))</f>
        <v/>
      </c>
      <c r="B74" s="9" t="str">
        <f aca="false">IF($C74="","",IF(AND(B74&lt;&gt;"",B74&lt;&gt;0),B74,$E$4))</f>
        <v/>
      </c>
      <c r="C74" s="10"/>
      <c r="D74" s="9" t="str">
        <f aca="false">IF($C74="","",IF(AND(D74&lt;&gt;"",D74&lt;&gt;0,D74&lt;&gt;"UPC Not Found"),D74,IFERROR(INDEX('Product Master'!$B$2:$B$200,MATCH($C74,'Product Master'!$A$2:$A$200,0)),"UPC Not Found")))</f>
        <v/>
      </c>
      <c r="E74" s="9" t="str">
        <f aca="false">IF($C74="","",IF(AND(E74&lt;&gt;"",E74&lt;&gt;0,E74&lt;&gt;"UPC Not Found"),E74,IFERROR(INDEX('Product Master'!$C$2:$C$200,MATCH($C74,'Product Master'!$A$2:$A$200,0)),"UPC Not Found")))</f>
        <v/>
      </c>
      <c r="F74" s="9" t="str">
        <f aca="false">IF($C74="","",IF(AND(F74&lt;&gt;"",F74&lt;&gt;0,F74&lt;&gt;"UPC Not Found"),F74,IFERROR(INDEX('Product Master'!$D$2:$D$200,MATCH($C74,'Product Master'!$A$2:$A$200,0)),"UPC Not Found")))</f>
        <v/>
      </c>
      <c r="G74" s="11" t="str">
        <f aca="false">IF($C74="","",IF(AND(G74&lt;&gt;"",G74&lt;&gt;0,G74&lt;&gt;"UPC Not Found"),G74,IFERROR(INDEX('Product Master'!$E$2:$E$200,MATCH($C74,'Product Master'!$A$2:$A$200,0)),"UPC Not Found")))</f>
        <v/>
      </c>
      <c r="H74" s="12"/>
      <c r="I74" s="11" t="str">
        <f aca="false">IF(OR($C74="",H74="",G74="UPC Not Found"),"",H74-G74)</f>
        <v/>
      </c>
      <c r="J74" s="9" t="str">
        <f aca="false">IF($C74="","",IF(H74="","Not Counted",IF(I74=0,"Match",IF(I74&gt;0,"Overage","Shortage"))))</f>
        <v/>
      </c>
      <c r="K74" s="9" t="str">
        <f aca="false">IF($C74="","",IF(AND(K74&lt;&gt;"",K74&lt;&gt;0),K74,$B$4))</f>
        <v/>
      </c>
      <c r="L74" s="13"/>
      <c r="M74" s="13"/>
      <c r="N74" s="13"/>
    </row>
    <row r="75" customFormat="false" ht="15" hidden="false" customHeight="false" outlineLevel="0" collapsed="false">
      <c r="A75" s="8" t="str">
        <f aca="true">IF($C75="","",IF(AND(A75&lt;&gt;"",A75&lt;&gt;0),A75,TODAY()))</f>
        <v/>
      </c>
      <c r="B75" s="9" t="str">
        <f aca="false">IF($C75="","",IF(AND(B75&lt;&gt;"",B75&lt;&gt;0),B75,$E$4))</f>
        <v/>
      </c>
      <c r="C75" s="10"/>
      <c r="D75" s="9" t="str">
        <f aca="false">IF($C75="","",IF(AND(D75&lt;&gt;"",D75&lt;&gt;0,D75&lt;&gt;"UPC Not Found"),D75,IFERROR(INDEX('Product Master'!$B$2:$B$200,MATCH($C75,'Product Master'!$A$2:$A$200,0)),"UPC Not Found")))</f>
        <v/>
      </c>
      <c r="E75" s="9" t="str">
        <f aca="false">IF($C75="","",IF(AND(E75&lt;&gt;"",E75&lt;&gt;0,E75&lt;&gt;"UPC Not Found"),E75,IFERROR(INDEX('Product Master'!$C$2:$C$200,MATCH($C75,'Product Master'!$A$2:$A$200,0)),"UPC Not Found")))</f>
        <v/>
      </c>
      <c r="F75" s="9" t="str">
        <f aca="false">IF($C75="","",IF(AND(F75&lt;&gt;"",F75&lt;&gt;0,F75&lt;&gt;"UPC Not Found"),F75,IFERROR(INDEX('Product Master'!$D$2:$D$200,MATCH($C75,'Product Master'!$A$2:$A$200,0)),"UPC Not Found")))</f>
        <v/>
      </c>
      <c r="G75" s="11" t="str">
        <f aca="false">IF($C75="","",IF(AND(G75&lt;&gt;"",G75&lt;&gt;0,G75&lt;&gt;"UPC Not Found"),G75,IFERROR(INDEX('Product Master'!$E$2:$E$200,MATCH($C75,'Product Master'!$A$2:$A$200,0)),"UPC Not Found")))</f>
        <v/>
      </c>
      <c r="H75" s="12"/>
      <c r="I75" s="11" t="str">
        <f aca="false">IF(OR($C75="",H75="",G75="UPC Not Found"),"",H75-G75)</f>
        <v/>
      </c>
      <c r="J75" s="9" t="str">
        <f aca="false">IF($C75="","",IF(H75="","Not Counted",IF(I75=0,"Match",IF(I75&gt;0,"Overage","Shortage"))))</f>
        <v/>
      </c>
      <c r="K75" s="9" t="str">
        <f aca="false">IF($C75="","",IF(AND(K75&lt;&gt;"",K75&lt;&gt;0),K75,$B$4))</f>
        <v/>
      </c>
      <c r="L75" s="13"/>
      <c r="M75" s="13"/>
      <c r="N75" s="13"/>
    </row>
    <row r="76" customFormat="false" ht="15" hidden="false" customHeight="false" outlineLevel="0" collapsed="false">
      <c r="A76" s="8" t="str">
        <f aca="true">IF($C76="","",IF(AND(A76&lt;&gt;"",A76&lt;&gt;0),A76,TODAY()))</f>
        <v/>
      </c>
      <c r="B76" s="9" t="str">
        <f aca="false">IF($C76="","",IF(AND(B76&lt;&gt;"",B76&lt;&gt;0),B76,$E$4))</f>
        <v/>
      </c>
      <c r="C76" s="10"/>
      <c r="D76" s="9" t="str">
        <f aca="false">IF($C76="","",IF(AND(D76&lt;&gt;"",D76&lt;&gt;0,D76&lt;&gt;"UPC Not Found"),D76,IFERROR(INDEX('Product Master'!$B$2:$B$200,MATCH($C76,'Product Master'!$A$2:$A$200,0)),"UPC Not Found")))</f>
        <v/>
      </c>
      <c r="E76" s="9" t="str">
        <f aca="false">IF($C76="","",IF(AND(E76&lt;&gt;"",E76&lt;&gt;0,E76&lt;&gt;"UPC Not Found"),E76,IFERROR(INDEX('Product Master'!$C$2:$C$200,MATCH($C76,'Product Master'!$A$2:$A$200,0)),"UPC Not Found")))</f>
        <v/>
      </c>
      <c r="F76" s="9" t="str">
        <f aca="false">IF($C76="","",IF(AND(F76&lt;&gt;"",F76&lt;&gt;0,F76&lt;&gt;"UPC Not Found"),F76,IFERROR(INDEX('Product Master'!$D$2:$D$200,MATCH($C76,'Product Master'!$A$2:$A$200,0)),"UPC Not Found")))</f>
        <v/>
      </c>
      <c r="G76" s="11" t="str">
        <f aca="false">IF($C76="","",IF(AND(G76&lt;&gt;"",G76&lt;&gt;0,G76&lt;&gt;"UPC Not Found"),G76,IFERROR(INDEX('Product Master'!$E$2:$E$200,MATCH($C76,'Product Master'!$A$2:$A$200,0)),"UPC Not Found")))</f>
        <v/>
      </c>
      <c r="H76" s="12"/>
      <c r="I76" s="11" t="str">
        <f aca="false">IF(OR($C76="",H76="",G76="UPC Not Found"),"",H76-G76)</f>
        <v/>
      </c>
      <c r="J76" s="9" t="str">
        <f aca="false">IF($C76="","",IF(H76="","Not Counted",IF(I76=0,"Match",IF(I76&gt;0,"Overage","Shortage"))))</f>
        <v/>
      </c>
      <c r="K76" s="9" t="str">
        <f aca="false">IF($C76="","",IF(AND(K76&lt;&gt;"",K76&lt;&gt;0),K76,$B$4))</f>
        <v/>
      </c>
      <c r="L76" s="13"/>
      <c r="M76" s="13"/>
      <c r="N76" s="13"/>
    </row>
    <row r="77" customFormat="false" ht="15" hidden="false" customHeight="false" outlineLevel="0" collapsed="false">
      <c r="A77" s="8" t="str">
        <f aca="true">IF($C77="","",IF(AND(A77&lt;&gt;"",A77&lt;&gt;0),A77,TODAY()))</f>
        <v/>
      </c>
      <c r="B77" s="9" t="str">
        <f aca="false">IF($C77="","",IF(AND(B77&lt;&gt;"",B77&lt;&gt;0),B77,$E$4))</f>
        <v/>
      </c>
      <c r="C77" s="10"/>
      <c r="D77" s="9" t="str">
        <f aca="false">IF($C77="","",IF(AND(D77&lt;&gt;"",D77&lt;&gt;0,D77&lt;&gt;"UPC Not Found"),D77,IFERROR(INDEX('Product Master'!$B$2:$B$200,MATCH($C77,'Product Master'!$A$2:$A$200,0)),"UPC Not Found")))</f>
        <v/>
      </c>
      <c r="E77" s="9" t="str">
        <f aca="false">IF($C77="","",IF(AND(E77&lt;&gt;"",E77&lt;&gt;0,E77&lt;&gt;"UPC Not Found"),E77,IFERROR(INDEX('Product Master'!$C$2:$C$200,MATCH($C77,'Product Master'!$A$2:$A$200,0)),"UPC Not Found")))</f>
        <v/>
      </c>
      <c r="F77" s="9" t="str">
        <f aca="false">IF($C77="","",IF(AND(F77&lt;&gt;"",F77&lt;&gt;0,F77&lt;&gt;"UPC Not Found"),F77,IFERROR(INDEX('Product Master'!$D$2:$D$200,MATCH($C77,'Product Master'!$A$2:$A$200,0)),"UPC Not Found")))</f>
        <v/>
      </c>
      <c r="G77" s="11" t="str">
        <f aca="false">IF($C77="","",IF(AND(G77&lt;&gt;"",G77&lt;&gt;0,G77&lt;&gt;"UPC Not Found"),G77,IFERROR(INDEX('Product Master'!$E$2:$E$200,MATCH($C77,'Product Master'!$A$2:$A$200,0)),"UPC Not Found")))</f>
        <v/>
      </c>
      <c r="H77" s="12"/>
      <c r="I77" s="11" t="str">
        <f aca="false">IF(OR($C77="",H77="",G77="UPC Not Found"),"",H77-G77)</f>
        <v/>
      </c>
      <c r="J77" s="9" t="str">
        <f aca="false">IF($C77="","",IF(H77="","Not Counted",IF(I77=0,"Match",IF(I77&gt;0,"Overage","Shortage"))))</f>
        <v/>
      </c>
      <c r="K77" s="9" t="str">
        <f aca="false">IF($C77="","",IF(AND(K77&lt;&gt;"",K77&lt;&gt;0),K77,$B$4))</f>
        <v/>
      </c>
      <c r="L77" s="13"/>
      <c r="M77" s="13"/>
      <c r="N77" s="13"/>
    </row>
    <row r="78" customFormat="false" ht="15" hidden="false" customHeight="false" outlineLevel="0" collapsed="false">
      <c r="A78" s="8" t="str">
        <f aca="true">IF($C78="","",IF(AND(A78&lt;&gt;"",A78&lt;&gt;0),A78,TODAY()))</f>
        <v/>
      </c>
      <c r="B78" s="9" t="str">
        <f aca="false">IF($C78="","",IF(AND(B78&lt;&gt;"",B78&lt;&gt;0),B78,$E$4))</f>
        <v/>
      </c>
      <c r="C78" s="10"/>
      <c r="D78" s="9" t="str">
        <f aca="false">IF($C78="","",IF(AND(D78&lt;&gt;"",D78&lt;&gt;0,D78&lt;&gt;"UPC Not Found"),D78,IFERROR(INDEX('Product Master'!$B$2:$B$200,MATCH($C78,'Product Master'!$A$2:$A$200,0)),"UPC Not Found")))</f>
        <v/>
      </c>
      <c r="E78" s="9" t="str">
        <f aca="false">IF($C78="","",IF(AND(E78&lt;&gt;"",E78&lt;&gt;0,E78&lt;&gt;"UPC Not Found"),E78,IFERROR(INDEX('Product Master'!$C$2:$C$200,MATCH($C78,'Product Master'!$A$2:$A$200,0)),"UPC Not Found")))</f>
        <v/>
      </c>
      <c r="F78" s="9" t="str">
        <f aca="false">IF($C78="","",IF(AND(F78&lt;&gt;"",F78&lt;&gt;0,F78&lt;&gt;"UPC Not Found"),F78,IFERROR(INDEX('Product Master'!$D$2:$D$200,MATCH($C78,'Product Master'!$A$2:$A$200,0)),"UPC Not Found")))</f>
        <v/>
      </c>
      <c r="G78" s="11" t="str">
        <f aca="false">IF($C78="","",IF(AND(G78&lt;&gt;"",G78&lt;&gt;0,G78&lt;&gt;"UPC Not Found"),G78,IFERROR(INDEX('Product Master'!$E$2:$E$200,MATCH($C78,'Product Master'!$A$2:$A$200,0)),"UPC Not Found")))</f>
        <v/>
      </c>
      <c r="H78" s="12"/>
      <c r="I78" s="11" t="str">
        <f aca="false">IF(OR($C78="",H78="",G78="UPC Not Found"),"",H78-G78)</f>
        <v/>
      </c>
      <c r="J78" s="9" t="str">
        <f aca="false">IF($C78="","",IF(H78="","Not Counted",IF(I78=0,"Match",IF(I78&gt;0,"Overage","Shortage"))))</f>
        <v/>
      </c>
      <c r="K78" s="9" t="str">
        <f aca="false">IF($C78="","",IF(AND(K78&lt;&gt;"",K78&lt;&gt;0),K78,$B$4))</f>
        <v/>
      </c>
      <c r="L78" s="13"/>
      <c r="M78" s="13"/>
      <c r="N78" s="13"/>
    </row>
    <row r="79" customFormat="false" ht="15" hidden="false" customHeight="false" outlineLevel="0" collapsed="false">
      <c r="A79" s="8" t="str">
        <f aca="true">IF($C79="","",IF(AND(A79&lt;&gt;"",A79&lt;&gt;0),A79,TODAY()))</f>
        <v/>
      </c>
      <c r="B79" s="9" t="str">
        <f aca="false">IF($C79="","",IF(AND(B79&lt;&gt;"",B79&lt;&gt;0),B79,$E$4))</f>
        <v/>
      </c>
      <c r="C79" s="10"/>
      <c r="D79" s="9" t="str">
        <f aca="false">IF($C79="","",IF(AND(D79&lt;&gt;"",D79&lt;&gt;0,D79&lt;&gt;"UPC Not Found"),D79,IFERROR(INDEX('Product Master'!$B$2:$B$200,MATCH($C79,'Product Master'!$A$2:$A$200,0)),"UPC Not Found")))</f>
        <v/>
      </c>
      <c r="E79" s="9" t="str">
        <f aca="false">IF($C79="","",IF(AND(E79&lt;&gt;"",E79&lt;&gt;0,E79&lt;&gt;"UPC Not Found"),E79,IFERROR(INDEX('Product Master'!$C$2:$C$200,MATCH($C79,'Product Master'!$A$2:$A$200,0)),"UPC Not Found")))</f>
        <v/>
      </c>
      <c r="F79" s="9" t="str">
        <f aca="false">IF($C79="","",IF(AND(F79&lt;&gt;"",F79&lt;&gt;0,F79&lt;&gt;"UPC Not Found"),F79,IFERROR(INDEX('Product Master'!$D$2:$D$200,MATCH($C79,'Product Master'!$A$2:$A$200,0)),"UPC Not Found")))</f>
        <v/>
      </c>
      <c r="G79" s="11" t="str">
        <f aca="false">IF($C79="","",IF(AND(G79&lt;&gt;"",G79&lt;&gt;0,G79&lt;&gt;"UPC Not Found"),G79,IFERROR(INDEX('Product Master'!$E$2:$E$200,MATCH($C79,'Product Master'!$A$2:$A$200,0)),"UPC Not Found")))</f>
        <v/>
      </c>
      <c r="H79" s="12"/>
      <c r="I79" s="11" t="str">
        <f aca="false">IF(OR($C79="",H79="",G79="UPC Not Found"),"",H79-G79)</f>
        <v/>
      </c>
      <c r="J79" s="9" t="str">
        <f aca="false">IF($C79="","",IF(H79="","Not Counted",IF(I79=0,"Match",IF(I79&gt;0,"Overage","Shortage"))))</f>
        <v/>
      </c>
      <c r="K79" s="9" t="str">
        <f aca="false">IF($C79="","",IF(AND(K79&lt;&gt;"",K79&lt;&gt;0),K79,$B$4))</f>
        <v/>
      </c>
      <c r="L79" s="13"/>
      <c r="M79" s="13"/>
      <c r="N79" s="13"/>
    </row>
    <row r="80" customFormat="false" ht="15" hidden="false" customHeight="false" outlineLevel="0" collapsed="false">
      <c r="A80" s="8" t="str">
        <f aca="true">IF($C80="","",IF(AND(A80&lt;&gt;"",A80&lt;&gt;0),A80,TODAY()))</f>
        <v/>
      </c>
      <c r="B80" s="9" t="str">
        <f aca="false">IF($C80="","",IF(AND(B80&lt;&gt;"",B80&lt;&gt;0),B80,$E$4))</f>
        <v/>
      </c>
      <c r="C80" s="10"/>
      <c r="D80" s="9" t="str">
        <f aca="false">IF($C80="","",IF(AND(D80&lt;&gt;"",D80&lt;&gt;0,D80&lt;&gt;"UPC Not Found"),D80,IFERROR(INDEX('Product Master'!$B$2:$B$200,MATCH($C80,'Product Master'!$A$2:$A$200,0)),"UPC Not Found")))</f>
        <v/>
      </c>
      <c r="E80" s="9" t="str">
        <f aca="false">IF($C80="","",IF(AND(E80&lt;&gt;"",E80&lt;&gt;0,E80&lt;&gt;"UPC Not Found"),E80,IFERROR(INDEX('Product Master'!$C$2:$C$200,MATCH($C80,'Product Master'!$A$2:$A$200,0)),"UPC Not Found")))</f>
        <v/>
      </c>
      <c r="F80" s="9" t="str">
        <f aca="false">IF($C80="","",IF(AND(F80&lt;&gt;"",F80&lt;&gt;0,F80&lt;&gt;"UPC Not Found"),F80,IFERROR(INDEX('Product Master'!$D$2:$D$200,MATCH($C80,'Product Master'!$A$2:$A$200,0)),"UPC Not Found")))</f>
        <v/>
      </c>
      <c r="G80" s="11" t="str">
        <f aca="false">IF($C80="","",IF(AND(G80&lt;&gt;"",G80&lt;&gt;0,G80&lt;&gt;"UPC Not Found"),G80,IFERROR(INDEX('Product Master'!$E$2:$E$200,MATCH($C80,'Product Master'!$A$2:$A$200,0)),"UPC Not Found")))</f>
        <v/>
      </c>
      <c r="H80" s="12"/>
      <c r="I80" s="11" t="str">
        <f aca="false">IF(OR($C80="",H80="",G80="UPC Not Found"),"",H80-G80)</f>
        <v/>
      </c>
      <c r="J80" s="9" t="str">
        <f aca="false">IF($C80="","",IF(H80="","Not Counted",IF(I80=0,"Match",IF(I80&gt;0,"Overage","Shortage"))))</f>
        <v/>
      </c>
      <c r="K80" s="9" t="str">
        <f aca="false">IF($C80="","",IF(AND(K80&lt;&gt;"",K80&lt;&gt;0),K80,$B$4))</f>
        <v/>
      </c>
      <c r="L80" s="13"/>
      <c r="M80" s="13"/>
      <c r="N80" s="13"/>
    </row>
    <row r="81" customFormat="false" ht="15" hidden="false" customHeight="false" outlineLevel="0" collapsed="false">
      <c r="A81" s="8" t="str">
        <f aca="true">IF($C81="","",IF(AND(A81&lt;&gt;"",A81&lt;&gt;0),A81,TODAY()))</f>
        <v/>
      </c>
      <c r="B81" s="9" t="str">
        <f aca="false">IF($C81="","",IF(AND(B81&lt;&gt;"",B81&lt;&gt;0),B81,$E$4))</f>
        <v/>
      </c>
      <c r="C81" s="10"/>
      <c r="D81" s="9" t="str">
        <f aca="false">IF($C81="","",IF(AND(D81&lt;&gt;"",D81&lt;&gt;0,D81&lt;&gt;"UPC Not Found"),D81,IFERROR(INDEX('Product Master'!$B$2:$B$200,MATCH($C81,'Product Master'!$A$2:$A$200,0)),"UPC Not Found")))</f>
        <v/>
      </c>
      <c r="E81" s="9" t="str">
        <f aca="false">IF($C81="","",IF(AND(E81&lt;&gt;"",E81&lt;&gt;0,E81&lt;&gt;"UPC Not Found"),E81,IFERROR(INDEX('Product Master'!$C$2:$C$200,MATCH($C81,'Product Master'!$A$2:$A$200,0)),"UPC Not Found")))</f>
        <v/>
      </c>
      <c r="F81" s="9" t="str">
        <f aca="false">IF($C81="","",IF(AND(F81&lt;&gt;"",F81&lt;&gt;0,F81&lt;&gt;"UPC Not Found"),F81,IFERROR(INDEX('Product Master'!$D$2:$D$200,MATCH($C81,'Product Master'!$A$2:$A$200,0)),"UPC Not Found")))</f>
        <v/>
      </c>
      <c r="G81" s="11" t="str">
        <f aca="false">IF($C81="","",IF(AND(G81&lt;&gt;"",G81&lt;&gt;0,G81&lt;&gt;"UPC Not Found"),G81,IFERROR(INDEX('Product Master'!$E$2:$E$200,MATCH($C81,'Product Master'!$A$2:$A$200,0)),"UPC Not Found")))</f>
        <v/>
      </c>
      <c r="H81" s="12"/>
      <c r="I81" s="11" t="str">
        <f aca="false">IF(OR($C81="",H81="",G81="UPC Not Found"),"",H81-G81)</f>
        <v/>
      </c>
      <c r="J81" s="9" t="str">
        <f aca="false">IF($C81="","",IF(H81="","Not Counted",IF(I81=0,"Match",IF(I81&gt;0,"Overage","Shortage"))))</f>
        <v/>
      </c>
      <c r="K81" s="9" t="str">
        <f aca="false">IF($C81="","",IF(AND(K81&lt;&gt;"",K81&lt;&gt;0),K81,$B$4))</f>
        <v/>
      </c>
      <c r="L81" s="13"/>
      <c r="M81" s="13"/>
      <c r="N81" s="13"/>
    </row>
    <row r="82" customFormat="false" ht="15" hidden="false" customHeight="false" outlineLevel="0" collapsed="false">
      <c r="A82" s="8" t="str">
        <f aca="true">IF($C82="","",IF(AND(A82&lt;&gt;"",A82&lt;&gt;0),A82,TODAY()))</f>
        <v/>
      </c>
      <c r="B82" s="9" t="str">
        <f aca="false">IF($C82="","",IF(AND(B82&lt;&gt;"",B82&lt;&gt;0),B82,$E$4))</f>
        <v/>
      </c>
      <c r="C82" s="10"/>
      <c r="D82" s="9" t="str">
        <f aca="false">IF($C82="","",IF(AND(D82&lt;&gt;"",D82&lt;&gt;0,D82&lt;&gt;"UPC Not Found"),D82,IFERROR(INDEX('Product Master'!$B$2:$B$200,MATCH($C82,'Product Master'!$A$2:$A$200,0)),"UPC Not Found")))</f>
        <v/>
      </c>
      <c r="E82" s="9" t="str">
        <f aca="false">IF($C82="","",IF(AND(E82&lt;&gt;"",E82&lt;&gt;0,E82&lt;&gt;"UPC Not Found"),E82,IFERROR(INDEX('Product Master'!$C$2:$C$200,MATCH($C82,'Product Master'!$A$2:$A$200,0)),"UPC Not Found")))</f>
        <v/>
      </c>
      <c r="F82" s="9" t="str">
        <f aca="false">IF($C82="","",IF(AND(F82&lt;&gt;"",F82&lt;&gt;0,F82&lt;&gt;"UPC Not Found"),F82,IFERROR(INDEX('Product Master'!$D$2:$D$200,MATCH($C82,'Product Master'!$A$2:$A$200,0)),"UPC Not Found")))</f>
        <v/>
      </c>
      <c r="G82" s="11" t="str">
        <f aca="false">IF($C82="","",IF(AND(G82&lt;&gt;"",G82&lt;&gt;0,G82&lt;&gt;"UPC Not Found"),G82,IFERROR(INDEX('Product Master'!$E$2:$E$200,MATCH($C82,'Product Master'!$A$2:$A$200,0)),"UPC Not Found")))</f>
        <v/>
      </c>
      <c r="H82" s="12"/>
      <c r="I82" s="11" t="str">
        <f aca="false">IF(OR($C82="",H82="",G82="UPC Not Found"),"",H82-G82)</f>
        <v/>
      </c>
      <c r="J82" s="9" t="str">
        <f aca="false">IF($C82="","",IF(H82="","Not Counted",IF(I82=0,"Match",IF(I82&gt;0,"Overage","Shortage"))))</f>
        <v/>
      </c>
      <c r="K82" s="9" t="str">
        <f aca="false">IF($C82="","",IF(AND(K82&lt;&gt;"",K82&lt;&gt;0),K82,$B$4))</f>
        <v/>
      </c>
      <c r="L82" s="13"/>
      <c r="M82" s="13"/>
      <c r="N82" s="13"/>
    </row>
    <row r="83" customFormat="false" ht="15" hidden="false" customHeight="false" outlineLevel="0" collapsed="false">
      <c r="A83" s="8" t="str">
        <f aca="true">IF($C83="","",IF(AND(A83&lt;&gt;"",A83&lt;&gt;0),A83,TODAY()))</f>
        <v/>
      </c>
      <c r="B83" s="9" t="str">
        <f aca="false">IF($C83="","",IF(AND(B83&lt;&gt;"",B83&lt;&gt;0),B83,$E$4))</f>
        <v/>
      </c>
      <c r="C83" s="10"/>
      <c r="D83" s="9" t="str">
        <f aca="false">IF($C83="","",IF(AND(D83&lt;&gt;"",D83&lt;&gt;0,D83&lt;&gt;"UPC Not Found"),D83,IFERROR(INDEX('Product Master'!$B$2:$B$200,MATCH($C83,'Product Master'!$A$2:$A$200,0)),"UPC Not Found")))</f>
        <v/>
      </c>
      <c r="E83" s="9" t="str">
        <f aca="false">IF($C83="","",IF(AND(E83&lt;&gt;"",E83&lt;&gt;0,E83&lt;&gt;"UPC Not Found"),E83,IFERROR(INDEX('Product Master'!$C$2:$C$200,MATCH($C83,'Product Master'!$A$2:$A$200,0)),"UPC Not Found")))</f>
        <v/>
      </c>
      <c r="F83" s="9" t="str">
        <f aca="false">IF($C83="","",IF(AND(F83&lt;&gt;"",F83&lt;&gt;0,F83&lt;&gt;"UPC Not Found"),F83,IFERROR(INDEX('Product Master'!$D$2:$D$200,MATCH($C83,'Product Master'!$A$2:$A$200,0)),"UPC Not Found")))</f>
        <v/>
      </c>
      <c r="G83" s="11" t="str">
        <f aca="false">IF($C83="","",IF(AND(G83&lt;&gt;"",G83&lt;&gt;0,G83&lt;&gt;"UPC Not Found"),G83,IFERROR(INDEX('Product Master'!$E$2:$E$200,MATCH($C83,'Product Master'!$A$2:$A$200,0)),"UPC Not Found")))</f>
        <v/>
      </c>
      <c r="H83" s="12"/>
      <c r="I83" s="11" t="str">
        <f aca="false">IF(OR($C83="",H83="",G83="UPC Not Found"),"",H83-G83)</f>
        <v/>
      </c>
      <c r="J83" s="9" t="str">
        <f aca="false">IF($C83="","",IF(H83="","Not Counted",IF(I83=0,"Match",IF(I83&gt;0,"Overage","Shortage"))))</f>
        <v/>
      </c>
      <c r="K83" s="9" t="str">
        <f aca="false">IF($C83="","",IF(AND(K83&lt;&gt;"",K83&lt;&gt;0),K83,$B$4))</f>
        <v/>
      </c>
      <c r="L83" s="13"/>
      <c r="M83" s="13"/>
      <c r="N83" s="13"/>
    </row>
    <row r="84" customFormat="false" ht="15" hidden="false" customHeight="false" outlineLevel="0" collapsed="false">
      <c r="A84" s="8" t="str">
        <f aca="true">IF($C84="","",IF(AND(A84&lt;&gt;"",A84&lt;&gt;0),A84,TODAY()))</f>
        <v/>
      </c>
      <c r="B84" s="9" t="str">
        <f aca="false">IF($C84="","",IF(AND(B84&lt;&gt;"",B84&lt;&gt;0),B84,$E$4))</f>
        <v/>
      </c>
      <c r="C84" s="10"/>
      <c r="D84" s="9" t="str">
        <f aca="false">IF($C84="","",IF(AND(D84&lt;&gt;"",D84&lt;&gt;0,D84&lt;&gt;"UPC Not Found"),D84,IFERROR(INDEX('Product Master'!$B$2:$B$200,MATCH($C84,'Product Master'!$A$2:$A$200,0)),"UPC Not Found")))</f>
        <v/>
      </c>
      <c r="E84" s="9" t="str">
        <f aca="false">IF($C84="","",IF(AND(E84&lt;&gt;"",E84&lt;&gt;0,E84&lt;&gt;"UPC Not Found"),E84,IFERROR(INDEX('Product Master'!$C$2:$C$200,MATCH($C84,'Product Master'!$A$2:$A$200,0)),"UPC Not Found")))</f>
        <v/>
      </c>
      <c r="F84" s="9" t="str">
        <f aca="false">IF($C84="","",IF(AND(F84&lt;&gt;"",F84&lt;&gt;0,F84&lt;&gt;"UPC Not Found"),F84,IFERROR(INDEX('Product Master'!$D$2:$D$200,MATCH($C84,'Product Master'!$A$2:$A$200,0)),"UPC Not Found")))</f>
        <v/>
      </c>
      <c r="G84" s="11" t="str">
        <f aca="false">IF($C84="","",IF(AND(G84&lt;&gt;"",G84&lt;&gt;0,G84&lt;&gt;"UPC Not Found"),G84,IFERROR(INDEX('Product Master'!$E$2:$E$200,MATCH($C84,'Product Master'!$A$2:$A$200,0)),"UPC Not Found")))</f>
        <v/>
      </c>
      <c r="H84" s="12"/>
      <c r="I84" s="11" t="str">
        <f aca="false">IF(OR($C84="",H84="",G84="UPC Not Found"),"",H84-G84)</f>
        <v/>
      </c>
      <c r="J84" s="9" t="str">
        <f aca="false">IF($C84="","",IF(H84="","Not Counted",IF(I84=0,"Match",IF(I84&gt;0,"Overage","Shortage"))))</f>
        <v/>
      </c>
      <c r="K84" s="9" t="str">
        <f aca="false">IF($C84="","",IF(AND(K84&lt;&gt;"",K84&lt;&gt;0),K84,$B$4))</f>
        <v/>
      </c>
      <c r="L84" s="13"/>
      <c r="M84" s="13"/>
      <c r="N84" s="13"/>
    </row>
    <row r="85" customFormat="false" ht="15" hidden="false" customHeight="false" outlineLevel="0" collapsed="false">
      <c r="A85" s="8" t="str">
        <f aca="true">IF($C85="","",IF(AND(A85&lt;&gt;"",A85&lt;&gt;0),A85,TODAY()))</f>
        <v/>
      </c>
      <c r="B85" s="9" t="str">
        <f aca="false">IF($C85="","",IF(AND(B85&lt;&gt;"",B85&lt;&gt;0),B85,$E$4))</f>
        <v/>
      </c>
      <c r="C85" s="10"/>
      <c r="D85" s="9" t="str">
        <f aca="false">IF($C85="","",IF(AND(D85&lt;&gt;"",D85&lt;&gt;0,D85&lt;&gt;"UPC Not Found"),D85,IFERROR(INDEX('Product Master'!$B$2:$B$200,MATCH($C85,'Product Master'!$A$2:$A$200,0)),"UPC Not Found")))</f>
        <v/>
      </c>
      <c r="E85" s="9" t="str">
        <f aca="false">IF($C85="","",IF(AND(E85&lt;&gt;"",E85&lt;&gt;0,E85&lt;&gt;"UPC Not Found"),E85,IFERROR(INDEX('Product Master'!$C$2:$C$200,MATCH($C85,'Product Master'!$A$2:$A$200,0)),"UPC Not Found")))</f>
        <v/>
      </c>
      <c r="F85" s="9" t="str">
        <f aca="false">IF($C85="","",IF(AND(F85&lt;&gt;"",F85&lt;&gt;0,F85&lt;&gt;"UPC Not Found"),F85,IFERROR(INDEX('Product Master'!$D$2:$D$200,MATCH($C85,'Product Master'!$A$2:$A$200,0)),"UPC Not Found")))</f>
        <v/>
      </c>
      <c r="G85" s="11" t="str">
        <f aca="false">IF($C85="","",IF(AND(G85&lt;&gt;"",G85&lt;&gt;0,G85&lt;&gt;"UPC Not Found"),G85,IFERROR(INDEX('Product Master'!$E$2:$E$200,MATCH($C85,'Product Master'!$A$2:$A$200,0)),"UPC Not Found")))</f>
        <v/>
      </c>
      <c r="H85" s="12"/>
      <c r="I85" s="11" t="str">
        <f aca="false">IF(OR($C85="",H85="",G85="UPC Not Found"),"",H85-G85)</f>
        <v/>
      </c>
      <c r="J85" s="9" t="str">
        <f aca="false">IF($C85="","",IF(H85="","Not Counted",IF(I85=0,"Match",IF(I85&gt;0,"Overage","Shortage"))))</f>
        <v/>
      </c>
      <c r="K85" s="9" t="str">
        <f aca="false">IF($C85="","",IF(AND(K85&lt;&gt;"",K85&lt;&gt;0),K85,$B$4))</f>
        <v/>
      </c>
      <c r="L85" s="13"/>
      <c r="M85" s="13"/>
      <c r="N85" s="13"/>
    </row>
    <row r="86" customFormat="false" ht="15" hidden="false" customHeight="false" outlineLevel="0" collapsed="false">
      <c r="A86" s="8" t="str">
        <f aca="true">IF($C86="","",IF(AND(A86&lt;&gt;"",A86&lt;&gt;0),A86,TODAY()))</f>
        <v/>
      </c>
      <c r="B86" s="9" t="str">
        <f aca="false">IF($C86="","",IF(AND(B86&lt;&gt;"",B86&lt;&gt;0),B86,$E$4))</f>
        <v/>
      </c>
      <c r="C86" s="10"/>
      <c r="D86" s="9" t="str">
        <f aca="false">IF($C86="","",IF(AND(D86&lt;&gt;"",D86&lt;&gt;0,D86&lt;&gt;"UPC Not Found"),D86,IFERROR(INDEX('Product Master'!$B$2:$B$200,MATCH($C86,'Product Master'!$A$2:$A$200,0)),"UPC Not Found")))</f>
        <v/>
      </c>
      <c r="E86" s="9" t="str">
        <f aca="false">IF($C86="","",IF(AND(E86&lt;&gt;"",E86&lt;&gt;0,E86&lt;&gt;"UPC Not Found"),E86,IFERROR(INDEX('Product Master'!$C$2:$C$200,MATCH($C86,'Product Master'!$A$2:$A$200,0)),"UPC Not Found")))</f>
        <v/>
      </c>
      <c r="F86" s="9" t="str">
        <f aca="false">IF($C86="","",IF(AND(F86&lt;&gt;"",F86&lt;&gt;0,F86&lt;&gt;"UPC Not Found"),F86,IFERROR(INDEX('Product Master'!$D$2:$D$200,MATCH($C86,'Product Master'!$A$2:$A$200,0)),"UPC Not Found")))</f>
        <v/>
      </c>
      <c r="G86" s="11" t="str">
        <f aca="false">IF($C86="","",IF(AND(G86&lt;&gt;"",G86&lt;&gt;0,G86&lt;&gt;"UPC Not Found"),G86,IFERROR(INDEX('Product Master'!$E$2:$E$200,MATCH($C86,'Product Master'!$A$2:$A$200,0)),"UPC Not Found")))</f>
        <v/>
      </c>
      <c r="H86" s="12"/>
      <c r="I86" s="11" t="str">
        <f aca="false">IF(OR($C86="",H86="",G86="UPC Not Found"),"",H86-G86)</f>
        <v/>
      </c>
      <c r="J86" s="9" t="str">
        <f aca="false">IF($C86="","",IF(H86="","Not Counted",IF(I86=0,"Match",IF(I86&gt;0,"Overage","Shortage"))))</f>
        <v/>
      </c>
      <c r="K86" s="9" t="str">
        <f aca="false">IF($C86="","",IF(AND(K86&lt;&gt;"",K86&lt;&gt;0),K86,$B$4))</f>
        <v/>
      </c>
      <c r="L86" s="13"/>
      <c r="M86" s="13"/>
      <c r="N86" s="13"/>
    </row>
    <row r="87" customFormat="false" ht="15" hidden="false" customHeight="false" outlineLevel="0" collapsed="false">
      <c r="A87" s="8" t="str">
        <f aca="true">IF($C87="","",IF(AND(A87&lt;&gt;"",A87&lt;&gt;0),A87,TODAY()))</f>
        <v/>
      </c>
      <c r="B87" s="9" t="str">
        <f aca="false">IF($C87="","",IF(AND(B87&lt;&gt;"",B87&lt;&gt;0),B87,$E$4))</f>
        <v/>
      </c>
      <c r="C87" s="10"/>
      <c r="D87" s="9" t="str">
        <f aca="false">IF($C87="","",IF(AND(D87&lt;&gt;"",D87&lt;&gt;0,D87&lt;&gt;"UPC Not Found"),D87,IFERROR(INDEX('Product Master'!$B$2:$B$200,MATCH($C87,'Product Master'!$A$2:$A$200,0)),"UPC Not Found")))</f>
        <v/>
      </c>
      <c r="E87" s="9" t="str">
        <f aca="false">IF($C87="","",IF(AND(E87&lt;&gt;"",E87&lt;&gt;0,E87&lt;&gt;"UPC Not Found"),E87,IFERROR(INDEX('Product Master'!$C$2:$C$200,MATCH($C87,'Product Master'!$A$2:$A$200,0)),"UPC Not Found")))</f>
        <v/>
      </c>
      <c r="F87" s="9" t="str">
        <f aca="false">IF($C87="","",IF(AND(F87&lt;&gt;"",F87&lt;&gt;0,F87&lt;&gt;"UPC Not Found"),F87,IFERROR(INDEX('Product Master'!$D$2:$D$200,MATCH($C87,'Product Master'!$A$2:$A$200,0)),"UPC Not Found")))</f>
        <v/>
      </c>
      <c r="G87" s="11" t="str">
        <f aca="false">IF($C87="","",IF(AND(G87&lt;&gt;"",G87&lt;&gt;0,G87&lt;&gt;"UPC Not Found"),G87,IFERROR(INDEX('Product Master'!$E$2:$E$200,MATCH($C87,'Product Master'!$A$2:$A$200,0)),"UPC Not Found")))</f>
        <v/>
      </c>
      <c r="H87" s="12"/>
      <c r="I87" s="11" t="str">
        <f aca="false">IF(OR($C87="",H87="",G87="UPC Not Found"),"",H87-G87)</f>
        <v/>
      </c>
      <c r="J87" s="9" t="str">
        <f aca="false">IF($C87="","",IF(H87="","Not Counted",IF(I87=0,"Match",IF(I87&gt;0,"Overage","Shortage"))))</f>
        <v/>
      </c>
      <c r="K87" s="9" t="str">
        <f aca="false">IF($C87="","",IF(AND(K87&lt;&gt;"",K87&lt;&gt;0),K87,$B$4))</f>
        <v/>
      </c>
      <c r="L87" s="13"/>
      <c r="M87" s="13"/>
      <c r="N87" s="13"/>
    </row>
    <row r="88" customFormat="false" ht="15" hidden="false" customHeight="false" outlineLevel="0" collapsed="false">
      <c r="A88" s="8" t="str">
        <f aca="true">IF($C88="","",IF(AND(A88&lt;&gt;"",A88&lt;&gt;0),A88,TODAY()))</f>
        <v/>
      </c>
      <c r="B88" s="9" t="str">
        <f aca="false">IF($C88="","",IF(AND(B88&lt;&gt;"",B88&lt;&gt;0),B88,$E$4))</f>
        <v/>
      </c>
      <c r="C88" s="10"/>
      <c r="D88" s="9" t="str">
        <f aca="false">IF($C88="","",IF(AND(D88&lt;&gt;"",D88&lt;&gt;0,D88&lt;&gt;"UPC Not Found"),D88,IFERROR(INDEX('Product Master'!$B$2:$B$200,MATCH($C88,'Product Master'!$A$2:$A$200,0)),"UPC Not Found")))</f>
        <v/>
      </c>
      <c r="E88" s="9" t="str">
        <f aca="false">IF($C88="","",IF(AND(E88&lt;&gt;"",E88&lt;&gt;0,E88&lt;&gt;"UPC Not Found"),E88,IFERROR(INDEX('Product Master'!$C$2:$C$200,MATCH($C88,'Product Master'!$A$2:$A$200,0)),"UPC Not Found")))</f>
        <v/>
      </c>
      <c r="F88" s="9" t="str">
        <f aca="false">IF($C88="","",IF(AND(F88&lt;&gt;"",F88&lt;&gt;0,F88&lt;&gt;"UPC Not Found"),F88,IFERROR(INDEX('Product Master'!$D$2:$D$200,MATCH($C88,'Product Master'!$A$2:$A$200,0)),"UPC Not Found")))</f>
        <v/>
      </c>
      <c r="G88" s="11" t="str">
        <f aca="false">IF($C88="","",IF(AND(G88&lt;&gt;"",G88&lt;&gt;0,G88&lt;&gt;"UPC Not Found"),G88,IFERROR(INDEX('Product Master'!$E$2:$E$200,MATCH($C88,'Product Master'!$A$2:$A$200,0)),"UPC Not Found")))</f>
        <v/>
      </c>
      <c r="H88" s="12"/>
      <c r="I88" s="11" t="str">
        <f aca="false">IF(OR($C88="",H88="",G88="UPC Not Found"),"",H88-G88)</f>
        <v/>
      </c>
      <c r="J88" s="9" t="str">
        <f aca="false">IF($C88="","",IF(H88="","Not Counted",IF(I88=0,"Match",IF(I88&gt;0,"Overage","Shortage"))))</f>
        <v/>
      </c>
      <c r="K88" s="9" t="str">
        <f aca="false">IF($C88="","",IF(AND(K88&lt;&gt;"",K88&lt;&gt;0),K88,$B$4))</f>
        <v/>
      </c>
      <c r="L88" s="13"/>
      <c r="M88" s="13"/>
      <c r="N88" s="13"/>
    </row>
    <row r="89" customFormat="false" ht="15" hidden="false" customHeight="false" outlineLevel="0" collapsed="false">
      <c r="A89" s="8" t="str">
        <f aca="true">IF($C89="","",IF(AND(A89&lt;&gt;"",A89&lt;&gt;0),A89,TODAY()))</f>
        <v/>
      </c>
      <c r="B89" s="9" t="str">
        <f aca="false">IF($C89="","",IF(AND(B89&lt;&gt;"",B89&lt;&gt;0),B89,$E$4))</f>
        <v/>
      </c>
      <c r="C89" s="10"/>
      <c r="D89" s="9" t="str">
        <f aca="false">IF($C89="","",IF(AND(D89&lt;&gt;"",D89&lt;&gt;0,D89&lt;&gt;"UPC Not Found"),D89,IFERROR(INDEX('Product Master'!$B$2:$B$200,MATCH($C89,'Product Master'!$A$2:$A$200,0)),"UPC Not Found")))</f>
        <v/>
      </c>
      <c r="E89" s="9" t="str">
        <f aca="false">IF($C89="","",IF(AND(E89&lt;&gt;"",E89&lt;&gt;0,E89&lt;&gt;"UPC Not Found"),E89,IFERROR(INDEX('Product Master'!$C$2:$C$200,MATCH($C89,'Product Master'!$A$2:$A$200,0)),"UPC Not Found")))</f>
        <v/>
      </c>
      <c r="F89" s="9" t="str">
        <f aca="false">IF($C89="","",IF(AND(F89&lt;&gt;"",F89&lt;&gt;0,F89&lt;&gt;"UPC Not Found"),F89,IFERROR(INDEX('Product Master'!$D$2:$D$200,MATCH($C89,'Product Master'!$A$2:$A$200,0)),"UPC Not Found")))</f>
        <v/>
      </c>
      <c r="G89" s="11" t="str">
        <f aca="false">IF($C89="","",IF(AND(G89&lt;&gt;"",G89&lt;&gt;0,G89&lt;&gt;"UPC Not Found"),G89,IFERROR(INDEX('Product Master'!$E$2:$E$200,MATCH($C89,'Product Master'!$A$2:$A$200,0)),"UPC Not Found")))</f>
        <v/>
      </c>
      <c r="H89" s="12"/>
      <c r="I89" s="11" t="str">
        <f aca="false">IF(OR($C89="",H89="",G89="UPC Not Found"),"",H89-G89)</f>
        <v/>
      </c>
      <c r="J89" s="9" t="str">
        <f aca="false">IF($C89="","",IF(H89="","Not Counted",IF(I89=0,"Match",IF(I89&gt;0,"Overage","Shortage"))))</f>
        <v/>
      </c>
      <c r="K89" s="9" t="str">
        <f aca="false">IF($C89="","",IF(AND(K89&lt;&gt;"",K89&lt;&gt;0),K89,$B$4))</f>
        <v/>
      </c>
      <c r="L89" s="13"/>
      <c r="M89" s="13"/>
      <c r="N89" s="13"/>
    </row>
    <row r="90" customFormat="false" ht="15" hidden="false" customHeight="false" outlineLevel="0" collapsed="false">
      <c r="A90" s="8" t="str">
        <f aca="true">IF($C90="","",IF(AND(A90&lt;&gt;"",A90&lt;&gt;0),A90,TODAY()))</f>
        <v/>
      </c>
      <c r="B90" s="9" t="str">
        <f aca="false">IF($C90="","",IF(AND(B90&lt;&gt;"",B90&lt;&gt;0),B90,$E$4))</f>
        <v/>
      </c>
      <c r="C90" s="10"/>
      <c r="D90" s="9" t="str">
        <f aca="false">IF($C90="","",IF(AND(D90&lt;&gt;"",D90&lt;&gt;0,D90&lt;&gt;"UPC Not Found"),D90,IFERROR(INDEX('Product Master'!$B$2:$B$200,MATCH($C90,'Product Master'!$A$2:$A$200,0)),"UPC Not Found")))</f>
        <v/>
      </c>
      <c r="E90" s="9" t="str">
        <f aca="false">IF($C90="","",IF(AND(E90&lt;&gt;"",E90&lt;&gt;0,E90&lt;&gt;"UPC Not Found"),E90,IFERROR(INDEX('Product Master'!$C$2:$C$200,MATCH($C90,'Product Master'!$A$2:$A$200,0)),"UPC Not Found")))</f>
        <v/>
      </c>
      <c r="F90" s="9" t="str">
        <f aca="false">IF($C90="","",IF(AND(F90&lt;&gt;"",F90&lt;&gt;0,F90&lt;&gt;"UPC Not Found"),F90,IFERROR(INDEX('Product Master'!$D$2:$D$200,MATCH($C90,'Product Master'!$A$2:$A$200,0)),"UPC Not Found")))</f>
        <v/>
      </c>
      <c r="G90" s="11" t="str">
        <f aca="false">IF($C90="","",IF(AND(G90&lt;&gt;"",G90&lt;&gt;0,G90&lt;&gt;"UPC Not Found"),G90,IFERROR(INDEX('Product Master'!$E$2:$E$200,MATCH($C90,'Product Master'!$A$2:$A$200,0)),"UPC Not Found")))</f>
        <v/>
      </c>
      <c r="H90" s="12"/>
      <c r="I90" s="11" t="str">
        <f aca="false">IF(OR($C90="",H90="",G90="UPC Not Found"),"",H90-G90)</f>
        <v/>
      </c>
      <c r="J90" s="9" t="str">
        <f aca="false">IF($C90="","",IF(H90="","Not Counted",IF(I90=0,"Match",IF(I90&gt;0,"Overage","Shortage"))))</f>
        <v/>
      </c>
      <c r="K90" s="9" t="str">
        <f aca="false">IF($C90="","",IF(AND(K90&lt;&gt;"",K90&lt;&gt;0),K90,$B$4))</f>
        <v/>
      </c>
      <c r="L90" s="13"/>
      <c r="M90" s="13"/>
      <c r="N90" s="13"/>
    </row>
    <row r="91" customFormat="false" ht="15" hidden="false" customHeight="false" outlineLevel="0" collapsed="false">
      <c r="A91" s="8" t="str">
        <f aca="true">IF($C91="","",IF(AND(A91&lt;&gt;"",A91&lt;&gt;0),A91,TODAY()))</f>
        <v/>
      </c>
      <c r="B91" s="9" t="str">
        <f aca="false">IF($C91="","",IF(AND(B91&lt;&gt;"",B91&lt;&gt;0),B91,$E$4))</f>
        <v/>
      </c>
      <c r="C91" s="10"/>
      <c r="D91" s="9" t="str">
        <f aca="false">IF($C91="","",IF(AND(D91&lt;&gt;"",D91&lt;&gt;0,D91&lt;&gt;"UPC Not Found"),D91,IFERROR(INDEX('Product Master'!$B$2:$B$200,MATCH($C91,'Product Master'!$A$2:$A$200,0)),"UPC Not Found")))</f>
        <v/>
      </c>
      <c r="E91" s="9" t="str">
        <f aca="false">IF($C91="","",IF(AND(E91&lt;&gt;"",E91&lt;&gt;0,E91&lt;&gt;"UPC Not Found"),E91,IFERROR(INDEX('Product Master'!$C$2:$C$200,MATCH($C91,'Product Master'!$A$2:$A$200,0)),"UPC Not Found")))</f>
        <v/>
      </c>
      <c r="F91" s="9" t="str">
        <f aca="false">IF($C91="","",IF(AND(F91&lt;&gt;"",F91&lt;&gt;0,F91&lt;&gt;"UPC Not Found"),F91,IFERROR(INDEX('Product Master'!$D$2:$D$200,MATCH($C91,'Product Master'!$A$2:$A$200,0)),"UPC Not Found")))</f>
        <v/>
      </c>
      <c r="G91" s="11" t="str">
        <f aca="false">IF($C91="","",IF(AND(G91&lt;&gt;"",G91&lt;&gt;0,G91&lt;&gt;"UPC Not Found"),G91,IFERROR(INDEX('Product Master'!$E$2:$E$200,MATCH($C91,'Product Master'!$A$2:$A$200,0)),"UPC Not Found")))</f>
        <v/>
      </c>
      <c r="H91" s="12"/>
      <c r="I91" s="11" t="str">
        <f aca="false">IF(OR($C91="",H91="",G91="UPC Not Found"),"",H91-G91)</f>
        <v/>
      </c>
      <c r="J91" s="9" t="str">
        <f aca="false">IF($C91="","",IF(H91="","Not Counted",IF(I91=0,"Match",IF(I91&gt;0,"Overage","Shortage"))))</f>
        <v/>
      </c>
      <c r="K91" s="9" t="str">
        <f aca="false">IF($C91="","",IF(AND(K91&lt;&gt;"",K91&lt;&gt;0),K91,$B$4))</f>
        <v/>
      </c>
      <c r="L91" s="13"/>
      <c r="M91" s="13"/>
      <c r="N91" s="13"/>
    </row>
    <row r="92" customFormat="false" ht="15" hidden="false" customHeight="false" outlineLevel="0" collapsed="false">
      <c r="A92" s="8" t="str">
        <f aca="true">IF($C92="","",IF(AND(A92&lt;&gt;"",A92&lt;&gt;0),A92,TODAY()))</f>
        <v/>
      </c>
      <c r="B92" s="9" t="str">
        <f aca="false">IF($C92="","",IF(AND(B92&lt;&gt;"",B92&lt;&gt;0),B92,$E$4))</f>
        <v/>
      </c>
      <c r="C92" s="10"/>
      <c r="D92" s="9" t="str">
        <f aca="false">IF($C92="","",IF(AND(D92&lt;&gt;"",D92&lt;&gt;0,D92&lt;&gt;"UPC Not Found"),D92,IFERROR(INDEX('Product Master'!$B$2:$B$200,MATCH($C92,'Product Master'!$A$2:$A$200,0)),"UPC Not Found")))</f>
        <v/>
      </c>
      <c r="E92" s="9" t="str">
        <f aca="false">IF($C92="","",IF(AND(E92&lt;&gt;"",E92&lt;&gt;0,E92&lt;&gt;"UPC Not Found"),E92,IFERROR(INDEX('Product Master'!$C$2:$C$200,MATCH($C92,'Product Master'!$A$2:$A$200,0)),"UPC Not Found")))</f>
        <v/>
      </c>
      <c r="F92" s="9" t="str">
        <f aca="false">IF($C92="","",IF(AND(F92&lt;&gt;"",F92&lt;&gt;0,F92&lt;&gt;"UPC Not Found"),F92,IFERROR(INDEX('Product Master'!$D$2:$D$200,MATCH($C92,'Product Master'!$A$2:$A$200,0)),"UPC Not Found")))</f>
        <v/>
      </c>
      <c r="G92" s="11" t="str">
        <f aca="false">IF($C92="","",IF(AND(G92&lt;&gt;"",G92&lt;&gt;0,G92&lt;&gt;"UPC Not Found"),G92,IFERROR(INDEX('Product Master'!$E$2:$E$200,MATCH($C92,'Product Master'!$A$2:$A$200,0)),"UPC Not Found")))</f>
        <v/>
      </c>
      <c r="H92" s="12"/>
      <c r="I92" s="11" t="str">
        <f aca="false">IF(OR($C92="",H92="",G92="UPC Not Found"),"",H92-G92)</f>
        <v/>
      </c>
      <c r="J92" s="9" t="str">
        <f aca="false">IF($C92="","",IF(H92="","Not Counted",IF(I92=0,"Match",IF(I92&gt;0,"Overage","Shortage"))))</f>
        <v/>
      </c>
      <c r="K92" s="9" t="str">
        <f aca="false">IF($C92="","",IF(AND(K92&lt;&gt;"",K92&lt;&gt;0),K92,$B$4))</f>
        <v/>
      </c>
      <c r="L92" s="13"/>
      <c r="M92" s="13"/>
      <c r="N92" s="13"/>
    </row>
    <row r="93" customFormat="false" ht="15" hidden="false" customHeight="false" outlineLevel="0" collapsed="false">
      <c r="A93" s="8" t="str">
        <f aca="true">IF($C93="","",IF(AND(A93&lt;&gt;"",A93&lt;&gt;0),A93,TODAY()))</f>
        <v/>
      </c>
      <c r="B93" s="9" t="str">
        <f aca="false">IF($C93="","",IF(AND(B93&lt;&gt;"",B93&lt;&gt;0),B93,$E$4))</f>
        <v/>
      </c>
      <c r="C93" s="10"/>
      <c r="D93" s="9" t="str">
        <f aca="false">IF($C93="","",IF(AND(D93&lt;&gt;"",D93&lt;&gt;0,D93&lt;&gt;"UPC Not Found"),D93,IFERROR(INDEX('Product Master'!$B$2:$B$200,MATCH($C93,'Product Master'!$A$2:$A$200,0)),"UPC Not Found")))</f>
        <v/>
      </c>
      <c r="E93" s="9" t="str">
        <f aca="false">IF($C93="","",IF(AND(E93&lt;&gt;"",E93&lt;&gt;0,E93&lt;&gt;"UPC Not Found"),E93,IFERROR(INDEX('Product Master'!$C$2:$C$200,MATCH($C93,'Product Master'!$A$2:$A$200,0)),"UPC Not Found")))</f>
        <v/>
      </c>
      <c r="F93" s="9" t="str">
        <f aca="false">IF($C93="","",IF(AND(F93&lt;&gt;"",F93&lt;&gt;0,F93&lt;&gt;"UPC Not Found"),F93,IFERROR(INDEX('Product Master'!$D$2:$D$200,MATCH($C93,'Product Master'!$A$2:$A$200,0)),"UPC Not Found")))</f>
        <v/>
      </c>
      <c r="G93" s="11" t="str">
        <f aca="false">IF($C93="","",IF(AND(G93&lt;&gt;"",G93&lt;&gt;0,G93&lt;&gt;"UPC Not Found"),G93,IFERROR(INDEX('Product Master'!$E$2:$E$200,MATCH($C93,'Product Master'!$A$2:$A$200,0)),"UPC Not Found")))</f>
        <v/>
      </c>
      <c r="H93" s="12"/>
      <c r="I93" s="11" t="str">
        <f aca="false">IF(OR($C93="",H93="",G93="UPC Not Found"),"",H93-G93)</f>
        <v/>
      </c>
      <c r="J93" s="9" t="str">
        <f aca="false">IF($C93="","",IF(H93="","Not Counted",IF(I93=0,"Match",IF(I93&gt;0,"Overage","Shortage"))))</f>
        <v/>
      </c>
      <c r="K93" s="9" t="str">
        <f aca="false">IF($C93="","",IF(AND(K93&lt;&gt;"",K93&lt;&gt;0),K93,$B$4))</f>
        <v/>
      </c>
      <c r="L93" s="13"/>
      <c r="M93" s="13"/>
      <c r="N93" s="13"/>
    </row>
    <row r="94" customFormat="false" ht="15" hidden="false" customHeight="false" outlineLevel="0" collapsed="false">
      <c r="A94" s="8" t="str">
        <f aca="true">IF($C94="","",IF(AND(A94&lt;&gt;"",A94&lt;&gt;0),A94,TODAY()))</f>
        <v/>
      </c>
      <c r="B94" s="9" t="str">
        <f aca="false">IF($C94="","",IF(AND(B94&lt;&gt;"",B94&lt;&gt;0),B94,$E$4))</f>
        <v/>
      </c>
      <c r="C94" s="10"/>
      <c r="D94" s="9" t="str">
        <f aca="false">IF($C94="","",IF(AND(D94&lt;&gt;"",D94&lt;&gt;0,D94&lt;&gt;"UPC Not Found"),D94,IFERROR(INDEX('Product Master'!$B$2:$B$200,MATCH($C94,'Product Master'!$A$2:$A$200,0)),"UPC Not Found")))</f>
        <v/>
      </c>
      <c r="E94" s="9" t="str">
        <f aca="false">IF($C94="","",IF(AND(E94&lt;&gt;"",E94&lt;&gt;0,E94&lt;&gt;"UPC Not Found"),E94,IFERROR(INDEX('Product Master'!$C$2:$C$200,MATCH($C94,'Product Master'!$A$2:$A$200,0)),"UPC Not Found")))</f>
        <v/>
      </c>
      <c r="F94" s="9" t="str">
        <f aca="false">IF($C94="","",IF(AND(F94&lt;&gt;"",F94&lt;&gt;0,F94&lt;&gt;"UPC Not Found"),F94,IFERROR(INDEX('Product Master'!$D$2:$D$200,MATCH($C94,'Product Master'!$A$2:$A$200,0)),"UPC Not Found")))</f>
        <v/>
      </c>
      <c r="G94" s="11" t="str">
        <f aca="false">IF($C94="","",IF(AND(G94&lt;&gt;"",G94&lt;&gt;0,G94&lt;&gt;"UPC Not Found"),G94,IFERROR(INDEX('Product Master'!$E$2:$E$200,MATCH($C94,'Product Master'!$A$2:$A$200,0)),"UPC Not Found")))</f>
        <v/>
      </c>
      <c r="H94" s="12"/>
      <c r="I94" s="11" t="str">
        <f aca="false">IF(OR($C94="",H94="",G94="UPC Not Found"),"",H94-G94)</f>
        <v/>
      </c>
      <c r="J94" s="9" t="str">
        <f aca="false">IF($C94="","",IF(H94="","Not Counted",IF(I94=0,"Match",IF(I94&gt;0,"Overage","Shortage"))))</f>
        <v/>
      </c>
      <c r="K94" s="9" t="str">
        <f aca="false">IF($C94="","",IF(AND(K94&lt;&gt;"",K94&lt;&gt;0),K94,$B$4))</f>
        <v/>
      </c>
      <c r="L94" s="13"/>
      <c r="M94" s="13"/>
      <c r="N94" s="13"/>
    </row>
    <row r="95" customFormat="false" ht="15" hidden="false" customHeight="false" outlineLevel="0" collapsed="false">
      <c r="A95" s="8" t="str">
        <f aca="true">IF($C95="","",IF(AND(A95&lt;&gt;"",A95&lt;&gt;0),A95,TODAY()))</f>
        <v/>
      </c>
      <c r="B95" s="9" t="str">
        <f aca="false">IF($C95="","",IF(AND(B95&lt;&gt;"",B95&lt;&gt;0),B95,$E$4))</f>
        <v/>
      </c>
      <c r="C95" s="10"/>
      <c r="D95" s="9" t="str">
        <f aca="false">IF($C95="","",IF(AND(D95&lt;&gt;"",D95&lt;&gt;0,D95&lt;&gt;"UPC Not Found"),D95,IFERROR(INDEX('Product Master'!$B$2:$B$200,MATCH($C95,'Product Master'!$A$2:$A$200,0)),"UPC Not Found")))</f>
        <v/>
      </c>
      <c r="E95" s="9" t="str">
        <f aca="false">IF($C95="","",IF(AND(E95&lt;&gt;"",E95&lt;&gt;0,E95&lt;&gt;"UPC Not Found"),E95,IFERROR(INDEX('Product Master'!$C$2:$C$200,MATCH($C95,'Product Master'!$A$2:$A$200,0)),"UPC Not Found")))</f>
        <v/>
      </c>
      <c r="F95" s="9" t="str">
        <f aca="false">IF($C95="","",IF(AND(F95&lt;&gt;"",F95&lt;&gt;0,F95&lt;&gt;"UPC Not Found"),F95,IFERROR(INDEX('Product Master'!$D$2:$D$200,MATCH($C95,'Product Master'!$A$2:$A$200,0)),"UPC Not Found")))</f>
        <v/>
      </c>
      <c r="G95" s="11" t="str">
        <f aca="false">IF($C95="","",IF(AND(G95&lt;&gt;"",G95&lt;&gt;0,G95&lt;&gt;"UPC Not Found"),G95,IFERROR(INDEX('Product Master'!$E$2:$E$200,MATCH($C95,'Product Master'!$A$2:$A$200,0)),"UPC Not Found")))</f>
        <v/>
      </c>
      <c r="H95" s="12"/>
      <c r="I95" s="11" t="str">
        <f aca="false">IF(OR($C95="",H95="",G95="UPC Not Found"),"",H95-G95)</f>
        <v/>
      </c>
      <c r="J95" s="9" t="str">
        <f aca="false">IF($C95="","",IF(H95="","Not Counted",IF(I95=0,"Match",IF(I95&gt;0,"Overage","Shortage"))))</f>
        <v/>
      </c>
      <c r="K95" s="9" t="str">
        <f aca="false">IF($C95="","",IF(AND(K95&lt;&gt;"",K95&lt;&gt;0),K95,$B$4))</f>
        <v/>
      </c>
      <c r="L95" s="13"/>
      <c r="M95" s="13"/>
      <c r="N95" s="13"/>
    </row>
    <row r="96" customFormat="false" ht="15" hidden="false" customHeight="false" outlineLevel="0" collapsed="false">
      <c r="A96" s="8" t="str">
        <f aca="true">IF($C96="","",IF(AND(A96&lt;&gt;"",A96&lt;&gt;0),A96,TODAY()))</f>
        <v/>
      </c>
      <c r="B96" s="9" t="str">
        <f aca="false">IF($C96="","",IF(AND(B96&lt;&gt;"",B96&lt;&gt;0),B96,$E$4))</f>
        <v/>
      </c>
      <c r="C96" s="10"/>
      <c r="D96" s="9" t="str">
        <f aca="false">IF($C96="","",IF(AND(D96&lt;&gt;"",D96&lt;&gt;0,D96&lt;&gt;"UPC Not Found"),D96,IFERROR(INDEX('Product Master'!$B$2:$B$200,MATCH($C96,'Product Master'!$A$2:$A$200,0)),"UPC Not Found")))</f>
        <v/>
      </c>
      <c r="E96" s="9" t="str">
        <f aca="false">IF($C96="","",IF(AND(E96&lt;&gt;"",E96&lt;&gt;0,E96&lt;&gt;"UPC Not Found"),E96,IFERROR(INDEX('Product Master'!$C$2:$C$200,MATCH($C96,'Product Master'!$A$2:$A$200,0)),"UPC Not Found")))</f>
        <v/>
      </c>
      <c r="F96" s="9" t="str">
        <f aca="false">IF($C96="","",IF(AND(F96&lt;&gt;"",F96&lt;&gt;0,F96&lt;&gt;"UPC Not Found"),F96,IFERROR(INDEX('Product Master'!$D$2:$D$200,MATCH($C96,'Product Master'!$A$2:$A$200,0)),"UPC Not Found")))</f>
        <v/>
      </c>
      <c r="G96" s="11" t="str">
        <f aca="false">IF($C96="","",IF(AND(G96&lt;&gt;"",G96&lt;&gt;0,G96&lt;&gt;"UPC Not Found"),G96,IFERROR(INDEX('Product Master'!$E$2:$E$200,MATCH($C96,'Product Master'!$A$2:$A$200,0)),"UPC Not Found")))</f>
        <v/>
      </c>
      <c r="H96" s="12"/>
      <c r="I96" s="11" t="str">
        <f aca="false">IF(OR($C96="",H96="",G96="UPC Not Found"),"",H96-G96)</f>
        <v/>
      </c>
      <c r="J96" s="9" t="str">
        <f aca="false">IF($C96="","",IF(H96="","Not Counted",IF(I96=0,"Match",IF(I96&gt;0,"Overage","Shortage"))))</f>
        <v/>
      </c>
      <c r="K96" s="9" t="str">
        <f aca="false">IF($C96="","",IF(AND(K96&lt;&gt;"",K96&lt;&gt;0),K96,$B$4))</f>
        <v/>
      </c>
      <c r="L96" s="13"/>
      <c r="M96" s="13"/>
      <c r="N96" s="13"/>
    </row>
    <row r="97" customFormat="false" ht="15" hidden="false" customHeight="false" outlineLevel="0" collapsed="false">
      <c r="A97" s="8" t="str">
        <f aca="true">IF($C97="","",IF(AND(A97&lt;&gt;"",A97&lt;&gt;0),A97,TODAY()))</f>
        <v/>
      </c>
      <c r="B97" s="9" t="str">
        <f aca="false">IF($C97="","",IF(AND(B97&lt;&gt;"",B97&lt;&gt;0),B97,$E$4))</f>
        <v/>
      </c>
      <c r="C97" s="10"/>
      <c r="D97" s="9" t="str">
        <f aca="false">IF($C97="","",IF(AND(D97&lt;&gt;"",D97&lt;&gt;0,D97&lt;&gt;"UPC Not Found"),D97,IFERROR(INDEX('Product Master'!$B$2:$B$200,MATCH($C97,'Product Master'!$A$2:$A$200,0)),"UPC Not Found")))</f>
        <v/>
      </c>
      <c r="E97" s="9" t="str">
        <f aca="false">IF($C97="","",IF(AND(E97&lt;&gt;"",E97&lt;&gt;0,E97&lt;&gt;"UPC Not Found"),E97,IFERROR(INDEX('Product Master'!$C$2:$C$200,MATCH($C97,'Product Master'!$A$2:$A$200,0)),"UPC Not Found")))</f>
        <v/>
      </c>
      <c r="F97" s="9" t="str">
        <f aca="false">IF($C97="","",IF(AND(F97&lt;&gt;"",F97&lt;&gt;0,F97&lt;&gt;"UPC Not Found"),F97,IFERROR(INDEX('Product Master'!$D$2:$D$200,MATCH($C97,'Product Master'!$A$2:$A$200,0)),"UPC Not Found")))</f>
        <v/>
      </c>
      <c r="G97" s="11" t="str">
        <f aca="false">IF($C97="","",IF(AND(G97&lt;&gt;"",G97&lt;&gt;0,G97&lt;&gt;"UPC Not Found"),G97,IFERROR(INDEX('Product Master'!$E$2:$E$200,MATCH($C97,'Product Master'!$A$2:$A$200,0)),"UPC Not Found")))</f>
        <v/>
      </c>
      <c r="H97" s="12"/>
      <c r="I97" s="11" t="str">
        <f aca="false">IF(OR($C97="",H97="",G97="UPC Not Found"),"",H97-G97)</f>
        <v/>
      </c>
      <c r="J97" s="9" t="str">
        <f aca="false">IF($C97="","",IF(H97="","Not Counted",IF(I97=0,"Match",IF(I97&gt;0,"Overage","Shortage"))))</f>
        <v/>
      </c>
      <c r="K97" s="9" t="str">
        <f aca="false">IF($C97="","",IF(AND(K97&lt;&gt;"",K97&lt;&gt;0),K97,$B$4))</f>
        <v/>
      </c>
      <c r="L97" s="13"/>
      <c r="M97" s="13"/>
      <c r="N97" s="13"/>
    </row>
    <row r="98" customFormat="false" ht="15" hidden="false" customHeight="false" outlineLevel="0" collapsed="false">
      <c r="A98" s="8" t="str">
        <f aca="true">IF($C98="","",IF(AND(A98&lt;&gt;"",A98&lt;&gt;0),A98,TODAY()))</f>
        <v/>
      </c>
      <c r="B98" s="9" t="str">
        <f aca="false">IF($C98="","",IF(AND(B98&lt;&gt;"",B98&lt;&gt;0),B98,$E$4))</f>
        <v/>
      </c>
      <c r="C98" s="10"/>
      <c r="D98" s="9" t="str">
        <f aca="false">IF($C98="","",IF(AND(D98&lt;&gt;"",D98&lt;&gt;0,D98&lt;&gt;"UPC Not Found"),D98,IFERROR(INDEX('Product Master'!$B$2:$B$200,MATCH($C98,'Product Master'!$A$2:$A$200,0)),"UPC Not Found")))</f>
        <v/>
      </c>
      <c r="E98" s="9" t="str">
        <f aca="false">IF($C98="","",IF(AND(E98&lt;&gt;"",E98&lt;&gt;0,E98&lt;&gt;"UPC Not Found"),E98,IFERROR(INDEX('Product Master'!$C$2:$C$200,MATCH($C98,'Product Master'!$A$2:$A$200,0)),"UPC Not Found")))</f>
        <v/>
      </c>
      <c r="F98" s="9" t="str">
        <f aca="false">IF($C98="","",IF(AND(F98&lt;&gt;"",F98&lt;&gt;0,F98&lt;&gt;"UPC Not Found"),F98,IFERROR(INDEX('Product Master'!$D$2:$D$200,MATCH($C98,'Product Master'!$A$2:$A$200,0)),"UPC Not Found")))</f>
        <v/>
      </c>
      <c r="G98" s="11" t="str">
        <f aca="false">IF($C98="","",IF(AND(G98&lt;&gt;"",G98&lt;&gt;0,G98&lt;&gt;"UPC Not Found"),G98,IFERROR(INDEX('Product Master'!$E$2:$E$200,MATCH($C98,'Product Master'!$A$2:$A$200,0)),"UPC Not Found")))</f>
        <v/>
      </c>
      <c r="H98" s="12"/>
      <c r="I98" s="11" t="str">
        <f aca="false">IF(OR($C98="",H98="",G98="UPC Not Found"),"",H98-G98)</f>
        <v/>
      </c>
      <c r="J98" s="9" t="str">
        <f aca="false">IF($C98="","",IF(H98="","Not Counted",IF(I98=0,"Match",IF(I98&gt;0,"Overage","Shortage"))))</f>
        <v/>
      </c>
      <c r="K98" s="9" t="str">
        <f aca="false">IF($C98="","",IF(AND(K98&lt;&gt;"",K98&lt;&gt;0),K98,$B$4))</f>
        <v/>
      </c>
      <c r="L98" s="13"/>
      <c r="M98" s="13"/>
      <c r="N98" s="13"/>
    </row>
    <row r="99" customFormat="false" ht="15" hidden="false" customHeight="false" outlineLevel="0" collapsed="false">
      <c r="A99" s="8" t="str">
        <f aca="true">IF($C99="","",IF(AND(A99&lt;&gt;"",A99&lt;&gt;0),A99,TODAY()))</f>
        <v/>
      </c>
      <c r="B99" s="9" t="str">
        <f aca="false">IF($C99="","",IF(AND(B99&lt;&gt;"",B99&lt;&gt;0),B99,$E$4))</f>
        <v/>
      </c>
      <c r="C99" s="10"/>
      <c r="D99" s="9" t="str">
        <f aca="false">IF($C99="","",IF(AND(D99&lt;&gt;"",D99&lt;&gt;0,D99&lt;&gt;"UPC Not Found"),D99,IFERROR(INDEX('Product Master'!$B$2:$B$200,MATCH($C99,'Product Master'!$A$2:$A$200,0)),"UPC Not Found")))</f>
        <v/>
      </c>
      <c r="E99" s="9" t="str">
        <f aca="false">IF($C99="","",IF(AND(E99&lt;&gt;"",E99&lt;&gt;0,E99&lt;&gt;"UPC Not Found"),E99,IFERROR(INDEX('Product Master'!$C$2:$C$200,MATCH($C99,'Product Master'!$A$2:$A$200,0)),"UPC Not Found")))</f>
        <v/>
      </c>
      <c r="F99" s="9" t="str">
        <f aca="false">IF($C99="","",IF(AND(F99&lt;&gt;"",F99&lt;&gt;0,F99&lt;&gt;"UPC Not Found"),F99,IFERROR(INDEX('Product Master'!$D$2:$D$200,MATCH($C99,'Product Master'!$A$2:$A$200,0)),"UPC Not Found")))</f>
        <v/>
      </c>
      <c r="G99" s="11" t="str">
        <f aca="false">IF($C99="","",IF(AND(G99&lt;&gt;"",G99&lt;&gt;0,G99&lt;&gt;"UPC Not Found"),G99,IFERROR(INDEX('Product Master'!$E$2:$E$200,MATCH($C99,'Product Master'!$A$2:$A$200,0)),"UPC Not Found")))</f>
        <v/>
      </c>
      <c r="H99" s="12"/>
      <c r="I99" s="11" t="str">
        <f aca="false">IF(OR($C99="",H99="",G99="UPC Not Found"),"",H99-G99)</f>
        <v/>
      </c>
      <c r="J99" s="9" t="str">
        <f aca="false">IF($C99="","",IF(H99="","Not Counted",IF(I99=0,"Match",IF(I99&gt;0,"Overage","Shortage"))))</f>
        <v/>
      </c>
      <c r="K99" s="9" t="str">
        <f aca="false">IF($C99="","",IF(AND(K99&lt;&gt;"",K99&lt;&gt;0),K99,$B$4))</f>
        <v/>
      </c>
      <c r="L99" s="13"/>
      <c r="M99" s="13"/>
      <c r="N99" s="13"/>
    </row>
    <row r="100" customFormat="false" ht="15" hidden="false" customHeight="false" outlineLevel="0" collapsed="false">
      <c r="A100" s="8" t="str">
        <f aca="true">IF($C100="","",IF(AND(A100&lt;&gt;"",A100&lt;&gt;0),A100,TODAY()))</f>
        <v/>
      </c>
      <c r="B100" s="9" t="str">
        <f aca="false">IF($C100="","",IF(AND(B100&lt;&gt;"",B100&lt;&gt;0),B100,$E$4))</f>
        <v/>
      </c>
      <c r="C100" s="10"/>
      <c r="D100" s="9" t="str">
        <f aca="false">IF($C100="","",IF(AND(D100&lt;&gt;"",D100&lt;&gt;0,D100&lt;&gt;"UPC Not Found"),D100,IFERROR(INDEX('Product Master'!$B$2:$B$200,MATCH($C100,'Product Master'!$A$2:$A$200,0)),"UPC Not Found")))</f>
        <v/>
      </c>
      <c r="E100" s="9" t="str">
        <f aca="false">IF($C100="","",IF(AND(E100&lt;&gt;"",E100&lt;&gt;0,E100&lt;&gt;"UPC Not Found"),E100,IFERROR(INDEX('Product Master'!$C$2:$C$200,MATCH($C100,'Product Master'!$A$2:$A$200,0)),"UPC Not Found")))</f>
        <v/>
      </c>
      <c r="F100" s="9" t="str">
        <f aca="false">IF($C100="","",IF(AND(F100&lt;&gt;"",F100&lt;&gt;0,F100&lt;&gt;"UPC Not Found"),F100,IFERROR(INDEX('Product Master'!$D$2:$D$200,MATCH($C100,'Product Master'!$A$2:$A$200,0)),"UPC Not Found")))</f>
        <v/>
      </c>
      <c r="G100" s="11" t="str">
        <f aca="false">IF($C100="","",IF(AND(G100&lt;&gt;"",G100&lt;&gt;0,G100&lt;&gt;"UPC Not Found"),G100,IFERROR(INDEX('Product Master'!$E$2:$E$200,MATCH($C100,'Product Master'!$A$2:$A$200,0)),"UPC Not Found")))</f>
        <v/>
      </c>
      <c r="H100" s="12"/>
      <c r="I100" s="11" t="str">
        <f aca="false">IF(OR($C100="",H100="",G100="UPC Not Found"),"",H100-G100)</f>
        <v/>
      </c>
      <c r="J100" s="9" t="str">
        <f aca="false">IF($C100="","",IF(H100="","Not Counted",IF(I100=0,"Match",IF(I100&gt;0,"Overage","Shortage"))))</f>
        <v/>
      </c>
      <c r="K100" s="9" t="str">
        <f aca="false">IF($C100="","",IF(AND(K100&lt;&gt;"",K100&lt;&gt;0),K100,$B$4))</f>
        <v/>
      </c>
      <c r="L100" s="13"/>
      <c r="M100" s="13"/>
      <c r="N100" s="13"/>
    </row>
    <row r="101" customFormat="false" ht="15" hidden="false" customHeight="false" outlineLevel="0" collapsed="false">
      <c r="A101" s="8" t="str">
        <f aca="true">IF($C101="","",IF(AND(A101&lt;&gt;"",A101&lt;&gt;0),A101,TODAY()))</f>
        <v/>
      </c>
      <c r="B101" s="9" t="str">
        <f aca="false">IF($C101="","",IF(AND(B101&lt;&gt;"",B101&lt;&gt;0),B101,$E$4))</f>
        <v/>
      </c>
      <c r="C101" s="10"/>
      <c r="D101" s="9" t="str">
        <f aca="false">IF($C101="","",IF(AND(D101&lt;&gt;"",D101&lt;&gt;0,D101&lt;&gt;"UPC Not Found"),D101,IFERROR(INDEX('Product Master'!$B$2:$B$200,MATCH($C101,'Product Master'!$A$2:$A$200,0)),"UPC Not Found")))</f>
        <v/>
      </c>
      <c r="E101" s="9" t="str">
        <f aca="false">IF($C101="","",IF(AND(E101&lt;&gt;"",E101&lt;&gt;0,E101&lt;&gt;"UPC Not Found"),E101,IFERROR(INDEX('Product Master'!$C$2:$C$200,MATCH($C101,'Product Master'!$A$2:$A$200,0)),"UPC Not Found")))</f>
        <v/>
      </c>
      <c r="F101" s="9" t="str">
        <f aca="false">IF($C101="","",IF(AND(F101&lt;&gt;"",F101&lt;&gt;0,F101&lt;&gt;"UPC Not Found"),F101,IFERROR(INDEX('Product Master'!$D$2:$D$200,MATCH($C101,'Product Master'!$A$2:$A$200,0)),"UPC Not Found")))</f>
        <v/>
      </c>
      <c r="G101" s="11" t="str">
        <f aca="false">IF($C101="","",IF(AND(G101&lt;&gt;"",G101&lt;&gt;0,G101&lt;&gt;"UPC Not Found"),G101,IFERROR(INDEX('Product Master'!$E$2:$E$200,MATCH($C101,'Product Master'!$A$2:$A$200,0)),"UPC Not Found")))</f>
        <v/>
      </c>
      <c r="H101" s="12"/>
      <c r="I101" s="11" t="str">
        <f aca="false">IF(OR($C101="",H101="",G101="UPC Not Found"),"",H101-G101)</f>
        <v/>
      </c>
      <c r="J101" s="9" t="str">
        <f aca="false">IF($C101="","",IF(H101="","Not Counted",IF(I101=0,"Match",IF(I101&gt;0,"Overage","Shortage"))))</f>
        <v/>
      </c>
      <c r="K101" s="9" t="str">
        <f aca="false">IF($C101="","",IF(AND(K101&lt;&gt;"",K101&lt;&gt;0),K101,$B$4))</f>
        <v/>
      </c>
      <c r="L101" s="13"/>
      <c r="M101" s="13"/>
      <c r="N101" s="13"/>
    </row>
    <row r="102" customFormat="false" ht="15" hidden="false" customHeight="false" outlineLevel="0" collapsed="false">
      <c r="A102" s="8" t="str">
        <f aca="true">IF($C102="","",IF(AND(A102&lt;&gt;"",A102&lt;&gt;0),A102,TODAY()))</f>
        <v/>
      </c>
      <c r="B102" s="9" t="str">
        <f aca="false">IF($C102="","",IF(AND(B102&lt;&gt;"",B102&lt;&gt;0),B102,$E$4))</f>
        <v/>
      </c>
      <c r="C102" s="10"/>
      <c r="D102" s="9" t="str">
        <f aca="false">IF($C102="","",IF(AND(D102&lt;&gt;"",D102&lt;&gt;0,D102&lt;&gt;"UPC Not Found"),D102,IFERROR(INDEX('Product Master'!$B$2:$B$200,MATCH($C102,'Product Master'!$A$2:$A$200,0)),"UPC Not Found")))</f>
        <v/>
      </c>
      <c r="E102" s="9" t="str">
        <f aca="false">IF($C102="","",IF(AND(E102&lt;&gt;"",E102&lt;&gt;0,E102&lt;&gt;"UPC Not Found"),E102,IFERROR(INDEX('Product Master'!$C$2:$C$200,MATCH($C102,'Product Master'!$A$2:$A$200,0)),"UPC Not Found")))</f>
        <v/>
      </c>
      <c r="F102" s="9" t="str">
        <f aca="false">IF($C102="","",IF(AND(F102&lt;&gt;"",F102&lt;&gt;0,F102&lt;&gt;"UPC Not Found"),F102,IFERROR(INDEX('Product Master'!$D$2:$D$200,MATCH($C102,'Product Master'!$A$2:$A$200,0)),"UPC Not Found")))</f>
        <v/>
      </c>
      <c r="G102" s="11" t="str">
        <f aca="false">IF($C102="","",IF(AND(G102&lt;&gt;"",G102&lt;&gt;0,G102&lt;&gt;"UPC Not Found"),G102,IFERROR(INDEX('Product Master'!$E$2:$E$200,MATCH($C102,'Product Master'!$A$2:$A$200,0)),"UPC Not Found")))</f>
        <v/>
      </c>
      <c r="H102" s="12"/>
      <c r="I102" s="11" t="str">
        <f aca="false">IF(OR($C102="",H102="",G102="UPC Not Found"),"",H102-G102)</f>
        <v/>
      </c>
      <c r="J102" s="9" t="str">
        <f aca="false">IF($C102="","",IF(H102="","Not Counted",IF(I102=0,"Match",IF(I102&gt;0,"Overage","Shortage"))))</f>
        <v/>
      </c>
      <c r="K102" s="9" t="str">
        <f aca="false">IF($C102="","",IF(AND(K102&lt;&gt;"",K102&lt;&gt;0),K102,$B$4))</f>
        <v/>
      </c>
      <c r="L102" s="13"/>
      <c r="M102" s="13"/>
      <c r="N102" s="13"/>
    </row>
    <row r="103" customFormat="false" ht="15" hidden="false" customHeight="false" outlineLevel="0" collapsed="false">
      <c r="A103" s="8" t="str">
        <f aca="true">IF($C103="","",IF(AND(A103&lt;&gt;"",A103&lt;&gt;0),A103,TODAY()))</f>
        <v/>
      </c>
      <c r="B103" s="9" t="str">
        <f aca="false">IF($C103="","",IF(AND(B103&lt;&gt;"",B103&lt;&gt;0),B103,$E$4))</f>
        <v/>
      </c>
      <c r="C103" s="10"/>
      <c r="D103" s="9" t="str">
        <f aca="false">IF($C103="","",IF(AND(D103&lt;&gt;"",D103&lt;&gt;0,D103&lt;&gt;"UPC Not Found"),D103,IFERROR(INDEX('Product Master'!$B$2:$B$200,MATCH($C103,'Product Master'!$A$2:$A$200,0)),"UPC Not Found")))</f>
        <v/>
      </c>
      <c r="E103" s="9" t="str">
        <f aca="false">IF($C103="","",IF(AND(E103&lt;&gt;"",E103&lt;&gt;0,E103&lt;&gt;"UPC Not Found"),E103,IFERROR(INDEX('Product Master'!$C$2:$C$200,MATCH($C103,'Product Master'!$A$2:$A$200,0)),"UPC Not Found")))</f>
        <v/>
      </c>
      <c r="F103" s="9" t="str">
        <f aca="false">IF($C103="","",IF(AND(F103&lt;&gt;"",F103&lt;&gt;0,F103&lt;&gt;"UPC Not Found"),F103,IFERROR(INDEX('Product Master'!$D$2:$D$200,MATCH($C103,'Product Master'!$A$2:$A$200,0)),"UPC Not Found")))</f>
        <v/>
      </c>
      <c r="G103" s="11" t="str">
        <f aca="false">IF($C103="","",IF(AND(G103&lt;&gt;"",G103&lt;&gt;0,G103&lt;&gt;"UPC Not Found"),G103,IFERROR(INDEX('Product Master'!$E$2:$E$200,MATCH($C103,'Product Master'!$A$2:$A$200,0)),"UPC Not Found")))</f>
        <v/>
      </c>
      <c r="H103" s="12"/>
      <c r="I103" s="11" t="str">
        <f aca="false">IF(OR($C103="",H103="",G103="UPC Not Found"),"",H103-G103)</f>
        <v/>
      </c>
      <c r="J103" s="9" t="str">
        <f aca="false">IF($C103="","",IF(H103="","Not Counted",IF(I103=0,"Match",IF(I103&gt;0,"Overage","Shortage"))))</f>
        <v/>
      </c>
      <c r="K103" s="9" t="str">
        <f aca="false">IF($C103="","",IF(AND(K103&lt;&gt;"",K103&lt;&gt;0),K103,$B$4))</f>
        <v/>
      </c>
      <c r="L103" s="13"/>
      <c r="M103" s="13"/>
      <c r="N103" s="13"/>
    </row>
    <row r="104" customFormat="false" ht="15" hidden="false" customHeight="false" outlineLevel="0" collapsed="false">
      <c r="A104" s="8" t="str">
        <f aca="true">IF($C104="","",IF(AND(A104&lt;&gt;"",A104&lt;&gt;0),A104,TODAY()))</f>
        <v/>
      </c>
      <c r="B104" s="9" t="str">
        <f aca="false">IF($C104="","",IF(AND(B104&lt;&gt;"",B104&lt;&gt;0),B104,$E$4))</f>
        <v/>
      </c>
      <c r="C104" s="10"/>
      <c r="D104" s="9" t="str">
        <f aca="false">IF($C104="","",IF(AND(D104&lt;&gt;"",D104&lt;&gt;0,D104&lt;&gt;"UPC Not Found"),D104,IFERROR(INDEX('Product Master'!$B$2:$B$200,MATCH($C104,'Product Master'!$A$2:$A$200,0)),"UPC Not Found")))</f>
        <v/>
      </c>
      <c r="E104" s="9" t="str">
        <f aca="false">IF($C104="","",IF(AND(E104&lt;&gt;"",E104&lt;&gt;0,E104&lt;&gt;"UPC Not Found"),E104,IFERROR(INDEX('Product Master'!$C$2:$C$200,MATCH($C104,'Product Master'!$A$2:$A$200,0)),"UPC Not Found")))</f>
        <v/>
      </c>
      <c r="F104" s="9" t="str">
        <f aca="false">IF($C104="","",IF(AND(F104&lt;&gt;"",F104&lt;&gt;0,F104&lt;&gt;"UPC Not Found"),F104,IFERROR(INDEX('Product Master'!$D$2:$D$200,MATCH($C104,'Product Master'!$A$2:$A$200,0)),"UPC Not Found")))</f>
        <v/>
      </c>
      <c r="G104" s="11" t="str">
        <f aca="false">IF($C104="","",IF(AND(G104&lt;&gt;"",G104&lt;&gt;0,G104&lt;&gt;"UPC Not Found"),G104,IFERROR(INDEX('Product Master'!$E$2:$E$200,MATCH($C104,'Product Master'!$A$2:$A$200,0)),"UPC Not Found")))</f>
        <v/>
      </c>
      <c r="H104" s="12"/>
      <c r="I104" s="11" t="str">
        <f aca="false">IF(OR($C104="",H104="",G104="UPC Not Found"),"",H104-G104)</f>
        <v/>
      </c>
      <c r="J104" s="9" t="str">
        <f aca="false">IF($C104="","",IF(H104="","Not Counted",IF(I104=0,"Match",IF(I104&gt;0,"Overage","Shortage"))))</f>
        <v/>
      </c>
      <c r="K104" s="9" t="str">
        <f aca="false">IF($C104="","",IF(AND(K104&lt;&gt;"",K104&lt;&gt;0),K104,$B$4))</f>
        <v/>
      </c>
      <c r="L104" s="13"/>
      <c r="M104" s="13"/>
      <c r="N104" s="13"/>
    </row>
    <row r="105" customFormat="false" ht="15" hidden="false" customHeight="false" outlineLevel="0" collapsed="false">
      <c r="A105" s="8" t="str">
        <f aca="true">IF($C105="","",IF(AND(A105&lt;&gt;"",A105&lt;&gt;0),A105,TODAY()))</f>
        <v/>
      </c>
      <c r="B105" s="9" t="str">
        <f aca="false">IF($C105="","",IF(AND(B105&lt;&gt;"",B105&lt;&gt;0),B105,$E$4))</f>
        <v/>
      </c>
      <c r="C105" s="10"/>
      <c r="D105" s="9" t="str">
        <f aca="false">IF($C105="","",IF(AND(D105&lt;&gt;"",D105&lt;&gt;0,D105&lt;&gt;"UPC Not Found"),D105,IFERROR(INDEX('Product Master'!$B$2:$B$200,MATCH($C105,'Product Master'!$A$2:$A$200,0)),"UPC Not Found")))</f>
        <v/>
      </c>
      <c r="E105" s="9" t="str">
        <f aca="false">IF($C105="","",IF(AND(E105&lt;&gt;"",E105&lt;&gt;0,E105&lt;&gt;"UPC Not Found"),E105,IFERROR(INDEX('Product Master'!$C$2:$C$200,MATCH($C105,'Product Master'!$A$2:$A$200,0)),"UPC Not Found")))</f>
        <v/>
      </c>
      <c r="F105" s="9" t="str">
        <f aca="false">IF($C105="","",IF(AND(F105&lt;&gt;"",F105&lt;&gt;0,F105&lt;&gt;"UPC Not Found"),F105,IFERROR(INDEX('Product Master'!$D$2:$D$200,MATCH($C105,'Product Master'!$A$2:$A$200,0)),"UPC Not Found")))</f>
        <v/>
      </c>
      <c r="G105" s="11" t="str">
        <f aca="false">IF($C105="","",IF(AND(G105&lt;&gt;"",G105&lt;&gt;0,G105&lt;&gt;"UPC Not Found"),G105,IFERROR(INDEX('Product Master'!$E$2:$E$200,MATCH($C105,'Product Master'!$A$2:$A$200,0)),"UPC Not Found")))</f>
        <v/>
      </c>
      <c r="H105" s="12"/>
      <c r="I105" s="11" t="str">
        <f aca="false">IF(OR($C105="",H105="",G105="UPC Not Found"),"",H105-G105)</f>
        <v/>
      </c>
      <c r="J105" s="9" t="str">
        <f aca="false">IF($C105="","",IF(H105="","Not Counted",IF(I105=0,"Match",IF(I105&gt;0,"Overage","Shortage"))))</f>
        <v/>
      </c>
      <c r="K105" s="9" t="str">
        <f aca="false">IF($C105="","",IF(AND(K105&lt;&gt;"",K105&lt;&gt;0),K105,$B$4))</f>
        <v/>
      </c>
      <c r="L105" s="13"/>
      <c r="M105" s="13"/>
      <c r="N105" s="13"/>
    </row>
    <row r="106" customFormat="false" ht="15" hidden="false" customHeight="false" outlineLevel="0" collapsed="false">
      <c r="A106" s="8" t="str">
        <f aca="true">IF($C106="","",IF(AND(A106&lt;&gt;"",A106&lt;&gt;0),A106,TODAY()))</f>
        <v/>
      </c>
      <c r="B106" s="9" t="str">
        <f aca="false">IF($C106="","",IF(AND(B106&lt;&gt;"",B106&lt;&gt;0),B106,$E$4))</f>
        <v/>
      </c>
      <c r="C106" s="10"/>
      <c r="D106" s="9" t="str">
        <f aca="false">IF($C106="","",IF(AND(D106&lt;&gt;"",D106&lt;&gt;0,D106&lt;&gt;"UPC Not Found"),D106,IFERROR(INDEX('Product Master'!$B$2:$B$200,MATCH($C106,'Product Master'!$A$2:$A$200,0)),"UPC Not Found")))</f>
        <v/>
      </c>
      <c r="E106" s="9" t="str">
        <f aca="false">IF($C106="","",IF(AND(E106&lt;&gt;"",E106&lt;&gt;0,E106&lt;&gt;"UPC Not Found"),E106,IFERROR(INDEX('Product Master'!$C$2:$C$200,MATCH($C106,'Product Master'!$A$2:$A$200,0)),"UPC Not Found")))</f>
        <v/>
      </c>
      <c r="F106" s="9" t="str">
        <f aca="false">IF($C106="","",IF(AND(F106&lt;&gt;"",F106&lt;&gt;0,F106&lt;&gt;"UPC Not Found"),F106,IFERROR(INDEX('Product Master'!$D$2:$D$200,MATCH($C106,'Product Master'!$A$2:$A$200,0)),"UPC Not Found")))</f>
        <v/>
      </c>
      <c r="G106" s="11" t="str">
        <f aca="false">IF($C106="","",IF(AND(G106&lt;&gt;"",G106&lt;&gt;0,G106&lt;&gt;"UPC Not Found"),G106,IFERROR(INDEX('Product Master'!$E$2:$E$200,MATCH($C106,'Product Master'!$A$2:$A$200,0)),"UPC Not Found")))</f>
        <v/>
      </c>
      <c r="H106" s="12"/>
      <c r="I106" s="11" t="str">
        <f aca="false">IF(OR($C106="",H106="",G106="UPC Not Found"),"",H106-G106)</f>
        <v/>
      </c>
      <c r="J106" s="9" t="str">
        <f aca="false">IF($C106="","",IF(H106="","Not Counted",IF(I106=0,"Match",IF(I106&gt;0,"Overage","Shortage"))))</f>
        <v/>
      </c>
      <c r="K106" s="9" t="str">
        <f aca="false">IF($C106="","",IF(AND(K106&lt;&gt;"",K106&lt;&gt;0),K106,$B$4))</f>
        <v/>
      </c>
      <c r="L106" s="13"/>
      <c r="M106" s="13"/>
      <c r="N106" s="13"/>
    </row>
    <row r="107" customFormat="false" ht="15" hidden="false" customHeight="false" outlineLevel="0" collapsed="false">
      <c r="A107" s="8" t="str">
        <f aca="true">IF($C107="","",IF(AND(A107&lt;&gt;"",A107&lt;&gt;0),A107,TODAY()))</f>
        <v/>
      </c>
      <c r="B107" s="9" t="str">
        <f aca="false">IF($C107="","",IF(AND(B107&lt;&gt;"",B107&lt;&gt;0),B107,$E$4))</f>
        <v/>
      </c>
      <c r="C107" s="10"/>
      <c r="D107" s="9" t="str">
        <f aca="false">IF($C107="","",IF(AND(D107&lt;&gt;"",D107&lt;&gt;0,D107&lt;&gt;"UPC Not Found"),D107,IFERROR(INDEX('Product Master'!$B$2:$B$200,MATCH($C107,'Product Master'!$A$2:$A$200,0)),"UPC Not Found")))</f>
        <v/>
      </c>
      <c r="E107" s="9" t="str">
        <f aca="false">IF($C107="","",IF(AND(E107&lt;&gt;"",E107&lt;&gt;0,E107&lt;&gt;"UPC Not Found"),E107,IFERROR(INDEX('Product Master'!$C$2:$C$200,MATCH($C107,'Product Master'!$A$2:$A$200,0)),"UPC Not Found")))</f>
        <v/>
      </c>
      <c r="F107" s="9" t="str">
        <f aca="false">IF($C107="","",IF(AND(F107&lt;&gt;"",F107&lt;&gt;0,F107&lt;&gt;"UPC Not Found"),F107,IFERROR(INDEX('Product Master'!$D$2:$D$200,MATCH($C107,'Product Master'!$A$2:$A$200,0)),"UPC Not Found")))</f>
        <v/>
      </c>
      <c r="G107" s="11" t="str">
        <f aca="false">IF($C107="","",IF(AND(G107&lt;&gt;"",G107&lt;&gt;0,G107&lt;&gt;"UPC Not Found"),G107,IFERROR(INDEX('Product Master'!$E$2:$E$200,MATCH($C107,'Product Master'!$A$2:$A$200,0)),"UPC Not Found")))</f>
        <v/>
      </c>
      <c r="H107" s="12"/>
      <c r="I107" s="11" t="str">
        <f aca="false">IF(OR($C107="",H107="",G107="UPC Not Found"),"",H107-G107)</f>
        <v/>
      </c>
      <c r="J107" s="9" t="str">
        <f aca="false">IF($C107="","",IF(H107="","Not Counted",IF(I107=0,"Match",IF(I107&gt;0,"Overage","Shortage"))))</f>
        <v/>
      </c>
      <c r="K107" s="9" t="str">
        <f aca="false">IF($C107="","",IF(AND(K107&lt;&gt;"",K107&lt;&gt;0),K107,$B$4))</f>
        <v/>
      </c>
      <c r="L107" s="13"/>
      <c r="M107" s="13"/>
      <c r="N107" s="13"/>
    </row>
    <row r="108" customFormat="false" ht="15" hidden="false" customHeight="false" outlineLevel="0" collapsed="false">
      <c r="A108" s="8" t="str">
        <f aca="true">IF($C108="","",IF(AND(A108&lt;&gt;"",A108&lt;&gt;0),A108,TODAY()))</f>
        <v/>
      </c>
      <c r="B108" s="9" t="str">
        <f aca="false">IF($C108="","",IF(AND(B108&lt;&gt;"",B108&lt;&gt;0),B108,$E$4))</f>
        <v/>
      </c>
      <c r="C108" s="10"/>
      <c r="D108" s="9" t="str">
        <f aca="false">IF($C108="","",IF(AND(D108&lt;&gt;"",D108&lt;&gt;0,D108&lt;&gt;"UPC Not Found"),D108,IFERROR(INDEX('Product Master'!$B$2:$B$200,MATCH($C108,'Product Master'!$A$2:$A$200,0)),"UPC Not Found")))</f>
        <v/>
      </c>
      <c r="E108" s="9" t="str">
        <f aca="false">IF($C108="","",IF(AND(E108&lt;&gt;"",E108&lt;&gt;0,E108&lt;&gt;"UPC Not Found"),E108,IFERROR(INDEX('Product Master'!$C$2:$C$200,MATCH($C108,'Product Master'!$A$2:$A$200,0)),"UPC Not Found")))</f>
        <v/>
      </c>
      <c r="F108" s="9" t="str">
        <f aca="false">IF($C108="","",IF(AND(F108&lt;&gt;"",F108&lt;&gt;0,F108&lt;&gt;"UPC Not Found"),F108,IFERROR(INDEX('Product Master'!$D$2:$D$200,MATCH($C108,'Product Master'!$A$2:$A$200,0)),"UPC Not Found")))</f>
        <v/>
      </c>
      <c r="G108" s="11" t="str">
        <f aca="false">IF($C108="","",IF(AND(G108&lt;&gt;"",G108&lt;&gt;0,G108&lt;&gt;"UPC Not Found"),G108,IFERROR(INDEX('Product Master'!$E$2:$E$200,MATCH($C108,'Product Master'!$A$2:$A$200,0)),"UPC Not Found")))</f>
        <v/>
      </c>
      <c r="H108" s="12"/>
      <c r="I108" s="11" t="str">
        <f aca="false">IF(OR($C108="",H108="",G108="UPC Not Found"),"",H108-G108)</f>
        <v/>
      </c>
      <c r="J108" s="9" t="str">
        <f aca="false">IF($C108="","",IF(H108="","Not Counted",IF(I108=0,"Match",IF(I108&gt;0,"Overage","Shortage"))))</f>
        <v/>
      </c>
      <c r="K108" s="9" t="str">
        <f aca="false">IF($C108="","",IF(AND(K108&lt;&gt;"",K108&lt;&gt;0),K108,$B$4))</f>
        <v/>
      </c>
      <c r="L108" s="13"/>
      <c r="M108" s="13"/>
      <c r="N108" s="13"/>
    </row>
    <row r="109" customFormat="false" ht="15" hidden="false" customHeight="false" outlineLevel="0" collapsed="false">
      <c r="A109" s="8" t="str">
        <f aca="true">IF($C109="","",IF(AND(A109&lt;&gt;"",A109&lt;&gt;0),A109,TODAY()))</f>
        <v/>
      </c>
      <c r="B109" s="9" t="str">
        <f aca="false">IF($C109="","",IF(AND(B109&lt;&gt;"",B109&lt;&gt;0),B109,$E$4))</f>
        <v/>
      </c>
      <c r="C109" s="10"/>
      <c r="D109" s="9" t="str">
        <f aca="false">IF($C109="","",IF(AND(D109&lt;&gt;"",D109&lt;&gt;0,D109&lt;&gt;"UPC Not Found"),D109,IFERROR(INDEX('Product Master'!$B$2:$B$200,MATCH($C109,'Product Master'!$A$2:$A$200,0)),"UPC Not Found")))</f>
        <v/>
      </c>
      <c r="E109" s="9" t="str">
        <f aca="false">IF($C109="","",IF(AND(E109&lt;&gt;"",E109&lt;&gt;0,E109&lt;&gt;"UPC Not Found"),E109,IFERROR(INDEX('Product Master'!$C$2:$C$200,MATCH($C109,'Product Master'!$A$2:$A$200,0)),"UPC Not Found")))</f>
        <v/>
      </c>
      <c r="F109" s="9" t="str">
        <f aca="false">IF($C109="","",IF(AND(F109&lt;&gt;"",F109&lt;&gt;0,F109&lt;&gt;"UPC Not Found"),F109,IFERROR(INDEX('Product Master'!$D$2:$D$200,MATCH($C109,'Product Master'!$A$2:$A$200,0)),"UPC Not Found")))</f>
        <v/>
      </c>
      <c r="G109" s="11" t="str">
        <f aca="false">IF($C109="","",IF(AND(G109&lt;&gt;"",G109&lt;&gt;0,G109&lt;&gt;"UPC Not Found"),G109,IFERROR(INDEX('Product Master'!$E$2:$E$200,MATCH($C109,'Product Master'!$A$2:$A$200,0)),"UPC Not Found")))</f>
        <v/>
      </c>
      <c r="H109" s="12"/>
      <c r="I109" s="11" t="str">
        <f aca="false">IF(OR($C109="",H109="",G109="UPC Not Found"),"",H109-G109)</f>
        <v/>
      </c>
      <c r="J109" s="9" t="str">
        <f aca="false">IF($C109="","",IF(H109="","Not Counted",IF(I109=0,"Match",IF(I109&gt;0,"Overage","Shortage"))))</f>
        <v/>
      </c>
      <c r="K109" s="9" t="str">
        <f aca="false">IF($C109="","",IF(AND(K109&lt;&gt;"",K109&lt;&gt;0),K109,$B$4))</f>
        <v/>
      </c>
      <c r="L109" s="13"/>
      <c r="M109" s="13"/>
      <c r="N109" s="13"/>
    </row>
    <row r="110" customFormat="false" ht="15" hidden="false" customHeight="false" outlineLevel="0" collapsed="false">
      <c r="A110" s="8" t="str">
        <f aca="true">IF($C110="","",IF(AND(A110&lt;&gt;"",A110&lt;&gt;0),A110,TODAY()))</f>
        <v/>
      </c>
      <c r="B110" s="9" t="str">
        <f aca="false">IF($C110="","",IF(AND(B110&lt;&gt;"",B110&lt;&gt;0),B110,$E$4))</f>
        <v/>
      </c>
      <c r="C110" s="10"/>
      <c r="D110" s="9" t="str">
        <f aca="false">IF($C110="","",IF(AND(D110&lt;&gt;"",D110&lt;&gt;0,D110&lt;&gt;"UPC Not Found"),D110,IFERROR(INDEX('Product Master'!$B$2:$B$200,MATCH($C110,'Product Master'!$A$2:$A$200,0)),"UPC Not Found")))</f>
        <v/>
      </c>
      <c r="E110" s="9" t="str">
        <f aca="false">IF($C110="","",IF(AND(E110&lt;&gt;"",E110&lt;&gt;0,E110&lt;&gt;"UPC Not Found"),E110,IFERROR(INDEX('Product Master'!$C$2:$C$200,MATCH($C110,'Product Master'!$A$2:$A$200,0)),"UPC Not Found")))</f>
        <v/>
      </c>
      <c r="F110" s="9" t="str">
        <f aca="false">IF($C110="","",IF(AND(F110&lt;&gt;"",F110&lt;&gt;0,F110&lt;&gt;"UPC Not Found"),F110,IFERROR(INDEX('Product Master'!$D$2:$D$200,MATCH($C110,'Product Master'!$A$2:$A$200,0)),"UPC Not Found")))</f>
        <v/>
      </c>
      <c r="G110" s="11" t="str">
        <f aca="false">IF($C110="","",IF(AND(G110&lt;&gt;"",G110&lt;&gt;0,G110&lt;&gt;"UPC Not Found"),G110,IFERROR(INDEX('Product Master'!$E$2:$E$200,MATCH($C110,'Product Master'!$A$2:$A$200,0)),"UPC Not Found")))</f>
        <v/>
      </c>
      <c r="H110" s="12"/>
      <c r="I110" s="11" t="str">
        <f aca="false">IF(OR($C110="",H110="",G110="UPC Not Found"),"",H110-G110)</f>
        <v/>
      </c>
      <c r="J110" s="9" t="str">
        <f aca="false">IF($C110="","",IF(H110="","Not Counted",IF(I110=0,"Match",IF(I110&gt;0,"Overage","Shortage"))))</f>
        <v/>
      </c>
      <c r="K110" s="9" t="str">
        <f aca="false">IF($C110="","",IF(AND(K110&lt;&gt;"",K110&lt;&gt;0),K110,$B$4))</f>
        <v/>
      </c>
      <c r="L110" s="13"/>
      <c r="M110" s="13"/>
      <c r="N110" s="13"/>
    </row>
    <row r="111" customFormat="false" ht="15" hidden="false" customHeight="false" outlineLevel="0" collapsed="false">
      <c r="A111" s="8" t="str">
        <f aca="true">IF($C111="","",IF(AND(A111&lt;&gt;"",A111&lt;&gt;0),A111,TODAY()))</f>
        <v/>
      </c>
      <c r="B111" s="9" t="str">
        <f aca="false">IF($C111="","",IF(AND(B111&lt;&gt;"",B111&lt;&gt;0),B111,$E$4))</f>
        <v/>
      </c>
      <c r="C111" s="10"/>
      <c r="D111" s="9" t="str">
        <f aca="false">IF($C111="","",IF(AND(D111&lt;&gt;"",D111&lt;&gt;0,D111&lt;&gt;"UPC Not Found"),D111,IFERROR(INDEX('Product Master'!$B$2:$B$200,MATCH($C111,'Product Master'!$A$2:$A$200,0)),"UPC Not Found")))</f>
        <v/>
      </c>
      <c r="E111" s="9" t="str">
        <f aca="false">IF($C111="","",IF(AND(E111&lt;&gt;"",E111&lt;&gt;0,E111&lt;&gt;"UPC Not Found"),E111,IFERROR(INDEX('Product Master'!$C$2:$C$200,MATCH($C111,'Product Master'!$A$2:$A$200,0)),"UPC Not Found")))</f>
        <v/>
      </c>
      <c r="F111" s="9" t="str">
        <f aca="false">IF($C111="","",IF(AND(F111&lt;&gt;"",F111&lt;&gt;0,F111&lt;&gt;"UPC Not Found"),F111,IFERROR(INDEX('Product Master'!$D$2:$D$200,MATCH($C111,'Product Master'!$A$2:$A$200,0)),"UPC Not Found")))</f>
        <v/>
      </c>
      <c r="G111" s="11" t="str">
        <f aca="false">IF($C111="","",IF(AND(G111&lt;&gt;"",G111&lt;&gt;0,G111&lt;&gt;"UPC Not Found"),G111,IFERROR(INDEX('Product Master'!$E$2:$E$200,MATCH($C111,'Product Master'!$A$2:$A$200,0)),"UPC Not Found")))</f>
        <v/>
      </c>
      <c r="H111" s="12"/>
      <c r="I111" s="11" t="str">
        <f aca="false">IF(OR($C111="",H111="",G111="UPC Not Found"),"",H111-G111)</f>
        <v/>
      </c>
      <c r="J111" s="9" t="str">
        <f aca="false">IF($C111="","",IF(H111="","Not Counted",IF(I111=0,"Match",IF(I111&gt;0,"Overage","Shortage"))))</f>
        <v/>
      </c>
      <c r="K111" s="9" t="str">
        <f aca="false">IF($C111="","",IF(AND(K111&lt;&gt;"",K111&lt;&gt;0),K111,$B$4))</f>
        <v/>
      </c>
      <c r="L111" s="13"/>
      <c r="M111" s="13"/>
      <c r="N111" s="13"/>
    </row>
    <row r="112" customFormat="false" ht="15" hidden="false" customHeight="false" outlineLevel="0" collapsed="false">
      <c r="A112" s="8" t="str">
        <f aca="true">IF($C112="","",IF(AND(A112&lt;&gt;"",A112&lt;&gt;0),A112,TODAY()))</f>
        <v/>
      </c>
      <c r="B112" s="9" t="str">
        <f aca="false">IF($C112="","",IF(AND(B112&lt;&gt;"",B112&lt;&gt;0),B112,$E$4))</f>
        <v/>
      </c>
      <c r="C112" s="10"/>
      <c r="D112" s="9" t="str">
        <f aca="false">IF($C112="","",IF(AND(D112&lt;&gt;"",D112&lt;&gt;0,D112&lt;&gt;"UPC Not Found"),D112,IFERROR(INDEX('Product Master'!$B$2:$B$200,MATCH($C112,'Product Master'!$A$2:$A$200,0)),"UPC Not Found")))</f>
        <v/>
      </c>
      <c r="E112" s="9" t="str">
        <f aca="false">IF($C112="","",IF(AND(E112&lt;&gt;"",E112&lt;&gt;0,E112&lt;&gt;"UPC Not Found"),E112,IFERROR(INDEX('Product Master'!$C$2:$C$200,MATCH($C112,'Product Master'!$A$2:$A$200,0)),"UPC Not Found")))</f>
        <v/>
      </c>
      <c r="F112" s="9" t="str">
        <f aca="false">IF($C112="","",IF(AND(F112&lt;&gt;"",F112&lt;&gt;0,F112&lt;&gt;"UPC Not Found"),F112,IFERROR(INDEX('Product Master'!$D$2:$D$200,MATCH($C112,'Product Master'!$A$2:$A$200,0)),"UPC Not Found")))</f>
        <v/>
      </c>
      <c r="G112" s="11" t="str">
        <f aca="false">IF($C112="","",IF(AND(G112&lt;&gt;"",G112&lt;&gt;0,G112&lt;&gt;"UPC Not Found"),G112,IFERROR(INDEX('Product Master'!$E$2:$E$200,MATCH($C112,'Product Master'!$A$2:$A$200,0)),"UPC Not Found")))</f>
        <v/>
      </c>
      <c r="H112" s="12"/>
      <c r="I112" s="11" t="str">
        <f aca="false">IF(OR($C112="",H112="",G112="UPC Not Found"),"",H112-G112)</f>
        <v/>
      </c>
      <c r="J112" s="9" t="str">
        <f aca="false">IF($C112="","",IF(H112="","Not Counted",IF(I112=0,"Match",IF(I112&gt;0,"Overage","Shortage"))))</f>
        <v/>
      </c>
      <c r="K112" s="9" t="str">
        <f aca="false">IF($C112="","",IF(AND(K112&lt;&gt;"",K112&lt;&gt;0),K112,$B$4))</f>
        <v/>
      </c>
      <c r="L112" s="13"/>
      <c r="M112" s="13"/>
      <c r="N112" s="13"/>
    </row>
    <row r="113" customFormat="false" ht="15" hidden="false" customHeight="false" outlineLevel="0" collapsed="false">
      <c r="A113" s="8" t="str">
        <f aca="true">IF($C113="","",IF(AND(A113&lt;&gt;"",A113&lt;&gt;0),A113,TODAY()))</f>
        <v/>
      </c>
      <c r="B113" s="9" t="str">
        <f aca="false">IF($C113="","",IF(AND(B113&lt;&gt;"",B113&lt;&gt;0),B113,$E$4))</f>
        <v/>
      </c>
      <c r="C113" s="10"/>
      <c r="D113" s="9" t="str">
        <f aca="false">IF($C113="","",IF(AND(D113&lt;&gt;"",D113&lt;&gt;0,D113&lt;&gt;"UPC Not Found"),D113,IFERROR(INDEX('Product Master'!$B$2:$B$200,MATCH($C113,'Product Master'!$A$2:$A$200,0)),"UPC Not Found")))</f>
        <v/>
      </c>
      <c r="E113" s="9" t="str">
        <f aca="false">IF($C113="","",IF(AND(E113&lt;&gt;"",E113&lt;&gt;0,E113&lt;&gt;"UPC Not Found"),E113,IFERROR(INDEX('Product Master'!$C$2:$C$200,MATCH($C113,'Product Master'!$A$2:$A$200,0)),"UPC Not Found")))</f>
        <v/>
      </c>
      <c r="F113" s="9" t="str">
        <f aca="false">IF($C113="","",IF(AND(F113&lt;&gt;"",F113&lt;&gt;0,F113&lt;&gt;"UPC Not Found"),F113,IFERROR(INDEX('Product Master'!$D$2:$D$200,MATCH($C113,'Product Master'!$A$2:$A$200,0)),"UPC Not Found")))</f>
        <v/>
      </c>
      <c r="G113" s="11" t="str">
        <f aca="false">IF($C113="","",IF(AND(G113&lt;&gt;"",G113&lt;&gt;0,G113&lt;&gt;"UPC Not Found"),G113,IFERROR(INDEX('Product Master'!$E$2:$E$200,MATCH($C113,'Product Master'!$A$2:$A$200,0)),"UPC Not Found")))</f>
        <v/>
      </c>
      <c r="H113" s="12"/>
      <c r="I113" s="11" t="str">
        <f aca="false">IF(OR($C113="",H113="",G113="UPC Not Found"),"",H113-G113)</f>
        <v/>
      </c>
      <c r="J113" s="9" t="str">
        <f aca="false">IF($C113="","",IF(H113="","Not Counted",IF(I113=0,"Match",IF(I113&gt;0,"Overage","Shortage"))))</f>
        <v/>
      </c>
      <c r="K113" s="9" t="str">
        <f aca="false">IF($C113="","",IF(AND(K113&lt;&gt;"",K113&lt;&gt;0),K113,$B$4))</f>
        <v/>
      </c>
      <c r="L113" s="13"/>
      <c r="M113" s="13"/>
      <c r="N113" s="13"/>
    </row>
    <row r="114" customFormat="false" ht="15" hidden="false" customHeight="false" outlineLevel="0" collapsed="false">
      <c r="A114" s="8" t="str">
        <f aca="true">IF($C114="","",IF(AND(A114&lt;&gt;"",A114&lt;&gt;0),A114,TODAY()))</f>
        <v/>
      </c>
      <c r="B114" s="9" t="str">
        <f aca="false">IF($C114="","",IF(AND(B114&lt;&gt;"",B114&lt;&gt;0),B114,$E$4))</f>
        <v/>
      </c>
      <c r="C114" s="10"/>
      <c r="D114" s="9" t="str">
        <f aca="false">IF($C114="","",IF(AND(D114&lt;&gt;"",D114&lt;&gt;0,D114&lt;&gt;"UPC Not Found"),D114,IFERROR(INDEX('Product Master'!$B$2:$B$200,MATCH($C114,'Product Master'!$A$2:$A$200,0)),"UPC Not Found")))</f>
        <v/>
      </c>
      <c r="E114" s="9" t="str">
        <f aca="false">IF($C114="","",IF(AND(E114&lt;&gt;"",E114&lt;&gt;0,E114&lt;&gt;"UPC Not Found"),E114,IFERROR(INDEX('Product Master'!$C$2:$C$200,MATCH($C114,'Product Master'!$A$2:$A$200,0)),"UPC Not Found")))</f>
        <v/>
      </c>
      <c r="F114" s="9" t="str">
        <f aca="false">IF($C114="","",IF(AND(F114&lt;&gt;"",F114&lt;&gt;0,F114&lt;&gt;"UPC Not Found"),F114,IFERROR(INDEX('Product Master'!$D$2:$D$200,MATCH($C114,'Product Master'!$A$2:$A$200,0)),"UPC Not Found")))</f>
        <v/>
      </c>
      <c r="G114" s="11" t="str">
        <f aca="false">IF($C114="","",IF(AND(G114&lt;&gt;"",G114&lt;&gt;0,G114&lt;&gt;"UPC Not Found"),G114,IFERROR(INDEX('Product Master'!$E$2:$E$200,MATCH($C114,'Product Master'!$A$2:$A$200,0)),"UPC Not Found")))</f>
        <v/>
      </c>
      <c r="H114" s="12"/>
      <c r="I114" s="11" t="str">
        <f aca="false">IF(OR($C114="",H114="",G114="UPC Not Found"),"",H114-G114)</f>
        <v/>
      </c>
      <c r="J114" s="9" t="str">
        <f aca="false">IF($C114="","",IF(H114="","Not Counted",IF(I114=0,"Match",IF(I114&gt;0,"Overage","Shortage"))))</f>
        <v/>
      </c>
      <c r="K114" s="9" t="str">
        <f aca="false">IF($C114="","",IF(AND(K114&lt;&gt;"",K114&lt;&gt;0),K114,$B$4))</f>
        <v/>
      </c>
      <c r="L114" s="13"/>
      <c r="M114" s="13"/>
      <c r="N114" s="13"/>
    </row>
    <row r="115" customFormat="false" ht="15" hidden="false" customHeight="false" outlineLevel="0" collapsed="false">
      <c r="A115" s="8" t="str">
        <f aca="true">IF($C115="","",IF(AND(A115&lt;&gt;"",A115&lt;&gt;0),A115,TODAY()))</f>
        <v/>
      </c>
      <c r="B115" s="9" t="str">
        <f aca="false">IF($C115="","",IF(AND(B115&lt;&gt;"",B115&lt;&gt;0),B115,$E$4))</f>
        <v/>
      </c>
      <c r="C115" s="10"/>
      <c r="D115" s="9" t="str">
        <f aca="false">IF($C115="","",IF(AND(D115&lt;&gt;"",D115&lt;&gt;0,D115&lt;&gt;"UPC Not Found"),D115,IFERROR(INDEX('Product Master'!$B$2:$B$200,MATCH($C115,'Product Master'!$A$2:$A$200,0)),"UPC Not Found")))</f>
        <v/>
      </c>
      <c r="E115" s="9" t="str">
        <f aca="false">IF($C115="","",IF(AND(E115&lt;&gt;"",E115&lt;&gt;0,E115&lt;&gt;"UPC Not Found"),E115,IFERROR(INDEX('Product Master'!$C$2:$C$200,MATCH($C115,'Product Master'!$A$2:$A$200,0)),"UPC Not Found")))</f>
        <v/>
      </c>
      <c r="F115" s="9" t="str">
        <f aca="false">IF($C115="","",IF(AND(F115&lt;&gt;"",F115&lt;&gt;0,F115&lt;&gt;"UPC Not Found"),F115,IFERROR(INDEX('Product Master'!$D$2:$D$200,MATCH($C115,'Product Master'!$A$2:$A$200,0)),"UPC Not Found")))</f>
        <v/>
      </c>
      <c r="G115" s="11" t="str">
        <f aca="false">IF($C115="","",IF(AND(G115&lt;&gt;"",G115&lt;&gt;0,G115&lt;&gt;"UPC Not Found"),G115,IFERROR(INDEX('Product Master'!$E$2:$E$200,MATCH($C115,'Product Master'!$A$2:$A$200,0)),"UPC Not Found")))</f>
        <v/>
      </c>
      <c r="H115" s="12"/>
      <c r="I115" s="11" t="str">
        <f aca="false">IF(OR($C115="",H115="",G115="UPC Not Found"),"",H115-G115)</f>
        <v/>
      </c>
      <c r="J115" s="9" t="str">
        <f aca="false">IF($C115="","",IF(H115="","Not Counted",IF(I115=0,"Match",IF(I115&gt;0,"Overage","Shortage"))))</f>
        <v/>
      </c>
      <c r="K115" s="9" t="str">
        <f aca="false">IF($C115="","",IF(AND(K115&lt;&gt;"",K115&lt;&gt;0),K115,$B$4))</f>
        <v/>
      </c>
      <c r="L115" s="13"/>
      <c r="M115" s="13"/>
      <c r="N115" s="13"/>
    </row>
    <row r="116" customFormat="false" ht="15" hidden="false" customHeight="false" outlineLevel="0" collapsed="false">
      <c r="A116" s="8" t="str">
        <f aca="true">IF($C116="","",IF(AND(A116&lt;&gt;"",A116&lt;&gt;0),A116,TODAY()))</f>
        <v/>
      </c>
      <c r="B116" s="9" t="str">
        <f aca="false">IF($C116="","",IF(AND(B116&lt;&gt;"",B116&lt;&gt;0),B116,$E$4))</f>
        <v/>
      </c>
      <c r="C116" s="10"/>
      <c r="D116" s="9" t="str">
        <f aca="false">IF($C116="","",IF(AND(D116&lt;&gt;"",D116&lt;&gt;0,D116&lt;&gt;"UPC Not Found"),D116,IFERROR(INDEX('Product Master'!$B$2:$B$200,MATCH($C116,'Product Master'!$A$2:$A$200,0)),"UPC Not Found")))</f>
        <v/>
      </c>
      <c r="E116" s="9" t="str">
        <f aca="false">IF($C116="","",IF(AND(E116&lt;&gt;"",E116&lt;&gt;0,E116&lt;&gt;"UPC Not Found"),E116,IFERROR(INDEX('Product Master'!$C$2:$C$200,MATCH($C116,'Product Master'!$A$2:$A$200,0)),"UPC Not Found")))</f>
        <v/>
      </c>
      <c r="F116" s="9" t="str">
        <f aca="false">IF($C116="","",IF(AND(F116&lt;&gt;"",F116&lt;&gt;0,F116&lt;&gt;"UPC Not Found"),F116,IFERROR(INDEX('Product Master'!$D$2:$D$200,MATCH($C116,'Product Master'!$A$2:$A$200,0)),"UPC Not Found")))</f>
        <v/>
      </c>
      <c r="G116" s="11" t="str">
        <f aca="false">IF($C116="","",IF(AND(G116&lt;&gt;"",G116&lt;&gt;0,G116&lt;&gt;"UPC Not Found"),G116,IFERROR(INDEX('Product Master'!$E$2:$E$200,MATCH($C116,'Product Master'!$A$2:$A$200,0)),"UPC Not Found")))</f>
        <v/>
      </c>
      <c r="H116" s="12"/>
      <c r="I116" s="11" t="str">
        <f aca="false">IF(OR($C116="",H116="",G116="UPC Not Found"),"",H116-G116)</f>
        <v/>
      </c>
      <c r="J116" s="9" t="str">
        <f aca="false">IF($C116="","",IF(H116="","Not Counted",IF(I116=0,"Match",IF(I116&gt;0,"Overage","Shortage"))))</f>
        <v/>
      </c>
      <c r="K116" s="9" t="str">
        <f aca="false">IF($C116="","",IF(AND(K116&lt;&gt;"",K116&lt;&gt;0),K116,$B$4))</f>
        <v/>
      </c>
      <c r="L116" s="13"/>
      <c r="M116" s="13"/>
      <c r="N116" s="13"/>
    </row>
    <row r="117" customFormat="false" ht="15" hidden="false" customHeight="false" outlineLevel="0" collapsed="false">
      <c r="A117" s="8" t="str">
        <f aca="true">IF($C117="","",IF(AND(A117&lt;&gt;"",A117&lt;&gt;0),A117,TODAY()))</f>
        <v/>
      </c>
      <c r="B117" s="9" t="str">
        <f aca="false">IF($C117="","",IF(AND(B117&lt;&gt;"",B117&lt;&gt;0),B117,$E$4))</f>
        <v/>
      </c>
      <c r="C117" s="10"/>
      <c r="D117" s="9" t="str">
        <f aca="false">IF($C117="","",IF(AND(D117&lt;&gt;"",D117&lt;&gt;0,D117&lt;&gt;"UPC Not Found"),D117,IFERROR(INDEX('Product Master'!$B$2:$B$200,MATCH($C117,'Product Master'!$A$2:$A$200,0)),"UPC Not Found")))</f>
        <v/>
      </c>
      <c r="E117" s="9" t="str">
        <f aca="false">IF($C117="","",IF(AND(E117&lt;&gt;"",E117&lt;&gt;0,E117&lt;&gt;"UPC Not Found"),E117,IFERROR(INDEX('Product Master'!$C$2:$C$200,MATCH($C117,'Product Master'!$A$2:$A$200,0)),"UPC Not Found")))</f>
        <v/>
      </c>
      <c r="F117" s="9" t="str">
        <f aca="false">IF($C117="","",IF(AND(F117&lt;&gt;"",F117&lt;&gt;0,F117&lt;&gt;"UPC Not Found"),F117,IFERROR(INDEX('Product Master'!$D$2:$D$200,MATCH($C117,'Product Master'!$A$2:$A$200,0)),"UPC Not Found")))</f>
        <v/>
      </c>
      <c r="G117" s="11" t="str">
        <f aca="false">IF($C117="","",IF(AND(G117&lt;&gt;"",G117&lt;&gt;0,G117&lt;&gt;"UPC Not Found"),G117,IFERROR(INDEX('Product Master'!$E$2:$E$200,MATCH($C117,'Product Master'!$A$2:$A$200,0)),"UPC Not Found")))</f>
        <v/>
      </c>
      <c r="H117" s="12"/>
      <c r="I117" s="11" t="str">
        <f aca="false">IF(OR($C117="",H117="",G117="UPC Not Found"),"",H117-G117)</f>
        <v/>
      </c>
      <c r="J117" s="9" t="str">
        <f aca="false">IF($C117="","",IF(H117="","Not Counted",IF(I117=0,"Match",IF(I117&gt;0,"Overage","Shortage"))))</f>
        <v/>
      </c>
      <c r="K117" s="9" t="str">
        <f aca="false">IF($C117="","",IF(AND(K117&lt;&gt;"",K117&lt;&gt;0),K117,$B$4))</f>
        <v/>
      </c>
      <c r="L117" s="13"/>
      <c r="M117" s="13"/>
      <c r="N117" s="13"/>
    </row>
    <row r="118" customFormat="false" ht="15" hidden="false" customHeight="false" outlineLevel="0" collapsed="false">
      <c r="A118" s="8" t="str">
        <f aca="true">IF($C118="","",IF(AND(A118&lt;&gt;"",A118&lt;&gt;0),A118,TODAY()))</f>
        <v/>
      </c>
      <c r="B118" s="9" t="str">
        <f aca="false">IF($C118="","",IF(AND(B118&lt;&gt;"",B118&lt;&gt;0),B118,$E$4))</f>
        <v/>
      </c>
      <c r="C118" s="10"/>
      <c r="D118" s="9" t="str">
        <f aca="false">IF($C118="","",IF(AND(D118&lt;&gt;"",D118&lt;&gt;0,D118&lt;&gt;"UPC Not Found"),D118,IFERROR(INDEX('Product Master'!$B$2:$B$200,MATCH($C118,'Product Master'!$A$2:$A$200,0)),"UPC Not Found")))</f>
        <v/>
      </c>
      <c r="E118" s="9" t="str">
        <f aca="false">IF($C118="","",IF(AND(E118&lt;&gt;"",E118&lt;&gt;0,E118&lt;&gt;"UPC Not Found"),E118,IFERROR(INDEX('Product Master'!$C$2:$C$200,MATCH($C118,'Product Master'!$A$2:$A$200,0)),"UPC Not Found")))</f>
        <v/>
      </c>
      <c r="F118" s="9" t="str">
        <f aca="false">IF($C118="","",IF(AND(F118&lt;&gt;"",F118&lt;&gt;0,F118&lt;&gt;"UPC Not Found"),F118,IFERROR(INDEX('Product Master'!$D$2:$D$200,MATCH($C118,'Product Master'!$A$2:$A$200,0)),"UPC Not Found")))</f>
        <v/>
      </c>
      <c r="G118" s="11" t="str">
        <f aca="false">IF($C118="","",IF(AND(G118&lt;&gt;"",G118&lt;&gt;0,G118&lt;&gt;"UPC Not Found"),G118,IFERROR(INDEX('Product Master'!$E$2:$E$200,MATCH($C118,'Product Master'!$A$2:$A$200,0)),"UPC Not Found")))</f>
        <v/>
      </c>
      <c r="H118" s="12"/>
      <c r="I118" s="11" t="str">
        <f aca="false">IF(OR($C118="",H118="",G118="UPC Not Found"),"",H118-G118)</f>
        <v/>
      </c>
      <c r="J118" s="9" t="str">
        <f aca="false">IF($C118="","",IF(H118="","Not Counted",IF(I118=0,"Match",IF(I118&gt;0,"Overage","Shortage"))))</f>
        <v/>
      </c>
      <c r="K118" s="9" t="str">
        <f aca="false">IF($C118="","",IF(AND(K118&lt;&gt;"",K118&lt;&gt;0),K118,$B$4))</f>
        <v/>
      </c>
      <c r="L118" s="13"/>
      <c r="M118" s="13"/>
      <c r="N118" s="13"/>
    </row>
    <row r="119" customFormat="false" ht="15" hidden="false" customHeight="false" outlineLevel="0" collapsed="false">
      <c r="A119" s="8" t="str">
        <f aca="true">IF($C119="","",IF(AND(A119&lt;&gt;"",A119&lt;&gt;0),A119,TODAY()))</f>
        <v/>
      </c>
      <c r="B119" s="9" t="str">
        <f aca="false">IF($C119="","",IF(AND(B119&lt;&gt;"",B119&lt;&gt;0),B119,$E$4))</f>
        <v/>
      </c>
      <c r="C119" s="10"/>
      <c r="D119" s="9" t="str">
        <f aca="false">IF($C119="","",IF(AND(D119&lt;&gt;"",D119&lt;&gt;0,D119&lt;&gt;"UPC Not Found"),D119,IFERROR(INDEX('Product Master'!$B$2:$B$200,MATCH($C119,'Product Master'!$A$2:$A$200,0)),"UPC Not Found")))</f>
        <v/>
      </c>
      <c r="E119" s="9" t="str">
        <f aca="false">IF($C119="","",IF(AND(E119&lt;&gt;"",E119&lt;&gt;0,E119&lt;&gt;"UPC Not Found"),E119,IFERROR(INDEX('Product Master'!$C$2:$C$200,MATCH($C119,'Product Master'!$A$2:$A$200,0)),"UPC Not Found")))</f>
        <v/>
      </c>
      <c r="F119" s="9" t="str">
        <f aca="false">IF($C119="","",IF(AND(F119&lt;&gt;"",F119&lt;&gt;0,F119&lt;&gt;"UPC Not Found"),F119,IFERROR(INDEX('Product Master'!$D$2:$D$200,MATCH($C119,'Product Master'!$A$2:$A$200,0)),"UPC Not Found")))</f>
        <v/>
      </c>
      <c r="G119" s="11" t="str">
        <f aca="false">IF($C119="","",IF(AND(G119&lt;&gt;"",G119&lt;&gt;0,G119&lt;&gt;"UPC Not Found"),G119,IFERROR(INDEX('Product Master'!$E$2:$E$200,MATCH($C119,'Product Master'!$A$2:$A$200,0)),"UPC Not Found")))</f>
        <v/>
      </c>
      <c r="H119" s="12"/>
      <c r="I119" s="11" t="str">
        <f aca="false">IF(OR($C119="",H119="",G119="UPC Not Found"),"",H119-G119)</f>
        <v/>
      </c>
      <c r="J119" s="9" t="str">
        <f aca="false">IF($C119="","",IF(H119="","Not Counted",IF(I119=0,"Match",IF(I119&gt;0,"Overage","Shortage"))))</f>
        <v/>
      </c>
      <c r="K119" s="9" t="str">
        <f aca="false">IF($C119="","",IF(AND(K119&lt;&gt;"",K119&lt;&gt;0),K119,$B$4))</f>
        <v/>
      </c>
      <c r="L119" s="13"/>
      <c r="M119" s="13"/>
      <c r="N119" s="13"/>
    </row>
    <row r="120" customFormat="false" ht="15" hidden="false" customHeight="false" outlineLevel="0" collapsed="false">
      <c r="A120" s="8" t="str">
        <f aca="true">IF($C120="","",IF(AND(A120&lt;&gt;"",A120&lt;&gt;0),A120,TODAY()))</f>
        <v/>
      </c>
      <c r="B120" s="9" t="str">
        <f aca="false">IF($C120="","",IF(AND(B120&lt;&gt;"",B120&lt;&gt;0),B120,$E$4))</f>
        <v/>
      </c>
      <c r="C120" s="10"/>
      <c r="D120" s="9" t="str">
        <f aca="false">IF($C120="","",IF(AND(D120&lt;&gt;"",D120&lt;&gt;0,D120&lt;&gt;"UPC Not Found"),D120,IFERROR(INDEX('Product Master'!$B$2:$B$200,MATCH($C120,'Product Master'!$A$2:$A$200,0)),"UPC Not Found")))</f>
        <v/>
      </c>
      <c r="E120" s="9" t="str">
        <f aca="false">IF($C120="","",IF(AND(E120&lt;&gt;"",E120&lt;&gt;0,E120&lt;&gt;"UPC Not Found"),E120,IFERROR(INDEX('Product Master'!$C$2:$C$200,MATCH($C120,'Product Master'!$A$2:$A$200,0)),"UPC Not Found")))</f>
        <v/>
      </c>
      <c r="F120" s="9" t="str">
        <f aca="false">IF($C120="","",IF(AND(F120&lt;&gt;"",F120&lt;&gt;0,F120&lt;&gt;"UPC Not Found"),F120,IFERROR(INDEX('Product Master'!$D$2:$D$200,MATCH($C120,'Product Master'!$A$2:$A$200,0)),"UPC Not Found")))</f>
        <v/>
      </c>
      <c r="G120" s="11" t="str">
        <f aca="false">IF($C120="","",IF(AND(G120&lt;&gt;"",G120&lt;&gt;0,G120&lt;&gt;"UPC Not Found"),G120,IFERROR(INDEX('Product Master'!$E$2:$E$200,MATCH($C120,'Product Master'!$A$2:$A$200,0)),"UPC Not Found")))</f>
        <v/>
      </c>
      <c r="H120" s="12"/>
      <c r="I120" s="11" t="str">
        <f aca="false">IF(OR($C120="",H120="",G120="UPC Not Found"),"",H120-G120)</f>
        <v/>
      </c>
      <c r="J120" s="9" t="str">
        <f aca="false">IF($C120="","",IF(H120="","Not Counted",IF(I120=0,"Match",IF(I120&gt;0,"Overage","Shortage"))))</f>
        <v/>
      </c>
      <c r="K120" s="9" t="str">
        <f aca="false">IF($C120="","",IF(AND(K120&lt;&gt;"",K120&lt;&gt;0),K120,$B$4))</f>
        <v/>
      </c>
      <c r="L120" s="13"/>
      <c r="M120" s="13"/>
      <c r="N120" s="13"/>
    </row>
    <row r="121" customFormat="false" ht="15" hidden="false" customHeight="false" outlineLevel="0" collapsed="false">
      <c r="A121" s="8" t="str">
        <f aca="true">IF($C121="","",IF(AND(A121&lt;&gt;"",A121&lt;&gt;0),A121,TODAY()))</f>
        <v/>
      </c>
      <c r="B121" s="9" t="str">
        <f aca="false">IF($C121="","",IF(AND(B121&lt;&gt;"",B121&lt;&gt;0),B121,$E$4))</f>
        <v/>
      </c>
      <c r="C121" s="10"/>
      <c r="D121" s="9" t="str">
        <f aca="false">IF($C121="","",IF(AND(D121&lt;&gt;"",D121&lt;&gt;0,D121&lt;&gt;"UPC Not Found"),D121,IFERROR(INDEX('Product Master'!$B$2:$B$200,MATCH($C121,'Product Master'!$A$2:$A$200,0)),"UPC Not Found")))</f>
        <v/>
      </c>
      <c r="E121" s="9" t="str">
        <f aca="false">IF($C121="","",IF(AND(E121&lt;&gt;"",E121&lt;&gt;0,E121&lt;&gt;"UPC Not Found"),E121,IFERROR(INDEX('Product Master'!$C$2:$C$200,MATCH($C121,'Product Master'!$A$2:$A$200,0)),"UPC Not Found")))</f>
        <v/>
      </c>
      <c r="F121" s="9" t="str">
        <f aca="false">IF($C121="","",IF(AND(F121&lt;&gt;"",F121&lt;&gt;0,F121&lt;&gt;"UPC Not Found"),F121,IFERROR(INDEX('Product Master'!$D$2:$D$200,MATCH($C121,'Product Master'!$A$2:$A$200,0)),"UPC Not Found")))</f>
        <v/>
      </c>
      <c r="G121" s="11" t="str">
        <f aca="false">IF($C121="","",IF(AND(G121&lt;&gt;"",G121&lt;&gt;0,G121&lt;&gt;"UPC Not Found"),G121,IFERROR(INDEX('Product Master'!$E$2:$E$200,MATCH($C121,'Product Master'!$A$2:$A$200,0)),"UPC Not Found")))</f>
        <v/>
      </c>
      <c r="H121" s="12"/>
      <c r="I121" s="11" t="str">
        <f aca="false">IF(OR($C121="",H121="",G121="UPC Not Found"),"",H121-G121)</f>
        <v/>
      </c>
      <c r="J121" s="9" t="str">
        <f aca="false">IF($C121="","",IF(H121="","Not Counted",IF(I121=0,"Match",IF(I121&gt;0,"Overage","Shortage"))))</f>
        <v/>
      </c>
      <c r="K121" s="9" t="str">
        <f aca="false">IF($C121="","",IF(AND(K121&lt;&gt;"",K121&lt;&gt;0),K121,$B$4))</f>
        <v/>
      </c>
      <c r="L121" s="13"/>
      <c r="M121" s="13"/>
      <c r="N121" s="13"/>
    </row>
    <row r="122" customFormat="false" ht="15" hidden="false" customHeight="false" outlineLevel="0" collapsed="false">
      <c r="A122" s="8" t="str">
        <f aca="true">IF($C122="","",IF(AND(A122&lt;&gt;"",A122&lt;&gt;0),A122,TODAY()))</f>
        <v/>
      </c>
      <c r="B122" s="9" t="str">
        <f aca="false">IF($C122="","",IF(AND(B122&lt;&gt;"",B122&lt;&gt;0),B122,$E$4))</f>
        <v/>
      </c>
      <c r="C122" s="10"/>
      <c r="D122" s="9" t="str">
        <f aca="false">IF($C122="","",IF(AND(D122&lt;&gt;"",D122&lt;&gt;0,D122&lt;&gt;"UPC Not Found"),D122,IFERROR(INDEX('Product Master'!$B$2:$B$200,MATCH($C122,'Product Master'!$A$2:$A$200,0)),"UPC Not Found")))</f>
        <v/>
      </c>
      <c r="E122" s="9" t="str">
        <f aca="false">IF($C122="","",IF(AND(E122&lt;&gt;"",E122&lt;&gt;0,E122&lt;&gt;"UPC Not Found"),E122,IFERROR(INDEX('Product Master'!$C$2:$C$200,MATCH($C122,'Product Master'!$A$2:$A$200,0)),"UPC Not Found")))</f>
        <v/>
      </c>
      <c r="F122" s="9" t="str">
        <f aca="false">IF($C122="","",IF(AND(F122&lt;&gt;"",F122&lt;&gt;0,F122&lt;&gt;"UPC Not Found"),F122,IFERROR(INDEX('Product Master'!$D$2:$D$200,MATCH($C122,'Product Master'!$A$2:$A$200,0)),"UPC Not Found")))</f>
        <v/>
      </c>
      <c r="G122" s="11" t="str">
        <f aca="false">IF($C122="","",IF(AND(G122&lt;&gt;"",G122&lt;&gt;0,G122&lt;&gt;"UPC Not Found"),G122,IFERROR(INDEX('Product Master'!$E$2:$E$200,MATCH($C122,'Product Master'!$A$2:$A$200,0)),"UPC Not Found")))</f>
        <v/>
      </c>
      <c r="H122" s="12"/>
      <c r="I122" s="11" t="str">
        <f aca="false">IF(OR($C122="",H122="",G122="UPC Not Found"),"",H122-G122)</f>
        <v/>
      </c>
      <c r="J122" s="9" t="str">
        <f aca="false">IF($C122="","",IF(H122="","Not Counted",IF(I122=0,"Match",IF(I122&gt;0,"Overage","Shortage"))))</f>
        <v/>
      </c>
      <c r="K122" s="9" t="str">
        <f aca="false">IF($C122="","",IF(AND(K122&lt;&gt;"",K122&lt;&gt;0),K122,$B$4))</f>
        <v/>
      </c>
      <c r="L122" s="13"/>
      <c r="M122" s="13"/>
      <c r="N122" s="13"/>
    </row>
    <row r="123" customFormat="false" ht="15" hidden="false" customHeight="false" outlineLevel="0" collapsed="false">
      <c r="A123" s="8" t="str">
        <f aca="true">IF($C123="","",IF(AND(A123&lt;&gt;"",A123&lt;&gt;0),A123,TODAY()))</f>
        <v/>
      </c>
      <c r="B123" s="9" t="str">
        <f aca="false">IF($C123="","",IF(AND(B123&lt;&gt;"",B123&lt;&gt;0),B123,$E$4))</f>
        <v/>
      </c>
      <c r="C123" s="10"/>
      <c r="D123" s="9" t="str">
        <f aca="false">IF($C123="","",IF(AND(D123&lt;&gt;"",D123&lt;&gt;0,D123&lt;&gt;"UPC Not Found"),D123,IFERROR(INDEX('Product Master'!$B$2:$B$200,MATCH($C123,'Product Master'!$A$2:$A$200,0)),"UPC Not Found")))</f>
        <v/>
      </c>
      <c r="E123" s="9" t="str">
        <f aca="false">IF($C123="","",IF(AND(E123&lt;&gt;"",E123&lt;&gt;0,E123&lt;&gt;"UPC Not Found"),E123,IFERROR(INDEX('Product Master'!$C$2:$C$200,MATCH($C123,'Product Master'!$A$2:$A$200,0)),"UPC Not Found")))</f>
        <v/>
      </c>
      <c r="F123" s="9" t="str">
        <f aca="false">IF($C123="","",IF(AND(F123&lt;&gt;"",F123&lt;&gt;0,F123&lt;&gt;"UPC Not Found"),F123,IFERROR(INDEX('Product Master'!$D$2:$D$200,MATCH($C123,'Product Master'!$A$2:$A$200,0)),"UPC Not Found")))</f>
        <v/>
      </c>
      <c r="G123" s="11" t="str">
        <f aca="false">IF($C123="","",IF(AND(G123&lt;&gt;"",G123&lt;&gt;0,G123&lt;&gt;"UPC Not Found"),G123,IFERROR(INDEX('Product Master'!$E$2:$E$200,MATCH($C123,'Product Master'!$A$2:$A$200,0)),"UPC Not Found")))</f>
        <v/>
      </c>
      <c r="H123" s="12"/>
      <c r="I123" s="11" t="str">
        <f aca="false">IF(OR($C123="",H123="",G123="UPC Not Found"),"",H123-G123)</f>
        <v/>
      </c>
      <c r="J123" s="9" t="str">
        <f aca="false">IF($C123="","",IF(H123="","Not Counted",IF(I123=0,"Match",IF(I123&gt;0,"Overage","Shortage"))))</f>
        <v/>
      </c>
      <c r="K123" s="9" t="str">
        <f aca="false">IF($C123="","",IF(AND(K123&lt;&gt;"",K123&lt;&gt;0),K123,$B$4))</f>
        <v/>
      </c>
      <c r="L123" s="13"/>
      <c r="M123" s="13"/>
      <c r="N123" s="13"/>
    </row>
    <row r="124" customFormat="false" ht="15" hidden="false" customHeight="false" outlineLevel="0" collapsed="false">
      <c r="A124" s="8" t="str">
        <f aca="true">IF($C124="","",IF(AND(A124&lt;&gt;"",A124&lt;&gt;0),A124,TODAY()))</f>
        <v/>
      </c>
      <c r="B124" s="9" t="str">
        <f aca="false">IF($C124="","",IF(AND(B124&lt;&gt;"",B124&lt;&gt;0),B124,$E$4))</f>
        <v/>
      </c>
      <c r="C124" s="10"/>
      <c r="D124" s="9" t="str">
        <f aca="false">IF($C124="","",IF(AND(D124&lt;&gt;"",D124&lt;&gt;0,D124&lt;&gt;"UPC Not Found"),D124,IFERROR(INDEX('Product Master'!$B$2:$B$200,MATCH($C124,'Product Master'!$A$2:$A$200,0)),"UPC Not Found")))</f>
        <v/>
      </c>
      <c r="E124" s="9" t="str">
        <f aca="false">IF($C124="","",IF(AND(E124&lt;&gt;"",E124&lt;&gt;0,E124&lt;&gt;"UPC Not Found"),E124,IFERROR(INDEX('Product Master'!$C$2:$C$200,MATCH($C124,'Product Master'!$A$2:$A$200,0)),"UPC Not Found")))</f>
        <v/>
      </c>
      <c r="F124" s="9" t="str">
        <f aca="false">IF($C124="","",IF(AND(F124&lt;&gt;"",F124&lt;&gt;0,F124&lt;&gt;"UPC Not Found"),F124,IFERROR(INDEX('Product Master'!$D$2:$D$200,MATCH($C124,'Product Master'!$A$2:$A$200,0)),"UPC Not Found")))</f>
        <v/>
      </c>
      <c r="G124" s="11" t="str">
        <f aca="false">IF($C124="","",IF(AND(G124&lt;&gt;"",G124&lt;&gt;0,G124&lt;&gt;"UPC Not Found"),G124,IFERROR(INDEX('Product Master'!$E$2:$E$200,MATCH($C124,'Product Master'!$A$2:$A$200,0)),"UPC Not Found")))</f>
        <v/>
      </c>
      <c r="H124" s="12"/>
      <c r="I124" s="11" t="str">
        <f aca="false">IF(OR($C124="",H124="",G124="UPC Not Found"),"",H124-G124)</f>
        <v/>
      </c>
      <c r="J124" s="9" t="str">
        <f aca="false">IF($C124="","",IF(H124="","Not Counted",IF(I124=0,"Match",IF(I124&gt;0,"Overage","Shortage"))))</f>
        <v/>
      </c>
      <c r="K124" s="9" t="str">
        <f aca="false">IF($C124="","",IF(AND(K124&lt;&gt;"",K124&lt;&gt;0),K124,$B$4))</f>
        <v/>
      </c>
      <c r="L124" s="13"/>
      <c r="M124" s="13"/>
      <c r="N124" s="13"/>
    </row>
    <row r="125" customFormat="false" ht="15" hidden="false" customHeight="false" outlineLevel="0" collapsed="false">
      <c r="A125" s="8" t="str">
        <f aca="true">IF($C125="","",IF(AND(A125&lt;&gt;"",A125&lt;&gt;0),A125,TODAY()))</f>
        <v/>
      </c>
      <c r="B125" s="9" t="str">
        <f aca="false">IF($C125="","",IF(AND(B125&lt;&gt;"",B125&lt;&gt;0),B125,$E$4))</f>
        <v/>
      </c>
      <c r="C125" s="10"/>
      <c r="D125" s="9" t="str">
        <f aca="false">IF($C125="","",IF(AND(D125&lt;&gt;"",D125&lt;&gt;0,D125&lt;&gt;"UPC Not Found"),D125,IFERROR(INDEX('Product Master'!$B$2:$B$200,MATCH($C125,'Product Master'!$A$2:$A$200,0)),"UPC Not Found")))</f>
        <v/>
      </c>
      <c r="E125" s="9" t="str">
        <f aca="false">IF($C125="","",IF(AND(E125&lt;&gt;"",E125&lt;&gt;0,E125&lt;&gt;"UPC Not Found"),E125,IFERROR(INDEX('Product Master'!$C$2:$C$200,MATCH($C125,'Product Master'!$A$2:$A$200,0)),"UPC Not Found")))</f>
        <v/>
      </c>
      <c r="F125" s="9" t="str">
        <f aca="false">IF($C125="","",IF(AND(F125&lt;&gt;"",F125&lt;&gt;0,F125&lt;&gt;"UPC Not Found"),F125,IFERROR(INDEX('Product Master'!$D$2:$D$200,MATCH($C125,'Product Master'!$A$2:$A$200,0)),"UPC Not Found")))</f>
        <v/>
      </c>
      <c r="G125" s="11" t="str">
        <f aca="false">IF($C125="","",IF(AND(G125&lt;&gt;"",G125&lt;&gt;0,G125&lt;&gt;"UPC Not Found"),G125,IFERROR(INDEX('Product Master'!$E$2:$E$200,MATCH($C125,'Product Master'!$A$2:$A$200,0)),"UPC Not Found")))</f>
        <v/>
      </c>
      <c r="H125" s="12"/>
      <c r="I125" s="11" t="str">
        <f aca="false">IF(OR($C125="",H125="",G125="UPC Not Found"),"",H125-G125)</f>
        <v/>
      </c>
      <c r="J125" s="9" t="str">
        <f aca="false">IF($C125="","",IF(H125="","Not Counted",IF(I125=0,"Match",IF(I125&gt;0,"Overage","Shortage"))))</f>
        <v/>
      </c>
      <c r="K125" s="9" t="str">
        <f aca="false">IF($C125="","",IF(AND(K125&lt;&gt;"",K125&lt;&gt;0),K125,$B$4))</f>
        <v/>
      </c>
      <c r="L125" s="13"/>
      <c r="M125" s="13"/>
      <c r="N125" s="13"/>
    </row>
    <row r="126" customFormat="false" ht="15" hidden="false" customHeight="false" outlineLevel="0" collapsed="false">
      <c r="A126" s="8" t="str">
        <f aca="true">IF($C126="","",IF(AND(A126&lt;&gt;"",A126&lt;&gt;0),A126,TODAY()))</f>
        <v/>
      </c>
      <c r="B126" s="9" t="str">
        <f aca="false">IF($C126="","",IF(AND(B126&lt;&gt;"",B126&lt;&gt;0),B126,$E$4))</f>
        <v/>
      </c>
      <c r="C126" s="10"/>
      <c r="D126" s="9" t="str">
        <f aca="false">IF($C126="","",IF(AND(D126&lt;&gt;"",D126&lt;&gt;0,D126&lt;&gt;"UPC Not Found"),D126,IFERROR(INDEX('Product Master'!$B$2:$B$200,MATCH($C126,'Product Master'!$A$2:$A$200,0)),"UPC Not Found")))</f>
        <v/>
      </c>
      <c r="E126" s="9" t="str">
        <f aca="false">IF($C126="","",IF(AND(E126&lt;&gt;"",E126&lt;&gt;0,E126&lt;&gt;"UPC Not Found"),E126,IFERROR(INDEX('Product Master'!$C$2:$C$200,MATCH($C126,'Product Master'!$A$2:$A$200,0)),"UPC Not Found")))</f>
        <v/>
      </c>
      <c r="F126" s="9" t="str">
        <f aca="false">IF($C126="","",IF(AND(F126&lt;&gt;"",F126&lt;&gt;0,F126&lt;&gt;"UPC Not Found"),F126,IFERROR(INDEX('Product Master'!$D$2:$D$200,MATCH($C126,'Product Master'!$A$2:$A$200,0)),"UPC Not Found")))</f>
        <v/>
      </c>
      <c r="G126" s="11" t="str">
        <f aca="false">IF($C126="","",IF(AND(G126&lt;&gt;"",G126&lt;&gt;0,G126&lt;&gt;"UPC Not Found"),G126,IFERROR(INDEX('Product Master'!$E$2:$E$200,MATCH($C126,'Product Master'!$A$2:$A$200,0)),"UPC Not Found")))</f>
        <v/>
      </c>
      <c r="H126" s="12"/>
      <c r="I126" s="11" t="str">
        <f aca="false">IF(OR($C126="",H126="",G126="UPC Not Found"),"",H126-G126)</f>
        <v/>
      </c>
      <c r="J126" s="9" t="str">
        <f aca="false">IF($C126="","",IF(H126="","Not Counted",IF(I126=0,"Match",IF(I126&gt;0,"Overage","Shortage"))))</f>
        <v/>
      </c>
      <c r="K126" s="9" t="str">
        <f aca="false">IF($C126="","",IF(AND(K126&lt;&gt;"",K126&lt;&gt;0),K126,$B$4))</f>
        <v/>
      </c>
      <c r="L126" s="13"/>
      <c r="M126" s="13"/>
      <c r="N126" s="13"/>
    </row>
    <row r="127" customFormat="false" ht="15" hidden="false" customHeight="false" outlineLevel="0" collapsed="false">
      <c r="A127" s="8" t="str">
        <f aca="true">IF($C127="","",IF(AND(A127&lt;&gt;"",A127&lt;&gt;0),A127,TODAY()))</f>
        <v/>
      </c>
      <c r="B127" s="9" t="str">
        <f aca="false">IF($C127="","",IF(AND(B127&lt;&gt;"",B127&lt;&gt;0),B127,$E$4))</f>
        <v/>
      </c>
      <c r="C127" s="10"/>
      <c r="D127" s="9" t="str">
        <f aca="false">IF($C127="","",IF(AND(D127&lt;&gt;"",D127&lt;&gt;0,D127&lt;&gt;"UPC Not Found"),D127,IFERROR(INDEX('Product Master'!$B$2:$B$200,MATCH($C127,'Product Master'!$A$2:$A$200,0)),"UPC Not Found")))</f>
        <v/>
      </c>
      <c r="E127" s="9" t="str">
        <f aca="false">IF($C127="","",IF(AND(E127&lt;&gt;"",E127&lt;&gt;0,E127&lt;&gt;"UPC Not Found"),E127,IFERROR(INDEX('Product Master'!$C$2:$C$200,MATCH($C127,'Product Master'!$A$2:$A$200,0)),"UPC Not Found")))</f>
        <v/>
      </c>
      <c r="F127" s="9" t="str">
        <f aca="false">IF($C127="","",IF(AND(F127&lt;&gt;"",F127&lt;&gt;0,F127&lt;&gt;"UPC Not Found"),F127,IFERROR(INDEX('Product Master'!$D$2:$D$200,MATCH($C127,'Product Master'!$A$2:$A$200,0)),"UPC Not Found")))</f>
        <v/>
      </c>
      <c r="G127" s="11" t="str">
        <f aca="false">IF($C127="","",IF(AND(G127&lt;&gt;"",G127&lt;&gt;0,G127&lt;&gt;"UPC Not Found"),G127,IFERROR(INDEX('Product Master'!$E$2:$E$200,MATCH($C127,'Product Master'!$A$2:$A$200,0)),"UPC Not Found")))</f>
        <v/>
      </c>
      <c r="H127" s="12"/>
      <c r="I127" s="11" t="str">
        <f aca="false">IF(OR($C127="",H127="",G127="UPC Not Found"),"",H127-G127)</f>
        <v/>
      </c>
      <c r="J127" s="9" t="str">
        <f aca="false">IF($C127="","",IF(H127="","Not Counted",IF(I127=0,"Match",IF(I127&gt;0,"Overage","Shortage"))))</f>
        <v/>
      </c>
      <c r="K127" s="9" t="str">
        <f aca="false">IF($C127="","",IF(AND(K127&lt;&gt;"",K127&lt;&gt;0),K127,$B$4))</f>
        <v/>
      </c>
      <c r="L127" s="13"/>
      <c r="M127" s="13"/>
      <c r="N127" s="13"/>
    </row>
    <row r="128" customFormat="false" ht="15" hidden="false" customHeight="false" outlineLevel="0" collapsed="false">
      <c r="A128" s="8" t="str">
        <f aca="true">IF($C128="","",IF(AND(A128&lt;&gt;"",A128&lt;&gt;0),A128,TODAY()))</f>
        <v/>
      </c>
      <c r="B128" s="9" t="str">
        <f aca="false">IF($C128="","",IF(AND(B128&lt;&gt;"",B128&lt;&gt;0),B128,$E$4))</f>
        <v/>
      </c>
      <c r="C128" s="10"/>
      <c r="D128" s="9" t="str">
        <f aca="false">IF($C128="","",IF(AND(D128&lt;&gt;"",D128&lt;&gt;0,D128&lt;&gt;"UPC Not Found"),D128,IFERROR(INDEX('Product Master'!$B$2:$B$200,MATCH($C128,'Product Master'!$A$2:$A$200,0)),"UPC Not Found")))</f>
        <v/>
      </c>
      <c r="E128" s="9" t="str">
        <f aca="false">IF($C128="","",IF(AND(E128&lt;&gt;"",E128&lt;&gt;0,E128&lt;&gt;"UPC Not Found"),E128,IFERROR(INDEX('Product Master'!$C$2:$C$200,MATCH($C128,'Product Master'!$A$2:$A$200,0)),"UPC Not Found")))</f>
        <v/>
      </c>
      <c r="F128" s="9" t="str">
        <f aca="false">IF($C128="","",IF(AND(F128&lt;&gt;"",F128&lt;&gt;0,F128&lt;&gt;"UPC Not Found"),F128,IFERROR(INDEX('Product Master'!$D$2:$D$200,MATCH($C128,'Product Master'!$A$2:$A$200,0)),"UPC Not Found")))</f>
        <v/>
      </c>
      <c r="G128" s="11" t="str">
        <f aca="false">IF($C128="","",IF(AND(G128&lt;&gt;"",G128&lt;&gt;0,G128&lt;&gt;"UPC Not Found"),G128,IFERROR(INDEX('Product Master'!$E$2:$E$200,MATCH($C128,'Product Master'!$A$2:$A$200,0)),"UPC Not Found")))</f>
        <v/>
      </c>
      <c r="H128" s="12"/>
      <c r="I128" s="11" t="str">
        <f aca="false">IF(OR($C128="",H128="",G128="UPC Not Found"),"",H128-G128)</f>
        <v/>
      </c>
      <c r="J128" s="9" t="str">
        <f aca="false">IF($C128="","",IF(H128="","Not Counted",IF(I128=0,"Match",IF(I128&gt;0,"Overage","Shortage"))))</f>
        <v/>
      </c>
      <c r="K128" s="9" t="str">
        <f aca="false">IF($C128="","",IF(AND(K128&lt;&gt;"",K128&lt;&gt;0),K128,$B$4))</f>
        <v/>
      </c>
      <c r="L128" s="13"/>
      <c r="M128" s="13"/>
      <c r="N128" s="13"/>
    </row>
    <row r="129" customFormat="false" ht="15" hidden="false" customHeight="false" outlineLevel="0" collapsed="false">
      <c r="A129" s="8" t="str">
        <f aca="true">IF($C129="","",IF(AND(A129&lt;&gt;"",A129&lt;&gt;0),A129,TODAY()))</f>
        <v/>
      </c>
      <c r="B129" s="9" t="str">
        <f aca="false">IF($C129="","",IF(AND(B129&lt;&gt;"",B129&lt;&gt;0),B129,$E$4))</f>
        <v/>
      </c>
      <c r="C129" s="10"/>
      <c r="D129" s="9" t="str">
        <f aca="false">IF($C129="","",IF(AND(D129&lt;&gt;"",D129&lt;&gt;0,D129&lt;&gt;"UPC Not Found"),D129,IFERROR(INDEX('Product Master'!$B$2:$B$200,MATCH($C129,'Product Master'!$A$2:$A$200,0)),"UPC Not Found")))</f>
        <v/>
      </c>
      <c r="E129" s="9" t="str">
        <f aca="false">IF($C129="","",IF(AND(E129&lt;&gt;"",E129&lt;&gt;0,E129&lt;&gt;"UPC Not Found"),E129,IFERROR(INDEX('Product Master'!$C$2:$C$200,MATCH($C129,'Product Master'!$A$2:$A$200,0)),"UPC Not Found")))</f>
        <v/>
      </c>
      <c r="F129" s="9" t="str">
        <f aca="false">IF($C129="","",IF(AND(F129&lt;&gt;"",F129&lt;&gt;0,F129&lt;&gt;"UPC Not Found"),F129,IFERROR(INDEX('Product Master'!$D$2:$D$200,MATCH($C129,'Product Master'!$A$2:$A$200,0)),"UPC Not Found")))</f>
        <v/>
      </c>
      <c r="G129" s="11" t="str">
        <f aca="false">IF($C129="","",IF(AND(G129&lt;&gt;"",G129&lt;&gt;0,G129&lt;&gt;"UPC Not Found"),G129,IFERROR(INDEX('Product Master'!$E$2:$E$200,MATCH($C129,'Product Master'!$A$2:$A$200,0)),"UPC Not Found")))</f>
        <v/>
      </c>
      <c r="H129" s="12"/>
      <c r="I129" s="11" t="str">
        <f aca="false">IF(OR($C129="",H129="",G129="UPC Not Found"),"",H129-G129)</f>
        <v/>
      </c>
      <c r="J129" s="9" t="str">
        <f aca="false">IF($C129="","",IF(H129="","Not Counted",IF(I129=0,"Match",IF(I129&gt;0,"Overage","Shortage"))))</f>
        <v/>
      </c>
      <c r="K129" s="9" t="str">
        <f aca="false">IF($C129="","",IF(AND(K129&lt;&gt;"",K129&lt;&gt;0),K129,$B$4))</f>
        <v/>
      </c>
      <c r="L129" s="13"/>
      <c r="M129" s="13"/>
      <c r="N129" s="13"/>
    </row>
    <row r="130" customFormat="false" ht="15" hidden="false" customHeight="false" outlineLevel="0" collapsed="false">
      <c r="A130" s="8" t="str">
        <f aca="true">IF($C130="","",IF(AND(A130&lt;&gt;"",A130&lt;&gt;0),A130,TODAY()))</f>
        <v/>
      </c>
      <c r="B130" s="9" t="str">
        <f aca="false">IF($C130="","",IF(AND(B130&lt;&gt;"",B130&lt;&gt;0),B130,$E$4))</f>
        <v/>
      </c>
      <c r="C130" s="10"/>
      <c r="D130" s="9" t="str">
        <f aca="false">IF($C130="","",IF(AND(D130&lt;&gt;"",D130&lt;&gt;0,D130&lt;&gt;"UPC Not Found"),D130,IFERROR(INDEX('Product Master'!$B$2:$B$200,MATCH($C130,'Product Master'!$A$2:$A$200,0)),"UPC Not Found")))</f>
        <v/>
      </c>
      <c r="E130" s="9" t="str">
        <f aca="false">IF($C130="","",IF(AND(E130&lt;&gt;"",E130&lt;&gt;0,E130&lt;&gt;"UPC Not Found"),E130,IFERROR(INDEX('Product Master'!$C$2:$C$200,MATCH($C130,'Product Master'!$A$2:$A$200,0)),"UPC Not Found")))</f>
        <v/>
      </c>
      <c r="F130" s="9" t="str">
        <f aca="false">IF($C130="","",IF(AND(F130&lt;&gt;"",F130&lt;&gt;0,F130&lt;&gt;"UPC Not Found"),F130,IFERROR(INDEX('Product Master'!$D$2:$D$200,MATCH($C130,'Product Master'!$A$2:$A$200,0)),"UPC Not Found")))</f>
        <v/>
      </c>
      <c r="G130" s="11" t="str">
        <f aca="false">IF($C130="","",IF(AND(G130&lt;&gt;"",G130&lt;&gt;0,G130&lt;&gt;"UPC Not Found"),G130,IFERROR(INDEX('Product Master'!$E$2:$E$200,MATCH($C130,'Product Master'!$A$2:$A$200,0)),"UPC Not Found")))</f>
        <v/>
      </c>
      <c r="H130" s="12"/>
      <c r="I130" s="11" t="str">
        <f aca="false">IF(OR($C130="",H130="",G130="UPC Not Found"),"",H130-G130)</f>
        <v/>
      </c>
      <c r="J130" s="9" t="str">
        <f aca="false">IF($C130="","",IF(H130="","Not Counted",IF(I130=0,"Match",IF(I130&gt;0,"Overage","Shortage"))))</f>
        <v/>
      </c>
      <c r="K130" s="9" t="str">
        <f aca="false">IF($C130="","",IF(AND(K130&lt;&gt;"",K130&lt;&gt;0),K130,$B$4))</f>
        <v/>
      </c>
      <c r="L130" s="13"/>
      <c r="M130" s="13"/>
      <c r="N130" s="13"/>
    </row>
    <row r="131" customFormat="false" ht="15" hidden="false" customHeight="false" outlineLevel="0" collapsed="false">
      <c r="A131" s="8" t="str">
        <f aca="true">IF($C131="","",IF(AND(A131&lt;&gt;"",A131&lt;&gt;0),A131,TODAY()))</f>
        <v/>
      </c>
      <c r="B131" s="9" t="str">
        <f aca="false">IF($C131="","",IF(AND(B131&lt;&gt;"",B131&lt;&gt;0),B131,$E$4))</f>
        <v/>
      </c>
      <c r="C131" s="10"/>
      <c r="D131" s="9" t="str">
        <f aca="false">IF($C131="","",IF(AND(D131&lt;&gt;"",D131&lt;&gt;0,D131&lt;&gt;"UPC Not Found"),D131,IFERROR(INDEX('Product Master'!$B$2:$B$200,MATCH($C131,'Product Master'!$A$2:$A$200,0)),"UPC Not Found")))</f>
        <v/>
      </c>
      <c r="E131" s="9" t="str">
        <f aca="false">IF($C131="","",IF(AND(E131&lt;&gt;"",E131&lt;&gt;0,E131&lt;&gt;"UPC Not Found"),E131,IFERROR(INDEX('Product Master'!$C$2:$C$200,MATCH($C131,'Product Master'!$A$2:$A$200,0)),"UPC Not Found")))</f>
        <v/>
      </c>
      <c r="F131" s="9" t="str">
        <f aca="false">IF($C131="","",IF(AND(F131&lt;&gt;"",F131&lt;&gt;0,F131&lt;&gt;"UPC Not Found"),F131,IFERROR(INDEX('Product Master'!$D$2:$D$200,MATCH($C131,'Product Master'!$A$2:$A$200,0)),"UPC Not Found")))</f>
        <v/>
      </c>
      <c r="G131" s="11" t="str">
        <f aca="false">IF($C131="","",IF(AND(G131&lt;&gt;"",G131&lt;&gt;0,G131&lt;&gt;"UPC Not Found"),G131,IFERROR(INDEX('Product Master'!$E$2:$E$200,MATCH($C131,'Product Master'!$A$2:$A$200,0)),"UPC Not Found")))</f>
        <v/>
      </c>
      <c r="H131" s="12"/>
      <c r="I131" s="11" t="str">
        <f aca="false">IF(OR($C131="",H131="",G131="UPC Not Found"),"",H131-G131)</f>
        <v/>
      </c>
      <c r="J131" s="9" t="str">
        <f aca="false">IF($C131="","",IF(H131="","Not Counted",IF(I131=0,"Match",IF(I131&gt;0,"Overage","Shortage"))))</f>
        <v/>
      </c>
      <c r="K131" s="9" t="str">
        <f aca="false">IF($C131="","",IF(AND(K131&lt;&gt;"",K131&lt;&gt;0),K131,$B$4))</f>
        <v/>
      </c>
      <c r="L131" s="13"/>
      <c r="M131" s="13"/>
      <c r="N131" s="13"/>
    </row>
    <row r="132" customFormat="false" ht="15" hidden="false" customHeight="false" outlineLevel="0" collapsed="false">
      <c r="A132" s="8" t="str">
        <f aca="true">IF($C132="","",IF(AND(A132&lt;&gt;"",A132&lt;&gt;0),A132,TODAY()))</f>
        <v/>
      </c>
      <c r="B132" s="9" t="str">
        <f aca="false">IF($C132="","",IF(AND(B132&lt;&gt;"",B132&lt;&gt;0),B132,$E$4))</f>
        <v/>
      </c>
      <c r="C132" s="10"/>
      <c r="D132" s="9" t="str">
        <f aca="false">IF($C132="","",IF(AND(D132&lt;&gt;"",D132&lt;&gt;0,D132&lt;&gt;"UPC Not Found"),D132,IFERROR(INDEX('Product Master'!$B$2:$B$200,MATCH($C132,'Product Master'!$A$2:$A$200,0)),"UPC Not Found")))</f>
        <v/>
      </c>
      <c r="E132" s="9" t="str">
        <f aca="false">IF($C132="","",IF(AND(E132&lt;&gt;"",E132&lt;&gt;0,E132&lt;&gt;"UPC Not Found"),E132,IFERROR(INDEX('Product Master'!$C$2:$C$200,MATCH($C132,'Product Master'!$A$2:$A$200,0)),"UPC Not Found")))</f>
        <v/>
      </c>
      <c r="F132" s="9" t="str">
        <f aca="false">IF($C132="","",IF(AND(F132&lt;&gt;"",F132&lt;&gt;0,F132&lt;&gt;"UPC Not Found"),F132,IFERROR(INDEX('Product Master'!$D$2:$D$200,MATCH($C132,'Product Master'!$A$2:$A$200,0)),"UPC Not Found")))</f>
        <v/>
      </c>
      <c r="G132" s="11" t="str">
        <f aca="false">IF($C132="","",IF(AND(G132&lt;&gt;"",G132&lt;&gt;0,G132&lt;&gt;"UPC Not Found"),G132,IFERROR(INDEX('Product Master'!$E$2:$E$200,MATCH($C132,'Product Master'!$A$2:$A$200,0)),"UPC Not Found")))</f>
        <v/>
      </c>
      <c r="H132" s="12"/>
      <c r="I132" s="11" t="str">
        <f aca="false">IF(OR($C132="",H132="",G132="UPC Not Found"),"",H132-G132)</f>
        <v/>
      </c>
      <c r="J132" s="9" t="str">
        <f aca="false">IF($C132="","",IF(H132="","Not Counted",IF(I132=0,"Match",IF(I132&gt;0,"Overage","Shortage"))))</f>
        <v/>
      </c>
      <c r="K132" s="9" t="str">
        <f aca="false">IF($C132="","",IF(AND(K132&lt;&gt;"",K132&lt;&gt;0),K132,$B$4))</f>
        <v/>
      </c>
      <c r="L132" s="13"/>
      <c r="M132" s="13"/>
      <c r="N132" s="13"/>
    </row>
    <row r="133" customFormat="false" ht="15" hidden="false" customHeight="false" outlineLevel="0" collapsed="false">
      <c r="A133" s="8" t="str">
        <f aca="true">IF($C133="","",IF(AND(A133&lt;&gt;"",A133&lt;&gt;0),A133,TODAY()))</f>
        <v/>
      </c>
      <c r="B133" s="9" t="str">
        <f aca="false">IF($C133="","",IF(AND(B133&lt;&gt;"",B133&lt;&gt;0),B133,$E$4))</f>
        <v/>
      </c>
      <c r="C133" s="10"/>
      <c r="D133" s="9" t="str">
        <f aca="false">IF($C133="","",IF(AND(D133&lt;&gt;"",D133&lt;&gt;0,D133&lt;&gt;"UPC Not Found"),D133,IFERROR(INDEX('Product Master'!$B$2:$B$200,MATCH($C133,'Product Master'!$A$2:$A$200,0)),"UPC Not Found")))</f>
        <v/>
      </c>
      <c r="E133" s="9" t="str">
        <f aca="false">IF($C133="","",IF(AND(E133&lt;&gt;"",E133&lt;&gt;0,E133&lt;&gt;"UPC Not Found"),E133,IFERROR(INDEX('Product Master'!$C$2:$C$200,MATCH($C133,'Product Master'!$A$2:$A$200,0)),"UPC Not Found")))</f>
        <v/>
      </c>
      <c r="F133" s="9" t="str">
        <f aca="false">IF($C133="","",IF(AND(F133&lt;&gt;"",F133&lt;&gt;0,F133&lt;&gt;"UPC Not Found"),F133,IFERROR(INDEX('Product Master'!$D$2:$D$200,MATCH($C133,'Product Master'!$A$2:$A$200,0)),"UPC Not Found")))</f>
        <v/>
      </c>
      <c r="G133" s="11" t="str">
        <f aca="false">IF($C133="","",IF(AND(G133&lt;&gt;"",G133&lt;&gt;0,G133&lt;&gt;"UPC Not Found"),G133,IFERROR(INDEX('Product Master'!$E$2:$E$200,MATCH($C133,'Product Master'!$A$2:$A$200,0)),"UPC Not Found")))</f>
        <v/>
      </c>
      <c r="H133" s="12"/>
      <c r="I133" s="11" t="str">
        <f aca="false">IF(OR($C133="",H133="",G133="UPC Not Found"),"",H133-G133)</f>
        <v/>
      </c>
      <c r="J133" s="9" t="str">
        <f aca="false">IF($C133="","",IF(H133="","Not Counted",IF(I133=0,"Match",IF(I133&gt;0,"Overage","Shortage"))))</f>
        <v/>
      </c>
      <c r="K133" s="9" t="str">
        <f aca="false">IF($C133="","",IF(AND(K133&lt;&gt;"",K133&lt;&gt;0),K133,$B$4))</f>
        <v/>
      </c>
      <c r="L133" s="13"/>
      <c r="M133" s="13"/>
      <c r="N133" s="13"/>
    </row>
    <row r="134" customFormat="false" ht="15" hidden="false" customHeight="false" outlineLevel="0" collapsed="false">
      <c r="A134" s="8" t="str">
        <f aca="true">IF($C134="","",IF(AND(A134&lt;&gt;"",A134&lt;&gt;0),A134,TODAY()))</f>
        <v/>
      </c>
      <c r="B134" s="9" t="str">
        <f aca="false">IF($C134="","",IF(AND(B134&lt;&gt;"",B134&lt;&gt;0),B134,$E$4))</f>
        <v/>
      </c>
      <c r="C134" s="10"/>
      <c r="D134" s="9" t="str">
        <f aca="false">IF($C134="","",IF(AND(D134&lt;&gt;"",D134&lt;&gt;0,D134&lt;&gt;"UPC Not Found"),D134,IFERROR(INDEX('Product Master'!$B$2:$B$200,MATCH($C134,'Product Master'!$A$2:$A$200,0)),"UPC Not Found")))</f>
        <v/>
      </c>
      <c r="E134" s="9" t="str">
        <f aca="false">IF($C134="","",IF(AND(E134&lt;&gt;"",E134&lt;&gt;0,E134&lt;&gt;"UPC Not Found"),E134,IFERROR(INDEX('Product Master'!$C$2:$C$200,MATCH($C134,'Product Master'!$A$2:$A$200,0)),"UPC Not Found")))</f>
        <v/>
      </c>
      <c r="F134" s="9" t="str">
        <f aca="false">IF($C134="","",IF(AND(F134&lt;&gt;"",F134&lt;&gt;0,F134&lt;&gt;"UPC Not Found"),F134,IFERROR(INDEX('Product Master'!$D$2:$D$200,MATCH($C134,'Product Master'!$A$2:$A$200,0)),"UPC Not Found")))</f>
        <v/>
      </c>
      <c r="G134" s="11" t="str">
        <f aca="false">IF($C134="","",IF(AND(G134&lt;&gt;"",G134&lt;&gt;0,G134&lt;&gt;"UPC Not Found"),G134,IFERROR(INDEX('Product Master'!$E$2:$E$200,MATCH($C134,'Product Master'!$A$2:$A$200,0)),"UPC Not Found")))</f>
        <v/>
      </c>
      <c r="H134" s="12"/>
      <c r="I134" s="11" t="str">
        <f aca="false">IF(OR($C134="",H134="",G134="UPC Not Found"),"",H134-G134)</f>
        <v/>
      </c>
      <c r="J134" s="9" t="str">
        <f aca="false">IF($C134="","",IF(H134="","Not Counted",IF(I134=0,"Match",IF(I134&gt;0,"Overage","Shortage"))))</f>
        <v/>
      </c>
      <c r="K134" s="9" t="str">
        <f aca="false">IF($C134="","",IF(AND(K134&lt;&gt;"",K134&lt;&gt;0),K134,$B$4))</f>
        <v/>
      </c>
      <c r="L134" s="13"/>
      <c r="M134" s="13"/>
      <c r="N134" s="13"/>
    </row>
    <row r="135" customFormat="false" ht="15" hidden="false" customHeight="false" outlineLevel="0" collapsed="false">
      <c r="A135" s="8" t="str">
        <f aca="true">IF($C135="","",IF(AND(A135&lt;&gt;"",A135&lt;&gt;0),A135,TODAY()))</f>
        <v/>
      </c>
      <c r="B135" s="9" t="str">
        <f aca="false">IF($C135="","",IF(AND(B135&lt;&gt;"",B135&lt;&gt;0),B135,$E$4))</f>
        <v/>
      </c>
      <c r="C135" s="10"/>
      <c r="D135" s="9" t="str">
        <f aca="false">IF($C135="","",IF(AND(D135&lt;&gt;"",D135&lt;&gt;0,D135&lt;&gt;"UPC Not Found"),D135,IFERROR(INDEX('Product Master'!$B$2:$B$200,MATCH($C135,'Product Master'!$A$2:$A$200,0)),"UPC Not Found")))</f>
        <v/>
      </c>
      <c r="E135" s="9" t="str">
        <f aca="false">IF($C135="","",IF(AND(E135&lt;&gt;"",E135&lt;&gt;0,E135&lt;&gt;"UPC Not Found"),E135,IFERROR(INDEX('Product Master'!$C$2:$C$200,MATCH($C135,'Product Master'!$A$2:$A$200,0)),"UPC Not Found")))</f>
        <v/>
      </c>
      <c r="F135" s="9" t="str">
        <f aca="false">IF($C135="","",IF(AND(F135&lt;&gt;"",F135&lt;&gt;0,F135&lt;&gt;"UPC Not Found"),F135,IFERROR(INDEX('Product Master'!$D$2:$D$200,MATCH($C135,'Product Master'!$A$2:$A$200,0)),"UPC Not Found")))</f>
        <v/>
      </c>
      <c r="G135" s="11" t="str">
        <f aca="false">IF($C135="","",IF(AND(G135&lt;&gt;"",G135&lt;&gt;0,G135&lt;&gt;"UPC Not Found"),G135,IFERROR(INDEX('Product Master'!$E$2:$E$200,MATCH($C135,'Product Master'!$A$2:$A$200,0)),"UPC Not Found")))</f>
        <v/>
      </c>
      <c r="H135" s="12"/>
      <c r="I135" s="11" t="str">
        <f aca="false">IF(OR($C135="",H135="",G135="UPC Not Found"),"",H135-G135)</f>
        <v/>
      </c>
      <c r="J135" s="9" t="str">
        <f aca="false">IF($C135="","",IF(H135="","Not Counted",IF(I135=0,"Match",IF(I135&gt;0,"Overage","Shortage"))))</f>
        <v/>
      </c>
      <c r="K135" s="9" t="str">
        <f aca="false">IF($C135="","",IF(AND(K135&lt;&gt;"",K135&lt;&gt;0),K135,$B$4))</f>
        <v/>
      </c>
      <c r="L135" s="13"/>
      <c r="M135" s="13"/>
      <c r="N135" s="13"/>
    </row>
    <row r="136" customFormat="false" ht="15" hidden="false" customHeight="false" outlineLevel="0" collapsed="false">
      <c r="A136" s="8" t="str">
        <f aca="true">IF($C136="","",IF(AND(A136&lt;&gt;"",A136&lt;&gt;0),A136,TODAY()))</f>
        <v/>
      </c>
      <c r="B136" s="9" t="str">
        <f aca="false">IF($C136="","",IF(AND(B136&lt;&gt;"",B136&lt;&gt;0),B136,$E$4))</f>
        <v/>
      </c>
      <c r="C136" s="10"/>
      <c r="D136" s="9" t="str">
        <f aca="false">IF($C136="","",IF(AND(D136&lt;&gt;"",D136&lt;&gt;0,D136&lt;&gt;"UPC Not Found"),D136,IFERROR(INDEX('Product Master'!$B$2:$B$200,MATCH($C136,'Product Master'!$A$2:$A$200,0)),"UPC Not Found")))</f>
        <v/>
      </c>
      <c r="E136" s="9" t="str">
        <f aca="false">IF($C136="","",IF(AND(E136&lt;&gt;"",E136&lt;&gt;0,E136&lt;&gt;"UPC Not Found"),E136,IFERROR(INDEX('Product Master'!$C$2:$C$200,MATCH($C136,'Product Master'!$A$2:$A$200,0)),"UPC Not Found")))</f>
        <v/>
      </c>
      <c r="F136" s="9" t="str">
        <f aca="false">IF($C136="","",IF(AND(F136&lt;&gt;"",F136&lt;&gt;0,F136&lt;&gt;"UPC Not Found"),F136,IFERROR(INDEX('Product Master'!$D$2:$D$200,MATCH($C136,'Product Master'!$A$2:$A$200,0)),"UPC Not Found")))</f>
        <v/>
      </c>
      <c r="G136" s="11" t="str">
        <f aca="false">IF($C136="","",IF(AND(G136&lt;&gt;"",G136&lt;&gt;0,G136&lt;&gt;"UPC Not Found"),G136,IFERROR(INDEX('Product Master'!$E$2:$E$200,MATCH($C136,'Product Master'!$A$2:$A$200,0)),"UPC Not Found")))</f>
        <v/>
      </c>
      <c r="H136" s="12"/>
      <c r="I136" s="11" t="str">
        <f aca="false">IF(OR($C136="",H136="",G136="UPC Not Found"),"",H136-G136)</f>
        <v/>
      </c>
      <c r="J136" s="9" t="str">
        <f aca="false">IF($C136="","",IF(H136="","Not Counted",IF(I136=0,"Match",IF(I136&gt;0,"Overage","Shortage"))))</f>
        <v/>
      </c>
      <c r="K136" s="9" t="str">
        <f aca="false">IF($C136="","",IF(AND(K136&lt;&gt;"",K136&lt;&gt;0),K136,$B$4))</f>
        <v/>
      </c>
      <c r="L136" s="13"/>
      <c r="M136" s="13"/>
      <c r="N136" s="13"/>
    </row>
    <row r="137" customFormat="false" ht="15" hidden="false" customHeight="false" outlineLevel="0" collapsed="false">
      <c r="A137" s="8" t="str">
        <f aca="true">IF($C137="","",IF(AND(A137&lt;&gt;"",A137&lt;&gt;0),A137,TODAY()))</f>
        <v/>
      </c>
      <c r="B137" s="9" t="str">
        <f aca="false">IF($C137="","",IF(AND(B137&lt;&gt;"",B137&lt;&gt;0),B137,$E$4))</f>
        <v/>
      </c>
      <c r="C137" s="10"/>
      <c r="D137" s="9" t="str">
        <f aca="false">IF($C137="","",IF(AND(D137&lt;&gt;"",D137&lt;&gt;0,D137&lt;&gt;"UPC Not Found"),D137,IFERROR(INDEX('Product Master'!$B$2:$B$200,MATCH($C137,'Product Master'!$A$2:$A$200,0)),"UPC Not Found")))</f>
        <v/>
      </c>
      <c r="E137" s="9" t="str">
        <f aca="false">IF($C137="","",IF(AND(E137&lt;&gt;"",E137&lt;&gt;0,E137&lt;&gt;"UPC Not Found"),E137,IFERROR(INDEX('Product Master'!$C$2:$C$200,MATCH($C137,'Product Master'!$A$2:$A$200,0)),"UPC Not Found")))</f>
        <v/>
      </c>
      <c r="F137" s="9" t="str">
        <f aca="false">IF($C137="","",IF(AND(F137&lt;&gt;"",F137&lt;&gt;0,F137&lt;&gt;"UPC Not Found"),F137,IFERROR(INDEX('Product Master'!$D$2:$D$200,MATCH($C137,'Product Master'!$A$2:$A$200,0)),"UPC Not Found")))</f>
        <v/>
      </c>
      <c r="G137" s="11" t="str">
        <f aca="false">IF($C137="","",IF(AND(G137&lt;&gt;"",G137&lt;&gt;0,G137&lt;&gt;"UPC Not Found"),G137,IFERROR(INDEX('Product Master'!$E$2:$E$200,MATCH($C137,'Product Master'!$A$2:$A$200,0)),"UPC Not Found")))</f>
        <v/>
      </c>
      <c r="H137" s="12"/>
      <c r="I137" s="11" t="str">
        <f aca="false">IF(OR($C137="",H137="",G137="UPC Not Found"),"",H137-G137)</f>
        <v/>
      </c>
      <c r="J137" s="9" t="str">
        <f aca="false">IF($C137="","",IF(H137="","Not Counted",IF(I137=0,"Match",IF(I137&gt;0,"Overage","Shortage"))))</f>
        <v/>
      </c>
      <c r="K137" s="9" t="str">
        <f aca="false">IF($C137="","",IF(AND(K137&lt;&gt;"",K137&lt;&gt;0),K137,$B$4))</f>
        <v/>
      </c>
      <c r="L137" s="13"/>
      <c r="M137" s="13"/>
      <c r="N137" s="13"/>
    </row>
    <row r="138" customFormat="false" ht="15" hidden="false" customHeight="false" outlineLevel="0" collapsed="false">
      <c r="A138" s="8" t="str">
        <f aca="true">IF($C138="","",IF(AND(A138&lt;&gt;"",A138&lt;&gt;0),A138,TODAY()))</f>
        <v/>
      </c>
      <c r="B138" s="9" t="str">
        <f aca="false">IF($C138="","",IF(AND(B138&lt;&gt;"",B138&lt;&gt;0),B138,$E$4))</f>
        <v/>
      </c>
      <c r="C138" s="10"/>
      <c r="D138" s="9" t="str">
        <f aca="false">IF($C138="","",IF(AND(D138&lt;&gt;"",D138&lt;&gt;0,D138&lt;&gt;"UPC Not Found"),D138,IFERROR(INDEX('Product Master'!$B$2:$B$200,MATCH($C138,'Product Master'!$A$2:$A$200,0)),"UPC Not Found")))</f>
        <v/>
      </c>
      <c r="E138" s="9" t="str">
        <f aca="false">IF($C138="","",IF(AND(E138&lt;&gt;"",E138&lt;&gt;0,E138&lt;&gt;"UPC Not Found"),E138,IFERROR(INDEX('Product Master'!$C$2:$C$200,MATCH($C138,'Product Master'!$A$2:$A$200,0)),"UPC Not Found")))</f>
        <v/>
      </c>
      <c r="F138" s="9" t="str">
        <f aca="false">IF($C138="","",IF(AND(F138&lt;&gt;"",F138&lt;&gt;0,F138&lt;&gt;"UPC Not Found"),F138,IFERROR(INDEX('Product Master'!$D$2:$D$200,MATCH($C138,'Product Master'!$A$2:$A$200,0)),"UPC Not Found")))</f>
        <v/>
      </c>
      <c r="G138" s="11" t="str">
        <f aca="false">IF($C138="","",IF(AND(G138&lt;&gt;"",G138&lt;&gt;0,G138&lt;&gt;"UPC Not Found"),G138,IFERROR(INDEX('Product Master'!$E$2:$E$200,MATCH($C138,'Product Master'!$A$2:$A$200,0)),"UPC Not Found")))</f>
        <v/>
      </c>
      <c r="H138" s="12"/>
      <c r="I138" s="11" t="str">
        <f aca="false">IF(OR($C138="",H138="",G138="UPC Not Found"),"",H138-G138)</f>
        <v/>
      </c>
      <c r="J138" s="9" t="str">
        <f aca="false">IF($C138="","",IF(H138="","Not Counted",IF(I138=0,"Match",IF(I138&gt;0,"Overage","Shortage"))))</f>
        <v/>
      </c>
      <c r="K138" s="9" t="str">
        <f aca="false">IF($C138="","",IF(AND(K138&lt;&gt;"",K138&lt;&gt;0),K138,$B$4))</f>
        <v/>
      </c>
      <c r="L138" s="13"/>
      <c r="M138" s="13"/>
      <c r="N138" s="13"/>
    </row>
    <row r="139" customFormat="false" ht="15" hidden="false" customHeight="false" outlineLevel="0" collapsed="false">
      <c r="A139" s="8" t="str">
        <f aca="true">IF($C139="","",IF(AND(A139&lt;&gt;"",A139&lt;&gt;0),A139,TODAY()))</f>
        <v/>
      </c>
      <c r="B139" s="9" t="str">
        <f aca="false">IF($C139="","",IF(AND(B139&lt;&gt;"",B139&lt;&gt;0),B139,$E$4))</f>
        <v/>
      </c>
      <c r="C139" s="10"/>
      <c r="D139" s="9" t="str">
        <f aca="false">IF($C139="","",IF(AND(D139&lt;&gt;"",D139&lt;&gt;0,D139&lt;&gt;"UPC Not Found"),D139,IFERROR(INDEX('Product Master'!$B$2:$B$200,MATCH($C139,'Product Master'!$A$2:$A$200,0)),"UPC Not Found")))</f>
        <v/>
      </c>
      <c r="E139" s="9" t="str">
        <f aca="false">IF($C139="","",IF(AND(E139&lt;&gt;"",E139&lt;&gt;0,E139&lt;&gt;"UPC Not Found"),E139,IFERROR(INDEX('Product Master'!$C$2:$C$200,MATCH($C139,'Product Master'!$A$2:$A$200,0)),"UPC Not Found")))</f>
        <v/>
      </c>
      <c r="F139" s="9" t="str">
        <f aca="false">IF($C139="","",IF(AND(F139&lt;&gt;"",F139&lt;&gt;0,F139&lt;&gt;"UPC Not Found"),F139,IFERROR(INDEX('Product Master'!$D$2:$D$200,MATCH($C139,'Product Master'!$A$2:$A$200,0)),"UPC Not Found")))</f>
        <v/>
      </c>
      <c r="G139" s="11" t="str">
        <f aca="false">IF($C139="","",IF(AND(G139&lt;&gt;"",G139&lt;&gt;0,G139&lt;&gt;"UPC Not Found"),G139,IFERROR(INDEX('Product Master'!$E$2:$E$200,MATCH($C139,'Product Master'!$A$2:$A$200,0)),"UPC Not Found")))</f>
        <v/>
      </c>
      <c r="H139" s="12"/>
      <c r="I139" s="11" t="str">
        <f aca="false">IF(OR($C139="",H139="",G139="UPC Not Found"),"",H139-G139)</f>
        <v/>
      </c>
      <c r="J139" s="9" t="str">
        <f aca="false">IF($C139="","",IF(H139="","Not Counted",IF(I139=0,"Match",IF(I139&gt;0,"Overage","Shortage"))))</f>
        <v/>
      </c>
      <c r="K139" s="9" t="str">
        <f aca="false">IF($C139="","",IF(AND(K139&lt;&gt;"",K139&lt;&gt;0),K139,$B$4))</f>
        <v/>
      </c>
      <c r="L139" s="13"/>
      <c r="M139" s="13"/>
      <c r="N139" s="13"/>
    </row>
    <row r="140" customFormat="false" ht="15" hidden="false" customHeight="false" outlineLevel="0" collapsed="false">
      <c r="A140" s="8" t="str">
        <f aca="true">IF($C140="","",IF(AND(A140&lt;&gt;"",A140&lt;&gt;0),A140,TODAY()))</f>
        <v/>
      </c>
      <c r="B140" s="9" t="str">
        <f aca="false">IF($C140="","",IF(AND(B140&lt;&gt;"",B140&lt;&gt;0),B140,$E$4))</f>
        <v/>
      </c>
      <c r="C140" s="10"/>
      <c r="D140" s="9" t="str">
        <f aca="false">IF($C140="","",IF(AND(D140&lt;&gt;"",D140&lt;&gt;0,D140&lt;&gt;"UPC Not Found"),D140,IFERROR(INDEX('Product Master'!$B$2:$B$200,MATCH($C140,'Product Master'!$A$2:$A$200,0)),"UPC Not Found")))</f>
        <v/>
      </c>
      <c r="E140" s="9" t="str">
        <f aca="false">IF($C140="","",IF(AND(E140&lt;&gt;"",E140&lt;&gt;0,E140&lt;&gt;"UPC Not Found"),E140,IFERROR(INDEX('Product Master'!$C$2:$C$200,MATCH($C140,'Product Master'!$A$2:$A$200,0)),"UPC Not Found")))</f>
        <v/>
      </c>
      <c r="F140" s="9" t="str">
        <f aca="false">IF($C140="","",IF(AND(F140&lt;&gt;"",F140&lt;&gt;0,F140&lt;&gt;"UPC Not Found"),F140,IFERROR(INDEX('Product Master'!$D$2:$D$200,MATCH($C140,'Product Master'!$A$2:$A$200,0)),"UPC Not Found")))</f>
        <v/>
      </c>
      <c r="G140" s="11" t="str">
        <f aca="false">IF($C140="","",IF(AND(G140&lt;&gt;"",G140&lt;&gt;0,G140&lt;&gt;"UPC Not Found"),G140,IFERROR(INDEX('Product Master'!$E$2:$E$200,MATCH($C140,'Product Master'!$A$2:$A$200,0)),"UPC Not Found")))</f>
        <v/>
      </c>
      <c r="H140" s="12"/>
      <c r="I140" s="11" t="str">
        <f aca="false">IF(OR($C140="",H140="",G140="UPC Not Found"),"",H140-G140)</f>
        <v/>
      </c>
      <c r="J140" s="9" t="str">
        <f aca="false">IF($C140="","",IF(H140="","Not Counted",IF(I140=0,"Match",IF(I140&gt;0,"Overage","Shortage"))))</f>
        <v/>
      </c>
      <c r="K140" s="9" t="str">
        <f aca="false">IF($C140="","",IF(AND(K140&lt;&gt;"",K140&lt;&gt;0),K140,$B$4))</f>
        <v/>
      </c>
      <c r="L140" s="13"/>
      <c r="M140" s="13"/>
      <c r="N140" s="13"/>
    </row>
    <row r="141" customFormat="false" ht="15" hidden="false" customHeight="false" outlineLevel="0" collapsed="false">
      <c r="A141" s="8" t="str">
        <f aca="true">IF($C141="","",IF(AND(A141&lt;&gt;"",A141&lt;&gt;0),A141,TODAY()))</f>
        <v/>
      </c>
      <c r="B141" s="9" t="str">
        <f aca="false">IF($C141="","",IF(AND(B141&lt;&gt;"",B141&lt;&gt;0),B141,$E$4))</f>
        <v/>
      </c>
      <c r="C141" s="10"/>
      <c r="D141" s="9" t="str">
        <f aca="false">IF($C141="","",IF(AND(D141&lt;&gt;"",D141&lt;&gt;0,D141&lt;&gt;"UPC Not Found"),D141,IFERROR(INDEX('Product Master'!$B$2:$B$200,MATCH($C141,'Product Master'!$A$2:$A$200,0)),"UPC Not Found")))</f>
        <v/>
      </c>
      <c r="E141" s="9" t="str">
        <f aca="false">IF($C141="","",IF(AND(E141&lt;&gt;"",E141&lt;&gt;0,E141&lt;&gt;"UPC Not Found"),E141,IFERROR(INDEX('Product Master'!$C$2:$C$200,MATCH($C141,'Product Master'!$A$2:$A$200,0)),"UPC Not Found")))</f>
        <v/>
      </c>
      <c r="F141" s="9" t="str">
        <f aca="false">IF($C141="","",IF(AND(F141&lt;&gt;"",F141&lt;&gt;0,F141&lt;&gt;"UPC Not Found"),F141,IFERROR(INDEX('Product Master'!$D$2:$D$200,MATCH($C141,'Product Master'!$A$2:$A$200,0)),"UPC Not Found")))</f>
        <v/>
      </c>
      <c r="G141" s="11" t="str">
        <f aca="false">IF($C141="","",IF(AND(G141&lt;&gt;"",G141&lt;&gt;0,G141&lt;&gt;"UPC Not Found"),G141,IFERROR(INDEX('Product Master'!$E$2:$E$200,MATCH($C141,'Product Master'!$A$2:$A$200,0)),"UPC Not Found")))</f>
        <v/>
      </c>
      <c r="H141" s="12"/>
      <c r="I141" s="11" t="str">
        <f aca="false">IF(OR($C141="",H141="",G141="UPC Not Found"),"",H141-G141)</f>
        <v/>
      </c>
      <c r="J141" s="9" t="str">
        <f aca="false">IF($C141="","",IF(H141="","Not Counted",IF(I141=0,"Match",IF(I141&gt;0,"Overage","Shortage"))))</f>
        <v/>
      </c>
      <c r="K141" s="9" t="str">
        <f aca="false">IF($C141="","",IF(AND(K141&lt;&gt;"",K141&lt;&gt;0),K141,$B$4))</f>
        <v/>
      </c>
      <c r="L141" s="13"/>
      <c r="M141" s="13"/>
      <c r="N141" s="13"/>
    </row>
    <row r="142" customFormat="false" ht="15" hidden="false" customHeight="false" outlineLevel="0" collapsed="false">
      <c r="A142" s="8" t="str">
        <f aca="true">IF($C142="","",IF(AND(A142&lt;&gt;"",A142&lt;&gt;0),A142,TODAY()))</f>
        <v/>
      </c>
      <c r="B142" s="9" t="str">
        <f aca="false">IF($C142="","",IF(AND(B142&lt;&gt;"",B142&lt;&gt;0),B142,$E$4))</f>
        <v/>
      </c>
      <c r="C142" s="10"/>
      <c r="D142" s="9" t="str">
        <f aca="false">IF($C142="","",IF(AND(D142&lt;&gt;"",D142&lt;&gt;0,D142&lt;&gt;"UPC Not Found"),D142,IFERROR(INDEX('Product Master'!$B$2:$B$200,MATCH($C142,'Product Master'!$A$2:$A$200,0)),"UPC Not Found")))</f>
        <v/>
      </c>
      <c r="E142" s="9" t="str">
        <f aca="false">IF($C142="","",IF(AND(E142&lt;&gt;"",E142&lt;&gt;0,E142&lt;&gt;"UPC Not Found"),E142,IFERROR(INDEX('Product Master'!$C$2:$C$200,MATCH($C142,'Product Master'!$A$2:$A$200,0)),"UPC Not Found")))</f>
        <v/>
      </c>
      <c r="F142" s="9" t="str">
        <f aca="false">IF($C142="","",IF(AND(F142&lt;&gt;"",F142&lt;&gt;0,F142&lt;&gt;"UPC Not Found"),F142,IFERROR(INDEX('Product Master'!$D$2:$D$200,MATCH($C142,'Product Master'!$A$2:$A$200,0)),"UPC Not Found")))</f>
        <v/>
      </c>
      <c r="G142" s="11" t="str">
        <f aca="false">IF($C142="","",IF(AND(G142&lt;&gt;"",G142&lt;&gt;0,G142&lt;&gt;"UPC Not Found"),G142,IFERROR(INDEX('Product Master'!$E$2:$E$200,MATCH($C142,'Product Master'!$A$2:$A$200,0)),"UPC Not Found")))</f>
        <v/>
      </c>
      <c r="H142" s="12"/>
      <c r="I142" s="11" t="str">
        <f aca="false">IF(OR($C142="",H142="",G142="UPC Not Found"),"",H142-G142)</f>
        <v/>
      </c>
      <c r="J142" s="9" t="str">
        <f aca="false">IF($C142="","",IF(H142="","Not Counted",IF(I142=0,"Match",IF(I142&gt;0,"Overage","Shortage"))))</f>
        <v/>
      </c>
      <c r="K142" s="9" t="str">
        <f aca="false">IF($C142="","",IF(AND(K142&lt;&gt;"",K142&lt;&gt;0),K142,$B$4))</f>
        <v/>
      </c>
      <c r="L142" s="13"/>
      <c r="M142" s="13"/>
      <c r="N142" s="13"/>
    </row>
    <row r="143" customFormat="false" ht="15" hidden="false" customHeight="false" outlineLevel="0" collapsed="false">
      <c r="A143" s="8" t="str">
        <f aca="true">IF($C143="","",IF(AND(A143&lt;&gt;"",A143&lt;&gt;0),A143,TODAY()))</f>
        <v/>
      </c>
      <c r="B143" s="9" t="str">
        <f aca="false">IF($C143="","",IF(AND(B143&lt;&gt;"",B143&lt;&gt;0),B143,$E$4))</f>
        <v/>
      </c>
      <c r="C143" s="10"/>
      <c r="D143" s="9" t="str">
        <f aca="false">IF($C143="","",IF(AND(D143&lt;&gt;"",D143&lt;&gt;0,D143&lt;&gt;"UPC Not Found"),D143,IFERROR(INDEX('Product Master'!$B$2:$B$200,MATCH($C143,'Product Master'!$A$2:$A$200,0)),"UPC Not Found")))</f>
        <v/>
      </c>
      <c r="E143" s="9" t="str">
        <f aca="false">IF($C143="","",IF(AND(E143&lt;&gt;"",E143&lt;&gt;0,E143&lt;&gt;"UPC Not Found"),E143,IFERROR(INDEX('Product Master'!$C$2:$C$200,MATCH($C143,'Product Master'!$A$2:$A$200,0)),"UPC Not Found")))</f>
        <v/>
      </c>
      <c r="F143" s="9" t="str">
        <f aca="false">IF($C143="","",IF(AND(F143&lt;&gt;"",F143&lt;&gt;0,F143&lt;&gt;"UPC Not Found"),F143,IFERROR(INDEX('Product Master'!$D$2:$D$200,MATCH($C143,'Product Master'!$A$2:$A$200,0)),"UPC Not Found")))</f>
        <v/>
      </c>
      <c r="G143" s="11" t="str">
        <f aca="false">IF($C143="","",IF(AND(G143&lt;&gt;"",G143&lt;&gt;0,G143&lt;&gt;"UPC Not Found"),G143,IFERROR(INDEX('Product Master'!$E$2:$E$200,MATCH($C143,'Product Master'!$A$2:$A$200,0)),"UPC Not Found")))</f>
        <v/>
      </c>
      <c r="H143" s="12"/>
      <c r="I143" s="11" t="str">
        <f aca="false">IF(OR($C143="",H143="",G143="UPC Not Found"),"",H143-G143)</f>
        <v/>
      </c>
      <c r="J143" s="9" t="str">
        <f aca="false">IF($C143="","",IF(H143="","Not Counted",IF(I143=0,"Match",IF(I143&gt;0,"Overage","Shortage"))))</f>
        <v/>
      </c>
      <c r="K143" s="9" t="str">
        <f aca="false">IF($C143="","",IF(AND(K143&lt;&gt;"",K143&lt;&gt;0),K143,$B$4))</f>
        <v/>
      </c>
      <c r="L143" s="13"/>
      <c r="M143" s="13"/>
      <c r="N143" s="13"/>
    </row>
    <row r="144" customFormat="false" ht="15" hidden="false" customHeight="false" outlineLevel="0" collapsed="false">
      <c r="A144" s="8" t="str">
        <f aca="true">IF($C144="","",IF(AND(A144&lt;&gt;"",A144&lt;&gt;0),A144,TODAY()))</f>
        <v/>
      </c>
      <c r="B144" s="9" t="str">
        <f aca="false">IF($C144="","",IF(AND(B144&lt;&gt;"",B144&lt;&gt;0),B144,$E$4))</f>
        <v/>
      </c>
      <c r="C144" s="10"/>
      <c r="D144" s="9" t="str">
        <f aca="false">IF($C144="","",IF(AND(D144&lt;&gt;"",D144&lt;&gt;0,D144&lt;&gt;"UPC Not Found"),D144,IFERROR(INDEX('Product Master'!$B$2:$B$200,MATCH($C144,'Product Master'!$A$2:$A$200,0)),"UPC Not Found")))</f>
        <v/>
      </c>
      <c r="E144" s="9" t="str">
        <f aca="false">IF($C144="","",IF(AND(E144&lt;&gt;"",E144&lt;&gt;0,E144&lt;&gt;"UPC Not Found"),E144,IFERROR(INDEX('Product Master'!$C$2:$C$200,MATCH($C144,'Product Master'!$A$2:$A$200,0)),"UPC Not Found")))</f>
        <v/>
      </c>
      <c r="F144" s="9" t="str">
        <f aca="false">IF($C144="","",IF(AND(F144&lt;&gt;"",F144&lt;&gt;0,F144&lt;&gt;"UPC Not Found"),F144,IFERROR(INDEX('Product Master'!$D$2:$D$200,MATCH($C144,'Product Master'!$A$2:$A$200,0)),"UPC Not Found")))</f>
        <v/>
      </c>
      <c r="G144" s="11" t="str">
        <f aca="false">IF($C144="","",IF(AND(G144&lt;&gt;"",G144&lt;&gt;0,G144&lt;&gt;"UPC Not Found"),G144,IFERROR(INDEX('Product Master'!$E$2:$E$200,MATCH($C144,'Product Master'!$A$2:$A$200,0)),"UPC Not Found")))</f>
        <v/>
      </c>
      <c r="H144" s="12"/>
      <c r="I144" s="11" t="str">
        <f aca="false">IF(OR($C144="",H144="",G144="UPC Not Found"),"",H144-G144)</f>
        <v/>
      </c>
      <c r="J144" s="9" t="str">
        <f aca="false">IF($C144="","",IF(H144="","Not Counted",IF(I144=0,"Match",IF(I144&gt;0,"Overage","Shortage"))))</f>
        <v/>
      </c>
      <c r="K144" s="9" t="str">
        <f aca="false">IF($C144="","",IF(AND(K144&lt;&gt;"",K144&lt;&gt;0),K144,$B$4))</f>
        <v/>
      </c>
      <c r="L144" s="13"/>
      <c r="M144" s="13"/>
      <c r="N144" s="13"/>
    </row>
    <row r="145" customFormat="false" ht="15" hidden="false" customHeight="false" outlineLevel="0" collapsed="false">
      <c r="A145" s="8" t="str">
        <f aca="true">IF($C145="","",IF(AND(A145&lt;&gt;"",A145&lt;&gt;0),A145,TODAY()))</f>
        <v/>
      </c>
      <c r="B145" s="9" t="str">
        <f aca="false">IF($C145="","",IF(AND(B145&lt;&gt;"",B145&lt;&gt;0),B145,$E$4))</f>
        <v/>
      </c>
      <c r="C145" s="10"/>
      <c r="D145" s="9" t="str">
        <f aca="false">IF($C145="","",IF(AND(D145&lt;&gt;"",D145&lt;&gt;0,D145&lt;&gt;"UPC Not Found"),D145,IFERROR(INDEX('Product Master'!$B$2:$B$200,MATCH($C145,'Product Master'!$A$2:$A$200,0)),"UPC Not Found")))</f>
        <v/>
      </c>
      <c r="E145" s="9" t="str">
        <f aca="false">IF($C145="","",IF(AND(E145&lt;&gt;"",E145&lt;&gt;0,E145&lt;&gt;"UPC Not Found"),E145,IFERROR(INDEX('Product Master'!$C$2:$C$200,MATCH($C145,'Product Master'!$A$2:$A$200,0)),"UPC Not Found")))</f>
        <v/>
      </c>
      <c r="F145" s="9" t="str">
        <f aca="false">IF($C145="","",IF(AND(F145&lt;&gt;"",F145&lt;&gt;0,F145&lt;&gt;"UPC Not Found"),F145,IFERROR(INDEX('Product Master'!$D$2:$D$200,MATCH($C145,'Product Master'!$A$2:$A$200,0)),"UPC Not Found")))</f>
        <v/>
      </c>
      <c r="G145" s="11" t="str">
        <f aca="false">IF($C145="","",IF(AND(G145&lt;&gt;"",G145&lt;&gt;0,G145&lt;&gt;"UPC Not Found"),G145,IFERROR(INDEX('Product Master'!$E$2:$E$200,MATCH($C145,'Product Master'!$A$2:$A$200,0)),"UPC Not Found")))</f>
        <v/>
      </c>
      <c r="H145" s="12"/>
      <c r="I145" s="11" t="str">
        <f aca="false">IF(OR($C145="",H145="",G145="UPC Not Found"),"",H145-G145)</f>
        <v/>
      </c>
      <c r="J145" s="9" t="str">
        <f aca="false">IF($C145="","",IF(H145="","Not Counted",IF(I145=0,"Match",IF(I145&gt;0,"Overage","Shortage"))))</f>
        <v/>
      </c>
      <c r="K145" s="9" t="str">
        <f aca="false">IF($C145="","",IF(AND(K145&lt;&gt;"",K145&lt;&gt;0),K145,$B$4))</f>
        <v/>
      </c>
      <c r="L145" s="13"/>
      <c r="M145" s="13"/>
      <c r="N145" s="13"/>
    </row>
    <row r="146" customFormat="false" ht="15" hidden="false" customHeight="false" outlineLevel="0" collapsed="false">
      <c r="A146" s="8" t="str">
        <f aca="true">IF($C146="","",IF(AND(A146&lt;&gt;"",A146&lt;&gt;0),A146,TODAY()))</f>
        <v/>
      </c>
      <c r="B146" s="9" t="str">
        <f aca="false">IF($C146="","",IF(AND(B146&lt;&gt;"",B146&lt;&gt;0),B146,$E$4))</f>
        <v/>
      </c>
      <c r="C146" s="10"/>
      <c r="D146" s="9" t="str">
        <f aca="false">IF($C146="","",IF(AND(D146&lt;&gt;"",D146&lt;&gt;0,D146&lt;&gt;"UPC Not Found"),D146,IFERROR(INDEX('Product Master'!$B$2:$B$200,MATCH($C146,'Product Master'!$A$2:$A$200,0)),"UPC Not Found")))</f>
        <v/>
      </c>
      <c r="E146" s="9" t="str">
        <f aca="false">IF($C146="","",IF(AND(E146&lt;&gt;"",E146&lt;&gt;0,E146&lt;&gt;"UPC Not Found"),E146,IFERROR(INDEX('Product Master'!$C$2:$C$200,MATCH($C146,'Product Master'!$A$2:$A$200,0)),"UPC Not Found")))</f>
        <v/>
      </c>
      <c r="F146" s="9" t="str">
        <f aca="false">IF($C146="","",IF(AND(F146&lt;&gt;"",F146&lt;&gt;0,F146&lt;&gt;"UPC Not Found"),F146,IFERROR(INDEX('Product Master'!$D$2:$D$200,MATCH($C146,'Product Master'!$A$2:$A$200,0)),"UPC Not Found")))</f>
        <v/>
      </c>
      <c r="G146" s="11" t="str">
        <f aca="false">IF($C146="","",IF(AND(G146&lt;&gt;"",G146&lt;&gt;0,G146&lt;&gt;"UPC Not Found"),G146,IFERROR(INDEX('Product Master'!$E$2:$E$200,MATCH($C146,'Product Master'!$A$2:$A$200,0)),"UPC Not Found")))</f>
        <v/>
      </c>
      <c r="H146" s="12"/>
      <c r="I146" s="11" t="str">
        <f aca="false">IF(OR($C146="",H146="",G146="UPC Not Found"),"",H146-G146)</f>
        <v/>
      </c>
      <c r="J146" s="9" t="str">
        <f aca="false">IF($C146="","",IF(H146="","Not Counted",IF(I146=0,"Match",IF(I146&gt;0,"Overage","Shortage"))))</f>
        <v/>
      </c>
      <c r="K146" s="9" t="str">
        <f aca="false">IF($C146="","",IF(AND(K146&lt;&gt;"",K146&lt;&gt;0),K146,$B$4))</f>
        <v/>
      </c>
      <c r="L146" s="13"/>
      <c r="M146" s="13"/>
      <c r="N146" s="13"/>
    </row>
    <row r="147" customFormat="false" ht="15" hidden="false" customHeight="false" outlineLevel="0" collapsed="false">
      <c r="A147" s="8" t="str">
        <f aca="true">IF($C147="","",IF(AND(A147&lt;&gt;"",A147&lt;&gt;0),A147,TODAY()))</f>
        <v/>
      </c>
      <c r="B147" s="9" t="str">
        <f aca="false">IF($C147="","",IF(AND(B147&lt;&gt;"",B147&lt;&gt;0),B147,$E$4))</f>
        <v/>
      </c>
      <c r="C147" s="10"/>
      <c r="D147" s="9" t="str">
        <f aca="false">IF($C147="","",IF(AND(D147&lt;&gt;"",D147&lt;&gt;0,D147&lt;&gt;"UPC Not Found"),D147,IFERROR(INDEX('Product Master'!$B$2:$B$200,MATCH($C147,'Product Master'!$A$2:$A$200,0)),"UPC Not Found")))</f>
        <v/>
      </c>
      <c r="E147" s="9" t="str">
        <f aca="false">IF($C147="","",IF(AND(E147&lt;&gt;"",E147&lt;&gt;0,E147&lt;&gt;"UPC Not Found"),E147,IFERROR(INDEX('Product Master'!$C$2:$C$200,MATCH($C147,'Product Master'!$A$2:$A$200,0)),"UPC Not Found")))</f>
        <v/>
      </c>
      <c r="F147" s="9" t="str">
        <f aca="false">IF($C147="","",IF(AND(F147&lt;&gt;"",F147&lt;&gt;0,F147&lt;&gt;"UPC Not Found"),F147,IFERROR(INDEX('Product Master'!$D$2:$D$200,MATCH($C147,'Product Master'!$A$2:$A$200,0)),"UPC Not Found")))</f>
        <v/>
      </c>
      <c r="G147" s="11" t="str">
        <f aca="false">IF($C147="","",IF(AND(G147&lt;&gt;"",G147&lt;&gt;0,G147&lt;&gt;"UPC Not Found"),G147,IFERROR(INDEX('Product Master'!$E$2:$E$200,MATCH($C147,'Product Master'!$A$2:$A$200,0)),"UPC Not Found")))</f>
        <v/>
      </c>
      <c r="H147" s="12"/>
      <c r="I147" s="11" t="str">
        <f aca="false">IF(OR($C147="",H147="",G147="UPC Not Found"),"",H147-G147)</f>
        <v/>
      </c>
      <c r="J147" s="9" t="str">
        <f aca="false">IF($C147="","",IF(H147="","Not Counted",IF(I147=0,"Match",IF(I147&gt;0,"Overage","Shortage"))))</f>
        <v/>
      </c>
      <c r="K147" s="9" t="str">
        <f aca="false">IF($C147="","",IF(AND(K147&lt;&gt;"",K147&lt;&gt;0),K147,$B$4))</f>
        <v/>
      </c>
      <c r="L147" s="13"/>
      <c r="M147" s="13"/>
      <c r="N147" s="13"/>
    </row>
    <row r="148" customFormat="false" ht="15" hidden="false" customHeight="false" outlineLevel="0" collapsed="false">
      <c r="A148" s="8" t="str">
        <f aca="true">IF($C148="","",IF(AND(A148&lt;&gt;"",A148&lt;&gt;0),A148,TODAY()))</f>
        <v/>
      </c>
      <c r="B148" s="9" t="str">
        <f aca="false">IF($C148="","",IF(AND(B148&lt;&gt;"",B148&lt;&gt;0),B148,$E$4))</f>
        <v/>
      </c>
      <c r="C148" s="10"/>
      <c r="D148" s="9" t="str">
        <f aca="false">IF($C148="","",IF(AND(D148&lt;&gt;"",D148&lt;&gt;0,D148&lt;&gt;"UPC Not Found"),D148,IFERROR(INDEX('Product Master'!$B$2:$B$200,MATCH($C148,'Product Master'!$A$2:$A$200,0)),"UPC Not Found")))</f>
        <v/>
      </c>
      <c r="E148" s="9" t="str">
        <f aca="false">IF($C148="","",IF(AND(E148&lt;&gt;"",E148&lt;&gt;0,E148&lt;&gt;"UPC Not Found"),E148,IFERROR(INDEX('Product Master'!$C$2:$C$200,MATCH($C148,'Product Master'!$A$2:$A$200,0)),"UPC Not Found")))</f>
        <v/>
      </c>
      <c r="F148" s="9" t="str">
        <f aca="false">IF($C148="","",IF(AND(F148&lt;&gt;"",F148&lt;&gt;0,F148&lt;&gt;"UPC Not Found"),F148,IFERROR(INDEX('Product Master'!$D$2:$D$200,MATCH($C148,'Product Master'!$A$2:$A$200,0)),"UPC Not Found")))</f>
        <v/>
      </c>
      <c r="G148" s="11" t="str">
        <f aca="false">IF($C148="","",IF(AND(G148&lt;&gt;"",G148&lt;&gt;0,G148&lt;&gt;"UPC Not Found"),G148,IFERROR(INDEX('Product Master'!$E$2:$E$200,MATCH($C148,'Product Master'!$A$2:$A$200,0)),"UPC Not Found")))</f>
        <v/>
      </c>
      <c r="H148" s="12"/>
      <c r="I148" s="11" t="str">
        <f aca="false">IF(OR($C148="",H148="",G148="UPC Not Found"),"",H148-G148)</f>
        <v/>
      </c>
      <c r="J148" s="9" t="str">
        <f aca="false">IF($C148="","",IF(H148="","Not Counted",IF(I148=0,"Match",IF(I148&gt;0,"Overage","Shortage"))))</f>
        <v/>
      </c>
      <c r="K148" s="9" t="str">
        <f aca="false">IF($C148="","",IF(AND(K148&lt;&gt;"",K148&lt;&gt;0),K148,$B$4))</f>
        <v/>
      </c>
      <c r="L148" s="13"/>
      <c r="M148" s="13"/>
      <c r="N148" s="13"/>
    </row>
    <row r="149" customFormat="false" ht="15" hidden="false" customHeight="false" outlineLevel="0" collapsed="false">
      <c r="A149" s="8" t="str">
        <f aca="true">IF($C149="","",IF(AND(A149&lt;&gt;"",A149&lt;&gt;0),A149,TODAY()))</f>
        <v/>
      </c>
      <c r="B149" s="9" t="str">
        <f aca="false">IF($C149="","",IF(AND(B149&lt;&gt;"",B149&lt;&gt;0),B149,$E$4))</f>
        <v/>
      </c>
      <c r="C149" s="10"/>
      <c r="D149" s="9" t="str">
        <f aca="false">IF($C149="","",IF(AND(D149&lt;&gt;"",D149&lt;&gt;0,D149&lt;&gt;"UPC Not Found"),D149,IFERROR(INDEX('Product Master'!$B$2:$B$200,MATCH($C149,'Product Master'!$A$2:$A$200,0)),"UPC Not Found")))</f>
        <v/>
      </c>
      <c r="E149" s="9" t="str">
        <f aca="false">IF($C149="","",IF(AND(E149&lt;&gt;"",E149&lt;&gt;0,E149&lt;&gt;"UPC Not Found"),E149,IFERROR(INDEX('Product Master'!$C$2:$C$200,MATCH($C149,'Product Master'!$A$2:$A$200,0)),"UPC Not Found")))</f>
        <v/>
      </c>
      <c r="F149" s="9" t="str">
        <f aca="false">IF($C149="","",IF(AND(F149&lt;&gt;"",F149&lt;&gt;0,F149&lt;&gt;"UPC Not Found"),F149,IFERROR(INDEX('Product Master'!$D$2:$D$200,MATCH($C149,'Product Master'!$A$2:$A$200,0)),"UPC Not Found")))</f>
        <v/>
      </c>
      <c r="G149" s="11" t="str">
        <f aca="false">IF($C149="","",IF(AND(G149&lt;&gt;"",G149&lt;&gt;0,G149&lt;&gt;"UPC Not Found"),G149,IFERROR(INDEX('Product Master'!$E$2:$E$200,MATCH($C149,'Product Master'!$A$2:$A$200,0)),"UPC Not Found")))</f>
        <v/>
      </c>
      <c r="H149" s="12"/>
      <c r="I149" s="11" t="str">
        <f aca="false">IF(OR($C149="",H149="",G149="UPC Not Found"),"",H149-G149)</f>
        <v/>
      </c>
      <c r="J149" s="9" t="str">
        <f aca="false">IF($C149="","",IF(H149="","Not Counted",IF(I149=0,"Match",IF(I149&gt;0,"Overage","Shortage"))))</f>
        <v/>
      </c>
      <c r="K149" s="9" t="str">
        <f aca="false">IF($C149="","",IF(AND(K149&lt;&gt;"",K149&lt;&gt;0),K149,$B$4))</f>
        <v/>
      </c>
      <c r="L149" s="13"/>
      <c r="M149" s="13"/>
      <c r="N149" s="13"/>
    </row>
    <row r="150" customFormat="false" ht="15" hidden="false" customHeight="false" outlineLevel="0" collapsed="false">
      <c r="A150" s="8" t="str">
        <f aca="true">IF($C150="","",IF(AND(A150&lt;&gt;"",A150&lt;&gt;0),A150,TODAY()))</f>
        <v/>
      </c>
      <c r="B150" s="9" t="str">
        <f aca="false">IF($C150="","",IF(AND(B150&lt;&gt;"",B150&lt;&gt;0),B150,$E$4))</f>
        <v/>
      </c>
      <c r="C150" s="10"/>
      <c r="D150" s="9" t="str">
        <f aca="false">IF($C150="","",IF(AND(D150&lt;&gt;"",D150&lt;&gt;0,D150&lt;&gt;"UPC Not Found"),D150,IFERROR(INDEX('Product Master'!$B$2:$B$200,MATCH($C150,'Product Master'!$A$2:$A$200,0)),"UPC Not Found")))</f>
        <v/>
      </c>
      <c r="E150" s="9" t="str">
        <f aca="false">IF($C150="","",IF(AND(E150&lt;&gt;"",E150&lt;&gt;0,E150&lt;&gt;"UPC Not Found"),E150,IFERROR(INDEX('Product Master'!$C$2:$C$200,MATCH($C150,'Product Master'!$A$2:$A$200,0)),"UPC Not Found")))</f>
        <v/>
      </c>
      <c r="F150" s="9" t="str">
        <f aca="false">IF($C150="","",IF(AND(F150&lt;&gt;"",F150&lt;&gt;0,F150&lt;&gt;"UPC Not Found"),F150,IFERROR(INDEX('Product Master'!$D$2:$D$200,MATCH($C150,'Product Master'!$A$2:$A$200,0)),"UPC Not Found")))</f>
        <v/>
      </c>
      <c r="G150" s="11" t="str">
        <f aca="false">IF($C150="","",IF(AND(G150&lt;&gt;"",G150&lt;&gt;0,G150&lt;&gt;"UPC Not Found"),G150,IFERROR(INDEX('Product Master'!$E$2:$E$200,MATCH($C150,'Product Master'!$A$2:$A$200,0)),"UPC Not Found")))</f>
        <v/>
      </c>
      <c r="H150" s="12"/>
      <c r="I150" s="11" t="str">
        <f aca="false">IF(OR($C150="",H150="",G150="UPC Not Found"),"",H150-G150)</f>
        <v/>
      </c>
      <c r="J150" s="9" t="str">
        <f aca="false">IF($C150="","",IF(H150="","Not Counted",IF(I150=0,"Match",IF(I150&gt;0,"Overage","Shortage"))))</f>
        <v/>
      </c>
      <c r="K150" s="9" t="str">
        <f aca="false">IF($C150="","",IF(AND(K150&lt;&gt;"",K150&lt;&gt;0),K150,$B$4))</f>
        <v/>
      </c>
      <c r="L150" s="13"/>
      <c r="M150" s="13"/>
      <c r="N150" s="13"/>
    </row>
    <row r="151" customFormat="false" ht="15" hidden="false" customHeight="false" outlineLevel="0" collapsed="false">
      <c r="A151" s="8" t="str">
        <f aca="true">IF($C151="","",IF(AND(A151&lt;&gt;"",A151&lt;&gt;0),A151,TODAY()))</f>
        <v/>
      </c>
      <c r="B151" s="9" t="str">
        <f aca="false">IF($C151="","",IF(AND(B151&lt;&gt;"",B151&lt;&gt;0),B151,$E$4))</f>
        <v/>
      </c>
      <c r="C151" s="10"/>
      <c r="D151" s="9" t="str">
        <f aca="false">IF($C151="","",IF(AND(D151&lt;&gt;"",D151&lt;&gt;0,D151&lt;&gt;"UPC Not Found"),D151,IFERROR(INDEX('Product Master'!$B$2:$B$200,MATCH($C151,'Product Master'!$A$2:$A$200,0)),"UPC Not Found")))</f>
        <v/>
      </c>
      <c r="E151" s="9" t="str">
        <f aca="false">IF($C151="","",IF(AND(E151&lt;&gt;"",E151&lt;&gt;0,E151&lt;&gt;"UPC Not Found"),E151,IFERROR(INDEX('Product Master'!$C$2:$C$200,MATCH($C151,'Product Master'!$A$2:$A$200,0)),"UPC Not Found")))</f>
        <v/>
      </c>
      <c r="F151" s="9" t="str">
        <f aca="false">IF($C151="","",IF(AND(F151&lt;&gt;"",F151&lt;&gt;0,F151&lt;&gt;"UPC Not Found"),F151,IFERROR(INDEX('Product Master'!$D$2:$D$200,MATCH($C151,'Product Master'!$A$2:$A$200,0)),"UPC Not Found")))</f>
        <v/>
      </c>
      <c r="G151" s="11" t="str">
        <f aca="false">IF($C151="","",IF(AND(G151&lt;&gt;"",G151&lt;&gt;0,G151&lt;&gt;"UPC Not Found"),G151,IFERROR(INDEX('Product Master'!$E$2:$E$200,MATCH($C151,'Product Master'!$A$2:$A$200,0)),"UPC Not Found")))</f>
        <v/>
      </c>
      <c r="H151" s="12"/>
      <c r="I151" s="11" t="str">
        <f aca="false">IF(OR($C151="",H151="",G151="UPC Not Found"),"",H151-G151)</f>
        <v/>
      </c>
      <c r="J151" s="9" t="str">
        <f aca="false">IF($C151="","",IF(H151="","Not Counted",IF(I151=0,"Match",IF(I151&gt;0,"Overage","Shortage"))))</f>
        <v/>
      </c>
      <c r="K151" s="9" t="str">
        <f aca="false">IF($C151="","",IF(AND(K151&lt;&gt;"",K151&lt;&gt;0),K151,$B$4))</f>
        <v/>
      </c>
      <c r="L151" s="13"/>
      <c r="M151" s="13"/>
      <c r="N151" s="13"/>
    </row>
    <row r="152" customFormat="false" ht="15" hidden="false" customHeight="false" outlineLevel="0" collapsed="false">
      <c r="A152" s="8" t="str">
        <f aca="true">IF($C152="","",IF(AND(A152&lt;&gt;"",A152&lt;&gt;0),A152,TODAY()))</f>
        <v/>
      </c>
      <c r="B152" s="9" t="str">
        <f aca="false">IF($C152="","",IF(AND(B152&lt;&gt;"",B152&lt;&gt;0),B152,$E$4))</f>
        <v/>
      </c>
      <c r="C152" s="10"/>
      <c r="D152" s="9" t="str">
        <f aca="false">IF($C152="","",IF(AND(D152&lt;&gt;"",D152&lt;&gt;0,D152&lt;&gt;"UPC Not Found"),D152,IFERROR(INDEX('Product Master'!$B$2:$B$200,MATCH($C152,'Product Master'!$A$2:$A$200,0)),"UPC Not Found")))</f>
        <v/>
      </c>
      <c r="E152" s="9" t="str">
        <f aca="false">IF($C152="","",IF(AND(E152&lt;&gt;"",E152&lt;&gt;0,E152&lt;&gt;"UPC Not Found"),E152,IFERROR(INDEX('Product Master'!$C$2:$C$200,MATCH($C152,'Product Master'!$A$2:$A$200,0)),"UPC Not Found")))</f>
        <v/>
      </c>
      <c r="F152" s="9" t="str">
        <f aca="false">IF($C152="","",IF(AND(F152&lt;&gt;"",F152&lt;&gt;0,F152&lt;&gt;"UPC Not Found"),F152,IFERROR(INDEX('Product Master'!$D$2:$D$200,MATCH($C152,'Product Master'!$A$2:$A$200,0)),"UPC Not Found")))</f>
        <v/>
      </c>
      <c r="G152" s="11" t="str">
        <f aca="false">IF($C152="","",IF(AND(G152&lt;&gt;"",G152&lt;&gt;0,G152&lt;&gt;"UPC Not Found"),G152,IFERROR(INDEX('Product Master'!$E$2:$E$200,MATCH($C152,'Product Master'!$A$2:$A$200,0)),"UPC Not Found")))</f>
        <v/>
      </c>
      <c r="H152" s="12"/>
      <c r="I152" s="11" t="str">
        <f aca="false">IF(OR($C152="",H152="",G152="UPC Not Found"),"",H152-G152)</f>
        <v/>
      </c>
      <c r="J152" s="9" t="str">
        <f aca="false">IF($C152="","",IF(H152="","Not Counted",IF(I152=0,"Match",IF(I152&gt;0,"Overage","Shortage"))))</f>
        <v/>
      </c>
      <c r="K152" s="9" t="str">
        <f aca="false">IF($C152="","",IF(AND(K152&lt;&gt;"",K152&lt;&gt;0),K152,$B$4))</f>
        <v/>
      </c>
      <c r="L152" s="13"/>
      <c r="M152" s="13"/>
      <c r="N152" s="13"/>
    </row>
    <row r="153" customFormat="false" ht="15" hidden="false" customHeight="false" outlineLevel="0" collapsed="false">
      <c r="A153" s="8" t="str">
        <f aca="true">IF($C153="","",IF(AND(A153&lt;&gt;"",A153&lt;&gt;0),A153,TODAY()))</f>
        <v/>
      </c>
      <c r="B153" s="9" t="str">
        <f aca="false">IF($C153="","",IF(AND(B153&lt;&gt;"",B153&lt;&gt;0),B153,$E$4))</f>
        <v/>
      </c>
      <c r="C153" s="10"/>
      <c r="D153" s="9" t="str">
        <f aca="false">IF($C153="","",IF(AND(D153&lt;&gt;"",D153&lt;&gt;0,D153&lt;&gt;"UPC Not Found"),D153,IFERROR(INDEX('Product Master'!$B$2:$B$200,MATCH($C153,'Product Master'!$A$2:$A$200,0)),"UPC Not Found")))</f>
        <v/>
      </c>
      <c r="E153" s="9" t="str">
        <f aca="false">IF($C153="","",IF(AND(E153&lt;&gt;"",E153&lt;&gt;0,E153&lt;&gt;"UPC Not Found"),E153,IFERROR(INDEX('Product Master'!$C$2:$C$200,MATCH($C153,'Product Master'!$A$2:$A$200,0)),"UPC Not Found")))</f>
        <v/>
      </c>
      <c r="F153" s="9" t="str">
        <f aca="false">IF($C153="","",IF(AND(F153&lt;&gt;"",F153&lt;&gt;0,F153&lt;&gt;"UPC Not Found"),F153,IFERROR(INDEX('Product Master'!$D$2:$D$200,MATCH($C153,'Product Master'!$A$2:$A$200,0)),"UPC Not Found")))</f>
        <v/>
      </c>
      <c r="G153" s="11" t="str">
        <f aca="false">IF($C153="","",IF(AND(G153&lt;&gt;"",G153&lt;&gt;0,G153&lt;&gt;"UPC Not Found"),G153,IFERROR(INDEX('Product Master'!$E$2:$E$200,MATCH($C153,'Product Master'!$A$2:$A$200,0)),"UPC Not Found")))</f>
        <v/>
      </c>
      <c r="H153" s="12"/>
      <c r="I153" s="11" t="str">
        <f aca="false">IF(OR($C153="",H153="",G153="UPC Not Found"),"",H153-G153)</f>
        <v/>
      </c>
      <c r="J153" s="9" t="str">
        <f aca="false">IF($C153="","",IF(H153="","Not Counted",IF(I153=0,"Match",IF(I153&gt;0,"Overage","Shortage"))))</f>
        <v/>
      </c>
      <c r="K153" s="9" t="str">
        <f aca="false">IF($C153="","",IF(AND(K153&lt;&gt;"",K153&lt;&gt;0),K153,$B$4))</f>
        <v/>
      </c>
      <c r="L153" s="13"/>
      <c r="M153" s="13"/>
      <c r="N153" s="13"/>
    </row>
    <row r="154" customFormat="false" ht="15" hidden="false" customHeight="false" outlineLevel="0" collapsed="false">
      <c r="A154" s="8" t="str">
        <f aca="true">IF($C154="","",IF(AND(A154&lt;&gt;"",A154&lt;&gt;0),A154,TODAY()))</f>
        <v/>
      </c>
      <c r="B154" s="9" t="str">
        <f aca="false">IF($C154="","",IF(AND(B154&lt;&gt;"",B154&lt;&gt;0),B154,$E$4))</f>
        <v/>
      </c>
      <c r="C154" s="10"/>
      <c r="D154" s="9" t="str">
        <f aca="false">IF($C154="","",IF(AND(D154&lt;&gt;"",D154&lt;&gt;0,D154&lt;&gt;"UPC Not Found"),D154,IFERROR(INDEX('Product Master'!$B$2:$B$200,MATCH($C154,'Product Master'!$A$2:$A$200,0)),"UPC Not Found")))</f>
        <v/>
      </c>
      <c r="E154" s="9" t="str">
        <f aca="false">IF($C154="","",IF(AND(E154&lt;&gt;"",E154&lt;&gt;0,E154&lt;&gt;"UPC Not Found"),E154,IFERROR(INDEX('Product Master'!$C$2:$C$200,MATCH($C154,'Product Master'!$A$2:$A$200,0)),"UPC Not Found")))</f>
        <v/>
      </c>
      <c r="F154" s="9" t="str">
        <f aca="false">IF($C154="","",IF(AND(F154&lt;&gt;"",F154&lt;&gt;0,F154&lt;&gt;"UPC Not Found"),F154,IFERROR(INDEX('Product Master'!$D$2:$D$200,MATCH($C154,'Product Master'!$A$2:$A$200,0)),"UPC Not Found")))</f>
        <v/>
      </c>
      <c r="G154" s="11" t="str">
        <f aca="false">IF($C154="","",IF(AND(G154&lt;&gt;"",G154&lt;&gt;0,G154&lt;&gt;"UPC Not Found"),G154,IFERROR(INDEX('Product Master'!$E$2:$E$200,MATCH($C154,'Product Master'!$A$2:$A$200,0)),"UPC Not Found")))</f>
        <v/>
      </c>
      <c r="H154" s="12"/>
      <c r="I154" s="11" t="str">
        <f aca="false">IF(OR($C154="",H154="",G154="UPC Not Found"),"",H154-G154)</f>
        <v/>
      </c>
      <c r="J154" s="9" t="str">
        <f aca="false">IF($C154="","",IF(H154="","Not Counted",IF(I154=0,"Match",IF(I154&gt;0,"Overage","Shortage"))))</f>
        <v/>
      </c>
      <c r="K154" s="9" t="str">
        <f aca="false">IF($C154="","",IF(AND(K154&lt;&gt;"",K154&lt;&gt;0),K154,$B$4))</f>
        <v/>
      </c>
      <c r="L154" s="13"/>
      <c r="M154" s="13"/>
      <c r="N154" s="13"/>
    </row>
    <row r="155" customFormat="false" ht="15" hidden="false" customHeight="false" outlineLevel="0" collapsed="false">
      <c r="A155" s="8" t="str">
        <f aca="true">IF($C155="","",IF(AND(A155&lt;&gt;"",A155&lt;&gt;0),A155,TODAY()))</f>
        <v/>
      </c>
      <c r="B155" s="9" t="str">
        <f aca="false">IF($C155="","",IF(AND(B155&lt;&gt;"",B155&lt;&gt;0),B155,$E$4))</f>
        <v/>
      </c>
      <c r="C155" s="10"/>
      <c r="D155" s="9" t="str">
        <f aca="false">IF($C155="","",IF(AND(D155&lt;&gt;"",D155&lt;&gt;0,D155&lt;&gt;"UPC Not Found"),D155,IFERROR(INDEX('Product Master'!$B$2:$B$200,MATCH($C155,'Product Master'!$A$2:$A$200,0)),"UPC Not Found")))</f>
        <v/>
      </c>
      <c r="E155" s="9" t="str">
        <f aca="false">IF($C155="","",IF(AND(E155&lt;&gt;"",E155&lt;&gt;0,E155&lt;&gt;"UPC Not Found"),E155,IFERROR(INDEX('Product Master'!$C$2:$C$200,MATCH($C155,'Product Master'!$A$2:$A$200,0)),"UPC Not Found")))</f>
        <v/>
      </c>
      <c r="F155" s="9" t="str">
        <f aca="false">IF($C155="","",IF(AND(F155&lt;&gt;"",F155&lt;&gt;0,F155&lt;&gt;"UPC Not Found"),F155,IFERROR(INDEX('Product Master'!$D$2:$D$200,MATCH($C155,'Product Master'!$A$2:$A$200,0)),"UPC Not Found")))</f>
        <v/>
      </c>
      <c r="G155" s="11" t="str">
        <f aca="false">IF($C155="","",IF(AND(G155&lt;&gt;"",G155&lt;&gt;0,G155&lt;&gt;"UPC Not Found"),G155,IFERROR(INDEX('Product Master'!$E$2:$E$200,MATCH($C155,'Product Master'!$A$2:$A$200,0)),"UPC Not Found")))</f>
        <v/>
      </c>
      <c r="H155" s="12"/>
      <c r="I155" s="11" t="str">
        <f aca="false">IF(OR($C155="",H155="",G155="UPC Not Found"),"",H155-G155)</f>
        <v/>
      </c>
      <c r="J155" s="9" t="str">
        <f aca="false">IF($C155="","",IF(H155="","Not Counted",IF(I155=0,"Match",IF(I155&gt;0,"Overage","Shortage"))))</f>
        <v/>
      </c>
      <c r="K155" s="9" t="str">
        <f aca="false">IF($C155="","",IF(AND(K155&lt;&gt;"",K155&lt;&gt;0),K155,$B$4))</f>
        <v/>
      </c>
      <c r="L155" s="13"/>
      <c r="M155" s="13"/>
      <c r="N155" s="13"/>
    </row>
    <row r="156" customFormat="false" ht="15" hidden="false" customHeight="false" outlineLevel="0" collapsed="false">
      <c r="A156" s="8" t="str">
        <f aca="true">IF($C156="","",IF(AND(A156&lt;&gt;"",A156&lt;&gt;0),A156,TODAY()))</f>
        <v/>
      </c>
      <c r="B156" s="9" t="str">
        <f aca="false">IF($C156="","",IF(AND(B156&lt;&gt;"",B156&lt;&gt;0),B156,$E$4))</f>
        <v/>
      </c>
      <c r="C156" s="10"/>
      <c r="D156" s="9" t="str">
        <f aca="false">IF($C156="","",IF(AND(D156&lt;&gt;"",D156&lt;&gt;0,D156&lt;&gt;"UPC Not Found"),D156,IFERROR(INDEX('Product Master'!$B$2:$B$200,MATCH($C156,'Product Master'!$A$2:$A$200,0)),"UPC Not Found")))</f>
        <v/>
      </c>
      <c r="E156" s="9" t="str">
        <f aca="false">IF($C156="","",IF(AND(E156&lt;&gt;"",E156&lt;&gt;0,E156&lt;&gt;"UPC Not Found"),E156,IFERROR(INDEX('Product Master'!$C$2:$C$200,MATCH($C156,'Product Master'!$A$2:$A$200,0)),"UPC Not Found")))</f>
        <v/>
      </c>
      <c r="F156" s="9" t="str">
        <f aca="false">IF($C156="","",IF(AND(F156&lt;&gt;"",F156&lt;&gt;0,F156&lt;&gt;"UPC Not Found"),F156,IFERROR(INDEX('Product Master'!$D$2:$D$200,MATCH($C156,'Product Master'!$A$2:$A$200,0)),"UPC Not Found")))</f>
        <v/>
      </c>
      <c r="G156" s="11" t="str">
        <f aca="false">IF($C156="","",IF(AND(G156&lt;&gt;"",G156&lt;&gt;0,G156&lt;&gt;"UPC Not Found"),G156,IFERROR(INDEX('Product Master'!$E$2:$E$200,MATCH($C156,'Product Master'!$A$2:$A$200,0)),"UPC Not Found")))</f>
        <v/>
      </c>
      <c r="H156" s="12"/>
      <c r="I156" s="11" t="str">
        <f aca="false">IF(OR($C156="",H156="",G156="UPC Not Found"),"",H156-G156)</f>
        <v/>
      </c>
      <c r="J156" s="9" t="str">
        <f aca="false">IF($C156="","",IF(H156="","Not Counted",IF(I156=0,"Match",IF(I156&gt;0,"Overage","Shortage"))))</f>
        <v/>
      </c>
      <c r="K156" s="9" t="str">
        <f aca="false">IF($C156="","",IF(AND(K156&lt;&gt;"",K156&lt;&gt;0),K156,$B$4))</f>
        <v/>
      </c>
      <c r="L156" s="13"/>
      <c r="M156" s="13"/>
      <c r="N156" s="13"/>
    </row>
    <row r="157" customFormat="false" ht="15" hidden="false" customHeight="false" outlineLevel="0" collapsed="false">
      <c r="A157" s="8" t="str">
        <f aca="true">IF($C157="","",IF(AND(A157&lt;&gt;"",A157&lt;&gt;0),A157,TODAY()))</f>
        <v/>
      </c>
      <c r="B157" s="9" t="str">
        <f aca="false">IF($C157="","",IF(AND(B157&lt;&gt;"",B157&lt;&gt;0),B157,$E$4))</f>
        <v/>
      </c>
      <c r="C157" s="10"/>
      <c r="D157" s="9" t="str">
        <f aca="false">IF($C157="","",IF(AND(D157&lt;&gt;"",D157&lt;&gt;0,D157&lt;&gt;"UPC Not Found"),D157,IFERROR(INDEX('Product Master'!$B$2:$B$200,MATCH($C157,'Product Master'!$A$2:$A$200,0)),"UPC Not Found")))</f>
        <v/>
      </c>
      <c r="E157" s="9" t="str">
        <f aca="false">IF($C157="","",IF(AND(E157&lt;&gt;"",E157&lt;&gt;0,E157&lt;&gt;"UPC Not Found"),E157,IFERROR(INDEX('Product Master'!$C$2:$C$200,MATCH($C157,'Product Master'!$A$2:$A$200,0)),"UPC Not Found")))</f>
        <v/>
      </c>
      <c r="F157" s="9" t="str">
        <f aca="false">IF($C157="","",IF(AND(F157&lt;&gt;"",F157&lt;&gt;0,F157&lt;&gt;"UPC Not Found"),F157,IFERROR(INDEX('Product Master'!$D$2:$D$200,MATCH($C157,'Product Master'!$A$2:$A$200,0)),"UPC Not Found")))</f>
        <v/>
      </c>
      <c r="G157" s="11" t="str">
        <f aca="false">IF($C157="","",IF(AND(G157&lt;&gt;"",G157&lt;&gt;0,G157&lt;&gt;"UPC Not Found"),G157,IFERROR(INDEX('Product Master'!$E$2:$E$200,MATCH($C157,'Product Master'!$A$2:$A$200,0)),"UPC Not Found")))</f>
        <v/>
      </c>
      <c r="H157" s="12"/>
      <c r="I157" s="11" t="str">
        <f aca="false">IF(OR($C157="",H157="",G157="UPC Not Found"),"",H157-G157)</f>
        <v/>
      </c>
      <c r="J157" s="9" t="str">
        <f aca="false">IF($C157="","",IF(H157="","Not Counted",IF(I157=0,"Match",IF(I157&gt;0,"Overage","Shortage"))))</f>
        <v/>
      </c>
      <c r="K157" s="9" t="str">
        <f aca="false">IF($C157="","",IF(AND(K157&lt;&gt;"",K157&lt;&gt;0),K157,$B$4))</f>
        <v/>
      </c>
      <c r="L157" s="13"/>
      <c r="M157" s="13"/>
      <c r="N157" s="13"/>
    </row>
    <row r="158" customFormat="false" ht="15" hidden="false" customHeight="false" outlineLevel="0" collapsed="false">
      <c r="A158" s="8" t="str">
        <f aca="true">IF($C158="","",IF(AND(A158&lt;&gt;"",A158&lt;&gt;0),A158,TODAY()))</f>
        <v/>
      </c>
      <c r="B158" s="9" t="str">
        <f aca="false">IF($C158="","",IF(AND(B158&lt;&gt;"",B158&lt;&gt;0),B158,$E$4))</f>
        <v/>
      </c>
      <c r="C158" s="10"/>
      <c r="D158" s="9" t="str">
        <f aca="false">IF($C158="","",IF(AND(D158&lt;&gt;"",D158&lt;&gt;0,D158&lt;&gt;"UPC Not Found"),D158,IFERROR(INDEX('Product Master'!$B$2:$B$200,MATCH($C158,'Product Master'!$A$2:$A$200,0)),"UPC Not Found")))</f>
        <v/>
      </c>
      <c r="E158" s="9" t="str">
        <f aca="false">IF($C158="","",IF(AND(E158&lt;&gt;"",E158&lt;&gt;0,E158&lt;&gt;"UPC Not Found"),E158,IFERROR(INDEX('Product Master'!$C$2:$C$200,MATCH($C158,'Product Master'!$A$2:$A$200,0)),"UPC Not Found")))</f>
        <v/>
      </c>
      <c r="F158" s="9" t="str">
        <f aca="false">IF($C158="","",IF(AND(F158&lt;&gt;"",F158&lt;&gt;0,F158&lt;&gt;"UPC Not Found"),F158,IFERROR(INDEX('Product Master'!$D$2:$D$200,MATCH($C158,'Product Master'!$A$2:$A$200,0)),"UPC Not Found")))</f>
        <v/>
      </c>
      <c r="G158" s="11" t="str">
        <f aca="false">IF($C158="","",IF(AND(G158&lt;&gt;"",G158&lt;&gt;0,G158&lt;&gt;"UPC Not Found"),G158,IFERROR(INDEX('Product Master'!$E$2:$E$200,MATCH($C158,'Product Master'!$A$2:$A$200,0)),"UPC Not Found")))</f>
        <v/>
      </c>
      <c r="H158" s="12"/>
      <c r="I158" s="11" t="str">
        <f aca="false">IF(OR($C158="",H158="",G158="UPC Not Found"),"",H158-G158)</f>
        <v/>
      </c>
      <c r="J158" s="9" t="str">
        <f aca="false">IF($C158="","",IF(H158="","Not Counted",IF(I158=0,"Match",IF(I158&gt;0,"Overage","Shortage"))))</f>
        <v/>
      </c>
      <c r="K158" s="9" t="str">
        <f aca="false">IF($C158="","",IF(AND(K158&lt;&gt;"",K158&lt;&gt;0),K158,$B$4))</f>
        <v/>
      </c>
      <c r="L158" s="13"/>
      <c r="M158" s="13"/>
      <c r="N158" s="13"/>
    </row>
    <row r="159" customFormat="false" ht="15" hidden="false" customHeight="false" outlineLevel="0" collapsed="false">
      <c r="A159" s="8" t="str">
        <f aca="true">IF($C159="","",IF(AND(A159&lt;&gt;"",A159&lt;&gt;0),A159,TODAY()))</f>
        <v/>
      </c>
      <c r="B159" s="9" t="str">
        <f aca="false">IF($C159="","",IF(AND(B159&lt;&gt;"",B159&lt;&gt;0),B159,$E$4))</f>
        <v/>
      </c>
      <c r="C159" s="10"/>
      <c r="D159" s="9" t="str">
        <f aca="false">IF($C159="","",IF(AND(D159&lt;&gt;"",D159&lt;&gt;0,D159&lt;&gt;"UPC Not Found"),D159,IFERROR(INDEX('Product Master'!$B$2:$B$200,MATCH($C159,'Product Master'!$A$2:$A$200,0)),"UPC Not Found")))</f>
        <v/>
      </c>
      <c r="E159" s="9" t="str">
        <f aca="false">IF($C159="","",IF(AND(E159&lt;&gt;"",E159&lt;&gt;0,E159&lt;&gt;"UPC Not Found"),E159,IFERROR(INDEX('Product Master'!$C$2:$C$200,MATCH($C159,'Product Master'!$A$2:$A$200,0)),"UPC Not Found")))</f>
        <v/>
      </c>
      <c r="F159" s="9" t="str">
        <f aca="false">IF($C159="","",IF(AND(F159&lt;&gt;"",F159&lt;&gt;0,F159&lt;&gt;"UPC Not Found"),F159,IFERROR(INDEX('Product Master'!$D$2:$D$200,MATCH($C159,'Product Master'!$A$2:$A$200,0)),"UPC Not Found")))</f>
        <v/>
      </c>
      <c r="G159" s="11" t="str">
        <f aca="false">IF($C159="","",IF(AND(G159&lt;&gt;"",G159&lt;&gt;0,G159&lt;&gt;"UPC Not Found"),G159,IFERROR(INDEX('Product Master'!$E$2:$E$200,MATCH($C159,'Product Master'!$A$2:$A$200,0)),"UPC Not Found")))</f>
        <v/>
      </c>
      <c r="H159" s="12"/>
      <c r="I159" s="11" t="str">
        <f aca="false">IF(OR($C159="",H159="",G159="UPC Not Found"),"",H159-G159)</f>
        <v/>
      </c>
      <c r="J159" s="9" t="str">
        <f aca="false">IF($C159="","",IF(H159="","Not Counted",IF(I159=0,"Match",IF(I159&gt;0,"Overage","Shortage"))))</f>
        <v/>
      </c>
      <c r="K159" s="9" t="str">
        <f aca="false">IF($C159="","",IF(AND(K159&lt;&gt;"",K159&lt;&gt;0),K159,$B$4))</f>
        <v/>
      </c>
      <c r="L159" s="13"/>
      <c r="M159" s="13"/>
      <c r="N159" s="13"/>
    </row>
    <row r="160" customFormat="false" ht="15" hidden="false" customHeight="false" outlineLevel="0" collapsed="false">
      <c r="A160" s="8" t="str">
        <f aca="true">IF($C160="","",IF(AND(A160&lt;&gt;"",A160&lt;&gt;0),A160,TODAY()))</f>
        <v/>
      </c>
      <c r="B160" s="9" t="str">
        <f aca="false">IF($C160="","",IF(AND(B160&lt;&gt;"",B160&lt;&gt;0),B160,$E$4))</f>
        <v/>
      </c>
      <c r="C160" s="10"/>
      <c r="D160" s="9" t="str">
        <f aca="false">IF($C160="","",IF(AND(D160&lt;&gt;"",D160&lt;&gt;0,D160&lt;&gt;"UPC Not Found"),D160,IFERROR(INDEX('Product Master'!$B$2:$B$200,MATCH($C160,'Product Master'!$A$2:$A$200,0)),"UPC Not Found")))</f>
        <v/>
      </c>
      <c r="E160" s="9" t="str">
        <f aca="false">IF($C160="","",IF(AND(E160&lt;&gt;"",E160&lt;&gt;0,E160&lt;&gt;"UPC Not Found"),E160,IFERROR(INDEX('Product Master'!$C$2:$C$200,MATCH($C160,'Product Master'!$A$2:$A$200,0)),"UPC Not Found")))</f>
        <v/>
      </c>
      <c r="F160" s="9" t="str">
        <f aca="false">IF($C160="","",IF(AND(F160&lt;&gt;"",F160&lt;&gt;0,F160&lt;&gt;"UPC Not Found"),F160,IFERROR(INDEX('Product Master'!$D$2:$D$200,MATCH($C160,'Product Master'!$A$2:$A$200,0)),"UPC Not Found")))</f>
        <v/>
      </c>
      <c r="G160" s="11" t="str">
        <f aca="false">IF($C160="","",IF(AND(G160&lt;&gt;"",G160&lt;&gt;0,G160&lt;&gt;"UPC Not Found"),G160,IFERROR(INDEX('Product Master'!$E$2:$E$200,MATCH($C160,'Product Master'!$A$2:$A$200,0)),"UPC Not Found")))</f>
        <v/>
      </c>
      <c r="H160" s="12"/>
      <c r="I160" s="11" t="str">
        <f aca="false">IF(OR($C160="",H160="",G160="UPC Not Found"),"",H160-G160)</f>
        <v/>
      </c>
      <c r="J160" s="9" t="str">
        <f aca="false">IF($C160="","",IF(H160="","Not Counted",IF(I160=0,"Match",IF(I160&gt;0,"Overage","Shortage"))))</f>
        <v/>
      </c>
      <c r="K160" s="9" t="str">
        <f aca="false">IF($C160="","",IF(AND(K160&lt;&gt;"",K160&lt;&gt;0),K160,$B$4))</f>
        <v/>
      </c>
      <c r="L160" s="13"/>
      <c r="M160" s="13"/>
      <c r="N160" s="13"/>
    </row>
    <row r="161" customFormat="false" ht="15" hidden="false" customHeight="false" outlineLevel="0" collapsed="false">
      <c r="A161" s="8" t="str">
        <f aca="true">IF($C161="","",IF(AND(A161&lt;&gt;"",A161&lt;&gt;0),A161,TODAY()))</f>
        <v/>
      </c>
      <c r="B161" s="9" t="str">
        <f aca="false">IF($C161="","",IF(AND(B161&lt;&gt;"",B161&lt;&gt;0),B161,$E$4))</f>
        <v/>
      </c>
      <c r="C161" s="10"/>
      <c r="D161" s="9" t="str">
        <f aca="false">IF($C161="","",IF(AND(D161&lt;&gt;"",D161&lt;&gt;0,D161&lt;&gt;"UPC Not Found"),D161,IFERROR(INDEX('Product Master'!$B$2:$B$200,MATCH($C161,'Product Master'!$A$2:$A$200,0)),"UPC Not Found")))</f>
        <v/>
      </c>
      <c r="E161" s="9" t="str">
        <f aca="false">IF($C161="","",IF(AND(E161&lt;&gt;"",E161&lt;&gt;0,E161&lt;&gt;"UPC Not Found"),E161,IFERROR(INDEX('Product Master'!$C$2:$C$200,MATCH($C161,'Product Master'!$A$2:$A$200,0)),"UPC Not Found")))</f>
        <v/>
      </c>
      <c r="F161" s="9" t="str">
        <f aca="false">IF($C161="","",IF(AND(F161&lt;&gt;"",F161&lt;&gt;0,F161&lt;&gt;"UPC Not Found"),F161,IFERROR(INDEX('Product Master'!$D$2:$D$200,MATCH($C161,'Product Master'!$A$2:$A$200,0)),"UPC Not Found")))</f>
        <v/>
      </c>
      <c r="G161" s="11" t="str">
        <f aca="false">IF($C161="","",IF(AND(G161&lt;&gt;"",G161&lt;&gt;0,G161&lt;&gt;"UPC Not Found"),G161,IFERROR(INDEX('Product Master'!$E$2:$E$200,MATCH($C161,'Product Master'!$A$2:$A$200,0)),"UPC Not Found")))</f>
        <v/>
      </c>
      <c r="H161" s="12"/>
      <c r="I161" s="11" t="str">
        <f aca="false">IF(OR($C161="",H161="",G161="UPC Not Found"),"",H161-G161)</f>
        <v/>
      </c>
      <c r="J161" s="9" t="str">
        <f aca="false">IF($C161="","",IF(H161="","Not Counted",IF(I161=0,"Match",IF(I161&gt;0,"Overage","Shortage"))))</f>
        <v/>
      </c>
      <c r="K161" s="9" t="str">
        <f aca="false">IF($C161="","",IF(AND(K161&lt;&gt;"",K161&lt;&gt;0),K161,$B$4))</f>
        <v/>
      </c>
      <c r="L161" s="13"/>
      <c r="M161" s="13"/>
      <c r="N161" s="13"/>
    </row>
    <row r="162" customFormat="false" ht="15" hidden="false" customHeight="false" outlineLevel="0" collapsed="false">
      <c r="A162" s="8" t="str">
        <f aca="true">IF($C162="","",IF(AND(A162&lt;&gt;"",A162&lt;&gt;0),A162,TODAY()))</f>
        <v/>
      </c>
      <c r="B162" s="9" t="str">
        <f aca="false">IF($C162="","",IF(AND(B162&lt;&gt;"",B162&lt;&gt;0),B162,$E$4))</f>
        <v/>
      </c>
      <c r="C162" s="10"/>
      <c r="D162" s="9" t="str">
        <f aca="false">IF($C162="","",IF(AND(D162&lt;&gt;"",D162&lt;&gt;0,D162&lt;&gt;"UPC Not Found"),D162,IFERROR(INDEX('Product Master'!$B$2:$B$200,MATCH($C162,'Product Master'!$A$2:$A$200,0)),"UPC Not Found")))</f>
        <v/>
      </c>
      <c r="E162" s="9" t="str">
        <f aca="false">IF($C162="","",IF(AND(E162&lt;&gt;"",E162&lt;&gt;0,E162&lt;&gt;"UPC Not Found"),E162,IFERROR(INDEX('Product Master'!$C$2:$C$200,MATCH($C162,'Product Master'!$A$2:$A$200,0)),"UPC Not Found")))</f>
        <v/>
      </c>
      <c r="F162" s="9" t="str">
        <f aca="false">IF($C162="","",IF(AND(F162&lt;&gt;"",F162&lt;&gt;0,F162&lt;&gt;"UPC Not Found"),F162,IFERROR(INDEX('Product Master'!$D$2:$D$200,MATCH($C162,'Product Master'!$A$2:$A$200,0)),"UPC Not Found")))</f>
        <v/>
      </c>
      <c r="G162" s="11" t="str">
        <f aca="false">IF($C162="","",IF(AND(G162&lt;&gt;"",G162&lt;&gt;0,G162&lt;&gt;"UPC Not Found"),G162,IFERROR(INDEX('Product Master'!$E$2:$E$200,MATCH($C162,'Product Master'!$A$2:$A$200,0)),"UPC Not Found")))</f>
        <v/>
      </c>
      <c r="H162" s="12"/>
      <c r="I162" s="11" t="str">
        <f aca="false">IF(OR($C162="",H162="",G162="UPC Not Found"),"",H162-G162)</f>
        <v/>
      </c>
      <c r="J162" s="9" t="str">
        <f aca="false">IF($C162="","",IF(H162="","Not Counted",IF(I162=0,"Match",IF(I162&gt;0,"Overage","Shortage"))))</f>
        <v/>
      </c>
      <c r="K162" s="9" t="str">
        <f aca="false">IF($C162="","",IF(AND(K162&lt;&gt;"",K162&lt;&gt;0),K162,$B$4))</f>
        <v/>
      </c>
      <c r="L162" s="13"/>
      <c r="M162" s="13"/>
      <c r="N162" s="13"/>
    </row>
    <row r="163" customFormat="false" ht="15" hidden="false" customHeight="false" outlineLevel="0" collapsed="false">
      <c r="A163" s="8" t="str">
        <f aca="true">IF($C163="","",IF(AND(A163&lt;&gt;"",A163&lt;&gt;0),A163,TODAY()))</f>
        <v/>
      </c>
      <c r="B163" s="9" t="str">
        <f aca="false">IF($C163="","",IF(AND(B163&lt;&gt;"",B163&lt;&gt;0),B163,$E$4))</f>
        <v/>
      </c>
      <c r="C163" s="10"/>
      <c r="D163" s="9" t="str">
        <f aca="false">IF($C163="","",IF(AND(D163&lt;&gt;"",D163&lt;&gt;0,D163&lt;&gt;"UPC Not Found"),D163,IFERROR(INDEX('Product Master'!$B$2:$B$200,MATCH($C163,'Product Master'!$A$2:$A$200,0)),"UPC Not Found")))</f>
        <v/>
      </c>
      <c r="E163" s="9" t="str">
        <f aca="false">IF($C163="","",IF(AND(E163&lt;&gt;"",E163&lt;&gt;0,E163&lt;&gt;"UPC Not Found"),E163,IFERROR(INDEX('Product Master'!$C$2:$C$200,MATCH($C163,'Product Master'!$A$2:$A$200,0)),"UPC Not Found")))</f>
        <v/>
      </c>
      <c r="F163" s="9" t="str">
        <f aca="false">IF($C163="","",IF(AND(F163&lt;&gt;"",F163&lt;&gt;0,F163&lt;&gt;"UPC Not Found"),F163,IFERROR(INDEX('Product Master'!$D$2:$D$200,MATCH($C163,'Product Master'!$A$2:$A$200,0)),"UPC Not Found")))</f>
        <v/>
      </c>
      <c r="G163" s="11" t="str">
        <f aca="false">IF($C163="","",IF(AND(G163&lt;&gt;"",G163&lt;&gt;0,G163&lt;&gt;"UPC Not Found"),G163,IFERROR(INDEX('Product Master'!$E$2:$E$200,MATCH($C163,'Product Master'!$A$2:$A$200,0)),"UPC Not Found")))</f>
        <v/>
      </c>
      <c r="H163" s="12"/>
      <c r="I163" s="11" t="str">
        <f aca="false">IF(OR($C163="",H163="",G163="UPC Not Found"),"",H163-G163)</f>
        <v/>
      </c>
      <c r="J163" s="9" t="str">
        <f aca="false">IF($C163="","",IF(H163="","Not Counted",IF(I163=0,"Match",IF(I163&gt;0,"Overage","Shortage"))))</f>
        <v/>
      </c>
      <c r="K163" s="9" t="str">
        <f aca="false">IF($C163="","",IF(AND(K163&lt;&gt;"",K163&lt;&gt;0),K163,$B$4))</f>
        <v/>
      </c>
      <c r="L163" s="13"/>
      <c r="M163" s="13"/>
      <c r="N163" s="13"/>
    </row>
    <row r="164" customFormat="false" ht="15" hidden="false" customHeight="false" outlineLevel="0" collapsed="false">
      <c r="A164" s="8" t="str">
        <f aca="true">IF($C164="","",IF(AND(A164&lt;&gt;"",A164&lt;&gt;0),A164,TODAY()))</f>
        <v/>
      </c>
      <c r="B164" s="9" t="str">
        <f aca="false">IF($C164="","",IF(AND(B164&lt;&gt;"",B164&lt;&gt;0),B164,$E$4))</f>
        <v/>
      </c>
      <c r="C164" s="10"/>
      <c r="D164" s="9" t="str">
        <f aca="false">IF($C164="","",IF(AND(D164&lt;&gt;"",D164&lt;&gt;0,D164&lt;&gt;"UPC Not Found"),D164,IFERROR(INDEX('Product Master'!$B$2:$B$200,MATCH($C164,'Product Master'!$A$2:$A$200,0)),"UPC Not Found")))</f>
        <v/>
      </c>
      <c r="E164" s="9" t="str">
        <f aca="false">IF($C164="","",IF(AND(E164&lt;&gt;"",E164&lt;&gt;0,E164&lt;&gt;"UPC Not Found"),E164,IFERROR(INDEX('Product Master'!$C$2:$C$200,MATCH($C164,'Product Master'!$A$2:$A$200,0)),"UPC Not Found")))</f>
        <v/>
      </c>
      <c r="F164" s="9" t="str">
        <f aca="false">IF($C164="","",IF(AND(F164&lt;&gt;"",F164&lt;&gt;0,F164&lt;&gt;"UPC Not Found"),F164,IFERROR(INDEX('Product Master'!$D$2:$D$200,MATCH($C164,'Product Master'!$A$2:$A$200,0)),"UPC Not Found")))</f>
        <v/>
      </c>
      <c r="G164" s="11" t="str">
        <f aca="false">IF($C164="","",IF(AND(G164&lt;&gt;"",G164&lt;&gt;0,G164&lt;&gt;"UPC Not Found"),G164,IFERROR(INDEX('Product Master'!$E$2:$E$200,MATCH($C164,'Product Master'!$A$2:$A$200,0)),"UPC Not Found")))</f>
        <v/>
      </c>
      <c r="H164" s="12"/>
      <c r="I164" s="11" t="str">
        <f aca="false">IF(OR($C164="",H164="",G164="UPC Not Found"),"",H164-G164)</f>
        <v/>
      </c>
      <c r="J164" s="9" t="str">
        <f aca="false">IF($C164="","",IF(H164="","Not Counted",IF(I164=0,"Match",IF(I164&gt;0,"Overage","Shortage"))))</f>
        <v/>
      </c>
      <c r="K164" s="9" t="str">
        <f aca="false">IF($C164="","",IF(AND(K164&lt;&gt;"",K164&lt;&gt;0),K164,$B$4))</f>
        <v/>
      </c>
      <c r="L164" s="13"/>
      <c r="M164" s="13"/>
      <c r="N164" s="13"/>
    </row>
    <row r="165" customFormat="false" ht="15" hidden="false" customHeight="false" outlineLevel="0" collapsed="false">
      <c r="A165" s="8" t="str">
        <f aca="true">IF($C165="","",IF(AND(A165&lt;&gt;"",A165&lt;&gt;0),A165,TODAY()))</f>
        <v/>
      </c>
      <c r="B165" s="9" t="str">
        <f aca="false">IF($C165="","",IF(AND(B165&lt;&gt;"",B165&lt;&gt;0),B165,$E$4))</f>
        <v/>
      </c>
      <c r="C165" s="10"/>
      <c r="D165" s="9" t="str">
        <f aca="false">IF($C165="","",IF(AND(D165&lt;&gt;"",D165&lt;&gt;0,D165&lt;&gt;"UPC Not Found"),D165,IFERROR(INDEX('Product Master'!$B$2:$B$200,MATCH($C165,'Product Master'!$A$2:$A$200,0)),"UPC Not Found")))</f>
        <v/>
      </c>
      <c r="E165" s="9" t="str">
        <f aca="false">IF($C165="","",IF(AND(E165&lt;&gt;"",E165&lt;&gt;0,E165&lt;&gt;"UPC Not Found"),E165,IFERROR(INDEX('Product Master'!$C$2:$C$200,MATCH($C165,'Product Master'!$A$2:$A$200,0)),"UPC Not Found")))</f>
        <v/>
      </c>
      <c r="F165" s="9" t="str">
        <f aca="false">IF($C165="","",IF(AND(F165&lt;&gt;"",F165&lt;&gt;0,F165&lt;&gt;"UPC Not Found"),F165,IFERROR(INDEX('Product Master'!$D$2:$D$200,MATCH($C165,'Product Master'!$A$2:$A$200,0)),"UPC Not Found")))</f>
        <v/>
      </c>
      <c r="G165" s="11" t="str">
        <f aca="false">IF($C165="","",IF(AND(G165&lt;&gt;"",G165&lt;&gt;0,G165&lt;&gt;"UPC Not Found"),G165,IFERROR(INDEX('Product Master'!$E$2:$E$200,MATCH($C165,'Product Master'!$A$2:$A$200,0)),"UPC Not Found")))</f>
        <v/>
      </c>
      <c r="H165" s="12"/>
      <c r="I165" s="11" t="str">
        <f aca="false">IF(OR($C165="",H165="",G165="UPC Not Found"),"",H165-G165)</f>
        <v/>
      </c>
      <c r="J165" s="9" t="str">
        <f aca="false">IF($C165="","",IF(H165="","Not Counted",IF(I165=0,"Match",IF(I165&gt;0,"Overage","Shortage"))))</f>
        <v/>
      </c>
      <c r="K165" s="9" t="str">
        <f aca="false">IF($C165="","",IF(AND(K165&lt;&gt;"",K165&lt;&gt;0),K165,$B$4))</f>
        <v/>
      </c>
      <c r="L165" s="13"/>
      <c r="M165" s="13"/>
      <c r="N165" s="13"/>
    </row>
    <row r="166" customFormat="false" ht="15" hidden="false" customHeight="false" outlineLevel="0" collapsed="false">
      <c r="A166" s="8" t="str">
        <f aca="true">IF($C166="","",IF(AND(A166&lt;&gt;"",A166&lt;&gt;0),A166,TODAY()))</f>
        <v/>
      </c>
      <c r="B166" s="9" t="str">
        <f aca="false">IF($C166="","",IF(AND(B166&lt;&gt;"",B166&lt;&gt;0),B166,$E$4))</f>
        <v/>
      </c>
      <c r="C166" s="10"/>
      <c r="D166" s="9" t="str">
        <f aca="false">IF($C166="","",IF(AND(D166&lt;&gt;"",D166&lt;&gt;0,D166&lt;&gt;"UPC Not Found"),D166,IFERROR(INDEX('Product Master'!$B$2:$B$200,MATCH($C166,'Product Master'!$A$2:$A$200,0)),"UPC Not Found")))</f>
        <v/>
      </c>
      <c r="E166" s="9" t="str">
        <f aca="false">IF($C166="","",IF(AND(E166&lt;&gt;"",E166&lt;&gt;0,E166&lt;&gt;"UPC Not Found"),E166,IFERROR(INDEX('Product Master'!$C$2:$C$200,MATCH($C166,'Product Master'!$A$2:$A$200,0)),"UPC Not Found")))</f>
        <v/>
      </c>
      <c r="F166" s="9" t="str">
        <f aca="false">IF($C166="","",IF(AND(F166&lt;&gt;"",F166&lt;&gt;0,F166&lt;&gt;"UPC Not Found"),F166,IFERROR(INDEX('Product Master'!$D$2:$D$200,MATCH($C166,'Product Master'!$A$2:$A$200,0)),"UPC Not Found")))</f>
        <v/>
      </c>
      <c r="G166" s="11" t="str">
        <f aca="false">IF($C166="","",IF(AND(G166&lt;&gt;"",G166&lt;&gt;0,G166&lt;&gt;"UPC Not Found"),G166,IFERROR(INDEX('Product Master'!$E$2:$E$200,MATCH($C166,'Product Master'!$A$2:$A$200,0)),"UPC Not Found")))</f>
        <v/>
      </c>
      <c r="H166" s="12"/>
      <c r="I166" s="11" t="str">
        <f aca="false">IF(OR($C166="",H166="",G166="UPC Not Found"),"",H166-G166)</f>
        <v/>
      </c>
      <c r="J166" s="9" t="str">
        <f aca="false">IF($C166="","",IF(H166="","Not Counted",IF(I166=0,"Match",IF(I166&gt;0,"Overage","Shortage"))))</f>
        <v/>
      </c>
      <c r="K166" s="9" t="str">
        <f aca="false">IF($C166="","",IF(AND(K166&lt;&gt;"",K166&lt;&gt;0),K166,$B$4))</f>
        <v/>
      </c>
      <c r="L166" s="13"/>
      <c r="M166" s="13"/>
      <c r="N166" s="13"/>
    </row>
    <row r="167" customFormat="false" ht="15" hidden="false" customHeight="false" outlineLevel="0" collapsed="false">
      <c r="A167" s="8" t="str">
        <f aca="true">IF($C167="","",IF(AND(A167&lt;&gt;"",A167&lt;&gt;0),A167,TODAY()))</f>
        <v/>
      </c>
      <c r="B167" s="9" t="str">
        <f aca="false">IF($C167="","",IF(AND(B167&lt;&gt;"",B167&lt;&gt;0),B167,$E$4))</f>
        <v/>
      </c>
      <c r="C167" s="10"/>
      <c r="D167" s="9" t="str">
        <f aca="false">IF($C167="","",IF(AND(D167&lt;&gt;"",D167&lt;&gt;0,D167&lt;&gt;"UPC Not Found"),D167,IFERROR(INDEX('Product Master'!$B$2:$B$200,MATCH($C167,'Product Master'!$A$2:$A$200,0)),"UPC Not Found")))</f>
        <v/>
      </c>
      <c r="E167" s="9" t="str">
        <f aca="false">IF($C167="","",IF(AND(E167&lt;&gt;"",E167&lt;&gt;0,E167&lt;&gt;"UPC Not Found"),E167,IFERROR(INDEX('Product Master'!$C$2:$C$200,MATCH($C167,'Product Master'!$A$2:$A$200,0)),"UPC Not Found")))</f>
        <v/>
      </c>
      <c r="F167" s="9" t="str">
        <f aca="false">IF($C167="","",IF(AND(F167&lt;&gt;"",F167&lt;&gt;0,F167&lt;&gt;"UPC Not Found"),F167,IFERROR(INDEX('Product Master'!$D$2:$D$200,MATCH($C167,'Product Master'!$A$2:$A$200,0)),"UPC Not Found")))</f>
        <v/>
      </c>
      <c r="G167" s="11" t="str">
        <f aca="false">IF($C167="","",IF(AND(G167&lt;&gt;"",G167&lt;&gt;0,G167&lt;&gt;"UPC Not Found"),G167,IFERROR(INDEX('Product Master'!$E$2:$E$200,MATCH($C167,'Product Master'!$A$2:$A$200,0)),"UPC Not Found")))</f>
        <v/>
      </c>
      <c r="H167" s="12"/>
      <c r="I167" s="11" t="str">
        <f aca="false">IF(OR($C167="",H167="",G167="UPC Not Found"),"",H167-G167)</f>
        <v/>
      </c>
      <c r="J167" s="9" t="str">
        <f aca="false">IF($C167="","",IF(H167="","Not Counted",IF(I167=0,"Match",IF(I167&gt;0,"Overage","Shortage"))))</f>
        <v/>
      </c>
      <c r="K167" s="9" t="str">
        <f aca="false">IF($C167="","",IF(AND(K167&lt;&gt;"",K167&lt;&gt;0),K167,$B$4))</f>
        <v/>
      </c>
      <c r="L167" s="13"/>
      <c r="M167" s="13"/>
      <c r="N167" s="13"/>
    </row>
    <row r="168" customFormat="false" ht="15" hidden="false" customHeight="false" outlineLevel="0" collapsed="false">
      <c r="A168" s="8" t="str">
        <f aca="true">IF($C168="","",IF(AND(A168&lt;&gt;"",A168&lt;&gt;0),A168,TODAY()))</f>
        <v/>
      </c>
      <c r="B168" s="9" t="str">
        <f aca="false">IF($C168="","",IF(AND(B168&lt;&gt;"",B168&lt;&gt;0),B168,$E$4))</f>
        <v/>
      </c>
      <c r="C168" s="10"/>
      <c r="D168" s="9" t="str">
        <f aca="false">IF($C168="","",IF(AND(D168&lt;&gt;"",D168&lt;&gt;0,D168&lt;&gt;"UPC Not Found"),D168,IFERROR(INDEX('Product Master'!$B$2:$B$200,MATCH($C168,'Product Master'!$A$2:$A$200,0)),"UPC Not Found")))</f>
        <v/>
      </c>
      <c r="E168" s="9" t="str">
        <f aca="false">IF($C168="","",IF(AND(E168&lt;&gt;"",E168&lt;&gt;0,E168&lt;&gt;"UPC Not Found"),E168,IFERROR(INDEX('Product Master'!$C$2:$C$200,MATCH($C168,'Product Master'!$A$2:$A$200,0)),"UPC Not Found")))</f>
        <v/>
      </c>
      <c r="F168" s="9" t="str">
        <f aca="false">IF($C168="","",IF(AND(F168&lt;&gt;"",F168&lt;&gt;0,F168&lt;&gt;"UPC Not Found"),F168,IFERROR(INDEX('Product Master'!$D$2:$D$200,MATCH($C168,'Product Master'!$A$2:$A$200,0)),"UPC Not Found")))</f>
        <v/>
      </c>
      <c r="G168" s="11" t="str">
        <f aca="false">IF($C168="","",IF(AND(G168&lt;&gt;"",G168&lt;&gt;0,G168&lt;&gt;"UPC Not Found"),G168,IFERROR(INDEX('Product Master'!$E$2:$E$200,MATCH($C168,'Product Master'!$A$2:$A$200,0)),"UPC Not Found")))</f>
        <v/>
      </c>
      <c r="H168" s="12"/>
      <c r="I168" s="11" t="str">
        <f aca="false">IF(OR($C168="",H168="",G168="UPC Not Found"),"",H168-G168)</f>
        <v/>
      </c>
      <c r="J168" s="9" t="str">
        <f aca="false">IF($C168="","",IF(H168="","Not Counted",IF(I168=0,"Match",IF(I168&gt;0,"Overage","Shortage"))))</f>
        <v/>
      </c>
      <c r="K168" s="9" t="str">
        <f aca="false">IF($C168="","",IF(AND(K168&lt;&gt;"",K168&lt;&gt;0),K168,$B$4))</f>
        <v/>
      </c>
      <c r="L168" s="13"/>
      <c r="M168" s="13"/>
      <c r="N168" s="13"/>
    </row>
    <row r="169" customFormat="false" ht="15" hidden="false" customHeight="false" outlineLevel="0" collapsed="false">
      <c r="A169" s="8" t="str">
        <f aca="true">IF($C169="","",IF(AND(A169&lt;&gt;"",A169&lt;&gt;0),A169,TODAY()))</f>
        <v/>
      </c>
      <c r="B169" s="9" t="str">
        <f aca="false">IF($C169="","",IF(AND(B169&lt;&gt;"",B169&lt;&gt;0),B169,$E$4))</f>
        <v/>
      </c>
      <c r="C169" s="10"/>
      <c r="D169" s="9" t="str">
        <f aca="false">IF($C169="","",IF(AND(D169&lt;&gt;"",D169&lt;&gt;0,D169&lt;&gt;"UPC Not Found"),D169,IFERROR(INDEX('Product Master'!$B$2:$B$200,MATCH($C169,'Product Master'!$A$2:$A$200,0)),"UPC Not Found")))</f>
        <v/>
      </c>
      <c r="E169" s="9" t="str">
        <f aca="false">IF($C169="","",IF(AND(E169&lt;&gt;"",E169&lt;&gt;0,E169&lt;&gt;"UPC Not Found"),E169,IFERROR(INDEX('Product Master'!$C$2:$C$200,MATCH($C169,'Product Master'!$A$2:$A$200,0)),"UPC Not Found")))</f>
        <v/>
      </c>
      <c r="F169" s="9" t="str">
        <f aca="false">IF($C169="","",IF(AND(F169&lt;&gt;"",F169&lt;&gt;0,F169&lt;&gt;"UPC Not Found"),F169,IFERROR(INDEX('Product Master'!$D$2:$D$200,MATCH($C169,'Product Master'!$A$2:$A$200,0)),"UPC Not Found")))</f>
        <v/>
      </c>
      <c r="G169" s="11" t="str">
        <f aca="false">IF($C169="","",IF(AND(G169&lt;&gt;"",G169&lt;&gt;0,G169&lt;&gt;"UPC Not Found"),G169,IFERROR(INDEX('Product Master'!$E$2:$E$200,MATCH($C169,'Product Master'!$A$2:$A$200,0)),"UPC Not Found")))</f>
        <v/>
      </c>
      <c r="H169" s="12"/>
      <c r="I169" s="11" t="str">
        <f aca="false">IF(OR($C169="",H169="",G169="UPC Not Found"),"",H169-G169)</f>
        <v/>
      </c>
      <c r="J169" s="9" t="str">
        <f aca="false">IF($C169="","",IF(H169="","Not Counted",IF(I169=0,"Match",IF(I169&gt;0,"Overage","Shortage"))))</f>
        <v/>
      </c>
      <c r="K169" s="9" t="str">
        <f aca="false">IF($C169="","",IF(AND(K169&lt;&gt;"",K169&lt;&gt;0),K169,$B$4))</f>
        <v/>
      </c>
      <c r="L169" s="13"/>
      <c r="M169" s="13"/>
      <c r="N169" s="13"/>
    </row>
    <row r="170" customFormat="false" ht="15" hidden="false" customHeight="false" outlineLevel="0" collapsed="false">
      <c r="A170" s="8" t="str">
        <f aca="true">IF($C170="","",IF(AND(A170&lt;&gt;"",A170&lt;&gt;0),A170,TODAY()))</f>
        <v/>
      </c>
      <c r="B170" s="9" t="str">
        <f aca="false">IF($C170="","",IF(AND(B170&lt;&gt;"",B170&lt;&gt;0),B170,$E$4))</f>
        <v/>
      </c>
      <c r="C170" s="10"/>
      <c r="D170" s="9" t="str">
        <f aca="false">IF($C170="","",IF(AND(D170&lt;&gt;"",D170&lt;&gt;0,D170&lt;&gt;"UPC Not Found"),D170,IFERROR(INDEX('Product Master'!$B$2:$B$200,MATCH($C170,'Product Master'!$A$2:$A$200,0)),"UPC Not Found")))</f>
        <v/>
      </c>
      <c r="E170" s="9" t="str">
        <f aca="false">IF($C170="","",IF(AND(E170&lt;&gt;"",E170&lt;&gt;0,E170&lt;&gt;"UPC Not Found"),E170,IFERROR(INDEX('Product Master'!$C$2:$C$200,MATCH($C170,'Product Master'!$A$2:$A$200,0)),"UPC Not Found")))</f>
        <v/>
      </c>
      <c r="F170" s="9" t="str">
        <f aca="false">IF($C170="","",IF(AND(F170&lt;&gt;"",F170&lt;&gt;0,F170&lt;&gt;"UPC Not Found"),F170,IFERROR(INDEX('Product Master'!$D$2:$D$200,MATCH($C170,'Product Master'!$A$2:$A$200,0)),"UPC Not Found")))</f>
        <v/>
      </c>
      <c r="G170" s="11" t="str">
        <f aca="false">IF($C170="","",IF(AND(G170&lt;&gt;"",G170&lt;&gt;0,G170&lt;&gt;"UPC Not Found"),G170,IFERROR(INDEX('Product Master'!$E$2:$E$200,MATCH($C170,'Product Master'!$A$2:$A$200,0)),"UPC Not Found")))</f>
        <v/>
      </c>
      <c r="H170" s="12"/>
      <c r="I170" s="11" t="str">
        <f aca="false">IF(OR($C170="",H170="",G170="UPC Not Found"),"",H170-G170)</f>
        <v/>
      </c>
      <c r="J170" s="9" t="str">
        <f aca="false">IF($C170="","",IF(H170="","Not Counted",IF(I170=0,"Match",IF(I170&gt;0,"Overage","Shortage"))))</f>
        <v/>
      </c>
      <c r="K170" s="9" t="str">
        <f aca="false">IF($C170="","",IF(AND(K170&lt;&gt;"",K170&lt;&gt;0),K170,$B$4))</f>
        <v/>
      </c>
      <c r="L170" s="13"/>
      <c r="M170" s="13"/>
      <c r="N170" s="13"/>
    </row>
    <row r="171" customFormat="false" ht="15" hidden="false" customHeight="false" outlineLevel="0" collapsed="false">
      <c r="A171" s="8" t="str">
        <f aca="true">IF($C171="","",IF(AND(A171&lt;&gt;"",A171&lt;&gt;0),A171,TODAY()))</f>
        <v/>
      </c>
      <c r="B171" s="9" t="str">
        <f aca="false">IF($C171="","",IF(AND(B171&lt;&gt;"",B171&lt;&gt;0),B171,$E$4))</f>
        <v/>
      </c>
      <c r="C171" s="10"/>
      <c r="D171" s="9" t="str">
        <f aca="false">IF($C171="","",IF(AND(D171&lt;&gt;"",D171&lt;&gt;0,D171&lt;&gt;"UPC Not Found"),D171,IFERROR(INDEX('Product Master'!$B$2:$B$200,MATCH($C171,'Product Master'!$A$2:$A$200,0)),"UPC Not Found")))</f>
        <v/>
      </c>
      <c r="E171" s="9" t="str">
        <f aca="false">IF($C171="","",IF(AND(E171&lt;&gt;"",E171&lt;&gt;0,E171&lt;&gt;"UPC Not Found"),E171,IFERROR(INDEX('Product Master'!$C$2:$C$200,MATCH($C171,'Product Master'!$A$2:$A$200,0)),"UPC Not Found")))</f>
        <v/>
      </c>
      <c r="F171" s="9" t="str">
        <f aca="false">IF($C171="","",IF(AND(F171&lt;&gt;"",F171&lt;&gt;0,F171&lt;&gt;"UPC Not Found"),F171,IFERROR(INDEX('Product Master'!$D$2:$D$200,MATCH($C171,'Product Master'!$A$2:$A$200,0)),"UPC Not Found")))</f>
        <v/>
      </c>
      <c r="G171" s="11" t="str">
        <f aca="false">IF($C171="","",IF(AND(G171&lt;&gt;"",G171&lt;&gt;0,G171&lt;&gt;"UPC Not Found"),G171,IFERROR(INDEX('Product Master'!$E$2:$E$200,MATCH($C171,'Product Master'!$A$2:$A$200,0)),"UPC Not Found")))</f>
        <v/>
      </c>
      <c r="H171" s="12"/>
      <c r="I171" s="11" t="str">
        <f aca="false">IF(OR($C171="",H171="",G171="UPC Not Found"),"",H171-G171)</f>
        <v/>
      </c>
      <c r="J171" s="9" t="str">
        <f aca="false">IF($C171="","",IF(H171="","Not Counted",IF(I171=0,"Match",IF(I171&gt;0,"Overage","Shortage"))))</f>
        <v/>
      </c>
      <c r="K171" s="9" t="str">
        <f aca="false">IF($C171="","",IF(AND(K171&lt;&gt;"",K171&lt;&gt;0),K171,$B$4))</f>
        <v/>
      </c>
      <c r="L171" s="13"/>
      <c r="M171" s="13"/>
      <c r="N171" s="13"/>
    </row>
    <row r="172" customFormat="false" ht="15" hidden="false" customHeight="false" outlineLevel="0" collapsed="false">
      <c r="A172" s="8" t="str">
        <f aca="true">IF($C172="","",IF(AND(A172&lt;&gt;"",A172&lt;&gt;0),A172,TODAY()))</f>
        <v/>
      </c>
      <c r="B172" s="9" t="str">
        <f aca="false">IF($C172="","",IF(AND(B172&lt;&gt;"",B172&lt;&gt;0),B172,$E$4))</f>
        <v/>
      </c>
      <c r="C172" s="10"/>
      <c r="D172" s="9" t="str">
        <f aca="false">IF($C172="","",IF(AND(D172&lt;&gt;"",D172&lt;&gt;0,D172&lt;&gt;"UPC Not Found"),D172,IFERROR(INDEX('Product Master'!$B$2:$B$200,MATCH($C172,'Product Master'!$A$2:$A$200,0)),"UPC Not Found")))</f>
        <v/>
      </c>
      <c r="E172" s="9" t="str">
        <f aca="false">IF($C172="","",IF(AND(E172&lt;&gt;"",E172&lt;&gt;0,E172&lt;&gt;"UPC Not Found"),E172,IFERROR(INDEX('Product Master'!$C$2:$C$200,MATCH($C172,'Product Master'!$A$2:$A$200,0)),"UPC Not Found")))</f>
        <v/>
      </c>
      <c r="F172" s="9" t="str">
        <f aca="false">IF($C172="","",IF(AND(F172&lt;&gt;"",F172&lt;&gt;0,F172&lt;&gt;"UPC Not Found"),F172,IFERROR(INDEX('Product Master'!$D$2:$D$200,MATCH($C172,'Product Master'!$A$2:$A$200,0)),"UPC Not Found")))</f>
        <v/>
      </c>
      <c r="G172" s="11" t="str">
        <f aca="false">IF($C172="","",IF(AND(G172&lt;&gt;"",G172&lt;&gt;0,G172&lt;&gt;"UPC Not Found"),G172,IFERROR(INDEX('Product Master'!$E$2:$E$200,MATCH($C172,'Product Master'!$A$2:$A$200,0)),"UPC Not Found")))</f>
        <v/>
      </c>
      <c r="H172" s="12"/>
      <c r="I172" s="11" t="str">
        <f aca="false">IF(OR($C172="",H172="",G172="UPC Not Found"),"",H172-G172)</f>
        <v/>
      </c>
      <c r="J172" s="9" t="str">
        <f aca="false">IF($C172="","",IF(H172="","Not Counted",IF(I172=0,"Match",IF(I172&gt;0,"Overage","Shortage"))))</f>
        <v/>
      </c>
      <c r="K172" s="9" t="str">
        <f aca="false">IF($C172="","",IF(AND(K172&lt;&gt;"",K172&lt;&gt;0),K172,$B$4))</f>
        <v/>
      </c>
      <c r="L172" s="13"/>
      <c r="M172" s="13"/>
      <c r="N172" s="13"/>
    </row>
    <row r="173" customFormat="false" ht="15" hidden="false" customHeight="false" outlineLevel="0" collapsed="false">
      <c r="A173" s="8" t="str">
        <f aca="true">IF($C173="","",IF(AND(A173&lt;&gt;"",A173&lt;&gt;0),A173,TODAY()))</f>
        <v/>
      </c>
      <c r="B173" s="9" t="str">
        <f aca="false">IF($C173="","",IF(AND(B173&lt;&gt;"",B173&lt;&gt;0),B173,$E$4))</f>
        <v/>
      </c>
      <c r="C173" s="10"/>
      <c r="D173" s="9" t="str">
        <f aca="false">IF($C173="","",IF(AND(D173&lt;&gt;"",D173&lt;&gt;0,D173&lt;&gt;"UPC Not Found"),D173,IFERROR(INDEX('Product Master'!$B$2:$B$200,MATCH($C173,'Product Master'!$A$2:$A$200,0)),"UPC Not Found")))</f>
        <v/>
      </c>
      <c r="E173" s="9" t="str">
        <f aca="false">IF($C173="","",IF(AND(E173&lt;&gt;"",E173&lt;&gt;0,E173&lt;&gt;"UPC Not Found"),E173,IFERROR(INDEX('Product Master'!$C$2:$C$200,MATCH($C173,'Product Master'!$A$2:$A$200,0)),"UPC Not Found")))</f>
        <v/>
      </c>
      <c r="F173" s="9" t="str">
        <f aca="false">IF($C173="","",IF(AND(F173&lt;&gt;"",F173&lt;&gt;0,F173&lt;&gt;"UPC Not Found"),F173,IFERROR(INDEX('Product Master'!$D$2:$D$200,MATCH($C173,'Product Master'!$A$2:$A$200,0)),"UPC Not Found")))</f>
        <v/>
      </c>
      <c r="G173" s="11" t="str">
        <f aca="false">IF($C173="","",IF(AND(G173&lt;&gt;"",G173&lt;&gt;0,G173&lt;&gt;"UPC Not Found"),G173,IFERROR(INDEX('Product Master'!$E$2:$E$200,MATCH($C173,'Product Master'!$A$2:$A$200,0)),"UPC Not Found")))</f>
        <v/>
      </c>
      <c r="H173" s="12"/>
      <c r="I173" s="11" t="str">
        <f aca="false">IF(OR($C173="",H173="",G173="UPC Not Found"),"",H173-G173)</f>
        <v/>
      </c>
      <c r="J173" s="9" t="str">
        <f aca="false">IF($C173="","",IF(H173="","Not Counted",IF(I173=0,"Match",IF(I173&gt;0,"Overage","Shortage"))))</f>
        <v/>
      </c>
      <c r="K173" s="9" t="str">
        <f aca="false">IF($C173="","",IF(AND(K173&lt;&gt;"",K173&lt;&gt;0),K173,$B$4))</f>
        <v/>
      </c>
      <c r="L173" s="13"/>
      <c r="M173" s="13"/>
      <c r="N173" s="13"/>
    </row>
    <row r="174" customFormat="false" ht="15" hidden="false" customHeight="false" outlineLevel="0" collapsed="false">
      <c r="A174" s="8" t="str">
        <f aca="true">IF($C174="","",IF(AND(A174&lt;&gt;"",A174&lt;&gt;0),A174,TODAY()))</f>
        <v/>
      </c>
      <c r="B174" s="9" t="str">
        <f aca="false">IF($C174="","",IF(AND(B174&lt;&gt;"",B174&lt;&gt;0),B174,$E$4))</f>
        <v/>
      </c>
      <c r="C174" s="10"/>
      <c r="D174" s="9" t="str">
        <f aca="false">IF($C174="","",IF(AND(D174&lt;&gt;"",D174&lt;&gt;0,D174&lt;&gt;"UPC Not Found"),D174,IFERROR(INDEX('Product Master'!$B$2:$B$200,MATCH($C174,'Product Master'!$A$2:$A$200,0)),"UPC Not Found")))</f>
        <v/>
      </c>
      <c r="E174" s="9" t="str">
        <f aca="false">IF($C174="","",IF(AND(E174&lt;&gt;"",E174&lt;&gt;0,E174&lt;&gt;"UPC Not Found"),E174,IFERROR(INDEX('Product Master'!$C$2:$C$200,MATCH($C174,'Product Master'!$A$2:$A$200,0)),"UPC Not Found")))</f>
        <v/>
      </c>
      <c r="F174" s="9" t="str">
        <f aca="false">IF($C174="","",IF(AND(F174&lt;&gt;"",F174&lt;&gt;0,F174&lt;&gt;"UPC Not Found"),F174,IFERROR(INDEX('Product Master'!$D$2:$D$200,MATCH($C174,'Product Master'!$A$2:$A$200,0)),"UPC Not Found")))</f>
        <v/>
      </c>
      <c r="G174" s="11" t="str">
        <f aca="false">IF($C174="","",IF(AND(G174&lt;&gt;"",G174&lt;&gt;0,G174&lt;&gt;"UPC Not Found"),G174,IFERROR(INDEX('Product Master'!$E$2:$E$200,MATCH($C174,'Product Master'!$A$2:$A$200,0)),"UPC Not Found")))</f>
        <v/>
      </c>
      <c r="H174" s="12"/>
      <c r="I174" s="11" t="str">
        <f aca="false">IF(OR($C174="",H174="",G174="UPC Not Found"),"",H174-G174)</f>
        <v/>
      </c>
      <c r="J174" s="9" t="str">
        <f aca="false">IF($C174="","",IF(H174="","Not Counted",IF(I174=0,"Match",IF(I174&gt;0,"Overage","Shortage"))))</f>
        <v/>
      </c>
      <c r="K174" s="9" t="str">
        <f aca="false">IF($C174="","",IF(AND(K174&lt;&gt;"",K174&lt;&gt;0),K174,$B$4))</f>
        <v/>
      </c>
      <c r="L174" s="13"/>
      <c r="M174" s="13"/>
      <c r="N174" s="13"/>
    </row>
    <row r="175" customFormat="false" ht="15" hidden="false" customHeight="false" outlineLevel="0" collapsed="false">
      <c r="A175" s="8" t="str">
        <f aca="true">IF($C175="","",IF(AND(A175&lt;&gt;"",A175&lt;&gt;0),A175,TODAY()))</f>
        <v/>
      </c>
      <c r="B175" s="9" t="str">
        <f aca="false">IF($C175="","",IF(AND(B175&lt;&gt;"",B175&lt;&gt;0),B175,$E$4))</f>
        <v/>
      </c>
      <c r="C175" s="10"/>
      <c r="D175" s="9" t="str">
        <f aca="false">IF($C175="","",IF(AND(D175&lt;&gt;"",D175&lt;&gt;0,D175&lt;&gt;"UPC Not Found"),D175,IFERROR(INDEX('Product Master'!$B$2:$B$200,MATCH($C175,'Product Master'!$A$2:$A$200,0)),"UPC Not Found")))</f>
        <v/>
      </c>
      <c r="E175" s="9" t="str">
        <f aca="false">IF($C175="","",IF(AND(E175&lt;&gt;"",E175&lt;&gt;0,E175&lt;&gt;"UPC Not Found"),E175,IFERROR(INDEX('Product Master'!$C$2:$C$200,MATCH($C175,'Product Master'!$A$2:$A$200,0)),"UPC Not Found")))</f>
        <v/>
      </c>
      <c r="F175" s="9" t="str">
        <f aca="false">IF($C175="","",IF(AND(F175&lt;&gt;"",F175&lt;&gt;0,F175&lt;&gt;"UPC Not Found"),F175,IFERROR(INDEX('Product Master'!$D$2:$D$200,MATCH($C175,'Product Master'!$A$2:$A$200,0)),"UPC Not Found")))</f>
        <v/>
      </c>
      <c r="G175" s="11" t="str">
        <f aca="false">IF($C175="","",IF(AND(G175&lt;&gt;"",G175&lt;&gt;0,G175&lt;&gt;"UPC Not Found"),G175,IFERROR(INDEX('Product Master'!$E$2:$E$200,MATCH($C175,'Product Master'!$A$2:$A$200,0)),"UPC Not Found")))</f>
        <v/>
      </c>
      <c r="H175" s="12"/>
      <c r="I175" s="11" t="str">
        <f aca="false">IF(OR($C175="",H175="",G175="UPC Not Found"),"",H175-G175)</f>
        <v/>
      </c>
      <c r="J175" s="9" t="str">
        <f aca="false">IF($C175="","",IF(H175="","Not Counted",IF(I175=0,"Match",IF(I175&gt;0,"Overage","Shortage"))))</f>
        <v/>
      </c>
      <c r="K175" s="9" t="str">
        <f aca="false">IF($C175="","",IF(AND(K175&lt;&gt;"",K175&lt;&gt;0),K175,$B$4))</f>
        <v/>
      </c>
      <c r="L175" s="13"/>
      <c r="M175" s="13"/>
      <c r="N175" s="13"/>
    </row>
    <row r="176" customFormat="false" ht="15" hidden="false" customHeight="false" outlineLevel="0" collapsed="false">
      <c r="A176" s="8" t="str">
        <f aca="true">IF($C176="","",IF(AND(A176&lt;&gt;"",A176&lt;&gt;0),A176,TODAY()))</f>
        <v/>
      </c>
      <c r="B176" s="9" t="str">
        <f aca="false">IF($C176="","",IF(AND(B176&lt;&gt;"",B176&lt;&gt;0),B176,$E$4))</f>
        <v/>
      </c>
      <c r="C176" s="10"/>
      <c r="D176" s="9" t="str">
        <f aca="false">IF($C176="","",IF(AND(D176&lt;&gt;"",D176&lt;&gt;0,D176&lt;&gt;"UPC Not Found"),D176,IFERROR(INDEX('Product Master'!$B$2:$B$200,MATCH($C176,'Product Master'!$A$2:$A$200,0)),"UPC Not Found")))</f>
        <v/>
      </c>
      <c r="E176" s="9" t="str">
        <f aca="false">IF($C176="","",IF(AND(E176&lt;&gt;"",E176&lt;&gt;0,E176&lt;&gt;"UPC Not Found"),E176,IFERROR(INDEX('Product Master'!$C$2:$C$200,MATCH($C176,'Product Master'!$A$2:$A$200,0)),"UPC Not Found")))</f>
        <v/>
      </c>
      <c r="F176" s="9" t="str">
        <f aca="false">IF($C176="","",IF(AND(F176&lt;&gt;"",F176&lt;&gt;0,F176&lt;&gt;"UPC Not Found"),F176,IFERROR(INDEX('Product Master'!$D$2:$D$200,MATCH($C176,'Product Master'!$A$2:$A$200,0)),"UPC Not Found")))</f>
        <v/>
      </c>
      <c r="G176" s="11" t="str">
        <f aca="false">IF($C176="","",IF(AND(G176&lt;&gt;"",G176&lt;&gt;0,G176&lt;&gt;"UPC Not Found"),G176,IFERROR(INDEX('Product Master'!$E$2:$E$200,MATCH($C176,'Product Master'!$A$2:$A$200,0)),"UPC Not Found")))</f>
        <v/>
      </c>
      <c r="H176" s="12"/>
      <c r="I176" s="11" t="str">
        <f aca="false">IF(OR($C176="",H176="",G176="UPC Not Found"),"",H176-G176)</f>
        <v/>
      </c>
      <c r="J176" s="9" t="str">
        <f aca="false">IF($C176="","",IF(H176="","Not Counted",IF(I176=0,"Match",IF(I176&gt;0,"Overage","Shortage"))))</f>
        <v/>
      </c>
      <c r="K176" s="9" t="str">
        <f aca="false">IF($C176="","",IF(AND(K176&lt;&gt;"",K176&lt;&gt;0),K176,$B$4))</f>
        <v/>
      </c>
      <c r="L176" s="13"/>
      <c r="M176" s="13"/>
      <c r="N176" s="13"/>
    </row>
    <row r="177" customFormat="false" ht="15" hidden="false" customHeight="false" outlineLevel="0" collapsed="false">
      <c r="A177" s="8" t="str">
        <f aca="true">IF($C177="","",IF(AND(A177&lt;&gt;"",A177&lt;&gt;0),A177,TODAY()))</f>
        <v/>
      </c>
      <c r="B177" s="9" t="str">
        <f aca="false">IF($C177="","",IF(AND(B177&lt;&gt;"",B177&lt;&gt;0),B177,$E$4))</f>
        <v/>
      </c>
      <c r="C177" s="10"/>
      <c r="D177" s="9" t="str">
        <f aca="false">IF($C177="","",IF(AND(D177&lt;&gt;"",D177&lt;&gt;0,D177&lt;&gt;"UPC Not Found"),D177,IFERROR(INDEX('Product Master'!$B$2:$B$200,MATCH($C177,'Product Master'!$A$2:$A$200,0)),"UPC Not Found")))</f>
        <v/>
      </c>
      <c r="E177" s="9" t="str">
        <f aca="false">IF($C177="","",IF(AND(E177&lt;&gt;"",E177&lt;&gt;0,E177&lt;&gt;"UPC Not Found"),E177,IFERROR(INDEX('Product Master'!$C$2:$C$200,MATCH($C177,'Product Master'!$A$2:$A$200,0)),"UPC Not Found")))</f>
        <v/>
      </c>
      <c r="F177" s="9" t="str">
        <f aca="false">IF($C177="","",IF(AND(F177&lt;&gt;"",F177&lt;&gt;0,F177&lt;&gt;"UPC Not Found"),F177,IFERROR(INDEX('Product Master'!$D$2:$D$200,MATCH($C177,'Product Master'!$A$2:$A$200,0)),"UPC Not Found")))</f>
        <v/>
      </c>
      <c r="G177" s="11" t="str">
        <f aca="false">IF($C177="","",IF(AND(G177&lt;&gt;"",G177&lt;&gt;0,G177&lt;&gt;"UPC Not Found"),G177,IFERROR(INDEX('Product Master'!$E$2:$E$200,MATCH($C177,'Product Master'!$A$2:$A$200,0)),"UPC Not Found")))</f>
        <v/>
      </c>
      <c r="H177" s="12"/>
      <c r="I177" s="11" t="str">
        <f aca="false">IF(OR($C177="",H177="",G177="UPC Not Found"),"",H177-G177)</f>
        <v/>
      </c>
      <c r="J177" s="9" t="str">
        <f aca="false">IF($C177="","",IF(H177="","Not Counted",IF(I177=0,"Match",IF(I177&gt;0,"Overage","Shortage"))))</f>
        <v/>
      </c>
      <c r="K177" s="9" t="str">
        <f aca="false">IF($C177="","",IF(AND(K177&lt;&gt;"",K177&lt;&gt;0),K177,$B$4))</f>
        <v/>
      </c>
      <c r="L177" s="13"/>
      <c r="M177" s="13"/>
      <c r="N177" s="13"/>
    </row>
    <row r="178" customFormat="false" ht="15" hidden="false" customHeight="false" outlineLevel="0" collapsed="false">
      <c r="A178" s="8" t="str">
        <f aca="true">IF($C178="","",IF(AND(A178&lt;&gt;"",A178&lt;&gt;0),A178,TODAY()))</f>
        <v/>
      </c>
      <c r="B178" s="9" t="str">
        <f aca="false">IF($C178="","",IF(AND(B178&lt;&gt;"",B178&lt;&gt;0),B178,$E$4))</f>
        <v/>
      </c>
      <c r="C178" s="10"/>
      <c r="D178" s="9" t="str">
        <f aca="false">IF($C178="","",IF(AND(D178&lt;&gt;"",D178&lt;&gt;0,D178&lt;&gt;"UPC Not Found"),D178,IFERROR(INDEX('Product Master'!$B$2:$B$200,MATCH($C178,'Product Master'!$A$2:$A$200,0)),"UPC Not Found")))</f>
        <v/>
      </c>
      <c r="E178" s="9" t="str">
        <f aca="false">IF($C178="","",IF(AND(E178&lt;&gt;"",E178&lt;&gt;0,E178&lt;&gt;"UPC Not Found"),E178,IFERROR(INDEX('Product Master'!$C$2:$C$200,MATCH($C178,'Product Master'!$A$2:$A$200,0)),"UPC Not Found")))</f>
        <v/>
      </c>
      <c r="F178" s="9" t="str">
        <f aca="false">IF($C178="","",IF(AND(F178&lt;&gt;"",F178&lt;&gt;0,F178&lt;&gt;"UPC Not Found"),F178,IFERROR(INDEX('Product Master'!$D$2:$D$200,MATCH($C178,'Product Master'!$A$2:$A$200,0)),"UPC Not Found")))</f>
        <v/>
      </c>
      <c r="G178" s="11" t="str">
        <f aca="false">IF($C178="","",IF(AND(G178&lt;&gt;"",G178&lt;&gt;0,G178&lt;&gt;"UPC Not Found"),G178,IFERROR(INDEX('Product Master'!$E$2:$E$200,MATCH($C178,'Product Master'!$A$2:$A$200,0)),"UPC Not Found")))</f>
        <v/>
      </c>
      <c r="H178" s="12"/>
      <c r="I178" s="11" t="str">
        <f aca="false">IF(OR($C178="",H178="",G178="UPC Not Found"),"",H178-G178)</f>
        <v/>
      </c>
      <c r="J178" s="9" t="str">
        <f aca="false">IF($C178="","",IF(H178="","Not Counted",IF(I178=0,"Match",IF(I178&gt;0,"Overage","Shortage"))))</f>
        <v/>
      </c>
      <c r="K178" s="9" t="str">
        <f aca="false">IF($C178="","",IF(AND(K178&lt;&gt;"",K178&lt;&gt;0),K178,$B$4))</f>
        <v/>
      </c>
      <c r="L178" s="13"/>
      <c r="M178" s="13"/>
      <c r="N178" s="13"/>
    </row>
    <row r="179" customFormat="false" ht="15" hidden="false" customHeight="false" outlineLevel="0" collapsed="false">
      <c r="A179" s="8" t="str">
        <f aca="true">IF($C179="","",IF(AND(A179&lt;&gt;"",A179&lt;&gt;0),A179,TODAY()))</f>
        <v/>
      </c>
      <c r="B179" s="9" t="str">
        <f aca="false">IF($C179="","",IF(AND(B179&lt;&gt;"",B179&lt;&gt;0),B179,$E$4))</f>
        <v/>
      </c>
      <c r="C179" s="10"/>
      <c r="D179" s="9" t="str">
        <f aca="false">IF($C179="","",IF(AND(D179&lt;&gt;"",D179&lt;&gt;0,D179&lt;&gt;"UPC Not Found"),D179,IFERROR(INDEX('Product Master'!$B$2:$B$200,MATCH($C179,'Product Master'!$A$2:$A$200,0)),"UPC Not Found")))</f>
        <v/>
      </c>
      <c r="E179" s="9" t="str">
        <f aca="false">IF($C179="","",IF(AND(E179&lt;&gt;"",E179&lt;&gt;0,E179&lt;&gt;"UPC Not Found"),E179,IFERROR(INDEX('Product Master'!$C$2:$C$200,MATCH($C179,'Product Master'!$A$2:$A$200,0)),"UPC Not Found")))</f>
        <v/>
      </c>
      <c r="F179" s="9" t="str">
        <f aca="false">IF($C179="","",IF(AND(F179&lt;&gt;"",F179&lt;&gt;0,F179&lt;&gt;"UPC Not Found"),F179,IFERROR(INDEX('Product Master'!$D$2:$D$200,MATCH($C179,'Product Master'!$A$2:$A$200,0)),"UPC Not Found")))</f>
        <v/>
      </c>
      <c r="G179" s="11" t="str">
        <f aca="false">IF($C179="","",IF(AND(G179&lt;&gt;"",G179&lt;&gt;0,G179&lt;&gt;"UPC Not Found"),G179,IFERROR(INDEX('Product Master'!$E$2:$E$200,MATCH($C179,'Product Master'!$A$2:$A$200,0)),"UPC Not Found")))</f>
        <v/>
      </c>
      <c r="H179" s="12"/>
      <c r="I179" s="11" t="str">
        <f aca="false">IF(OR($C179="",H179="",G179="UPC Not Found"),"",H179-G179)</f>
        <v/>
      </c>
      <c r="J179" s="9" t="str">
        <f aca="false">IF($C179="","",IF(H179="","Not Counted",IF(I179=0,"Match",IF(I179&gt;0,"Overage","Shortage"))))</f>
        <v/>
      </c>
      <c r="K179" s="9" t="str">
        <f aca="false">IF($C179="","",IF(AND(K179&lt;&gt;"",K179&lt;&gt;0),K179,$B$4))</f>
        <v/>
      </c>
      <c r="L179" s="13"/>
      <c r="M179" s="13"/>
      <c r="N179" s="13"/>
    </row>
    <row r="180" customFormat="false" ht="15" hidden="false" customHeight="false" outlineLevel="0" collapsed="false">
      <c r="A180" s="8" t="str">
        <f aca="true">IF($C180="","",IF(AND(A180&lt;&gt;"",A180&lt;&gt;0),A180,TODAY()))</f>
        <v/>
      </c>
      <c r="B180" s="9" t="str">
        <f aca="false">IF($C180="","",IF(AND(B180&lt;&gt;"",B180&lt;&gt;0),B180,$E$4))</f>
        <v/>
      </c>
      <c r="C180" s="10"/>
      <c r="D180" s="9" t="str">
        <f aca="false">IF($C180="","",IF(AND(D180&lt;&gt;"",D180&lt;&gt;0,D180&lt;&gt;"UPC Not Found"),D180,IFERROR(INDEX('Product Master'!$B$2:$B$200,MATCH($C180,'Product Master'!$A$2:$A$200,0)),"UPC Not Found")))</f>
        <v/>
      </c>
      <c r="E180" s="9" t="str">
        <f aca="false">IF($C180="","",IF(AND(E180&lt;&gt;"",E180&lt;&gt;0,E180&lt;&gt;"UPC Not Found"),E180,IFERROR(INDEX('Product Master'!$C$2:$C$200,MATCH($C180,'Product Master'!$A$2:$A$200,0)),"UPC Not Found")))</f>
        <v/>
      </c>
      <c r="F180" s="9" t="str">
        <f aca="false">IF($C180="","",IF(AND(F180&lt;&gt;"",F180&lt;&gt;0,F180&lt;&gt;"UPC Not Found"),F180,IFERROR(INDEX('Product Master'!$D$2:$D$200,MATCH($C180,'Product Master'!$A$2:$A$200,0)),"UPC Not Found")))</f>
        <v/>
      </c>
      <c r="G180" s="11" t="str">
        <f aca="false">IF($C180="","",IF(AND(G180&lt;&gt;"",G180&lt;&gt;0,G180&lt;&gt;"UPC Not Found"),G180,IFERROR(INDEX('Product Master'!$E$2:$E$200,MATCH($C180,'Product Master'!$A$2:$A$200,0)),"UPC Not Found")))</f>
        <v/>
      </c>
      <c r="H180" s="12"/>
      <c r="I180" s="11" t="str">
        <f aca="false">IF(OR($C180="",H180="",G180="UPC Not Found"),"",H180-G180)</f>
        <v/>
      </c>
      <c r="J180" s="9" t="str">
        <f aca="false">IF($C180="","",IF(H180="","Not Counted",IF(I180=0,"Match",IF(I180&gt;0,"Overage","Shortage"))))</f>
        <v/>
      </c>
      <c r="K180" s="9" t="str">
        <f aca="false">IF($C180="","",IF(AND(K180&lt;&gt;"",K180&lt;&gt;0),K180,$B$4))</f>
        <v/>
      </c>
      <c r="L180" s="13"/>
      <c r="M180" s="13"/>
      <c r="N180" s="13"/>
    </row>
    <row r="181" customFormat="false" ht="15" hidden="false" customHeight="false" outlineLevel="0" collapsed="false">
      <c r="A181" s="8" t="str">
        <f aca="true">IF($C181="","",IF(AND(A181&lt;&gt;"",A181&lt;&gt;0),A181,TODAY()))</f>
        <v/>
      </c>
      <c r="B181" s="9" t="str">
        <f aca="false">IF($C181="","",IF(AND(B181&lt;&gt;"",B181&lt;&gt;0),B181,$E$4))</f>
        <v/>
      </c>
      <c r="C181" s="10"/>
      <c r="D181" s="9" t="str">
        <f aca="false">IF($C181="","",IF(AND(D181&lt;&gt;"",D181&lt;&gt;0,D181&lt;&gt;"UPC Not Found"),D181,IFERROR(INDEX('Product Master'!$B$2:$B$200,MATCH($C181,'Product Master'!$A$2:$A$200,0)),"UPC Not Found")))</f>
        <v/>
      </c>
      <c r="E181" s="9" t="str">
        <f aca="false">IF($C181="","",IF(AND(E181&lt;&gt;"",E181&lt;&gt;0,E181&lt;&gt;"UPC Not Found"),E181,IFERROR(INDEX('Product Master'!$C$2:$C$200,MATCH($C181,'Product Master'!$A$2:$A$200,0)),"UPC Not Found")))</f>
        <v/>
      </c>
      <c r="F181" s="9" t="str">
        <f aca="false">IF($C181="","",IF(AND(F181&lt;&gt;"",F181&lt;&gt;0,F181&lt;&gt;"UPC Not Found"),F181,IFERROR(INDEX('Product Master'!$D$2:$D$200,MATCH($C181,'Product Master'!$A$2:$A$200,0)),"UPC Not Found")))</f>
        <v/>
      </c>
      <c r="G181" s="11" t="str">
        <f aca="false">IF($C181="","",IF(AND(G181&lt;&gt;"",G181&lt;&gt;0,G181&lt;&gt;"UPC Not Found"),G181,IFERROR(INDEX('Product Master'!$E$2:$E$200,MATCH($C181,'Product Master'!$A$2:$A$200,0)),"UPC Not Found")))</f>
        <v/>
      </c>
      <c r="H181" s="12"/>
      <c r="I181" s="11" t="str">
        <f aca="false">IF(OR($C181="",H181="",G181="UPC Not Found"),"",H181-G181)</f>
        <v/>
      </c>
      <c r="J181" s="9" t="str">
        <f aca="false">IF($C181="","",IF(H181="","Not Counted",IF(I181=0,"Match",IF(I181&gt;0,"Overage","Shortage"))))</f>
        <v/>
      </c>
      <c r="K181" s="9" t="str">
        <f aca="false">IF($C181="","",IF(AND(K181&lt;&gt;"",K181&lt;&gt;0),K181,$B$4))</f>
        <v/>
      </c>
      <c r="L181" s="13"/>
      <c r="M181" s="13"/>
      <c r="N181" s="13"/>
    </row>
    <row r="182" customFormat="false" ht="15" hidden="false" customHeight="false" outlineLevel="0" collapsed="false">
      <c r="A182" s="8" t="str">
        <f aca="true">IF($C182="","",IF(AND(A182&lt;&gt;"",A182&lt;&gt;0),A182,TODAY()))</f>
        <v/>
      </c>
      <c r="B182" s="9" t="str">
        <f aca="false">IF($C182="","",IF(AND(B182&lt;&gt;"",B182&lt;&gt;0),B182,$E$4))</f>
        <v/>
      </c>
      <c r="C182" s="10"/>
      <c r="D182" s="9" t="str">
        <f aca="false">IF($C182="","",IF(AND(D182&lt;&gt;"",D182&lt;&gt;0,D182&lt;&gt;"UPC Not Found"),D182,IFERROR(INDEX('Product Master'!$B$2:$B$200,MATCH($C182,'Product Master'!$A$2:$A$200,0)),"UPC Not Found")))</f>
        <v/>
      </c>
      <c r="E182" s="9" t="str">
        <f aca="false">IF($C182="","",IF(AND(E182&lt;&gt;"",E182&lt;&gt;0,E182&lt;&gt;"UPC Not Found"),E182,IFERROR(INDEX('Product Master'!$C$2:$C$200,MATCH($C182,'Product Master'!$A$2:$A$200,0)),"UPC Not Found")))</f>
        <v/>
      </c>
      <c r="F182" s="9" t="str">
        <f aca="false">IF($C182="","",IF(AND(F182&lt;&gt;"",F182&lt;&gt;0,F182&lt;&gt;"UPC Not Found"),F182,IFERROR(INDEX('Product Master'!$D$2:$D$200,MATCH($C182,'Product Master'!$A$2:$A$200,0)),"UPC Not Found")))</f>
        <v/>
      </c>
      <c r="G182" s="11" t="str">
        <f aca="false">IF($C182="","",IF(AND(G182&lt;&gt;"",G182&lt;&gt;0,G182&lt;&gt;"UPC Not Found"),G182,IFERROR(INDEX('Product Master'!$E$2:$E$200,MATCH($C182,'Product Master'!$A$2:$A$200,0)),"UPC Not Found")))</f>
        <v/>
      </c>
      <c r="H182" s="12"/>
      <c r="I182" s="11" t="str">
        <f aca="false">IF(OR($C182="",H182="",G182="UPC Not Found"),"",H182-G182)</f>
        <v/>
      </c>
      <c r="J182" s="9" t="str">
        <f aca="false">IF($C182="","",IF(H182="","Not Counted",IF(I182=0,"Match",IF(I182&gt;0,"Overage","Shortage"))))</f>
        <v/>
      </c>
      <c r="K182" s="9" t="str">
        <f aca="false">IF($C182="","",IF(AND(K182&lt;&gt;"",K182&lt;&gt;0),K182,$B$4))</f>
        <v/>
      </c>
      <c r="L182" s="13"/>
      <c r="M182" s="13"/>
      <c r="N182" s="13"/>
    </row>
    <row r="183" customFormat="false" ht="15" hidden="false" customHeight="false" outlineLevel="0" collapsed="false">
      <c r="A183" s="8" t="str">
        <f aca="true">IF($C183="","",IF(AND(A183&lt;&gt;"",A183&lt;&gt;0),A183,TODAY()))</f>
        <v/>
      </c>
      <c r="B183" s="9" t="str">
        <f aca="false">IF($C183="","",IF(AND(B183&lt;&gt;"",B183&lt;&gt;0),B183,$E$4))</f>
        <v/>
      </c>
      <c r="C183" s="10"/>
      <c r="D183" s="9" t="str">
        <f aca="false">IF($C183="","",IF(AND(D183&lt;&gt;"",D183&lt;&gt;0,D183&lt;&gt;"UPC Not Found"),D183,IFERROR(INDEX('Product Master'!$B$2:$B$200,MATCH($C183,'Product Master'!$A$2:$A$200,0)),"UPC Not Found")))</f>
        <v/>
      </c>
      <c r="E183" s="9" t="str">
        <f aca="false">IF($C183="","",IF(AND(E183&lt;&gt;"",E183&lt;&gt;0,E183&lt;&gt;"UPC Not Found"),E183,IFERROR(INDEX('Product Master'!$C$2:$C$200,MATCH($C183,'Product Master'!$A$2:$A$200,0)),"UPC Not Found")))</f>
        <v/>
      </c>
      <c r="F183" s="9" t="str">
        <f aca="false">IF($C183="","",IF(AND(F183&lt;&gt;"",F183&lt;&gt;0,F183&lt;&gt;"UPC Not Found"),F183,IFERROR(INDEX('Product Master'!$D$2:$D$200,MATCH($C183,'Product Master'!$A$2:$A$200,0)),"UPC Not Found")))</f>
        <v/>
      </c>
      <c r="G183" s="11" t="str">
        <f aca="false">IF($C183="","",IF(AND(G183&lt;&gt;"",G183&lt;&gt;0,G183&lt;&gt;"UPC Not Found"),G183,IFERROR(INDEX('Product Master'!$E$2:$E$200,MATCH($C183,'Product Master'!$A$2:$A$200,0)),"UPC Not Found")))</f>
        <v/>
      </c>
      <c r="H183" s="12"/>
      <c r="I183" s="11" t="str">
        <f aca="false">IF(OR($C183="",H183="",G183="UPC Not Found"),"",H183-G183)</f>
        <v/>
      </c>
      <c r="J183" s="9" t="str">
        <f aca="false">IF($C183="","",IF(H183="","Not Counted",IF(I183=0,"Match",IF(I183&gt;0,"Overage","Shortage"))))</f>
        <v/>
      </c>
      <c r="K183" s="9" t="str">
        <f aca="false">IF($C183="","",IF(AND(K183&lt;&gt;"",K183&lt;&gt;0),K183,$B$4))</f>
        <v/>
      </c>
      <c r="L183" s="13"/>
      <c r="M183" s="13"/>
      <c r="N183" s="13"/>
    </row>
    <row r="184" customFormat="false" ht="15" hidden="false" customHeight="false" outlineLevel="0" collapsed="false">
      <c r="A184" s="8" t="str">
        <f aca="true">IF($C184="","",IF(AND(A184&lt;&gt;"",A184&lt;&gt;0),A184,TODAY()))</f>
        <v/>
      </c>
      <c r="B184" s="9" t="str">
        <f aca="false">IF($C184="","",IF(AND(B184&lt;&gt;"",B184&lt;&gt;0),B184,$E$4))</f>
        <v/>
      </c>
      <c r="C184" s="10"/>
      <c r="D184" s="9" t="str">
        <f aca="false">IF($C184="","",IF(AND(D184&lt;&gt;"",D184&lt;&gt;0,D184&lt;&gt;"UPC Not Found"),D184,IFERROR(INDEX('Product Master'!$B$2:$B$200,MATCH($C184,'Product Master'!$A$2:$A$200,0)),"UPC Not Found")))</f>
        <v/>
      </c>
      <c r="E184" s="9" t="str">
        <f aca="false">IF($C184="","",IF(AND(E184&lt;&gt;"",E184&lt;&gt;0,E184&lt;&gt;"UPC Not Found"),E184,IFERROR(INDEX('Product Master'!$C$2:$C$200,MATCH($C184,'Product Master'!$A$2:$A$200,0)),"UPC Not Found")))</f>
        <v/>
      </c>
      <c r="F184" s="9" t="str">
        <f aca="false">IF($C184="","",IF(AND(F184&lt;&gt;"",F184&lt;&gt;0,F184&lt;&gt;"UPC Not Found"),F184,IFERROR(INDEX('Product Master'!$D$2:$D$200,MATCH($C184,'Product Master'!$A$2:$A$200,0)),"UPC Not Found")))</f>
        <v/>
      </c>
      <c r="G184" s="11" t="str">
        <f aca="false">IF($C184="","",IF(AND(G184&lt;&gt;"",G184&lt;&gt;0,G184&lt;&gt;"UPC Not Found"),G184,IFERROR(INDEX('Product Master'!$E$2:$E$200,MATCH($C184,'Product Master'!$A$2:$A$200,0)),"UPC Not Found")))</f>
        <v/>
      </c>
      <c r="H184" s="12"/>
      <c r="I184" s="11" t="str">
        <f aca="false">IF(OR($C184="",H184="",G184="UPC Not Found"),"",H184-G184)</f>
        <v/>
      </c>
      <c r="J184" s="9" t="str">
        <f aca="false">IF($C184="","",IF(H184="","Not Counted",IF(I184=0,"Match",IF(I184&gt;0,"Overage","Shortage"))))</f>
        <v/>
      </c>
      <c r="K184" s="9" t="str">
        <f aca="false">IF($C184="","",IF(AND(K184&lt;&gt;"",K184&lt;&gt;0),K184,$B$4))</f>
        <v/>
      </c>
      <c r="L184" s="13"/>
      <c r="M184" s="13"/>
      <c r="N184" s="13"/>
    </row>
    <row r="185" customFormat="false" ht="15" hidden="false" customHeight="false" outlineLevel="0" collapsed="false">
      <c r="A185" s="8" t="str">
        <f aca="true">IF($C185="","",IF(AND(A185&lt;&gt;"",A185&lt;&gt;0),A185,TODAY()))</f>
        <v/>
      </c>
      <c r="B185" s="9" t="str">
        <f aca="false">IF($C185="","",IF(AND(B185&lt;&gt;"",B185&lt;&gt;0),B185,$E$4))</f>
        <v/>
      </c>
      <c r="C185" s="10"/>
      <c r="D185" s="9" t="str">
        <f aca="false">IF($C185="","",IF(AND(D185&lt;&gt;"",D185&lt;&gt;0,D185&lt;&gt;"UPC Not Found"),D185,IFERROR(INDEX('Product Master'!$B$2:$B$200,MATCH($C185,'Product Master'!$A$2:$A$200,0)),"UPC Not Found")))</f>
        <v/>
      </c>
      <c r="E185" s="9" t="str">
        <f aca="false">IF($C185="","",IF(AND(E185&lt;&gt;"",E185&lt;&gt;0,E185&lt;&gt;"UPC Not Found"),E185,IFERROR(INDEX('Product Master'!$C$2:$C$200,MATCH($C185,'Product Master'!$A$2:$A$200,0)),"UPC Not Found")))</f>
        <v/>
      </c>
      <c r="F185" s="9" t="str">
        <f aca="false">IF($C185="","",IF(AND(F185&lt;&gt;"",F185&lt;&gt;0,F185&lt;&gt;"UPC Not Found"),F185,IFERROR(INDEX('Product Master'!$D$2:$D$200,MATCH($C185,'Product Master'!$A$2:$A$200,0)),"UPC Not Found")))</f>
        <v/>
      </c>
      <c r="G185" s="11" t="str">
        <f aca="false">IF($C185="","",IF(AND(G185&lt;&gt;"",G185&lt;&gt;0,G185&lt;&gt;"UPC Not Found"),G185,IFERROR(INDEX('Product Master'!$E$2:$E$200,MATCH($C185,'Product Master'!$A$2:$A$200,0)),"UPC Not Found")))</f>
        <v/>
      </c>
      <c r="H185" s="12"/>
      <c r="I185" s="11" t="str">
        <f aca="false">IF(OR($C185="",H185="",G185="UPC Not Found"),"",H185-G185)</f>
        <v/>
      </c>
      <c r="J185" s="9" t="str">
        <f aca="false">IF($C185="","",IF(H185="","Not Counted",IF(I185=0,"Match",IF(I185&gt;0,"Overage","Shortage"))))</f>
        <v/>
      </c>
      <c r="K185" s="9" t="str">
        <f aca="false">IF($C185="","",IF(AND(K185&lt;&gt;"",K185&lt;&gt;0),K185,$B$4))</f>
        <v/>
      </c>
      <c r="L185" s="13"/>
      <c r="M185" s="13"/>
      <c r="N185" s="13"/>
    </row>
    <row r="186" customFormat="false" ht="15" hidden="false" customHeight="false" outlineLevel="0" collapsed="false">
      <c r="A186" s="8" t="str">
        <f aca="true">IF($C186="","",IF(AND(A186&lt;&gt;"",A186&lt;&gt;0),A186,TODAY()))</f>
        <v/>
      </c>
      <c r="B186" s="9" t="str">
        <f aca="false">IF($C186="","",IF(AND(B186&lt;&gt;"",B186&lt;&gt;0),B186,$E$4))</f>
        <v/>
      </c>
      <c r="C186" s="10"/>
      <c r="D186" s="9" t="str">
        <f aca="false">IF($C186="","",IF(AND(D186&lt;&gt;"",D186&lt;&gt;0,D186&lt;&gt;"UPC Not Found"),D186,IFERROR(INDEX('Product Master'!$B$2:$B$200,MATCH($C186,'Product Master'!$A$2:$A$200,0)),"UPC Not Found")))</f>
        <v/>
      </c>
      <c r="E186" s="9" t="str">
        <f aca="false">IF($C186="","",IF(AND(E186&lt;&gt;"",E186&lt;&gt;0,E186&lt;&gt;"UPC Not Found"),E186,IFERROR(INDEX('Product Master'!$C$2:$C$200,MATCH($C186,'Product Master'!$A$2:$A$200,0)),"UPC Not Found")))</f>
        <v/>
      </c>
      <c r="F186" s="9" t="str">
        <f aca="false">IF($C186="","",IF(AND(F186&lt;&gt;"",F186&lt;&gt;0,F186&lt;&gt;"UPC Not Found"),F186,IFERROR(INDEX('Product Master'!$D$2:$D$200,MATCH($C186,'Product Master'!$A$2:$A$200,0)),"UPC Not Found")))</f>
        <v/>
      </c>
      <c r="G186" s="11" t="str">
        <f aca="false">IF($C186="","",IF(AND(G186&lt;&gt;"",G186&lt;&gt;0,G186&lt;&gt;"UPC Not Found"),G186,IFERROR(INDEX('Product Master'!$E$2:$E$200,MATCH($C186,'Product Master'!$A$2:$A$200,0)),"UPC Not Found")))</f>
        <v/>
      </c>
      <c r="H186" s="12"/>
      <c r="I186" s="11" t="str">
        <f aca="false">IF(OR($C186="",H186="",G186="UPC Not Found"),"",H186-G186)</f>
        <v/>
      </c>
      <c r="J186" s="9" t="str">
        <f aca="false">IF($C186="","",IF(H186="","Not Counted",IF(I186=0,"Match",IF(I186&gt;0,"Overage","Shortage"))))</f>
        <v/>
      </c>
      <c r="K186" s="9" t="str">
        <f aca="false">IF($C186="","",IF(AND(K186&lt;&gt;"",K186&lt;&gt;0),K186,$B$4))</f>
        <v/>
      </c>
      <c r="L186" s="13"/>
      <c r="M186" s="13"/>
      <c r="N186" s="13"/>
    </row>
    <row r="187" customFormat="false" ht="15" hidden="false" customHeight="false" outlineLevel="0" collapsed="false">
      <c r="A187" s="8" t="str">
        <f aca="true">IF($C187="","",IF(AND(A187&lt;&gt;"",A187&lt;&gt;0),A187,TODAY()))</f>
        <v/>
      </c>
      <c r="B187" s="9" t="str">
        <f aca="false">IF($C187="","",IF(AND(B187&lt;&gt;"",B187&lt;&gt;0),B187,$E$4))</f>
        <v/>
      </c>
      <c r="C187" s="10"/>
      <c r="D187" s="9" t="str">
        <f aca="false">IF($C187="","",IF(AND(D187&lt;&gt;"",D187&lt;&gt;0,D187&lt;&gt;"UPC Not Found"),D187,IFERROR(INDEX('Product Master'!$B$2:$B$200,MATCH($C187,'Product Master'!$A$2:$A$200,0)),"UPC Not Found")))</f>
        <v/>
      </c>
      <c r="E187" s="9" t="str">
        <f aca="false">IF($C187="","",IF(AND(E187&lt;&gt;"",E187&lt;&gt;0,E187&lt;&gt;"UPC Not Found"),E187,IFERROR(INDEX('Product Master'!$C$2:$C$200,MATCH($C187,'Product Master'!$A$2:$A$200,0)),"UPC Not Found")))</f>
        <v/>
      </c>
      <c r="F187" s="9" t="str">
        <f aca="false">IF($C187="","",IF(AND(F187&lt;&gt;"",F187&lt;&gt;0,F187&lt;&gt;"UPC Not Found"),F187,IFERROR(INDEX('Product Master'!$D$2:$D$200,MATCH($C187,'Product Master'!$A$2:$A$200,0)),"UPC Not Found")))</f>
        <v/>
      </c>
      <c r="G187" s="11" t="str">
        <f aca="false">IF($C187="","",IF(AND(G187&lt;&gt;"",G187&lt;&gt;0,G187&lt;&gt;"UPC Not Found"),G187,IFERROR(INDEX('Product Master'!$E$2:$E$200,MATCH($C187,'Product Master'!$A$2:$A$200,0)),"UPC Not Found")))</f>
        <v/>
      </c>
      <c r="H187" s="12"/>
      <c r="I187" s="11" t="str">
        <f aca="false">IF(OR($C187="",H187="",G187="UPC Not Found"),"",H187-G187)</f>
        <v/>
      </c>
      <c r="J187" s="9" t="str">
        <f aca="false">IF($C187="","",IF(H187="","Not Counted",IF(I187=0,"Match",IF(I187&gt;0,"Overage","Shortage"))))</f>
        <v/>
      </c>
      <c r="K187" s="9" t="str">
        <f aca="false">IF($C187="","",IF(AND(K187&lt;&gt;"",K187&lt;&gt;0),K187,$B$4))</f>
        <v/>
      </c>
      <c r="L187" s="13"/>
      <c r="M187" s="13"/>
      <c r="N187" s="13"/>
    </row>
    <row r="188" customFormat="false" ht="15" hidden="false" customHeight="false" outlineLevel="0" collapsed="false">
      <c r="A188" s="8" t="str">
        <f aca="true">IF($C188="","",IF(AND(A188&lt;&gt;"",A188&lt;&gt;0),A188,TODAY()))</f>
        <v/>
      </c>
      <c r="B188" s="9" t="str">
        <f aca="false">IF($C188="","",IF(AND(B188&lt;&gt;"",B188&lt;&gt;0),B188,$E$4))</f>
        <v/>
      </c>
      <c r="C188" s="10"/>
      <c r="D188" s="9" t="str">
        <f aca="false">IF($C188="","",IF(AND(D188&lt;&gt;"",D188&lt;&gt;0,D188&lt;&gt;"UPC Not Found"),D188,IFERROR(INDEX('Product Master'!$B$2:$B$200,MATCH($C188,'Product Master'!$A$2:$A$200,0)),"UPC Not Found")))</f>
        <v/>
      </c>
      <c r="E188" s="9" t="str">
        <f aca="false">IF($C188="","",IF(AND(E188&lt;&gt;"",E188&lt;&gt;0,E188&lt;&gt;"UPC Not Found"),E188,IFERROR(INDEX('Product Master'!$C$2:$C$200,MATCH($C188,'Product Master'!$A$2:$A$200,0)),"UPC Not Found")))</f>
        <v/>
      </c>
      <c r="F188" s="9" t="str">
        <f aca="false">IF($C188="","",IF(AND(F188&lt;&gt;"",F188&lt;&gt;0,F188&lt;&gt;"UPC Not Found"),F188,IFERROR(INDEX('Product Master'!$D$2:$D$200,MATCH($C188,'Product Master'!$A$2:$A$200,0)),"UPC Not Found")))</f>
        <v/>
      </c>
      <c r="G188" s="11" t="str">
        <f aca="false">IF($C188="","",IF(AND(G188&lt;&gt;"",G188&lt;&gt;0,G188&lt;&gt;"UPC Not Found"),G188,IFERROR(INDEX('Product Master'!$E$2:$E$200,MATCH($C188,'Product Master'!$A$2:$A$200,0)),"UPC Not Found")))</f>
        <v/>
      </c>
      <c r="H188" s="12"/>
      <c r="I188" s="11" t="str">
        <f aca="false">IF(OR($C188="",H188="",G188="UPC Not Found"),"",H188-G188)</f>
        <v/>
      </c>
      <c r="J188" s="9" t="str">
        <f aca="false">IF($C188="","",IF(H188="","Not Counted",IF(I188=0,"Match",IF(I188&gt;0,"Overage","Shortage"))))</f>
        <v/>
      </c>
      <c r="K188" s="9" t="str">
        <f aca="false">IF($C188="","",IF(AND(K188&lt;&gt;"",K188&lt;&gt;0),K188,$B$4))</f>
        <v/>
      </c>
      <c r="L188" s="13"/>
      <c r="M188" s="13"/>
      <c r="N188" s="13"/>
    </row>
    <row r="189" customFormat="false" ht="15" hidden="false" customHeight="false" outlineLevel="0" collapsed="false">
      <c r="A189" s="8" t="str">
        <f aca="true">IF($C189="","",IF(AND(A189&lt;&gt;"",A189&lt;&gt;0),A189,TODAY()))</f>
        <v/>
      </c>
      <c r="B189" s="9" t="str">
        <f aca="false">IF($C189="","",IF(AND(B189&lt;&gt;"",B189&lt;&gt;0),B189,$E$4))</f>
        <v/>
      </c>
      <c r="C189" s="10"/>
      <c r="D189" s="9" t="str">
        <f aca="false">IF($C189="","",IF(AND(D189&lt;&gt;"",D189&lt;&gt;0,D189&lt;&gt;"UPC Not Found"),D189,IFERROR(INDEX('Product Master'!$B$2:$B$200,MATCH($C189,'Product Master'!$A$2:$A$200,0)),"UPC Not Found")))</f>
        <v/>
      </c>
      <c r="E189" s="9" t="str">
        <f aca="false">IF($C189="","",IF(AND(E189&lt;&gt;"",E189&lt;&gt;0,E189&lt;&gt;"UPC Not Found"),E189,IFERROR(INDEX('Product Master'!$C$2:$C$200,MATCH($C189,'Product Master'!$A$2:$A$200,0)),"UPC Not Found")))</f>
        <v/>
      </c>
      <c r="F189" s="9" t="str">
        <f aca="false">IF($C189="","",IF(AND(F189&lt;&gt;"",F189&lt;&gt;0,F189&lt;&gt;"UPC Not Found"),F189,IFERROR(INDEX('Product Master'!$D$2:$D$200,MATCH($C189,'Product Master'!$A$2:$A$200,0)),"UPC Not Found")))</f>
        <v/>
      </c>
      <c r="G189" s="11" t="str">
        <f aca="false">IF($C189="","",IF(AND(G189&lt;&gt;"",G189&lt;&gt;0,G189&lt;&gt;"UPC Not Found"),G189,IFERROR(INDEX('Product Master'!$E$2:$E$200,MATCH($C189,'Product Master'!$A$2:$A$200,0)),"UPC Not Found")))</f>
        <v/>
      </c>
      <c r="H189" s="12"/>
      <c r="I189" s="11" t="str">
        <f aca="false">IF(OR($C189="",H189="",G189="UPC Not Found"),"",H189-G189)</f>
        <v/>
      </c>
      <c r="J189" s="9" t="str">
        <f aca="false">IF($C189="","",IF(H189="","Not Counted",IF(I189=0,"Match",IF(I189&gt;0,"Overage","Shortage"))))</f>
        <v/>
      </c>
      <c r="K189" s="9" t="str">
        <f aca="false">IF($C189="","",IF(AND(K189&lt;&gt;"",K189&lt;&gt;0),K189,$B$4))</f>
        <v/>
      </c>
      <c r="L189" s="13"/>
      <c r="M189" s="13"/>
      <c r="N189" s="13"/>
    </row>
    <row r="190" customFormat="false" ht="15" hidden="false" customHeight="false" outlineLevel="0" collapsed="false">
      <c r="A190" s="8" t="str">
        <f aca="true">IF($C190="","",IF(AND(A190&lt;&gt;"",A190&lt;&gt;0),A190,TODAY()))</f>
        <v/>
      </c>
      <c r="B190" s="9" t="str">
        <f aca="false">IF($C190="","",IF(AND(B190&lt;&gt;"",B190&lt;&gt;0),B190,$E$4))</f>
        <v/>
      </c>
      <c r="C190" s="10"/>
      <c r="D190" s="9" t="str">
        <f aca="false">IF($C190="","",IF(AND(D190&lt;&gt;"",D190&lt;&gt;0,D190&lt;&gt;"UPC Not Found"),D190,IFERROR(INDEX('Product Master'!$B$2:$B$200,MATCH($C190,'Product Master'!$A$2:$A$200,0)),"UPC Not Found")))</f>
        <v/>
      </c>
      <c r="E190" s="9" t="str">
        <f aca="false">IF($C190="","",IF(AND(E190&lt;&gt;"",E190&lt;&gt;0,E190&lt;&gt;"UPC Not Found"),E190,IFERROR(INDEX('Product Master'!$C$2:$C$200,MATCH($C190,'Product Master'!$A$2:$A$200,0)),"UPC Not Found")))</f>
        <v/>
      </c>
      <c r="F190" s="9" t="str">
        <f aca="false">IF($C190="","",IF(AND(F190&lt;&gt;"",F190&lt;&gt;0,F190&lt;&gt;"UPC Not Found"),F190,IFERROR(INDEX('Product Master'!$D$2:$D$200,MATCH($C190,'Product Master'!$A$2:$A$200,0)),"UPC Not Found")))</f>
        <v/>
      </c>
      <c r="G190" s="11" t="str">
        <f aca="false">IF($C190="","",IF(AND(G190&lt;&gt;"",G190&lt;&gt;0,G190&lt;&gt;"UPC Not Found"),G190,IFERROR(INDEX('Product Master'!$E$2:$E$200,MATCH($C190,'Product Master'!$A$2:$A$200,0)),"UPC Not Found")))</f>
        <v/>
      </c>
      <c r="H190" s="12"/>
      <c r="I190" s="11" t="str">
        <f aca="false">IF(OR($C190="",H190="",G190="UPC Not Found"),"",H190-G190)</f>
        <v/>
      </c>
      <c r="J190" s="9" t="str">
        <f aca="false">IF($C190="","",IF(H190="","Not Counted",IF(I190=0,"Match",IF(I190&gt;0,"Overage","Shortage"))))</f>
        <v/>
      </c>
      <c r="K190" s="9" t="str">
        <f aca="false">IF($C190="","",IF(AND(K190&lt;&gt;"",K190&lt;&gt;0),K190,$B$4))</f>
        <v/>
      </c>
      <c r="L190" s="13"/>
      <c r="M190" s="13"/>
      <c r="N190" s="13"/>
    </row>
    <row r="191" customFormat="false" ht="15" hidden="false" customHeight="false" outlineLevel="0" collapsed="false">
      <c r="A191" s="8" t="str">
        <f aca="true">IF($C191="","",IF(AND(A191&lt;&gt;"",A191&lt;&gt;0),A191,TODAY()))</f>
        <v/>
      </c>
      <c r="B191" s="9" t="str">
        <f aca="false">IF($C191="","",IF(AND(B191&lt;&gt;"",B191&lt;&gt;0),B191,$E$4))</f>
        <v/>
      </c>
      <c r="C191" s="10"/>
      <c r="D191" s="9" t="str">
        <f aca="false">IF($C191="","",IF(AND(D191&lt;&gt;"",D191&lt;&gt;0,D191&lt;&gt;"UPC Not Found"),D191,IFERROR(INDEX('Product Master'!$B$2:$B$200,MATCH($C191,'Product Master'!$A$2:$A$200,0)),"UPC Not Found")))</f>
        <v/>
      </c>
      <c r="E191" s="9" t="str">
        <f aca="false">IF($C191="","",IF(AND(E191&lt;&gt;"",E191&lt;&gt;0,E191&lt;&gt;"UPC Not Found"),E191,IFERROR(INDEX('Product Master'!$C$2:$C$200,MATCH($C191,'Product Master'!$A$2:$A$200,0)),"UPC Not Found")))</f>
        <v/>
      </c>
      <c r="F191" s="9" t="str">
        <f aca="false">IF($C191="","",IF(AND(F191&lt;&gt;"",F191&lt;&gt;0,F191&lt;&gt;"UPC Not Found"),F191,IFERROR(INDEX('Product Master'!$D$2:$D$200,MATCH($C191,'Product Master'!$A$2:$A$200,0)),"UPC Not Found")))</f>
        <v/>
      </c>
      <c r="G191" s="11" t="str">
        <f aca="false">IF($C191="","",IF(AND(G191&lt;&gt;"",G191&lt;&gt;0,G191&lt;&gt;"UPC Not Found"),G191,IFERROR(INDEX('Product Master'!$E$2:$E$200,MATCH($C191,'Product Master'!$A$2:$A$200,0)),"UPC Not Found")))</f>
        <v/>
      </c>
      <c r="H191" s="12"/>
      <c r="I191" s="11" t="str">
        <f aca="false">IF(OR($C191="",H191="",G191="UPC Not Found"),"",H191-G191)</f>
        <v/>
      </c>
      <c r="J191" s="9" t="str">
        <f aca="false">IF($C191="","",IF(H191="","Not Counted",IF(I191=0,"Match",IF(I191&gt;0,"Overage","Shortage"))))</f>
        <v/>
      </c>
      <c r="K191" s="9" t="str">
        <f aca="false">IF($C191="","",IF(AND(K191&lt;&gt;"",K191&lt;&gt;0),K191,$B$4))</f>
        <v/>
      </c>
      <c r="L191" s="13"/>
      <c r="M191" s="13"/>
      <c r="N191" s="13"/>
    </row>
    <row r="192" customFormat="false" ht="15" hidden="false" customHeight="false" outlineLevel="0" collapsed="false">
      <c r="A192" s="8" t="str">
        <f aca="true">IF($C192="","",IF(AND(A192&lt;&gt;"",A192&lt;&gt;0),A192,TODAY()))</f>
        <v/>
      </c>
      <c r="B192" s="9" t="str">
        <f aca="false">IF($C192="","",IF(AND(B192&lt;&gt;"",B192&lt;&gt;0),B192,$E$4))</f>
        <v/>
      </c>
      <c r="C192" s="10"/>
      <c r="D192" s="9" t="str">
        <f aca="false">IF($C192="","",IF(AND(D192&lt;&gt;"",D192&lt;&gt;0,D192&lt;&gt;"UPC Not Found"),D192,IFERROR(INDEX('Product Master'!$B$2:$B$200,MATCH($C192,'Product Master'!$A$2:$A$200,0)),"UPC Not Found")))</f>
        <v/>
      </c>
      <c r="E192" s="9" t="str">
        <f aca="false">IF($C192="","",IF(AND(E192&lt;&gt;"",E192&lt;&gt;0,E192&lt;&gt;"UPC Not Found"),E192,IFERROR(INDEX('Product Master'!$C$2:$C$200,MATCH($C192,'Product Master'!$A$2:$A$200,0)),"UPC Not Found")))</f>
        <v/>
      </c>
      <c r="F192" s="9" t="str">
        <f aca="false">IF($C192="","",IF(AND(F192&lt;&gt;"",F192&lt;&gt;0,F192&lt;&gt;"UPC Not Found"),F192,IFERROR(INDEX('Product Master'!$D$2:$D$200,MATCH($C192,'Product Master'!$A$2:$A$200,0)),"UPC Not Found")))</f>
        <v/>
      </c>
      <c r="G192" s="11" t="str">
        <f aca="false">IF($C192="","",IF(AND(G192&lt;&gt;"",G192&lt;&gt;0,G192&lt;&gt;"UPC Not Found"),G192,IFERROR(INDEX('Product Master'!$E$2:$E$200,MATCH($C192,'Product Master'!$A$2:$A$200,0)),"UPC Not Found")))</f>
        <v/>
      </c>
      <c r="H192" s="12"/>
      <c r="I192" s="11" t="str">
        <f aca="false">IF(OR($C192="",H192="",G192="UPC Not Found"),"",H192-G192)</f>
        <v/>
      </c>
      <c r="J192" s="9" t="str">
        <f aca="false">IF($C192="","",IF(H192="","Not Counted",IF(I192=0,"Match",IF(I192&gt;0,"Overage","Shortage"))))</f>
        <v/>
      </c>
      <c r="K192" s="9" t="str">
        <f aca="false">IF($C192="","",IF(AND(K192&lt;&gt;"",K192&lt;&gt;0),K192,$B$4))</f>
        <v/>
      </c>
      <c r="L192" s="13"/>
      <c r="M192" s="13"/>
      <c r="N192" s="13"/>
    </row>
    <row r="193" customFormat="false" ht="15" hidden="false" customHeight="false" outlineLevel="0" collapsed="false">
      <c r="A193" s="8" t="str">
        <f aca="true">IF($C193="","",IF(AND(A193&lt;&gt;"",A193&lt;&gt;0),A193,TODAY()))</f>
        <v/>
      </c>
      <c r="B193" s="9" t="str">
        <f aca="false">IF($C193="","",IF(AND(B193&lt;&gt;"",B193&lt;&gt;0),B193,$E$4))</f>
        <v/>
      </c>
      <c r="C193" s="10"/>
      <c r="D193" s="9" t="str">
        <f aca="false">IF($C193="","",IF(AND(D193&lt;&gt;"",D193&lt;&gt;0,D193&lt;&gt;"UPC Not Found"),D193,IFERROR(INDEX('Product Master'!$B$2:$B$200,MATCH($C193,'Product Master'!$A$2:$A$200,0)),"UPC Not Found")))</f>
        <v/>
      </c>
      <c r="E193" s="9" t="str">
        <f aca="false">IF($C193="","",IF(AND(E193&lt;&gt;"",E193&lt;&gt;0,E193&lt;&gt;"UPC Not Found"),E193,IFERROR(INDEX('Product Master'!$C$2:$C$200,MATCH($C193,'Product Master'!$A$2:$A$200,0)),"UPC Not Found")))</f>
        <v/>
      </c>
      <c r="F193" s="9" t="str">
        <f aca="false">IF($C193="","",IF(AND(F193&lt;&gt;"",F193&lt;&gt;0,F193&lt;&gt;"UPC Not Found"),F193,IFERROR(INDEX('Product Master'!$D$2:$D$200,MATCH($C193,'Product Master'!$A$2:$A$200,0)),"UPC Not Found")))</f>
        <v/>
      </c>
      <c r="G193" s="11" t="str">
        <f aca="false">IF($C193="","",IF(AND(G193&lt;&gt;"",G193&lt;&gt;0,G193&lt;&gt;"UPC Not Found"),G193,IFERROR(INDEX('Product Master'!$E$2:$E$200,MATCH($C193,'Product Master'!$A$2:$A$200,0)),"UPC Not Found")))</f>
        <v/>
      </c>
      <c r="H193" s="12"/>
      <c r="I193" s="11" t="str">
        <f aca="false">IF(OR($C193="",H193="",G193="UPC Not Found"),"",H193-G193)</f>
        <v/>
      </c>
      <c r="J193" s="9" t="str">
        <f aca="false">IF($C193="","",IF(H193="","Not Counted",IF(I193=0,"Match",IF(I193&gt;0,"Overage","Shortage"))))</f>
        <v/>
      </c>
      <c r="K193" s="9" t="str">
        <f aca="false">IF($C193="","",IF(AND(K193&lt;&gt;"",K193&lt;&gt;0),K193,$B$4))</f>
        <v/>
      </c>
      <c r="L193" s="13"/>
      <c r="M193" s="13"/>
      <c r="N193" s="13"/>
    </row>
    <row r="194" customFormat="false" ht="15" hidden="false" customHeight="false" outlineLevel="0" collapsed="false">
      <c r="A194" s="8" t="str">
        <f aca="true">IF($C194="","",IF(AND(A194&lt;&gt;"",A194&lt;&gt;0),A194,TODAY()))</f>
        <v/>
      </c>
      <c r="B194" s="9" t="str">
        <f aca="false">IF($C194="","",IF(AND(B194&lt;&gt;"",B194&lt;&gt;0),B194,$E$4))</f>
        <v/>
      </c>
      <c r="C194" s="10"/>
      <c r="D194" s="9" t="str">
        <f aca="false">IF($C194="","",IF(AND(D194&lt;&gt;"",D194&lt;&gt;0,D194&lt;&gt;"UPC Not Found"),D194,IFERROR(INDEX('Product Master'!$B$2:$B$200,MATCH($C194,'Product Master'!$A$2:$A$200,0)),"UPC Not Found")))</f>
        <v/>
      </c>
      <c r="E194" s="9" t="str">
        <f aca="false">IF($C194="","",IF(AND(E194&lt;&gt;"",E194&lt;&gt;0,E194&lt;&gt;"UPC Not Found"),E194,IFERROR(INDEX('Product Master'!$C$2:$C$200,MATCH($C194,'Product Master'!$A$2:$A$200,0)),"UPC Not Found")))</f>
        <v/>
      </c>
      <c r="F194" s="9" t="str">
        <f aca="false">IF($C194="","",IF(AND(F194&lt;&gt;"",F194&lt;&gt;0,F194&lt;&gt;"UPC Not Found"),F194,IFERROR(INDEX('Product Master'!$D$2:$D$200,MATCH($C194,'Product Master'!$A$2:$A$200,0)),"UPC Not Found")))</f>
        <v/>
      </c>
      <c r="G194" s="11" t="str">
        <f aca="false">IF($C194="","",IF(AND(G194&lt;&gt;"",G194&lt;&gt;0,G194&lt;&gt;"UPC Not Found"),G194,IFERROR(INDEX('Product Master'!$E$2:$E$200,MATCH($C194,'Product Master'!$A$2:$A$200,0)),"UPC Not Found")))</f>
        <v/>
      </c>
      <c r="H194" s="12"/>
      <c r="I194" s="11" t="str">
        <f aca="false">IF(OR($C194="",H194="",G194="UPC Not Found"),"",H194-G194)</f>
        <v/>
      </c>
      <c r="J194" s="9" t="str">
        <f aca="false">IF($C194="","",IF(H194="","Not Counted",IF(I194=0,"Match",IF(I194&gt;0,"Overage","Shortage"))))</f>
        <v/>
      </c>
      <c r="K194" s="9" t="str">
        <f aca="false">IF($C194="","",IF(AND(K194&lt;&gt;"",K194&lt;&gt;0),K194,$B$4))</f>
        <v/>
      </c>
      <c r="L194" s="13"/>
      <c r="M194" s="13"/>
      <c r="N194" s="13"/>
    </row>
    <row r="195" customFormat="false" ht="15" hidden="false" customHeight="false" outlineLevel="0" collapsed="false">
      <c r="A195" s="8" t="str">
        <f aca="true">IF($C195="","",IF(AND(A195&lt;&gt;"",A195&lt;&gt;0),A195,TODAY()))</f>
        <v/>
      </c>
      <c r="B195" s="9" t="str">
        <f aca="false">IF($C195="","",IF(AND(B195&lt;&gt;"",B195&lt;&gt;0),B195,$E$4))</f>
        <v/>
      </c>
      <c r="C195" s="10"/>
      <c r="D195" s="9" t="str">
        <f aca="false">IF($C195="","",IF(AND(D195&lt;&gt;"",D195&lt;&gt;0,D195&lt;&gt;"UPC Not Found"),D195,IFERROR(INDEX('Product Master'!$B$2:$B$200,MATCH($C195,'Product Master'!$A$2:$A$200,0)),"UPC Not Found")))</f>
        <v/>
      </c>
      <c r="E195" s="9" t="str">
        <f aca="false">IF($C195="","",IF(AND(E195&lt;&gt;"",E195&lt;&gt;0,E195&lt;&gt;"UPC Not Found"),E195,IFERROR(INDEX('Product Master'!$C$2:$C$200,MATCH($C195,'Product Master'!$A$2:$A$200,0)),"UPC Not Found")))</f>
        <v/>
      </c>
      <c r="F195" s="9" t="str">
        <f aca="false">IF($C195="","",IF(AND(F195&lt;&gt;"",F195&lt;&gt;0,F195&lt;&gt;"UPC Not Found"),F195,IFERROR(INDEX('Product Master'!$D$2:$D$200,MATCH($C195,'Product Master'!$A$2:$A$200,0)),"UPC Not Found")))</f>
        <v/>
      </c>
      <c r="G195" s="11" t="str">
        <f aca="false">IF($C195="","",IF(AND(G195&lt;&gt;"",G195&lt;&gt;0,G195&lt;&gt;"UPC Not Found"),G195,IFERROR(INDEX('Product Master'!$E$2:$E$200,MATCH($C195,'Product Master'!$A$2:$A$200,0)),"UPC Not Found")))</f>
        <v/>
      </c>
      <c r="H195" s="12"/>
      <c r="I195" s="11" t="str">
        <f aca="false">IF(OR($C195="",H195="",G195="UPC Not Found"),"",H195-G195)</f>
        <v/>
      </c>
      <c r="J195" s="9" t="str">
        <f aca="false">IF($C195="","",IF(H195="","Not Counted",IF(I195=0,"Match",IF(I195&gt;0,"Overage","Shortage"))))</f>
        <v/>
      </c>
      <c r="K195" s="9" t="str">
        <f aca="false">IF($C195="","",IF(AND(K195&lt;&gt;"",K195&lt;&gt;0),K195,$B$4))</f>
        <v/>
      </c>
      <c r="L195" s="13"/>
      <c r="M195" s="13"/>
      <c r="N195" s="13"/>
    </row>
    <row r="196" customFormat="false" ht="15" hidden="false" customHeight="false" outlineLevel="0" collapsed="false">
      <c r="A196" s="8" t="str">
        <f aca="true">IF($C196="","",IF(AND(A196&lt;&gt;"",A196&lt;&gt;0),A196,TODAY()))</f>
        <v/>
      </c>
      <c r="B196" s="9" t="str">
        <f aca="false">IF($C196="","",IF(AND(B196&lt;&gt;"",B196&lt;&gt;0),B196,$E$4))</f>
        <v/>
      </c>
      <c r="C196" s="10"/>
      <c r="D196" s="9" t="str">
        <f aca="false">IF($C196="","",IF(AND(D196&lt;&gt;"",D196&lt;&gt;0,D196&lt;&gt;"UPC Not Found"),D196,IFERROR(INDEX('Product Master'!$B$2:$B$200,MATCH($C196,'Product Master'!$A$2:$A$200,0)),"UPC Not Found")))</f>
        <v/>
      </c>
      <c r="E196" s="9" t="str">
        <f aca="false">IF($C196="","",IF(AND(E196&lt;&gt;"",E196&lt;&gt;0,E196&lt;&gt;"UPC Not Found"),E196,IFERROR(INDEX('Product Master'!$C$2:$C$200,MATCH($C196,'Product Master'!$A$2:$A$200,0)),"UPC Not Found")))</f>
        <v/>
      </c>
      <c r="F196" s="9" t="str">
        <f aca="false">IF($C196="","",IF(AND(F196&lt;&gt;"",F196&lt;&gt;0,F196&lt;&gt;"UPC Not Found"),F196,IFERROR(INDEX('Product Master'!$D$2:$D$200,MATCH($C196,'Product Master'!$A$2:$A$200,0)),"UPC Not Found")))</f>
        <v/>
      </c>
      <c r="G196" s="11" t="str">
        <f aca="false">IF($C196="","",IF(AND(G196&lt;&gt;"",G196&lt;&gt;0,G196&lt;&gt;"UPC Not Found"),G196,IFERROR(INDEX('Product Master'!$E$2:$E$200,MATCH($C196,'Product Master'!$A$2:$A$200,0)),"UPC Not Found")))</f>
        <v/>
      </c>
      <c r="H196" s="12"/>
      <c r="I196" s="11" t="str">
        <f aca="false">IF(OR($C196="",H196="",G196="UPC Not Found"),"",H196-G196)</f>
        <v/>
      </c>
      <c r="J196" s="9" t="str">
        <f aca="false">IF($C196="","",IF(H196="","Not Counted",IF(I196=0,"Match",IF(I196&gt;0,"Overage","Shortage"))))</f>
        <v/>
      </c>
      <c r="K196" s="9" t="str">
        <f aca="false">IF($C196="","",IF(AND(K196&lt;&gt;"",K196&lt;&gt;0),K196,$B$4))</f>
        <v/>
      </c>
      <c r="L196" s="13"/>
      <c r="M196" s="13"/>
      <c r="N196" s="13"/>
    </row>
    <row r="197" customFormat="false" ht="15" hidden="false" customHeight="false" outlineLevel="0" collapsed="false">
      <c r="A197" s="8" t="str">
        <f aca="true">IF($C197="","",IF(AND(A197&lt;&gt;"",A197&lt;&gt;0),A197,TODAY()))</f>
        <v/>
      </c>
      <c r="B197" s="9" t="str">
        <f aca="false">IF($C197="","",IF(AND(B197&lt;&gt;"",B197&lt;&gt;0),B197,$E$4))</f>
        <v/>
      </c>
      <c r="C197" s="10"/>
      <c r="D197" s="9" t="str">
        <f aca="false">IF($C197="","",IF(AND(D197&lt;&gt;"",D197&lt;&gt;0,D197&lt;&gt;"UPC Not Found"),D197,IFERROR(INDEX('Product Master'!$B$2:$B$200,MATCH($C197,'Product Master'!$A$2:$A$200,0)),"UPC Not Found")))</f>
        <v/>
      </c>
      <c r="E197" s="9" t="str">
        <f aca="false">IF($C197="","",IF(AND(E197&lt;&gt;"",E197&lt;&gt;0,E197&lt;&gt;"UPC Not Found"),E197,IFERROR(INDEX('Product Master'!$C$2:$C$200,MATCH($C197,'Product Master'!$A$2:$A$200,0)),"UPC Not Found")))</f>
        <v/>
      </c>
      <c r="F197" s="9" t="str">
        <f aca="false">IF($C197="","",IF(AND(F197&lt;&gt;"",F197&lt;&gt;0,F197&lt;&gt;"UPC Not Found"),F197,IFERROR(INDEX('Product Master'!$D$2:$D$200,MATCH($C197,'Product Master'!$A$2:$A$200,0)),"UPC Not Found")))</f>
        <v/>
      </c>
      <c r="G197" s="11" t="str">
        <f aca="false">IF($C197="","",IF(AND(G197&lt;&gt;"",G197&lt;&gt;0,G197&lt;&gt;"UPC Not Found"),G197,IFERROR(INDEX('Product Master'!$E$2:$E$200,MATCH($C197,'Product Master'!$A$2:$A$200,0)),"UPC Not Found")))</f>
        <v/>
      </c>
      <c r="H197" s="12"/>
      <c r="I197" s="11" t="str">
        <f aca="false">IF(OR($C197="",H197="",G197="UPC Not Found"),"",H197-G197)</f>
        <v/>
      </c>
      <c r="J197" s="9" t="str">
        <f aca="false">IF($C197="","",IF(H197="","Not Counted",IF(I197=0,"Match",IF(I197&gt;0,"Overage","Shortage"))))</f>
        <v/>
      </c>
      <c r="K197" s="9" t="str">
        <f aca="false">IF($C197="","",IF(AND(K197&lt;&gt;"",K197&lt;&gt;0),K197,$B$4))</f>
        <v/>
      </c>
      <c r="L197" s="13"/>
      <c r="M197" s="13"/>
      <c r="N197" s="13"/>
    </row>
    <row r="198" customFormat="false" ht="15" hidden="false" customHeight="false" outlineLevel="0" collapsed="false">
      <c r="A198" s="8" t="str">
        <f aca="true">IF($C198="","",IF(AND(A198&lt;&gt;"",A198&lt;&gt;0),A198,TODAY()))</f>
        <v/>
      </c>
      <c r="B198" s="9" t="str">
        <f aca="false">IF($C198="","",IF(AND(B198&lt;&gt;"",B198&lt;&gt;0),B198,$E$4))</f>
        <v/>
      </c>
      <c r="C198" s="10"/>
      <c r="D198" s="9" t="str">
        <f aca="false">IF($C198="","",IF(AND(D198&lt;&gt;"",D198&lt;&gt;0,D198&lt;&gt;"UPC Not Found"),D198,IFERROR(INDEX('Product Master'!$B$2:$B$200,MATCH($C198,'Product Master'!$A$2:$A$200,0)),"UPC Not Found")))</f>
        <v/>
      </c>
      <c r="E198" s="9" t="str">
        <f aca="false">IF($C198="","",IF(AND(E198&lt;&gt;"",E198&lt;&gt;0,E198&lt;&gt;"UPC Not Found"),E198,IFERROR(INDEX('Product Master'!$C$2:$C$200,MATCH($C198,'Product Master'!$A$2:$A$200,0)),"UPC Not Found")))</f>
        <v/>
      </c>
      <c r="F198" s="9" t="str">
        <f aca="false">IF($C198="","",IF(AND(F198&lt;&gt;"",F198&lt;&gt;0,F198&lt;&gt;"UPC Not Found"),F198,IFERROR(INDEX('Product Master'!$D$2:$D$200,MATCH($C198,'Product Master'!$A$2:$A$200,0)),"UPC Not Found")))</f>
        <v/>
      </c>
      <c r="G198" s="11" t="str">
        <f aca="false">IF($C198="","",IF(AND(G198&lt;&gt;"",G198&lt;&gt;0,G198&lt;&gt;"UPC Not Found"),G198,IFERROR(INDEX('Product Master'!$E$2:$E$200,MATCH($C198,'Product Master'!$A$2:$A$200,0)),"UPC Not Found")))</f>
        <v/>
      </c>
      <c r="H198" s="12"/>
      <c r="I198" s="11" t="str">
        <f aca="false">IF(OR($C198="",H198="",G198="UPC Not Found"),"",H198-G198)</f>
        <v/>
      </c>
      <c r="J198" s="9" t="str">
        <f aca="false">IF($C198="","",IF(H198="","Not Counted",IF(I198=0,"Match",IF(I198&gt;0,"Overage","Shortage"))))</f>
        <v/>
      </c>
      <c r="K198" s="9" t="str">
        <f aca="false">IF($C198="","",IF(AND(K198&lt;&gt;"",K198&lt;&gt;0),K198,$B$4))</f>
        <v/>
      </c>
      <c r="L198" s="13"/>
      <c r="M198" s="13"/>
      <c r="N198" s="13"/>
    </row>
    <row r="199" customFormat="false" ht="15" hidden="false" customHeight="false" outlineLevel="0" collapsed="false">
      <c r="A199" s="8" t="str">
        <f aca="true">IF($C199="","",IF(AND(A199&lt;&gt;"",A199&lt;&gt;0),A199,TODAY()))</f>
        <v/>
      </c>
      <c r="B199" s="9" t="str">
        <f aca="false">IF($C199="","",IF(AND(B199&lt;&gt;"",B199&lt;&gt;0),B199,$E$4))</f>
        <v/>
      </c>
      <c r="C199" s="10"/>
      <c r="D199" s="9" t="str">
        <f aca="false">IF($C199="","",IF(AND(D199&lt;&gt;"",D199&lt;&gt;0,D199&lt;&gt;"UPC Not Found"),D199,IFERROR(INDEX('Product Master'!$B$2:$B$200,MATCH($C199,'Product Master'!$A$2:$A$200,0)),"UPC Not Found")))</f>
        <v/>
      </c>
      <c r="E199" s="9" t="str">
        <f aca="false">IF($C199="","",IF(AND(E199&lt;&gt;"",E199&lt;&gt;0,E199&lt;&gt;"UPC Not Found"),E199,IFERROR(INDEX('Product Master'!$C$2:$C$200,MATCH($C199,'Product Master'!$A$2:$A$200,0)),"UPC Not Found")))</f>
        <v/>
      </c>
      <c r="F199" s="9" t="str">
        <f aca="false">IF($C199="","",IF(AND(F199&lt;&gt;"",F199&lt;&gt;0,F199&lt;&gt;"UPC Not Found"),F199,IFERROR(INDEX('Product Master'!$D$2:$D$200,MATCH($C199,'Product Master'!$A$2:$A$200,0)),"UPC Not Found")))</f>
        <v/>
      </c>
      <c r="G199" s="11" t="str">
        <f aca="false">IF($C199="","",IF(AND(G199&lt;&gt;"",G199&lt;&gt;0,G199&lt;&gt;"UPC Not Found"),G199,IFERROR(INDEX('Product Master'!$E$2:$E$200,MATCH($C199,'Product Master'!$A$2:$A$200,0)),"UPC Not Found")))</f>
        <v/>
      </c>
      <c r="H199" s="12"/>
      <c r="I199" s="11" t="str">
        <f aca="false">IF(OR($C199="",H199="",G199="UPC Not Found"),"",H199-G199)</f>
        <v/>
      </c>
      <c r="J199" s="9" t="str">
        <f aca="false">IF($C199="","",IF(H199="","Not Counted",IF(I199=0,"Match",IF(I199&gt;0,"Overage","Shortage"))))</f>
        <v/>
      </c>
      <c r="K199" s="9" t="str">
        <f aca="false">IF($C199="","",IF(AND(K199&lt;&gt;"",K199&lt;&gt;0),K199,$B$4))</f>
        <v/>
      </c>
      <c r="L199" s="13"/>
      <c r="M199" s="13"/>
      <c r="N199" s="13"/>
    </row>
    <row r="200" customFormat="false" ht="15" hidden="false" customHeight="false" outlineLevel="0" collapsed="false">
      <c r="A200" s="8" t="str">
        <f aca="true">IF($C200="","",IF(AND(A200&lt;&gt;"",A200&lt;&gt;0),A200,TODAY()))</f>
        <v/>
      </c>
      <c r="B200" s="9" t="str">
        <f aca="false">IF($C200="","",IF(AND(B200&lt;&gt;"",B200&lt;&gt;0),B200,$E$4))</f>
        <v/>
      </c>
      <c r="C200" s="10"/>
      <c r="D200" s="9" t="str">
        <f aca="false">IF($C200="","",IF(AND(D200&lt;&gt;"",D200&lt;&gt;0,D200&lt;&gt;"UPC Not Found"),D200,IFERROR(INDEX('Product Master'!$B$2:$B$200,MATCH($C200,'Product Master'!$A$2:$A$200,0)),"UPC Not Found")))</f>
        <v/>
      </c>
      <c r="E200" s="9" t="str">
        <f aca="false">IF($C200="","",IF(AND(E200&lt;&gt;"",E200&lt;&gt;0,E200&lt;&gt;"UPC Not Found"),E200,IFERROR(INDEX('Product Master'!$C$2:$C$200,MATCH($C200,'Product Master'!$A$2:$A$200,0)),"UPC Not Found")))</f>
        <v/>
      </c>
      <c r="F200" s="9" t="str">
        <f aca="false">IF($C200="","",IF(AND(F200&lt;&gt;"",F200&lt;&gt;0,F200&lt;&gt;"UPC Not Found"),F200,IFERROR(INDEX('Product Master'!$D$2:$D$200,MATCH($C200,'Product Master'!$A$2:$A$200,0)),"UPC Not Found")))</f>
        <v/>
      </c>
      <c r="G200" s="11" t="str">
        <f aca="false">IF($C200="","",IF(AND(G200&lt;&gt;"",G200&lt;&gt;0,G200&lt;&gt;"UPC Not Found"),G200,IFERROR(INDEX('Product Master'!$E$2:$E$200,MATCH($C200,'Product Master'!$A$2:$A$200,0)),"UPC Not Found")))</f>
        <v/>
      </c>
      <c r="H200" s="12"/>
      <c r="I200" s="11" t="str">
        <f aca="false">IF(OR($C200="",H200="",G200="UPC Not Found"),"",H200-G200)</f>
        <v/>
      </c>
      <c r="J200" s="9" t="str">
        <f aca="false">IF($C200="","",IF(H200="","Not Counted",IF(I200=0,"Match",IF(I200&gt;0,"Overage","Shortage"))))</f>
        <v/>
      </c>
      <c r="K200" s="9" t="str">
        <f aca="false">IF($C200="","",IF(AND(K200&lt;&gt;"",K200&lt;&gt;0),K200,$B$4))</f>
        <v/>
      </c>
      <c r="L200" s="13"/>
      <c r="M200" s="13"/>
      <c r="N200" s="13"/>
    </row>
    <row r="201" customFormat="false" ht="15" hidden="false" customHeight="false" outlineLevel="0" collapsed="false">
      <c r="A201" s="8" t="str">
        <f aca="true">IF($C201="","",IF(AND(A201&lt;&gt;"",A201&lt;&gt;0),A201,TODAY()))</f>
        <v/>
      </c>
      <c r="B201" s="9" t="str">
        <f aca="false">IF($C201="","",IF(AND(B201&lt;&gt;"",B201&lt;&gt;0),B201,$E$4))</f>
        <v/>
      </c>
      <c r="C201" s="10"/>
      <c r="D201" s="9" t="str">
        <f aca="false">IF($C201="","",IF(AND(D201&lt;&gt;"",D201&lt;&gt;0,D201&lt;&gt;"UPC Not Found"),D201,IFERROR(INDEX('Product Master'!$B$2:$B$200,MATCH($C201,'Product Master'!$A$2:$A$200,0)),"UPC Not Found")))</f>
        <v/>
      </c>
      <c r="E201" s="9" t="str">
        <f aca="false">IF($C201="","",IF(AND(E201&lt;&gt;"",E201&lt;&gt;0,E201&lt;&gt;"UPC Not Found"),E201,IFERROR(INDEX('Product Master'!$C$2:$C$200,MATCH($C201,'Product Master'!$A$2:$A$200,0)),"UPC Not Found")))</f>
        <v/>
      </c>
      <c r="F201" s="9" t="str">
        <f aca="false">IF($C201="","",IF(AND(F201&lt;&gt;"",F201&lt;&gt;0,F201&lt;&gt;"UPC Not Found"),F201,IFERROR(INDEX('Product Master'!$D$2:$D$200,MATCH($C201,'Product Master'!$A$2:$A$200,0)),"UPC Not Found")))</f>
        <v/>
      </c>
      <c r="G201" s="11" t="str">
        <f aca="false">IF($C201="","",IF(AND(G201&lt;&gt;"",G201&lt;&gt;0,G201&lt;&gt;"UPC Not Found"),G201,IFERROR(INDEX('Product Master'!$E$2:$E$200,MATCH($C201,'Product Master'!$A$2:$A$200,0)),"UPC Not Found")))</f>
        <v/>
      </c>
      <c r="H201" s="12"/>
      <c r="I201" s="11" t="str">
        <f aca="false">IF(OR($C201="",H201="",G201="UPC Not Found"),"",H201-G201)</f>
        <v/>
      </c>
      <c r="J201" s="9" t="str">
        <f aca="false">IF($C201="","",IF(H201="","Not Counted",IF(I201=0,"Match",IF(I201&gt;0,"Overage","Shortage"))))</f>
        <v/>
      </c>
      <c r="K201" s="9" t="str">
        <f aca="false">IF($C201="","",IF(AND(K201&lt;&gt;"",K201&lt;&gt;0),K201,$B$4))</f>
        <v/>
      </c>
      <c r="L201" s="13"/>
      <c r="M201" s="13"/>
      <c r="N201" s="13"/>
    </row>
    <row r="202" customFormat="false" ht="15" hidden="false" customHeight="false" outlineLevel="0" collapsed="false">
      <c r="A202" s="8" t="str">
        <f aca="true">IF($C202="","",IF(AND(A202&lt;&gt;"",A202&lt;&gt;0),A202,TODAY()))</f>
        <v/>
      </c>
      <c r="B202" s="9" t="str">
        <f aca="false">IF($C202="","",IF(AND(B202&lt;&gt;"",B202&lt;&gt;0),B202,$E$4))</f>
        <v/>
      </c>
      <c r="C202" s="10"/>
      <c r="D202" s="9" t="str">
        <f aca="false">IF($C202="","",IF(AND(D202&lt;&gt;"",D202&lt;&gt;0,D202&lt;&gt;"UPC Not Found"),D202,IFERROR(INDEX('Product Master'!$B$2:$B$200,MATCH($C202,'Product Master'!$A$2:$A$200,0)),"UPC Not Found")))</f>
        <v/>
      </c>
      <c r="E202" s="9" t="str">
        <f aca="false">IF($C202="","",IF(AND(E202&lt;&gt;"",E202&lt;&gt;0,E202&lt;&gt;"UPC Not Found"),E202,IFERROR(INDEX('Product Master'!$C$2:$C$200,MATCH($C202,'Product Master'!$A$2:$A$200,0)),"UPC Not Found")))</f>
        <v/>
      </c>
      <c r="F202" s="9" t="str">
        <f aca="false">IF($C202="","",IF(AND(F202&lt;&gt;"",F202&lt;&gt;0,F202&lt;&gt;"UPC Not Found"),F202,IFERROR(INDEX('Product Master'!$D$2:$D$200,MATCH($C202,'Product Master'!$A$2:$A$200,0)),"UPC Not Found")))</f>
        <v/>
      </c>
      <c r="G202" s="11" t="str">
        <f aca="false">IF($C202="","",IF(AND(G202&lt;&gt;"",G202&lt;&gt;0,G202&lt;&gt;"UPC Not Found"),G202,IFERROR(INDEX('Product Master'!$E$2:$E$200,MATCH($C202,'Product Master'!$A$2:$A$200,0)),"UPC Not Found")))</f>
        <v/>
      </c>
      <c r="H202" s="12"/>
      <c r="I202" s="11" t="str">
        <f aca="false">IF(OR($C202="",H202="",G202="UPC Not Found"),"",H202-G202)</f>
        <v/>
      </c>
      <c r="J202" s="9" t="str">
        <f aca="false">IF($C202="","",IF(H202="","Not Counted",IF(I202=0,"Match",IF(I202&gt;0,"Overage","Shortage"))))</f>
        <v/>
      </c>
      <c r="K202" s="9" t="str">
        <f aca="false">IF($C202="","",IF(AND(K202&lt;&gt;"",K202&lt;&gt;0),K202,$B$4))</f>
        <v/>
      </c>
      <c r="L202" s="13"/>
      <c r="M202" s="13"/>
      <c r="N202" s="13"/>
    </row>
    <row r="203" customFormat="false" ht="15" hidden="false" customHeight="false" outlineLevel="0" collapsed="false">
      <c r="A203" s="8" t="str">
        <f aca="true">IF($C203="","",IF(AND(A203&lt;&gt;"",A203&lt;&gt;0),A203,TODAY()))</f>
        <v/>
      </c>
      <c r="B203" s="9" t="str">
        <f aca="false">IF($C203="","",IF(AND(B203&lt;&gt;"",B203&lt;&gt;0),B203,$E$4))</f>
        <v/>
      </c>
      <c r="C203" s="10"/>
      <c r="D203" s="9" t="str">
        <f aca="false">IF($C203="","",IF(AND(D203&lt;&gt;"",D203&lt;&gt;0,D203&lt;&gt;"UPC Not Found"),D203,IFERROR(INDEX('Product Master'!$B$2:$B$200,MATCH($C203,'Product Master'!$A$2:$A$200,0)),"UPC Not Found")))</f>
        <v/>
      </c>
      <c r="E203" s="9" t="str">
        <f aca="false">IF($C203="","",IF(AND(E203&lt;&gt;"",E203&lt;&gt;0,E203&lt;&gt;"UPC Not Found"),E203,IFERROR(INDEX('Product Master'!$C$2:$C$200,MATCH($C203,'Product Master'!$A$2:$A$200,0)),"UPC Not Found")))</f>
        <v/>
      </c>
      <c r="F203" s="9" t="str">
        <f aca="false">IF($C203="","",IF(AND(F203&lt;&gt;"",F203&lt;&gt;0,F203&lt;&gt;"UPC Not Found"),F203,IFERROR(INDEX('Product Master'!$D$2:$D$200,MATCH($C203,'Product Master'!$A$2:$A$200,0)),"UPC Not Found")))</f>
        <v/>
      </c>
      <c r="G203" s="11" t="str">
        <f aca="false">IF($C203="","",IF(AND(G203&lt;&gt;"",G203&lt;&gt;0,G203&lt;&gt;"UPC Not Found"),G203,IFERROR(INDEX('Product Master'!$E$2:$E$200,MATCH($C203,'Product Master'!$A$2:$A$200,0)),"UPC Not Found")))</f>
        <v/>
      </c>
      <c r="H203" s="12"/>
      <c r="I203" s="11" t="str">
        <f aca="false">IF(OR($C203="",H203="",G203="UPC Not Found"),"",H203-G203)</f>
        <v/>
      </c>
      <c r="J203" s="9" t="str">
        <f aca="false">IF($C203="","",IF(H203="","Not Counted",IF(I203=0,"Match",IF(I203&gt;0,"Overage","Shortage"))))</f>
        <v/>
      </c>
      <c r="K203" s="9" t="str">
        <f aca="false">IF($C203="","",IF(AND(K203&lt;&gt;"",K203&lt;&gt;0),K203,$B$4))</f>
        <v/>
      </c>
      <c r="L203" s="13"/>
      <c r="M203" s="13"/>
      <c r="N203" s="13"/>
    </row>
    <row r="204" customFormat="false" ht="15" hidden="false" customHeight="false" outlineLevel="0" collapsed="false">
      <c r="A204" s="8" t="str">
        <f aca="true">IF($C204="","",IF(AND(A204&lt;&gt;"",A204&lt;&gt;0),A204,TODAY()))</f>
        <v/>
      </c>
      <c r="B204" s="9" t="str">
        <f aca="false">IF($C204="","",IF(AND(B204&lt;&gt;"",B204&lt;&gt;0),B204,$E$4))</f>
        <v/>
      </c>
      <c r="C204" s="10"/>
      <c r="D204" s="9" t="str">
        <f aca="false">IF($C204="","",IF(AND(D204&lt;&gt;"",D204&lt;&gt;0,D204&lt;&gt;"UPC Not Found"),D204,IFERROR(INDEX('Product Master'!$B$2:$B$200,MATCH($C204,'Product Master'!$A$2:$A$200,0)),"UPC Not Found")))</f>
        <v/>
      </c>
      <c r="E204" s="9" t="str">
        <f aca="false">IF($C204="","",IF(AND(E204&lt;&gt;"",E204&lt;&gt;0,E204&lt;&gt;"UPC Not Found"),E204,IFERROR(INDEX('Product Master'!$C$2:$C$200,MATCH($C204,'Product Master'!$A$2:$A$200,0)),"UPC Not Found")))</f>
        <v/>
      </c>
      <c r="F204" s="9" t="str">
        <f aca="false">IF($C204="","",IF(AND(F204&lt;&gt;"",F204&lt;&gt;0,F204&lt;&gt;"UPC Not Found"),F204,IFERROR(INDEX('Product Master'!$D$2:$D$200,MATCH($C204,'Product Master'!$A$2:$A$200,0)),"UPC Not Found")))</f>
        <v/>
      </c>
      <c r="G204" s="11" t="str">
        <f aca="false">IF($C204="","",IF(AND(G204&lt;&gt;"",G204&lt;&gt;0,G204&lt;&gt;"UPC Not Found"),G204,IFERROR(INDEX('Product Master'!$E$2:$E$200,MATCH($C204,'Product Master'!$A$2:$A$200,0)),"UPC Not Found")))</f>
        <v/>
      </c>
      <c r="H204" s="12"/>
      <c r="I204" s="11" t="str">
        <f aca="false">IF(OR($C204="",H204="",G204="UPC Not Found"),"",H204-G204)</f>
        <v/>
      </c>
      <c r="J204" s="9" t="str">
        <f aca="false">IF($C204="","",IF(H204="","Not Counted",IF(I204=0,"Match",IF(I204&gt;0,"Overage","Shortage"))))</f>
        <v/>
      </c>
      <c r="K204" s="9" t="str">
        <f aca="false">IF($C204="","",IF(AND(K204&lt;&gt;"",K204&lt;&gt;0),K204,$B$4))</f>
        <v/>
      </c>
      <c r="L204" s="13"/>
      <c r="M204" s="13"/>
      <c r="N204" s="13"/>
    </row>
    <row r="205" customFormat="false" ht="15" hidden="false" customHeight="false" outlineLevel="0" collapsed="false">
      <c r="A205" s="8" t="str">
        <f aca="true">IF($C205="","",IF(AND(A205&lt;&gt;"",A205&lt;&gt;0),A205,TODAY()))</f>
        <v/>
      </c>
      <c r="B205" s="9" t="str">
        <f aca="false">IF($C205="","",IF(AND(B205&lt;&gt;"",B205&lt;&gt;0),B205,$E$4))</f>
        <v/>
      </c>
      <c r="C205" s="10"/>
      <c r="D205" s="9" t="str">
        <f aca="false">IF($C205="","",IF(AND(D205&lt;&gt;"",D205&lt;&gt;0,D205&lt;&gt;"UPC Not Found"),D205,IFERROR(INDEX('Product Master'!$B$2:$B$200,MATCH($C205,'Product Master'!$A$2:$A$200,0)),"UPC Not Found")))</f>
        <v/>
      </c>
      <c r="E205" s="9" t="str">
        <f aca="false">IF($C205="","",IF(AND(E205&lt;&gt;"",E205&lt;&gt;0,E205&lt;&gt;"UPC Not Found"),E205,IFERROR(INDEX('Product Master'!$C$2:$C$200,MATCH($C205,'Product Master'!$A$2:$A$200,0)),"UPC Not Found")))</f>
        <v/>
      </c>
      <c r="F205" s="9" t="str">
        <f aca="false">IF($C205="","",IF(AND(F205&lt;&gt;"",F205&lt;&gt;0,F205&lt;&gt;"UPC Not Found"),F205,IFERROR(INDEX('Product Master'!$D$2:$D$200,MATCH($C205,'Product Master'!$A$2:$A$200,0)),"UPC Not Found")))</f>
        <v/>
      </c>
      <c r="G205" s="11" t="str">
        <f aca="false">IF($C205="","",IF(AND(G205&lt;&gt;"",G205&lt;&gt;0,G205&lt;&gt;"UPC Not Found"),G205,IFERROR(INDEX('Product Master'!$E$2:$E$200,MATCH($C205,'Product Master'!$A$2:$A$200,0)),"UPC Not Found")))</f>
        <v/>
      </c>
      <c r="H205" s="12"/>
      <c r="I205" s="11" t="str">
        <f aca="false">IF(OR($C205="",H205="",G205="UPC Not Found"),"",H205-G205)</f>
        <v/>
      </c>
      <c r="J205" s="9" t="str">
        <f aca="false">IF($C205="","",IF(H205="","Not Counted",IF(I205=0,"Match",IF(I205&gt;0,"Overage","Shortage"))))</f>
        <v/>
      </c>
      <c r="K205" s="9" t="str">
        <f aca="false">IF($C205="","",IF(AND(K205&lt;&gt;"",K205&lt;&gt;0),K205,$B$4))</f>
        <v/>
      </c>
      <c r="L205" s="13"/>
      <c r="M205" s="13"/>
      <c r="N205" s="13"/>
    </row>
    <row r="206" customFormat="false" ht="15" hidden="false" customHeight="false" outlineLevel="0" collapsed="false">
      <c r="A206" s="8" t="str">
        <f aca="true">IF($C206="","",IF(AND(A206&lt;&gt;"",A206&lt;&gt;0),A206,TODAY()))</f>
        <v/>
      </c>
      <c r="B206" s="9" t="str">
        <f aca="false">IF($C206="","",IF(AND(B206&lt;&gt;"",B206&lt;&gt;0),B206,$E$4))</f>
        <v/>
      </c>
      <c r="C206" s="10"/>
      <c r="D206" s="9" t="str">
        <f aca="false">IF($C206="","",IF(AND(D206&lt;&gt;"",D206&lt;&gt;0,D206&lt;&gt;"UPC Not Found"),D206,IFERROR(INDEX('Product Master'!$B$2:$B$200,MATCH($C206,'Product Master'!$A$2:$A$200,0)),"UPC Not Found")))</f>
        <v/>
      </c>
      <c r="E206" s="9" t="str">
        <f aca="false">IF($C206="","",IF(AND(E206&lt;&gt;"",E206&lt;&gt;0,E206&lt;&gt;"UPC Not Found"),E206,IFERROR(INDEX('Product Master'!$C$2:$C$200,MATCH($C206,'Product Master'!$A$2:$A$200,0)),"UPC Not Found")))</f>
        <v/>
      </c>
      <c r="F206" s="9" t="str">
        <f aca="false">IF($C206="","",IF(AND(F206&lt;&gt;"",F206&lt;&gt;0,F206&lt;&gt;"UPC Not Found"),F206,IFERROR(INDEX('Product Master'!$D$2:$D$200,MATCH($C206,'Product Master'!$A$2:$A$200,0)),"UPC Not Found")))</f>
        <v/>
      </c>
      <c r="G206" s="11" t="str">
        <f aca="false">IF($C206="","",IF(AND(G206&lt;&gt;"",G206&lt;&gt;0,G206&lt;&gt;"UPC Not Found"),G206,IFERROR(INDEX('Product Master'!$E$2:$E$200,MATCH($C206,'Product Master'!$A$2:$A$200,0)),"UPC Not Found")))</f>
        <v/>
      </c>
      <c r="H206" s="12"/>
      <c r="I206" s="11" t="str">
        <f aca="false">IF(OR($C206="",H206="",G206="UPC Not Found"),"",H206-G206)</f>
        <v/>
      </c>
      <c r="J206" s="9" t="str">
        <f aca="false">IF($C206="","",IF(H206="","Not Counted",IF(I206=0,"Match",IF(I206&gt;0,"Overage","Shortage"))))</f>
        <v/>
      </c>
      <c r="K206" s="9" t="str">
        <f aca="false">IF($C206="","",IF(AND(K206&lt;&gt;"",K206&lt;&gt;0),K206,$B$4))</f>
        <v/>
      </c>
      <c r="L206" s="13"/>
      <c r="M206" s="13"/>
      <c r="N206" s="13"/>
    </row>
  </sheetData>
  <mergeCells count="2">
    <mergeCell ref="A1:N1"/>
    <mergeCell ref="A2:N2"/>
  </mergeCells>
  <conditionalFormatting sqref="A7:N206">
    <cfRule type="expression" priority="2" aboveAverage="0" equalAverage="0" bottom="0" percent="0" rank="0" text="" dxfId="8">
      <formula>AND($A7&lt;&gt;"",(TODAY()-$A7)&lt;=14)</formula>
    </cfRule>
    <cfRule type="expression" priority="3" aboveAverage="0" equalAverage="0" bottom="0" percent="0" rank="0" text="" dxfId="9">
      <formula>AND($A7&lt;&gt;"",(TODAY()-$A7)&gt;=15,(TODAY()-$A7)&lt;=28)</formula>
    </cfRule>
    <cfRule type="expression" priority="4" aboveAverage="0" equalAverage="0" bottom="0" percent="0" rank="0" text="" dxfId="10">
      <formula>AND($A7&lt;&gt;"",(TODAY()-$A7)&gt;=29)</formula>
    </cfRule>
  </conditionalFormatting>
  <conditionalFormatting sqref="C7:C206">
    <cfRule type="expression" priority="5" aboveAverage="0" equalAverage="0" bottom="0" percent="0" rank="0" text="" dxfId="11">
      <formula>$D7="UPC Not Found"</formula>
    </cfRule>
  </conditionalFormatting>
  <dataValidations count="6">
    <dataValidation allowBlank="true" errorStyle="stop" operator="between" showDropDown="false" showErrorMessage="false" showInputMessage="false" sqref="B4" type="list">
      <formula1>Lists!$A$2:$A$31</formula1>
      <formula2>0</formula2>
    </dataValidation>
    <dataValidation allowBlank="true" errorStyle="stop" operator="between" showDropDown="false" showErrorMessage="false" showInputMessage="false" sqref="E4" type="list">
      <formula1>Lists!$B$2:$B$3</formula1>
      <formula2>0</formula2>
    </dataValidation>
    <dataValidation allowBlank="true" errorStyle="stop" operator="between" showDropDown="false" showErrorMessage="false" showInputMessage="false" sqref="B7:B206" type="list">
      <formula1>Lists!$B$2:$B$3</formula1>
      <formula2>0</formula2>
    </dataValidation>
    <dataValidation allowBlank="true" errorStyle="stop" operator="between" showDropDown="false" showErrorMessage="false" showInputMessage="false" sqref="K7:K206" type="list">
      <formula1>Lists!$A$2:$A$31</formula1>
      <formula2>0</formula2>
    </dataValidation>
    <dataValidation allowBlank="true" errorStyle="stop" operator="between" showDropDown="false" showErrorMessage="false" showInputMessage="false" sqref="L7:L206" type="list">
      <formula1>Lists!$C$2:$C$31</formula1>
      <formula2>0</formula2>
    </dataValidation>
    <dataValidation allowBlank="true" errorStyle="stop" operator="between" showDropDown="false" showErrorMessage="false" showInputMessage="false" sqref="M7:M206" type="list">
      <formula1>Lists!$C$2:$C$31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28"/>
    <col collapsed="false" customWidth="true" hidden="false" outlineLevel="0" max="4" min="4" style="0" width="34"/>
    <col collapsed="false" customWidth="true" hidden="false" outlineLevel="0" max="5" min="5" style="0" width="18"/>
  </cols>
  <sheetData>
    <row r="1" customFormat="false" ht="21.75" hidden="false" customHeight="true" outlineLevel="0" collapsed="false">
      <c r="A1" s="7" t="s">
        <v>9</v>
      </c>
      <c r="B1" s="7" t="s">
        <v>10</v>
      </c>
      <c r="C1" s="7" t="s">
        <v>11</v>
      </c>
      <c r="D1" s="7" t="s">
        <v>12</v>
      </c>
      <c r="E1" s="7" t="s">
        <v>30</v>
      </c>
    </row>
    <row r="2" customFormat="false" ht="15" hidden="false" customHeight="false" outlineLevel="0" collapsed="false">
      <c r="A2" s="14" t="s">
        <v>21</v>
      </c>
      <c r="B2" s="15" t="s">
        <v>31</v>
      </c>
      <c r="C2" s="15" t="s">
        <v>32</v>
      </c>
      <c r="D2" s="15" t="s">
        <v>33</v>
      </c>
      <c r="E2" s="16" t="n">
        <v>180</v>
      </c>
    </row>
    <row r="3" customFormat="false" ht="15" hidden="false" customHeight="false" outlineLevel="0" collapsed="false">
      <c r="A3" s="17" t="s">
        <v>27</v>
      </c>
      <c r="B3" s="18" t="s">
        <v>34</v>
      </c>
      <c r="C3" s="18" t="s">
        <v>35</v>
      </c>
      <c r="D3" s="18" t="s">
        <v>36</v>
      </c>
      <c r="E3" s="19" t="n">
        <v>96</v>
      </c>
    </row>
    <row r="4" customFormat="false" ht="15" hidden="false" customHeight="false" outlineLevel="0" collapsed="false">
      <c r="A4" s="14" t="s">
        <v>24</v>
      </c>
      <c r="B4" s="15" t="s">
        <v>37</v>
      </c>
      <c r="C4" s="15" t="s">
        <v>38</v>
      </c>
      <c r="D4" s="15" t="s">
        <v>39</v>
      </c>
      <c r="E4" s="16" t="n">
        <v>60</v>
      </c>
    </row>
    <row r="5" customFormat="false" ht="15" hidden="false" customHeight="false" outlineLevel="0" collapsed="false">
      <c r="A5" s="17" t="s">
        <v>40</v>
      </c>
      <c r="B5" s="18" t="s">
        <v>41</v>
      </c>
      <c r="C5" s="18" t="s">
        <v>42</v>
      </c>
      <c r="D5" s="18" t="s">
        <v>43</v>
      </c>
      <c r="E5" s="19" t="n">
        <v>45</v>
      </c>
    </row>
    <row r="6" customFormat="false" ht="15" hidden="false" customHeight="false" outlineLevel="0" collapsed="false">
      <c r="A6" s="14" t="s">
        <v>44</v>
      </c>
      <c r="B6" s="15" t="s">
        <v>45</v>
      </c>
      <c r="C6" s="15" t="s">
        <v>46</v>
      </c>
      <c r="D6" s="15" t="s">
        <v>47</v>
      </c>
      <c r="E6" s="16" t="n">
        <v>72</v>
      </c>
    </row>
    <row r="7" customFormat="false" ht="15" hidden="false" customHeight="false" outlineLevel="0" collapsed="false">
      <c r="A7" s="17"/>
      <c r="B7" s="18"/>
      <c r="C7" s="18"/>
      <c r="D7" s="18"/>
      <c r="E7" s="19"/>
    </row>
    <row r="8" customFormat="false" ht="15" hidden="false" customHeight="false" outlineLevel="0" collapsed="false">
      <c r="A8" s="14"/>
      <c r="B8" s="15"/>
      <c r="C8" s="15"/>
      <c r="D8" s="15"/>
      <c r="E8" s="16"/>
    </row>
    <row r="9" customFormat="false" ht="15" hidden="false" customHeight="false" outlineLevel="0" collapsed="false">
      <c r="A9" s="17"/>
      <c r="B9" s="18"/>
      <c r="C9" s="18"/>
      <c r="D9" s="18"/>
      <c r="E9" s="19"/>
    </row>
    <row r="10" customFormat="false" ht="15" hidden="false" customHeight="false" outlineLevel="0" collapsed="false">
      <c r="A10" s="14"/>
      <c r="B10" s="15"/>
      <c r="C10" s="15"/>
      <c r="D10" s="15"/>
      <c r="E10" s="16"/>
    </row>
    <row r="11" customFormat="false" ht="15" hidden="false" customHeight="false" outlineLevel="0" collapsed="false">
      <c r="A11" s="17"/>
      <c r="B11" s="18"/>
      <c r="C11" s="18"/>
      <c r="D11" s="18"/>
      <c r="E11" s="19"/>
    </row>
    <row r="12" customFormat="false" ht="15" hidden="false" customHeight="false" outlineLevel="0" collapsed="false">
      <c r="A12" s="14"/>
      <c r="B12" s="15"/>
      <c r="C12" s="15"/>
      <c r="D12" s="15"/>
      <c r="E12" s="16"/>
    </row>
    <row r="13" customFormat="false" ht="15" hidden="false" customHeight="false" outlineLevel="0" collapsed="false">
      <c r="A13" s="17"/>
      <c r="B13" s="18"/>
      <c r="C13" s="18"/>
      <c r="D13" s="18"/>
      <c r="E13" s="19"/>
    </row>
    <row r="14" customFormat="false" ht="15" hidden="false" customHeight="false" outlineLevel="0" collapsed="false">
      <c r="A14" s="14"/>
      <c r="B14" s="15"/>
      <c r="C14" s="15"/>
      <c r="D14" s="15"/>
      <c r="E14" s="16"/>
    </row>
    <row r="15" customFormat="false" ht="15" hidden="false" customHeight="false" outlineLevel="0" collapsed="false">
      <c r="A15" s="17"/>
      <c r="B15" s="18"/>
      <c r="C15" s="18"/>
      <c r="D15" s="18"/>
      <c r="E15" s="19"/>
    </row>
    <row r="16" customFormat="false" ht="15" hidden="false" customHeight="false" outlineLevel="0" collapsed="false">
      <c r="A16" s="14"/>
      <c r="B16" s="15"/>
      <c r="C16" s="15"/>
      <c r="D16" s="15"/>
      <c r="E16" s="16"/>
    </row>
    <row r="17" customFormat="false" ht="15" hidden="false" customHeight="false" outlineLevel="0" collapsed="false">
      <c r="A17" s="17"/>
      <c r="B17" s="18"/>
      <c r="C17" s="18"/>
      <c r="D17" s="18"/>
      <c r="E17" s="19"/>
    </row>
    <row r="18" customFormat="false" ht="15" hidden="false" customHeight="false" outlineLevel="0" collapsed="false">
      <c r="A18" s="14"/>
      <c r="B18" s="15"/>
      <c r="C18" s="15"/>
      <c r="D18" s="15"/>
      <c r="E18" s="16"/>
    </row>
    <row r="19" customFormat="false" ht="15" hidden="false" customHeight="false" outlineLevel="0" collapsed="false">
      <c r="A19" s="17"/>
      <c r="B19" s="18"/>
      <c r="C19" s="18"/>
      <c r="D19" s="18"/>
      <c r="E19" s="19"/>
    </row>
    <row r="20" customFormat="false" ht="15" hidden="false" customHeight="false" outlineLevel="0" collapsed="false">
      <c r="A20" s="14"/>
      <c r="B20" s="15"/>
      <c r="C20" s="15"/>
      <c r="D20" s="15"/>
      <c r="E20" s="16"/>
    </row>
    <row r="21" customFormat="false" ht="15" hidden="false" customHeight="false" outlineLevel="0" collapsed="false">
      <c r="A21" s="17"/>
      <c r="B21" s="18"/>
      <c r="C21" s="18"/>
      <c r="D21" s="18"/>
      <c r="E21" s="19"/>
    </row>
    <row r="22" customFormat="false" ht="15" hidden="false" customHeight="false" outlineLevel="0" collapsed="false">
      <c r="A22" s="14"/>
      <c r="B22" s="15"/>
      <c r="C22" s="15"/>
      <c r="D22" s="15"/>
      <c r="E22" s="16"/>
    </row>
    <row r="23" customFormat="false" ht="15" hidden="false" customHeight="false" outlineLevel="0" collapsed="false">
      <c r="A23" s="17"/>
      <c r="B23" s="18"/>
      <c r="C23" s="18"/>
      <c r="D23" s="18"/>
      <c r="E23" s="19"/>
    </row>
    <row r="24" customFormat="false" ht="15" hidden="false" customHeight="false" outlineLevel="0" collapsed="false">
      <c r="A24" s="14"/>
      <c r="B24" s="15"/>
      <c r="C24" s="15"/>
      <c r="D24" s="15"/>
      <c r="E24" s="16"/>
    </row>
    <row r="25" customFormat="false" ht="15" hidden="false" customHeight="false" outlineLevel="0" collapsed="false">
      <c r="A25" s="17"/>
      <c r="B25" s="18"/>
      <c r="C25" s="18"/>
      <c r="D25" s="18"/>
      <c r="E25" s="19"/>
    </row>
    <row r="26" customFormat="false" ht="15" hidden="false" customHeight="false" outlineLevel="0" collapsed="false">
      <c r="A26" s="14"/>
      <c r="B26" s="15"/>
      <c r="C26" s="15"/>
      <c r="D26" s="15"/>
      <c r="E26" s="16"/>
    </row>
    <row r="27" customFormat="false" ht="15" hidden="false" customHeight="false" outlineLevel="0" collapsed="false">
      <c r="A27" s="17"/>
      <c r="B27" s="18"/>
      <c r="C27" s="18"/>
      <c r="D27" s="18"/>
      <c r="E27" s="19"/>
    </row>
    <row r="28" customFormat="false" ht="15" hidden="false" customHeight="false" outlineLevel="0" collapsed="false">
      <c r="A28" s="14"/>
      <c r="B28" s="15"/>
      <c r="C28" s="15"/>
      <c r="D28" s="15"/>
      <c r="E28" s="16"/>
    </row>
    <row r="29" customFormat="false" ht="15" hidden="false" customHeight="false" outlineLevel="0" collapsed="false">
      <c r="A29" s="17"/>
      <c r="B29" s="18"/>
      <c r="C29" s="18"/>
      <c r="D29" s="18"/>
      <c r="E29" s="19"/>
    </row>
    <row r="30" customFormat="false" ht="15" hidden="false" customHeight="false" outlineLevel="0" collapsed="false">
      <c r="A30" s="14"/>
      <c r="B30" s="15"/>
      <c r="C30" s="15"/>
      <c r="D30" s="15"/>
      <c r="E30" s="16"/>
    </row>
    <row r="31" customFormat="false" ht="15" hidden="false" customHeight="false" outlineLevel="0" collapsed="false">
      <c r="A31" s="17"/>
      <c r="B31" s="18"/>
      <c r="C31" s="18"/>
      <c r="D31" s="18"/>
      <c r="E31" s="19"/>
    </row>
    <row r="32" customFormat="false" ht="15" hidden="false" customHeight="false" outlineLevel="0" collapsed="false">
      <c r="A32" s="14"/>
      <c r="B32" s="15"/>
      <c r="C32" s="15"/>
      <c r="D32" s="15"/>
      <c r="E32" s="16"/>
    </row>
    <row r="33" customFormat="false" ht="15" hidden="false" customHeight="false" outlineLevel="0" collapsed="false">
      <c r="A33" s="17"/>
      <c r="B33" s="18"/>
      <c r="C33" s="18"/>
      <c r="D33" s="18"/>
      <c r="E33" s="19"/>
    </row>
    <row r="34" customFormat="false" ht="15" hidden="false" customHeight="false" outlineLevel="0" collapsed="false">
      <c r="A34" s="14"/>
      <c r="B34" s="15"/>
      <c r="C34" s="15"/>
      <c r="D34" s="15"/>
      <c r="E34" s="16"/>
    </row>
    <row r="35" customFormat="false" ht="15" hidden="false" customHeight="false" outlineLevel="0" collapsed="false">
      <c r="A35" s="17"/>
      <c r="B35" s="18"/>
      <c r="C35" s="18"/>
      <c r="D35" s="18"/>
      <c r="E35" s="19"/>
    </row>
    <row r="36" customFormat="false" ht="15" hidden="false" customHeight="false" outlineLevel="0" collapsed="false">
      <c r="A36" s="14"/>
      <c r="B36" s="15"/>
      <c r="C36" s="15"/>
      <c r="D36" s="15"/>
      <c r="E36" s="16"/>
    </row>
    <row r="37" customFormat="false" ht="15" hidden="false" customHeight="false" outlineLevel="0" collapsed="false">
      <c r="A37" s="17"/>
      <c r="B37" s="18"/>
      <c r="C37" s="18"/>
      <c r="D37" s="18"/>
      <c r="E37" s="19"/>
    </row>
    <row r="38" customFormat="false" ht="15" hidden="false" customHeight="false" outlineLevel="0" collapsed="false">
      <c r="A38" s="14"/>
      <c r="B38" s="15"/>
      <c r="C38" s="15"/>
      <c r="D38" s="15"/>
      <c r="E38" s="16"/>
    </row>
    <row r="39" customFormat="false" ht="15" hidden="false" customHeight="false" outlineLevel="0" collapsed="false">
      <c r="A39" s="17"/>
      <c r="B39" s="18"/>
      <c r="C39" s="18"/>
      <c r="D39" s="18"/>
      <c r="E39" s="19"/>
    </row>
    <row r="40" customFormat="false" ht="15" hidden="false" customHeight="false" outlineLevel="0" collapsed="false">
      <c r="A40" s="14"/>
      <c r="B40" s="15"/>
      <c r="C40" s="15"/>
      <c r="D40" s="15"/>
      <c r="E40" s="16"/>
    </row>
    <row r="41" customFormat="false" ht="15" hidden="false" customHeight="false" outlineLevel="0" collapsed="false">
      <c r="A41" s="17"/>
      <c r="B41" s="18"/>
      <c r="C41" s="18"/>
      <c r="D41" s="18"/>
      <c r="E41" s="19"/>
    </row>
    <row r="42" customFormat="false" ht="15" hidden="false" customHeight="false" outlineLevel="0" collapsed="false">
      <c r="A42" s="14"/>
      <c r="B42" s="15"/>
      <c r="C42" s="15"/>
      <c r="D42" s="15"/>
      <c r="E42" s="16"/>
    </row>
    <row r="43" customFormat="false" ht="15" hidden="false" customHeight="false" outlineLevel="0" collapsed="false">
      <c r="A43" s="17"/>
      <c r="B43" s="18"/>
      <c r="C43" s="18"/>
      <c r="D43" s="18"/>
      <c r="E43" s="19"/>
    </row>
    <row r="44" customFormat="false" ht="15" hidden="false" customHeight="false" outlineLevel="0" collapsed="false">
      <c r="A44" s="14"/>
      <c r="B44" s="15"/>
      <c r="C44" s="15"/>
      <c r="D44" s="15"/>
      <c r="E44" s="16"/>
    </row>
    <row r="45" customFormat="false" ht="15" hidden="false" customHeight="false" outlineLevel="0" collapsed="false">
      <c r="A45" s="17"/>
      <c r="B45" s="18"/>
      <c r="C45" s="18"/>
      <c r="D45" s="18"/>
      <c r="E45" s="19"/>
    </row>
    <row r="46" customFormat="false" ht="15" hidden="false" customHeight="false" outlineLevel="0" collapsed="false">
      <c r="A46" s="14"/>
      <c r="B46" s="15"/>
      <c r="C46" s="15"/>
      <c r="D46" s="15"/>
      <c r="E46" s="16"/>
    </row>
    <row r="47" customFormat="false" ht="15" hidden="false" customHeight="false" outlineLevel="0" collapsed="false">
      <c r="A47" s="17"/>
      <c r="B47" s="18"/>
      <c r="C47" s="18"/>
      <c r="D47" s="18"/>
      <c r="E47" s="19"/>
    </row>
    <row r="48" customFormat="false" ht="15" hidden="false" customHeight="false" outlineLevel="0" collapsed="false">
      <c r="A48" s="14"/>
      <c r="B48" s="15"/>
      <c r="C48" s="15"/>
      <c r="D48" s="15"/>
      <c r="E48" s="16"/>
    </row>
    <row r="49" customFormat="false" ht="15" hidden="false" customHeight="false" outlineLevel="0" collapsed="false">
      <c r="A49" s="17"/>
      <c r="B49" s="18"/>
      <c r="C49" s="18"/>
      <c r="D49" s="18"/>
      <c r="E49" s="19"/>
    </row>
    <row r="50" customFormat="false" ht="15" hidden="false" customHeight="false" outlineLevel="0" collapsed="false">
      <c r="A50" s="14"/>
      <c r="B50" s="15"/>
      <c r="C50" s="15"/>
      <c r="D50" s="15"/>
      <c r="E50" s="16"/>
    </row>
    <row r="51" customFormat="false" ht="15" hidden="false" customHeight="false" outlineLevel="0" collapsed="false">
      <c r="A51" s="17"/>
      <c r="B51" s="18"/>
      <c r="C51" s="18"/>
      <c r="D51" s="18"/>
      <c r="E51" s="19"/>
    </row>
    <row r="52" customFormat="false" ht="15" hidden="false" customHeight="false" outlineLevel="0" collapsed="false">
      <c r="A52" s="14"/>
      <c r="B52" s="15"/>
      <c r="C52" s="15"/>
      <c r="D52" s="15"/>
      <c r="E52" s="16"/>
    </row>
    <row r="53" customFormat="false" ht="15" hidden="false" customHeight="false" outlineLevel="0" collapsed="false">
      <c r="A53" s="17"/>
      <c r="B53" s="18"/>
      <c r="C53" s="18"/>
      <c r="D53" s="18"/>
      <c r="E53" s="19"/>
    </row>
    <row r="54" customFormat="false" ht="15" hidden="false" customHeight="false" outlineLevel="0" collapsed="false">
      <c r="A54" s="14"/>
      <c r="B54" s="15"/>
      <c r="C54" s="15"/>
      <c r="D54" s="15"/>
      <c r="E54" s="16"/>
    </row>
    <row r="55" customFormat="false" ht="15" hidden="false" customHeight="false" outlineLevel="0" collapsed="false">
      <c r="A55" s="17"/>
      <c r="B55" s="18"/>
      <c r="C55" s="18"/>
      <c r="D55" s="18"/>
      <c r="E55" s="19"/>
    </row>
    <row r="56" customFormat="false" ht="15" hidden="false" customHeight="false" outlineLevel="0" collapsed="false">
      <c r="A56" s="14"/>
      <c r="B56" s="15"/>
      <c r="C56" s="15"/>
      <c r="D56" s="15"/>
      <c r="E56" s="16"/>
    </row>
    <row r="57" customFormat="false" ht="15" hidden="false" customHeight="false" outlineLevel="0" collapsed="false">
      <c r="A57" s="17"/>
      <c r="B57" s="18"/>
      <c r="C57" s="18"/>
      <c r="D57" s="18"/>
      <c r="E57" s="19"/>
    </row>
    <row r="58" customFormat="false" ht="15" hidden="false" customHeight="false" outlineLevel="0" collapsed="false">
      <c r="A58" s="14"/>
      <c r="B58" s="15"/>
      <c r="C58" s="15"/>
      <c r="D58" s="15"/>
      <c r="E58" s="16"/>
    </row>
    <row r="59" customFormat="false" ht="15" hidden="false" customHeight="false" outlineLevel="0" collapsed="false">
      <c r="A59" s="17"/>
      <c r="B59" s="18"/>
      <c r="C59" s="18"/>
      <c r="D59" s="18"/>
      <c r="E59" s="19"/>
    </row>
    <row r="60" customFormat="false" ht="15" hidden="false" customHeight="false" outlineLevel="0" collapsed="false">
      <c r="A60" s="14"/>
      <c r="B60" s="15"/>
      <c r="C60" s="15"/>
      <c r="D60" s="15"/>
      <c r="E60" s="16"/>
    </row>
    <row r="61" customFormat="false" ht="15" hidden="false" customHeight="false" outlineLevel="0" collapsed="false">
      <c r="A61" s="17"/>
      <c r="B61" s="18"/>
      <c r="C61" s="18"/>
      <c r="D61" s="18"/>
      <c r="E61" s="19"/>
    </row>
    <row r="62" customFormat="false" ht="15" hidden="false" customHeight="false" outlineLevel="0" collapsed="false">
      <c r="A62" s="14"/>
      <c r="B62" s="15"/>
      <c r="C62" s="15"/>
      <c r="D62" s="15"/>
      <c r="E62" s="16"/>
    </row>
    <row r="63" customFormat="false" ht="15" hidden="false" customHeight="false" outlineLevel="0" collapsed="false">
      <c r="A63" s="17"/>
      <c r="B63" s="18"/>
      <c r="C63" s="18"/>
      <c r="D63" s="18"/>
      <c r="E63" s="19"/>
    </row>
    <row r="64" customFormat="false" ht="15" hidden="false" customHeight="false" outlineLevel="0" collapsed="false">
      <c r="A64" s="14"/>
      <c r="B64" s="15"/>
      <c r="C64" s="15"/>
      <c r="D64" s="15"/>
      <c r="E64" s="16"/>
    </row>
    <row r="65" customFormat="false" ht="15" hidden="false" customHeight="false" outlineLevel="0" collapsed="false">
      <c r="A65" s="17"/>
      <c r="B65" s="18"/>
      <c r="C65" s="18"/>
      <c r="D65" s="18"/>
      <c r="E65" s="19"/>
    </row>
    <row r="66" customFormat="false" ht="15" hidden="false" customHeight="false" outlineLevel="0" collapsed="false">
      <c r="A66" s="14"/>
      <c r="B66" s="15"/>
      <c r="C66" s="15"/>
      <c r="D66" s="15"/>
      <c r="E66" s="16"/>
    </row>
    <row r="67" customFormat="false" ht="15" hidden="false" customHeight="false" outlineLevel="0" collapsed="false">
      <c r="A67" s="17"/>
      <c r="B67" s="18"/>
      <c r="C67" s="18"/>
      <c r="D67" s="18"/>
      <c r="E67" s="19"/>
    </row>
    <row r="68" customFormat="false" ht="15" hidden="false" customHeight="false" outlineLevel="0" collapsed="false">
      <c r="A68" s="14"/>
      <c r="B68" s="15"/>
      <c r="C68" s="15"/>
      <c r="D68" s="15"/>
      <c r="E68" s="16"/>
    </row>
    <row r="69" customFormat="false" ht="15" hidden="false" customHeight="false" outlineLevel="0" collapsed="false">
      <c r="A69" s="17"/>
      <c r="B69" s="18"/>
      <c r="C69" s="18"/>
      <c r="D69" s="18"/>
      <c r="E69" s="19"/>
    </row>
    <row r="70" customFormat="false" ht="15" hidden="false" customHeight="false" outlineLevel="0" collapsed="false">
      <c r="A70" s="14"/>
      <c r="B70" s="15"/>
      <c r="C70" s="15"/>
      <c r="D70" s="15"/>
      <c r="E70" s="16"/>
    </row>
    <row r="71" customFormat="false" ht="15" hidden="false" customHeight="false" outlineLevel="0" collapsed="false">
      <c r="A71" s="17"/>
      <c r="B71" s="18"/>
      <c r="C71" s="18"/>
      <c r="D71" s="18"/>
      <c r="E71" s="19"/>
    </row>
    <row r="72" customFormat="false" ht="15" hidden="false" customHeight="false" outlineLevel="0" collapsed="false">
      <c r="A72" s="14"/>
      <c r="B72" s="15"/>
      <c r="C72" s="15"/>
      <c r="D72" s="15"/>
      <c r="E72" s="16"/>
    </row>
    <row r="73" customFormat="false" ht="15" hidden="false" customHeight="false" outlineLevel="0" collapsed="false">
      <c r="A73" s="17"/>
      <c r="B73" s="18"/>
      <c r="C73" s="18"/>
      <c r="D73" s="18"/>
      <c r="E73" s="19"/>
    </row>
    <row r="74" customFormat="false" ht="15" hidden="false" customHeight="false" outlineLevel="0" collapsed="false">
      <c r="A74" s="14"/>
      <c r="B74" s="15"/>
      <c r="C74" s="15"/>
      <c r="D74" s="15"/>
      <c r="E74" s="16"/>
    </row>
    <row r="75" customFormat="false" ht="15" hidden="false" customHeight="false" outlineLevel="0" collapsed="false">
      <c r="A75" s="17"/>
      <c r="B75" s="18"/>
      <c r="C75" s="18"/>
      <c r="D75" s="18"/>
      <c r="E75" s="19"/>
    </row>
    <row r="76" customFormat="false" ht="15" hidden="false" customHeight="false" outlineLevel="0" collapsed="false">
      <c r="A76" s="14"/>
      <c r="B76" s="15"/>
      <c r="C76" s="15"/>
      <c r="D76" s="15"/>
      <c r="E76" s="16"/>
    </row>
    <row r="77" customFormat="false" ht="15" hidden="false" customHeight="false" outlineLevel="0" collapsed="false">
      <c r="A77" s="17"/>
      <c r="B77" s="18"/>
      <c r="C77" s="18"/>
      <c r="D77" s="18"/>
      <c r="E77" s="19"/>
    </row>
    <row r="78" customFormat="false" ht="15" hidden="false" customHeight="false" outlineLevel="0" collapsed="false">
      <c r="A78" s="14"/>
      <c r="B78" s="15"/>
      <c r="C78" s="15"/>
      <c r="D78" s="15"/>
      <c r="E78" s="16"/>
    </row>
    <row r="79" customFormat="false" ht="15" hidden="false" customHeight="false" outlineLevel="0" collapsed="false">
      <c r="A79" s="17"/>
      <c r="B79" s="18"/>
      <c r="C79" s="18"/>
      <c r="D79" s="18"/>
      <c r="E79" s="19"/>
    </row>
    <row r="80" customFormat="false" ht="15" hidden="false" customHeight="false" outlineLevel="0" collapsed="false">
      <c r="A80" s="14"/>
      <c r="B80" s="15"/>
      <c r="C80" s="15"/>
      <c r="D80" s="15"/>
      <c r="E80" s="16"/>
    </row>
    <row r="81" customFormat="false" ht="15" hidden="false" customHeight="false" outlineLevel="0" collapsed="false">
      <c r="A81" s="17"/>
      <c r="B81" s="18"/>
      <c r="C81" s="18"/>
      <c r="D81" s="18"/>
      <c r="E81" s="19"/>
    </row>
    <row r="82" customFormat="false" ht="15" hidden="false" customHeight="false" outlineLevel="0" collapsed="false">
      <c r="A82" s="14"/>
      <c r="B82" s="15"/>
      <c r="C82" s="15"/>
      <c r="D82" s="15"/>
      <c r="E82" s="16"/>
    </row>
    <row r="83" customFormat="false" ht="15" hidden="false" customHeight="false" outlineLevel="0" collapsed="false">
      <c r="A83" s="17"/>
      <c r="B83" s="18"/>
      <c r="C83" s="18"/>
      <c r="D83" s="18"/>
      <c r="E83" s="19"/>
    </row>
    <row r="84" customFormat="false" ht="15" hidden="false" customHeight="false" outlineLevel="0" collapsed="false">
      <c r="A84" s="14"/>
      <c r="B84" s="15"/>
      <c r="C84" s="15"/>
      <c r="D84" s="15"/>
      <c r="E84" s="16"/>
    </row>
    <row r="85" customFormat="false" ht="15" hidden="false" customHeight="false" outlineLevel="0" collapsed="false">
      <c r="A85" s="17"/>
      <c r="B85" s="18"/>
      <c r="C85" s="18"/>
      <c r="D85" s="18"/>
      <c r="E85" s="19"/>
    </row>
    <row r="86" customFormat="false" ht="15" hidden="false" customHeight="false" outlineLevel="0" collapsed="false">
      <c r="A86" s="14"/>
      <c r="B86" s="15"/>
      <c r="C86" s="15"/>
      <c r="D86" s="15"/>
      <c r="E86" s="16"/>
    </row>
    <row r="87" customFormat="false" ht="15" hidden="false" customHeight="false" outlineLevel="0" collapsed="false">
      <c r="A87" s="17"/>
      <c r="B87" s="18"/>
      <c r="C87" s="18"/>
      <c r="D87" s="18"/>
      <c r="E87" s="19"/>
    </row>
    <row r="88" customFormat="false" ht="15" hidden="false" customHeight="false" outlineLevel="0" collapsed="false">
      <c r="A88" s="14"/>
      <c r="B88" s="15"/>
      <c r="C88" s="15"/>
      <c r="D88" s="15"/>
      <c r="E88" s="16"/>
    </row>
    <row r="89" customFormat="false" ht="15" hidden="false" customHeight="false" outlineLevel="0" collapsed="false">
      <c r="A89" s="17"/>
      <c r="B89" s="18"/>
      <c r="C89" s="18"/>
      <c r="D89" s="18"/>
      <c r="E89" s="19"/>
    </row>
    <row r="90" customFormat="false" ht="15" hidden="false" customHeight="false" outlineLevel="0" collapsed="false">
      <c r="A90" s="14"/>
      <c r="B90" s="15"/>
      <c r="C90" s="15"/>
      <c r="D90" s="15"/>
      <c r="E90" s="16"/>
    </row>
    <row r="91" customFormat="false" ht="15" hidden="false" customHeight="false" outlineLevel="0" collapsed="false">
      <c r="A91" s="17"/>
      <c r="B91" s="18"/>
      <c r="C91" s="18"/>
      <c r="D91" s="18"/>
      <c r="E91" s="19"/>
    </row>
    <row r="92" customFormat="false" ht="15" hidden="false" customHeight="false" outlineLevel="0" collapsed="false">
      <c r="A92" s="14"/>
      <c r="B92" s="15"/>
      <c r="C92" s="15"/>
      <c r="D92" s="15"/>
      <c r="E92" s="16"/>
    </row>
    <row r="93" customFormat="false" ht="15" hidden="false" customHeight="false" outlineLevel="0" collapsed="false">
      <c r="A93" s="17"/>
      <c r="B93" s="18"/>
      <c r="C93" s="18"/>
      <c r="D93" s="18"/>
      <c r="E93" s="19"/>
    </row>
    <row r="94" customFormat="false" ht="15" hidden="false" customHeight="false" outlineLevel="0" collapsed="false">
      <c r="A94" s="14"/>
      <c r="B94" s="15"/>
      <c r="C94" s="15"/>
      <c r="D94" s="15"/>
      <c r="E94" s="16"/>
    </row>
    <row r="95" customFormat="false" ht="15" hidden="false" customHeight="false" outlineLevel="0" collapsed="false">
      <c r="A95" s="17"/>
      <c r="B95" s="18"/>
      <c r="C95" s="18"/>
      <c r="D95" s="18"/>
      <c r="E95" s="19"/>
    </row>
    <row r="96" customFormat="false" ht="15" hidden="false" customHeight="false" outlineLevel="0" collapsed="false">
      <c r="A96" s="14"/>
      <c r="B96" s="15"/>
      <c r="C96" s="15"/>
      <c r="D96" s="15"/>
      <c r="E96" s="16"/>
    </row>
    <row r="97" customFormat="false" ht="15" hidden="false" customHeight="false" outlineLevel="0" collapsed="false">
      <c r="A97" s="17"/>
      <c r="B97" s="18"/>
      <c r="C97" s="18"/>
      <c r="D97" s="18"/>
      <c r="E97" s="19"/>
    </row>
    <row r="98" customFormat="false" ht="15" hidden="false" customHeight="false" outlineLevel="0" collapsed="false">
      <c r="A98" s="14"/>
      <c r="B98" s="15"/>
      <c r="C98" s="15"/>
      <c r="D98" s="15"/>
      <c r="E98" s="16"/>
    </row>
    <row r="99" customFormat="false" ht="15" hidden="false" customHeight="false" outlineLevel="0" collapsed="false">
      <c r="A99" s="17"/>
      <c r="B99" s="18"/>
      <c r="C99" s="18"/>
      <c r="D99" s="18"/>
      <c r="E99" s="19"/>
    </row>
    <row r="100" customFormat="false" ht="15" hidden="false" customHeight="false" outlineLevel="0" collapsed="false">
      <c r="A100" s="14"/>
      <c r="B100" s="15"/>
      <c r="C100" s="15"/>
      <c r="D100" s="15"/>
      <c r="E100" s="16"/>
    </row>
    <row r="101" customFormat="false" ht="15" hidden="false" customHeight="false" outlineLevel="0" collapsed="false">
      <c r="A101" s="17"/>
      <c r="B101" s="18"/>
      <c r="C101" s="18"/>
      <c r="D101" s="18"/>
      <c r="E101" s="19"/>
    </row>
    <row r="102" customFormat="false" ht="15" hidden="false" customHeight="false" outlineLevel="0" collapsed="false">
      <c r="A102" s="14"/>
      <c r="B102" s="15"/>
      <c r="C102" s="15"/>
      <c r="D102" s="15"/>
      <c r="E102" s="16"/>
    </row>
    <row r="103" customFormat="false" ht="15" hidden="false" customHeight="false" outlineLevel="0" collapsed="false">
      <c r="A103" s="17"/>
      <c r="B103" s="18"/>
      <c r="C103" s="18"/>
      <c r="D103" s="18"/>
      <c r="E103" s="19"/>
    </row>
    <row r="104" customFormat="false" ht="15" hidden="false" customHeight="false" outlineLevel="0" collapsed="false">
      <c r="A104" s="14"/>
      <c r="B104" s="15"/>
      <c r="C104" s="15"/>
      <c r="D104" s="15"/>
      <c r="E104" s="16"/>
    </row>
    <row r="105" customFormat="false" ht="15" hidden="false" customHeight="false" outlineLevel="0" collapsed="false">
      <c r="A105" s="17"/>
      <c r="B105" s="18"/>
      <c r="C105" s="18"/>
      <c r="D105" s="18"/>
      <c r="E105" s="19"/>
    </row>
    <row r="106" customFormat="false" ht="15" hidden="false" customHeight="false" outlineLevel="0" collapsed="false">
      <c r="A106" s="14"/>
      <c r="B106" s="15"/>
      <c r="C106" s="15"/>
      <c r="D106" s="15"/>
      <c r="E106" s="16"/>
    </row>
    <row r="107" customFormat="false" ht="15" hidden="false" customHeight="false" outlineLevel="0" collapsed="false">
      <c r="A107" s="17"/>
      <c r="B107" s="18"/>
      <c r="C107" s="18"/>
      <c r="D107" s="18"/>
      <c r="E107" s="19"/>
    </row>
    <row r="108" customFormat="false" ht="15" hidden="false" customHeight="false" outlineLevel="0" collapsed="false">
      <c r="A108" s="14"/>
      <c r="B108" s="15"/>
      <c r="C108" s="15"/>
      <c r="D108" s="15"/>
      <c r="E108" s="16"/>
    </row>
    <row r="109" customFormat="false" ht="15" hidden="false" customHeight="false" outlineLevel="0" collapsed="false">
      <c r="A109" s="17"/>
      <c r="B109" s="18"/>
      <c r="C109" s="18"/>
      <c r="D109" s="18"/>
      <c r="E109" s="19"/>
    </row>
    <row r="110" customFormat="false" ht="15" hidden="false" customHeight="false" outlineLevel="0" collapsed="false">
      <c r="A110" s="14"/>
      <c r="B110" s="15"/>
      <c r="C110" s="15"/>
      <c r="D110" s="15"/>
      <c r="E110" s="16"/>
    </row>
    <row r="111" customFormat="false" ht="15" hidden="false" customHeight="false" outlineLevel="0" collapsed="false">
      <c r="A111" s="17"/>
      <c r="B111" s="18"/>
      <c r="C111" s="18"/>
      <c r="D111" s="18"/>
      <c r="E111" s="19"/>
    </row>
    <row r="112" customFormat="false" ht="15" hidden="false" customHeight="false" outlineLevel="0" collapsed="false">
      <c r="A112" s="14"/>
      <c r="B112" s="15"/>
      <c r="C112" s="15"/>
      <c r="D112" s="15"/>
      <c r="E112" s="16"/>
    </row>
    <row r="113" customFormat="false" ht="15" hidden="false" customHeight="false" outlineLevel="0" collapsed="false">
      <c r="A113" s="17"/>
      <c r="B113" s="18"/>
      <c r="C113" s="18"/>
      <c r="D113" s="18"/>
      <c r="E113" s="19"/>
    </row>
    <row r="114" customFormat="false" ht="15" hidden="false" customHeight="false" outlineLevel="0" collapsed="false">
      <c r="A114" s="14"/>
      <c r="B114" s="15"/>
      <c r="C114" s="15"/>
      <c r="D114" s="15"/>
      <c r="E114" s="16"/>
    </row>
    <row r="115" customFormat="false" ht="15" hidden="false" customHeight="false" outlineLevel="0" collapsed="false">
      <c r="A115" s="17"/>
      <c r="B115" s="18"/>
      <c r="C115" s="18"/>
      <c r="D115" s="18"/>
      <c r="E115" s="19"/>
    </row>
    <row r="116" customFormat="false" ht="15" hidden="false" customHeight="false" outlineLevel="0" collapsed="false">
      <c r="A116" s="14"/>
      <c r="B116" s="15"/>
      <c r="C116" s="15"/>
      <c r="D116" s="15"/>
      <c r="E116" s="16"/>
    </row>
    <row r="117" customFormat="false" ht="15" hidden="false" customHeight="false" outlineLevel="0" collapsed="false">
      <c r="A117" s="17"/>
      <c r="B117" s="18"/>
      <c r="C117" s="18"/>
      <c r="D117" s="18"/>
      <c r="E117" s="19"/>
    </row>
    <row r="118" customFormat="false" ht="15" hidden="false" customHeight="false" outlineLevel="0" collapsed="false">
      <c r="A118" s="14"/>
      <c r="B118" s="15"/>
      <c r="C118" s="15"/>
      <c r="D118" s="15"/>
      <c r="E118" s="16"/>
    </row>
    <row r="119" customFormat="false" ht="15" hidden="false" customHeight="false" outlineLevel="0" collapsed="false">
      <c r="A119" s="17"/>
      <c r="B119" s="18"/>
      <c r="C119" s="18"/>
      <c r="D119" s="18"/>
      <c r="E119" s="19"/>
    </row>
    <row r="120" customFormat="false" ht="15" hidden="false" customHeight="false" outlineLevel="0" collapsed="false">
      <c r="A120" s="14"/>
      <c r="B120" s="15"/>
      <c r="C120" s="15"/>
      <c r="D120" s="15"/>
      <c r="E120" s="16"/>
    </row>
    <row r="121" customFormat="false" ht="15" hidden="false" customHeight="false" outlineLevel="0" collapsed="false">
      <c r="A121" s="17"/>
      <c r="B121" s="18"/>
      <c r="C121" s="18"/>
      <c r="D121" s="18"/>
      <c r="E121" s="19"/>
    </row>
    <row r="122" customFormat="false" ht="15" hidden="false" customHeight="false" outlineLevel="0" collapsed="false">
      <c r="A122" s="14"/>
      <c r="B122" s="15"/>
      <c r="C122" s="15"/>
      <c r="D122" s="15"/>
      <c r="E122" s="16"/>
    </row>
    <row r="123" customFormat="false" ht="15" hidden="false" customHeight="false" outlineLevel="0" collapsed="false">
      <c r="A123" s="17"/>
      <c r="B123" s="18"/>
      <c r="C123" s="18"/>
      <c r="D123" s="18"/>
      <c r="E123" s="19"/>
    </row>
    <row r="124" customFormat="false" ht="15" hidden="false" customHeight="false" outlineLevel="0" collapsed="false">
      <c r="A124" s="14"/>
      <c r="B124" s="15"/>
      <c r="C124" s="15"/>
      <c r="D124" s="15"/>
      <c r="E124" s="16"/>
    </row>
    <row r="125" customFormat="false" ht="15" hidden="false" customHeight="false" outlineLevel="0" collapsed="false">
      <c r="A125" s="17"/>
      <c r="B125" s="18"/>
      <c r="C125" s="18"/>
      <c r="D125" s="18"/>
      <c r="E125" s="19"/>
    </row>
    <row r="126" customFormat="false" ht="15" hidden="false" customHeight="false" outlineLevel="0" collapsed="false">
      <c r="A126" s="14"/>
      <c r="B126" s="15"/>
      <c r="C126" s="15"/>
      <c r="D126" s="15"/>
      <c r="E126" s="16"/>
    </row>
    <row r="127" customFormat="false" ht="15" hidden="false" customHeight="false" outlineLevel="0" collapsed="false">
      <c r="A127" s="17"/>
      <c r="B127" s="18"/>
      <c r="C127" s="18"/>
      <c r="D127" s="18"/>
      <c r="E127" s="19"/>
    </row>
    <row r="128" customFormat="false" ht="15" hidden="false" customHeight="false" outlineLevel="0" collapsed="false">
      <c r="A128" s="14"/>
      <c r="B128" s="15"/>
      <c r="C128" s="15"/>
      <c r="D128" s="15"/>
      <c r="E128" s="16"/>
    </row>
    <row r="129" customFormat="false" ht="15" hidden="false" customHeight="false" outlineLevel="0" collapsed="false">
      <c r="A129" s="17"/>
      <c r="B129" s="18"/>
      <c r="C129" s="18"/>
      <c r="D129" s="18"/>
      <c r="E129" s="19"/>
    </row>
    <row r="130" customFormat="false" ht="15" hidden="false" customHeight="false" outlineLevel="0" collapsed="false">
      <c r="A130" s="14"/>
      <c r="B130" s="15"/>
      <c r="C130" s="15"/>
      <c r="D130" s="15"/>
      <c r="E130" s="16"/>
    </row>
    <row r="131" customFormat="false" ht="15" hidden="false" customHeight="false" outlineLevel="0" collapsed="false">
      <c r="A131" s="17"/>
      <c r="B131" s="18"/>
      <c r="C131" s="18"/>
      <c r="D131" s="18"/>
      <c r="E131" s="19"/>
    </row>
    <row r="132" customFormat="false" ht="15" hidden="false" customHeight="false" outlineLevel="0" collapsed="false">
      <c r="A132" s="14"/>
      <c r="B132" s="15"/>
      <c r="C132" s="15"/>
      <c r="D132" s="15"/>
      <c r="E132" s="16"/>
    </row>
    <row r="133" customFormat="false" ht="15" hidden="false" customHeight="false" outlineLevel="0" collapsed="false">
      <c r="A133" s="17"/>
      <c r="B133" s="18"/>
      <c r="C133" s="18"/>
      <c r="D133" s="18"/>
      <c r="E133" s="19"/>
    </row>
    <row r="134" customFormat="false" ht="15" hidden="false" customHeight="false" outlineLevel="0" collapsed="false">
      <c r="A134" s="14"/>
      <c r="B134" s="15"/>
      <c r="C134" s="15"/>
      <c r="D134" s="15"/>
      <c r="E134" s="16"/>
    </row>
    <row r="135" customFormat="false" ht="15" hidden="false" customHeight="false" outlineLevel="0" collapsed="false">
      <c r="A135" s="17"/>
      <c r="B135" s="18"/>
      <c r="C135" s="18"/>
      <c r="D135" s="18"/>
      <c r="E135" s="19"/>
    </row>
    <row r="136" customFormat="false" ht="15" hidden="false" customHeight="false" outlineLevel="0" collapsed="false">
      <c r="A136" s="14"/>
      <c r="B136" s="15"/>
      <c r="C136" s="15"/>
      <c r="D136" s="15"/>
      <c r="E136" s="16"/>
    </row>
    <row r="137" customFormat="false" ht="15" hidden="false" customHeight="false" outlineLevel="0" collapsed="false">
      <c r="A137" s="17"/>
      <c r="B137" s="18"/>
      <c r="C137" s="18"/>
      <c r="D137" s="18"/>
      <c r="E137" s="19"/>
    </row>
    <row r="138" customFormat="false" ht="15" hidden="false" customHeight="false" outlineLevel="0" collapsed="false">
      <c r="A138" s="14"/>
      <c r="B138" s="15"/>
      <c r="C138" s="15"/>
      <c r="D138" s="15"/>
      <c r="E138" s="16"/>
    </row>
    <row r="139" customFormat="false" ht="15" hidden="false" customHeight="false" outlineLevel="0" collapsed="false">
      <c r="A139" s="17"/>
      <c r="B139" s="18"/>
      <c r="C139" s="18"/>
      <c r="D139" s="18"/>
      <c r="E139" s="19"/>
    </row>
    <row r="140" customFormat="false" ht="15" hidden="false" customHeight="false" outlineLevel="0" collapsed="false">
      <c r="A140" s="14"/>
      <c r="B140" s="15"/>
      <c r="C140" s="15"/>
      <c r="D140" s="15"/>
      <c r="E140" s="16"/>
    </row>
    <row r="141" customFormat="false" ht="15" hidden="false" customHeight="false" outlineLevel="0" collapsed="false">
      <c r="A141" s="17"/>
      <c r="B141" s="18"/>
      <c r="C141" s="18"/>
      <c r="D141" s="18"/>
      <c r="E141" s="19"/>
    </row>
    <row r="142" customFormat="false" ht="15" hidden="false" customHeight="false" outlineLevel="0" collapsed="false">
      <c r="A142" s="14"/>
      <c r="B142" s="15"/>
      <c r="C142" s="15"/>
      <c r="D142" s="15"/>
      <c r="E142" s="16"/>
    </row>
    <row r="143" customFormat="false" ht="15" hidden="false" customHeight="false" outlineLevel="0" collapsed="false">
      <c r="A143" s="17"/>
      <c r="B143" s="18"/>
      <c r="C143" s="18"/>
      <c r="D143" s="18"/>
      <c r="E143" s="19"/>
    </row>
    <row r="144" customFormat="false" ht="15" hidden="false" customHeight="false" outlineLevel="0" collapsed="false">
      <c r="A144" s="14"/>
      <c r="B144" s="15"/>
      <c r="C144" s="15"/>
      <c r="D144" s="15"/>
      <c r="E144" s="16"/>
    </row>
    <row r="145" customFormat="false" ht="15" hidden="false" customHeight="false" outlineLevel="0" collapsed="false">
      <c r="A145" s="17"/>
      <c r="B145" s="18"/>
      <c r="C145" s="18"/>
      <c r="D145" s="18"/>
      <c r="E145" s="19"/>
    </row>
    <row r="146" customFormat="false" ht="15" hidden="false" customHeight="false" outlineLevel="0" collapsed="false">
      <c r="A146" s="14"/>
      <c r="B146" s="15"/>
      <c r="C146" s="15"/>
      <c r="D146" s="15"/>
      <c r="E146" s="16"/>
    </row>
    <row r="147" customFormat="false" ht="15" hidden="false" customHeight="false" outlineLevel="0" collapsed="false">
      <c r="A147" s="17"/>
      <c r="B147" s="18"/>
      <c r="C147" s="18"/>
      <c r="D147" s="18"/>
      <c r="E147" s="19"/>
    </row>
    <row r="148" customFormat="false" ht="15" hidden="false" customHeight="false" outlineLevel="0" collapsed="false">
      <c r="A148" s="14"/>
      <c r="B148" s="15"/>
      <c r="C148" s="15"/>
      <c r="D148" s="15"/>
      <c r="E148" s="16"/>
    </row>
    <row r="149" customFormat="false" ht="15" hidden="false" customHeight="false" outlineLevel="0" collapsed="false">
      <c r="A149" s="17"/>
      <c r="B149" s="18"/>
      <c r="C149" s="18"/>
      <c r="D149" s="18"/>
      <c r="E149" s="19"/>
    </row>
    <row r="150" customFormat="false" ht="15" hidden="false" customHeight="false" outlineLevel="0" collapsed="false">
      <c r="A150" s="14"/>
      <c r="B150" s="15"/>
      <c r="C150" s="15"/>
      <c r="D150" s="15"/>
      <c r="E150" s="16"/>
    </row>
    <row r="151" customFormat="false" ht="15" hidden="false" customHeight="false" outlineLevel="0" collapsed="false">
      <c r="A151" s="17"/>
      <c r="B151" s="18"/>
      <c r="C151" s="18"/>
      <c r="D151" s="18"/>
      <c r="E151" s="19"/>
    </row>
    <row r="152" customFormat="false" ht="15" hidden="false" customHeight="false" outlineLevel="0" collapsed="false">
      <c r="A152" s="14"/>
      <c r="B152" s="15"/>
      <c r="C152" s="15"/>
      <c r="D152" s="15"/>
      <c r="E152" s="16"/>
    </row>
    <row r="153" customFormat="false" ht="15" hidden="false" customHeight="false" outlineLevel="0" collapsed="false">
      <c r="A153" s="17"/>
      <c r="B153" s="18"/>
      <c r="C153" s="18"/>
      <c r="D153" s="18"/>
      <c r="E153" s="19"/>
    </row>
    <row r="154" customFormat="false" ht="15" hidden="false" customHeight="false" outlineLevel="0" collapsed="false">
      <c r="A154" s="14"/>
      <c r="B154" s="15"/>
      <c r="C154" s="15"/>
      <c r="D154" s="15"/>
      <c r="E154" s="16"/>
    </row>
    <row r="155" customFormat="false" ht="15" hidden="false" customHeight="false" outlineLevel="0" collapsed="false">
      <c r="A155" s="17"/>
      <c r="B155" s="18"/>
      <c r="C155" s="18"/>
      <c r="D155" s="18"/>
      <c r="E155" s="19"/>
    </row>
    <row r="156" customFormat="false" ht="15" hidden="false" customHeight="false" outlineLevel="0" collapsed="false">
      <c r="A156" s="14"/>
      <c r="B156" s="15"/>
      <c r="C156" s="15"/>
      <c r="D156" s="15"/>
      <c r="E156" s="16"/>
    </row>
    <row r="157" customFormat="false" ht="15" hidden="false" customHeight="false" outlineLevel="0" collapsed="false">
      <c r="A157" s="17"/>
      <c r="B157" s="18"/>
      <c r="C157" s="18"/>
      <c r="D157" s="18"/>
      <c r="E157" s="19"/>
    </row>
    <row r="158" customFormat="false" ht="15" hidden="false" customHeight="false" outlineLevel="0" collapsed="false">
      <c r="A158" s="14"/>
      <c r="B158" s="15"/>
      <c r="C158" s="15"/>
      <c r="D158" s="15"/>
      <c r="E158" s="16"/>
    </row>
    <row r="159" customFormat="false" ht="15" hidden="false" customHeight="false" outlineLevel="0" collapsed="false">
      <c r="A159" s="17"/>
      <c r="B159" s="18"/>
      <c r="C159" s="18"/>
      <c r="D159" s="18"/>
      <c r="E159" s="19"/>
    </row>
    <row r="160" customFormat="false" ht="15" hidden="false" customHeight="false" outlineLevel="0" collapsed="false">
      <c r="A160" s="14"/>
      <c r="B160" s="15"/>
      <c r="C160" s="15"/>
      <c r="D160" s="15"/>
      <c r="E160" s="16"/>
    </row>
    <row r="161" customFormat="false" ht="15" hidden="false" customHeight="false" outlineLevel="0" collapsed="false">
      <c r="A161" s="17"/>
      <c r="B161" s="18"/>
      <c r="C161" s="18"/>
      <c r="D161" s="18"/>
      <c r="E161" s="19"/>
    </row>
    <row r="162" customFormat="false" ht="15" hidden="false" customHeight="false" outlineLevel="0" collapsed="false">
      <c r="A162" s="14"/>
      <c r="B162" s="15"/>
      <c r="C162" s="15"/>
      <c r="D162" s="15"/>
      <c r="E162" s="16"/>
    </row>
    <row r="163" customFormat="false" ht="15" hidden="false" customHeight="false" outlineLevel="0" collapsed="false">
      <c r="A163" s="17"/>
      <c r="B163" s="18"/>
      <c r="C163" s="18"/>
      <c r="D163" s="18"/>
      <c r="E163" s="19"/>
    </row>
    <row r="164" customFormat="false" ht="15" hidden="false" customHeight="false" outlineLevel="0" collapsed="false">
      <c r="A164" s="14"/>
      <c r="B164" s="15"/>
      <c r="C164" s="15"/>
      <c r="D164" s="15"/>
      <c r="E164" s="16"/>
    </row>
    <row r="165" customFormat="false" ht="15" hidden="false" customHeight="false" outlineLevel="0" collapsed="false">
      <c r="A165" s="17"/>
      <c r="B165" s="18"/>
      <c r="C165" s="18"/>
      <c r="D165" s="18"/>
      <c r="E165" s="19"/>
    </row>
    <row r="166" customFormat="false" ht="15" hidden="false" customHeight="false" outlineLevel="0" collapsed="false">
      <c r="A166" s="14"/>
      <c r="B166" s="15"/>
      <c r="C166" s="15"/>
      <c r="D166" s="15"/>
      <c r="E166" s="16"/>
    </row>
    <row r="167" customFormat="false" ht="15" hidden="false" customHeight="false" outlineLevel="0" collapsed="false">
      <c r="A167" s="17"/>
      <c r="B167" s="18"/>
      <c r="C167" s="18"/>
      <c r="D167" s="18"/>
      <c r="E167" s="19"/>
    </row>
    <row r="168" customFormat="false" ht="15" hidden="false" customHeight="false" outlineLevel="0" collapsed="false">
      <c r="A168" s="14"/>
      <c r="B168" s="15"/>
      <c r="C168" s="15"/>
      <c r="D168" s="15"/>
      <c r="E168" s="16"/>
    </row>
    <row r="169" customFormat="false" ht="15" hidden="false" customHeight="false" outlineLevel="0" collapsed="false">
      <c r="A169" s="17"/>
      <c r="B169" s="18"/>
      <c r="C169" s="18"/>
      <c r="D169" s="18"/>
      <c r="E169" s="19"/>
    </row>
    <row r="170" customFormat="false" ht="15" hidden="false" customHeight="false" outlineLevel="0" collapsed="false">
      <c r="A170" s="14"/>
      <c r="B170" s="15"/>
      <c r="C170" s="15"/>
      <c r="D170" s="15"/>
      <c r="E170" s="16"/>
    </row>
    <row r="171" customFormat="false" ht="15" hidden="false" customHeight="false" outlineLevel="0" collapsed="false">
      <c r="A171" s="17"/>
      <c r="B171" s="18"/>
      <c r="C171" s="18"/>
      <c r="D171" s="18"/>
      <c r="E171" s="19"/>
    </row>
    <row r="172" customFormat="false" ht="15" hidden="false" customHeight="false" outlineLevel="0" collapsed="false">
      <c r="A172" s="14"/>
      <c r="B172" s="15"/>
      <c r="C172" s="15"/>
      <c r="D172" s="15"/>
      <c r="E172" s="16"/>
    </row>
    <row r="173" customFormat="false" ht="15" hidden="false" customHeight="false" outlineLevel="0" collapsed="false">
      <c r="A173" s="17"/>
      <c r="B173" s="18"/>
      <c r="C173" s="18"/>
      <c r="D173" s="18"/>
      <c r="E173" s="19"/>
    </row>
    <row r="174" customFormat="false" ht="15" hidden="false" customHeight="false" outlineLevel="0" collapsed="false">
      <c r="A174" s="14"/>
      <c r="B174" s="15"/>
      <c r="C174" s="15"/>
      <c r="D174" s="15"/>
      <c r="E174" s="16"/>
    </row>
    <row r="175" customFormat="false" ht="15" hidden="false" customHeight="false" outlineLevel="0" collapsed="false">
      <c r="A175" s="17"/>
      <c r="B175" s="18"/>
      <c r="C175" s="18"/>
      <c r="D175" s="18"/>
      <c r="E175" s="19"/>
    </row>
    <row r="176" customFormat="false" ht="15" hidden="false" customHeight="false" outlineLevel="0" collapsed="false">
      <c r="A176" s="14"/>
      <c r="B176" s="15"/>
      <c r="C176" s="15"/>
      <c r="D176" s="15"/>
      <c r="E176" s="16"/>
    </row>
    <row r="177" customFormat="false" ht="15" hidden="false" customHeight="false" outlineLevel="0" collapsed="false">
      <c r="A177" s="17"/>
      <c r="B177" s="18"/>
      <c r="C177" s="18"/>
      <c r="D177" s="18"/>
      <c r="E177" s="19"/>
    </row>
    <row r="178" customFormat="false" ht="15" hidden="false" customHeight="false" outlineLevel="0" collapsed="false">
      <c r="A178" s="14"/>
      <c r="B178" s="15"/>
      <c r="C178" s="15"/>
      <c r="D178" s="15"/>
      <c r="E178" s="16"/>
    </row>
    <row r="179" customFormat="false" ht="15" hidden="false" customHeight="false" outlineLevel="0" collapsed="false">
      <c r="A179" s="17"/>
      <c r="B179" s="18"/>
      <c r="C179" s="18"/>
      <c r="D179" s="18"/>
      <c r="E179" s="19"/>
    </row>
    <row r="180" customFormat="false" ht="15" hidden="false" customHeight="false" outlineLevel="0" collapsed="false">
      <c r="A180" s="14"/>
      <c r="B180" s="15"/>
      <c r="C180" s="15"/>
      <c r="D180" s="15"/>
      <c r="E180" s="16"/>
    </row>
    <row r="181" customFormat="false" ht="15" hidden="false" customHeight="false" outlineLevel="0" collapsed="false">
      <c r="A181" s="17"/>
      <c r="B181" s="18"/>
      <c r="C181" s="18"/>
      <c r="D181" s="18"/>
      <c r="E181" s="19"/>
    </row>
    <row r="182" customFormat="false" ht="15" hidden="false" customHeight="false" outlineLevel="0" collapsed="false">
      <c r="A182" s="14"/>
      <c r="B182" s="15"/>
      <c r="C182" s="15"/>
      <c r="D182" s="15"/>
      <c r="E182" s="16"/>
    </row>
    <row r="183" customFormat="false" ht="15" hidden="false" customHeight="false" outlineLevel="0" collapsed="false">
      <c r="A183" s="17"/>
      <c r="B183" s="18"/>
      <c r="C183" s="18"/>
      <c r="D183" s="18"/>
      <c r="E183" s="19"/>
    </row>
    <row r="184" customFormat="false" ht="15" hidden="false" customHeight="false" outlineLevel="0" collapsed="false">
      <c r="A184" s="14"/>
      <c r="B184" s="15"/>
      <c r="C184" s="15"/>
      <c r="D184" s="15"/>
      <c r="E184" s="16"/>
    </row>
    <row r="185" customFormat="false" ht="15" hidden="false" customHeight="false" outlineLevel="0" collapsed="false">
      <c r="A185" s="17"/>
      <c r="B185" s="18"/>
      <c r="C185" s="18"/>
      <c r="D185" s="18"/>
      <c r="E185" s="19"/>
    </row>
    <row r="186" customFormat="false" ht="15" hidden="false" customHeight="false" outlineLevel="0" collapsed="false">
      <c r="A186" s="14"/>
      <c r="B186" s="15"/>
      <c r="C186" s="15"/>
      <c r="D186" s="15"/>
      <c r="E186" s="16"/>
    </row>
    <row r="187" customFormat="false" ht="15" hidden="false" customHeight="false" outlineLevel="0" collapsed="false">
      <c r="A187" s="17"/>
      <c r="B187" s="18"/>
      <c r="C187" s="18"/>
      <c r="D187" s="18"/>
      <c r="E187" s="19"/>
    </row>
    <row r="188" customFormat="false" ht="15" hidden="false" customHeight="false" outlineLevel="0" collapsed="false">
      <c r="A188" s="14"/>
      <c r="B188" s="15"/>
      <c r="C188" s="15"/>
      <c r="D188" s="15"/>
      <c r="E188" s="16"/>
    </row>
    <row r="189" customFormat="false" ht="15" hidden="false" customHeight="false" outlineLevel="0" collapsed="false">
      <c r="A189" s="17"/>
      <c r="B189" s="18"/>
      <c r="C189" s="18"/>
      <c r="D189" s="18"/>
      <c r="E189" s="19"/>
    </row>
    <row r="190" customFormat="false" ht="15" hidden="false" customHeight="false" outlineLevel="0" collapsed="false">
      <c r="A190" s="14"/>
      <c r="B190" s="15"/>
      <c r="C190" s="15"/>
      <c r="D190" s="15"/>
      <c r="E190" s="16"/>
    </row>
    <row r="191" customFormat="false" ht="15" hidden="false" customHeight="false" outlineLevel="0" collapsed="false">
      <c r="A191" s="17"/>
      <c r="B191" s="18"/>
      <c r="C191" s="18"/>
      <c r="D191" s="18"/>
      <c r="E191" s="19"/>
    </row>
    <row r="192" customFormat="false" ht="15" hidden="false" customHeight="false" outlineLevel="0" collapsed="false">
      <c r="A192" s="14"/>
      <c r="B192" s="15"/>
      <c r="C192" s="15"/>
      <c r="D192" s="15"/>
      <c r="E192" s="16"/>
    </row>
    <row r="193" customFormat="false" ht="15" hidden="false" customHeight="false" outlineLevel="0" collapsed="false">
      <c r="A193" s="17"/>
      <c r="B193" s="18"/>
      <c r="C193" s="18"/>
      <c r="D193" s="18"/>
      <c r="E193" s="19"/>
    </row>
    <row r="194" customFormat="false" ht="15" hidden="false" customHeight="false" outlineLevel="0" collapsed="false">
      <c r="A194" s="14"/>
      <c r="B194" s="15"/>
      <c r="C194" s="15"/>
      <c r="D194" s="15"/>
      <c r="E194" s="16"/>
    </row>
    <row r="195" customFormat="false" ht="15" hidden="false" customHeight="false" outlineLevel="0" collapsed="false">
      <c r="A195" s="17"/>
      <c r="B195" s="18"/>
      <c r="C195" s="18"/>
      <c r="D195" s="18"/>
      <c r="E195" s="19"/>
    </row>
    <row r="196" customFormat="false" ht="15" hidden="false" customHeight="false" outlineLevel="0" collapsed="false">
      <c r="A196" s="14"/>
      <c r="B196" s="15"/>
      <c r="C196" s="15"/>
      <c r="D196" s="15"/>
      <c r="E196" s="16"/>
    </row>
    <row r="197" customFormat="false" ht="15" hidden="false" customHeight="false" outlineLevel="0" collapsed="false">
      <c r="A197" s="17"/>
      <c r="B197" s="18"/>
      <c r="C197" s="18"/>
      <c r="D197" s="18"/>
      <c r="E197" s="19"/>
    </row>
    <row r="198" customFormat="false" ht="15" hidden="false" customHeight="false" outlineLevel="0" collapsed="false">
      <c r="A198" s="14"/>
      <c r="B198" s="15"/>
      <c r="C198" s="15"/>
      <c r="D198" s="15"/>
      <c r="E198" s="16"/>
    </row>
    <row r="199" customFormat="false" ht="15" hidden="false" customHeight="false" outlineLevel="0" collapsed="false">
      <c r="A199" s="17"/>
      <c r="B199" s="18"/>
      <c r="C199" s="18"/>
      <c r="D199" s="18"/>
      <c r="E199" s="19"/>
    </row>
    <row r="200" customFormat="false" ht="15" hidden="false" customHeight="false" outlineLevel="0" collapsed="false">
      <c r="A200" s="14"/>
      <c r="B200" s="15"/>
      <c r="C200" s="15"/>
      <c r="D200" s="15"/>
      <c r="E200"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0"/>
  </cols>
  <sheetData>
    <row r="1" customFormat="false" ht="15" hidden="false" customHeight="false" outlineLevel="0" collapsed="false">
      <c r="A1" s="7" t="s">
        <v>17</v>
      </c>
      <c r="B1" s="7" t="s">
        <v>8</v>
      </c>
      <c r="C1" s="7" t="s">
        <v>48</v>
      </c>
    </row>
    <row r="2" customFormat="false" ht="15" hidden="false" customHeight="false" outlineLevel="0" collapsed="false">
      <c r="A2" s="18" t="s">
        <v>3</v>
      </c>
      <c r="B2" s="18" t="s">
        <v>5</v>
      </c>
      <c r="C2" s="18" t="s">
        <v>25</v>
      </c>
    </row>
    <row r="3" customFormat="false" ht="15" hidden="false" customHeight="false" outlineLevel="0" collapsed="false">
      <c r="A3" s="18" t="s">
        <v>49</v>
      </c>
      <c r="B3" s="18" t="s">
        <v>50</v>
      </c>
      <c r="C3" s="18" t="s">
        <v>22</v>
      </c>
    </row>
    <row r="4" customFormat="false" ht="15" hidden="false" customHeight="false" outlineLevel="0" collapsed="false">
      <c r="A4" s="18" t="s">
        <v>51</v>
      </c>
      <c r="C4" s="18" t="s">
        <v>28</v>
      </c>
    </row>
    <row r="5" customFormat="false" ht="15" hidden="false" customHeight="false" outlineLevel="0" collapsed="false">
      <c r="A5" s="18"/>
      <c r="C5" s="18"/>
    </row>
    <row r="6" customFormat="false" ht="15" hidden="false" customHeight="false" outlineLevel="0" collapsed="false">
      <c r="A6" s="18"/>
      <c r="C6" s="18"/>
    </row>
    <row r="7" customFormat="false" ht="15" hidden="false" customHeight="false" outlineLevel="0" collapsed="false">
      <c r="A7" s="18"/>
      <c r="C7" s="18"/>
    </row>
    <row r="8" customFormat="false" ht="15" hidden="false" customHeight="false" outlineLevel="0" collapsed="false">
      <c r="A8" s="18"/>
      <c r="C8" s="18"/>
    </row>
    <row r="9" customFormat="false" ht="15" hidden="false" customHeight="false" outlineLevel="0" collapsed="false">
      <c r="A9" s="18"/>
      <c r="C9" s="18"/>
    </row>
    <row r="10" customFormat="false" ht="15" hidden="false" customHeight="false" outlineLevel="0" collapsed="false">
      <c r="A10" s="18"/>
      <c r="C10" s="18"/>
    </row>
    <row r="11" customFormat="false" ht="15" hidden="false" customHeight="false" outlineLevel="0" collapsed="false">
      <c r="A11" s="18"/>
      <c r="C11" s="18"/>
    </row>
    <row r="12" customFormat="false" ht="15" hidden="false" customHeight="false" outlineLevel="0" collapsed="false">
      <c r="A12" s="18"/>
      <c r="C12" s="18"/>
    </row>
    <row r="13" customFormat="false" ht="15" hidden="false" customHeight="false" outlineLevel="0" collapsed="false">
      <c r="A13" s="18"/>
      <c r="C13" s="18"/>
    </row>
    <row r="14" customFormat="false" ht="15" hidden="false" customHeight="false" outlineLevel="0" collapsed="false">
      <c r="A14" s="18"/>
      <c r="C14" s="18"/>
    </row>
    <row r="15" customFormat="false" ht="15" hidden="false" customHeight="false" outlineLevel="0" collapsed="false">
      <c r="A15" s="18"/>
      <c r="C15" s="18"/>
    </row>
    <row r="16" customFormat="false" ht="15" hidden="false" customHeight="false" outlineLevel="0" collapsed="false">
      <c r="A16" s="18"/>
      <c r="C16" s="18"/>
    </row>
    <row r="17" customFormat="false" ht="15" hidden="false" customHeight="false" outlineLevel="0" collapsed="false">
      <c r="A17" s="18"/>
      <c r="C17" s="18"/>
    </row>
    <row r="18" customFormat="false" ht="15" hidden="false" customHeight="false" outlineLevel="0" collapsed="false">
      <c r="A18" s="18"/>
      <c r="C18" s="18"/>
    </row>
    <row r="19" customFormat="false" ht="15" hidden="false" customHeight="false" outlineLevel="0" collapsed="false">
      <c r="A19" s="18"/>
      <c r="C19" s="18"/>
    </row>
    <row r="20" customFormat="false" ht="15" hidden="false" customHeight="false" outlineLevel="0" collapsed="false">
      <c r="A20" s="18"/>
      <c r="C20" s="18"/>
    </row>
    <row r="21" customFormat="false" ht="15" hidden="false" customHeight="false" outlineLevel="0" collapsed="false">
      <c r="A21" s="18"/>
      <c r="C21" s="18"/>
    </row>
    <row r="22" customFormat="false" ht="15" hidden="false" customHeight="false" outlineLevel="0" collapsed="false">
      <c r="A22" s="18"/>
      <c r="C22" s="18"/>
    </row>
    <row r="23" customFormat="false" ht="15" hidden="false" customHeight="false" outlineLevel="0" collapsed="false">
      <c r="A23" s="18"/>
      <c r="C23" s="18"/>
    </row>
    <row r="24" customFormat="false" ht="15" hidden="false" customHeight="false" outlineLevel="0" collapsed="false">
      <c r="A24" s="18"/>
      <c r="C24" s="18"/>
    </row>
    <row r="25" customFormat="false" ht="15" hidden="false" customHeight="false" outlineLevel="0" collapsed="false">
      <c r="A25" s="18"/>
      <c r="C25" s="18"/>
    </row>
    <row r="26" customFormat="false" ht="15" hidden="false" customHeight="false" outlineLevel="0" collapsed="false">
      <c r="A26" s="18"/>
      <c r="C26" s="18"/>
    </row>
    <row r="27" customFormat="false" ht="15" hidden="false" customHeight="false" outlineLevel="0" collapsed="false">
      <c r="A27" s="18"/>
      <c r="C27" s="18"/>
    </row>
    <row r="28" customFormat="false" ht="15" hidden="false" customHeight="false" outlineLevel="0" collapsed="false">
      <c r="A28" s="18"/>
      <c r="C28" s="18"/>
    </row>
    <row r="29" customFormat="false" ht="15" hidden="false" customHeight="false" outlineLevel="0" collapsed="false">
      <c r="A29" s="18"/>
      <c r="C29" s="18"/>
    </row>
    <row r="30" customFormat="false" ht="15" hidden="false" customHeight="false" outlineLevel="0" collapsed="false">
      <c r="A30" s="18"/>
      <c r="C30" s="18"/>
    </row>
    <row r="31" customFormat="false" ht="15" hidden="false" customHeight="false" outlineLevel="0" collapsed="false">
      <c r="A31" s="18"/>
      <c r="C31"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0"/>
  </cols>
  <sheetData>
    <row r="1" customFormat="false" ht="17.35" hidden="false" customHeight="false" outlineLevel="0" collapsed="false">
      <c r="A1" s="20" t="s">
        <v>52</v>
      </c>
    </row>
    <row r="2" customFormat="false" ht="15" hidden="false" customHeight="false" outlineLevel="0" collapsed="false">
      <c r="A2" s="9"/>
    </row>
    <row r="3" customFormat="false" ht="15" hidden="false" customHeight="false" outlineLevel="0" collapsed="false">
      <c r="A3" s="21" t="s">
        <v>53</v>
      </c>
    </row>
    <row r="4" customFormat="false" ht="15" hidden="false" customHeight="false" outlineLevel="0" collapsed="false">
      <c r="A4" s="9" t="s">
        <v>54</v>
      </c>
    </row>
    <row r="5" customFormat="false" ht="15" hidden="false" customHeight="false" outlineLevel="0" collapsed="false">
      <c r="A5" s="9" t="s">
        <v>55</v>
      </c>
    </row>
    <row r="6" customFormat="false" ht="15" hidden="false" customHeight="false" outlineLevel="0" collapsed="false">
      <c r="A6" s="9" t="s">
        <v>56</v>
      </c>
    </row>
    <row r="7" customFormat="false" ht="15" hidden="false" customHeight="false" outlineLevel="0" collapsed="false">
      <c r="A7" s="9" t="s">
        <v>57</v>
      </c>
    </row>
    <row r="8" customFormat="false" ht="15" hidden="false" customHeight="false" outlineLevel="0" collapsed="false">
      <c r="A8" s="9" t="s">
        <v>58</v>
      </c>
    </row>
    <row r="9" customFormat="false" ht="15" hidden="false" customHeight="false" outlineLevel="0" collapsed="false">
      <c r="A9" s="9" t="s">
        <v>59</v>
      </c>
    </row>
    <row r="10" customFormat="false" ht="15" hidden="false" customHeight="false" outlineLevel="0" collapsed="false">
      <c r="A10" s="9" t="s">
        <v>60</v>
      </c>
    </row>
    <row r="11" customFormat="false" ht="15" hidden="false" customHeight="false" outlineLevel="0" collapsed="false">
      <c r="A11" s="9" t="s">
        <v>61</v>
      </c>
    </row>
    <row r="12" customFormat="false" ht="15" hidden="false" customHeight="false" outlineLevel="0" collapsed="false">
      <c r="A12" s="9" t="s">
        <v>62</v>
      </c>
    </row>
    <row r="13" customFormat="false" ht="15" hidden="false" customHeight="false" outlineLevel="0" collapsed="false">
      <c r="A13" s="9" t="s">
        <v>63</v>
      </c>
    </row>
    <row r="14" customFormat="false" ht="15" hidden="false" customHeight="false" outlineLevel="0" collapsed="false">
      <c r="A14" s="9" t="s">
        <v>64</v>
      </c>
    </row>
    <row r="15" customFormat="false" ht="15" hidden="false" customHeight="false" outlineLevel="0" collapsed="false">
      <c r="A15" s="9"/>
    </row>
    <row r="16" customFormat="false" ht="15" hidden="false" customHeight="false" outlineLevel="0" collapsed="false">
      <c r="A16" s="9" t="s">
        <v>65</v>
      </c>
    </row>
    <row r="17" customFormat="false" ht="15" hidden="false" customHeight="false" outlineLevel="0" collapsed="false">
      <c r="A17" s="9" t="s">
        <v>66</v>
      </c>
    </row>
    <row r="18" customFormat="false" ht="15" hidden="false" customHeight="false" outlineLevel="0" collapsed="false">
      <c r="A18" s="9" t="s">
        <v>67</v>
      </c>
    </row>
    <row r="19" customFormat="false" ht="15" hidden="false" customHeight="false" outlineLevel="0" collapsed="false">
      <c r="A19" s="9" t="s">
        <v>68</v>
      </c>
    </row>
    <row r="20" customFormat="false" ht="15" hidden="false" customHeight="false" outlineLevel="0" collapsed="false">
      <c r="A20" s="9" t="s">
        <v>69</v>
      </c>
    </row>
    <row r="21" customFormat="false" ht="15" hidden="false" customHeight="false" outlineLevel="0" collapsed="false">
      <c r="A21" s="9" t="s">
        <v>70</v>
      </c>
    </row>
    <row r="22" customFormat="false" ht="15" hidden="false" customHeight="false" outlineLevel="0" collapsed="false">
      <c r="A22" s="9"/>
    </row>
    <row r="23" customFormat="false" ht="15" hidden="false" customHeight="false" outlineLevel="0" collapsed="false">
      <c r="A23" s="21" t="s">
        <v>71</v>
      </c>
    </row>
    <row r="24" customFormat="false" ht="15" hidden="false" customHeight="false" outlineLevel="0" collapsed="false">
      <c r="A24" s="9" t="s">
        <v>72</v>
      </c>
    </row>
    <row r="25" customFormat="false" ht="15" hidden="false" customHeight="false" outlineLevel="0" collapsed="false">
      <c r="A25" s="9" t="s">
        <v>73</v>
      </c>
    </row>
    <row r="26" customFormat="false" ht="15" hidden="false" customHeight="false" outlineLevel="0" collapsed="false">
      <c r="A26" s="9" t="s">
        <v>74</v>
      </c>
    </row>
    <row r="27" customFormat="false" ht="15" hidden="false" customHeight="false" outlineLevel="0" collapsed="false">
      <c r="A27" s="9"/>
    </row>
    <row r="28" customFormat="false" ht="15" hidden="false" customHeight="false" outlineLevel="0" collapsed="false">
      <c r="A28" s="21" t="s">
        <v>75</v>
      </c>
    </row>
    <row r="29" customFormat="false" ht="15" hidden="false" customHeight="false" outlineLevel="0" collapsed="false">
      <c r="A29" s="9" t="s">
        <v>76</v>
      </c>
    </row>
    <row r="30" customFormat="false" ht="15" hidden="false" customHeight="false" outlineLevel="0" collapsed="false">
      <c r="A30" s="9" t="s">
        <v>77</v>
      </c>
    </row>
    <row r="31" customFormat="false" ht="15" hidden="false" customHeight="false" outlineLevel="0" collapsed="false">
      <c r="A31" s="9"/>
    </row>
    <row r="32" customFormat="false" ht="15" hidden="false" customHeight="false" outlineLevel="0" collapsed="false">
      <c r="A32" s="21" t="s">
        <v>78</v>
      </c>
    </row>
    <row r="33" customFormat="false" ht="15" hidden="false" customHeight="false" outlineLevel="0" collapsed="false">
      <c r="A33" s="9" t="s">
        <v>79</v>
      </c>
    </row>
    <row r="34" customFormat="false" ht="15" hidden="false" customHeight="false" outlineLevel="0" collapsed="false">
      <c r="A34" s="9" t="s">
        <v>80</v>
      </c>
    </row>
    <row r="35" customFormat="false" ht="15" hidden="false" customHeight="false" outlineLevel="0" collapsed="false">
      <c r="A35" s="9"/>
    </row>
    <row r="36" customFormat="false" ht="15" hidden="false" customHeight="false" outlineLevel="0" collapsed="false">
      <c r="A36" s="21" t="s">
        <v>81</v>
      </c>
    </row>
    <row r="37" customFormat="false" ht="15" hidden="false" customHeight="false" outlineLevel="0" collapsed="false">
      <c r="A37" s="9" t="s">
        <v>82</v>
      </c>
    </row>
    <row r="38" customFormat="false" ht="15" hidden="false" customHeight="false" outlineLevel="0" collapsed="false">
      <c r="A38" s="9" t="s">
        <v>83</v>
      </c>
    </row>
    <row r="39" customFormat="false" ht="15" hidden="false" customHeight="false" outlineLevel="0" collapsed="false">
      <c r="A39" s="9"/>
    </row>
    <row r="40" customFormat="false" ht="15" hidden="false" customHeight="false" outlineLevel="0" collapsed="false">
      <c r="A40" s="9" t="s">
        <v>84</v>
      </c>
    </row>
    <row r="41" customFormat="false" ht="15" hidden="false" customHeight="false" outlineLevel="0" collapsed="false">
      <c r="A41" s="9"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2026-08-28T19:18:07Z</dcterms:created>
  <dc:creator>openpyxl</dc:creator>
  <dc:description/>
  <dc:language>en-US</dc:language>
  <cp:lastModifiedBy/>
  <dcterms:modified xsi:type="dcterms:W3CDTF">2026-08-28T19:18:07Z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