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KU Audit" sheetId="1" state="visible" r:id="rId3"/>
    <sheet name="Lists" sheetId="2" state="visible" r:id="rId4"/>
    <sheet name="Instructions" sheetId="3" state="visible" r:id="rId5"/>
    <sheet name="VBA Code" sheetId="4" state="visible" r:id="rId6"/>
  </sheets>
  <calcPr iterateCount="20" refMode="A1" iterate="true" iterateDelta="0.001"/>
  <extLst>
    <ext xmlns:loext="http://schemas.libreoffice.org/" uri="{7626C862-2A13-11E5-B345-FEFF819CDC9F}">
      <loext:extCalcPr stringRefSyntax="ExcelA1"/>
    </ext>
  </extLst>
</workbook>
</file>

<file path=xl/sharedStrings.xml><?xml version="1.0" encoding="utf-8"?>
<sst xmlns="http://schemas.openxmlformats.org/spreadsheetml/2006/main" count="500" uniqueCount="440">
  <si>
    <t xml:space="preserve">SKU Inventory Audit Workbook — Scan Log</t>
  </si>
  <si>
    <t xml:space="preserve">PASTE PRODUCT DATA</t>
  </si>
  <si>
    <t xml:space="preserve">MARK IN — Add to Inventory (Overages / Negative Counts)</t>
  </si>
  <si>
    <t xml:space="preserve">MARK OUT — Remove from Inventory (Shortages)</t>
  </si>
  <si>
    <t xml:space="preserve">OVERDUE TO SCAN — Not Scanned in 29+ Days</t>
  </si>
  <si>
    <t xml:space="preserve">Set your Active Auditor Initials below before scanning/pasting. Paste product data into the yellow zone (columns S+) to add new audit lines automatically -- each paste creates new rows, stamped with today's date and your initials, which never change later even if the control panel is updated. BOH Qty and Floor Qty are entered separately but always compared to Expected Qty as a combined total.</t>
  </si>
  <si>
    <t xml:space="preserve">Copy product data from the in-store system, click S3, then paste (Ctrl+V). Each product in the block becomes a new audit line below -- UPC, SKU, Product Name, Gender, Color, Size, and Expected Qty (the second Available number) are filled in, and Scan Date / Auditor Initials stamp automatically, same as a normal scan. This zone clears itself right after, ready for the next paste. Requires the macro below (one-time setup -- see the Instructions tab).</t>
  </si>
  <si>
    <t xml:space="preserve">Auto-listed once BOH+Floor show an Overage, or a pasted/typed Expected Qty is negative. Select the adjuster's initials, check the box once the physical mark-in is done -- the date fills in automatically. Correcting a count removes an entry automatically unless it's already checked off.</t>
  </si>
  <si>
    <t xml:space="preserve">Auto-listed once BOH+Floor show a Shortage. Select the adjuster's initials, check the box once the physical mark-out/write-off is done -- the date fills in automatically. Correcting a count removes an entry automatically unless it's already checked off.</t>
  </si>
  <si>
    <t xml:space="preserve">One row per Style/Gender/Color combo (Size ignored), using its most recent scan across all audit lines. Refreshes automatically after every paste; click Refresh (button, top right of this block) any time to update it for time that's passed since the last paste.</t>
  </si>
  <si>
    <t xml:space="preserve">Active Auditor Initials:</t>
  </si>
  <si>
    <t xml:space="preserve">JS</t>
  </si>
  <si>
    <t xml:space="preserve">UPC</t>
  </si>
  <si>
    <t xml:space="preserve">Product Name</t>
  </si>
  <si>
    <t xml:space="preserve">Audit Row</t>
  </si>
  <si>
    <t xml:space="preserve">Adjuster Initials</t>
  </si>
  <si>
    <t xml:space="preserve">Completed</t>
  </si>
  <si>
    <t xml:space="preserve">Date Completed</t>
  </si>
  <si>
    <t xml:space="preserve">Style / Product Name</t>
  </si>
  <si>
    <t xml:space="preserve">Gender</t>
  </si>
  <si>
    <t xml:space="preserve">Color</t>
  </si>
  <si>
    <t xml:space="preserve">Last Scanned</t>
  </si>
  <si>
    <t xml:space="preserve">Days Overdue</t>
  </si>
  <si>
    <t xml:space="preserve">Scan Date</t>
  </si>
  <si>
    <t xml:space="preserve">SKU</t>
  </si>
  <si>
    <t xml:space="preserve">Size</t>
  </si>
  <si>
    <t xml:space="preserve">Expected Qty</t>
  </si>
  <si>
    <t xml:space="preserve">BOH Qty</t>
  </si>
  <si>
    <t xml:space="preserve">Floor Qty</t>
  </si>
  <si>
    <t xml:space="preserve">Total Counted Qty</t>
  </si>
  <si>
    <t xml:space="preserve">Variance</t>
  </si>
  <si>
    <t xml:space="preserve">Discrepancy Status</t>
  </si>
  <si>
    <t xml:space="preserve">Auditor Initials</t>
  </si>
  <si>
    <t xml:space="preserve">Check By User</t>
  </si>
  <si>
    <t xml:space="preserve">Marked Out By User</t>
  </si>
  <si>
    <t xml:space="preserve">Notes</t>
  </si>
  <si>
    <t xml:space="preserve">623555579595</t>
  </si>
  <si>
    <t xml:space="preserve">X000009556006</t>
  </si>
  <si>
    <t xml:space="preserve">Atom Hoody</t>
  </si>
  <si>
    <t xml:space="preserve">M</t>
  </si>
  <si>
    <t xml:space="preserve">Black</t>
  </si>
  <si>
    <t xml:space="preserve">XL</t>
  </si>
  <si>
    <t xml:space="preserve">Morgan Kim</t>
  </si>
  <si>
    <t xml:space="preserve">Demo row - 7 in BOH + 1 on Floor = 8 vs. 9 expected -&gt; one combined shortage of 1. Delete before real use.</t>
  </si>
  <si>
    <t xml:space="preserve">623555821168</t>
  </si>
  <si>
    <t xml:space="preserve">X000010292005</t>
  </si>
  <si>
    <t xml:space="preserve">Cormac Crew SS</t>
  </si>
  <si>
    <t xml:space="preserve">L</t>
  </si>
  <si>
    <t xml:space="preserve">Jamie Smith</t>
  </si>
  <si>
    <t xml:space="preserve">Demo row - count matched expected. Delete before real use.</t>
  </si>
  <si>
    <t xml:space="preserve">623555826200</t>
  </si>
  <si>
    <t xml:space="preserve">X000009540033</t>
  </si>
  <si>
    <t xml:space="preserve">Norvan Liner Short 7"</t>
  </si>
  <si>
    <t xml:space="preserve">Tatsu</t>
  </si>
  <si>
    <t xml:space="preserve">Ade Lawal</t>
  </si>
  <si>
    <t xml:space="preserve">Demo row - shrinkage suspected, recount requested. Delete before real use.</t>
  </si>
  <si>
    <t xml:space="preserve">Employee Names</t>
  </si>
  <si>
    <t xml:space="preserve">MK</t>
  </si>
  <si>
    <t xml:space="preserve">AL</t>
  </si>
  <si>
    <t xml:space="preserve">SKU Inventory Audit Workbook — Instructions</t>
  </si>
  <si>
    <t xml:space="preserve">AUDIT WORKFLOW</t>
  </si>
  <si>
    <t xml:space="preserve">1. On the SKU Audit sheet, set Active Auditor Initials (cell B4).</t>
  </si>
  <si>
    <t xml:space="preserve">2. Copy product data from the in-store system and paste it into the yellow Paste Product Data</t>
  </si>
  <si>
    <t xml:space="preserve">   zone (column S, click S3 first). Each product in the pasted block becomes a new audit line:</t>
  </si>
  <si>
    <t xml:space="preserve">   UPC, SKU, Product Name, Gender, Color, Size, and Expected Qty (the SECOND number in the</t>
  </si>
  <si>
    <t xml:space="preserve">   Available field, i.e. total on-hand) are written in automatically, and Scan Date / Auditor</t>
  </si>
  <si>
    <t xml:space="preserve">   Initials stamp themselves, same as a normal scan entry.</t>
  </si>
  <si>
    <t xml:space="preserve">3. Enter BOH Qty and/or Floor Qty as each location is counted. Total Counted Qty, Variance, and</t>
  </si>
  <si>
    <t xml:space="preserve">   Discrepancy Status are always calculated against the COMBINED total of BOH + Floor, not each</t>
  </si>
  <si>
    <t xml:space="preserve">   location separately.</t>
  </si>
  <si>
    <t xml:space="preserve">4. The Scan Date and Auditor Initials never change again once stamped, even if the control panel</t>
  </si>
  <si>
    <t xml:space="preserve">   is updated later -- this preserves audit history.</t>
  </si>
  <si>
    <t xml:space="preserve">5. A second employee can be recorded under Check By User to verify the count.</t>
  </si>
  <si>
    <t xml:space="preserve">6. Use the filter arrows on the table header to sort or review by date, SKU, UPC, user, or</t>
  </si>
  <si>
    <t xml:space="preserve">   discrepancy status.</t>
  </si>
  <si>
    <t xml:space="preserve">7. Once BOH Qty and Floor Qty are both entered, an Overage or Shortage automatically queues that</t>
  </si>
  <si>
    <t xml:space="preserve">   row in the Mark In or Mark Out list (columns V+ and AC+). A negative Expected Qty -- a system</t>
  </si>
  <si>
    <t xml:space="preserve">   data problem, not a count result -- queues to Mark In as soon as it's pasted or typed, even</t>
  </si>
  <si>
    <t xml:space="preserve">   before counting.</t>
  </si>
  <si>
    <t xml:space="preserve">8. In the Mark In / Mark Out list, pick the adjuster's initials and check the box once the</t>
  </si>
  <si>
    <t xml:space="preserve">   physical mark-in/mark-out is done; today's date fills in next to the checkbox automatically.</t>
  </si>
  <si>
    <t xml:space="preserve">   Each section's 'Pending: N' line (row 3) shows how many still need action, at a glance -- no</t>
  </si>
  <si>
    <t xml:space="preserve">   scrolling through the list required.</t>
  </si>
  <si>
    <t xml:space="preserve">MARK IN / MARK OUT QUEUES</t>
  </si>
  <si>
    <t xml:space="preserve">Mark In  = physical count found MORE than the system expects (Overage), or Expected Qty itself is</t>
  </si>
  <si>
    <t xml:space="preserve">           negative -- inventory needs to be added/corrected upward in your system.</t>
  </si>
  <si>
    <t xml:space="preserve">Mark Out = physical count found LESS than the system expects (Shortage) -- inventory needs to be</t>
  </si>
  <si>
    <t xml:space="preserve">           removed/written off in your system.</t>
  </si>
  <si>
    <t xml:space="preserve">If you correct a mis-typed count and the row no longer qualifies, its queue entry is removed</t>
  </si>
  <si>
    <t xml:space="preserve">automatically -- UNLESS it's already been checked off as completed, in which case it's left alone</t>
  </si>
  <si>
    <t xml:space="preserve">so a finished adjustment is never silently erased. A row can appear in both queues if it</t>
  </si>
  <si>
    <t xml:space="preserve">independently qualifies for both (e.g. a negative Expected Qty that later also comes up Shortage</t>
  </si>
  <si>
    <t xml:space="preserve">once counted). The 'Audit Row' column is the SKU Audit row number the entry came from.</t>
  </si>
  <si>
    <t xml:space="preserve">OVERDUE TO SCAN</t>
  </si>
  <si>
    <t xml:space="preserve">Lists every Style + Gender + Color combination (Size ignored) whose MOST RECENT scan is 29+ days</t>
  </si>
  <si>
    <t xml:space="preserve">old. If the same style/gender/color was scanned more recently in a different size, that more</t>
  </si>
  <si>
    <t xml:space="preserve">recent date is what counts -- so it won't show as overdue just because one old size-specific row</t>
  </si>
  <si>
    <t xml:space="preserve">is still red. Rebuilds automatically after every paste, and via its Refresh button any time you</t>
  </si>
  <si>
    <t xml:space="preserve">want to update it purely for time that's passed (staleness is based on today's date, not on any</t>
  </si>
  <si>
    <t xml:space="preserve">edit, so it won't update on its own between pastes).</t>
  </si>
  <si>
    <t xml:space="preserve">RE-AUDITING A PRODUCT ALREADY SCANNED BEFORE</t>
  </si>
  <si>
    <t xml:space="preserve">Paste (or type) it again -- this creates a NEW audit line, not an update to the old one. That's</t>
  </si>
  <si>
    <t xml:space="preserve">intentional: every audit event is its own permanent historical record, so re-counting the same</t>
  </si>
  <si>
    <t xml:space="preserve">SKU on a later date shows up as a separate row rather than overwriting the earlier result.</t>
  </si>
  <si>
    <t xml:space="preserve">TYPING A UPC BY HAND INSTEAD OF PASTING</t>
  </si>
  <si>
    <t xml:space="preserve">You can type a UPC directly into a blank row's UPC cell -- Scan Date and Auditor Initials still</t>
  </si>
  <si>
    <t xml:space="preserve">stamp automatically. But SKU, Product Name, Gender, Color, Size, and Expected Qty stay blank</t>
  </si>
  <si>
    <t xml:space="preserve">unless you fill them in yourself, since there's no separate reference list for them to be looked</t>
  </si>
  <si>
    <t xml:space="preserve">up from. Pasting is the more accurate/faster path whenever the in-store system's export is</t>
  </si>
  <si>
    <t xml:space="preserve">available.</t>
  </si>
  <si>
    <t xml:space="preserve">COLOR CODING (auto-updates daily based on Scan Date)</t>
  </si>
  <si>
    <t xml:space="preserve">Green  = scanned 0-14 days ago</t>
  </si>
  <si>
    <t xml:space="preserve">Yellow = scanned 15-28 days ago</t>
  </si>
  <si>
    <t xml:space="preserve">Red    = scanned 29+ days ago</t>
  </si>
  <si>
    <t xml:space="preserve">DISCREPANCY STATUS VALUES</t>
  </si>
  <si>
    <t xml:space="preserve">Not Counted        = neither BOH Qty nor Floor Qty entered yet.</t>
  </si>
  <si>
    <t xml:space="preserve">Partially Counted  = only one of BOH Qty / Floor Qty entered so far.</t>
  </si>
  <si>
    <t xml:space="preserve">Match / Overage / Shortage = both locations counted; compares the combined total to Expected Qty.</t>
  </si>
  <si>
    <t xml:space="preserve">LEGEND</t>
  </si>
  <si>
    <t xml:space="preserve">Blue text  = cells you type into, or that the paste feature fills in (UPC, SKU, Product Name,</t>
  </si>
  <si>
    <t xml:space="preserve">             Gender, Color, Size, Expected Qty, BOH Qty, Floor Qty, Check By User, Marked Out By</t>
  </si>
  <si>
    <t xml:space="preserve">             User, Notes, and the Active Auditor control panel).</t>
  </si>
  <si>
    <t xml:space="preserve">Black text = automatic formulas -- do not overwrite unless you intend to manually correct a row.</t>
  </si>
  <si>
    <t xml:space="preserve">MAINTAINING THE LISTS SHEET</t>
  </si>
  <si>
    <t xml:space="preserve">Add auditor initials and employee names to the Lists sheet to make them available in the</t>
  </si>
  <si>
    <t xml:space="preserve">dropdown menus on the SKU Audit sheet.</t>
  </si>
  <si>
    <t xml:space="preserve">MACRO SETUP (one-time, required for pasting AND the Mark In/Mark Out/Overdue features)</t>
  </si>
  <si>
    <t xml:space="preserve">The Paste Product Data zone expects this repeating format per product, copied directly from</t>
  </si>
  <si>
    <t xml:space="preserve">your in-store system:</t>
  </si>
  <si>
    <t xml:space="preserve">    Product Name</t>
  </si>
  <si>
    <t xml:space="preserve">    SKU&lt;value&gt;</t>
  </si>
  <si>
    <t xml:space="preserve">    Dept&lt;value&gt;</t>
  </si>
  <si>
    <t xml:space="preserve">    Style&lt;value&gt;</t>
  </si>
  <si>
    <t xml:space="preserve">    Color&lt;value&gt;</t>
  </si>
  <si>
    <t xml:space="preserve">    Size&lt;value&gt;</t>
  </si>
  <si>
    <t xml:space="preserve">    UPC&lt;value&gt;</t>
  </si>
  <si>
    <t xml:space="preserve">    Available&lt;X&gt; / &lt;Y&gt;</t>
  </si>
  <si>
    <t xml:space="preserve">'Dept' is read as Gender/department (e.g. M/W) -- if your system uses that field for something</t>
  </si>
  <si>
    <t xml:space="preserve">else, it's a one-line change in the macro to relabel or drop it.</t>
  </si>
  <si>
    <t xml:space="preserve">Parsing pasted product blocks, adding new audit lines, keeping Mark In/Mark Out in sync, creating</t>
  </si>
  <si>
    <t xml:space="preserve">each queue row's checkbox, stamping the completion date, and rebuilding the Overdue list all</t>
  </si>
  <si>
    <t xml:space="preserve">require a macro, which Excel will not run until you complete this ONE-TIME setup:</t>
  </si>
  <si>
    <t xml:space="preserve">1. Save this workbook as a Macro-Enabled Workbook (File &gt; Save As &gt; .xlsm).</t>
  </si>
  <si>
    <t xml:space="preserve">2. Open the VBA editor (Alt+F11).</t>
  </si>
  <si>
    <t xml:space="preserve">3. In the left-hand Project pane, double-click 'SKU Audit' under Microsoft Excel Objects.</t>
  </si>
  <si>
    <t xml:space="preserve">4. Paste the full macro code below into that code pane, then close the VBA editor and save.</t>
  </si>
  <si>
    <t xml:space="preserve">5. On future opens, click 'Enable Content' / 'Enable Macros' when Excel prompts you.</t>
  </si>
  <si>
    <t xml:space="preserve">The complete macro code is provided in the accompanying SKUAudit_Automation_Macro.txt file</t>
  </si>
  <si>
    <t xml:space="preserve">(and duplicated on the 'VBA Code' tab of this workbook) -- copy it exactly as written.</t>
  </si>
  <si>
    <t xml:space="preserve">Until this setup is done, the Paste Product Data zone simply holds pasted text without parsing</t>
  </si>
  <si>
    <t xml:space="preserve">it, and the Mark In/Mark Out/Overdue sections stay empty even when discrepancies or stale scans</t>
  </si>
  <si>
    <t xml:space="preserve">occur. All other features of this workbook (manual scanning, variance, color coding, filters)</t>
  </si>
  <si>
    <t xml:space="preserve">work immediately with no setup required.</t>
  </si>
  <si>
    <t xml:space="preserve">To test it once set up: re-enter a value in demo row 9's Floor Qty cell (J9) -- this should</t>
  </si>
  <si>
    <t xml:space="preserve">populate Mark Out with that row (it's a Shortage) and, after a moment, the Overdue list with the</t>
  </si>
  <si>
    <t xml:space="preserve">Norvan Liner Short 7" / M / Tatsu demo item (its scan date is 35 days old).</t>
  </si>
  <si>
    <t xml:space="preserve">NOTE</t>
  </si>
  <si>
    <t xml:space="preserve">This workbook enables Iterative Calculation (Excel: File &gt; Options &gt; Formulas) to support the</t>
  </si>
  <si>
    <t xml:space="preserve">"freeze on first entry" formulas. This setting is saved in the file, so no manual setup is needed.</t>
  </si>
  <si>
    <t xml:space="preserve">The first three rows on the SKU Audit sheet are example entries demonstrating the color coding</t>
  </si>
  <si>
    <t xml:space="preserve">and workflow -- delete or overwrite them before starting a real audit.</t>
  </si>
  <si>
    <t xml:space="preserve">Automation Macro (paste into the SKU Audit sheet's code module)</t>
  </si>
  <si>
    <t xml:space="preserve">Const PASTE_COL As String = "S"</t>
  </si>
  <si>
    <t xml:space="preserve">Const PASTE_FIRST_ROW As Long = 3</t>
  </si>
  <si>
    <t xml:space="preserve">Const AUDIT_FIRST_ROW As Long = 7</t>
  </si>
  <si>
    <t xml:space="preserve">Const AUDIT_LAST_ROW As Long = 506</t>
  </si>
  <si>
    <t xml:space="preserve">Const MARK_FIRST_ROW As Long = 5</t>
  </si>
  <si>
    <t xml:space="preserve">Const MARK_LAST_ROW As Long = 254</t>
  </si>
  <si>
    <t xml:space="preserve">' Mark In columns: V=UPC, W=Product Name, X=Audit Row, Y=Adjuster Initials, Z=Completed, AA=Date Completed</t>
  </si>
  <si>
    <t xml:space="preserve">Const MI_UPC As String = "V": Const MI_NAME As String = "W": Const MI_ROW As String = "X"</t>
  </si>
  <si>
    <t xml:space="preserve">Const MI_INIT As String = "Y": Const MI_DONE As String = "Z": Const MI_DATE As String = "AA"</t>
  </si>
  <si>
    <t xml:space="preserve">' Mark Out columns: AC=UPC, AD=Product Name, AE=Audit Row, AF=Adjuster Initials, AG=Completed, AH=Date Completed</t>
  </si>
  <si>
    <t xml:space="preserve">Const MO_UPC As String = "AC": Const MO_NAME As String = "AD": Const MO_ROW As String = "AE"</t>
  </si>
  <si>
    <t xml:space="preserve">Const MO_INIT As String = "AF": Const MO_DONE As String = "AG": Const MO_DATE As String = "AH"</t>
  </si>
  <si>
    <t xml:space="preserve">' Overdue-to-Scan columns: AJ=Style/Product Name, AK=Gender, AL=Color, AM=Last Scanned, AN=Days Overdue</t>
  </si>
  <si>
    <t xml:space="preserve">Const OD_NAME As String = "AJ": Const OD_GENDER As String = "AK": Const OD_COLOR As String = "AL"</t>
  </si>
  <si>
    <t xml:space="preserve">Const OD_LASTSCAN As String = "AM": Const OD_DAYS As String = "AN"</t>
  </si>
  <si>
    <t xml:space="preserve">Const OD_FIRST_ROW As Long = 5</t>
  </si>
  <si>
    <t xml:space="preserve">Const OD_LAST_ROW As Long = 254</t>
  </si>
  <si>
    <t xml:space="preserve">Const OVERDUE_THRESHOLD_DAYS As Long = 29</t>
  </si>
  <si>
    <t xml:space="preserve">Private Sub Worksheet_Change(ByVal Target As Range)</t>
  </si>
  <si>
    <t xml:space="preserve">    ' Scan Date and Auditor Initials depend on iterative calculation, which some</t>
  </si>
  <si>
    <t xml:space="preserve">    ' Excel save/round-trip paths (e.g. Save As Macro-Enabled Workbook) can reset</t>
  </si>
  <si>
    <t xml:space="preserve">    ' even though it's saved in the file. Force it on every time this runs, so a</t>
  </si>
  <si>
    <t xml:space="preserve">    ' lost setting can't silently break the freeze-on-first-entry formulas again.</t>
  </si>
  <si>
    <t xml:space="preserve">    Application.Iteration = True</t>
  </si>
  <si>
    <t xml:space="preserve">    Application.MaxIterations = 100</t>
  </si>
  <si>
    <t xml:space="preserve">    Application.MaxChange = 0.001</t>
  </si>
  <si>
    <t xml:space="preserve">    Dim pasteRange As Range, countRange As Range</t>
  </si>
  <si>
    <t xml:space="preserve">    Dim miDoneRange As Range, moDoneRange As Range</t>
  </si>
  <si>
    <t xml:space="preserve">    Set pasteRange = Me.Range(PASTE_COL &amp; PASTE_FIRST_ROW &amp; ":" &amp; PASTE_COL &amp; Me.Rows.Count)</t>
  </si>
  <si>
    <t xml:space="preserve">    Set countRange = Me.Range("H" &amp; AUDIT_FIRST_ROW &amp; ":J" &amp; AUDIT_LAST_ROW)   ' H=Expected Qty, I=BOH, J=Floor</t>
  </si>
  <si>
    <t xml:space="preserve">    Set miDoneRange = Me.Range(MI_DONE &amp; MARK_FIRST_ROW &amp; ":" &amp; MI_DONE &amp; MARK_LAST_ROW)</t>
  </si>
  <si>
    <t xml:space="preserve">    Set moDoneRange = Me.Range(MO_DONE &amp; MARK_FIRST_ROW &amp; ":" &amp; MO_DONE &amp; MARK_LAST_ROW)</t>
  </si>
  <si>
    <t xml:space="preserve">    If Not Intersect(Target, pasteRange) Is Nothing Then</t>
  </si>
  <si>
    <t xml:space="preserve">        Call HandlePaste(Target)</t>
  </si>
  <si>
    <t xml:space="preserve">    ElseIf Not Intersect(Target, countRange) Is Nothing Then</t>
  </si>
  <si>
    <t xml:space="preserve">        Application.EnableEvents = False</t>
  </si>
  <si>
    <t xml:space="preserve">        On Error GoTo CleanUpCount</t>
  </si>
  <si>
    <t xml:space="preserve">        Dim c As Range</t>
  </si>
  <si>
    <t xml:space="preserve">        For Each c In Intersect(Target, countRange).Cells</t>
  </si>
  <si>
    <t xml:space="preserve">            Call EvaluateRowForQueue(c.Row)</t>
  </si>
  <si>
    <t xml:space="preserve">        Next c</t>
  </si>
  <si>
    <t xml:space="preserve">        Application.Calculate</t>
  </si>
  <si>
    <t xml:space="preserve">CleanUpCount:</t>
  </si>
  <si>
    <t xml:space="preserve">        Application.EnableEvents = True</t>
  </si>
  <si>
    <t xml:space="preserve">    ElseIf Not Intersect(Target, miDoneRange) Is Nothing Then</t>
  </si>
  <si>
    <t xml:space="preserve">        Call HandleCheckboxToggle(Intersect(Target, miDoneRange), MI_DATE)</t>
  </si>
  <si>
    <t xml:space="preserve">    ElseIf Not Intersect(Target, moDoneRange) Is Nothing Then</t>
  </si>
  <si>
    <t xml:space="preserve">        Call HandleCheckboxToggle(Intersect(Target, moDoneRange), MO_DATE)</t>
  </si>
  <si>
    <t xml:space="preserve">    End If</t>
  </si>
  <si>
    <t xml:space="preserve">End Sub</t>
  </si>
  <si>
    <t xml:space="preserve">Private Sub HandlePaste(ByVal Target As Range)</t>
  </si>
  <si>
    <t xml:space="preserve">    Dim lastPasted As Long</t>
  </si>
  <si>
    <t xml:space="preserve">    lastPasted = Me.Cells(Me.Rows.Count, PASTE_COL).End(xlUp).Row</t>
  </si>
  <si>
    <t xml:space="preserve">    If lastPasted &lt; PASTE_FIRST_ROW Then Exit Sub</t>
  </si>
  <si>
    <t xml:space="preserve">    Application.EnableEvents = False</t>
  </si>
  <si>
    <t xml:space="preserve">    On Error GoTo CleanUp</t>
  </si>
  <si>
    <t xml:space="preserve">    Dim curName As String, curSKU As String, curGender As String, curColor As String</t>
  </si>
  <si>
    <t xml:space="preserve">    Dim curSize As String, curUPC As String, availVal As String</t>
  </si>
  <si>
    <t xml:space="preserve">    Dim addedCount As Long</t>
  </si>
  <si>
    <t xml:space="preserve">    Dim nextRow As Long</t>
  </si>
  <si>
    <t xml:space="preserve">    nextRow = AUDIT_FIRST_ROW</t>
  </si>
  <si>
    <t xml:space="preserve">    Dim r As Long, ln As String</t>
  </si>
  <si>
    <t xml:space="preserve">    For r = PASTE_FIRST_ROW To lastPasted</t>
  </si>
  <si>
    <t xml:space="preserve">        ln = Trim$(CStr(Me.Cells(r, PASTE_COL).Value))</t>
  </si>
  <si>
    <t xml:space="preserve">        If ln &lt;&gt; "" Then</t>
  </si>
  <si>
    <t xml:space="preserve">            If LCase$(Left$(ln, 3)) = "sku" Then</t>
  </si>
  <si>
    <t xml:space="preserve">                curSKU = Trim$(Mid$(ln, 4))</t>
  </si>
  <si>
    <t xml:space="preserve">            ElseIf LCase$(Left$(ln, 4)) = "dept" Then</t>
  </si>
  <si>
    <t xml:space="preserve">                curGender = Trim$(Mid$(ln, 5))</t>
  </si>
  <si>
    <t xml:space="preserve">            ElseIf LCase$(Left$(ln, 5)) = "style" Then</t>
  </si>
  <si>
    <t xml:space="preserve">                ' Style CODE is not stored -- Product Name already serves as the style name.</t>
  </si>
  <si>
    <t xml:space="preserve">            ElseIf LCase$(Left$(ln, 5)) = "color" Then</t>
  </si>
  <si>
    <t xml:space="preserve">                curColor = Trim$(Mid$(ln, 6))</t>
  </si>
  <si>
    <t xml:space="preserve">            ElseIf LCase$(Left$(ln, 4)) = "size" Then</t>
  </si>
  <si>
    <t xml:space="preserve">                curSize = Trim$(Mid$(ln, 5))</t>
  </si>
  <si>
    <t xml:space="preserve">            ElseIf LCase$(Left$(ln, 3)) = "upc" Then</t>
  </si>
  <si>
    <t xml:space="preserve">                curUPC = Trim$(Mid$(ln, 4))</t>
  </si>
  <si>
    <t xml:space="preserve">            ElseIf LCase$(Left$(ln, 9)) = "available" Then</t>
  </si>
  <si>
    <t xml:space="preserve">                Dim availRaw As String, parts() As String</t>
  </si>
  <si>
    <t xml:space="preserve">                availRaw = Trim$(Mid$(ln, 10))</t>
  </si>
  <si>
    <t xml:space="preserve">                parts = Split(availRaw, "/")</t>
  </si>
  <si>
    <t xml:space="preserve">                If UBound(parts) &gt;= 1 Then</t>
  </si>
  <si>
    <t xml:space="preserve">                    availVal = Trim$(parts(1))   ' second number = total on-hand</t>
  </si>
  <si>
    <t xml:space="preserve">                Else</t>
  </si>
  <si>
    <t xml:space="preserve">                    availVal = Trim$(parts(0))</t>
  </si>
  <si>
    <t xml:space="preserve">                End If</t>
  </si>
  <si>
    <t xml:space="preserve">                ' "Available" is always the last field for a product -&gt; write the audit line now.</t>
  </si>
  <si>
    <t xml:space="preserve">                If curUPC &lt;&gt; "" Then</t>
  </si>
  <si>
    <t xml:space="preserve">                    Do While nextRow &lt;= AUDIT_LAST_ROW And Trim$(CStr(Me.Cells(nextRow, "B").Value)) &lt;&gt; ""</t>
  </si>
  <si>
    <t xml:space="preserve">                        nextRow = nextRow + 1</t>
  </si>
  <si>
    <t xml:space="preserve">                    Loop</t>
  </si>
  <si>
    <t xml:space="preserve">                    If nextRow &gt; AUDIT_LAST_ROW Then</t>
  </si>
  <si>
    <t xml:space="preserve">                        MsgBox "No blank audit rows left below row " &amp; AUDIT_LAST_ROW &amp; _</t>
  </si>
  <si>
    <t xml:space="preserve">                               ". Extend the table's formulas before pasting more.", vbExclamation</t>
  </si>
  <si>
    <t xml:space="preserve">                    Else</t>
  </si>
  <si>
    <t xml:space="preserve">                        Me.Cells(nextRow, "C").Value = curSKU</t>
  </si>
  <si>
    <t xml:space="preserve">                        If curName &lt;&gt; "" Then Me.Cells(nextRow, "D").Value = curName</t>
  </si>
  <si>
    <t xml:space="preserve">                        If curGender &lt;&gt; "" Then Me.Cells(nextRow, "E").Value = curGender</t>
  </si>
  <si>
    <t xml:space="preserve">                        If curColor &lt;&gt; "" Then Me.Cells(nextRow, "F").Value = curColor</t>
  </si>
  <si>
    <t xml:space="preserve">                        If curSize &lt;&gt; "" Then Me.Cells(nextRow, "G").Value = curSize</t>
  </si>
  <si>
    <t xml:space="preserve">                        If availVal &lt;&gt; "" And IsNumeric(availVal) Then</t>
  </si>
  <si>
    <t xml:space="preserve">                            Me.Cells(nextRow, "H").Value = CDbl(availVal)</t>
  </si>
  <si>
    <t xml:space="preserve">                        End If</t>
  </si>
  <si>
    <t xml:space="preserve">                        Me.Cells(nextRow, "B").NumberFormat = "@"</t>
  </si>
  <si>
    <t xml:space="preserve">                        Me.Cells(nextRow, "B").Value = curUPC   ' written last -- triggers the</t>
  </si>
  <si>
    <t xml:space="preserve">                                                                  ' existing Scan Date / Auditor</t>
  </si>
  <si>
    <t xml:space="preserve">                                                                  ' Initials formulas already in</t>
  </si>
  <si>
    <t xml:space="preserve">                                                                  ' this row, same as a manual scan.</t>
  </si>
  <si>
    <t xml:space="preserve">                        ' Iterative/circular formulas (Scan Date, Auditor Initials) need an</t>
  </si>
  <si>
    <t xml:space="preserve">                        ' explicit recalculation to converge -- done right here, per row, so a</t>
  </si>
  <si>
    <t xml:space="preserve">                        ' later error (e.g. while adding a Mark In/Out checkbox for a DIFFERENT</t>
  </si>
  <si>
    <t xml:space="preserve">                        ' row) can never skip it and leave this row's date/initials blank.</t>
  </si>
  <si>
    <t xml:space="preserve">                        Me.Calculate</t>
  </si>
  <si>
    <t xml:space="preserve">                        addedCount = addedCount + 1</t>
  </si>
  <si>
    <t xml:space="preserve">                        ' Negative Expected Qty is a standing data problem, independent of any</t>
  </si>
  <si>
    <t xml:space="preserve">                        ' physical count -- flag it for Mark In right away.</t>
  </si>
  <si>
    <t xml:space="preserve">                        Call EvaluateRowForQueue(nextRow)</t>
  </si>
  <si>
    <t xml:space="preserve">                    End If</t>
  </si>
  <si>
    <t xml:space="preserve">                curName = "": curSKU = "": curGender = "": curColor = "": curSize = "": curUPC = "": availVal = ""</t>
  </si>
  <si>
    <t xml:space="preserve">            Else</t>
  </si>
  <si>
    <t xml:space="preserve">                ' Unrecognized label -&gt; this is the product name line (start of a new record).</t>
  </si>
  <si>
    <t xml:space="preserve">                curName = ln</t>
  </si>
  <si>
    <t xml:space="preserve">            End If</t>
  </si>
  <si>
    <t xml:space="preserve">        End If</t>
  </si>
  <si>
    <t xml:space="preserve">    Next r</t>
  </si>
  <si>
    <t xml:space="preserve">CleanUp:</t>
  </si>
  <si>
    <t xml:space="preserve">    ' Runs whether the loop above finished cleanly or hit an error -- always</t>
  </si>
  <si>
    <t xml:space="preserve">    ' recalculates and clears the paste zone, so a problem partway through</t>
  </si>
  <si>
    <t xml:space="preserve">    ' never leaves stale formulas or leftover pasted text behind.</t>
  </si>
  <si>
    <t xml:space="preserve">    On Error Resume Next</t>
  </si>
  <si>
    <t xml:space="preserve">    Application.Calculate</t>
  </si>
  <si>
    <t xml:space="preserve">    Call RefreshOverdueList</t>
  </si>
  <si>
    <t xml:space="preserve">    On Error GoTo 0</t>
  </si>
  <si>
    <t xml:space="preserve">    Me.Range(PASTE_COL &amp; PASTE_FIRST_ROW &amp; ":" &amp; PASTE_COL &amp; lastPasted).ClearContents</t>
  </si>
  <si>
    <t xml:space="preserve">    Application.EnableEvents = True</t>
  </si>
  <si>
    <t xml:space="preserve">    If Err.Number &lt;&gt; 0 Then</t>
  </si>
  <si>
    <t xml:space="preserve">        MsgBox "Paste parsing hit an error: " &amp; Err.Description, vbExclamation</t>
  </si>
  <si>
    <t xml:space="preserve">    ElseIf addedCount &gt; 0 Then</t>
  </si>
  <si>
    <t xml:space="preserve">        MsgBox addedCount &amp; " audit line(s) added.", vbInformation</t>
  </si>
  <si>
    <t xml:space="preserve">' Checks one audit row after it changes and keeps the Mark In / Mark Out queues in</t>
  </si>
  <si>
    <t xml:space="preserve">' sync: queues the row if it now qualifies, and removes it again if it no longer</t>
  </si>
  <si>
    <t xml:space="preserve">' does (e.g. a mis-typed count gets corrected) -- UNLESS that entry has already</t>
  </si>
  <si>
    <t xml:space="preserve">' been checked off, in which case it's left alone as a completed historical record.</t>
  </si>
  <si>
    <t xml:space="preserve">Private Sub EvaluateRowForQueue(ByVal r As Long)</t>
  </si>
  <si>
    <t xml:space="preserve">    If r &lt; AUDIT_FIRST_ROW Or r &gt; AUDIT_LAST_ROW Then Exit Sub</t>
  </si>
  <si>
    <t xml:space="preserve">    Dim upc As String</t>
  </si>
  <si>
    <t xml:space="preserve">    upc = Trim$(CStr(Me.Cells(r, "B").Value))</t>
  </si>
  <si>
    <t xml:space="preserve">    If upc = "" Then Exit Sub</t>
  </si>
  <si>
    <t xml:space="preserve">    Dim prodName As String</t>
  </si>
  <si>
    <t xml:space="preserve">    prodName = CStr(Me.Cells(r, "D").Value)</t>
  </si>
  <si>
    <t xml:space="preserve">    Dim qualifiesMarkIn As Boolean, qualifiesMarkOut As Boolean</t>
  </si>
  <si>
    <t xml:space="preserve">    Dim expectedQty As Variant</t>
  </si>
  <si>
    <t xml:space="preserve">    expectedQty = Me.Cells(r, "H").Value</t>
  </si>
  <si>
    <t xml:space="preserve">    If IsNumeric(expectedQty) Then</t>
  </si>
  <si>
    <t xml:space="preserve">        If CDbl(expectedQty) &lt; 0 Then qualifiesMarkIn = True</t>
  </si>
  <si>
    <t xml:space="preserve">    Dim status As String</t>
  </si>
  <si>
    <t xml:space="preserve">    status = CStr(Me.Cells(r, "M").Value)</t>
  </si>
  <si>
    <t xml:space="preserve">    If status = "Overage" Then qualifiesMarkIn = True</t>
  </si>
  <si>
    <t xml:space="preserve">    If status = "Shortage" Then qualifiesMarkOut = True</t>
  </si>
  <si>
    <t xml:space="preserve">    If qualifiesMarkIn Then</t>
  </si>
  <si>
    <t xml:space="preserve">        Call QueueRow(MI_UPC, MI_NAME, MI_ROW, MI_INIT, MI_DONE, r, upc, prodName)</t>
  </si>
  <si>
    <t xml:space="preserve">    Else</t>
  </si>
  <si>
    <t xml:space="preserve">        Call RemoveFromQueue(MI_UPC, MI_NAME, MI_ROW, MI_INIT, MI_DONE, MI_DATE, r)</t>
  </si>
  <si>
    <t xml:space="preserve">    If qualifiesMarkOut Then</t>
  </si>
  <si>
    <t xml:space="preserve">        Call QueueRow(MO_UPC, MO_NAME, MO_ROW, MO_INIT, MO_DONE, r, upc, prodName)</t>
  </si>
  <si>
    <t xml:space="preserve">        Call RemoveFromQueue(MO_UPC, MO_NAME, MO_ROW, MO_INIT, MO_DONE, MO_DATE, r)</t>
  </si>
  <si>
    <t xml:space="preserve">Private Sub QueueRow(colUPC As String, colName As String, colRow As String, colInit As String, _</t>
  </si>
  <si>
    <t xml:space="preserve">                      colDone As String, ByVal sourceRow As Long, upc As String, prodName As String)</t>
  </si>
  <si>
    <t xml:space="preserve">    Dim r As Long</t>
  </si>
  <si>
    <t xml:space="preserve">    For r = MARK_FIRST_ROW To MARK_LAST_ROW</t>
  </si>
  <si>
    <t xml:space="preserve">        If Trim$(CStr(Me.Cells(r, colRow).Value)) = "" Then Exit For</t>
  </si>
  <si>
    <t xml:space="preserve">        If CLng(Me.Cells(r, colRow).Value) = sourceRow Then Exit Sub   ' already queued</t>
  </si>
  <si>
    <t xml:space="preserve">    If r &gt; MARK_LAST_ROW Then</t>
  </si>
  <si>
    <t xml:space="preserve">        MsgBox "The Mark In/Mark Out queue is full (" &amp; MARK_LAST_ROW - MARK_FIRST_ROW + 1 &amp; _</t>
  </si>
  <si>
    <t xml:space="preserve">               " rows). Extend it before more discrepancies can be queued.", vbExclamation</t>
  </si>
  <si>
    <t xml:space="preserve">        Exit Sub</t>
  </si>
  <si>
    <t xml:space="preserve">    Me.Cells(r, colUPC).NumberFormat = "@"</t>
  </si>
  <si>
    <t xml:space="preserve">    Me.Cells(r, colUPC).Value = upc</t>
  </si>
  <si>
    <t xml:space="preserve">    Me.Cells(r, colName).Value = prodName</t>
  </si>
  <si>
    <t xml:space="preserve">    Me.Cells(r, colRow).Value = sourceRow</t>
  </si>
  <si>
    <t xml:space="preserve">    ' Create a real Form Control checkbox over the Completed cell, linked to that</t>
  </si>
  <si>
    <t xml:space="preserve">    ' same cell -- clicking it writes TRUE/FALSE to colDone &amp; r, which is what</t>
  </si>
  <si>
    <t xml:space="preserve">    ' HandleCheckboxToggle watches for via Worksheet_Change.</t>
  </si>
  <si>
    <t xml:space="preserve">    Dim target As Range</t>
  </si>
  <si>
    <t xml:space="preserve">    Set target = Me.Range(colDone &amp; r)</t>
  </si>
  <si>
    <t xml:space="preserve">    Dim cb As CheckBox</t>
  </si>
  <si>
    <t xml:space="preserve">    Set cb = Me.CheckBoxes.Add(target.Left, target.Top, target.Width, target.Height)</t>
  </si>
  <si>
    <t xml:space="preserve">    cb.Caption = ""</t>
  </si>
  <si>
    <t xml:space="preserve">    cb.LinkedCell = target.Address</t>
  </si>
  <si>
    <t xml:space="preserve">    cb.Value = xlOff</t>
  </si>
  <si>
    <t xml:space="preserve">' Removes a row from a queue (and deletes its checkbox) once it no longer</t>
  </si>
  <si>
    <t xml:space="preserve">' qualifies -- but only if it hasn't already been checked off as completed,</t>
  </si>
  <si>
    <t xml:space="preserve">' so a corrected mistake never erases an adjuster's completed work record.</t>
  </si>
  <si>
    <t xml:space="preserve">Private Sub RemoveFromQueue(colUPC As String, colName As String, colRow As String, colInit As String, _</t>
  </si>
  <si>
    <t xml:space="preserve">                             colDone As String, colDate As String, ByVal sourceRow As Long)</t>
  </si>
  <si>
    <t xml:space="preserve">        Dim v As Variant</t>
  </si>
  <si>
    <t xml:space="preserve">        v = Me.Cells(r, colRow).Value</t>
  </si>
  <si>
    <t xml:space="preserve">        If Not IsEmpty(v) Then</t>
  </si>
  <si>
    <t xml:space="preserve">            If Trim$(CStr(v)) &lt;&gt; "" Then</t>
  </si>
  <si>
    <t xml:space="preserve">                If CLng(v) = sourceRow Then</t>
  </si>
  <si>
    <t xml:space="preserve">                    If CBool(Me.Cells(r, colDone).Value) = True Then Exit Sub   ' completed -- keep it</t>
  </si>
  <si>
    <t xml:space="preserve">                    Dim shp As Shape</t>
  </si>
  <si>
    <t xml:space="preserve">                    For Each shp In Me.Shapes</t>
  </si>
  <si>
    <t xml:space="preserve">                        On Error Resume Next</t>
  </si>
  <si>
    <t xml:space="preserve">                        If shp.TopLeftCell.Address = Me.Cells(r, colDone).Address Then shp.Delete</t>
  </si>
  <si>
    <t xml:space="preserve">                        On Error GoTo 0</t>
  </si>
  <si>
    <t xml:space="preserve">                    Next shp</t>
  </si>
  <si>
    <t xml:space="preserve">                    Me.Cells(r, colUPC).ClearContents</t>
  </si>
  <si>
    <t xml:space="preserve">                    Me.Cells(r, colName).ClearContents</t>
  </si>
  <si>
    <t xml:space="preserve">                    Me.Cells(r, colRow).ClearContents</t>
  </si>
  <si>
    <t xml:space="preserve">                    Me.Cells(r, colInit).ClearContents</t>
  </si>
  <si>
    <t xml:space="preserve">                    Me.Cells(r, colDone).ClearContents</t>
  </si>
  <si>
    <t xml:space="preserve">                    Me.Cells(r, colDate).ClearContents</t>
  </si>
  <si>
    <t xml:space="preserve">                    Exit Sub</t>
  </si>
  <si>
    <t xml:space="preserve">' Fires when a Mark In/Mark Out checkbox's linked cell changes. Stamps today's</t>
  </si>
  <si>
    <t xml:space="preserve">' date next to it when checked; clears the date again if unchecked.</t>
  </si>
  <si>
    <t xml:space="preserve">Private Sub HandleCheckboxToggle(changedRange As Range, dateCol As String)</t>
  </si>
  <si>
    <t xml:space="preserve">    Dim c As Range</t>
  </si>
  <si>
    <t xml:space="preserve">    For Each c In changedRange.Cells</t>
  </si>
  <si>
    <t xml:space="preserve">        If CBool(c.Value) = True Then</t>
  </si>
  <si>
    <t xml:space="preserve">            Me.Cells(c.Row, dateCol).Value = Date</t>
  </si>
  <si>
    <t xml:space="preserve">            Me.Cells(c.Row, dateCol).NumberFormat = "mm/dd/yyyy"</t>
  </si>
  <si>
    <t xml:space="preserve">        Else</t>
  </si>
  <si>
    <t xml:space="preserve">            Me.Cells(c.Row, dateCol).ClearContents</t>
  </si>
  <si>
    <t xml:space="preserve">    Next c</t>
  </si>
  <si>
    <t xml:space="preserve">' Rebuilds the Overdue-to-Scan list: for every distinct Style + Gender + Color,</t>
  </si>
  <si>
    <t xml:space="preserve">' finds its most recent Scan Date across all audit rows, and lists it if that</t>
  </si>
  <si>
    <t xml:space="preserve">' date is OVERDUE_THRESHOLD_DAYS or more days old. Run this periodically (it</t>
  </si>
  <si>
    <t xml:space="preserve">' also runs automatically after every paste) since staleness is based on</t>
  </si>
  <si>
    <t xml:space="preserve">' today's date, not on any single edit.</t>
  </si>
  <si>
    <t xml:space="preserve">Public Sub RefreshOverdueList()</t>
  </si>
  <si>
    <t xml:space="preserve">    Call EnsureRefreshButton</t>
  </si>
  <si>
    <t xml:space="preserve">    Dim dict As Object</t>
  </si>
  <si>
    <t xml:space="preserve">    Set dict = CreateObject("Scripting.Dictionary")</t>
  </si>
  <si>
    <t xml:space="preserve">    Dim r As Long, key As String</t>
  </si>
  <si>
    <t xml:space="preserve">    For r = AUDIT_FIRST_ROW To AUDIT_LAST_ROW</t>
  </si>
  <si>
    <t xml:space="preserve">        If Trim$(CStr(Me.Cells(r, "B").Value)) &lt;&gt; "" Then</t>
  </si>
  <si>
    <t xml:space="preserve">            If IsDate(Me.Cells(r, "A").Value) Then</t>
  </si>
  <si>
    <t xml:space="preserve">                key = CStr(Me.Cells(r, "D").Value) &amp; Chr(9) &amp; CStr(Me.Cells(r, "E").Value) &amp; Chr(9) &amp; CStr(Me.Cells(r, "F").Value)</t>
  </si>
  <si>
    <t xml:space="preserve">                Dim scanDate As Date</t>
  </si>
  <si>
    <t xml:space="preserve">                scanDate = CDate(Me.Cells(r, "A").Value)</t>
  </si>
  <si>
    <t xml:space="preserve">                If dict.Exists(key) Then</t>
  </si>
  <si>
    <t xml:space="preserve">                    If scanDate &gt; CDate(dict(key)) Then dict(key) = scanDate</t>
  </si>
  <si>
    <t xml:space="preserve">                    dict.Add key, scanDate</t>
  </si>
  <si>
    <t xml:space="preserve">    Me.Range(OD_NAME &amp; OD_FIRST_ROW &amp; ":" &amp; OD_DAYS &amp; OD_LAST_ROW).ClearContents</t>
  </si>
  <si>
    <t xml:space="preserve">    Dim outRow As Long</t>
  </si>
  <si>
    <t xml:space="preserve">    outRow = OD_FIRST_ROW</t>
  </si>
  <si>
    <t xml:space="preserve">    Dim k As Variant</t>
  </si>
  <si>
    <t xml:space="preserve">    For Each k In dict.Keys</t>
  </si>
  <si>
    <t xml:space="preserve">        Dim lastScan As Date</t>
  </si>
  <si>
    <t xml:space="preserve">        lastScan = CDate(dict(k))</t>
  </si>
  <si>
    <t xml:space="preserve">        Dim daysAgo As Long</t>
  </si>
  <si>
    <t xml:space="preserve">        daysAgo = Date - lastScan</t>
  </si>
  <si>
    <t xml:space="preserve">        If daysAgo &gt;= OVERDUE_THRESHOLD_DAYS Then</t>
  </si>
  <si>
    <t xml:space="preserve">            If outRow &lt;= OD_LAST_ROW Then</t>
  </si>
  <si>
    <t xml:space="preserve">                Dim parts() As String</t>
  </si>
  <si>
    <t xml:space="preserve">                parts = Split(CStr(k), Chr(9))</t>
  </si>
  <si>
    <t xml:space="preserve">                Me.Cells(outRow, OD_NAME).Value = parts(0)</t>
  </si>
  <si>
    <t xml:space="preserve">                Me.Cells(outRow, OD_GENDER).Value = parts(1)</t>
  </si>
  <si>
    <t xml:space="preserve">                Me.Cells(outRow, OD_COLOR).Value = parts(2)</t>
  </si>
  <si>
    <t xml:space="preserve">                Me.Cells(outRow, OD_LASTSCAN).Value = lastScan</t>
  </si>
  <si>
    <t xml:space="preserve">                Me.Cells(outRow, OD_LASTSCAN).NumberFormat = "mm/dd/yyyy"</t>
  </si>
  <si>
    <t xml:space="preserve">                Me.Cells(outRow, OD_DAYS).Value = daysAgo</t>
  </si>
  <si>
    <t xml:space="preserve">                outRow = outRow + 1</t>
  </si>
  <si>
    <t xml:space="preserve">    Next k</t>
  </si>
  <si>
    <t xml:space="preserve">Private Sub EnsureRefreshButton()</t>
  </si>
  <si>
    <t xml:space="preserve">    Dim b As Button</t>
  </si>
  <si>
    <t xml:space="preserve">    For Each b In Me.Buttons</t>
  </si>
  <si>
    <t xml:space="preserve">        If b.Name = "btnRefreshOverdue" Then Exit Sub</t>
  </si>
  <si>
    <t xml:space="preserve">    Next b</t>
  </si>
  <si>
    <t xml:space="preserve">    Set target = Me.Range(OD_LASTSCAN &amp; "3")</t>
  </si>
  <si>
    <t xml:space="preserve">    Set b = Me.Buttons.Add(target.Left, target.Top, 150, 18)</t>
  </si>
  <si>
    <t xml:space="preserve">    b.Name = "btnRefreshOverdue"</t>
  </si>
  <si>
    <t xml:space="preserve">    b.Caption = "Refresh Overdue List"</t>
  </si>
  <si>
    <t xml:space="preserve">    ' Must be qualified with the sheet name -- RefreshOverdueList lives in this</t>
  </si>
  <si>
    <t xml:space="preserve">    ' sheet's own code module, not a Standard module, and Excel's button-click</t>
  </si>
  <si>
    <t xml:space="preserve">    ' resolution won't reliably find it by bare name alone.</t>
  </si>
  <si>
    <t xml:space="preserve">    b.OnAction = "'" &amp; Me.Name &amp; "'!RefreshOverdueList"</t>
  </si>
</sst>
</file>

<file path=xl/styles.xml><?xml version="1.0" encoding="utf-8"?>
<styleSheet xmlns="http://schemas.openxmlformats.org/spreadsheetml/2006/main">
  <numFmts count="5">
    <numFmt numFmtId="164" formatCode="General"/>
    <numFmt numFmtId="165" formatCode="@"/>
    <numFmt numFmtId="166" formatCode="0"/>
    <numFmt numFmtId="167" formatCode="mm/dd/yyyy"/>
    <numFmt numFmtId="168" formatCode="#,##0;\(#,##0\)"/>
  </numFmts>
  <fonts count="19">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b val="true"/>
      <sz val="11"/>
      <color rgb="FFFFFFFF"/>
      <name val="Arial"/>
      <family val="0"/>
      <charset val="1"/>
    </font>
    <font>
      <i val="true"/>
      <sz val="9"/>
      <color rgb="FF595959"/>
      <name val="Arial"/>
      <family val="0"/>
      <charset val="1"/>
    </font>
    <font>
      <sz val="9"/>
      <color rgb="FF7F5A00"/>
      <name val="Arial"/>
      <family val="0"/>
      <charset val="1"/>
    </font>
    <font>
      <b val="true"/>
      <sz val="12"/>
      <color rgb="FF1E7B34"/>
      <name val="Arial"/>
      <family val="0"/>
      <charset val="1"/>
    </font>
    <font>
      <b val="true"/>
      <sz val="12"/>
      <color rgb="FFA6320F"/>
      <name val="Arial"/>
      <family val="0"/>
      <charset val="1"/>
    </font>
    <font>
      <b val="true"/>
      <sz val="10"/>
      <name val="Arial"/>
      <family val="0"/>
      <charset val="1"/>
    </font>
    <font>
      <b val="true"/>
      <sz val="10"/>
      <color rgb="FF0000FF"/>
      <name val="Arial"/>
      <family val="0"/>
      <charset val="1"/>
    </font>
    <font>
      <b val="true"/>
      <sz val="10"/>
      <color rgb="FF1F3864"/>
      <name val="Arial"/>
      <family val="0"/>
      <charset val="1"/>
    </font>
    <font>
      <sz val="10"/>
      <name val="Arial"/>
      <family val="0"/>
      <charset val="1"/>
    </font>
    <font>
      <sz val="10"/>
      <color rgb="FF0000FF"/>
      <name val="Arial"/>
      <family val="0"/>
      <charset val="1"/>
    </font>
    <font>
      <sz val="10"/>
      <color rgb="FF000000"/>
      <name val="Arial"/>
      <family val="0"/>
      <charset val="1"/>
    </font>
    <font>
      <b val="true"/>
      <sz val="14"/>
      <color rgb="FF1F3864"/>
      <name val="Arial"/>
      <family val="0"/>
      <charset val="1"/>
    </font>
    <font>
      <b val="true"/>
      <sz val="12"/>
      <color rgb="FF1F3864"/>
      <name val="Arial"/>
      <family val="0"/>
      <charset val="1"/>
    </font>
    <font>
      <sz val="10"/>
      <color rgb="FF000000"/>
      <name val="Consolas"/>
      <family val="0"/>
      <charset val="1"/>
    </font>
  </fonts>
  <fills count="8">
    <fill>
      <patternFill patternType="none"/>
    </fill>
    <fill>
      <patternFill patternType="gray125"/>
    </fill>
    <fill>
      <patternFill patternType="solid">
        <fgColor rgb="FF7F5A00"/>
        <bgColor rgb="FF595959"/>
      </patternFill>
    </fill>
    <fill>
      <patternFill patternType="solid">
        <fgColor rgb="FF1E7B34"/>
        <bgColor rgb="FF008080"/>
      </patternFill>
    </fill>
    <fill>
      <patternFill patternType="solid">
        <fgColor rgb="FFA6320F"/>
        <bgColor rgb="FF993366"/>
      </patternFill>
    </fill>
    <fill>
      <patternFill patternType="solid">
        <fgColor rgb="FFFFF6CC"/>
        <bgColor rgb="FFFFFFFF"/>
      </patternFill>
    </fill>
    <fill>
      <patternFill patternType="solid">
        <fgColor rgb="FFD9E2F3"/>
        <bgColor rgb="FFC6E8C6"/>
      </patternFill>
    </fill>
    <fill>
      <patternFill patternType="solid">
        <fgColor rgb="FF1F3864"/>
        <bgColor rgb="FF333333"/>
      </patternFill>
    </fill>
  </fills>
  <borders count="3">
    <border diagonalUp="false" diagonalDown="false">
      <left/>
      <right/>
      <top/>
      <bottom/>
      <diagonal/>
    </border>
    <border diagonalUp="false" diagonalDown="false">
      <left style="thin">
        <color rgb="FFBFBFBF"/>
      </left>
      <right/>
      <top style="thin">
        <color rgb="FFBFBFBF"/>
      </top>
      <bottom style="thin">
        <color rgb="FFBFBFBF"/>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left" vertical="center" textRotation="0" wrapText="fals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center" textRotation="0" wrapText="true" indent="0" shrinkToFit="false"/>
      <protection locked="true" hidden="false"/>
    </xf>
    <xf numFmtId="164" fontId="5" fillId="4" borderId="1" xfId="0" applyFont="true" applyBorder="true" applyAlignment="true" applyProtection="false">
      <alignment horizontal="center" vertical="center" textRotation="0" wrapText="tru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5" borderId="2" xfId="0" applyFont="true" applyBorder="true" applyAlignment="true" applyProtection="false">
      <alignment horizontal="left" vertical="top" textRotation="0" wrapText="false" indent="0" shrinkToFit="false"/>
      <protection locked="true" hidden="false"/>
    </xf>
    <xf numFmtId="164" fontId="8" fillId="0" borderId="0" xfId="0" applyFont="true" applyBorder="true" applyAlignment="true" applyProtection="false">
      <alignment horizontal="left" vertical="center" textRotation="0" wrapText="false" indent="0" shrinkToFit="false"/>
      <protection locked="true" hidden="false"/>
    </xf>
    <xf numFmtId="164" fontId="9" fillId="0" borderId="0" xfId="0" applyFont="true" applyBorder="true" applyAlignment="true" applyProtection="false">
      <alignment horizontal="left" vertical="center"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5" fontId="11" fillId="6" borderId="2" xfId="0" applyFont="true" applyBorder="true" applyAlignment="true" applyProtection="false">
      <alignment horizontal="center" vertical="bottom" textRotation="0" wrapText="false" indent="0" shrinkToFit="false"/>
      <protection locked="true" hidden="false"/>
    </xf>
    <xf numFmtId="164" fontId="7" fillId="5" borderId="2" xfId="0" applyFont="true" applyBorder="true" applyAlignment="false" applyProtection="false">
      <alignment horizontal="general" vertical="bottom" textRotation="0" wrapText="false" indent="0" shrinkToFit="false"/>
      <protection locked="true" hidden="false"/>
    </xf>
    <xf numFmtId="164" fontId="12" fillId="6" borderId="2" xfId="0" applyFont="true" applyBorder="true" applyAlignment="true" applyProtection="false">
      <alignment horizontal="center" vertical="center" textRotation="0" wrapText="true" indent="0" shrinkToFit="false"/>
      <protection locked="true" hidden="false"/>
    </xf>
    <xf numFmtId="164" fontId="13" fillId="0" borderId="2" xfId="0" applyFont="true" applyBorder="true" applyAlignment="false" applyProtection="false">
      <alignment horizontal="general" vertical="bottom" textRotation="0" wrapText="false" indent="0" shrinkToFit="false"/>
      <protection locked="true" hidden="false"/>
    </xf>
    <xf numFmtId="166" fontId="13" fillId="0" borderId="2" xfId="0" applyFont="true" applyBorder="true" applyAlignment="false" applyProtection="false">
      <alignment horizontal="general" vertical="bottom" textRotation="0" wrapText="false" indent="0" shrinkToFit="false"/>
      <protection locked="true" hidden="false"/>
    </xf>
    <xf numFmtId="164" fontId="14" fillId="0" borderId="2" xfId="0" applyFont="true" applyBorder="true" applyAlignment="false" applyProtection="false">
      <alignment horizontal="general" vertical="bottom" textRotation="0" wrapText="false" indent="0" shrinkToFit="false"/>
      <protection locked="true" hidden="false"/>
    </xf>
    <xf numFmtId="167" fontId="13" fillId="0" borderId="2" xfId="0" applyFont="true" applyBorder="true" applyAlignment="false" applyProtection="false">
      <alignment horizontal="general" vertical="bottom" textRotation="0" wrapText="false" indent="0" shrinkToFit="false"/>
      <protection locked="true" hidden="false"/>
    </xf>
    <xf numFmtId="164" fontId="5" fillId="7" borderId="2" xfId="0" applyFont="true" applyBorder="true" applyAlignment="true" applyProtection="false">
      <alignment horizontal="center" vertical="center" textRotation="0" wrapText="true" indent="0" shrinkToFit="false"/>
      <protection locked="true" hidden="false"/>
    </xf>
    <xf numFmtId="167" fontId="15" fillId="0" borderId="0" xfId="0" applyFont="true" applyBorder="false" applyAlignment="false" applyProtection="false">
      <alignment horizontal="general" vertical="bottom" textRotation="0" wrapText="false" indent="0" shrinkToFit="false"/>
      <protection locked="true" hidden="false"/>
    </xf>
    <xf numFmtId="165" fontId="14"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8" fontId="14" fillId="0" borderId="0" xfId="0" applyFont="true" applyBorder="false" applyAlignment="false" applyProtection="false">
      <alignment horizontal="general" vertical="bottom" textRotation="0" wrapText="false" indent="0" shrinkToFit="false"/>
      <protection locked="true" hidden="false"/>
    </xf>
    <xf numFmtId="168" fontId="15"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patternType="solid">
          <fgColor rgb="FF1F3864"/>
          <bgColor rgb="FF000000"/>
        </patternFill>
      </fill>
    </dxf>
    <dxf>
      <fill>
        <patternFill patternType="solid">
          <fgColor rgb="FFC6E8C6"/>
          <bgColor rgb="FF000000"/>
        </patternFill>
      </fill>
    </dxf>
    <dxf>
      <fill>
        <patternFill patternType="solid">
          <fgColor rgb="FFF4B6B6"/>
          <bgColor rgb="FF000000"/>
        </patternFill>
      </fill>
    </dxf>
    <dxf>
      <fill>
        <patternFill patternType="solid">
          <fgColor rgb="FFFFE699"/>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000FF"/>
          <bgColor rgb="FF000000"/>
        </patternFill>
      </fill>
    </dxf>
    <dxf>
      <fill>
        <patternFill>
          <bgColor rgb="FFC6E8C6"/>
        </patternFill>
      </fill>
    </dxf>
    <dxf>
      <fill>
        <patternFill>
          <bgColor rgb="FFFFE699"/>
        </patternFill>
      </fill>
    </dxf>
    <dxf>
      <fill>
        <patternFill>
          <bgColor rgb="FFF4B6B6"/>
        </patternFill>
      </fill>
    </dxf>
  </dxfs>
  <colors>
    <indexedColors>
      <rgbColor rgb="FF000000"/>
      <rgbColor rgb="FFFFFFFF"/>
      <rgbColor rgb="FFFF0000"/>
      <rgbColor rgb="FF00FF00"/>
      <rgbColor rgb="FF0000FF"/>
      <rgbColor rgb="FFFFFF00"/>
      <rgbColor rgb="FFFF00FF"/>
      <rgbColor rgb="FF00FFFF"/>
      <rgbColor rgb="FF800000"/>
      <rgbColor rgb="FF1E7B34"/>
      <rgbColor rgb="FF000080"/>
      <rgbColor rgb="FF7F5A00"/>
      <rgbColor rgb="FF800080"/>
      <rgbColor rgb="FF008080"/>
      <rgbColor rgb="FFBFBFBF"/>
      <rgbColor rgb="FF808080"/>
      <rgbColor rgb="FF9999FF"/>
      <rgbColor rgb="FF993366"/>
      <rgbColor rgb="FFFFF6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6E8C6"/>
      <rgbColor rgb="FFFFE699"/>
      <rgbColor rgb="FF99CCFF"/>
      <rgbColor rgb="FFFF99CC"/>
      <rgbColor rgb="FFCC99FF"/>
      <rgbColor rgb="FFF4B6B6"/>
      <rgbColor rgb="FF3366FF"/>
      <rgbColor rgb="FF33CCCC"/>
      <rgbColor rgb="FF99CC00"/>
      <rgbColor rgb="FFFFCC00"/>
      <rgbColor rgb="FFFF9900"/>
      <rgbColor rgb="FFFF6600"/>
      <rgbColor rgb="FF595959"/>
      <rgbColor rgb="FF969696"/>
      <rgbColor rgb="FF1F3864"/>
      <rgbColor rgb="FF339966"/>
      <rgbColor rgb="FF003300"/>
      <rgbColor rgb="FF333300"/>
      <rgbColor rgb="FFA6320F"/>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ables/table1.xml><?xml version="1.0" encoding="utf-8"?>
<table xmlns="http://schemas.openxmlformats.org/spreadsheetml/2006/main" id="1" name="AuditLog" displayName="AuditLog" ref="A6:Q506" headerRowCount="1" totalsRowCount="0" totalsRowShown="0">
  <autoFilter ref="A6:Q506"/>
  <tableColumns count="17">
    <tableColumn id="1" name="Scan Date"/>
    <tableColumn id="2" name="UPC"/>
    <tableColumn id="3" name="SKU"/>
    <tableColumn id="4" name="Product Name"/>
    <tableColumn id="5" name="Gender"/>
    <tableColumn id="6" name="Color"/>
    <tableColumn id="7" name="Size"/>
    <tableColumn id="8" name="Expected Qty"/>
    <tableColumn id="9" name="BOH Qty"/>
    <tableColumn id="10" name="Floor Qty"/>
    <tableColumn id="11" name="Total Counted Qty"/>
    <tableColumn id="12" name="Variance"/>
    <tableColumn id="13" name="Discrepancy Status"/>
    <tableColumn id="14" name="Auditor Initials"/>
    <tableColumn id="15" name="Check By User"/>
    <tableColumn id="16" name="Marked Out By User"/>
    <tableColumn id="17" name="Notes"/>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50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6"/>
    <col collapsed="false" customWidth="true" hidden="false" outlineLevel="0" max="3" min="3" style="0" width="14"/>
    <col collapsed="false" customWidth="true" hidden="false" outlineLevel="0" max="4" min="4" style="0" width="24"/>
    <col collapsed="false" customWidth="true" hidden="false" outlineLevel="0" max="5" min="5" style="0" width="10"/>
    <col collapsed="false" customWidth="true" hidden="false" outlineLevel="0" max="6" min="6" style="0" width="14"/>
    <col collapsed="false" customWidth="true" hidden="false" outlineLevel="0" max="7" min="7" style="0" width="8"/>
    <col collapsed="false" customWidth="true" hidden="false" outlineLevel="0" max="8" min="8" style="0" width="12"/>
    <col collapsed="false" customWidth="true" hidden="false" outlineLevel="0" max="10" min="9" style="0" width="10"/>
    <col collapsed="false" customWidth="true" hidden="false" outlineLevel="0" max="11" min="11" style="0" width="12"/>
    <col collapsed="false" customWidth="true" hidden="false" outlineLevel="0" max="12" min="12" style="0" width="10"/>
    <col collapsed="false" customWidth="true" hidden="false" outlineLevel="0" max="13" min="13" style="0" width="16"/>
    <col collapsed="false" customWidth="true" hidden="false" outlineLevel="0" max="14" min="14" style="0" width="10"/>
    <col collapsed="false" customWidth="true" hidden="false" outlineLevel="0" max="15" min="15" style="0" width="16"/>
    <col collapsed="false" customWidth="true" hidden="false" outlineLevel="0" max="16" min="16" style="0" width="18"/>
    <col collapsed="false" customWidth="true" hidden="false" outlineLevel="0" max="17" min="17" style="0" width="30"/>
    <col collapsed="false" customWidth="true" hidden="false" outlineLevel="0" max="19" min="19" style="0" width="26"/>
    <col collapsed="false" customWidth="true" hidden="false" outlineLevel="0" max="20" min="20" style="0" width="4"/>
    <col collapsed="false" customWidth="true" hidden="false" outlineLevel="0" max="21" min="21" style="0" width="3"/>
    <col collapsed="false" customWidth="true" hidden="false" outlineLevel="0" max="22" min="22" style="0" width="16"/>
    <col collapsed="false" customWidth="true" hidden="false" outlineLevel="0" max="23" min="23" style="0" width="22"/>
    <col collapsed="false" customWidth="true" hidden="false" outlineLevel="0" max="24" min="24" style="0" width="10"/>
    <col collapsed="false" customWidth="true" hidden="false" outlineLevel="0" max="25" min="25" style="0" width="13"/>
    <col collapsed="false" customWidth="true" hidden="false" outlineLevel="0" max="26" min="26" style="0" width="10"/>
    <col collapsed="false" customWidth="true" hidden="false" outlineLevel="0" max="27" min="27" style="0" width="14"/>
    <col collapsed="false" customWidth="true" hidden="false" outlineLevel="0" max="28" min="28" style="0" width="3"/>
    <col collapsed="false" customWidth="true" hidden="false" outlineLevel="0" max="29" min="29" style="0" width="16"/>
    <col collapsed="false" customWidth="true" hidden="false" outlineLevel="0" max="30" min="30" style="0" width="22"/>
    <col collapsed="false" customWidth="true" hidden="false" outlineLevel="0" max="31" min="31" style="0" width="10"/>
    <col collapsed="false" customWidth="true" hidden="false" outlineLevel="0" max="32" min="32" style="0" width="13"/>
    <col collapsed="false" customWidth="true" hidden="false" outlineLevel="0" max="33" min="33" style="0" width="10"/>
    <col collapsed="false" customWidth="true" hidden="false" outlineLevel="0" max="34" min="34" style="0" width="14"/>
    <col collapsed="false" customWidth="true" hidden="false" outlineLevel="0" max="35" min="35" style="0" width="3"/>
    <col collapsed="false" customWidth="true" hidden="false" outlineLevel="0" max="36" min="36" style="0" width="24"/>
    <col collapsed="false" customWidth="true" hidden="false" outlineLevel="0" max="37" min="37" style="0" width="10"/>
    <col collapsed="false" customWidth="true" hidden="false" outlineLevel="0" max="39" min="38" style="0" width="14"/>
    <col collapsed="false" customWidth="true" hidden="false" outlineLevel="0" max="40" min="40" style="0" width="12"/>
  </cols>
  <sheetData>
    <row r="1" customFormat="false" ht="24" hidden="false" customHeight="true" outlineLevel="0" collapsed="false">
      <c r="A1" s="1" t="s">
        <v>0</v>
      </c>
      <c r="B1" s="1"/>
      <c r="C1" s="1"/>
      <c r="D1" s="1"/>
      <c r="E1" s="1"/>
      <c r="F1" s="1"/>
      <c r="G1" s="1"/>
      <c r="H1" s="1"/>
      <c r="I1" s="1"/>
      <c r="J1" s="1"/>
      <c r="K1" s="1"/>
      <c r="L1" s="1"/>
      <c r="M1" s="1"/>
      <c r="N1" s="1"/>
      <c r="O1" s="1"/>
      <c r="P1" s="1"/>
      <c r="Q1" s="1"/>
      <c r="S1" s="2" t="s">
        <v>1</v>
      </c>
      <c r="T1" s="2"/>
      <c r="V1" s="3" t="s">
        <v>2</v>
      </c>
      <c r="W1" s="3"/>
      <c r="X1" s="3"/>
      <c r="Y1" s="3"/>
      <c r="Z1" s="3"/>
      <c r="AA1" s="3"/>
      <c r="AC1" s="4" t="s">
        <v>3</v>
      </c>
      <c r="AD1" s="4"/>
      <c r="AE1" s="4"/>
      <c r="AF1" s="4"/>
      <c r="AG1" s="4"/>
      <c r="AH1" s="4"/>
      <c r="AJ1" s="4" t="s">
        <v>4</v>
      </c>
      <c r="AK1" s="4"/>
      <c r="AL1" s="4"/>
      <c r="AM1" s="4"/>
      <c r="AN1" s="4"/>
    </row>
    <row r="2" customFormat="false" ht="42" hidden="false" customHeight="true" outlineLevel="0" collapsed="false">
      <c r="A2" s="5" t="s">
        <v>5</v>
      </c>
      <c r="B2" s="5"/>
      <c r="C2" s="5"/>
      <c r="D2" s="5"/>
      <c r="E2" s="5"/>
      <c r="F2" s="5"/>
      <c r="G2" s="5"/>
      <c r="H2" s="5"/>
      <c r="I2" s="5"/>
      <c r="J2" s="5"/>
      <c r="K2" s="5"/>
      <c r="L2" s="5"/>
      <c r="M2" s="5"/>
      <c r="N2" s="5"/>
      <c r="O2" s="5"/>
      <c r="P2" s="5"/>
      <c r="Q2" s="5"/>
      <c r="S2" s="6" t="s">
        <v>6</v>
      </c>
      <c r="T2" s="6"/>
      <c r="V2" s="6" t="s">
        <v>7</v>
      </c>
      <c r="W2" s="6"/>
      <c r="X2" s="6"/>
      <c r="Y2" s="6"/>
      <c r="Z2" s="6"/>
      <c r="AA2" s="6"/>
      <c r="AC2" s="6" t="s">
        <v>8</v>
      </c>
      <c r="AD2" s="6"/>
      <c r="AE2" s="6"/>
      <c r="AF2" s="6"/>
      <c r="AG2" s="6"/>
      <c r="AH2" s="6"/>
      <c r="AJ2" s="6" t="s">
        <v>9</v>
      </c>
      <c r="AK2" s="6"/>
      <c r="AL2" s="6"/>
      <c r="AM2" s="6"/>
      <c r="AN2" s="6"/>
    </row>
    <row r="3" customFormat="false" ht="15" hidden="false" customHeight="false" outlineLevel="0" collapsed="false">
      <c r="S3" s="7"/>
      <c r="V3" s="8" t="str">
        <f aca="false">"Pending: "&amp;SUMPRODUCT((V5:V254&lt;&gt;"")*(Z5:Z254&lt;&gt;TRUE()))</f>
        <v>Pending: 0</v>
      </c>
      <c r="W3" s="8"/>
      <c r="X3" s="8"/>
      <c r="Y3" s="8"/>
      <c r="Z3" s="8"/>
      <c r="AA3" s="8"/>
      <c r="AC3" s="9" t="str">
        <f aca="false">"Pending: "&amp;SUMPRODUCT((AC5:AC254&lt;&gt;"")*(AG5:AG254&lt;&gt;TRUE()))</f>
        <v>Pending: 0</v>
      </c>
      <c r="AD3" s="9"/>
      <c r="AE3" s="9"/>
      <c r="AF3" s="9"/>
      <c r="AG3" s="9"/>
      <c r="AH3" s="9"/>
      <c r="AJ3" s="9" t="str">
        <f aca="false">"Overdue: "&amp;COUNTA(AJ5:AJ254)&amp;" product(s)"</f>
        <v>Overdue: 0 product(s)</v>
      </c>
      <c r="AK3" s="9"/>
      <c r="AL3" s="9"/>
    </row>
    <row r="4" customFormat="false" ht="15" hidden="false" customHeight="false" outlineLevel="0" collapsed="false">
      <c r="A4" s="10" t="s">
        <v>10</v>
      </c>
      <c r="B4" s="11" t="s">
        <v>11</v>
      </c>
      <c r="S4" s="12"/>
      <c r="V4" s="13" t="s">
        <v>12</v>
      </c>
      <c r="W4" s="13" t="s">
        <v>13</v>
      </c>
      <c r="X4" s="13" t="s">
        <v>14</v>
      </c>
      <c r="Y4" s="13" t="s">
        <v>15</v>
      </c>
      <c r="Z4" s="13" t="s">
        <v>16</v>
      </c>
      <c r="AA4" s="13" t="s">
        <v>17</v>
      </c>
      <c r="AC4" s="13" t="s">
        <v>12</v>
      </c>
      <c r="AD4" s="13" t="s">
        <v>13</v>
      </c>
      <c r="AE4" s="13" t="s">
        <v>14</v>
      </c>
      <c r="AF4" s="13" t="s">
        <v>15</v>
      </c>
      <c r="AG4" s="13" t="s">
        <v>16</v>
      </c>
      <c r="AH4" s="13" t="s">
        <v>17</v>
      </c>
      <c r="AJ4" s="13" t="s">
        <v>18</v>
      </c>
      <c r="AK4" s="13" t="s">
        <v>19</v>
      </c>
      <c r="AL4" s="13" t="s">
        <v>20</v>
      </c>
      <c r="AM4" s="13" t="s">
        <v>21</v>
      </c>
      <c r="AN4" s="13" t="s">
        <v>22</v>
      </c>
    </row>
    <row r="5" customFormat="false" ht="15" hidden="false" customHeight="false" outlineLevel="0" collapsed="false">
      <c r="S5" s="12"/>
      <c r="V5" s="14"/>
      <c r="W5" s="14"/>
      <c r="X5" s="15"/>
      <c r="Y5" s="16"/>
      <c r="Z5" s="14"/>
      <c r="AA5" s="17"/>
      <c r="AC5" s="14"/>
      <c r="AD5" s="14"/>
      <c r="AE5" s="15"/>
      <c r="AF5" s="16"/>
      <c r="AG5" s="14"/>
      <c r="AH5" s="17"/>
      <c r="AJ5" s="14"/>
      <c r="AK5" s="14"/>
      <c r="AL5" s="14"/>
      <c r="AM5" s="17"/>
      <c r="AN5" s="15"/>
    </row>
    <row r="6" customFormat="false" ht="30" hidden="false" customHeight="true" outlineLevel="0" collapsed="false">
      <c r="A6" s="18" t="s">
        <v>23</v>
      </c>
      <c r="B6" s="18" t="s">
        <v>12</v>
      </c>
      <c r="C6" s="18" t="s">
        <v>24</v>
      </c>
      <c r="D6" s="18" t="s">
        <v>13</v>
      </c>
      <c r="E6" s="18" t="s">
        <v>19</v>
      </c>
      <c r="F6" s="18" t="s">
        <v>20</v>
      </c>
      <c r="G6" s="18" t="s">
        <v>25</v>
      </c>
      <c r="H6" s="18" t="s">
        <v>26</v>
      </c>
      <c r="I6" s="18" t="s">
        <v>27</v>
      </c>
      <c r="J6" s="18" t="s">
        <v>28</v>
      </c>
      <c r="K6" s="18" t="s">
        <v>29</v>
      </c>
      <c r="L6" s="18" t="s">
        <v>30</v>
      </c>
      <c r="M6" s="18" t="s">
        <v>31</v>
      </c>
      <c r="N6" s="18" t="s">
        <v>32</v>
      </c>
      <c r="O6" s="18" t="s">
        <v>33</v>
      </c>
      <c r="P6" s="18" t="s">
        <v>34</v>
      </c>
      <c r="Q6" s="18" t="s">
        <v>35</v>
      </c>
      <c r="S6" s="12"/>
      <c r="V6" s="14"/>
      <c r="W6" s="14"/>
      <c r="X6" s="15"/>
      <c r="Y6" s="16"/>
      <c r="Z6" s="14"/>
      <c r="AA6" s="17"/>
      <c r="AC6" s="14"/>
      <c r="AD6" s="14"/>
      <c r="AE6" s="15"/>
      <c r="AF6" s="16"/>
      <c r="AG6" s="14"/>
      <c r="AH6" s="17"/>
      <c r="AJ6" s="14"/>
      <c r="AK6" s="14"/>
      <c r="AL6" s="14"/>
      <c r="AM6" s="17"/>
      <c r="AN6" s="15"/>
    </row>
    <row r="7" customFormat="false" ht="15" hidden="false" customHeight="false" outlineLevel="0" collapsed="false">
      <c r="A7" s="19" t="n">
        <f aca="true">IF($B7="","",IF(AND(A7&lt;&gt;"",A7&lt;&gt;0),A7,TODAY()))</f>
        <v>46264</v>
      </c>
      <c r="B7" s="20" t="s">
        <v>36</v>
      </c>
      <c r="C7" s="21" t="s">
        <v>37</v>
      </c>
      <c r="D7" s="21" t="s">
        <v>38</v>
      </c>
      <c r="E7" s="21" t="s">
        <v>39</v>
      </c>
      <c r="F7" s="21" t="s">
        <v>40</v>
      </c>
      <c r="G7" s="21" t="s">
        <v>41</v>
      </c>
      <c r="H7" s="22" t="n">
        <v>9</v>
      </c>
      <c r="I7" s="22" t="n">
        <v>7</v>
      </c>
      <c r="J7" s="22" t="n">
        <v>1</v>
      </c>
      <c r="K7" s="23" t="n">
        <f aca="false">IF($B7="","",IF(AND(I7="",J7=""),"",I7+J7))</f>
        <v>8</v>
      </c>
      <c r="L7" s="23" t="n">
        <f aca="false">IF(OR($B7="",K7=""),"",K7-H7)</f>
        <v>-1</v>
      </c>
      <c r="M7" s="24" t="str">
        <f aca="false">IF($B7="","",IF(AND(I7="",J7=""),"Not Counted",IF(OR(I7="",J7=""),"Partially Counted",IF(L7=0,"Match",IF(L7&gt;0,"Overage","Shortage")))))</f>
        <v>Shortage</v>
      </c>
      <c r="N7" s="24" t="str">
        <f aca="false">IF($B7="","",IF(AND(N7&lt;&gt;"",N7&lt;&gt;0),N7,$B$4))</f>
        <v>JS</v>
      </c>
      <c r="O7" s="21" t="s">
        <v>42</v>
      </c>
      <c r="P7" s="21"/>
      <c r="Q7" s="21" t="s">
        <v>43</v>
      </c>
      <c r="S7" s="12"/>
      <c r="V7" s="14"/>
      <c r="W7" s="14"/>
      <c r="X7" s="15"/>
      <c r="Y7" s="16"/>
      <c r="Z7" s="14"/>
      <c r="AA7" s="17"/>
      <c r="AC7" s="14"/>
      <c r="AD7" s="14"/>
      <c r="AE7" s="15"/>
      <c r="AF7" s="16"/>
      <c r="AG7" s="14"/>
      <c r="AH7" s="17"/>
      <c r="AJ7" s="14"/>
      <c r="AK7" s="14"/>
      <c r="AL7" s="14"/>
      <c r="AM7" s="17"/>
      <c r="AN7" s="15"/>
    </row>
    <row r="8" customFormat="false" ht="15" hidden="false" customHeight="false" outlineLevel="0" collapsed="false">
      <c r="A8" s="19" t="n">
        <f aca="true">TODAY()-20</f>
        <v>46244</v>
      </c>
      <c r="B8" s="20" t="s">
        <v>44</v>
      </c>
      <c r="C8" s="21" t="s">
        <v>45</v>
      </c>
      <c r="D8" s="21" t="s">
        <v>46</v>
      </c>
      <c r="E8" s="21" t="s">
        <v>39</v>
      </c>
      <c r="F8" s="21" t="s">
        <v>40</v>
      </c>
      <c r="G8" s="21" t="s">
        <v>47</v>
      </c>
      <c r="H8" s="22" t="n">
        <v>6</v>
      </c>
      <c r="I8" s="22" t="n">
        <v>6</v>
      </c>
      <c r="J8" s="22" t="n">
        <v>0</v>
      </c>
      <c r="K8" s="23" t="n">
        <f aca="false">IF($B8="","",IF(AND(I8="",J8=""),"",I8+J8))</f>
        <v>6</v>
      </c>
      <c r="L8" s="23" t="n">
        <f aca="false">IF(OR($B8="",K8=""),"",K8-H8)</f>
        <v>0</v>
      </c>
      <c r="M8" s="24" t="str">
        <f aca="false">IF($B8="","",IF(AND(I8="",J8=""),"Not Counted",IF(OR(I8="",J8=""),"Partially Counted",IF(L8=0,"Match",IF(L8&gt;0,"Overage","Shortage")))))</f>
        <v>Match</v>
      </c>
      <c r="N8" s="24" t="str">
        <f aca="false">IF($B8="","",IF(AND(N8&lt;&gt;"",N8&lt;&gt;0),N8,$B$4))</f>
        <v>JS</v>
      </c>
      <c r="O8" s="21" t="s">
        <v>48</v>
      </c>
      <c r="P8" s="21"/>
      <c r="Q8" s="21" t="s">
        <v>49</v>
      </c>
      <c r="S8" s="12"/>
      <c r="V8" s="14"/>
      <c r="W8" s="14"/>
      <c r="X8" s="15"/>
      <c r="Y8" s="16"/>
      <c r="Z8" s="14"/>
      <c r="AA8" s="17"/>
      <c r="AC8" s="14"/>
      <c r="AD8" s="14"/>
      <c r="AE8" s="15"/>
      <c r="AF8" s="16"/>
      <c r="AG8" s="14"/>
      <c r="AH8" s="17"/>
      <c r="AJ8" s="14"/>
      <c r="AK8" s="14"/>
      <c r="AL8" s="14"/>
      <c r="AM8" s="17"/>
      <c r="AN8" s="15"/>
    </row>
    <row r="9" customFormat="false" ht="15" hidden="false" customHeight="false" outlineLevel="0" collapsed="false">
      <c r="A9" s="19" t="n">
        <f aca="true">TODAY()-35</f>
        <v>46229</v>
      </c>
      <c r="B9" s="20" t="s">
        <v>50</v>
      </c>
      <c r="C9" s="21" t="s">
        <v>51</v>
      </c>
      <c r="D9" s="21" t="s">
        <v>52</v>
      </c>
      <c r="E9" s="21" t="s">
        <v>39</v>
      </c>
      <c r="F9" s="21" t="s">
        <v>53</v>
      </c>
      <c r="G9" s="21" t="s">
        <v>39</v>
      </c>
      <c r="H9" s="22" t="n">
        <v>5</v>
      </c>
      <c r="I9" s="22" t="n">
        <v>3</v>
      </c>
      <c r="J9" s="22" t="n">
        <v>1</v>
      </c>
      <c r="K9" s="23" t="n">
        <f aca="false">IF($B9="","",IF(AND(I9="",J9=""),"",I9+J9))</f>
        <v>4</v>
      </c>
      <c r="L9" s="23" t="n">
        <f aca="false">IF(OR($B9="",K9=""),"",K9-H9)</f>
        <v>-1</v>
      </c>
      <c r="M9" s="24" t="str">
        <f aca="false">IF($B9="","",IF(AND(I9="",J9=""),"Not Counted",IF(OR(I9="",J9=""),"Partially Counted",IF(L9=0,"Match",IF(L9&gt;0,"Overage","Shortage")))))</f>
        <v>Shortage</v>
      </c>
      <c r="N9" s="24" t="str">
        <f aca="false">IF($B9="","",IF(AND(N9&lt;&gt;"",N9&lt;&gt;0),N9,$B$4))</f>
        <v>JS</v>
      </c>
      <c r="O9" s="21" t="s">
        <v>48</v>
      </c>
      <c r="P9" s="21" t="s">
        <v>54</v>
      </c>
      <c r="Q9" s="21" t="s">
        <v>55</v>
      </c>
      <c r="S9" s="12"/>
      <c r="V9" s="14"/>
      <c r="W9" s="14"/>
      <c r="X9" s="15"/>
      <c r="Y9" s="16"/>
      <c r="Z9" s="14"/>
      <c r="AA9" s="17"/>
      <c r="AC9" s="14"/>
      <c r="AD9" s="14"/>
      <c r="AE9" s="15"/>
      <c r="AF9" s="16"/>
      <c r="AG9" s="14"/>
      <c r="AH9" s="17"/>
      <c r="AJ9" s="14"/>
      <c r="AK9" s="14"/>
      <c r="AL9" s="14"/>
      <c r="AM9" s="17"/>
      <c r="AN9" s="15"/>
    </row>
    <row r="10" customFormat="false" ht="15" hidden="false" customHeight="false" outlineLevel="0" collapsed="false">
      <c r="A10" s="19" t="str">
        <f aca="true">IF($B10="","",IF(AND(A10&lt;&gt;"",A10&lt;&gt;0),A10,TODAY()))</f>
        <v/>
      </c>
      <c r="B10" s="20"/>
      <c r="C10" s="21"/>
      <c r="D10" s="21"/>
      <c r="E10" s="21"/>
      <c r="F10" s="21"/>
      <c r="G10" s="21"/>
      <c r="H10" s="22"/>
      <c r="I10" s="22"/>
      <c r="J10" s="22"/>
      <c r="K10" s="23" t="str">
        <f aca="false">IF($B10="","",IF(AND(I10="",J10=""),"",I10+J10))</f>
        <v/>
      </c>
      <c r="L10" s="23" t="str">
        <f aca="false">IF(OR($B10="",K10=""),"",K10-H10)</f>
        <v/>
      </c>
      <c r="M10" s="24" t="str">
        <f aca="false">IF($B10="","",IF(AND(I10="",J10=""),"Not Counted",IF(OR(I10="",J10=""),"Partially Counted",IF(L10=0,"Match",IF(L10&gt;0,"Overage","Shortage")))))</f>
        <v/>
      </c>
      <c r="N10" s="24" t="str">
        <f aca="false">IF($B10="","",IF(AND(N10&lt;&gt;"",N10&lt;&gt;0),N10,$B$4))</f>
        <v/>
      </c>
      <c r="O10" s="21"/>
      <c r="P10" s="21"/>
      <c r="Q10" s="21"/>
      <c r="S10" s="12"/>
      <c r="V10" s="14"/>
      <c r="W10" s="14"/>
      <c r="X10" s="15"/>
      <c r="Y10" s="16"/>
      <c r="Z10" s="14"/>
      <c r="AA10" s="17"/>
      <c r="AC10" s="14"/>
      <c r="AD10" s="14"/>
      <c r="AE10" s="15"/>
      <c r="AF10" s="16"/>
      <c r="AG10" s="14"/>
      <c r="AH10" s="17"/>
      <c r="AJ10" s="14"/>
      <c r="AK10" s="14"/>
      <c r="AL10" s="14"/>
      <c r="AM10" s="17"/>
      <c r="AN10" s="15"/>
    </row>
    <row r="11" customFormat="false" ht="15" hidden="false" customHeight="false" outlineLevel="0" collapsed="false">
      <c r="A11" s="19" t="str">
        <f aca="true">IF($B11="","",IF(AND(A11&lt;&gt;"",A11&lt;&gt;0),A11,TODAY()))</f>
        <v/>
      </c>
      <c r="B11" s="20"/>
      <c r="C11" s="21"/>
      <c r="D11" s="21"/>
      <c r="E11" s="21"/>
      <c r="F11" s="21"/>
      <c r="G11" s="21"/>
      <c r="H11" s="22"/>
      <c r="I11" s="22"/>
      <c r="J11" s="22"/>
      <c r="K11" s="23" t="str">
        <f aca="false">IF($B11="","",IF(AND(I11="",J11=""),"",I11+J11))</f>
        <v/>
      </c>
      <c r="L11" s="23" t="str">
        <f aca="false">IF(OR($B11="",K11=""),"",K11-H11)</f>
        <v/>
      </c>
      <c r="M11" s="24" t="str">
        <f aca="false">IF($B11="","",IF(AND(I11="",J11=""),"Not Counted",IF(OR(I11="",J11=""),"Partially Counted",IF(L11=0,"Match",IF(L11&gt;0,"Overage","Shortage")))))</f>
        <v/>
      </c>
      <c r="N11" s="24" t="str">
        <f aca="false">IF($B11="","",IF(AND(N11&lt;&gt;"",N11&lt;&gt;0),N11,$B$4))</f>
        <v/>
      </c>
      <c r="O11" s="21"/>
      <c r="P11" s="21"/>
      <c r="Q11" s="21"/>
      <c r="S11" s="12"/>
      <c r="V11" s="14"/>
      <c r="W11" s="14"/>
      <c r="X11" s="15"/>
      <c r="Y11" s="16"/>
      <c r="Z11" s="14"/>
      <c r="AA11" s="17"/>
      <c r="AC11" s="14"/>
      <c r="AD11" s="14"/>
      <c r="AE11" s="15"/>
      <c r="AF11" s="16"/>
      <c r="AG11" s="14"/>
      <c r="AH11" s="17"/>
      <c r="AJ11" s="14"/>
      <c r="AK11" s="14"/>
      <c r="AL11" s="14"/>
      <c r="AM11" s="17"/>
      <c r="AN11" s="15"/>
    </row>
    <row r="12" customFormat="false" ht="15" hidden="false" customHeight="false" outlineLevel="0" collapsed="false">
      <c r="A12" s="19" t="str">
        <f aca="true">IF($B12="","",IF(AND(A12&lt;&gt;"",A12&lt;&gt;0),A12,TODAY()))</f>
        <v/>
      </c>
      <c r="B12" s="20"/>
      <c r="C12" s="21"/>
      <c r="D12" s="21"/>
      <c r="E12" s="21"/>
      <c r="F12" s="21"/>
      <c r="G12" s="21"/>
      <c r="H12" s="22"/>
      <c r="I12" s="22"/>
      <c r="J12" s="22"/>
      <c r="K12" s="23" t="str">
        <f aca="false">IF($B12="","",IF(AND(I12="",J12=""),"",I12+J12))</f>
        <v/>
      </c>
      <c r="L12" s="23" t="str">
        <f aca="false">IF(OR($B12="",K12=""),"",K12-H12)</f>
        <v/>
      </c>
      <c r="M12" s="24" t="str">
        <f aca="false">IF($B12="","",IF(AND(I12="",J12=""),"Not Counted",IF(OR(I12="",J12=""),"Partially Counted",IF(L12=0,"Match",IF(L12&gt;0,"Overage","Shortage")))))</f>
        <v/>
      </c>
      <c r="N12" s="24" t="str">
        <f aca="false">IF($B12="","",IF(AND(N12&lt;&gt;"",N12&lt;&gt;0),N12,$B$4))</f>
        <v/>
      </c>
      <c r="O12" s="21"/>
      <c r="P12" s="21"/>
      <c r="Q12" s="21"/>
      <c r="S12" s="12"/>
      <c r="V12" s="14"/>
      <c r="W12" s="14"/>
      <c r="X12" s="15"/>
      <c r="Y12" s="16"/>
      <c r="Z12" s="14"/>
      <c r="AA12" s="17"/>
      <c r="AC12" s="14"/>
      <c r="AD12" s="14"/>
      <c r="AE12" s="15"/>
      <c r="AF12" s="16"/>
      <c r="AG12" s="14"/>
      <c r="AH12" s="17"/>
      <c r="AJ12" s="14"/>
      <c r="AK12" s="14"/>
      <c r="AL12" s="14"/>
      <c r="AM12" s="17"/>
      <c r="AN12" s="15"/>
    </row>
    <row r="13" customFormat="false" ht="15" hidden="false" customHeight="false" outlineLevel="0" collapsed="false">
      <c r="A13" s="19" t="str">
        <f aca="true">IF($B13="","",IF(AND(A13&lt;&gt;"",A13&lt;&gt;0),A13,TODAY()))</f>
        <v/>
      </c>
      <c r="B13" s="20"/>
      <c r="C13" s="21"/>
      <c r="D13" s="21"/>
      <c r="E13" s="21"/>
      <c r="F13" s="21"/>
      <c r="G13" s="21"/>
      <c r="H13" s="22"/>
      <c r="I13" s="22"/>
      <c r="J13" s="22"/>
      <c r="K13" s="23" t="str">
        <f aca="false">IF($B13="","",IF(AND(I13="",J13=""),"",I13+J13))</f>
        <v/>
      </c>
      <c r="L13" s="23" t="str">
        <f aca="false">IF(OR($B13="",K13=""),"",K13-H13)</f>
        <v/>
      </c>
      <c r="M13" s="24" t="str">
        <f aca="false">IF($B13="","",IF(AND(I13="",J13=""),"Not Counted",IF(OR(I13="",J13=""),"Partially Counted",IF(L13=0,"Match",IF(L13&gt;0,"Overage","Shortage")))))</f>
        <v/>
      </c>
      <c r="N13" s="24" t="str">
        <f aca="false">IF($B13="","",IF(AND(N13&lt;&gt;"",N13&lt;&gt;0),N13,$B$4))</f>
        <v/>
      </c>
      <c r="O13" s="21"/>
      <c r="P13" s="21"/>
      <c r="Q13" s="21"/>
      <c r="S13" s="12"/>
      <c r="V13" s="14"/>
      <c r="W13" s="14"/>
      <c r="X13" s="15"/>
      <c r="Y13" s="16"/>
      <c r="Z13" s="14"/>
      <c r="AA13" s="17"/>
      <c r="AC13" s="14"/>
      <c r="AD13" s="14"/>
      <c r="AE13" s="15"/>
      <c r="AF13" s="16"/>
      <c r="AG13" s="14"/>
      <c r="AH13" s="17"/>
      <c r="AJ13" s="14"/>
      <c r="AK13" s="14"/>
      <c r="AL13" s="14"/>
      <c r="AM13" s="17"/>
      <c r="AN13" s="15"/>
    </row>
    <row r="14" customFormat="false" ht="15" hidden="false" customHeight="false" outlineLevel="0" collapsed="false">
      <c r="A14" s="19" t="str">
        <f aca="true">IF($B14="","",IF(AND(A14&lt;&gt;"",A14&lt;&gt;0),A14,TODAY()))</f>
        <v/>
      </c>
      <c r="B14" s="20"/>
      <c r="C14" s="21"/>
      <c r="D14" s="21"/>
      <c r="E14" s="21"/>
      <c r="F14" s="21"/>
      <c r="G14" s="21"/>
      <c r="H14" s="22"/>
      <c r="I14" s="22"/>
      <c r="J14" s="22"/>
      <c r="K14" s="23" t="str">
        <f aca="false">IF($B14="","",IF(AND(I14="",J14=""),"",I14+J14))</f>
        <v/>
      </c>
      <c r="L14" s="23" t="str">
        <f aca="false">IF(OR($B14="",K14=""),"",K14-H14)</f>
        <v/>
      </c>
      <c r="M14" s="24" t="str">
        <f aca="false">IF($B14="","",IF(AND(I14="",J14=""),"Not Counted",IF(OR(I14="",J14=""),"Partially Counted",IF(L14=0,"Match",IF(L14&gt;0,"Overage","Shortage")))))</f>
        <v/>
      </c>
      <c r="N14" s="24" t="str">
        <f aca="false">IF($B14="","",IF(AND(N14&lt;&gt;"",N14&lt;&gt;0),N14,$B$4))</f>
        <v/>
      </c>
      <c r="O14" s="21"/>
      <c r="P14" s="21"/>
      <c r="Q14" s="21"/>
      <c r="S14" s="12"/>
      <c r="V14" s="14"/>
      <c r="W14" s="14"/>
      <c r="X14" s="15"/>
      <c r="Y14" s="16"/>
      <c r="Z14" s="14"/>
      <c r="AA14" s="17"/>
      <c r="AC14" s="14"/>
      <c r="AD14" s="14"/>
      <c r="AE14" s="15"/>
      <c r="AF14" s="16"/>
      <c r="AG14" s="14"/>
      <c r="AH14" s="17"/>
      <c r="AJ14" s="14"/>
      <c r="AK14" s="14"/>
      <c r="AL14" s="14"/>
      <c r="AM14" s="17"/>
      <c r="AN14" s="15"/>
    </row>
    <row r="15" customFormat="false" ht="15" hidden="false" customHeight="false" outlineLevel="0" collapsed="false">
      <c r="A15" s="19" t="str">
        <f aca="true">IF($B15="","",IF(AND(A15&lt;&gt;"",A15&lt;&gt;0),A15,TODAY()))</f>
        <v/>
      </c>
      <c r="B15" s="20"/>
      <c r="C15" s="21"/>
      <c r="D15" s="21"/>
      <c r="E15" s="21"/>
      <c r="F15" s="21"/>
      <c r="G15" s="21"/>
      <c r="H15" s="22"/>
      <c r="I15" s="22"/>
      <c r="J15" s="22"/>
      <c r="K15" s="23" t="str">
        <f aca="false">IF($B15="","",IF(AND(I15="",J15=""),"",I15+J15))</f>
        <v/>
      </c>
      <c r="L15" s="23" t="str">
        <f aca="false">IF(OR($B15="",K15=""),"",K15-H15)</f>
        <v/>
      </c>
      <c r="M15" s="24" t="str">
        <f aca="false">IF($B15="","",IF(AND(I15="",J15=""),"Not Counted",IF(OR(I15="",J15=""),"Partially Counted",IF(L15=0,"Match",IF(L15&gt;0,"Overage","Shortage")))))</f>
        <v/>
      </c>
      <c r="N15" s="24" t="str">
        <f aca="false">IF($B15="","",IF(AND(N15&lt;&gt;"",N15&lt;&gt;0),N15,$B$4))</f>
        <v/>
      </c>
      <c r="O15" s="21"/>
      <c r="P15" s="21"/>
      <c r="Q15" s="21"/>
      <c r="S15" s="12"/>
      <c r="V15" s="14"/>
      <c r="W15" s="14"/>
      <c r="X15" s="15"/>
      <c r="Y15" s="16"/>
      <c r="Z15" s="14"/>
      <c r="AA15" s="17"/>
      <c r="AC15" s="14"/>
      <c r="AD15" s="14"/>
      <c r="AE15" s="15"/>
      <c r="AF15" s="16"/>
      <c r="AG15" s="14"/>
      <c r="AH15" s="17"/>
      <c r="AJ15" s="14"/>
      <c r="AK15" s="14"/>
      <c r="AL15" s="14"/>
      <c r="AM15" s="17"/>
      <c r="AN15" s="15"/>
    </row>
    <row r="16" customFormat="false" ht="15" hidden="false" customHeight="false" outlineLevel="0" collapsed="false">
      <c r="A16" s="19" t="str">
        <f aca="true">IF($B16="","",IF(AND(A16&lt;&gt;"",A16&lt;&gt;0),A16,TODAY()))</f>
        <v/>
      </c>
      <c r="B16" s="20"/>
      <c r="C16" s="21"/>
      <c r="D16" s="21"/>
      <c r="E16" s="21"/>
      <c r="F16" s="21"/>
      <c r="G16" s="21"/>
      <c r="H16" s="22"/>
      <c r="I16" s="22"/>
      <c r="J16" s="22"/>
      <c r="K16" s="23" t="str">
        <f aca="false">IF($B16="","",IF(AND(I16="",J16=""),"",I16+J16))</f>
        <v/>
      </c>
      <c r="L16" s="23" t="str">
        <f aca="false">IF(OR($B16="",K16=""),"",K16-H16)</f>
        <v/>
      </c>
      <c r="M16" s="24" t="str">
        <f aca="false">IF($B16="","",IF(AND(I16="",J16=""),"Not Counted",IF(OR(I16="",J16=""),"Partially Counted",IF(L16=0,"Match",IF(L16&gt;0,"Overage","Shortage")))))</f>
        <v/>
      </c>
      <c r="N16" s="24" t="str">
        <f aca="false">IF($B16="","",IF(AND(N16&lt;&gt;"",N16&lt;&gt;0),N16,$B$4))</f>
        <v/>
      </c>
      <c r="O16" s="21"/>
      <c r="P16" s="21"/>
      <c r="Q16" s="21"/>
      <c r="S16" s="12"/>
      <c r="V16" s="14"/>
      <c r="W16" s="14"/>
      <c r="X16" s="15"/>
      <c r="Y16" s="16"/>
      <c r="Z16" s="14"/>
      <c r="AA16" s="17"/>
      <c r="AC16" s="14"/>
      <c r="AD16" s="14"/>
      <c r="AE16" s="15"/>
      <c r="AF16" s="16"/>
      <c r="AG16" s="14"/>
      <c r="AH16" s="17"/>
      <c r="AJ16" s="14"/>
      <c r="AK16" s="14"/>
      <c r="AL16" s="14"/>
      <c r="AM16" s="17"/>
      <c r="AN16" s="15"/>
    </row>
    <row r="17" customFormat="false" ht="15" hidden="false" customHeight="false" outlineLevel="0" collapsed="false">
      <c r="A17" s="19" t="str">
        <f aca="true">IF($B17="","",IF(AND(A17&lt;&gt;"",A17&lt;&gt;0),A17,TODAY()))</f>
        <v/>
      </c>
      <c r="B17" s="20"/>
      <c r="C17" s="21"/>
      <c r="D17" s="21"/>
      <c r="E17" s="21"/>
      <c r="F17" s="21"/>
      <c r="G17" s="21"/>
      <c r="H17" s="22"/>
      <c r="I17" s="22"/>
      <c r="J17" s="22"/>
      <c r="K17" s="23" t="str">
        <f aca="false">IF($B17="","",IF(AND(I17="",J17=""),"",I17+J17))</f>
        <v/>
      </c>
      <c r="L17" s="23" t="str">
        <f aca="false">IF(OR($B17="",K17=""),"",K17-H17)</f>
        <v/>
      </c>
      <c r="M17" s="24" t="str">
        <f aca="false">IF($B17="","",IF(AND(I17="",J17=""),"Not Counted",IF(OR(I17="",J17=""),"Partially Counted",IF(L17=0,"Match",IF(L17&gt;0,"Overage","Shortage")))))</f>
        <v/>
      </c>
      <c r="N17" s="24" t="str">
        <f aca="false">IF($B17="","",IF(AND(N17&lt;&gt;"",N17&lt;&gt;0),N17,$B$4))</f>
        <v/>
      </c>
      <c r="O17" s="21"/>
      <c r="P17" s="21"/>
      <c r="Q17" s="21"/>
      <c r="S17" s="12"/>
      <c r="V17" s="14"/>
      <c r="W17" s="14"/>
      <c r="X17" s="15"/>
      <c r="Y17" s="16"/>
      <c r="Z17" s="14"/>
      <c r="AA17" s="17"/>
      <c r="AC17" s="14"/>
      <c r="AD17" s="14"/>
      <c r="AE17" s="15"/>
      <c r="AF17" s="16"/>
      <c r="AG17" s="14"/>
      <c r="AH17" s="17"/>
      <c r="AJ17" s="14"/>
      <c r="AK17" s="14"/>
      <c r="AL17" s="14"/>
      <c r="AM17" s="17"/>
      <c r="AN17" s="15"/>
    </row>
    <row r="18" customFormat="false" ht="15" hidden="false" customHeight="false" outlineLevel="0" collapsed="false">
      <c r="A18" s="19" t="str">
        <f aca="true">IF($B18="","",IF(AND(A18&lt;&gt;"",A18&lt;&gt;0),A18,TODAY()))</f>
        <v/>
      </c>
      <c r="B18" s="20"/>
      <c r="C18" s="21"/>
      <c r="D18" s="21"/>
      <c r="E18" s="21"/>
      <c r="F18" s="21"/>
      <c r="G18" s="21"/>
      <c r="H18" s="22"/>
      <c r="I18" s="22"/>
      <c r="J18" s="22"/>
      <c r="K18" s="23" t="str">
        <f aca="false">IF($B18="","",IF(AND(I18="",J18=""),"",I18+J18))</f>
        <v/>
      </c>
      <c r="L18" s="23" t="str">
        <f aca="false">IF(OR($B18="",K18=""),"",K18-H18)</f>
        <v/>
      </c>
      <c r="M18" s="24" t="str">
        <f aca="false">IF($B18="","",IF(AND(I18="",J18=""),"Not Counted",IF(OR(I18="",J18=""),"Partially Counted",IF(L18=0,"Match",IF(L18&gt;0,"Overage","Shortage")))))</f>
        <v/>
      </c>
      <c r="N18" s="24" t="str">
        <f aca="false">IF($B18="","",IF(AND(N18&lt;&gt;"",N18&lt;&gt;0),N18,$B$4))</f>
        <v/>
      </c>
      <c r="O18" s="21"/>
      <c r="P18" s="21"/>
      <c r="Q18" s="21"/>
      <c r="S18" s="12"/>
      <c r="V18" s="14"/>
      <c r="W18" s="14"/>
      <c r="X18" s="15"/>
      <c r="Y18" s="16"/>
      <c r="Z18" s="14"/>
      <c r="AA18" s="17"/>
      <c r="AC18" s="14"/>
      <c r="AD18" s="14"/>
      <c r="AE18" s="15"/>
      <c r="AF18" s="16"/>
      <c r="AG18" s="14"/>
      <c r="AH18" s="17"/>
      <c r="AJ18" s="14"/>
      <c r="AK18" s="14"/>
      <c r="AL18" s="14"/>
      <c r="AM18" s="17"/>
      <c r="AN18" s="15"/>
    </row>
    <row r="19" customFormat="false" ht="15" hidden="false" customHeight="false" outlineLevel="0" collapsed="false">
      <c r="A19" s="19" t="str">
        <f aca="true">IF($B19="","",IF(AND(A19&lt;&gt;"",A19&lt;&gt;0),A19,TODAY()))</f>
        <v/>
      </c>
      <c r="B19" s="20"/>
      <c r="C19" s="21"/>
      <c r="D19" s="21"/>
      <c r="E19" s="21"/>
      <c r="F19" s="21"/>
      <c r="G19" s="21"/>
      <c r="H19" s="22"/>
      <c r="I19" s="22"/>
      <c r="J19" s="22"/>
      <c r="K19" s="23" t="str">
        <f aca="false">IF($B19="","",IF(AND(I19="",J19=""),"",I19+J19))</f>
        <v/>
      </c>
      <c r="L19" s="23" t="str">
        <f aca="false">IF(OR($B19="",K19=""),"",K19-H19)</f>
        <v/>
      </c>
      <c r="M19" s="24" t="str">
        <f aca="false">IF($B19="","",IF(AND(I19="",J19=""),"Not Counted",IF(OR(I19="",J19=""),"Partially Counted",IF(L19=0,"Match",IF(L19&gt;0,"Overage","Shortage")))))</f>
        <v/>
      </c>
      <c r="N19" s="24" t="str">
        <f aca="false">IF($B19="","",IF(AND(N19&lt;&gt;"",N19&lt;&gt;0),N19,$B$4))</f>
        <v/>
      </c>
      <c r="O19" s="21"/>
      <c r="P19" s="21"/>
      <c r="Q19" s="21"/>
      <c r="S19" s="12"/>
      <c r="V19" s="14"/>
      <c r="W19" s="14"/>
      <c r="X19" s="15"/>
      <c r="Y19" s="16"/>
      <c r="Z19" s="14"/>
      <c r="AA19" s="17"/>
      <c r="AC19" s="14"/>
      <c r="AD19" s="14"/>
      <c r="AE19" s="15"/>
      <c r="AF19" s="16"/>
      <c r="AG19" s="14"/>
      <c r="AH19" s="17"/>
      <c r="AJ19" s="14"/>
      <c r="AK19" s="14"/>
      <c r="AL19" s="14"/>
      <c r="AM19" s="17"/>
      <c r="AN19" s="15"/>
    </row>
    <row r="20" customFormat="false" ht="15" hidden="false" customHeight="false" outlineLevel="0" collapsed="false">
      <c r="A20" s="19" t="str">
        <f aca="true">IF($B20="","",IF(AND(A20&lt;&gt;"",A20&lt;&gt;0),A20,TODAY()))</f>
        <v/>
      </c>
      <c r="B20" s="20"/>
      <c r="C20" s="21"/>
      <c r="D20" s="21"/>
      <c r="E20" s="21"/>
      <c r="F20" s="21"/>
      <c r="G20" s="21"/>
      <c r="H20" s="22"/>
      <c r="I20" s="22"/>
      <c r="J20" s="22"/>
      <c r="K20" s="23" t="str">
        <f aca="false">IF($B20="","",IF(AND(I20="",J20=""),"",I20+J20))</f>
        <v/>
      </c>
      <c r="L20" s="23" t="str">
        <f aca="false">IF(OR($B20="",K20=""),"",K20-H20)</f>
        <v/>
      </c>
      <c r="M20" s="24" t="str">
        <f aca="false">IF($B20="","",IF(AND(I20="",J20=""),"Not Counted",IF(OR(I20="",J20=""),"Partially Counted",IF(L20=0,"Match",IF(L20&gt;0,"Overage","Shortage")))))</f>
        <v/>
      </c>
      <c r="N20" s="24" t="str">
        <f aca="false">IF($B20="","",IF(AND(N20&lt;&gt;"",N20&lt;&gt;0),N20,$B$4))</f>
        <v/>
      </c>
      <c r="O20" s="21"/>
      <c r="P20" s="21"/>
      <c r="Q20" s="21"/>
      <c r="S20" s="12"/>
      <c r="V20" s="14"/>
      <c r="W20" s="14"/>
      <c r="X20" s="15"/>
      <c r="Y20" s="16"/>
      <c r="Z20" s="14"/>
      <c r="AA20" s="17"/>
      <c r="AC20" s="14"/>
      <c r="AD20" s="14"/>
      <c r="AE20" s="15"/>
      <c r="AF20" s="16"/>
      <c r="AG20" s="14"/>
      <c r="AH20" s="17"/>
      <c r="AJ20" s="14"/>
      <c r="AK20" s="14"/>
      <c r="AL20" s="14"/>
      <c r="AM20" s="17"/>
      <c r="AN20" s="15"/>
    </row>
    <row r="21" customFormat="false" ht="15" hidden="false" customHeight="false" outlineLevel="0" collapsed="false">
      <c r="A21" s="19" t="str">
        <f aca="true">IF($B21="","",IF(AND(A21&lt;&gt;"",A21&lt;&gt;0),A21,TODAY()))</f>
        <v/>
      </c>
      <c r="B21" s="20"/>
      <c r="C21" s="21"/>
      <c r="D21" s="21"/>
      <c r="E21" s="21"/>
      <c r="F21" s="21"/>
      <c r="G21" s="21"/>
      <c r="H21" s="22"/>
      <c r="I21" s="22"/>
      <c r="J21" s="22"/>
      <c r="K21" s="23" t="str">
        <f aca="false">IF($B21="","",IF(AND(I21="",J21=""),"",I21+J21))</f>
        <v/>
      </c>
      <c r="L21" s="23" t="str">
        <f aca="false">IF(OR($B21="",K21=""),"",K21-H21)</f>
        <v/>
      </c>
      <c r="M21" s="24" t="str">
        <f aca="false">IF($B21="","",IF(AND(I21="",J21=""),"Not Counted",IF(OR(I21="",J21=""),"Partially Counted",IF(L21=0,"Match",IF(L21&gt;0,"Overage","Shortage")))))</f>
        <v/>
      </c>
      <c r="N21" s="24" t="str">
        <f aca="false">IF($B21="","",IF(AND(N21&lt;&gt;"",N21&lt;&gt;0),N21,$B$4))</f>
        <v/>
      </c>
      <c r="O21" s="21"/>
      <c r="P21" s="21"/>
      <c r="Q21" s="21"/>
      <c r="S21" s="12"/>
      <c r="V21" s="14"/>
      <c r="W21" s="14"/>
      <c r="X21" s="15"/>
      <c r="Y21" s="16"/>
      <c r="Z21" s="14"/>
      <c r="AA21" s="17"/>
      <c r="AC21" s="14"/>
      <c r="AD21" s="14"/>
      <c r="AE21" s="15"/>
      <c r="AF21" s="16"/>
      <c r="AG21" s="14"/>
      <c r="AH21" s="17"/>
      <c r="AJ21" s="14"/>
      <c r="AK21" s="14"/>
      <c r="AL21" s="14"/>
      <c r="AM21" s="17"/>
      <c r="AN21" s="15"/>
    </row>
    <row r="22" customFormat="false" ht="15" hidden="false" customHeight="false" outlineLevel="0" collapsed="false">
      <c r="A22" s="19" t="str">
        <f aca="true">IF($B22="","",IF(AND(A22&lt;&gt;"",A22&lt;&gt;0),A22,TODAY()))</f>
        <v/>
      </c>
      <c r="B22" s="20"/>
      <c r="C22" s="21"/>
      <c r="D22" s="21"/>
      <c r="E22" s="21"/>
      <c r="F22" s="21"/>
      <c r="G22" s="21"/>
      <c r="H22" s="22"/>
      <c r="I22" s="22"/>
      <c r="J22" s="22"/>
      <c r="K22" s="23" t="str">
        <f aca="false">IF($B22="","",IF(AND(I22="",J22=""),"",I22+J22))</f>
        <v/>
      </c>
      <c r="L22" s="23" t="str">
        <f aca="false">IF(OR($B22="",K22=""),"",K22-H22)</f>
        <v/>
      </c>
      <c r="M22" s="24" t="str">
        <f aca="false">IF($B22="","",IF(AND(I22="",J22=""),"Not Counted",IF(OR(I22="",J22=""),"Partially Counted",IF(L22=0,"Match",IF(L22&gt;0,"Overage","Shortage")))))</f>
        <v/>
      </c>
      <c r="N22" s="24" t="str">
        <f aca="false">IF($B22="","",IF(AND(N22&lt;&gt;"",N22&lt;&gt;0),N22,$B$4))</f>
        <v/>
      </c>
      <c r="O22" s="21"/>
      <c r="P22" s="21"/>
      <c r="Q22" s="21"/>
      <c r="S22" s="12"/>
      <c r="V22" s="14"/>
      <c r="W22" s="14"/>
      <c r="X22" s="15"/>
      <c r="Y22" s="16"/>
      <c r="Z22" s="14"/>
      <c r="AA22" s="17"/>
      <c r="AC22" s="14"/>
      <c r="AD22" s="14"/>
      <c r="AE22" s="15"/>
      <c r="AF22" s="16"/>
      <c r="AG22" s="14"/>
      <c r="AH22" s="17"/>
      <c r="AJ22" s="14"/>
      <c r="AK22" s="14"/>
      <c r="AL22" s="14"/>
      <c r="AM22" s="17"/>
      <c r="AN22" s="15"/>
    </row>
    <row r="23" customFormat="false" ht="15" hidden="false" customHeight="false" outlineLevel="0" collapsed="false">
      <c r="A23" s="19" t="str">
        <f aca="true">IF($B23="","",IF(AND(A23&lt;&gt;"",A23&lt;&gt;0),A23,TODAY()))</f>
        <v/>
      </c>
      <c r="B23" s="20"/>
      <c r="C23" s="21"/>
      <c r="D23" s="21"/>
      <c r="E23" s="21"/>
      <c r="F23" s="21"/>
      <c r="G23" s="21"/>
      <c r="H23" s="22"/>
      <c r="I23" s="22"/>
      <c r="J23" s="22"/>
      <c r="K23" s="23" t="str">
        <f aca="false">IF($B23="","",IF(AND(I23="",J23=""),"",I23+J23))</f>
        <v/>
      </c>
      <c r="L23" s="23" t="str">
        <f aca="false">IF(OR($B23="",K23=""),"",K23-H23)</f>
        <v/>
      </c>
      <c r="M23" s="24" t="str">
        <f aca="false">IF($B23="","",IF(AND(I23="",J23=""),"Not Counted",IF(OR(I23="",J23=""),"Partially Counted",IF(L23=0,"Match",IF(L23&gt;0,"Overage","Shortage")))))</f>
        <v/>
      </c>
      <c r="N23" s="24" t="str">
        <f aca="false">IF($B23="","",IF(AND(N23&lt;&gt;"",N23&lt;&gt;0),N23,$B$4))</f>
        <v/>
      </c>
      <c r="O23" s="21"/>
      <c r="P23" s="21"/>
      <c r="Q23" s="21"/>
      <c r="S23" s="12"/>
      <c r="V23" s="14"/>
      <c r="W23" s="14"/>
      <c r="X23" s="15"/>
      <c r="Y23" s="16"/>
      <c r="Z23" s="14"/>
      <c r="AA23" s="17"/>
      <c r="AC23" s="14"/>
      <c r="AD23" s="14"/>
      <c r="AE23" s="15"/>
      <c r="AF23" s="16"/>
      <c r="AG23" s="14"/>
      <c r="AH23" s="17"/>
      <c r="AJ23" s="14"/>
      <c r="AK23" s="14"/>
      <c r="AL23" s="14"/>
      <c r="AM23" s="17"/>
      <c r="AN23" s="15"/>
    </row>
    <row r="24" customFormat="false" ht="15" hidden="false" customHeight="false" outlineLevel="0" collapsed="false">
      <c r="A24" s="19" t="str">
        <f aca="true">IF($B24="","",IF(AND(A24&lt;&gt;"",A24&lt;&gt;0),A24,TODAY()))</f>
        <v/>
      </c>
      <c r="B24" s="20"/>
      <c r="C24" s="21"/>
      <c r="D24" s="21"/>
      <c r="E24" s="21"/>
      <c r="F24" s="21"/>
      <c r="G24" s="21"/>
      <c r="H24" s="22"/>
      <c r="I24" s="22"/>
      <c r="J24" s="22"/>
      <c r="K24" s="23" t="str">
        <f aca="false">IF($B24="","",IF(AND(I24="",J24=""),"",I24+J24))</f>
        <v/>
      </c>
      <c r="L24" s="23" t="str">
        <f aca="false">IF(OR($B24="",K24=""),"",K24-H24)</f>
        <v/>
      </c>
      <c r="M24" s="24" t="str">
        <f aca="false">IF($B24="","",IF(AND(I24="",J24=""),"Not Counted",IF(OR(I24="",J24=""),"Partially Counted",IF(L24=0,"Match",IF(L24&gt;0,"Overage","Shortage")))))</f>
        <v/>
      </c>
      <c r="N24" s="24" t="str">
        <f aca="false">IF($B24="","",IF(AND(N24&lt;&gt;"",N24&lt;&gt;0),N24,$B$4))</f>
        <v/>
      </c>
      <c r="O24" s="21"/>
      <c r="P24" s="21"/>
      <c r="Q24" s="21"/>
      <c r="S24" s="12"/>
      <c r="V24" s="14"/>
      <c r="W24" s="14"/>
      <c r="X24" s="15"/>
      <c r="Y24" s="16"/>
      <c r="Z24" s="14"/>
      <c r="AA24" s="17"/>
      <c r="AC24" s="14"/>
      <c r="AD24" s="14"/>
      <c r="AE24" s="15"/>
      <c r="AF24" s="16"/>
      <c r="AG24" s="14"/>
      <c r="AH24" s="17"/>
      <c r="AJ24" s="14"/>
      <c r="AK24" s="14"/>
      <c r="AL24" s="14"/>
      <c r="AM24" s="17"/>
      <c r="AN24" s="15"/>
    </row>
    <row r="25" customFormat="false" ht="15" hidden="false" customHeight="false" outlineLevel="0" collapsed="false">
      <c r="A25" s="19" t="str">
        <f aca="true">IF($B25="","",IF(AND(A25&lt;&gt;"",A25&lt;&gt;0),A25,TODAY()))</f>
        <v/>
      </c>
      <c r="B25" s="20"/>
      <c r="C25" s="21"/>
      <c r="D25" s="21"/>
      <c r="E25" s="21"/>
      <c r="F25" s="21"/>
      <c r="G25" s="21"/>
      <c r="H25" s="22"/>
      <c r="I25" s="22"/>
      <c r="J25" s="22"/>
      <c r="K25" s="23" t="str">
        <f aca="false">IF($B25="","",IF(AND(I25="",J25=""),"",I25+J25))</f>
        <v/>
      </c>
      <c r="L25" s="23" t="str">
        <f aca="false">IF(OR($B25="",K25=""),"",K25-H25)</f>
        <v/>
      </c>
      <c r="M25" s="24" t="str">
        <f aca="false">IF($B25="","",IF(AND(I25="",J25=""),"Not Counted",IF(OR(I25="",J25=""),"Partially Counted",IF(L25=0,"Match",IF(L25&gt;0,"Overage","Shortage")))))</f>
        <v/>
      </c>
      <c r="N25" s="24" t="str">
        <f aca="false">IF($B25="","",IF(AND(N25&lt;&gt;"",N25&lt;&gt;0),N25,$B$4))</f>
        <v/>
      </c>
      <c r="O25" s="21"/>
      <c r="P25" s="21"/>
      <c r="Q25" s="21"/>
      <c r="S25" s="12"/>
      <c r="V25" s="14"/>
      <c r="W25" s="14"/>
      <c r="X25" s="15"/>
      <c r="Y25" s="16"/>
      <c r="Z25" s="14"/>
      <c r="AA25" s="17"/>
      <c r="AC25" s="14"/>
      <c r="AD25" s="14"/>
      <c r="AE25" s="15"/>
      <c r="AF25" s="16"/>
      <c r="AG25" s="14"/>
      <c r="AH25" s="17"/>
      <c r="AJ25" s="14"/>
      <c r="AK25" s="14"/>
      <c r="AL25" s="14"/>
      <c r="AM25" s="17"/>
      <c r="AN25" s="15"/>
    </row>
    <row r="26" customFormat="false" ht="15" hidden="false" customHeight="false" outlineLevel="0" collapsed="false">
      <c r="A26" s="19" t="str">
        <f aca="true">IF($B26="","",IF(AND(A26&lt;&gt;"",A26&lt;&gt;0),A26,TODAY()))</f>
        <v/>
      </c>
      <c r="B26" s="20"/>
      <c r="C26" s="21"/>
      <c r="D26" s="21"/>
      <c r="E26" s="21"/>
      <c r="F26" s="21"/>
      <c r="G26" s="21"/>
      <c r="H26" s="22"/>
      <c r="I26" s="22"/>
      <c r="J26" s="22"/>
      <c r="K26" s="23" t="str">
        <f aca="false">IF($B26="","",IF(AND(I26="",J26=""),"",I26+J26))</f>
        <v/>
      </c>
      <c r="L26" s="23" t="str">
        <f aca="false">IF(OR($B26="",K26=""),"",K26-H26)</f>
        <v/>
      </c>
      <c r="M26" s="24" t="str">
        <f aca="false">IF($B26="","",IF(AND(I26="",J26=""),"Not Counted",IF(OR(I26="",J26=""),"Partially Counted",IF(L26=0,"Match",IF(L26&gt;0,"Overage","Shortage")))))</f>
        <v/>
      </c>
      <c r="N26" s="24" t="str">
        <f aca="false">IF($B26="","",IF(AND(N26&lt;&gt;"",N26&lt;&gt;0),N26,$B$4))</f>
        <v/>
      </c>
      <c r="O26" s="21"/>
      <c r="P26" s="21"/>
      <c r="Q26" s="21"/>
      <c r="S26" s="12"/>
      <c r="V26" s="14"/>
      <c r="W26" s="14"/>
      <c r="X26" s="15"/>
      <c r="Y26" s="16"/>
      <c r="Z26" s="14"/>
      <c r="AA26" s="17"/>
      <c r="AC26" s="14"/>
      <c r="AD26" s="14"/>
      <c r="AE26" s="15"/>
      <c r="AF26" s="16"/>
      <c r="AG26" s="14"/>
      <c r="AH26" s="17"/>
      <c r="AJ26" s="14"/>
      <c r="AK26" s="14"/>
      <c r="AL26" s="14"/>
      <c r="AM26" s="17"/>
      <c r="AN26" s="15"/>
    </row>
    <row r="27" customFormat="false" ht="15" hidden="false" customHeight="false" outlineLevel="0" collapsed="false">
      <c r="A27" s="19" t="str">
        <f aca="true">IF($B27="","",IF(AND(A27&lt;&gt;"",A27&lt;&gt;0),A27,TODAY()))</f>
        <v/>
      </c>
      <c r="B27" s="20"/>
      <c r="C27" s="21"/>
      <c r="D27" s="21"/>
      <c r="E27" s="21"/>
      <c r="F27" s="21"/>
      <c r="G27" s="21"/>
      <c r="H27" s="22"/>
      <c r="I27" s="22"/>
      <c r="J27" s="22"/>
      <c r="K27" s="23" t="str">
        <f aca="false">IF($B27="","",IF(AND(I27="",J27=""),"",I27+J27))</f>
        <v/>
      </c>
      <c r="L27" s="23" t="str">
        <f aca="false">IF(OR($B27="",K27=""),"",K27-H27)</f>
        <v/>
      </c>
      <c r="M27" s="24" t="str">
        <f aca="false">IF($B27="","",IF(AND(I27="",J27=""),"Not Counted",IF(OR(I27="",J27=""),"Partially Counted",IF(L27=0,"Match",IF(L27&gt;0,"Overage","Shortage")))))</f>
        <v/>
      </c>
      <c r="N27" s="24" t="str">
        <f aca="false">IF($B27="","",IF(AND(N27&lt;&gt;"",N27&lt;&gt;0),N27,$B$4))</f>
        <v/>
      </c>
      <c r="O27" s="21"/>
      <c r="P27" s="21"/>
      <c r="Q27" s="21"/>
      <c r="S27" s="12"/>
      <c r="V27" s="14"/>
      <c r="W27" s="14"/>
      <c r="X27" s="15"/>
      <c r="Y27" s="16"/>
      <c r="Z27" s="14"/>
      <c r="AA27" s="17"/>
      <c r="AC27" s="14"/>
      <c r="AD27" s="14"/>
      <c r="AE27" s="15"/>
      <c r="AF27" s="16"/>
      <c r="AG27" s="14"/>
      <c r="AH27" s="17"/>
      <c r="AJ27" s="14"/>
      <c r="AK27" s="14"/>
      <c r="AL27" s="14"/>
      <c r="AM27" s="17"/>
      <c r="AN27" s="15"/>
    </row>
    <row r="28" customFormat="false" ht="15" hidden="false" customHeight="false" outlineLevel="0" collapsed="false">
      <c r="A28" s="19" t="str">
        <f aca="true">IF($B28="","",IF(AND(A28&lt;&gt;"",A28&lt;&gt;0),A28,TODAY()))</f>
        <v/>
      </c>
      <c r="B28" s="20"/>
      <c r="C28" s="21"/>
      <c r="D28" s="21"/>
      <c r="E28" s="21"/>
      <c r="F28" s="21"/>
      <c r="G28" s="21"/>
      <c r="H28" s="22"/>
      <c r="I28" s="22"/>
      <c r="J28" s="22"/>
      <c r="K28" s="23" t="str">
        <f aca="false">IF($B28="","",IF(AND(I28="",J28=""),"",I28+J28))</f>
        <v/>
      </c>
      <c r="L28" s="23" t="str">
        <f aca="false">IF(OR($B28="",K28=""),"",K28-H28)</f>
        <v/>
      </c>
      <c r="M28" s="24" t="str">
        <f aca="false">IF($B28="","",IF(AND(I28="",J28=""),"Not Counted",IF(OR(I28="",J28=""),"Partially Counted",IF(L28=0,"Match",IF(L28&gt;0,"Overage","Shortage")))))</f>
        <v/>
      </c>
      <c r="N28" s="24" t="str">
        <f aca="false">IF($B28="","",IF(AND(N28&lt;&gt;"",N28&lt;&gt;0),N28,$B$4))</f>
        <v/>
      </c>
      <c r="O28" s="21"/>
      <c r="P28" s="21"/>
      <c r="Q28" s="21"/>
      <c r="S28" s="12"/>
      <c r="V28" s="14"/>
      <c r="W28" s="14"/>
      <c r="X28" s="15"/>
      <c r="Y28" s="16"/>
      <c r="Z28" s="14"/>
      <c r="AA28" s="17"/>
      <c r="AC28" s="14"/>
      <c r="AD28" s="14"/>
      <c r="AE28" s="15"/>
      <c r="AF28" s="16"/>
      <c r="AG28" s="14"/>
      <c r="AH28" s="17"/>
      <c r="AJ28" s="14"/>
      <c r="AK28" s="14"/>
      <c r="AL28" s="14"/>
      <c r="AM28" s="17"/>
      <c r="AN28" s="15"/>
    </row>
    <row r="29" customFormat="false" ht="15" hidden="false" customHeight="false" outlineLevel="0" collapsed="false">
      <c r="A29" s="19" t="str">
        <f aca="true">IF($B29="","",IF(AND(A29&lt;&gt;"",A29&lt;&gt;0),A29,TODAY()))</f>
        <v/>
      </c>
      <c r="B29" s="20"/>
      <c r="C29" s="21"/>
      <c r="D29" s="21"/>
      <c r="E29" s="21"/>
      <c r="F29" s="21"/>
      <c r="G29" s="21"/>
      <c r="H29" s="22"/>
      <c r="I29" s="22"/>
      <c r="J29" s="22"/>
      <c r="K29" s="23" t="str">
        <f aca="false">IF($B29="","",IF(AND(I29="",J29=""),"",I29+J29))</f>
        <v/>
      </c>
      <c r="L29" s="23" t="str">
        <f aca="false">IF(OR($B29="",K29=""),"",K29-H29)</f>
        <v/>
      </c>
      <c r="M29" s="24" t="str">
        <f aca="false">IF($B29="","",IF(AND(I29="",J29=""),"Not Counted",IF(OR(I29="",J29=""),"Partially Counted",IF(L29=0,"Match",IF(L29&gt;0,"Overage","Shortage")))))</f>
        <v/>
      </c>
      <c r="N29" s="24" t="str">
        <f aca="false">IF($B29="","",IF(AND(N29&lt;&gt;"",N29&lt;&gt;0),N29,$B$4))</f>
        <v/>
      </c>
      <c r="O29" s="21"/>
      <c r="P29" s="21"/>
      <c r="Q29" s="21"/>
      <c r="S29" s="12"/>
      <c r="V29" s="14"/>
      <c r="W29" s="14"/>
      <c r="X29" s="15"/>
      <c r="Y29" s="16"/>
      <c r="Z29" s="14"/>
      <c r="AA29" s="17"/>
      <c r="AC29" s="14"/>
      <c r="AD29" s="14"/>
      <c r="AE29" s="15"/>
      <c r="AF29" s="16"/>
      <c r="AG29" s="14"/>
      <c r="AH29" s="17"/>
      <c r="AJ29" s="14"/>
      <c r="AK29" s="14"/>
      <c r="AL29" s="14"/>
      <c r="AM29" s="17"/>
      <c r="AN29" s="15"/>
    </row>
    <row r="30" customFormat="false" ht="15" hidden="false" customHeight="false" outlineLevel="0" collapsed="false">
      <c r="A30" s="19" t="str">
        <f aca="true">IF($B30="","",IF(AND(A30&lt;&gt;"",A30&lt;&gt;0),A30,TODAY()))</f>
        <v/>
      </c>
      <c r="B30" s="20"/>
      <c r="C30" s="21"/>
      <c r="D30" s="21"/>
      <c r="E30" s="21"/>
      <c r="F30" s="21"/>
      <c r="G30" s="21"/>
      <c r="H30" s="22"/>
      <c r="I30" s="22"/>
      <c r="J30" s="22"/>
      <c r="K30" s="23" t="str">
        <f aca="false">IF($B30="","",IF(AND(I30="",J30=""),"",I30+J30))</f>
        <v/>
      </c>
      <c r="L30" s="23" t="str">
        <f aca="false">IF(OR($B30="",K30=""),"",K30-H30)</f>
        <v/>
      </c>
      <c r="M30" s="24" t="str">
        <f aca="false">IF($B30="","",IF(AND(I30="",J30=""),"Not Counted",IF(OR(I30="",J30=""),"Partially Counted",IF(L30=0,"Match",IF(L30&gt;0,"Overage","Shortage")))))</f>
        <v/>
      </c>
      <c r="N30" s="24" t="str">
        <f aca="false">IF($B30="","",IF(AND(N30&lt;&gt;"",N30&lt;&gt;0),N30,$B$4))</f>
        <v/>
      </c>
      <c r="O30" s="21"/>
      <c r="P30" s="21"/>
      <c r="Q30" s="21"/>
      <c r="S30" s="12"/>
      <c r="V30" s="14"/>
      <c r="W30" s="14"/>
      <c r="X30" s="15"/>
      <c r="Y30" s="16"/>
      <c r="Z30" s="14"/>
      <c r="AA30" s="17"/>
      <c r="AC30" s="14"/>
      <c r="AD30" s="14"/>
      <c r="AE30" s="15"/>
      <c r="AF30" s="16"/>
      <c r="AG30" s="14"/>
      <c r="AH30" s="17"/>
      <c r="AJ30" s="14"/>
      <c r="AK30" s="14"/>
      <c r="AL30" s="14"/>
      <c r="AM30" s="17"/>
      <c r="AN30" s="15"/>
    </row>
    <row r="31" customFormat="false" ht="15" hidden="false" customHeight="false" outlineLevel="0" collapsed="false">
      <c r="A31" s="19" t="str">
        <f aca="true">IF($B31="","",IF(AND(A31&lt;&gt;"",A31&lt;&gt;0),A31,TODAY()))</f>
        <v/>
      </c>
      <c r="B31" s="20"/>
      <c r="C31" s="21"/>
      <c r="D31" s="21"/>
      <c r="E31" s="21"/>
      <c r="F31" s="21"/>
      <c r="G31" s="21"/>
      <c r="H31" s="22"/>
      <c r="I31" s="22"/>
      <c r="J31" s="22"/>
      <c r="K31" s="23" t="str">
        <f aca="false">IF($B31="","",IF(AND(I31="",J31=""),"",I31+J31))</f>
        <v/>
      </c>
      <c r="L31" s="23" t="str">
        <f aca="false">IF(OR($B31="",K31=""),"",K31-H31)</f>
        <v/>
      </c>
      <c r="M31" s="24" t="str">
        <f aca="false">IF($B31="","",IF(AND(I31="",J31=""),"Not Counted",IF(OR(I31="",J31=""),"Partially Counted",IF(L31=0,"Match",IF(L31&gt;0,"Overage","Shortage")))))</f>
        <v/>
      </c>
      <c r="N31" s="24" t="str">
        <f aca="false">IF($B31="","",IF(AND(N31&lt;&gt;"",N31&lt;&gt;0),N31,$B$4))</f>
        <v/>
      </c>
      <c r="O31" s="21"/>
      <c r="P31" s="21"/>
      <c r="Q31" s="21"/>
      <c r="S31" s="12"/>
      <c r="V31" s="14"/>
      <c r="W31" s="14"/>
      <c r="X31" s="15"/>
      <c r="Y31" s="16"/>
      <c r="Z31" s="14"/>
      <c r="AA31" s="17"/>
      <c r="AC31" s="14"/>
      <c r="AD31" s="14"/>
      <c r="AE31" s="15"/>
      <c r="AF31" s="16"/>
      <c r="AG31" s="14"/>
      <c r="AH31" s="17"/>
      <c r="AJ31" s="14"/>
      <c r="AK31" s="14"/>
      <c r="AL31" s="14"/>
      <c r="AM31" s="17"/>
      <c r="AN31" s="15"/>
    </row>
    <row r="32" customFormat="false" ht="15" hidden="false" customHeight="false" outlineLevel="0" collapsed="false">
      <c r="A32" s="19" t="str">
        <f aca="true">IF($B32="","",IF(AND(A32&lt;&gt;"",A32&lt;&gt;0),A32,TODAY()))</f>
        <v/>
      </c>
      <c r="B32" s="20"/>
      <c r="C32" s="21"/>
      <c r="D32" s="21"/>
      <c r="E32" s="21"/>
      <c r="F32" s="21"/>
      <c r="G32" s="21"/>
      <c r="H32" s="22"/>
      <c r="I32" s="22"/>
      <c r="J32" s="22"/>
      <c r="K32" s="23" t="str">
        <f aca="false">IF($B32="","",IF(AND(I32="",J32=""),"",I32+J32))</f>
        <v/>
      </c>
      <c r="L32" s="23" t="str">
        <f aca="false">IF(OR($B32="",K32=""),"",K32-H32)</f>
        <v/>
      </c>
      <c r="M32" s="24" t="str">
        <f aca="false">IF($B32="","",IF(AND(I32="",J32=""),"Not Counted",IF(OR(I32="",J32=""),"Partially Counted",IF(L32=0,"Match",IF(L32&gt;0,"Overage","Shortage")))))</f>
        <v/>
      </c>
      <c r="N32" s="24" t="str">
        <f aca="false">IF($B32="","",IF(AND(N32&lt;&gt;"",N32&lt;&gt;0),N32,$B$4))</f>
        <v/>
      </c>
      <c r="O32" s="21"/>
      <c r="P32" s="21"/>
      <c r="Q32" s="21"/>
      <c r="S32" s="12"/>
      <c r="V32" s="14"/>
      <c r="W32" s="14"/>
      <c r="X32" s="15"/>
      <c r="Y32" s="16"/>
      <c r="Z32" s="14"/>
      <c r="AA32" s="17"/>
      <c r="AC32" s="14"/>
      <c r="AD32" s="14"/>
      <c r="AE32" s="15"/>
      <c r="AF32" s="16"/>
      <c r="AG32" s="14"/>
      <c r="AH32" s="17"/>
      <c r="AJ32" s="14"/>
      <c r="AK32" s="14"/>
      <c r="AL32" s="14"/>
      <c r="AM32" s="17"/>
      <c r="AN32" s="15"/>
    </row>
    <row r="33" customFormat="false" ht="15" hidden="false" customHeight="false" outlineLevel="0" collapsed="false">
      <c r="A33" s="19" t="str">
        <f aca="true">IF($B33="","",IF(AND(A33&lt;&gt;"",A33&lt;&gt;0),A33,TODAY()))</f>
        <v/>
      </c>
      <c r="B33" s="20"/>
      <c r="C33" s="21"/>
      <c r="D33" s="21"/>
      <c r="E33" s="21"/>
      <c r="F33" s="21"/>
      <c r="G33" s="21"/>
      <c r="H33" s="22"/>
      <c r="I33" s="22"/>
      <c r="J33" s="22"/>
      <c r="K33" s="23" t="str">
        <f aca="false">IF($B33="","",IF(AND(I33="",J33=""),"",I33+J33))</f>
        <v/>
      </c>
      <c r="L33" s="23" t="str">
        <f aca="false">IF(OR($B33="",K33=""),"",K33-H33)</f>
        <v/>
      </c>
      <c r="M33" s="24" t="str">
        <f aca="false">IF($B33="","",IF(AND(I33="",J33=""),"Not Counted",IF(OR(I33="",J33=""),"Partially Counted",IF(L33=0,"Match",IF(L33&gt;0,"Overage","Shortage")))))</f>
        <v/>
      </c>
      <c r="N33" s="24" t="str">
        <f aca="false">IF($B33="","",IF(AND(N33&lt;&gt;"",N33&lt;&gt;0),N33,$B$4))</f>
        <v/>
      </c>
      <c r="O33" s="21"/>
      <c r="P33" s="21"/>
      <c r="Q33" s="21"/>
      <c r="S33" s="12"/>
      <c r="V33" s="14"/>
      <c r="W33" s="14"/>
      <c r="X33" s="15"/>
      <c r="Y33" s="16"/>
      <c r="Z33" s="14"/>
      <c r="AA33" s="17"/>
      <c r="AC33" s="14"/>
      <c r="AD33" s="14"/>
      <c r="AE33" s="15"/>
      <c r="AF33" s="16"/>
      <c r="AG33" s="14"/>
      <c r="AH33" s="17"/>
      <c r="AJ33" s="14"/>
      <c r="AK33" s="14"/>
      <c r="AL33" s="14"/>
      <c r="AM33" s="17"/>
      <c r="AN33" s="15"/>
    </row>
    <row r="34" customFormat="false" ht="15" hidden="false" customHeight="false" outlineLevel="0" collapsed="false">
      <c r="A34" s="19" t="str">
        <f aca="true">IF($B34="","",IF(AND(A34&lt;&gt;"",A34&lt;&gt;0),A34,TODAY()))</f>
        <v/>
      </c>
      <c r="B34" s="20"/>
      <c r="C34" s="21"/>
      <c r="D34" s="21"/>
      <c r="E34" s="21"/>
      <c r="F34" s="21"/>
      <c r="G34" s="21"/>
      <c r="H34" s="22"/>
      <c r="I34" s="22"/>
      <c r="J34" s="22"/>
      <c r="K34" s="23" t="str">
        <f aca="false">IF($B34="","",IF(AND(I34="",J34=""),"",I34+J34))</f>
        <v/>
      </c>
      <c r="L34" s="23" t="str">
        <f aca="false">IF(OR($B34="",K34=""),"",K34-H34)</f>
        <v/>
      </c>
      <c r="M34" s="24" t="str">
        <f aca="false">IF($B34="","",IF(AND(I34="",J34=""),"Not Counted",IF(OR(I34="",J34=""),"Partially Counted",IF(L34=0,"Match",IF(L34&gt;0,"Overage","Shortage")))))</f>
        <v/>
      </c>
      <c r="N34" s="24" t="str">
        <f aca="false">IF($B34="","",IF(AND(N34&lt;&gt;"",N34&lt;&gt;0),N34,$B$4))</f>
        <v/>
      </c>
      <c r="O34" s="21"/>
      <c r="P34" s="21"/>
      <c r="Q34" s="21"/>
      <c r="S34" s="12"/>
      <c r="V34" s="14"/>
      <c r="W34" s="14"/>
      <c r="X34" s="15"/>
      <c r="Y34" s="16"/>
      <c r="Z34" s="14"/>
      <c r="AA34" s="17"/>
      <c r="AC34" s="14"/>
      <c r="AD34" s="14"/>
      <c r="AE34" s="15"/>
      <c r="AF34" s="16"/>
      <c r="AG34" s="14"/>
      <c r="AH34" s="17"/>
      <c r="AJ34" s="14"/>
      <c r="AK34" s="14"/>
      <c r="AL34" s="14"/>
      <c r="AM34" s="17"/>
      <c r="AN34" s="15"/>
    </row>
    <row r="35" customFormat="false" ht="15" hidden="false" customHeight="false" outlineLevel="0" collapsed="false">
      <c r="A35" s="19" t="str">
        <f aca="true">IF($B35="","",IF(AND(A35&lt;&gt;"",A35&lt;&gt;0),A35,TODAY()))</f>
        <v/>
      </c>
      <c r="B35" s="20"/>
      <c r="C35" s="21"/>
      <c r="D35" s="21"/>
      <c r="E35" s="21"/>
      <c r="F35" s="21"/>
      <c r="G35" s="21"/>
      <c r="H35" s="22"/>
      <c r="I35" s="22"/>
      <c r="J35" s="22"/>
      <c r="K35" s="23" t="str">
        <f aca="false">IF($B35="","",IF(AND(I35="",J35=""),"",I35+J35))</f>
        <v/>
      </c>
      <c r="L35" s="23" t="str">
        <f aca="false">IF(OR($B35="",K35=""),"",K35-H35)</f>
        <v/>
      </c>
      <c r="M35" s="24" t="str">
        <f aca="false">IF($B35="","",IF(AND(I35="",J35=""),"Not Counted",IF(OR(I35="",J35=""),"Partially Counted",IF(L35=0,"Match",IF(L35&gt;0,"Overage","Shortage")))))</f>
        <v/>
      </c>
      <c r="N35" s="24" t="str">
        <f aca="false">IF($B35="","",IF(AND(N35&lt;&gt;"",N35&lt;&gt;0),N35,$B$4))</f>
        <v/>
      </c>
      <c r="O35" s="21"/>
      <c r="P35" s="21"/>
      <c r="Q35" s="21"/>
      <c r="S35" s="12"/>
      <c r="V35" s="14"/>
      <c r="W35" s="14"/>
      <c r="X35" s="15"/>
      <c r="Y35" s="16"/>
      <c r="Z35" s="14"/>
      <c r="AA35" s="17"/>
      <c r="AC35" s="14"/>
      <c r="AD35" s="14"/>
      <c r="AE35" s="15"/>
      <c r="AF35" s="16"/>
      <c r="AG35" s="14"/>
      <c r="AH35" s="17"/>
      <c r="AJ35" s="14"/>
      <c r="AK35" s="14"/>
      <c r="AL35" s="14"/>
      <c r="AM35" s="17"/>
      <c r="AN35" s="15"/>
    </row>
    <row r="36" customFormat="false" ht="15" hidden="false" customHeight="false" outlineLevel="0" collapsed="false">
      <c r="A36" s="19" t="str">
        <f aca="true">IF($B36="","",IF(AND(A36&lt;&gt;"",A36&lt;&gt;0),A36,TODAY()))</f>
        <v/>
      </c>
      <c r="B36" s="20"/>
      <c r="C36" s="21"/>
      <c r="D36" s="21"/>
      <c r="E36" s="21"/>
      <c r="F36" s="21"/>
      <c r="G36" s="21"/>
      <c r="H36" s="22"/>
      <c r="I36" s="22"/>
      <c r="J36" s="22"/>
      <c r="K36" s="23" t="str">
        <f aca="false">IF($B36="","",IF(AND(I36="",J36=""),"",I36+J36))</f>
        <v/>
      </c>
      <c r="L36" s="23" t="str">
        <f aca="false">IF(OR($B36="",K36=""),"",K36-H36)</f>
        <v/>
      </c>
      <c r="M36" s="24" t="str">
        <f aca="false">IF($B36="","",IF(AND(I36="",J36=""),"Not Counted",IF(OR(I36="",J36=""),"Partially Counted",IF(L36=0,"Match",IF(L36&gt;0,"Overage","Shortage")))))</f>
        <v/>
      </c>
      <c r="N36" s="24" t="str">
        <f aca="false">IF($B36="","",IF(AND(N36&lt;&gt;"",N36&lt;&gt;0),N36,$B$4))</f>
        <v/>
      </c>
      <c r="O36" s="21"/>
      <c r="P36" s="21"/>
      <c r="Q36" s="21"/>
      <c r="S36" s="12"/>
      <c r="V36" s="14"/>
      <c r="W36" s="14"/>
      <c r="X36" s="15"/>
      <c r="Y36" s="16"/>
      <c r="Z36" s="14"/>
      <c r="AA36" s="17"/>
      <c r="AC36" s="14"/>
      <c r="AD36" s="14"/>
      <c r="AE36" s="15"/>
      <c r="AF36" s="16"/>
      <c r="AG36" s="14"/>
      <c r="AH36" s="17"/>
      <c r="AJ36" s="14"/>
      <c r="AK36" s="14"/>
      <c r="AL36" s="14"/>
      <c r="AM36" s="17"/>
      <c r="AN36" s="15"/>
    </row>
    <row r="37" customFormat="false" ht="15" hidden="false" customHeight="false" outlineLevel="0" collapsed="false">
      <c r="A37" s="19" t="str">
        <f aca="true">IF($B37="","",IF(AND(A37&lt;&gt;"",A37&lt;&gt;0),A37,TODAY()))</f>
        <v/>
      </c>
      <c r="B37" s="20"/>
      <c r="C37" s="21"/>
      <c r="D37" s="21"/>
      <c r="E37" s="21"/>
      <c r="F37" s="21"/>
      <c r="G37" s="21"/>
      <c r="H37" s="22"/>
      <c r="I37" s="22"/>
      <c r="J37" s="22"/>
      <c r="K37" s="23" t="str">
        <f aca="false">IF($B37="","",IF(AND(I37="",J37=""),"",I37+J37))</f>
        <v/>
      </c>
      <c r="L37" s="23" t="str">
        <f aca="false">IF(OR($B37="",K37=""),"",K37-H37)</f>
        <v/>
      </c>
      <c r="M37" s="24" t="str">
        <f aca="false">IF($B37="","",IF(AND(I37="",J37=""),"Not Counted",IF(OR(I37="",J37=""),"Partially Counted",IF(L37=0,"Match",IF(L37&gt;0,"Overage","Shortage")))))</f>
        <v/>
      </c>
      <c r="N37" s="24" t="str">
        <f aca="false">IF($B37="","",IF(AND(N37&lt;&gt;"",N37&lt;&gt;0),N37,$B$4))</f>
        <v/>
      </c>
      <c r="O37" s="21"/>
      <c r="P37" s="21"/>
      <c r="Q37" s="21"/>
      <c r="S37" s="12"/>
      <c r="V37" s="14"/>
      <c r="W37" s="14"/>
      <c r="X37" s="15"/>
      <c r="Y37" s="16"/>
      <c r="Z37" s="14"/>
      <c r="AA37" s="17"/>
      <c r="AC37" s="14"/>
      <c r="AD37" s="14"/>
      <c r="AE37" s="15"/>
      <c r="AF37" s="16"/>
      <c r="AG37" s="14"/>
      <c r="AH37" s="17"/>
      <c r="AJ37" s="14"/>
      <c r="AK37" s="14"/>
      <c r="AL37" s="14"/>
      <c r="AM37" s="17"/>
      <c r="AN37" s="15"/>
    </row>
    <row r="38" customFormat="false" ht="15" hidden="false" customHeight="false" outlineLevel="0" collapsed="false">
      <c r="A38" s="19" t="str">
        <f aca="true">IF($B38="","",IF(AND(A38&lt;&gt;"",A38&lt;&gt;0),A38,TODAY()))</f>
        <v/>
      </c>
      <c r="B38" s="20"/>
      <c r="C38" s="21"/>
      <c r="D38" s="21"/>
      <c r="E38" s="21"/>
      <c r="F38" s="21"/>
      <c r="G38" s="21"/>
      <c r="H38" s="22"/>
      <c r="I38" s="22"/>
      <c r="J38" s="22"/>
      <c r="K38" s="23" t="str">
        <f aca="false">IF($B38="","",IF(AND(I38="",J38=""),"",I38+J38))</f>
        <v/>
      </c>
      <c r="L38" s="23" t="str">
        <f aca="false">IF(OR($B38="",K38=""),"",K38-H38)</f>
        <v/>
      </c>
      <c r="M38" s="24" t="str">
        <f aca="false">IF($B38="","",IF(AND(I38="",J38=""),"Not Counted",IF(OR(I38="",J38=""),"Partially Counted",IF(L38=0,"Match",IF(L38&gt;0,"Overage","Shortage")))))</f>
        <v/>
      </c>
      <c r="N38" s="24" t="str">
        <f aca="false">IF($B38="","",IF(AND(N38&lt;&gt;"",N38&lt;&gt;0),N38,$B$4))</f>
        <v/>
      </c>
      <c r="O38" s="21"/>
      <c r="P38" s="21"/>
      <c r="Q38" s="21"/>
      <c r="S38" s="12"/>
      <c r="V38" s="14"/>
      <c r="W38" s="14"/>
      <c r="X38" s="15"/>
      <c r="Y38" s="16"/>
      <c r="Z38" s="14"/>
      <c r="AA38" s="17"/>
      <c r="AC38" s="14"/>
      <c r="AD38" s="14"/>
      <c r="AE38" s="15"/>
      <c r="AF38" s="16"/>
      <c r="AG38" s="14"/>
      <c r="AH38" s="17"/>
      <c r="AJ38" s="14"/>
      <c r="AK38" s="14"/>
      <c r="AL38" s="14"/>
      <c r="AM38" s="17"/>
      <c r="AN38" s="15"/>
    </row>
    <row r="39" customFormat="false" ht="15" hidden="false" customHeight="false" outlineLevel="0" collapsed="false">
      <c r="A39" s="19" t="str">
        <f aca="true">IF($B39="","",IF(AND(A39&lt;&gt;"",A39&lt;&gt;0),A39,TODAY()))</f>
        <v/>
      </c>
      <c r="B39" s="20"/>
      <c r="C39" s="21"/>
      <c r="D39" s="21"/>
      <c r="E39" s="21"/>
      <c r="F39" s="21"/>
      <c r="G39" s="21"/>
      <c r="H39" s="22"/>
      <c r="I39" s="22"/>
      <c r="J39" s="22"/>
      <c r="K39" s="23" t="str">
        <f aca="false">IF($B39="","",IF(AND(I39="",J39=""),"",I39+J39))</f>
        <v/>
      </c>
      <c r="L39" s="23" t="str">
        <f aca="false">IF(OR($B39="",K39=""),"",K39-H39)</f>
        <v/>
      </c>
      <c r="M39" s="24" t="str">
        <f aca="false">IF($B39="","",IF(AND(I39="",J39=""),"Not Counted",IF(OR(I39="",J39=""),"Partially Counted",IF(L39=0,"Match",IF(L39&gt;0,"Overage","Shortage")))))</f>
        <v/>
      </c>
      <c r="N39" s="24" t="str">
        <f aca="false">IF($B39="","",IF(AND(N39&lt;&gt;"",N39&lt;&gt;0),N39,$B$4))</f>
        <v/>
      </c>
      <c r="O39" s="21"/>
      <c r="P39" s="21"/>
      <c r="Q39" s="21"/>
      <c r="S39" s="12"/>
      <c r="V39" s="14"/>
      <c r="W39" s="14"/>
      <c r="X39" s="15"/>
      <c r="Y39" s="16"/>
      <c r="Z39" s="14"/>
      <c r="AA39" s="17"/>
      <c r="AC39" s="14"/>
      <c r="AD39" s="14"/>
      <c r="AE39" s="15"/>
      <c r="AF39" s="16"/>
      <c r="AG39" s="14"/>
      <c r="AH39" s="17"/>
      <c r="AJ39" s="14"/>
      <c r="AK39" s="14"/>
      <c r="AL39" s="14"/>
      <c r="AM39" s="17"/>
      <c r="AN39" s="15"/>
    </row>
    <row r="40" customFormat="false" ht="15" hidden="false" customHeight="false" outlineLevel="0" collapsed="false">
      <c r="A40" s="19" t="str">
        <f aca="true">IF($B40="","",IF(AND(A40&lt;&gt;"",A40&lt;&gt;0),A40,TODAY()))</f>
        <v/>
      </c>
      <c r="B40" s="20"/>
      <c r="C40" s="21"/>
      <c r="D40" s="21"/>
      <c r="E40" s="21"/>
      <c r="F40" s="21"/>
      <c r="G40" s="21"/>
      <c r="H40" s="22"/>
      <c r="I40" s="22"/>
      <c r="J40" s="22"/>
      <c r="K40" s="23" t="str">
        <f aca="false">IF($B40="","",IF(AND(I40="",J40=""),"",I40+J40))</f>
        <v/>
      </c>
      <c r="L40" s="23" t="str">
        <f aca="false">IF(OR($B40="",K40=""),"",K40-H40)</f>
        <v/>
      </c>
      <c r="M40" s="24" t="str">
        <f aca="false">IF($B40="","",IF(AND(I40="",J40=""),"Not Counted",IF(OR(I40="",J40=""),"Partially Counted",IF(L40=0,"Match",IF(L40&gt;0,"Overage","Shortage")))))</f>
        <v/>
      </c>
      <c r="N40" s="24" t="str">
        <f aca="false">IF($B40="","",IF(AND(N40&lt;&gt;"",N40&lt;&gt;0),N40,$B$4))</f>
        <v/>
      </c>
      <c r="O40" s="21"/>
      <c r="P40" s="21"/>
      <c r="Q40" s="21"/>
      <c r="S40" s="12"/>
      <c r="V40" s="14"/>
      <c r="W40" s="14"/>
      <c r="X40" s="15"/>
      <c r="Y40" s="16"/>
      <c r="Z40" s="14"/>
      <c r="AA40" s="17"/>
      <c r="AC40" s="14"/>
      <c r="AD40" s="14"/>
      <c r="AE40" s="15"/>
      <c r="AF40" s="16"/>
      <c r="AG40" s="14"/>
      <c r="AH40" s="17"/>
      <c r="AJ40" s="14"/>
      <c r="AK40" s="14"/>
      <c r="AL40" s="14"/>
      <c r="AM40" s="17"/>
      <c r="AN40" s="15"/>
    </row>
    <row r="41" customFormat="false" ht="15" hidden="false" customHeight="false" outlineLevel="0" collapsed="false">
      <c r="A41" s="19" t="str">
        <f aca="true">IF($B41="","",IF(AND(A41&lt;&gt;"",A41&lt;&gt;0),A41,TODAY()))</f>
        <v/>
      </c>
      <c r="B41" s="20"/>
      <c r="C41" s="21"/>
      <c r="D41" s="21"/>
      <c r="E41" s="21"/>
      <c r="F41" s="21"/>
      <c r="G41" s="21"/>
      <c r="H41" s="22"/>
      <c r="I41" s="22"/>
      <c r="J41" s="22"/>
      <c r="K41" s="23" t="str">
        <f aca="false">IF($B41="","",IF(AND(I41="",J41=""),"",I41+J41))</f>
        <v/>
      </c>
      <c r="L41" s="23" t="str">
        <f aca="false">IF(OR($B41="",K41=""),"",K41-H41)</f>
        <v/>
      </c>
      <c r="M41" s="24" t="str">
        <f aca="false">IF($B41="","",IF(AND(I41="",J41=""),"Not Counted",IF(OR(I41="",J41=""),"Partially Counted",IF(L41=0,"Match",IF(L41&gt;0,"Overage","Shortage")))))</f>
        <v/>
      </c>
      <c r="N41" s="24" t="str">
        <f aca="false">IF($B41="","",IF(AND(N41&lt;&gt;"",N41&lt;&gt;0),N41,$B$4))</f>
        <v/>
      </c>
      <c r="O41" s="21"/>
      <c r="P41" s="21"/>
      <c r="Q41" s="21"/>
      <c r="S41" s="12"/>
      <c r="V41" s="14"/>
      <c r="W41" s="14"/>
      <c r="X41" s="15"/>
      <c r="Y41" s="16"/>
      <c r="Z41" s="14"/>
      <c r="AA41" s="17"/>
      <c r="AC41" s="14"/>
      <c r="AD41" s="14"/>
      <c r="AE41" s="15"/>
      <c r="AF41" s="16"/>
      <c r="AG41" s="14"/>
      <c r="AH41" s="17"/>
      <c r="AJ41" s="14"/>
      <c r="AK41" s="14"/>
      <c r="AL41" s="14"/>
      <c r="AM41" s="17"/>
      <c r="AN41" s="15"/>
    </row>
    <row r="42" customFormat="false" ht="15" hidden="false" customHeight="false" outlineLevel="0" collapsed="false">
      <c r="A42" s="19" t="str">
        <f aca="true">IF($B42="","",IF(AND(A42&lt;&gt;"",A42&lt;&gt;0),A42,TODAY()))</f>
        <v/>
      </c>
      <c r="B42" s="20"/>
      <c r="C42" s="21"/>
      <c r="D42" s="21"/>
      <c r="E42" s="21"/>
      <c r="F42" s="21"/>
      <c r="G42" s="21"/>
      <c r="H42" s="22"/>
      <c r="I42" s="22"/>
      <c r="J42" s="22"/>
      <c r="K42" s="23" t="str">
        <f aca="false">IF($B42="","",IF(AND(I42="",J42=""),"",I42+J42))</f>
        <v/>
      </c>
      <c r="L42" s="23" t="str">
        <f aca="false">IF(OR($B42="",K42=""),"",K42-H42)</f>
        <v/>
      </c>
      <c r="M42" s="24" t="str">
        <f aca="false">IF($B42="","",IF(AND(I42="",J42=""),"Not Counted",IF(OR(I42="",J42=""),"Partially Counted",IF(L42=0,"Match",IF(L42&gt;0,"Overage","Shortage")))))</f>
        <v/>
      </c>
      <c r="N42" s="24" t="str">
        <f aca="false">IF($B42="","",IF(AND(N42&lt;&gt;"",N42&lt;&gt;0),N42,$B$4))</f>
        <v/>
      </c>
      <c r="O42" s="21"/>
      <c r="P42" s="21"/>
      <c r="Q42" s="21"/>
      <c r="S42" s="12"/>
      <c r="V42" s="14"/>
      <c r="W42" s="14"/>
      <c r="X42" s="15"/>
      <c r="Y42" s="16"/>
      <c r="Z42" s="14"/>
      <c r="AA42" s="17"/>
      <c r="AC42" s="14"/>
      <c r="AD42" s="14"/>
      <c r="AE42" s="15"/>
      <c r="AF42" s="16"/>
      <c r="AG42" s="14"/>
      <c r="AH42" s="17"/>
      <c r="AJ42" s="14"/>
      <c r="AK42" s="14"/>
      <c r="AL42" s="14"/>
      <c r="AM42" s="17"/>
      <c r="AN42" s="15"/>
    </row>
    <row r="43" customFormat="false" ht="15" hidden="false" customHeight="false" outlineLevel="0" collapsed="false">
      <c r="A43" s="19" t="str">
        <f aca="true">IF($B43="","",IF(AND(A43&lt;&gt;"",A43&lt;&gt;0),A43,TODAY()))</f>
        <v/>
      </c>
      <c r="B43" s="20"/>
      <c r="C43" s="21"/>
      <c r="D43" s="21"/>
      <c r="E43" s="21"/>
      <c r="F43" s="21"/>
      <c r="G43" s="21"/>
      <c r="H43" s="22"/>
      <c r="I43" s="22"/>
      <c r="J43" s="22"/>
      <c r="K43" s="23" t="str">
        <f aca="false">IF($B43="","",IF(AND(I43="",J43=""),"",I43+J43))</f>
        <v/>
      </c>
      <c r="L43" s="23" t="str">
        <f aca="false">IF(OR($B43="",K43=""),"",K43-H43)</f>
        <v/>
      </c>
      <c r="M43" s="24" t="str">
        <f aca="false">IF($B43="","",IF(AND(I43="",J43=""),"Not Counted",IF(OR(I43="",J43=""),"Partially Counted",IF(L43=0,"Match",IF(L43&gt;0,"Overage","Shortage")))))</f>
        <v/>
      </c>
      <c r="N43" s="24" t="str">
        <f aca="false">IF($B43="","",IF(AND(N43&lt;&gt;"",N43&lt;&gt;0),N43,$B$4))</f>
        <v/>
      </c>
      <c r="O43" s="21"/>
      <c r="P43" s="21"/>
      <c r="Q43" s="21"/>
      <c r="S43" s="12"/>
      <c r="V43" s="14"/>
      <c r="W43" s="14"/>
      <c r="X43" s="15"/>
      <c r="Y43" s="16"/>
      <c r="Z43" s="14"/>
      <c r="AA43" s="17"/>
      <c r="AC43" s="14"/>
      <c r="AD43" s="14"/>
      <c r="AE43" s="15"/>
      <c r="AF43" s="16"/>
      <c r="AG43" s="14"/>
      <c r="AH43" s="17"/>
      <c r="AJ43" s="14"/>
      <c r="AK43" s="14"/>
      <c r="AL43" s="14"/>
      <c r="AM43" s="17"/>
      <c r="AN43" s="15"/>
    </row>
    <row r="44" customFormat="false" ht="15" hidden="false" customHeight="false" outlineLevel="0" collapsed="false">
      <c r="A44" s="19" t="str">
        <f aca="true">IF($B44="","",IF(AND(A44&lt;&gt;"",A44&lt;&gt;0),A44,TODAY()))</f>
        <v/>
      </c>
      <c r="B44" s="20"/>
      <c r="C44" s="21"/>
      <c r="D44" s="21"/>
      <c r="E44" s="21"/>
      <c r="F44" s="21"/>
      <c r="G44" s="21"/>
      <c r="H44" s="22"/>
      <c r="I44" s="22"/>
      <c r="J44" s="22"/>
      <c r="K44" s="23" t="str">
        <f aca="false">IF($B44="","",IF(AND(I44="",J44=""),"",I44+J44))</f>
        <v/>
      </c>
      <c r="L44" s="23" t="str">
        <f aca="false">IF(OR($B44="",K44=""),"",K44-H44)</f>
        <v/>
      </c>
      <c r="M44" s="24" t="str">
        <f aca="false">IF($B44="","",IF(AND(I44="",J44=""),"Not Counted",IF(OR(I44="",J44=""),"Partially Counted",IF(L44=0,"Match",IF(L44&gt;0,"Overage","Shortage")))))</f>
        <v/>
      </c>
      <c r="N44" s="24" t="str">
        <f aca="false">IF($B44="","",IF(AND(N44&lt;&gt;"",N44&lt;&gt;0),N44,$B$4))</f>
        <v/>
      </c>
      <c r="O44" s="21"/>
      <c r="P44" s="21"/>
      <c r="Q44" s="21"/>
      <c r="S44" s="12"/>
      <c r="V44" s="14"/>
      <c r="W44" s="14"/>
      <c r="X44" s="15"/>
      <c r="Y44" s="16"/>
      <c r="Z44" s="14"/>
      <c r="AA44" s="17"/>
      <c r="AC44" s="14"/>
      <c r="AD44" s="14"/>
      <c r="AE44" s="15"/>
      <c r="AF44" s="16"/>
      <c r="AG44" s="14"/>
      <c r="AH44" s="17"/>
      <c r="AJ44" s="14"/>
      <c r="AK44" s="14"/>
      <c r="AL44" s="14"/>
      <c r="AM44" s="17"/>
      <c r="AN44" s="15"/>
    </row>
    <row r="45" customFormat="false" ht="15" hidden="false" customHeight="false" outlineLevel="0" collapsed="false">
      <c r="A45" s="19" t="str">
        <f aca="true">IF($B45="","",IF(AND(A45&lt;&gt;"",A45&lt;&gt;0),A45,TODAY()))</f>
        <v/>
      </c>
      <c r="B45" s="20"/>
      <c r="C45" s="21"/>
      <c r="D45" s="21"/>
      <c r="E45" s="21"/>
      <c r="F45" s="21"/>
      <c r="G45" s="21"/>
      <c r="H45" s="22"/>
      <c r="I45" s="22"/>
      <c r="J45" s="22"/>
      <c r="K45" s="23" t="str">
        <f aca="false">IF($B45="","",IF(AND(I45="",J45=""),"",I45+J45))</f>
        <v/>
      </c>
      <c r="L45" s="23" t="str">
        <f aca="false">IF(OR($B45="",K45=""),"",K45-H45)</f>
        <v/>
      </c>
      <c r="M45" s="24" t="str">
        <f aca="false">IF($B45="","",IF(AND(I45="",J45=""),"Not Counted",IF(OR(I45="",J45=""),"Partially Counted",IF(L45=0,"Match",IF(L45&gt;0,"Overage","Shortage")))))</f>
        <v/>
      </c>
      <c r="N45" s="24" t="str">
        <f aca="false">IF($B45="","",IF(AND(N45&lt;&gt;"",N45&lt;&gt;0),N45,$B$4))</f>
        <v/>
      </c>
      <c r="O45" s="21"/>
      <c r="P45" s="21"/>
      <c r="Q45" s="21"/>
      <c r="S45" s="12"/>
      <c r="V45" s="14"/>
      <c r="W45" s="14"/>
      <c r="X45" s="15"/>
      <c r="Y45" s="16"/>
      <c r="Z45" s="14"/>
      <c r="AA45" s="17"/>
      <c r="AC45" s="14"/>
      <c r="AD45" s="14"/>
      <c r="AE45" s="15"/>
      <c r="AF45" s="16"/>
      <c r="AG45" s="14"/>
      <c r="AH45" s="17"/>
      <c r="AJ45" s="14"/>
      <c r="AK45" s="14"/>
      <c r="AL45" s="14"/>
      <c r="AM45" s="17"/>
      <c r="AN45" s="15"/>
    </row>
    <row r="46" customFormat="false" ht="15" hidden="false" customHeight="false" outlineLevel="0" collapsed="false">
      <c r="A46" s="19" t="str">
        <f aca="true">IF($B46="","",IF(AND(A46&lt;&gt;"",A46&lt;&gt;0),A46,TODAY()))</f>
        <v/>
      </c>
      <c r="B46" s="20"/>
      <c r="C46" s="21"/>
      <c r="D46" s="21"/>
      <c r="E46" s="21"/>
      <c r="F46" s="21"/>
      <c r="G46" s="21"/>
      <c r="H46" s="22"/>
      <c r="I46" s="22"/>
      <c r="J46" s="22"/>
      <c r="K46" s="23" t="str">
        <f aca="false">IF($B46="","",IF(AND(I46="",J46=""),"",I46+J46))</f>
        <v/>
      </c>
      <c r="L46" s="23" t="str">
        <f aca="false">IF(OR($B46="",K46=""),"",K46-H46)</f>
        <v/>
      </c>
      <c r="M46" s="24" t="str">
        <f aca="false">IF($B46="","",IF(AND(I46="",J46=""),"Not Counted",IF(OR(I46="",J46=""),"Partially Counted",IF(L46=0,"Match",IF(L46&gt;0,"Overage","Shortage")))))</f>
        <v/>
      </c>
      <c r="N46" s="24" t="str">
        <f aca="false">IF($B46="","",IF(AND(N46&lt;&gt;"",N46&lt;&gt;0),N46,$B$4))</f>
        <v/>
      </c>
      <c r="O46" s="21"/>
      <c r="P46" s="21"/>
      <c r="Q46" s="21"/>
      <c r="S46" s="12"/>
      <c r="V46" s="14"/>
      <c r="W46" s="14"/>
      <c r="X46" s="15"/>
      <c r="Y46" s="16"/>
      <c r="Z46" s="14"/>
      <c r="AA46" s="17"/>
      <c r="AC46" s="14"/>
      <c r="AD46" s="14"/>
      <c r="AE46" s="15"/>
      <c r="AF46" s="16"/>
      <c r="AG46" s="14"/>
      <c r="AH46" s="17"/>
      <c r="AJ46" s="14"/>
      <c r="AK46" s="14"/>
      <c r="AL46" s="14"/>
      <c r="AM46" s="17"/>
      <c r="AN46" s="15"/>
    </row>
    <row r="47" customFormat="false" ht="15" hidden="false" customHeight="false" outlineLevel="0" collapsed="false">
      <c r="A47" s="19" t="str">
        <f aca="true">IF($B47="","",IF(AND(A47&lt;&gt;"",A47&lt;&gt;0),A47,TODAY()))</f>
        <v/>
      </c>
      <c r="B47" s="20"/>
      <c r="C47" s="21"/>
      <c r="D47" s="21"/>
      <c r="E47" s="21"/>
      <c r="F47" s="21"/>
      <c r="G47" s="21"/>
      <c r="H47" s="22"/>
      <c r="I47" s="22"/>
      <c r="J47" s="22"/>
      <c r="K47" s="23" t="str">
        <f aca="false">IF($B47="","",IF(AND(I47="",J47=""),"",I47+J47))</f>
        <v/>
      </c>
      <c r="L47" s="23" t="str">
        <f aca="false">IF(OR($B47="",K47=""),"",K47-H47)</f>
        <v/>
      </c>
      <c r="M47" s="24" t="str">
        <f aca="false">IF($B47="","",IF(AND(I47="",J47=""),"Not Counted",IF(OR(I47="",J47=""),"Partially Counted",IF(L47=0,"Match",IF(L47&gt;0,"Overage","Shortage")))))</f>
        <v/>
      </c>
      <c r="N47" s="24" t="str">
        <f aca="false">IF($B47="","",IF(AND(N47&lt;&gt;"",N47&lt;&gt;0),N47,$B$4))</f>
        <v/>
      </c>
      <c r="O47" s="21"/>
      <c r="P47" s="21"/>
      <c r="Q47" s="21"/>
      <c r="S47" s="12"/>
      <c r="V47" s="14"/>
      <c r="W47" s="14"/>
      <c r="X47" s="15"/>
      <c r="Y47" s="16"/>
      <c r="Z47" s="14"/>
      <c r="AA47" s="17"/>
      <c r="AC47" s="14"/>
      <c r="AD47" s="14"/>
      <c r="AE47" s="15"/>
      <c r="AF47" s="16"/>
      <c r="AG47" s="14"/>
      <c r="AH47" s="17"/>
      <c r="AJ47" s="14"/>
      <c r="AK47" s="14"/>
      <c r="AL47" s="14"/>
      <c r="AM47" s="17"/>
      <c r="AN47" s="15"/>
    </row>
    <row r="48" customFormat="false" ht="15" hidden="false" customHeight="false" outlineLevel="0" collapsed="false">
      <c r="A48" s="19" t="str">
        <f aca="true">IF($B48="","",IF(AND(A48&lt;&gt;"",A48&lt;&gt;0),A48,TODAY()))</f>
        <v/>
      </c>
      <c r="B48" s="20"/>
      <c r="C48" s="21"/>
      <c r="D48" s="21"/>
      <c r="E48" s="21"/>
      <c r="F48" s="21"/>
      <c r="G48" s="21"/>
      <c r="H48" s="22"/>
      <c r="I48" s="22"/>
      <c r="J48" s="22"/>
      <c r="K48" s="23" t="str">
        <f aca="false">IF($B48="","",IF(AND(I48="",J48=""),"",I48+J48))</f>
        <v/>
      </c>
      <c r="L48" s="23" t="str">
        <f aca="false">IF(OR($B48="",K48=""),"",K48-H48)</f>
        <v/>
      </c>
      <c r="M48" s="24" t="str">
        <f aca="false">IF($B48="","",IF(AND(I48="",J48=""),"Not Counted",IF(OR(I48="",J48=""),"Partially Counted",IF(L48=0,"Match",IF(L48&gt;0,"Overage","Shortage")))))</f>
        <v/>
      </c>
      <c r="N48" s="24" t="str">
        <f aca="false">IF($B48="","",IF(AND(N48&lt;&gt;"",N48&lt;&gt;0),N48,$B$4))</f>
        <v/>
      </c>
      <c r="O48" s="21"/>
      <c r="P48" s="21"/>
      <c r="Q48" s="21"/>
      <c r="S48" s="12"/>
      <c r="V48" s="14"/>
      <c r="W48" s="14"/>
      <c r="X48" s="15"/>
      <c r="Y48" s="16"/>
      <c r="Z48" s="14"/>
      <c r="AA48" s="17"/>
      <c r="AC48" s="14"/>
      <c r="AD48" s="14"/>
      <c r="AE48" s="15"/>
      <c r="AF48" s="16"/>
      <c r="AG48" s="14"/>
      <c r="AH48" s="17"/>
      <c r="AJ48" s="14"/>
      <c r="AK48" s="14"/>
      <c r="AL48" s="14"/>
      <c r="AM48" s="17"/>
      <c r="AN48" s="15"/>
    </row>
    <row r="49" customFormat="false" ht="15" hidden="false" customHeight="false" outlineLevel="0" collapsed="false">
      <c r="A49" s="19" t="str">
        <f aca="true">IF($B49="","",IF(AND(A49&lt;&gt;"",A49&lt;&gt;0),A49,TODAY()))</f>
        <v/>
      </c>
      <c r="B49" s="20"/>
      <c r="C49" s="21"/>
      <c r="D49" s="21"/>
      <c r="E49" s="21"/>
      <c r="F49" s="21"/>
      <c r="G49" s="21"/>
      <c r="H49" s="22"/>
      <c r="I49" s="22"/>
      <c r="J49" s="22"/>
      <c r="K49" s="23" t="str">
        <f aca="false">IF($B49="","",IF(AND(I49="",J49=""),"",I49+J49))</f>
        <v/>
      </c>
      <c r="L49" s="23" t="str">
        <f aca="false">IF(OR($B49="",K49=""),"",K49-H49)</f>
        <v/>
      </c>
      <c r="M49" s="24" t="str">
        <f aca="false">IF($B49="","",IF(AND(I49="",J49=""),"Not Counted",IF(OR(I49="",J49=""),"Partially Counted",IF(L49=0,"Match",IF(L49&gt;0,"Overage","Shortage")))))</f>
        <v/>
      </c>
      <c r="N49" s="24" t="str">
        <f aca="false">IF($B49="","",IF(AND(N49&lt;&gt;"",N49&lt;&gt;0),N49,$B$4))</f>
        <v/>
      </c>
      <c r="O49" s="21"/>
      <c r="P49" s="21"/>
      <c r="Q49" s="21"/>
      <c r="S49" s="12"/>
      <c r="V49" s="14"/>
      <c r="W49" s="14"/>
      <c r="X49" s="15"/>
      <c r="Y49" s="16"/>
      <c r="Z49" s="14"/>
      <c r="AA49" s="17"/>
      <c r="AC49" s="14"/>
      <c r="AD49" s="14"/>
      <c r="AE49" s="15"/>
      <c r="AF49" s="16"/>
      <c r="AG49" s="14"/>
      <c r="AH49" s="17"/>
      <c r="AJ49" s="14"/>
      <c r="AK49" s="14"/>
      <c r="AL49" s="14"/>
      <c r="AM49" s="17"/>
      <c r="AN49" s="15"/>
    </row>
    <row r="50" customFormat="false" ht="15" hidden="false" customHeight="false" outlineLevel="0" collapsed="false">
      <c r="A50" s="19" t="str">
        <f aca="true">IF($B50="","",IF(AND(A50&lt;&gt;"",A50&lt;&gt;0),A50,TODAY()))</f>
        <v/>
      </c>
      <c r="B50" s="20"/>
      <c r="C50" s="21"/>
      <c r="D50" s="21"/>
      <c r="E50" s="21"/>
      <c r="F50" s="21"/>
      <c r="G50" s="21"/>
      <c r="H50" s="22"/>
      <c r="I50" s="22"/>
      <c r="J50" s="22"/>
      <c r="K50" s="23" t="str">
        <f aca="false">IF($B50="","",IF(AND(I50="",J50=""),"",I50+J50))</f>
        <v/>
      </c>
      <c r="L50" s="23" t="str">
        <f aca="false">IF(OR($B50="",K50=""),"",K50-H50)</f>
        <v/>
      </c>
      <c r="M50" s="24" t="str">
        <f aca="false">IF($B50="","",IF(AND(I50="",J50=""),"Not Counted",IF(OR(I50="",J50=""),"Partially Counted",IF(L50=0,"Match",IF(L50&gt;0,"Overage","Shortage")))))</f>
        <v/>
      </c>
      <c r="N50" s="24" t="str">
        <f aca="false">IF($B50="","",IF(AND(N50&lt;&gt;"",N50&lt;&gt;0),N50,$B$4))</f>
        <v/>
      </c>
      <c r="O50" s="21"/>
      <c r="P50" s="21"/>
      <c r="Q50" s="21"/>
      <c r="S50" s="12"/>
      <c r="V50" s="14"/>
      <c r="W50" s="14"/>
      <c r="X50" s="15"/>
      <c r="Y50" s="16"/>
      <c r="Z50" s="14"/>
      <c r="AA50" s="17"/>
      <c r="AC50" s="14"/>
      <c r="AD50" s="14"/>
      <c r="AE50" s="15"/>
      <c r="AF50" s="16"/>
      <c r="AG50" s="14"/>
      <c r="AH50" s="17"/>
      <c r="AJ50" s="14"/>
      <c r="AK50" s="14"/>
      <c r="AL50" s="14"/>
      <c r="AM50" s="17"/>
      <c r="AN50" s="15"/>
    </row>
    <row r="51" customFormat="false" ht="15" hidden="false" customHeight="false" outlineLevel="0" collapsed="false">
      <c r="A51" s="19" t="str">
        <f aca="true">IF($B51="","",IF(AND(A51&lt;&gt;"",A51&lt;&gt;0),A51,TODAY()))</f>
        <v/>
      </c>
      <c r="B51" s="20"/>
      <c r="C51" s="21"/>
      <c r="D51" s="21"/>
      <c r="E51" s="21"/>
      <c r="F51" s="21"/>
      <c r="G51" s="21"/>
      <c r="H51" s="22"/>
      <c r="I51" s="22"/>
      <c r="J51" s="22"/>
      <c r="K51" s="23" t="str">
        <f aca="false">IF($B51="","",IF(AND(I51="",J51=""),"",I51+J51))</f>
        <v/>
      </c>
      <c r="L51" s="23" t="str">
        <f aca="false">IF(OR($B51="",K51=""),"",K51-H51)</f>
        <v/>
      </c>
      <c r="M51" s="24" t="str">
        <f aca="false">IF($B51="","",IF(AND(I51="",J51=""),"Not Counted",IF(OR(I51="",J51=""),"Partially Counted",IF(L51=0,"Match",IF(L51&gt;0,"Overage","Shortage")))))</f>
        <v/>
      </c>
      <c r="N51" s="24" t="str">
        <f aca="false">IF($B51="","",IF(AND(N51&lt;&gt;"",N51&lt;&gt;0),N51,$B$4))</f>
        <v/>
      </c>
      <c r="O51" s="21"/>
      <c r="P51" s="21"/>
      <c r="Q51" s="21"/>
      <c r="S51" s="12"/>
      <c r="V51" s="14"/>
      <c r="W51" s="14"/>
      <c r="X51" s="15"/>
      <c r="Y51" s="16"/>
      <c r="Z51" s="14"/>
      <c r="AA51" s="17"/>
      <c r="AC51" s="14"/>
      <c r="AD51" s="14"/>
      <c r="AE51" s="15"/>
      <c r="AF51" s="16"/>
      <c r="AG51" s="14"/>
      <c r="AH51" s="17"/>
      <c r="AJ51" s="14"/>
      <c r="AK51" s="14"/>
      <c r="AL51" s="14"/>
      <c r="AM51" s="17"/>
      <c r="AN51" s="15"/>
    </row>
    <row r="52" customFormat="false" ht="15" hidden="false" customHeight="false" outlineLevel="0" collapsed="false">
      <c r="A52" s="19" t="str">
        <f aca="true">IF($B52="","",IF(AND(A52&lt;&gt;"",A52&lt;&gt;0),A52,TODAY()))</f>
        <v/>
      </c>
      <c r="B52" s="20"/>
      <c r="C52" s="21"/>
      <c r="D52" s="21"/>
      <c r="E52" s="21"/>
      <c r="F52" s="21"/>
      <c r="G52" s="21"/>
      <c r="H52" s="22"/>
      <c r="I52" s="22"/>
      <c r="J52" s="22"/>
      <c r="K52" s="23" t="str">
        <f aca="false">IF($B52="","",IF(AND(I52="",J52=""),"",I52+J52))</f>
        <v/>
      </c>
      <c r="L52" s="23" t="str">
        <f aca="false">IF(OR($B52="",K52=""),"",K52-H52)</f>
        <v/>
      </c>
      <c r="M52" s="24" t="str">
        <f aca="false">IF($B52="","",IF(AND(I52="",J52=""),"Not Counted",IF(OR(I52="",J52=""),"Partially Counted",IF(L52=0,"Match",IF(L52&gt;0,"Overage","Shortage")))))</f>
        <v/>
      </c>
      <c r="N52" s="24" t="str">
        <f aca="false">IF($B52="","",IF(AND(N52&lt;&gt;"",N52&lt;&gt;0),N52,$B$4))</f>
        <v/>
      </c>
      <c r="O52" s="21"/>
      <c r="P52" s="21"/>
      <c r="Q52" s="21"/>
      <c r="S52" s="12"/>
      <c r="V52" s="14"/>
      <c r="W52" s="14"/>
      <c r="X52" s="15"/>
      <c r="Y52" s="16"/>
      <c r="Z52" s="14"/>
      <c r="AA52" s="17"/>
      <c r="AC52" s="14"/>
      <c r="AD52" s="14"/>
      <c r="AE52" s="15"/>
      <c r="AF52" s="16"/>
      <c r="AG52" s="14"/>
      <c r="AH52" s="17"/>
      <c r="AJ52" s="14"/>
      <c r="AK52" s="14"/>
      <c r="AL52" s="14"/>
      <c r="AM52" s="17"/>
      <c r="AN52" s="15"/>
    </row>
    <row r="53" customFormat="false" ht="15" hidden="false" customHeight="false" outlineLevel="0" collapsed="false">
      <c r="A53" s="19" t="str">
        <f aca="true">IF($B53="","",IF(AND(A53&lt;&gt;"",A53&lt;&gt;0),A53,TODAY()))</f>
        <v/>
      </c>
      <c r="B53" s="20"/>
      <c r="C53" s="21"/>
      <c r="D53" s="21"/>
      <c r="E53" s="21"/>
      <c r="F53" s="21"/>
      <c r="G53" s="21"/>
      <c r="H53" s="22"/>
      <c r="I53" s="22"/>
      <c r="J53" s="22"/>
      <c r="K53" s="23" t="str">
        <f aca="false">IF($B53="","",IF(AND(I53="",J53=""),"",I53+J53))</f>
        <v/>
      </c>
      <c r="L53" s="23" t="str">
        <f aca="false">IF(OR($B53="",K53=""),"",K53-H53)</f>
        <v/>
      </c>
      <c r="M53" s="24" t="str">
        <f aca="false">IF($B53="","",IF(AND(I53="",J53=""),"Not Counted",IF(OR(I53="",J53=""),"Partially Counted",IF(L53=0,"Match",IF(L53&gt;0,"Overage","Shortage")))))</f>
        <v/>
      </c>
      <c r="N53" s="24" t="str">
        <f aca="false">IF($B53="","",IF(AND(N53&lt;&gt;"",N53&lt;&gt;0),N53,$B$4))</f>
        <v/>
      </c>
      <c r="O53" s="21"/>
      <c r="P53" s="21"/>
      <c r="Q53" s="21"/>
      <c r="S53" s="12"/>
      <c r="V53" s="14"/>
      <c r="W53" s="14"/>
      <c r="X53" s="15"/>
      <c r="Y53" s="16"/>
      <c r="Z53" s="14"/>
      <c r="AA53" s="17"/>
      <c r="AC53" s="14"/>
      <c r="AD53" s="14"/>
      <c r="AE53" s="15"/>
      <c r="AF53" s="16"/>
      <c r="AG53" s="14"/>
      <c r="AH53" s="17"/>
      <c r="AJ53" s="14"/>
      <c r="AK53" s="14"/>
      <c r="AL53" s="14"/>
      <c r="AM53" s="17"/>
      <c r="AN53" s="15"/>
    </row>
    <row r="54" customFormat="false" ht="15" hidden="false" customHeight="false" outlineLevel="0" collapsed="false">
      <c r="A54" s="19" t="str">
        <f aca="true">IF($B54="","",IF(AND(A54&lt;&gt;"",A54&lt;&gt;0),A54,TODAY()))</f>
        <v/>
      </c>
      <c r="B54" s="20"/>
      <c r="C54" s="21"/>
      <c r="D54" s="21"/>
      <c r="E54" s="21"/>
      <c r="F54" s="21"/>
      <c r="G54" s="21"/>
      <c r="H54" s="22"/>
      <c r="I54" s="22"/>
      <c r="J54" s="22"/>
      <c r="K54" s="23" t="str">
        <f aca="false">IF($B54="","",IF(AND(I54="",J54=""),"",I54+J54))</f>
        <v/>
      </c>
      <c r="L54" s="23" t="str">
        <f aca="false">IF(OR($B54="",K54=""),"",K54-H54)</f>
        <v/>
      </c>
      <c r="M54" s="24" t="str">
        <f aca="false">IF($B54="","",IF(AND(I54="",J54=""),"Not Counted",IF(OR(I54="",J54=""),"Partially Counted",IF(L54=0,"Match",IF(L54&gt;0,"Overage","Shortage")))))</f>
        <v/>
      </c>
      <c r="N54" s="24" t="str">
        <f aca="false">IF($B54="","",IF(AND(N54&lt;&gt;"",N54&lt;&gt;0),N54,$B$4))</f>
        <v/>
      </c>
      <c r="O54" s="21"/>
      <c r="P54" s="21"/>
      <c r="Q54" s="21"/>
      <c r="S54" s="12"/>
      <c r="V54" s="14"/>
      <c r="W54" s="14"/>
      <c r="X54" s="15"/>
      <c r="Y54" s="16"/>
      <c r="Z54" s="14"/>
      <c r="AA54" s="17"/>
      <c r="AC54" s="14"/>
      <c r="AD54" s="14"/>
      <c r="AE54" s="15"/>
      <c r="AF54" s="16"/>
      <c r="AG54" s="14"/>
      <c r="AH54" s="17"/>
      <c r="AJ54" s="14"/>
      <c r="AK54" s="14"/>
      <c r="AL54" s="14"/>
      <c r="AM54" s="17"/>
      <c r="AN54" s="15"/>
    </row>
    <row r="55" customFormat="false" ht="15" hidden="false" customHeight="false" outlineLevel="0" collapsed="false">
      <c r="A55" s="19" t="str">
        <f aca="true">IF($B55="","",IF(AND(A55&lt;&gt;"",A55&lt;&gt;0),A55,TODAY()))</f>
        <v/>
      </c>
      <c r="B55" s="20"/>
      <c r="C55" s="21"/>
      <c r="D55" s="21"/>
      <c r="E55" s="21"/>
      <c r="F55" s="21"/>
      <c r="G55" s="21"/>
      <c r="H55" s="22"/>
      <c r="I55" s="22"/>
      <c r="J55" s="22"/>
      <c r="K55" s="23" t="str">
        <f aca="false">IF($B55="","",IF(AND(I55="",J55=""),"",I55+J55))</f>
        <v/>
      </c>
      <c r="L55" s="23" t="str">
        <f aca="false">IF(OR($B55="",K55=""),"",K55-H55)</f>
        <v/>
      </c>
      <c r="M55" s="24" t="str">
        <f aca="false">IF($B55="","",IF(AND(I55="",J55=""),"Not Counted",IF(OR(I55="",J55=""),"Partially Counted",IF(L55=0,"Match",IF(L55&gt;0,"Overage","Shortage")))))</f>
        <v/>
      </c>
      <c r="N55" s="24" t="str">
        <f aca="false">IF($B55="","",IF(AND(N55&lt;&gt;"",N55&lt;&gt;0),N55,$B$4))</f>
        <v/>
      </c>
      <c r="O55" s="21"/>
      <c r="P55" s="21"/>
      <c r="Q55" s="21"/>
      <c r="S55" s="12"/>
      <c r="V55" s="14"/>
      <c r="W55" s="14"/>
      <c r="X55" s="15"/>
      <c r="Y55" s="16"/>
      <c r="Z55" s="14"/>
      <c r="AA55" s="17"/>
      <c r="AC55" s="14"/>
      <c r="AD55" s="14"/>
      <c r="AE55" s="15"/>
      <c r="AF55" s="16"/>
      <c r="AG55" s="14"/>
      <c r="AH55" s="17"/>
      <c r="AJ55" s="14"/>
      <c r="AK55" s="14"/>
      <c r="AL55" s="14"/>
      <c r="AM55" s="17"/>
      <c r="AN55" s="15"/>
    </row>
    <row r="56" customFormat="false" ht="15" hidden="false" customHeight="false" outlineLevel="0" collapsed="false">
      <c r="A56" s="19" t="str">
        <f aca="true">IF($B56="","",IF(AND(A56&lt;&gt;"",A56&lt;&gt;0),A56,TODAY()))</f>
        <v/>
      </c>
      <c r="B56" s="20"/>
      <c r="C56" s="21"/>
      <c r="D56" s="21"/>
      <c r="E56" s="21"/>
      <c r="F56" s="21"/>
      <c r="G56" s="21"/>
      <c r="H56" s="22"/>
      <c r="I56" s="22"/>
      <c r="J56" s="22"/>
      <c r="K56" s="23" t="str">
        <f aca="false">IF($B56="","",IF(AND(I56="",J56=""),"",I56+J56))</f>
        <v/>
      </c>
      <c r="L56" s="23" t="str">
        <f aca="false">IF(OR($B56="",K56=""),"",K56-H56)</f>
        <v/>
      </c>
      <c r="M56" s="24" t="str">
        <f aca="false">IF($B56="","",IF(AND(I56="",J56=""),"Not Counted",IF(OR(I56="",J56=""),"Partially Counted",IF(L56=0,"Match",IF(L56&gt;0,"Overage","Shortage")))))</f>
        <v/>
      </c>
      <c r="N56" s="24" t="str">
        <f aca="false">IF($B56="","",IF(AND(N56&lt;&gt;"",N56&lt;&gt;0),N56,$B$4))</f>
        <v/>
      </c>
      <c r="O56" s="21"/>
      <c r="P56" s="21"/>
      <c r="Q56" s="21"/>
      <c r="S56" s="12"/>
      <c r="V56" s="14"/>
      <c r="W56" s="14"/>
      <c r="X56" s="15"/>
      <c r="Y56" s="16"/>
      <c r="Z56" s="14"/>
      <c r="AA56" s="17"/>
      <c r="AC56" s="14"/>
      <c r="AD56" s="14"/>
      <c r="AE56" s="15"/>
      <c r="AF56" s="16"/>
      <c r="AG56" s="14"/>
      <c r="AH56" s="17"/>
      <c r="AJ56" s="14"/>
      <c r="AK56" s="14"/>
      <c r="AL56" s="14"/>
      <c r="AM56" s="17"/>
      <c r="AN56" s="15"/>
    </row>
    <row r="57" customFormat="false" ht="15" hidden="false" customHeight="false" outlineLevel="0" collapsed="false">
      <c r="A57" s="19" t="str">
        <f aca="true">IF($B57="","",IF(AND(A57&lt;&gt;"",A57&lt;&gt;0),A57,TODAY()))</f>
        <v/>
      </c>
      <c r="B57" s="20"/>
      <c r="C57" s="21"/>
      <c r="D57" s="21"/>
      <c r="E57" s="21"/>
      <c r="F57" s="21"/>
      <c r="G57" s="21"/>
      <c r="H57" s="22"/>
      <c r="I57" s="22"/>
      <c r="J57" s="22"/>
      <c r="K57" s="23" t="str">
        <f aca="false">IF($B57="","",IF(AND(I57="",J57=""),"",I57+J57))</f>
        <v/>
      </c>
      <c r="L57" s="23" t="str">
        <f aca="false">IF(OR($B57="",K57=""),"",K57-H57)</f>
        <v/>
      </c>
      <c r="M57" s="24" t="str">
        <f aca="false">IF($B57="","",IF(AND(I57="",J57=""),"Not Counted",IF(OR(I57="",J57=""),"Partially Counted",IF(L57=0,"Match",IF(L57&gt;0,"Overage","Shortage")))))</f>
        <v/>
      </c>
      <c r="N57" s="24" t="str">
        <f aca="false">IF($B57="","",IF(AND(N57&lt;&gt;"",N57&lt;&gt;0),N57,$B$4))</f>
        <v/>
      </c>
      <c r="O57" s="21"/>
      <c r="P57" s="21"/>
      <c r="Q57" s="21"/>
      <c r="S57" s="12"/>
      <c r="V57" s="14"/>
      <c r="W57" s="14"/>
      <c r="X57" s="15"/>
      <c r="Y57" s="16"/>
      <c r="Z57" s="14"/>
      <c r="AA57" s="17"/>
      <c r="AC57" s="14"/>
      <c r="AD57" s="14"/>
      <c r="AE57" s="15"/>
      <c r="AF57" s="16"/>
      <c r="AG57" s="14"/>
      <c r="AH57" s="17"/>
      <c r="AJ57" s="14"/>
      <c r="AK57" s="14"/>
      <c r="AL57" s="14"/>
      <c r="AM57" s="17"/>
      <c r="AN57" s="15"/>
    </row>
    <row r="58" customFormat="false" ht="15" hidden="false" customHeight="false" outlineLevel="0" collapsed="false">
      <c r="A58" s="19" t="str">
        <f aca="true">IF($B58="","",IF(AND(A58&lt;&gt;"",A58&lt;&gt;0),A58,TODAY()))</f>
        <v/>
      </c>
      <c r="B58" s="20"/>
      <c r="C58" s="21"/>
      <c r="D58" s="21"/>
      <c r="E58" s="21"/>
      <c r="F58" s="21"/>
      <c r="G58" s="21"/>
      <c r="H58" s="22"/>
      <c r="I58" s="22"/>
      <c r="J58" s="22"/>
      <c r="K58" s="23" t="str">
        <f aca="false">IF($B58="","",IF(AND(I58="",J58=""),"",I58+J58))</f>
        <v/>
      </c>
      <c r="L58" s="23" t="str">
        <f aca="false">IF(OR($B58="",K58=""),"",K58-H58)</f>
        <v/>
      </c>
      <c r="M58" s="24" t="str">
        <f aca="false">IF($B58="","",IF(AND(I58="",J58=""),"Not Counted",IF(OR(I58="",J58=""),"Partially Counted",IF(L58=0,"Match",IF(L58&gt;0,"Overage","Shortage")))))</f>
        <v/>
      </c>
      <c r="N58" s="24" t="str">
        <f aca="false">IF($B58="","",IF(AND(N58&lt;&gt;"",N58&lt;&gt;0),N58,$B$4))</f>
        <v/>
      </c>
      <c r="O58" s="21"/>
      <c r="P58" s="21"/>
      <c r="Q58" s="21"/>
      <c r="S58" s="12"/>
      <c r="V58" s="14"/>
      <c r="W58" s="14"/>
      <c r="X58" s="15"/>
      <c r="Y58" s="16"/>
      <c r="Z58" s="14"/>
      <c r="AA58" s="17"/>
      <c r="AC58" s="14"/>
      <c r="AD58" s="14"/>
      <c r="AE58" s="15"/>
      <c r="AF58" s="16"/>
      <c r="AG58" s="14"/>
      <c r="AH58" s="17"/>
      <c r="AJ58" s="14"/>
      <c r="AK58" s="14"/>
      <c r="AL58" s="14"/>
      <c r="AM58" s="17"/>
      <c r="AN58" s="15"/>
    </row>
    <row r="59" customFormat="false" ht="15" hidden="false" customHeight="false" outlineLevel="0" collapsed="false">
      <c r="A59" s="19" t="str">
        <f aca="true">IF($B59="","",IF(AND(A59&lt;&gt;"",A59&lt;&gt;0),A59,TODAY()))</f>
        <v/>
      </c>
      <c r="B59" s="20"/>
      <c r="C59" s="21"/>
      <c r="D59" s="21"/>
      <c r="E59" s="21"/>
      <c r="F59" s="21"/>
      <c r="G59" s="21"/>
      <c r="H59" s="22"/>
      <c r="I59" s="22"/>
      <c r="J59" s="22"/>
      <c r="K59" s="23" t="str">
        <f aca="false">IF($B59="","",IF(AND(I59="",J59=""),"",I59+J59))</f>
        <v/>
      </c>
      <c r="L59" s="23" t="str">
        <f aca="false">IF(OR($B59="",K59=""),"",K59-H59)</f>
        <v/>
      </c>
      <c r="M59" s="24" t="str">
        <f aca="false">IF($B59="","",IF(AND(I59="",J59=""),"Not Counted",IF(OR(I59="",J59=""),"Partially Counted",IF(L59=0,"Match",IF(L59&gt;0,"Overage","Shortage")))))</f>
        <v/>
      </c>
      <c r="N59" s="24" t="str">
        <f aca="false">IF($B59="","",IF(AND(N59&lt;&gt;"",N59&lt;&gt;0),N59,$B$4))</f>
        <v/>
      </c>
      <c r="O59" s="21"/>
      <c r="P59" s="21"/>
      <c r="Q59" s="21"/>
      <c r="S59" s="12"/>
      <c r="V59" s="14"/>
      <c r="W59" s="14"/>
      <c r="X59" s="15"/>
      <c r="Y59" s="16"/>
      <c r="Z59" s="14"/>
      <c r="AA59" s="17"/>
      <c r="AC59" s="14"/>
      <c r="AD59" s="14"/>
      <c r="AE59" s="15"/>
      <c r="AF59" s="16"/>
      <c r="AG59" s="14"/>
      <c r="AH59" s="17"/>
      <c r="AJ59" s="14"/>
      <c r="AK59" s="14"/>
      <c r="AL59" s="14"/>
      <c r="AM59" s="17"/>
      <c r="AN59" s="15"/>
    </row>
    <row r="60" customFormat="false" ht="15" hidden="false" customHeight="false" outlineLevel="0" collapsed="false">
      <c r="A60" s="19" t="str">
        <f aca="true">IF($B60="","",IF(AND(A60&lt;&gt;"",A60&lt;&gt;0),A60,TODAY()))</f>
        <v/>
      </c>
      <c r="B60" s="20"/>
      <c r="C60" s="21"/>
      <c r="D60" s="21"/>
      <c r="E60" s="21"/>
      <c r="F60" s="21"/>
      <c r="G60" s="21"/>
      <c r="H60" s="22"/>
      <c r="I60" s="22"/>
      <c r="J60" s="22"/>
      <c r="K60" s="23" t="str">
        <f aca="false">IF($B60="","",IF(AND(I60="",J60=""),"",I60+J60))</f>
        <v/>
      </c>
      <c r="L60" s="23" t="str">
        <f aca="false">IF(OR($B60="",K60=""),"",K60-H60)</f>
        <v/>
      </c>
      <c r="M60" s="24" t="str">
        <f aca="false">IF($B60="","",IF(AND(I60="",J60=""),"Not Counted",IF(OR(I60="",J60=""),"Partially Counted",IF(L60=0,"Match",IF(L60&gt;0,"Overage","Shortage")))))</f>
        <v/>
      </c>
      <c r="N60" s="24" t="str">
        <f aca="false">IF($B60="","",IF(AND(N60&lt;&gt;"",N60&lt;&gt;0),N60,$B$4))</f>
        <v/>
      </c>
      <c r="O60" s="21"/>
      <c r="P60" s="21"/>
      <c r="Q60" s="21"/>
      <c r="S60" s="12"/>
      <c r="V60" s="14"/>
      <c r="W60" s="14"/>
      <c r="X60" s="15"/>
      <c r="Y60" s="16"/>
      <c r="Z60" s="14"/>
      <c r="AA60" s="17"/>
      <c r="AC60" s="14"/>
      <c r="AD60" s="14"/>
      <c r="AE60" s="15"/>
      <c r="AF60" s="16"/>
      <c r="AG60" s="14"/>
      <c r="AH60" s="17"/>
      <c r="AJ60" s="14"/>
      <c r="AK60" s="14"/>
      <c r="AL60" s="14"/>
      <c r="AM60" s="17"/>
      <c r="AN60" s="15"/>
    </row>
    <row r="61" customFormat="false" ht="15" hidden="false" customHeight="false" outlineLevel="0" collapsed="false">
      <c r="A61" s="19" t="str">
        <f aca="true">IF($B61="","",IF(AND(A61&lt;&gt;"",A61&lt;&gt;0),A61,TODAY()))</f>
        <v/>
      </c>
      <c r="B61" s="20"/>
      <c r="C61" s="21"/>
      <c r="D61" s="21"/>
      <c r="E61" s="21"/>
      <c r="F61" s="21"/>
      <c r="G61" s="21"/>
      <c r="H61" s="22"/>
      <c r="I61" s="22"/>
      <c r="J61" s="22"/>
      <c r="K61" s="23" t="str">
        <f aca="false">IF($B61="","",IF(AND(I61="",J61=""),"",I61+J61))</f>
        <v/>
      </c>
      <c r="L61" s="23" t="str">
        <f aca="false">IF(OR($B61="",K61=""),"",K61-H61)</f>
        <v/>
      </c>
      <c r="M61" s="24" t="str">
        <f aca="false">IF($B61="","",IF(AND(I61="",J61=""),"Not Counted",IF(OR(I61="",J61=""),"Partially Counted",IF(L61=0,"Match",IF(L61&gt;0,"Overage","Shortage")))))</f>
        <v/>
      </c>
      <c r="N61" s="24" t="str">
        <f aca="false">IF($B61="","",IF(AND(N61&lt;&gt;"",N61&lt;&gt;0),N61,$B$4))</f>
        <v/>
      </c>
      <c r="O61" s="21"/>
      <c r="P61" s="21"/>
      <c r="Q61" s="21"/>
      <c r="S61" s="12"/>
      <c r="V61" s="14"/>
      <c r="W61" s="14"/>
      <c r="X61" s="15"/>
      <c r="Y61" s="16"/>
      <c r="Z61" s="14"/>
      <c r="AA61" s="17"/>
      <c r="AC61" s="14"/>
      <c r="AD61" s="14"/>
      <c r="AE61" s="15"/>
      <c r="AF61" s="16"/>
      <c r="AG61" s="14"/>
      <c r="AH61" s="17"/>
      <c r="AJ61" s="14"/>
      <c r="AK61" s="14"/>
      <c r="AL61" s="14"/>
      <c r="AM61" s="17"/>
      <c r="AN61" s="15"/>
    </row>
    <row r="62" customFormat="false" ht="15" hidden="false" customHeight="false" outlineLevel="0" collapsed="false">
      <c r="A62" s="19" t="str">
        <f aca="true">IF($B62="","",IF(AND(A62&lt;&gt;"",A62&lt;&gt;0),A62,TODAY()))</f>
        <v/>
      </c>
      <c r="B62" s="20"/>
      <c r="C62" s="21"/>
      <c r="D62" s="21"/>
      <c r="E62" s="21"/>
      <c r="F62" s="21"/>
      <c r="G62" s="21"/>
      <c r="H62" s="22"/>
      <c r="I62" s="22"/>
      <c r="J62" s="22"/>
      <c r="K62" s="23" t="str">
        <f aca="false">IF($B62="","",IF(AND(I62="",J62=""),"",I62+J62))</f>
        <v/>
      </c>
      <c r="L62" s="23" t="str">
        <f aca="false">IF(OR($B62="",K62=""),"",K62-H62)</f>
        <v/>
      </c>
      <c r="M62" s="24" t="str">
        <f aca="false">IF($B62="","",IF(AND(I62="",J62=""),"Not Counted",IF(OR(I62="",J62=""),"Partially Counted",IF(L62=0,"Match",IF(L62&gt;0,"Overage","Shortage")))))</f>
        <v/>
      </c>
      <c r="N62" s="24" t="str">
        <f aca="false">IF($B62="","",IF(AND(N62&lt;&gt;"",N62&lt;&gt;0),N62,$B$4))</f>
        <v/>
      </c>
      <c r="O62" s="21"/>
      <c r="P62" s="21"/>
      <c r="Q62" s="21"/>
      <c r="S62" s="12"/>
      <c r="V62" s="14"/>
      <c r="W62" s="14"/>
      <c r="X62" s="15"/>
      <c r="Y62" s="16"/>
      <c r="Z62" s="14"/>
      <c r="AA62" s="17"/>
      <c r="AC62" s="14"/>
      <c r="AD62" s="14"/>
      <c r="AE62" s="15"/>
      <c r="AF62" s="16"/>
      <c r="AG62" s="14"/>
      <c r="AH62" s="17"/>
      <c r="AJ62" s="14"/>
      <c r="AK62" s="14"/>
      <c r="AL62" s="14"/>
      <c r="AM62" s="17"/>
      <c r="AN62" s="15"/>
    </row>
    <row r="63" customFormat="false" ht="15" hidden="false" customHeight="false" outlineLevel="0" collapsed="false">
      <c r="A63" s="19" t="str">
        <f aca="true">IF($B63="","",IF(AND(A63&lt;&gt;"",A63&lt;&gt;0),A63,TODAY()))</f>
        <v/>
      </c>
      <c r="B63" s="20"/>
      <c r="C63" s="21"/>
      <c r="D63" s="21"/>
      <c r="E63" s="21"/>
      <c r="F63" s="21"/>
      <c r="G63" s="21"/>
      <c r="H63" s="22"/>
      <c r="I63" s="22"/>
      <c r="J63" s="22"/>
      <c r="K63" s="23" t="str">
        <f aca="false">IF($B63="","",IF(AND(I63="",J63=""),"",I63+J63))</f>
        <v/>
      </c>
      <c r="L63" s="23" t="str">
        <f aca="false">IF(OR($B63="",K63=""),"",K63-H63)</f>
        <v/>
      </c>
      <c r="M63" s="24" t="str">
        <f aca="false">IF($B63="","",IF(AND(I63="",J63=""),"Not Counted",IF(OR(I63="",J63=""),"Partially Counted",IF(L63=0,"Match",IF(L63&gt;0,"Overage","Shortage")))))</f>
        <v/>
      </c>
      <c r="N63" s="24" t="str">
        <f aca="false">IF($B63="","",IF(AND(N63&lt;&gt;"",N63&lt;&gt;0),N63,$B$4))</f>
        <v/>
      </c>
      <c r="O63" s="21"/>
      <c r="P63" s="21"/>
      <c r="Q63" s="21"/>
      <c r="S63" s="12"/>
      <c r="V63" s="14"/>
      <c r="W63" s="14"/>
      <c r="X63" s="15"/>
      <c r="Y63" s="16"/>
      <c r="Z63" s="14"/>
      <c r="AA63" s="17"/>
      <c r="AC63" s="14"/>
      <c r="AD63" s="14"/>
      <c r="AE63" s="15"/>
      <c r="AF63" s="16"/>
      <c r="AG63" s="14"/>
      <c r="AH63" s="17"/>
      <c r="AJ63" s="14"/>
      <c r="AK63" s="14"/>
      <c r="AL63" s="14"/>
      <c r="AM63" s="17"/>
      <c r="AN63" s="15"/>
    </row>
    <row r="64" customFormat="false" ht="15" hidden="false" customHeight="false" outlineLevel="0" collapsed="false">
      <c r="A64" s="19" t="str">
        <f aca="true">IF($B64="","",IF(AND(A64&lt;&gt;"",A64&lt;&gt;0),A64,TODAY()))</f>
        <v/>
      </c>
      <c r="B64" s="20"/>
      <c r="C64" s="21"/>
      <c r="D64" s="21"/>
      <c r="E64" s="21"/>
      <c r="F64" s="21"/>
      <c r="G64" s="21"/>
      <c r="H64" s="22"/>
      <c r="I64" s="22"/>
      <c r="J64" s="22"/>
      <c r="K64" s="23" t="str">
        <f aca="false">IF($B64="","",IF(AND(I64="",J64=""),"",I64+J64))</f>
        <v/>
      </c>
      <c r="L64" s="23" t="str">
        <f aca="false">IF(OR($B64="",K64=""),"",K64-H64)</f>
        <v/>
      </c>
      <c r="M64" s="24" t="str">
        <f aca="false">IF($B64="","",IF(AND(I64="",J64=""),"Not Counted",IF(OR(I64="",J64=""),"Partially Counted",IF(L64=0,"Match",IF(L64&gt;0,"Overage","Shortage")))))</f>
        <v/>
      </c>
      <c r="N64" s="24" t="str">
        <f aca="false">IF($B64="","",IF(AND(N64&lt;&gt;"",N64&lt;&gt;0),N64,$B$4))</f>
        <v/>
      </c>
      <c r="O64" s="21"/>
      <c r="P64" s="21"/>
      <c r="Q64" s="21"/>
      <c r="S64" s="12"/>
      <c r="V64" s="14"/>
      <c r="W64" s="14"/>
      <c r="X64" s="15"/>
      <c r="Y64" s="16"/>
      <c r="Z64" s="14"/>
      <c r="AA64" s="17"/>
      <c r="AC64" s="14"/>
      <c r="AD64" s="14"/>
      <c r="AE64" s="15"/>
      <c r="AF64" s="16"/>
      <c r="AG64" s="14"/>
      <c r="AH64" s="17"/>
      <c r="AJ64" s="14"/>
      <c r="AK64" s="14"/>
      <c r="AL64" s="14"/>
      <c r="AM64" s="17"/>
      <c r="AN64" s="15"/>
    </row>
    <row r="65" customFormat="false" ht="15" hidden="false" customHeight="false" outlineLevel="0" collapsed="false">
      <c r="A65" s="19" t="str">
        <f aca="true">IF($B65="","",IF(AND(A65&lt;&gt;"",A65&lt;&gt;0),A65,TODAY()))</f>
        <v/>
      </c>
      <c r="B65" s="20"/>
      <c r="C65" s="21"/>
      <c r="D65" s="21"/>
      <c r="E65" s="21"/>
      <c r="F65" s="21"/>
      <c r="G65" s="21"/>
      <c r="H65" s="22"/>
      <c r="I65" s="22"/>
      <c r="J65" s="22"/>
      <c r="K65" s="23" t="str">
        <f aca="false">IF($B65="","",IF(AND(I65="",J65=""),"",I65+J65))</f>
        <v/>
      </c>
      <c r="L65" s="23" t="str">
        <f aca="false">IF(OR($B65="",K65=""),"",K65-H65)</f>
        <v/>
      </c>
      <c r="M65" s="24" t="str">
        <f aca="false">IF($B65="","",IF(AND(I65="",J65=""),"Not Counted",IF(OR(I65="",J65=""),"Partially Counted",IF(L65=0,"Match",IF(L65&gt;0,"Overage","Shortage")))))</f>
        <v/>
      </c>
      <c r="N65" s="24" t="str">
        <f aca="false">IF($B65="","",IF(AND(N65&lt;&gt;"",N65&lt;&gt;0),N65,$B$4))</f>
        <v/>
      </c>
      <c r="O65" s="21"/>
      <c r="P65" s="21"/>
      <c r="Q65" s="21"/>
      <c r="S65" s="12"/>
      <c r="V65" s="14"/>
      <c r="W65" s="14"/>
      <c r="X65" s="15"/>
      <c r="Y65" s="16"/>
      <c r="Z65" s="14"/>
      <c r="AA65" s="17"/>
      <c r="AC65" s="14"/>
      <c r="AD65" s="14"/>
      <c r="AE65" s="15"/>
      <c r="AF65" s="16"/>
      <c r="AG65" s="14"/>
      <c r="AH65" s="17"/>
      <c r="AJ65" s="14"/>
      <c r="AK65" s="14"/>
      <c r="AL65" s="14"/>
      <c r="AM65" s="17"/>
      <c r="AN65" s="15"/>
    </row>
    <row r="66" customFormat="false" ht="15" hidden="false" customHeight="false" outlineLevel="0" collapsed="false">
      <c r="A66" s="19" t="str">
        <f aca="true">IF($B66="","",IF(AND(A66&lt;&gt;"",A66&lt;&gt;0),A66,TODAY()))</f>
        <v/>
      </c>
      <c r="B66" s="20"/>
      <c r="C66" s="21"/>
      <c r="D66" s="21"/>
      <c r="E66" s="21"/>
      <c r="F66" s="21"/>
      <c r="G66" s="21"/>
      <c r="H66" s="22"/>
      <c r="I66" s="22"/>
      <c r="J66" s="22"/>
      <c r="K66" s="23" t="str">
        <f aca="false">IF($B66="","",IF(AND(I66="",J66=""),"",I66+J66))</f>
        <v/>
      </c>
      <c r="L66" s="23" t="str">
        <f aca="false">IF(OR($B66="",K66=""),"",K66-H66)</f>
        <v/>
      </c>
      <c r="M66" s="24" t="str">
        <f aca="false">IF($B66="","",IF(AND(I66="",J66=""),"Not Counted",IF(OR(I66="",J66=""),"Partially Counted",IF(L66=0,"Match",IF(L66&gt;0,"Overage","Shortage")))))</f>
        <v/>
      </c>
      <c r="N66" s="24" t="str">
        <f aca="false">IF($B66="","",IF(AND(N66&lt;&gt;"",N66&lt;&gt;0),N66,$B$4))</f>
        <v/>
      </c>
      <c r="O66" s="21"/>
      <c r="P66" s="21"/>
      <c r="Q66" s="21"/>
      <c r="S66" s="12"/>
      <c r="V66" s="14"/>
      <c r="W66" s="14"/>
      <c r="X66" s="15"/>
      <c r="Y66" s="16"/>
      <c r="Z66" s="14"/>
      <c r="AA66" s="17"/>
      <c r="AC66" s="14"/>
      <c r="AD66" s="14"/>
      <c r="AE66" s="15"/>
      <c r="AF66" s="16"/>
      <c r="AG66" s="14"/>
      <c r="AH66" s="17"/>
      <c r="AJ66" s="14"/>
      <c r="AK66" s="14"/>
      <c r="AL66" s="14"/>
      <c r="AM66" s="17"/>
      <c r="AN66" s="15"/>
    </row>
    <row r="67" customFormat="false" ht="15" hidden="false" customHeight="false" outlineLevel="0" collapsed="false">
      <c r="A67" s="19" t="str">
        <f aca="true">IF($B67="","",IF(AND(A67&lt;&gt;"",A67&lt;&gt;0),A67,TODAY()))</f>
        <v/>
      </c>
      <c r="B67" s="20"/>
      <c r="C67" s="21"/>
      <c r="D67" s="21"/>
      <c r="E67" s="21"/>
      <c r="F67" s="21"/>
      <c r="G67" s="21"/>
      <c r="H67" s="22"/>
      <c r="I67" s="22"/>
      <c r="J67" s="22"/>
      <c r="K67" s="23" t="str">
        <f aca="false">IF($B67="","",IF(AND(I67="",J67=""),"",I67+J67))</f>
        <v/>
      </c>
      <c r="L67" s="23" t="str">
        <f aca="false">IF(OR($B67="",K67=""),"",K67-H67)</f>
        <v/>
      </c>
      <c r="M67" s="24" t="str">
        <f aca="false">IF($B67="","",IF(AND(I67="",J67=""),"Not Counted",IF(OR(I67="",J67=""),"Partially Counted",IF(L67=0,"Match",IF(L67&gt;0,"Overage","Shortage")))))</f>
        <v/>
      </c>
      <c r="N67" s="24" t="str">
        <f aca="false">IF($B67="","",IF(AND(N67&lt;&gt;"",N67&lt;&gt;0),N67,$B$4))</f>
        <v/>
      </c>
      <c r="O67" s="21"/>
      <c r="P67" s="21"/>
      <c r="Q67" s="21"/>
      <c r="S67" s="12"/>
      <c r="V67" s="14"/>
      <c r="W67" s="14"/>
      <c r="X67" s="15"/>
      <c r="Y67" s="16"/>
      <c r="Z67" s="14"/>
      <c r="AA67" s="17"/>
      <c r="AC67" s="14"/>
      <c r="AD67" s="14"/>
      <c r="AE67" s="15"/>
      <c r="AF67" s="16"/>
      <c r="AG67" s="14"/>
      <c r="AH67" s="17"/>
      <c r="AJ67" s="14"/>
      <c r="AK67" s="14"/>
      <c r="AL67" s="14"/>
      <c r="AM67" s="17"/>
      <c r="AN67" s="15"/>
    </row>
    <row r="68" customFormat="false" ht="15" hidden="false" customHeight="false" outlineLevel="0" collapsed="false">
      <c r="A68" s="19" t="str">
        <f aca="true">IF($B68="","",IF(AND(A68&lt;&gt;"",A68&lt;&gt;0),A68,TODAY()))</f>
        <v/>
      </c>
      <c r="B68" s="20"/>
      <c r="C68" s="21"/>
      <c r="D68" s="21"/>
      <c r="E68" s="21"/>
      <c r="F68" s="21"/>
      <c r="G68" s="21"/>
      <c r="H68" s="22"/>
      <c r="I68" s="22"/>
      <c r="J68" s="22"/>
      <c r="K68" s="23" t="str">
        <f aca="false">IF($B68="","",IF(AND(I68="",J68=""),"",I68+J68))</f>
        <v/>
      </c>
      <c r="L68" s="23" t="str">
        <f aca="false">IF(OR($B68="",K68=""),"",K68-H68)</f>
        <v/>
      </c>
      <c r="M68" s="24" t="str">
        <f aca="false">IF($B68="","",IF(AND(I68="",J68=""),"Not Counted",IF(OR(I68="",J68=""),"Partially Counted",IF(L68=0,"Match",IF(L68&gt;0,"Overage","Shortage")))))</f>
        <v/>
      </c>
      <c r="N68" s="24" t="str">
        <f aca="false">IF($B68="","",IF(AND(N68&lt;&gt;"",N68&lt;&gt;0),N68,$B$4))</f>
        <v/>
      </c>
      <c r="O68" s="21"/>
      <c r="P68" s="21"/>
      <c r="Q68" s="21"/>
      <c r="S68" s="12"/>
      <c r="V68" s="14"/>
      <c r="W68" s="14"/>
      <c r="X68" s="15"/>
      <c r="Y68" s="16"/>
      <c r="Z68" s="14"/>
      <c r="AA68" s="17"/>
      <c r="AC68" s="14"/>
      <c r="AD68" s="14"/>
      <c r="AE68" s="15"/>
      <c r="AF68" s="16"/>
      <c r="AG68" s="14"/>
      <c r="AH68" s="17"/>
      <c r="AJ68" s="14"/>
      <c r="AK68" s="14"/>
      <c r="AL68" s="14"/>
      <c r="AM68" s="17"/>
      <c r="AN68" s="15"/>
    </row>
    <row r="69" customFormat="false" ht="15" hidden="false" customHeight="false" outlineLevel="0" collapsed="false">
      <c r="A69" s="19" t="str">
        <f aca="true">IF($B69="","",IF(AND(A69&lt;&gt;"",A69&lt;&gt;0),A69,TODAY()))</f>
        <v/>
      </c>
      <c r="B69" s="20"/>
      <c r="C69" s="21"/>
      <c r="D69" s="21"/>
      <c r="E69" s="21"/>
      <c r="F69" s="21"/>
      <c r="G69" s="21"/>
      <c r="H69" s="22"/>
      <c r="I69" s="22"/>
      <c r="J69" s="22"/>
      <c r="K69" s="23" t="str">
        <f aca="false">IF($B69="","",IF(AND(I69="",J69=""),"",I69+J69))</f>
        <v/>
      </c>
      <c r="L69" s="23" t="str">
        <f aca="false">IF(OR($B69="",K69=""),"",K69-H69)</f>
        <v/>
      </c>
      <c r="M69" s="24" t="str">
        <f aca="false">IF($B69="","",IF(AND(I69="",J69=""),"Not Counted",IF(OR(I69="",J69=""),"Partially Counted",IF(L69=0,"Match",IF(L69&gt;0,"Overage","Shortage")))))</f>
        <v/>
      </c>
      <c r="N69" s="24" t="str">
        <f aca="false">IF($B69="","",IF(AND(N69&lt;&gt;"",N69&lt;&gt;0),N69,$B$4))</f>
        <v/>
      </c>
      <c r="O69" s="21"/>
      <c r="P69" s="21"/>
      <c r="Q69" s="21"/>
      <c r="S69" s="12"/>
      <c r="V69" s="14"/>
      <c r="W69" s="14"/>
      <c r="X69" s="15"/>
      <c r="Y69" s="16"/>
      <c r="Z69" s="14"/>
      <c r="AA69" s="17"/>
      <c r="AC69" s="14"/>
      <c r="AD69" s="14"/>
      <c r="AE69" s="15"/>
      <c r="AF69" s="16"/>
      <c r="AG69" s="14"/>
      <c r="AH69" s="17"/>
      <c r="AJ69" s="14"/>
      <c r="AK69" s="14"/>
      <c r="AL69" s="14"/>
      <c r="AM69" s="17"/>
      <c r="AN69" s="15"/>
    </row>
    <row r="70" customFormat="false" ht="15" hidden="false" customHeight="false" outlineLevel="0" collapsed="false">
      <c r="A70" s="19" t="str">
        <f aca="true">IF($B70="","",IF(AND(A70&lt;&gt;"",A70&lt;&gt;0),A70,TODAY()))</f>
        <v/>
      </c>
      <c r="B70" s="20"/>
      <c r="C70" s="21"/>
      <c r="D70" s="21"/>
      <c r="E70" s="21"/>
      <c r="F70" s="21"/>
      <c r="G70" s="21"/>
      <c r="H70" s="22"/>
      <c r="I70" s="22"/>
      <c r="J70" s="22"/>
      <c r="K70" s="23" t="str">
        <f aca="false">IF($B70="","",IF(AND(I70="",J70=""),"",I70+J70))</f>
        <v/>
      </c>
      <c r="L70" s="23" t="str">
        <f aca="false">IF(OR($B70="",K70=""),"",K70-H70)</f>
        <v/>
      </c>
      <c r="M70" s="24" t="str">
        <f aca="false">IF($B70="","",IF(AND(I70="",J70=""),"Not Counted",IF(OR(I70="",J70=""),"Partially Counted",IF(L70=0,"Match",IF(L70&gt;0,"Overage","Shortage")))))</f>
        <v/>
      </c>
      <c r="N70" s="24" t="str">
        <f aca="false">IF($B70="","",IF(AND(N70&lt;&gt;"",N70&lt;&gt;0),N70,$B$4))</f>
        <v/>
      </c>
      <c r="O70" s="21"/>
      <c r="P70" s="21"/>
      <c r="Q70" s="21"/>
      <c r="S70" s="12"/>
      <c r="V70" s="14"/>
      <c r="W70" s="14"/>
      <c r="X70" s="15"/>
      <c r="Y70" s="16"/>
      <c r="Z70" s="14"/>
      <c r="AA70" s="17"/>
      <c r="AC70" s="14"/>
      <c r="AD70" s="14"/>
      <c r="AE70" s="15"/>
      <c r="AF70" s="16"/>
      <c r="AG70" s="14"/>
      <c r="AH70" s="17"/>
      <c r="AJ70" s="14"/>
      <c r="AK70" s="14"/>
      <c r="AL70" s="14"/>
      <c r="AM70" s="17"/>
      <c r="AN70" s="15"/>
    </row>
    <row r="71" customFormat="false" ht="15" hidden="false" customHeight="false" outlineLevel="0" collapsed="false">
      <c r="A71" s="19" t="str">
        <f aca="true">IF($B71="","",IF(AND(A71&lt;&gt;"",A71&lt;&gt;0),A71,TODAY()))</f>
        <v/>
      </c>
      <c r="B71" s="20"/>
      <c r="C71" s="21"/>
      <c r="D71" s="21"/>
      <c r="E71" s="21"/>
      <c r="F71" s="21"/>
      <c r="G71" s="21"/>
      <c r="H71" s="22"/>
      <c r="I71" s="22"/>
      <c r="J71" s="22"/>
      <c r="K71" s="23" t="str">
        <f aca="false">IF($B71="","",IF(AND(I71="",J71=""),"",I71+J71))</f>
        <v/>
      </c>
      <c r="L71" s="23" t="str">
        <f aca="false">IF(OR($B71="",K71=""),"",K71-H71)</f>
        <v/>
      </c>
      <c r="M71" s="24" t="str">
        <f aca="false">IF($B71="","",IF(AND(I71="",J71=""),"Not Counted",IF(OR(I71="",J71=""),"Partially Counted",IF(L71=0,"Match",IF(L71&gt;0,"Overage","Shortage")))))</f>
        <v/>
      </c>
      <c r="N71" s="24" t="str">
        <f aca="false">IF($B71="","",IF(AND(N71&lt;&gt;"",N71&lt;&gt;0),N71,$B$4))</f>
        <v/>
      </c>
      <c r="O71" s="21"/>
      <c r="P71" s="21"/>
      <c r="Q71" s="21"/>
      <c r="S71" s="12"/>
      <c r="V71" s="14"/>
      <c r="W71" s="14"/>
      <c r="X71" s="15"/>
      <c r="Y71" s="16"/>
      <c r="Z71" s="14"/>
      <c r="AA71" s="17"/>
      <c r="AC71" s="14"/>
      <c r="AD71" s="14"/>
      <c r="AE71" s="15"/>
      <c r="AF71" s="16"/>
      <c r="AG71" s="14"/>
      <c r="AH71" s="17"/>
      <c r="AJ71" s="14"/>
      <c r="AK71" s="14"/>
      <c r="AL71" s="14"/>
      <c r="AM71" s="17"/>
      <c r="AN71" s="15"/>
    </row>
    <row r="72" customFormat="false" ht="15" hidden="false" customHeight="false" outlineLevel="0" collapsed="false">
      <c r="A72" s="19" t="str">
        <f aca="true">IF($B72="","",IF(AND(A72&lt;&gt;"",A72&lt;&gt;0),A72,TODAY()))</f>
        <v/>
      </c>
      <c r="B72" s="20"/>
      <c r="C72" s="21"/>
      <c r="D72" s="21"/>
      <c r="E72" s="21"/>
      <c r="F72" s="21"/>
      <c r="G72" s="21"/>
      <c r="H72" s="22"/>
      <c r="I72" s="22"/>
      <c r="J72" s="22"/>
      <c r="K72" s="23" t="str">
        <f aca="false">IF($B72="","",IF(AND(I72="",J72=""),"",I72+J72))</f>
        <v/>
      </c>
      <c r="L72" s="23" t="str">
        <f aca="false">IF(OR($B72="",K72=""),"",K72-H72)</f>
        <v/>
      </c>
      <c r="M72" s="24" t="str">
        <f aca="false">IF($B72="","",IF(AND(I72="",J72=""),"Not Counted",IF(OR(I72="",J72=""),"Partially Counted",IF(L72=0,"Match",IF(L72&gt;0,"Overage","Shortage")))))</f>
        <v/>
      </c>
      <c r="N72" s="24" t="str">
        <f aca="false">IF($B72="","",IF(AND(N72&lt;&gt;"",N72&lt;&gt;0),N72,$B$4))</f>
        <v/>
      </c>
      <c r="O72" s="21"/>
      <c r="P72" s="21"/>
      <c r="Q72" s="21"/>
      <c r="S72" s="12"/>
      <c r="V72" s="14"/>
      <c r="W72" s="14"/>
      <c r="X72" s="15"/>
      <c r="Y72" s="16"/>
      <c r="Z72" s="14"/>
      <c r="AA72" s="17"/>
      <c r="AC72" s="14"/>
      <c r="AD72" s="14"/>
      <c r="AE72" s="15"/>
      <c r="AF72" s="16"/>
      <c r="AG72" s="14"/>
      <c r="AH72" s="17"/>
      <c r="AJ72" s="14"/>
      <c r="AK72" s="14"/>
      <c r="AL72" s="14"/>
      <c r="AM72" s="17"/>
      <c r="AN72" s="15"/>
    </row>
    <row r="73" customFormat="false" ht="15" hidden="false" customHeight="false" outlineLevel="0" collapsed="false">
      <c r="A73" s="19" t="str">
        <f aca="true">IF($B73="","",IF(AND(A73&lt;&gt;"",A73&lt;&gt;0),A73,TODAY()))</f>
        <v/>
      </c>
      <c r="B73" s="20"/>
      <c r="C73" s="21"/>
      <c r="D73" s="21"/>
      <c r="E73" s="21"/>
      <c r="F73" s="21"/>
      <c r="G73" s="21"/>
      <c r="H73" s="22"/>
      <c r="I73" s="22"/>
      <c r="J73" s="22"/>
      <c r="K73" s="23" t="str">
        <f aca="false">IF($B73="","",IF(AND(I73="",J73=""),"",I73+J73))</f>
        <v/>
      </c>
      <c r="L73" s="23" t="str">
        <f aca="false">IF(OR($B73="",K73=""),"",K73-H73)</f>
        <v/>
      </c>
      <c r="M73" s="24" t="str">
        <f aca="false">IF($B73="","",IF(AND(I73="",J73=""),"Not Counted",IF(OR(I73="",J73=""),"Partially Counted",IF(L73=0,"Match",IF(L73&gt;0,"Overage","Shortage")))))</f>
        <v/>
      </c>
      <c r="N73" s="24" t="str">
        <f aca="false">IF($B73="","",IF(AND(N73&lt;&gt;"",N73&lt;&gt;0),N73,$B$4))</f>
        <v/>
      </c>
      <c r="O73" s="21"/>
      <c r="P73" s="21"/>
      <c r="Q73" s="21"/>
      <c r="S73" s="12"/>
      <c r="V73" s="14"/>
      <c r="W73" s="14"/>
      <c r="X73" s="15"/>
      <c r="Y73" s="16"/>
      <c r="Z73" s="14"/>
      <c r="AA73" s="17"/>
      <c r="AC73" s="14"/>
      <c r="AD73" s="14"/>
      <c r="AE73" s="15"/>
      <c r="AF73" s="16"/>
      <c r="AG73" s="14"/>
      <c r="AH73" s="17"/>
      <c r="AJ73" s="14"/>
      <c r="AK73" s="14"/>
      <c r="AL73" s="14"/>
      <c r="AM73" s="17"/>
      <c r="AN73" s="15"/>
    </row>
    <row r="74" customFormat="false" ht="15" hidden="false" customHeight="false" outlineLevel="0" collapsed="false">
      <c r="A74" s="19" t="str">
        <f aca="true">IF($B74="","",IF(AND(A74&lt;&gt;"",A74&lt;&gt;0),A74,TODAY()))</f>
        <v/>
      </c>
      <c r="B74" s="20"/>
      <c r="C74" s="21"/>
      <c r="D74" s="21"/>
      <c r="E74" s="21"/>
      <c r="F74" s="21"/>
      <c r="G74" s="21"/>
      <c r="H74" s="22"/>
      <c r="I74" s="22"/>
      <c r="J74" s="22"/>
      <c r="K74" s="23" t="str">
        <f aca="false">IF($B74="","",IF(AND(I74="",J74=""),"",I74+J74))</f>
        <v/>
      </c>
      <c r="L74" s="23" t="str">
        <f aca="false">IF(OR($B74="",K74=""),"",K74-H74)</f>
        <v/>
      </c>
      <c r="M74" s="24" t="str">
        <f aca="false">IF($B74="","",IF(AND(I74="",J74=""),"Not Counted",IF(OR(I74="",J74=""),"Partially Counted",IF(L74=0,"Match",IF(L74&gt;0,"Overage","Shortage")))))</f>
        <v/>
      </c>
      <c r="N74" s="24" t="str">
        <f aca="false">IF($B74="","",IF(AND(N74&lt;&gt;"",N74&lt;&gt;0),N74,$B$4))</f>
        <v/>
      </c>
      <c r="O74" s="21"/>
      <c r="P74" s="21"/>
      <c r="Q74" s="21"/>
      <c r="S74" s="12"/>
      <c r="V74" s="14"/>
      <c r="W74" s="14"/>
      <c r="X74" s="15"/>
      <c r="Y74" s="16"/>
      <c r="Z74" s="14"/>
      <c r="AA74" s="17"/>
      <c r="AC74" s="14"/>
      <c r="AD74" s="14"/>
      <c r="AE74" s="15"/>
      <c r="AF74" s="16"/>
      <c r="AG74" s="14"/>
      <c r="AH74" s="17"/>
      <c r="AJ74" s="14"/>
      <c r="AK74" s="14"/>
      <c r="AL74" s="14"/>
      <c r="AM74" s="17"/>
      <c r="AN74" s="15"/>
    </row>
    <row r="75" customFormat="false" ht="15" hidden="false" customHeight="false" outlineLevel="0" collapsed="false">
      <c r="A75" s="19" t="str">
        <f aca="true">IF($B75="","",IF(AND(A75&lt;&gt;"",A75&lt;&gt;0),A75,TODAY()))</f>
        <v/>
      </c>
      <c r="B75" s="20"/>
      <c r="C75" s="21"/>
      <c r="D75" s="21"/>
      <c r="E75" s="21"/>
      <c r="F75" s="21"/>
      <c r="G75" s="21"/>
      <c r="H75" s="22"/>
      <c r="I75" s="22"/>
      <c r="J75" s="22"/>
      <c r="K75" s="23" t="str">
        <f aca="false">IF($B75="","",IF(AND(I75="",J75=""),"",I75+J75))</f>
        <v/>
      </c>
      <c r="L75" s="23" t="str">
        <f aca="false">IF(OR($B75="",K75=""),"",K75-H75)</f>
        <v/>
      </c>
      <c r="M75" s="24" t="str">
        <f aca="false">IF($B75="","",IF(AND(I75="",J75=""),"Not Counted",IF(OR(I75="",J75=""),"Partially Counted",IF(L75=0,"Match",IF(L75&gt;0,"Overage","Shortage")))))</f>
        <v/>
      </c>
      <c r="N75" s="24" t="str">
        <f aca="false">IF($B75="","",IF(AND(N75&lt;&gt;"",N75&lt;&gt;0),N75,$B$4))</f>
        <v/>
      </c>
      <c r="O75" s="21"/>
      <c r="P75" s="21"/>
      <c r="Q75" s="21"/>
      <c r="S75" s="12"/>
      <c r="V75" s="14"/>
      <c r="W75" s="14"/>
      <c r="X75" s="15"/>
      <c r="Y75" s="16"/>
      <c r="Z75" s="14"/>
      <c r="AA75" s="17"/>
      <c r="AC75" s="14"/>
      <c r="AD75" s="14"/>
      <c r="AE75" s="15"/>
      <c r="AF75" s="16"/>
      <c r="AG75" s="14"/>
      <c r="AH75" s="17"/>
      <c r="AJ75" s="14"/>
      <c r="AK75" s="14"/>
      <c r="AL75" s="14"/>
      <c r="AM75" s="17"/>
      <c r="AN75" s="15"/>
    </row>
    <row r="76" customFormat="false" ht="15" hidden="false" customHeight="false" outlineLevel="0" collapsed="false">
      <c r="A76" s="19" t="str">
        <f aca="true">IF($B76="","",IF(AND(A76&lt;&gt;"",A76&lt;&gt;0),A76,TODAY()))</f>
        <v/>
      </c>
      <c r="B76" s="20"/>
      <c r="C76" s="21"/>
      <c r="D76" s="21"/>
      <c r="E76" s="21"/>
      <c r="F76" s="21"/>
      <c r="G76" s="21"/>
      <c r="H76" s="22"/>
      <c r="I76" s="22"/>
      <c r="J76" s="22"/>
      <c r="K76" s="23" t="str">
        <f aca="false">IF($B76="","",IF(AND(I76="",J76=""),"",I76+J76))</f>
        <v/>
      </c>
      <c r="L76" s="23" t="str">
        <f aca="false">IF(OR($B76="",K76=""),"",K76-H76)</f>
        <v/>
      </c>
      <c r="M76" s="24" t="str">
        <f aca="false">IF($B76="","",IF(AND(I76="",J76=""),"Not Counted",IF(OR(I76="",J76=""),"Partially Counted",IF(L76=0,"Match",IF(L76&gt;0,"Overage","Shortage")))))</f>
        <v/>
      </c>
      <c r="N76" s="24" t="str">
        <f aca="false">IF($B76="","",IF(AND(N76&lt;&gt;"",N76&lt;&gt;0),N76,$B$4))</f>
        <v/>
      </c>
      <c r="O76" s="21"/>
      <c r="P76" s="21"/>
      <c r="Q76" s="21"/>
      <c r="S76" s="12"/>
      <c r="V76" s="14"/>
      <c r="W76" s="14"/>
      <c r="X76" s="15"/>
      <c r="Y76" s="16"/>
      <c r="Z76" s="14"/>
      <c r="AA76" s="17"/>
      <c r="AC76" s="14"/>
      <c r="AD76" s="14"/>
      <c r="AE76" s="15"/>
      <c r="AF76" s="16"/>
      <c r="AG76" s="14"/>
      <c r="AH76" s="17"/>
      <c r="AJ76" s="14"/>
      <c r="AK76" s="14"/>
      <c r="AL76" s="14"/>
      <c r="AM76" s="17"/>
      <c r="AN76" s="15"/>
    </row>
    <row r="77" customFormat="false" ht="15" hidden="false" customHeight="false" outlineLevel="0" collapsed="false">
      <c r="A77" s="19" t="str">
        <f aca="true">IF($B77="","",IF(AND(A77&lt;&gt;"",A77&lt;&gt;0),A77,TODAY()))</f>
        <v/>
      </c>
      <c r="B77" s="20"/>
      <c r="C77" s="21"/>
      <c r="D77" s="21"/>
      <c r="E77" s="21"/>
      <c r="F77" s="21"/>
      <c r="G77" s="21"/>
      <c r="H77" s="22"/>
      <c r="I77" s="22"/>
      <c r="J77" s="22"/>
      <c r="K77" s="23" t="str">
        <f aca="false">IF($B77="","",IF(AND(I77="",J77=""),"",I77+J77))</f>
        <v/>
      </c>
      <c r="L77" s="23" t="str">
        <f aca="false">IF(OR($B77="",K77=""),"",K77-H77)</f>
        <v/>
      </c>
      <c r="M77" s="24" t="str">
        <f aca="false">IF($B77="","",IF(AND(I77="",J77=""),"Not Counted",IF(OR(I77="",J77=""),"Partially Counted",IF(L77=0,"Match",IF(L77&gt;0,"Overage","Shortage")))))</f>
        <v/>
      </c>
      <c r="N77" s="24" t="str">
        <f aca="false">IF($B77="","",IF(AND(N77&lt;&gt;"",N77&lt;&gt;0),N77,$B$4))</f>
        <v/>
      </c>
      <c r="O77" s="21"/>
      <c r="P77" s="21"/>
      <c r="Q77" s="21"/>
      <c r="S77" s="12"/>
      <c r="V77" s="14"/>
      <c r="W77" s="14"/>
      <c r="X77" s="15"/>
      <c r="Y77" s="16"/>
      <c r="Z77" s="14"/>
      <c r="AA77" s="17"/>
      <c r="AC77" s="14"/>
      <c r="AD77" s="14"/>
      <c r="AE77" s="15"/>
      <c r="AF77" s="16"/>
      <c r="AG77" s="14"/>
      <c r="AH77" s="17"/>
      <c r="AJ77" s="14"/>
      <c r="AK77" s="14"/>
      <c r="AL77" s="14"/>
      <c r="AM77" s="17"/>
      <c r="AN77" s="15"/>
    </row>
    <row r="78" customFormat="false" ht="15" hidden="false" customHeight="false" outlineLevel="0" collapsed="false">
      <c r="A78" s="19" t="str">
        <f aca="true">IF($B78="","",IF(AND(A78&lt;&gt;"",A78&lt;&gt;0),A78,TODAY()))</f>
        <v/>
      </c>
      <c r="B78" s="20"/>
      <c r="C78" s="21"/>
      <c r="D78" s="21"/>
      <c r="E78" s="21"/>
      <c r="F78" s="21"/>
      <c r="G78" s="21"/>
      <c r="H78" s="22"/>
      <c r="I78" s="22"/>
      <c r="J78" s="22"/>
      <c r="K78" s="23" t="str">
        <f aca="false">IF($B78="","",IF(AND(I78="",J78=""),"",I78+J78))</f>
        <v/>
      </c>
      <c r="L78" s="23" t="str">
        <f aca="false">IF(OR($B78="",K78=""),"",K78-H78)</f>
        <v/>
      </c>
      <c r="M78" s="24" t="str">
        <f aca="false">IF($B78="","",IF(AND(I78="",J78=""),"Not Counted",IF(OR(I78="",J78=""),"Partially Counted",IF(L78=0,"Match",IF(L78&gt;0,"Overage","Shortage")))))</f>
        <v/>
      </c>
      <c r="N78" s="24" t="str">
        <f aca="false">IF($B78="","",IF(AND(N78&lt;&gt;"",N78&lt;&gt;0),N78,$B$4))</f>
        <v/>
      </c>
      <c r="O78" s="21"/>
      <c r="P78" s="21"/>
      <c r="Q78" s="21"/>
      <c r="S78" s="12"/>
      <c r="V78" s="14"/>
      <c r="W78" s="14"/>
      <c r="X78" s="15"/>
      <c r="Y78" s="16"/>
      <c r="Z78" s="14"/>
      <c r="AA78" s="17"/>
      <c r="AC78" s="14"/>
      <c r="AD78" s="14"/>
      <c r="AE78" s="15"/>
      <c r="AF78" s="16"/>
      <c r="AG78" s="14"/>
      <c r="AH78" s="17"/>
      <c r="AJ78" s="14"/>
      <c r="AK78" s="14"/>
      <c r="AL78" s="14"/>
      <c r="AM78" s="17"/>
      <c r="AN78" s="15"/>
    </row>
    <row r="79" customFormat="false" ht="15" hidden="false" customHeight="false" outlineLevel="0" collapsed="false">
      <c r="A79" s="19" t="str">
        <f aca="true">IF($B79="","",IF(AND(A79&lt;&gt;"",A79&lt;&gt;0),A79,TODAY()))</f>
        <v/>
      </c>
      <c r="B79" s="20"/>
      <c r="C79" s="21"/>
      <c r="D79" s="21"/>
      <c r="E79" s="21"/>
      <c r="F79" s="21"/>
      <c r="G79" s="21"/>
      <c r="H79" s="22"/>
      <c r="I79" s="22"/>
      <c r="J79" s="22"/>
      <c r="K79" s="23" t="str">
        <f aca="false">IF($B79="","",IF(AND(I79="",J79=""),"",I79+J79))</f>
        <v/>
      </c>
      <c r="L79" s="23" t="str">
        <f aca="false">IF(OR($B79="",K79=""),"",K79-H79)</f>
        <v/>
      </c>
      <c r="M79" s="24" t="str">
        <f aca="false">IF($B79="","",IF(AND(I79="",J79=""),"Not Counted",IF(OR(I79="",J79=""),"Partially Counted",IF(L79=0,"Match",IF(L79&gt;0,"Overage","Shortage")))))</f>
        <v/>
      </c>
      <c r="N79" s="24" t="str">
        <f aca="false">IF($B79="","",IF(AND(N79&lt;&gt;"",N79&lt;&gt;0),N79,$B$4))</f>
        <v/>
      </c>
      <c r="O79" s="21"/>
      <c r="P79" s="21"/>
      <c r="Q79" s="21"/>
      <c r="S79" s="12"/>
      <c r="V79" s="14"/>
      <c r="W79" s="14"/>
      <c r="X79" s="15"/>
      <c r="Y79" s="16"/>
      <c r="Z79" s="14"/>
      <c r="AA79" s="17"/>
      <c r="AC79" s="14"/>
      <c r="AD79" s="14"/>
      <c r="AE79" s="15"/>
      <c r="AF79" s="16"/>
      <c r="AG79" s="14"/>
      <c r="AH79" s="17"/>
      <c r="AJ79" s="14"/>
      <c r="AK79" s="14"/>
      <c r="AL79" s="14"/>
      <c r="AM79" s="17"/>
      <c r="AN79" s="15"/>
    </row>
    <row r="80" customFormat="false" ht="15" hidden="false" customHeight="false" outlineLevel="0" collapsed="false">
      <c r="A80" s="19" t="str">
        <f aca="true">IF($B80="","",IF(AND(A80&lt;&gt;"",A80&lt;&gt;0),A80,TODAY()))</f>
        <v/>
      </c>
      <c r="B80" s="20"/>
      <c r="C80" s="21"/>
      <c r="D80" s="21"/>
      <c r="E80" s="21"/>
      <c r="F80" s="21"/>
      <c r="G80" s="21"/>
      <c r="H80" s="22"/>
      <c r="I80" s="22"/>
      <c r="J80" s="22"/>
      <c r="K80" s="23" t="str">
        <f aca="false">IF($B80="","",IF(AND(I80="",J80=""),"",I80+J80))</f>
        <v/>
      </c>
      <c r="L80" s="23" t="str">
        <f aca="false">IF(OR($B80="",K80=""),"",K80-H80)</f>
        <v/>
      </c>
      <c r="M80" s="24" t="str">
        <f aca="false">IF($B80="","",IF(AND(I80="",J80=""),"Not Counted",IF(OR(I80="",J80=""),"Partially Counted",IF(L80=0,"Match",IF(L80&gt;0,"Overage","Shortage")))))</f>
        <v/>
      </c>
      <c r="N80" s="24" t="str">
        <f aca="false">IF($B80="","",IF(AND(N80&lt;&gt;"",N80&lt;&gt;0),N80,$B$4))</f>
        <v/>
      </c>
      <c r="O80" s="21"/>
      <c r="P80" s="21"/>
      <c r="Q80" s="21"/>
      <c r="S80" s="12"/>
      <c r="V80" s="14"/>
      <c r="W80" s="14"/>
      <c r="X80" s="15"/>
      <c r="Y80" s="16"/>
      <c r="Z80" s="14"/>
      <c r="AA80" s="17"/>
      <c r="AC80" s="14"/>
      <c r="AD80" s="14"/>
      <c r="AE80" s="15"/>
      <c r="AF80" s="16"/>
      <c r="AG80" s="14"/>
      <c r="AH80" s="17"/>
      <c r="AJ80" s="14"/>
      <c r="AK80" s="14"/>
      <c r="AL80" s="14"/>
      <c r="AM80" s="17"/>
      <c r="AN80" s="15"/>
    </row>
    <row r="81" customFormat="false" ht="15" hidden="false" customHeight="false" outlineLevel="0" collapsed="false">
      <c r="A81" s="19" t="str">
        <f aca="true">IF($B81="","",IF(AND(A81&lt;&gt;"",A81&lt;&gt;0),A81,TODAY()))</f>
        <v/>
      </c>
      <c r="B81" s="20"/>
      <c r="C81" s="21"/>
      <c r="D81" s="21"/>
      <c r="E81" s="21"/>
      <c r="F81" s="21"/>
      <c r="G81" s="21"/>
      <c r="H81" s="22"/>
      <c r="I81" s="22"/>
      <c r="J81" s="22"/>
      <c r="K81" s="23" t="str">
        <f aca="false">IF($B81="","",IF(AND(I81="",J81=""),"",I81+J81))</f>
        <v/>
      </c>
      <c r="L81" s="23" t="str">
        <f aca="false">IF(OR($B81="",K81=""),"",K81-H81)</f>
        <v/>
      </c>
      <c r="M81" s="24" t="str">
        <f aca="false">IF($B81="","",IF(AND(I81="",J81=""),"Not Counted",IF(OR(I81="",J81=""),"Partially Counted",IF(L81=0,"Match",IF(L81&gt;0,"Overage","Shortage")))))</f>
        <v/>
      </c>
      <c r="N81" s="24" t="str">
        <f aca="false">IF($B81="","",IF(AND(N81&lt;&gt;"",N81&lt;&gt;0),N81,$B$4))</f>
        <v/>
      </c>
      <c r="O81" s="21"/>
      <c r="P81" s="21"/>
      <c r="Q81" s="21"/>
      <c r="S81" s="12"/>
      <c r="V81" s="14"/>
      <c r="W81" s="14"/>
      <c r="X81" s="15"/>
      <c r="Y81" s="16"/>
      <c r="Z81" s="14"/>
      <c r="AA81" s="17"/>
      <c r="AC81" s="14"/>
      <c r="AD81" s="14"/>
      <c r="AE81" s="15"/>
      <c r="AF81" s="16"/>
      <c r="AG81" s="14"/>
      <c r="AH81" s="17"/>
      <c r="AJ81" s="14"/>
      <c r="AK81" s="14"/>
      <c r="AL81" s="14"/>
      <c r="AM81" s="17"/>
      <c r="AN81" s="15"/>
    </row>
    <row r="82" customFormat="false" ht="15" hidden="false" customHeight="false" outlineLevel="0" collapsed="false">
      <c r="A82" s="19" t="str">
        <f aca="true">IF($B82="","",IF(AND(A82&lt;&gt;"",A82&lt;&gt;0),A82,TODAY()))</f>
        <v/>
      </c>
      <c r="B82" s="20"/>
      <c r="C82" s="21"/>
      <c r="D82" s="21"/>
      <c r="E82" s="21"/>
      <c r="F82" s="21"/>
      <c r="G82" s="21"/>
      <c r="H82" s="22"/>
      <c r="I82" s="22"/>
      <c r="J82" s="22"/>
      <c r="K82" s="23" t="str">
        <f aca="false">IF($B82="","",IF(AND(I82="",J82=""),"",I82+J82))</f>
        <v/>
      </c>
      <c r="L82" s="23" t="str">
        <f aca="false">IF(OR($B82="",K82=""),"",K82-H82)</f>
        <v/>
      </c>
      <c r="M82" s="24" t="str">
        <f aca="false">IF($B82="","",IF(AND(I82="",J82=""),"Not Counted",IF(OR(I82="",J82=""),"Partially Counted",IF(L82=0,"Match",IF(L82&gt;0,"Overage","Shortage")))))</f>
        <v/>
      </c>
      <c r="N82" s="24" t="str">
        <f aca="false">IF($B82="","",IF(AND(N82&lt;&gt;"",N82&lt;&gt;0),N82,$B$4))</f>
        <v/>
      </c>
      <c r="O82" s="21"/>
      <c r="P82" s="21"/>
      <c r="Q82" s="21"/>
      <c r="S82" s="12"/>
      <c r="V82" s="14"/>
      <c r="W82" s="14"/>
      <c r="X82" s="15"/>
      <c r="Y82" s="16"/>
      <c r="Z82" s="14"/>
      <c r="AA82" s="17"/>
      <c r="AC82" s="14"/>
      <c r="AD82" s="14"/>
      <c r="AE82" s="15"/>
      <c r="AF82" s="16"/>
      <c r="AG82" s="14"/>
      <c r="AH82" s="17"/>
      <c r="AJ82" s="14"/>
      <c r="AK82" s="14"/>
      <c r="AL82" s="14"/>
      <c r="AM82" s="17"/>
      <c r="AN82" s="15"/>
    </row>
    <row r="83" customFormat="false" ht="15" hidden="false" customHeight="false" outlineLevel="0" collapsed="false">
      <c r="A83" s="19" t="str">
        <f aca="true">IF($B83="","",IF(AND(A83&lt;&gt;"",A83&lt;&gt;0),A83,TODAY()))</f>
        <v/>
      </c>
      <c r="B83" s="20"/>
      <c r="C83" s="21"/>
      <c r="D83" s="21"/>
      <c r="E83" s="21"/>
      <c r="F83" s="21"/>
      <c r="G83" s="21"/>
      <c r="H83" s="22"/>
      <c r="I83" s="22"/>
      <c r="J83" s="22"/>
      <c r="K83" s="23" t="str">
        <f aca="false">IF($B83="","",IF(AND(I83="",J83=""),"",I83+J83))</f>
        <v/>
      </c>
      <c r="L83" s="23" t="str">
        <f aca="false">IF(OR($B83="",K83=""),"",K83-H83)</f>
        <v/>
      </c>
      <c r="M83" s="24" t="str">
        <f aca="false">IF($B83="","",IF(AND(I83="",J83=""),"Not Counted",IF(OR(I83="",J83=""),"Partially Counted",IF(L83=0,"Match",IF(L83&gt;0,"Overage","Shortage")))))</f>
        <v/>
      </c>
      <c r="N83" s="24" t="str">
        <f aca="false">IF($B83="","",IF(AND(N83&lt;&gt;"",N83&lt;&gt;0),N83,$B$4))</f>
        <v/>
      </c>
      <c r="O83" s="21"/>
      <c r="P83" s="21"/>
      <c r="Q83" s="21"/>
      <c r="S83" s="12"/>
      <c r="V83" s="14"/>
      <c r="W83" s="14"/>
      <c r="X83" s="15"/>
      <c r="Y83" s="16"/>
      <c r="Z83" s="14"/>
      <c r="AA83" s="17"/>
      <c r="AC83" s="14"/>
      <c r="AD83" s="14"/>
      <c r="AE83" s="15"/>
      <c r="AF83" s="16"/>
      <c r="AG83" s="14"/>
      <c r="AH83" s="17"/>
      <c r="AJ83" s="14"/>
      <c r="AK83" s="14"/>
      <c r="AL83" s="14"/>
      <c r="AM83" s="17"/>
      <c r="AN83" s="15"/>
    </row>
    <row r="84" customFormat="false" ht="15" hidden="false" customHeight="false" outlineLevel="0" collapsed="false">
      <c r="A84" s="19" t="str">
        <f aca="true">IF($B84="","",IF(AND(A84&lt;&gt;"",A84&lt;&gt;0),A84,TODAY()))</f>
        <v/>
      </c>
      <c r="B84" s="20"/>
      <c r="C84" s="21"/>
      <c r="D84" s="21"/>
      <c r="E84" s="21"/>
      <c r="F84" s="21"/>
      <c r="G84" s="21"/>
      <c r="H84" s="22"/>
      <c r="I84" s="22"/>
      <c r="J84" s="22"/>
      <c r="K84" s="23" t="str">
        <f aca="false">IF($B84="","",IF(AND(I84="",J84=""),"",I84+J84))</f>
        <v/>
      </c>
      <c r="L84" s="23" t="str">
        <f aca="false">IF(OR($B84="",K84=""),"",K84-H84)</f>
        <v/>
      </c>
      <c r="M84" s="24" t="str">
        <f aca="false">IF($B84="","",IF(AND(I84="",J84=""),"Not Counted",IF(OR(I84="",J84=""),"Partially Counted",IF(L84=0,"Match",IF(L84&gt;0,"Overage","Shortage")))))</f>
        <v/>
      </c>
      <c r="N84" s="24" t="str">
        <f aca="false">IF($B84="","",IF(AND(N84&lt;&gt;"",N84&lt;&gt;0),N84,$B$4))</f>
        <v/>
      </c>
      <c r="O84" s="21"/>
      <c r="P84" s="21"/>
      <c r="Q84" s="21"/>
      <c r="S84" s="12"/>
      <c r="V84" s="14"/>
      <c r="W84" s="14"/>
      <c r="X84" s="15"/>
      <c r="Y84" s="16"/>
      <c r="Z84" s="14"/>
      <c r="AA84" s="17"/>
      <c r="AC84" s="14"/>
      <c r="AD84" s="14"/>
      <c r="AE84" s="15"/>
      <c r="AF84" s="16"/>
      <c r="AG84" s="14"/>
      <c r="AH84" s="17"/>
      <c r="AJ84" s="14"/>
      <c r="AK84" s="14"/>
      <c r="AL84" s="14"/>
      <c r="AM84" s="17"/>
      <c r="AN84" s="15"/>
    </row>
    <row r="85" customFormat="false" ht="15" hidden="false" customHeight="false" outlineLevel="0" collapsed="false">
      <c r="A85" s="19" t="str">
        <f aca="true">IF($B85="","",IF(AND(A85&lt;&gt;"",A85&lt;&gt;0),A85,TODAY()))</f>
        <v/>
      </c>
      <c r="B85" s="20"/>
      <c r="C85" s="21"/>
      <c r="D85" s="21"/>
      <c r="E85" s="21"/>
      <c r="F85" s="21"/>
      <c r="G85" s="21"/>
      <c r="H85" s="22"/>
      <c r="I85" s="22"/>
      <c r="J85" s="22"/>
      <c r="K85" s="23" t="str">
        <f aca="false">IF($B85="","",IF(AND(I85="",J85=""),"",I85+J85))</f>
        <v/>
      </c>
      <c r="L85" s="23" t="str">
        <f aca="false">IF(OR($B85="",K85=""),"",K85-H85)</f>
        <v/>
      </c>
      <c r="M85" s="24" t="str">
        <f aca="false">IF($B85="","",IF(AND(I85="",J85=""),"Not Counted",IF(OR(I85="",J85=""),"Partially Counted",IF(L85=0,"Match",IF(L85&gt;0,"Overage","Shortage")))))</f>
        <v/>
      </c>
      <c r="N85" s="24" t="str">
        <f aca="false">IF($B85="","",IF(AND(N85&lt;&gt;"",N85&lt;&gt;0),N85,$B$4))</f>
        <v/>
      </c>
      <c r="O85" s="21"/>
      <c r="P85" s="21"/>
      <c r="Q85" s="21"/>
      <c r="S85" s="12"/>
      <c r="V85" s="14"/>
      <c r="W85" s="14"/>
      <c r="X85" s="15"/>
      <c r="Y85" s="16"/>
      <c r="Z85" s="14"/>
      <c r="AA85" s="17"/>
      <c r="AC85" s="14"/>
      <c r="AD85" s="14"/>
      <c r="AE85" s="15"/>
      <c r="AF85" s="16"/>
      <c r="AG85" s="14"/>
      <c r="AH85" s="17"/>
      <c r="AJ85" s="14"/>
      <c r="AK85" s="14"/>
      <c r="AL85" s="14"/>
      <c r="AM85" s="17"/>
      <c r="AN85" s="15"/>
    </row>
    <row r="86" customFormat="false" ht="15" hidden="false" customHeight="false" outlineLevel="0" collapsed="false">
      <c r="A86" s="19" t="str">
        <f aca="true">IF($B86="","",IF(AND(A86&lt;&gt;"",A86&lt;&gt;0),A86,TODAY()))</f>
        <v/>
      </c>
      <c r="B86" s="20"/>
      <c r="C86" s="21"/>
      <c r="D86" s="21"/>
      <c r="E86" s="21"/>
      <c r="F86" s="21"/>
      <c r="G86" s="21"/>
      <c r="H86" s="22"/>
      <c r="I86" s="22"/>
      <c r="J86" s="22"/>
      <c r="K86" s="23" t="str">
        <f aca="false">IF($B86="","",IF(AND(I86="",J86=""),"",I86+J86))</f>
        <v/>
      </c>
      <c r="L86" s="23" t="str">
        <f aca="false">IF(OR($B86="",K86=""),"",K86-H86)</f>
        <v/>
      </c>
      <c r="M86" s="24" t="str">
        <f aca="false">IF($B86="","",IF(AND(I86="",J86=""),"Not Counted",IF(OR(I86="",J86=""),"Partially Counted",IF(L86=0,"Match",IF(L86&gt;0,"Overage","Shortage")))))</f>
        <v/>
      </c>
      <c r="N86" s="24" t="str">
        <f aca="false">IF($B86="","",IF(AND(N86&lt;&gt;"",N86&lt;&gt;0),N86,$B$4))</f>
        <v/>
      </c>
      <c r="O86" s="21"/>
      <c r="P86" s="21"/>
      <c r="Q86" s="21"/>
      <c r="S86" s="12"/>
      <c r="V86" s="14"/>
      <c r="W86" s="14"/>
      <c r="X86" s="15"/>
      <c r="Y86" s="16"/>
      <c r="Z86" s="14"/>
      <c r="AA86" s="17"/>
      <c r="AC86" s="14"/>
      <c r="AD86" s="14"/>
      <c r="AE86" s="15"/>
      <c r="AF86" s="16"/>
      <c r="AG86" s="14"/>
      <c r="AH86" s="17"/>
      <c r="AJ86" s="14"/>
      <c r="AK86" s="14"/>
      <c r="AL86" s="14"/>
      <c r="AM86" s="17"/>
      <c r="AN86" s="15"/>
    </row>
    <row r="87" customFormat="false" ht="15" hidden="false" customHeight="false" outlineLevel="0" collapsed="false">
      <c r="A87" s="19" t="str">
        <f aca="true">IF($B87="","",IF(AND(A87&lt;&gt;"",A87&lt;&gt;0),A87,TODAY()))</f>
        <v/>
      </c>
      <c r="B87" s="20"/>
      <c r="C87" s="21"/>
      <c r="D87" s="21"/>
      <c r="E87" s="21"/>
      <c r="F87" s="21"/>
      <c r="G87" s="21"/>
      <c r="H87" s="22"/>
      <c r="I87" s="22"/>
      <c r="J87" s="22"/>
      <c r="K87" s="23" t="str">
        <f aca="false">IF($B87="","",IF(AND(I87="",J87=""),"",I87+J87))</f>
        <v/>
      </c>
      <c r="L87" s="23" t="str">
        <f aca="false">IF(OR($B87="",K87=""),"",K87-H87)</f>
        <v/>
      </c>
      <c r="M87" s="24" t="str">
        <f aca="false">IF($B87="","",IF(AND(I87="",J87=""),"Not Counted",IF(OR(I87="",J87=""),"Partially Counted",IF(L87=0,"Match",IF(L87&gt;0,"Overage","Shortage")))))</f>
        <v/>
      </c>
      <c r="N87" s="24" t="str">
        <f aca="false">IF($B87="","",IF(AND(N87&lt;&gt;"",N87&lt;&gt;0),N87,$B$4))</f>
        <v/>
      </c>
      <c r="O87" s="21"/>
      <c r="P87" s="21"/>
      <c r="Q87" s="21"/>
      <c r="S87" s="12"/>
      <c r="V87" s="14"/>
      <c r="W87" s="14"/>
      <c r="X87" s="15"/>
      <c r="Y87" s="16"/>
      <c r="Z87" s="14"/>
      <c r="AA87" s="17"/>
      <c r="AC87" s="14"/>
      <c r="AD87" s="14"/>
      <c r="AE87" s="15"/>
      <c r="AF87" s="16"/>
      <c r="AG87" s="14"/>
      <c r="AH87" s="17"/>
      <c r="AJ87" s="14"/>
      <c r="AK87" s="14"/>
      <c r="AL87" s="14"/>
      <c r="AM87" s="17"/>
      <c r="AN87" s="15"/>
    </row>
    <row r="88" customFormat="false" ht="15" hidden="false" customHeight="false" outlineLevel="0" collapsed="false">
      <c r="A88" s="19" t="str">
        <f aca="true">IF($B88="","",IF(AND(A88&lt;&gt;"",A88&lt;&gt;0),A88,TODAY()))</f>
        <v/>
      </c>
      <c r="B88" s="20"/>
      <c r="C88" s="21"/>
      <c r="D88" s="21"/>
      <c r="E88" s="21"/>
      <c r="F88" s="21"/>
      <c r="G88" s="21"/>
      <c r="H88" s="22"/>
      <c r="I88" s="22"/>
      <c r="J88" s="22"/>
      <c r="K88" s="23" t="str">
        <f aca="false">IF($B88="","",IF(AND(I88="",J88=""),"",I88+J88))</f>
        <v/>
      </c>
      <c r="L88" s="23" t="str">
        <f aca="false">IF(OR($B88="",K88=""),"",K88-H88)</f>
        <v/>
      </c>
      <c r="M88" s="24" t="str">
        <f aca="false">IF($B88="","",IF(AND(I88="",J88=""),"Not Counted",IF(OR(I88="",J88=""),"Partially Counted",IF(L88=0,"Match",IF(L88&gt;0,"Overage","Shortage")))))</f>
        <v/>
      </c>
      <c r="N88" s="24" t="str">
        <f aca="false">IF($B88="","",IF(AND(N88&lt;&gt;"",N88&lt;&gt;0),N88,$B$4))</f>
        <v/>
      </c>
      <c r="O88" s="21"/>
      <c r="P88" s="21"/>
      <c r="Q88" s="21"/>
      <c r="S88" s="12"/>
      <c r="V88" s="14"/>
      <c r="W88" s="14"/>
      <c r="X88" s="15"/>
      <c r="Y88" s="16"/>
      <c r="Z88" s="14"/>
      <c r="AA88" s="17"/>
      <c r="AC88" s="14"/>
      <c r="AD88" s="14"/>
      <c r="AE88" s="15"/>
      <c r="AF88" s="16"/>
      <c r="AG88" s="14"/>
      <c r="AH88" s="17"/>
      <c r="AJ88" s="14"/>
      <c r="AK88" s="14"/>
      <c r="AL88" s="14"/>
      <c r="AM88" s="17"/>
      <c r="AN88" s="15"/>
    </row>
    <row r="89" customFormat="false" ht="15" hidden="false" customHeight="false" outlineLevel="0" collapsed="false">
      <c r="A89" s="19" t="str">
        <f aca="true">IF($B89="","",IF(AND(A89&lt;&gt;"",A89&lt;&gt;0),A89,TODAY()))</f>
        <v/>
      </c>
      <c r="B89" s="20"/>
      <c r="C89" s="21"/>
      <c r="D89" s="21"/>
      <c r="E89" s="21"/>
      <c r="F89" s="21"/>
      <c r="G89" s="21"/>
      <c r="H89" s="22"/>
      <c r="I89" s="22"/>
      <c r="J89" s="22"/>
      <c r="K89" s="23" t="str">
        <f aca="false">IF($B89="","",IF(AND(I89="",J89=""),"",I89+J89))</f>
        <v/>
      </c>
      <c r="L89" s="23" t="str">
        <f aca="false">IF(OR($B89="",K89=""),"",K89-H89)</f>
        <v/>
      </c>
      <c r="M89" s="24" t="str">
        <f aca="false">IF($B89="","",IF(AND(I89="",J89=""),"Not Counted",IF(OR(I89="",J89=""),"Partially Counted",IF(L89=0,"Match",IF(L89&gt;0,"Overage","Shortage")))))</f>
        <v/>
      </c>
      <c r="N89" s="24" t="str">
        <f aca="false">IF($B89="","",IF(AND(N89&lt;&gt;"",N89&lt;&gt;0),N89,$B$4))</f>
        <v/>
      </c>
      <c r="O89" s="21"/>
      <c r="P89" s="21"/>
      <c r="Q89" s="21"/>
      <c r="S89" s="12"/>
      <c r="V89" s="14"/>
      <c r="W89" s="14"/>
      <c r="X89" s="15"/>
      <c r="Y89" s="16"/>
      <c r="Z89" s="14"/>
      <c r="AA89" s="17"/>
      <c r="AC89" s="14"/>
      <c r="AD89" s="14"/>
      <c r="AE89" s="15"/>
      <c r="AF89" s="16"/>
      <c r="AG89" s="14"/>
      <c r="AH89" s="17"/>
      <c r="AJ89" s="14"/>
      <c r="AK89" s="14"/>
      <c r="AL89" s="14"/>
      <c r="AM89" s="17"/>
      <c r="AN89" s="15"/>
    </row>
    <row r="90" customFormat="false" ht="15" hidden="false" customHeight="false" outlineLevel="0" collapsed="false">
      <c r="A90" s="19" t="str">
        <f aca="true">IF($B90="","",IF(AND(A90&lt;&gt;"",A90&lt;&gt;0),A90,TODAY()))</f>
        <v/>
      </c>
      <c r="B90" s="20"/>
      <c r="C90" s="21"/>
      <c r="D90" s="21"/>
      <c r="E90" s="21"/>
      <c r="F90" s="21"/>
      <c r="G90" s="21"/>
      <c r="H90" s="22"/>
      <c r="I90" s="22"/>
      <c r="J90" s="22"/>
      <c r="K90" s="23" t="str">
        <f aca="false">IF($B90="","",IF(AND(I90="",J90=""),"",I90+J90))</f>
        <v/>
      </c>
      <c r="L90" s="23" t="str">
        <f aca="false">IF(OR($B90="",K90=""),"",K90-H90)</f>
        <v/>
      </c>
      <c r="M90" s="24" t="str">
        <f aca="false">IF($B90="","",IF(AND(I90="",J90=""),"Not Counted",IF(OR(I90="",J90=""),"Partially Counted",IF(L90=0,"Match",IF(L90&gt;0,"Overage","Shortage")))))</f>
        <v/>
      </c>
      <c r="N90" s="24" t="str">
        <f aca="false">IF($B90="","",IF(AND(N90&lt;&gt;"",N90&lt;&gt;0),N90,$B$4))</f>
        <v/>
      </c>
      <c r="O90" s="21"/>
      <c r="P90" s="21"/>
      <c r="Q90" s="21"/>
      <c r="S90" s="12"/>
      <c r="V90" s="14"/>
      <c r="W90" s="14"/>
      <c r="X90" s="15"/>
      <c r="Y90" s="16"/>
      <c r="Z90" s="14"/>
      <c r="AA90" s="17"/>
      <c r="AC90" s="14"/>
      <c r="AD90" s="14"/>
      <c r="AE90" s="15"/>
      <c r="AF90" s="16"/>
      <c r="AG90" s="14"/>
      <c r="AH90" s="17"/>
      <c r="AJ90" s="14"/>
      <c r="AK90" s="14"/>
      <c r="AL90" s="14"/>
      <c r="AM90" s="17"/>
      <c r="AN90" s="15"/>
    </row>
    <row r="91" customFormat="false" ht="15" hidden="false" customHeight="false" outlineLevel="0" collapsed="false">
      <c r="A91" s="19" t="str">
        <f aca="true">IF($B91="","",IF(AND(A91&lt;&gt;"",A91&lt;&gt;0),A91,TODAY()))</f>
        <v/>
      </c>
      <c r="B91" s="20"/>
      <c r="C91" s="21"/>
      <c r="D91" s="21"/>
      <c r="E91" s="21"/>
      <c r="F91" s="21"/>
      <c r="G91" s="21"/>
      <c r="H91" s="22"/>
      <c r="I91" s="22"/>
      <c r="J91" s="22"/>
      <c r="K91" s="23" t="str">
        <f aca="false">IF($B91="","",IF(AND(I91="",J91=""),"",I91+J91))</f>
        <v/>
      </c>
      <c r="L91" s="23" t="str">
        <f aca="false">IF(OR($B91="",K91=""),"",K91-H91)</f>
        <v/>
      </c>
      <c r="M91" s="24" t="str">
        <f aca="false">IF($B91="","",IF(AND(I91="",J91=""),"Not Counted",IF(OR(I91="",J91=""),"Partially Counted",IF(L91=0,"Match",IF(L91&gt;0,"Overage","Shortage")))))</f>
        <v/>
      </c>
      <c r="N91" s="24" t="str">
        <f aca="false">IF($B91="","",IF(AND(N91&lt;&gt;"",N91&lt;&gt;0),N91,$B$4))</f>
        <v/>
      </c>
      <c r="O91" s="21"/>
      <c r="P91" s="21"/>
      <c r="Q91" s="21"/>
      <c r="S91" s="12"/>
      <c r="V91" s="14"/>
      <c r="W91" s="14"/>
      <c r="X91" s="15"/>
      <c r="Y91" s="16"/>
      <c r="Z91" s="14"/>
      <c r="AA91" s="17"/>
      <c r="AC91" s="14"/>
      <c r="AD91" s="14"/>
      <c r="AE91" s="15"/>
      <c r="AF91" s="16"/>
      <c r="AG91" s="14"/>
      <c r="AH91" s="17"/>
      <c r="AJ91" s="14"/>
      <c r="AK91" s="14"/>
      <c r="AL91" s="14"/>
      <c r="AM91" s="17"/>
      <c r="AN91" s="15"/>
    </row>
    <row r="92" customFormat="false" ht="15" hidden="false" customHeight="false" outlineLevel="0" collapsed="false">
      <c r="A92" s="19" t="str">
        <f aca="true">IF($B92="","",IF(AND(A92&lt;&gt;"",A92&lt;&gt;0),A92,TODAY()))</f>
        <v/>
      </c>
      <c r="B92" s="20"/>
      <c r="C92" s="21"/>
      <c r="D92" s="21"/>
      <c r="E92" s="21"/>
      <c r="F92" s="21"/>
      <c r="G92" s="21"/>
      <c r="H92" s="22"/>
      <c r="I92" s="22"/>
      <c r="J92" s="22"/>
      <c r="K92" s="23" t="str">
        <f aca="false">IF($B92="","",IF(AND(I92="",J92=""),"",I92+J92))</f>
        <v/>
      </c>
      <c r="L92" s="23" t="str">
        <f aca="false">IF(OR($B92="",K92=""),"",K92-H92)</f>
        <v/>
      </c>
      <c r="M92" s="24" t="str">
        <f aca="false">IF($B92="","",IF(AND(I92="",J92=""),"Not Counted",IF(OR(I92="",J92=""),"Partially Counted",IF(L92=0,"Match",IF(L92&gt;0,"Overage","Shortage")))))</f>
        <v/>
      </c>
      <c r="N92" s="24" t="str">
        <f aca="false">IF($B92="","",IF(AND(N92&lt;&gt;"",N92&lt;&gt;0),N92,$B$4))</f>
        <v/>
      </c>
      <c r="O92" s="21"/>
      <c r="P92" s="21"/>
      <c r="Q92" s="21"/>
      <c r="S92" s="12"/>
      <c r="V92" s="14"/>
      <c r="W92" s="14"/>
      <c r="X92" s="15"/>
      <c r="Y92" s="16"/>
      <c r="Z92" s="14"/>
      <c r="AA92" s="17"/>
      <c r="AC92" s="14"/>
      <c r="AD92" s="14"/>
      <c r="AE92" s="15"/>
      <c r="AF92" s="16"/>
      <c r="AG92" s="14"/>
      <c r="AH92" s="17"/>
      <c r="AJ92" s="14"/>
      <c r="AK92" s="14"/>
      <c r="AL92" s="14"/>
      <c r="AM92" s="17"/>
      <c r="AN92" s="15"/>
    </row>
    <row r="93" customFormat="false" ht="15" hidden="false" customHeight="false" outlineLevel="0" collapsed="false">
      <c r="A93" s="19" t="str">
        <f aca="true">IF($B93="","",IF(AND(A93&lt;&gt;"",A93&lt;&gt;0),A93,TODAY()))</f>
        <v/>
      </c>
      <c r="B93" s="20"/>
      <c r="C93" s="21"/>
      <c r="D93" s="21"/>
      <c r="E93" s="21"/>
      <c r="F93" s="21"/>
      <c r="G93" s="21"/>
      <c r="H93" s="22"/>
      <c r="I93" s="22"/>
      <c r="J93" s="22"/>
      <c r="K93" s="23" t="str">
        <f aca="false">IF($B93="","",IF(AND(I93="",J93=""),"",I93+J93))</f>
        <v/>
      </c>
      <c r="L93" s="23" t="str">
        <f aca="false">IF(OR($B93="",K93=""),"",K93-H93)</f>
        <v/>
      </c>
      <c r="M93" s="24" t="str">
        <f aca="false">IF($B93="","",IF(AND(I93="",J93=""),"Not Counted",IF(OR(I93="",J93=""),"Partially Counted",IF(L93=0,"Match",IF(L93&gt;0,"Overage","Shortage")))))</f>
        <v/>
      </c>
      <c r="N93" s="24" t="str">
        <f aca="false">IF($B93="","",IF(AND(N93&lt;&gt;"",N93&lt;&gt;0),N93,$B$4))</f>
        <v/>
      </c>
      <c r="O93" s="21"/>
      <c r="P93" s="21"/>
      <c r="Q93" s="21"/>
      <c r="S93" s="12"/>
      <c r="V93" s="14"/>
      <c r="W93" s="14"/>
      <c r="X93" s="15"/>
      <c r="Y93" s="16"/>
      <c r="Z93" s="14"/>
      <c r="AA93" s="17"/>
      <c r="AC93" s="14"/>
      <c r="AD93" s="14"/>
      <c r="AE93" s="15"/>
      <c r="AF93" s="16"/>
      <c r="AG93" s="14"/>
      <c r="AH93" s="17"/>
      <c r="AJ93" s="14"/>
      <c r="AK93" s="14"/>
      <c r="AL93" s="14"/>
      <c r="AM93" s="17"/>
      <c r="AN93" s="15"/>
    </row>
    <row r="94" customFormat="false" ht="15" hidden="false" customHeight="false" outlineLevel="0" collapsed="false">
      <c r="A94" s="19" t="str">
        <f aca="true">IF($B94="","",IF(AND(A94&lt;&gt;"",A94&lt;&gt;0),A94,TODAY()))</f>
        <v/>
      </c>
      <c r="B94" s="20"/>
      <c r="C94" s="21"/>
      <c r="D94" s="21"/>
      <c r="E94" s="21"/>
      <c r="F94" s="21"/>
      <c r="G94" s="21"/>
      <c r="H94" s="22"/>
      <c r="I94" s="22"/>
      <c r="J94" s="22"/>
      <c r="K94" s="23" t="str">
        <f aca="false">IF($B94="","",IF(AND(I94="",J94=""),"",I94+J94))</f>
        <v/>
      </c>
      <c r="L94" s="23" t="str">
        <f aca="false">IF(OR($B94="",K94=""),"",K94-H94)</f>
        <v/>
      </c>
      <c r="M94" s="24" t="str">
        <f aca="false">IF($B94="","",IF(AND(I94="",J94=""),"Not Counted",IF(OR(I94="",J94=""),"Partially Counted",IF(L94=0,"Match",IF(L94&gt;0,"Overage","Shortage")))))</f>
        <v/>
      </c>
      <c r="N94" s="24" t="str">
        <f aca="false">IF($B94="","",IF(AND(N94&lt;&gt;"",N94&lt;&gt;0),N94,$B$4))</f>
        <v/>
      </c>
      <c r="O94" s="21"/>
      <c r="P94" s="21"/>
      <c r="Q94" s="21"/>
      <c r="S94" s="12"/>
      <c r="V94" s="14"/>
      <c r="W94" s="14"/>
      <c r="X94" s="15"/>
      <c r="Y94" s="16"/>
      <c r="Z94" s="14"/>
      <c r="AA94" s="17"/>
      <c r="AC94" s="14"/>
      <c r="AD94" s="14"/>
      <c r="AE94" s="15"/>
      <c r="AF94" s="16"/>
      <c r="AG94" s="14"/>
      <c r="AH94" s="17"/>
      <c r="AJ94" s="14"/>
      <c r="AK94" s="14"/>
      <c r="AL94" s="14"/>
      <c r="AM94" s="17"/>
      <c r="AN94" s="15"/>
    </row>
    <row r="95" customFormat="false" ht="15" hidden="false" customHeight="false" outlineLevel="0" collapsed="false">
      <c r="A95" s="19" t="str">
        <f aca="true">IF($B95="","",IF(AND(A95&lt;&gt;"",A95&lt;&gt;0),A95,TODAY()))</f>
        <v/>
      </c>
      <c r="B95" s="20"/>
      <c r="C95" s="21"/>
      <c r="D95" s="21"/>
      <c r="E95" s="21"/>
      <c r="F95" s="21"/>
      <c r="G95" s="21"/>
      <c r="H95" s="22"/>
      <c r="I95" s="22"/>
      <c r="J95" s="22"/>
      <c r="K95" s="23" t="str">
        <f aca="false">IF($B95="","",IF(AND(I95="",J95=""),"",I95+J95))</f>
        <v/>
      </c>
      <c r="L95" s="23" t="str">
        <f aca="false">IF(OR($B95="",K95=""),"",K95-H95)</f>
        <v/>
      </c>
      <c r="M95" s="24" t="str">
        <f aca="false">IF($B95="","",IF(AND(I95="",J95=""),"Not Counted",IF(OR(I95="",J95=""),"Partially Counted",IF(L95=0,"Match",IF(L95&gt;0,"Overage","Shortage")))))</f>
        <v/>
      </c>
      <c r="N95" s="24" t="str">
        <f aca="false">IF($B95="","",IF(AND(N95&lt;&gt;"",N95&lt;&gt;0),N95,$B$4))</f>
        <v/>
      </c>
      <c r="O95" s="21"/>
      <c r="P95" s="21"/>
      <c r="Q95" s="21"/>
      <c r="S95" s="12"/>
      <c r="V95" s="14"/>
      <c r="W95" s="14"/>
      <c r="X95" s="15"/>
      <c r="Y95" s="16"/>
      <c r="Z95" s="14"/>
      <c r="AA95" s="17"/>
      <c r="AC95" s="14"/>
      <c r="AD95" s="14"/>
      <c r="AE95" s="15"/>
      <c r="AF95" s="16"/>
      <c r="AG95" s="14"/>
      <c r="AH95" s="17"/>
      <c r="AJ95" s="14"/>
      <c r="AK95" s="14"/>
      <c r="AL95" s="14"/>
      <c r="AM95" s="17"/>
      <c r="AN95" s="15"/>
    </row>
    <row r="96" customFormat="false" ht="15" hidden="false" customHeight="false" outlineLevel="0" collapsed="false">
      <c r="A96" s="19" t="str">
        <f aca="true">IF($B96="","",IF(AND(A96&lt;&gt;"",A96&lt;&gt;0),A96,TODAY()))</f>
        <v/>
      </c>
      <c r="B96" s="20"/>
      <c r="C96" s="21"/>
      <c r="D96" s="21"/>
      <c r="E96" s="21"/>
      <c r="F96" s="21"/>
      <c r="G96" s="21"/>
      <c r="H96" s="22"/>
      <c r="I96" s="22"/>
      <c r="J96" s="22"/>
      <c r="K96" s="23" t="str">
        <f aca="false">IF($B96="","",IF(AND(I96="",J96=""),"",I96+J96))</f>
        <v/>
      </c>
      <c r="L96" s="23" t="str">
        <f aca="false">IF(OR($B96="",K96=""),"",K96-H96)</f>
        <v/>
      </c>
      <c r="M96" s="24" t="str">
        <f aca="false">IF($B96="","",IF(AND(I96="",J96=""),"Not Counted",IF(OR(I96="",J96=""),"Partially Counted",IF(L96=0,"Match",IF(L96&gt;0,"Overage","Shortage")))))</f>
        <v/>
      </c>
      <c r="N96" s="24" t="str">
        <f aca="false">IF($B96="","",IF(AND(N96&lt;&gt;"",N96&lt;&gt;0),N96,$B$4))</f>
        <v/>
      </c>
      <c r="O96" s="21"/>
      <c r="P96" s="21"/>
      <c r="Q96" s="21"/>
      <c r="S96" s="12"/>
      <c r="V96" s="14"/>
      <c r="W96" s="14"/>
      <c r="X96" s="15"/>
      <c r="Y96" s="16"/>
      <c r="Z96" s="14"/>
      <c r="AA96" s="17"/>
      <c r="AC96" s="14"/>
      <c r="AD96" s="14"/>
      <c r="AE96" s="15"/>
      <c r="AF96" s="16"/>
      <c r="AG96" s="14"/>
      <c r="AH96" s="17"/>
      <c r="AJ96" s="14"/>
      <c r="AK96" s="14"/>
      <c r="AL96" s="14"/>
      <c r="AM96" s="17"/>
      <c r="AN96" s="15"/>
    </row>
    <row r="97" customFormat="false" ht="15" hidden="false" customHeight="false" outlineLevel="0" collapsed="false">
      <c r="A97" s="19" t="str">
        <f aca="true">IF($B97="","",IF(AND(A97&lt;&gt;"",A97&lt;&gt;0),A97,TODAY()))</f>
        <v/>
      </c>
      <c r="B97" s="20"/>
      <c r="C97" s="21"/>
      <c r="D97" s="21"/>
      <c r="E97" s="21"/>
      <c r="F97" s="21"/>
      <c r="G97" s="21"/>
      <c r="H97" s="22"/>
      <c r="I97" s="22"/>
      <c r="J97" s="22"/>
      <c r="K97" s="23" t="str">
        <f aca="false">IF($B97="","",IF(AND(I97="",J97=""),"",I97+J97))</f>
        <v/>
      </c>
      <c r="L97" s="23" t="str">
        <f aca="false">IF(OR($B97="",K97=""),"",K97-H97)</f>
        <v/>
      </c>
      <c r="M97" s="24" t="str">
        <f aca="false">IF($B97="","",IF(AND(I97="",J97=""),"Not Counted",IF(OR(I97="",J97=""),"Partially Counted",IF(L97=0,"Match",IF(L97&gt;0,"Overage","Shortage")))))</f>
        <v/>
      </c>
      <c r="N97" s="24" t="str">
        <f aca="false">IF($B97="","",IF(AND(N97&lt;&gt;"",N97&lt;&gt;0),N97,$B$4))</f>
        <v/>
      </c>
      <c r="O97" s="21"/>
      <c r="P97" s="21"/>
      <c r="Q97" s="21"/>
      <c r="S97" s="12"/>
      <c r="V97" s="14"/>
      <c r="W97" s="14"/>
      <c r="X97" s="15"/>
      <c r="Y97" s="16"/>
      <c r="Z97" s="14"/>
      <c r="AA97" s="17"/>
      <c r="AC97" s="14"/>
      <c r="AD97" s="14"/>
      <c r="AE97" s="15"/>
      <c r="AF97" s="16"/>
      <c r="AG97" s="14"/>
      <c r="AH97" s="17"/>
      <c r="AJ97" s="14"/>
      <c r="AK97" s="14"/>
      <c r="AL97" s="14"/>
      <c r="AM97" s="17"/>
      <c r="AN97" s="15"/>
    </row>
    <row r="98" customFormat="false" ht="15" hidden="false" customHeight="false" outlineLevel="0" collapsed="false">
      <c r="A98" s="19" t="str">
        <f aca="true">IF($B98="","",IF(AND(A98&lt;&gt;"",A98&lt;&gt;0),A98,TODAY()))</f>
        <v/>
      </c>
      <c r="B98" s="20"/>
      <c r="C98" s="21"/>
      <c r="D98" s="21"/>
      <c r="E98" s="21"/>
      <c r="F98" s="21"/>
      <c r="G98" s="21"/>
      <c r="H98" s="22"/>
      <c r="I98" s="22"/>
      <c r="J98" s="22"/>
      <c r="K98" s="23" t="str">
        <f aca="false">IF($B98="","",IF(AND(I98="",J98=""),"",I98+J98))</f>
        <v/>
      </c>
      <c r="L98" s="23" t="str">
        <f aca="false">IF(OR($B98="",K98=""),"",K98-H98)</f>
        <v/>
      </c>
      <c r="M98" s="24" t="str">
        <f aca="false">IF($B98="","",IF(AND(I98="",J98=""),"Not Counted",IF(OR(I98="",J98=""),"Partially Counted",IF(L98=0,"Match",IF(L98&gt;0,"Overage","Shortage")))))</f>
        <v/>
      </c>
      <c r="N98" s="24" t="str">
        <f aca="false">IF($B98="","",IF(AND(N98&lt;&gt;"",N98&lt;&gt;0),N98,$B$4))</f>
        <v/>
      </c>
      <c r="O98" s="21"/>
      <c r="P98" s="21"/>
      <c r="Q98" s="21"/>
      <c r="S98" s="12"/>
      <c r="V98" s="14"/>
      <c r="W98" s="14"/>
      <c r="X98" s="15"/>
      <c r="Y98" s="16"/>
      <c r="Z98" s="14"/>
      <c r="AA98" s="17"/>
      <c r="AC98" s="14"/>
      <c r="AD98" s="14"/>
      <c r="AE98" s="15"/>
      <c r="AF98" s="16"/>
      <c r="AG98" s="14"/>
      <c r="AH98" s="17"/>
      <c r="AJ98" s="14"/>
      <c r="AK98" s="14"/>
      <c r="AL98" s="14"/>
      <c r="AM98" s="17"/>
      <c r="AN98" s="15"/>
    </row>
    <row r="99" customFormat="false" ht="15" hidden="false" customHeight="false" outlineLevel="0" collapsed="false">
      <c r="A99" s="19" t="str">
        <f aca="true">IF($B99="","",IF(AND(A99&lt;&gt;"",A99&lt;&gt;0),A99,TODAY()))</f>
        <v/>
      </c>
      <c r="B99" s="20"/>
      <c r="C99" s="21"/>
      <c r="D99" s="21"/>
      <c r="E99" s="21"/>
      <c r="F99" s="21"/>
      <c r="G99" s="21"/>
      <c r="H99" s="22"/>
      <c r="I99" s="22"/>
      <c r="J99" s="22"/>
      <c r="K99" s="23" t="str">
        <f aca="false">IF($B99="","",IF(AND(I99="",J99=""),"",I99+J99))</f>
        <v/>
      </c>
      <c r="L99" s="23" t="str">
        <f aca="false">IF(OR($B99="",K99=""),"",K99-H99)</f>
        <v/>
      </c>
      <c r="M99" s="24" t="str">
        <f aca="false">IF($B99="","",IF(AND(I99="",J99=""),"Not Counted",IF(OR(I99="",J99=""),"Partially Counted",IF(L99=0,"Match",IF(L99&gt;0,"Overage","Shortage")))))</f>
        <v/>
      </c>
      <c r="N99" s="24" t="str">
        <f aca="false">IF($B99="","",IF(AND(N99&lt;&gt;"",N99&lt;&gt;0),N99,$B$4))</f>
        <v/>
      </c>
      <c r="O99" s="21"/>
      <c r="P99" s="21"/>
      <c r="Q99" s="21"/>
      <c r="S99" s="12"/>
      <c r="V99" s="14"/>
      <c r="W99" s="14"/>
      <c r="X99" s="15"/>
      <c r="Y99" s="16"/>
      <c r="Z99" s="14"/>
      <c r="AA99" s="17"/>
      <c r="AC99" s="14"/>
      <c r="AD99" s="14"/>
      <c r="AE99" s="15"/>
      <c r="AF99" s="16"/>
      <c r="AG99" s="14"/>
      <c r="AH99" s="17"/>
      <c r="AJ99" s="14"/>
      <c r="AK99" s="14"/>
      <c r="AL99" s="14"/>
      <c r="AM99" s="17"/>
      <c r="AN99" s="15"/>
    </row>
    <row r="100" customFormat="false" ht="15" hidden="false" customHeight="false" outlineLevel="0" collapsed="false">
      <c r="A100" s="19" t="str">
        <f aca="true">IF($B100="","",IF(AND(A100&lt;&gt;"",A100&lt;&gt;0),A100,TODAY()))</f>
        <v/>
      </c>
      <c r="B100" s="20"/>
      <c r="C100" s="21"/>
      <c r="D100" s="21"/>
      <c r="E100" s="21"/>
      <c r="F100" s="21"/>
      <c r="G100" s="21"/>
      <c r="H100" s="22"/>
      <c r="I100" s="22"/>
      <c r="J100" s="22"/>
      <c r="K100" s="23" t="str">
        <f aca="false">IF($B100="","",IF(AND(I100="",J100=""),"",I100+J100))</f>
        <v/>
      </c>
      <c r="L100" s="23" t="str">
        <f aca="false">IF(OR($B100="",K100=""),"",K100-H100)</f>
        <v/>
      </c>
      <c r="M100" s="24" t="str">
        <f aca="false">IF($B100="","",IF(AND(I100="",J100=""),"Not Counted",IF(OR(I100="",J100=""),"Partially Counted",IF(L100=0,"Match",IF(L100&gt;0,"Overage","Shortage")))))</f>
        <v/>
      </c>
      <c r="N100" s="24" t="str">
        <f aca="false">IF($B100="","",IF(AND(N100&lt;&gt;"",N100&lt;&gt;0),N100,$B$4))</f>
        <v/>
      </c>
      <c r="O100" s="21"/>
      <c r="P100" s="21"/>
      <c r="Q100" s="21"/>
      <c r="S100" s="12"/>
      <c r="V100" s="14"/>
      <c r="W100" s="14"/>
      <c r="X100" s="15"/>
      <c r="Y100" s="16"/>
      <c r="Z100" s="14"/>
      <c r="AA100" s="17"/>
      <c r="AC100" s="14"/>
      <c r="AD100" s="14"/>
      <c r="AE100" s="15"/>
      <c r="AF100" s="16"/>
      <c r="AG100" s="14"/>
      <c r="AH100" s="17"/>
      <c r="AJ100" s="14"/>
      <c r="AK100" s="14"/>
      <c r="AL100" s="14"/>
      <c r="AM100" s="17"/>
      <c r="AN100" s="15"/>
    </row>
    <row r="101" customFormat="false" ht="15" hidden="false" customHeight="false" outlineLevel="0" collapsed="false">
      <c r="A101" s="19" t="str">
        <f aca="true">IF($B101="","",IF(AND(A101&lt;&gt;"",A101&lt;&gt;0),A101,TODAY()))</f>
        <v/>
      </c>
      <c r="B101" s="20"/>
      <c r="C101" s="21"/>
      <c r="D101" s="21"/>
      <c r="E101" s="21"/>
      <c r="F101" s="21"/>
      <c r="G101" s="21"/>
      <c r="H101" s="22"/>
      <c r="I101" s="22"/>
      <c r="J101" s="22"/>
      <c r="K101" s="23" t="str">
        <f aca="false">IF($B101="","",IF(AND(I101="",J101=""),"",I101+J101))</f>
        <v/>
      </c>
      <c r="L101" s="23" t="str">
        <f aca="false">IF(OR($B101="",K101=""),"",K101-H101)</f>
        <v/>
      </c>
      <c r="M101" s="24" t="str">
        <f aca="false">IF($B101="","",IF(AND(I101="",J101=""),"Not Counted",IF(OR(I101="",J101=""),"Partially Counted",IF(L101=0,"Match",IF(L101&gt;0,"Overage","Shortage")))))</f>
        <v/>
      </c>
      <c r="N101" s="24" t="str">
        <f aca="false">IF($B101="","",IF(AND(N101&lt;&gt;"",N101&lt;&gt;0),N101,$B$4))</f>
        <v/>
      </c>
      <c r="O101" s="21"/>
      <c r="P101" s="21"/>
      <c r="Q101" s="21"/>
      <c r="S101" s="12"/>
      <c r="V101" s="14"/>
      <c r="W101" s="14"/>
      <c r="X101" s="15"/>
      <c r="Y101" s="16"/>
      <c r="Z101" s="14"/>
      <c r="AA101" s="17"/>
      <c r="AC101" s="14"/>
      <c r="AD101" s="14"/>
      <c r="AE101" s="15"/>
      <c r="AF101" s="16"/>
      <c r="AG101" s="14"/>
      <c r="AH101" s="17"/>
      <c r="AJ101" s="14"/>
      <c r="AK101" s="14"/>
      <c r="AL101" s="14"/>
      <c r="AM101" s="17"/>
      <c r="AN101" s="15"/>
    </row>
    <row r="102" customFormat="false" ht="15" hidden="false" customHeight="false" outlineLevel="0" collapsed="false">
      <c r="A102" s="19" t="str">
        <f aca="true">IF($B102="","",IF(AND(A102&lt;&gt;"",A102&lt;&gt;0),A102,TODAY()))</f>
        <v/>
      </c>
      <c r="B102" s="20"/>
      <c r="C102" s="21"/>
      <c r="D102" s="21"/>
      <c r="E102" s="21"/>
      <c r="F102" s="21"/>
      <c r="G102" s="21"/>
      <c r="H102" s="22"/>
      <c r="I102" s="22"/>
      <c r="J102" s="22"/>
      <c r="K102" s="23" t="str">
        <f aca="false">IF($B102="","",IF(AND(I102="",J102=""),"",I102+J102))</f>
        <v/>
      </c>
      <c r="L102" s="23" t="str">
        <f aca="false">IF(OR($B102="",K102=""),"",K102-H102)</f>
        <v/>
      </c>
      <c r="M102" s="24" t="str">
        <f aca="false">IF($B102="","",IF(AND(I102="",J102=""),"Not Counted",IF(OR(I102="",J102=""),"Partially Counted",IF(L102=0,"Match",IF(L102&gt;0,"Overage","Shortage")))))</f>
        <v/>
      </c>
      <c r="N102" s="24" t="str">
        <f aca="false">IF($B102="","",IF(AND(N102&lt;&gt;"",N102&lt;&gt;0),N102,$B$4))</f>
        <v/>
      </c>
      <c r="O102" s="21"/>
      <c r="P102" s="21"/>
      <c r="Q102" s="21"/>
      <c r="S102" s="12"/>
      <c r="V102" s="14"/>
      <c r="W102" s="14"/>
      <c r="X102" s="15"/>
      <c r="Y102" s="16"/>
      <c r="Z102" s="14"/>
      <c r="AA102" s="17"/>
      <c r="AC102" s="14"/>
      <c r="AD102" s="14"/>
      <c r="AE102" s="15"/>
      <c r="AF102" s="16"/>
      <c r="AG102" s="14"/>
      <c r="AH102" s="17"/>
      <c r="AJ102" s="14"/>
      <c r="AK102" s="14"/>
      <c r="AL102" s="14"/>
      <c r="AM102" s="17"/>
      <c r="AN102" s="15"/>
    </row>
    <row r="103" customFormat="false" ht="15" hidden="false" customHeight="false" outlineLevel="0" collapsed="false">
      <c r="A103" s="19" t="str">
        <f aca="true">IF($B103="","",IF(AND(A103&lt;&gt;"",A103&lt;&gt;0),A103,TODAY()))</f>
        <v/>
      </c>
      <c r="B103" s="20"/>
      <c r="C103" s="21"/>
      <c r="D103" s="21"/>
      <c r="E103" s="21"/>
      <c r="F103" s="21"/>
      <c r="G103" s="21"/>
      <c r="H103" s="22"/>
      <c r="I103" s="22"/>
      <c r="J103" s="22"/>
      <c r="K103" s="23" t="str">
        <f aca="false">IF($B103="","",IF(AND(I103="",J103=""),"",I103+J103))</f>
        <v/>
      </c>
      <c r="L103" s="23" t="str">
        <f aca="false">IF(OR($B103="",K103=""),"",K103-H103)</f>
        <v/>
      </c>
      <c r="M103" s="24" t="str">
        <f aca="false">IF($B103="","",IF(AND(I103="",J103=""),"Not Counted",IF(OR(I103="",J103=""),"Partially Counted",IF(L103=0,"Match",IF(L103&gt;0,"Overage","Shortage")))))</f>
        <v/>
      </c>
      <c r="N103" s="24" t="str">
        <f aca="false">IF($B103="","",IF(AND(N103&lt;&gt;"",N103&lt;&gt;0),N103,$B$4))</f>
        <v/>
      </c>
      <c r="O103" s="21"/>
      <c r="P103" s="21"/>
      <c r="Q103" s="21"/>
      <c r="S103" s="12"/>
      <c r="V103" s="14"/>
      <c r="W103" s="14"/>
      <c r="X103" s="15"/>
      <c r="Y103" s="16"/>
      <c r="Z103" s="14"/>
      <c r="AA103" s="17"/>
      <c r="AC103" s="14"/>
      <c r="AD103" s="14"/>
      <c r="AE103" s="15"/>
      <c r="AF103" s="16"/>
      <c r="AG103" s="14"/>
      <c r="AH103" s="17"/>
      <c r="AJ103" s="14"/>
      <c r="AK103" s="14"/>
      <c r="AL103" s="14"/>
      <c r="AM103" s="17"/>
      <c r="AN103" s="15"/>
    </row>
    <row r="104" customFormat="false" ht="15" hidden="false" customHeight="false" outlineLevel="0" collapsed="false">
      <c r="A104" s="19" t="str">
        <f aca="true">IF($B104="","",IF(AND(A104&lt;&gt;"",A104&lt;&gt;0),A104,TODAY()))</f>
        <v/>
      </c>
      <c r="B104" s="20"/>
      <c r="C104" s="21"/>
      <c r="D104" s="21"/>
      <c r="E104" s="21"/>
      <c r="F104" s="21"/>
      <c r="G104" s="21"/>
      <c r="H104" s="22"/>
      <c r="I104" s="22"/>
      <c r="J104" s="22"/>
      <c r="K104" s="23" t="str">
        <f aca="false">IF($B104="","",IF(AND(I104="",J104=""),"",I104+J104))</f>
        <v/>
      </c>
      <c r="L104" s="23" t="str">
        <f aca="false">IF(OR($B104="",K104=""),"",K104-H104)</f>
        <v/>
      </c>
      <c r="M104" s="24" t="str">
        <f aca="false">IF($B104="","",IF(AND(I104="",J104=""),"Not Counted",IF(OR(I104="",J104=""),"Partially Counted",IF(L104=0,"Match",IF(L104&gt;0,"Overage","Shortage")))))</f>
        <v/>
      </c>
      <c r="N104" s="24" t="str">
        <f aca="false">IF($B104="","",IF(AND(N104&lt;&gt;"",N104&lt;&gt;0),N104,$B$4))</f>
        <v/>
      </c>
      <c r="O104" s="21"/>
      <c r="P104" s="21"/>
      <c r="Q104" s="21"/>
      <c r="S104" s="12"/>
      <c r="V104" s="14"/>
      <c r="W104" s="14"/>
      <c r="X104" s="15"/>
      <c r="Y104" s="16"/>
      <c r="Z104" s="14"/>
      <c r="AA104" s="17"/>
      <c r="AC104" s="14"/>
      <c r="AD104" s="14"/>
      <c r="AE104" s="15"/>
      <c r="AF104" s="16"/>
      <c r="AG104" s="14"/>
      <c r="AH104" s="17"/>
      <c r="AJ104" s="14"/>
      <c r="AK104" s="14"/>
      <c r="AL104" s="14"/>
      <c r="AM104" s="17"/>
      <c r="AN104" s="15"/>
    </row>
    <row r="105" customFormat="false" ht="15" hidden="false" customHeight="false" outlineLevel="0" collapsed="false">
      <c r="A105" s="19" t="str">
        <f aca="true">IF($B105="","",IF(AND(A105&lt;&gt;"",A105&lt;&gt;0),A105,TODAY()))</f>
        <v/>
      </c>
      <c r="B105" s="20"/>
      <c r="C105" s="21"/>
      <c r="D105" s="21"/>
      <c r="E105" s="21"/>
      <c r="F105" s="21"/>
      <c r="G105" s="21"/>
      <c r="H105" s="22"/>
      <c r="I105" s="22"/>
      <c r="J105" s="22"/>
      <c r="K105" s="23" t="str">
        <f aca="false">IF($B105="","",IF(AND(I105="",J105=""),"",I105+J105))</f>
        <v/>
      </c>
      <c r="L105" s="23" t="str">
        <f aca="false">IF(OR($B105="",K105=""),"",K105-H105)</f>
        <v/>
      </c>
      <c r="M105" s="24" t="str">
        <f aca="false">IF($B105="","",IF(AND(I105="",J105=""),"Not Counted",IF(OR(I105="",J105=""),"Partially Counted",IF(L105=0,"Match",IF(L105&gt;0,"Overage","Shortage")))))</f>
        <v/>
      </c>
      <c r="N105" s="24" t="str">
        <f aca="false">IF($B105="","",IF(AND(N105&lt;&gt;"",N105&lt;&gt;0),N105,$B$4))</f>
        <v/>
      </c>
      <c r="O105" s="21"/>
      <c r="P105" s="21"/>
      <c r="Q105" s="21"/>
      <c r="S105" s="12"/>
      <c r="V105" s="14"/>
      <c r="W105" s="14"/>
      <c r="X105" s="15"/>
      <c r="Y105" s="16"/>
      <c r="Z105" s="14"/>
      <c r="AA105" s="17"/>
      <c r="AC105" s="14"/>
      <c r="AD105" s="14"/>
      <c r="AE105" s="15"/>
      <c r="AF105" s="16"/>
      <c r="AG105" s="14"/>
      <c r="AH105" s="17"/>
      <c r="AJ105" s="14"/>
      <c r="AK105" s="14"/>
      <c r="AL105" s="14"/>
      <c r="AM105" s="17"/>
      <c r="AN105" s="15"/>
    </row>
    <row r="106" customFormat="false" ht="15" hidden="false" customHeight="false" outlineLevel="0" collapsed="false">
      <c r="A106" s="19" t="str">
        <f aca="true">IF($B106="","",IF(AND(A106&lt;&gt;"",A106&lt;&gt;0),A106,TODAY()))</f>
        <v/>
      </c>
      <c r="B106" s="20"/>
      <c r="C106" s="21"/>
      <c r="D106" s="21"/>
      <c r="E106" s="21"/>
      <c r="F106" s="21"/>
      <c r="G106" s="21"/>
      <c r="H106" s="22"/>
      <c r="I106" s="22"/>
      <c r="J106" s="22"/>
      <c r="K106" s="23" t="str">
        <f aca="false">IF($B106="","",IF(AND(I106="",J106=""),"",I106+J106))</f>
        <v/>
      </c>
      <c r="L106" s="23" t="str">
        <f aca="false">IF(OR($B106="",K106=""),"",K106-H106)</f>
        <v/>
      </c>
      <c r="M106" s="24" t="str">
        <f aca="false">IF($B106="","",IF(AND(I106="",J106=""),"Not Counted",IF(OR(I106="",J106=""),"Partially Counted",IF(L106=0,"Match",IF(L106&gt;0,"Overage","Shortage")))))</f>
        <v/>
      </c>
      <c r="N106" s="24" t="str">
        <f aca="false">IF($B106="","",IF(AND(N106&lt;&gt;"",N106&lt;&gt;0),N106,$B$4))</f>
        <v/>
      </c>
      <c r="O106" s="21"/>
      <c r="P106" s="21"/>
      <c r="Q106" s="21"/>
      <c r="S106" s="12"/>
      <c r="V106" s="14"/>
      <c r="W106" s="14"/>
      <c r="X106" s="15"/>
      <c r="Y106" s="16"/>
      <c r="Z106" s="14"/>
      <c r="AA106" s="17"/>
      <c r="AC106" s="14"/>
      <c r="AD106" s="14"/>
      <c r="AE106" s="15"/>
      <c r="AF106" s="16"/>
      <c r="AG106" s="14"/>
      <c r="AH106" s="17"/>
      <c r="AJ106" s="14"/>
      <c r="AK106" s="14"/>
      <c r="AL106" s="14"/>
      <c r="AM106" s="17"/>
      <c r="AN106" s="15"/>
    </row>
    <row r="107" customFormat="false" ht="15" hidden="false" customHeight="false" outlineLevel="0" collapsed="false">
      <c r="A107" s="19" t="str">
        <f aca="true">IF($B107="","",IF(AND(A107&lt;&gt;"",A107&lt;&gt;0),A107,TODAY()))</f>
        <v/>
      </c>
      <c r="B107" s="20"/>
      <c r="C107" s="21"/>
      <c r="D107" s="21"/>
      <c r="E107" s="21"/>
      <c r="F107" s="21"/>
      <c r="G107" s="21"/>
      <c r="H107" s="22"/>
      <c r="I107" s="22"/>
      <c r="J107" s="22"/>
      <c r="K107" s="23" t="str">
        <f aca="false">IF($B107="","",IF(AND(I107="",J107=""),"",I107+J107))</f>
        <v/>
      </c>
      <c r="L107" s="23" t="str">
        <f aca="false">IF(OR($B107="",K107=""),"",K107-H107)</f>
        <v/>
      </c>
      <c r="M107" s="24" t="str">
        <f aca="false">IF($B107="","",IF(AND(I107="",J107=""),"Not Counted",IF(OR(I107="",J107=""),"Partially Counted",IF(L107=0,"Match",IF(L107&gt;0,"Overage","Shortage")))))</f>
        <v/>
      </c>
      <c r="N107" s="24" t="str">
        <f aca="false">IF($B107="","",IF(AND(N107&lt;&gt;"",N107&lt;&gt;0),N107,$B$4))</f>
        <v/>
      </c>
      <c r="O107" s="21"/>
      <c r="P107" s="21"/>
      <c r="Q107" s="21"/>
      <c r="S107" s="12"/>
      <c r="V107" s="14"/>
      <c r="W107" s="14"/>
      <c r="X107" s="15"/>
      <c r="Y107" s="16"/>
      <c r="Z107" s="14"/>
      <c r="AA107" s="17"/>
      <c r="AC107" s="14"/>
      <c r="AD107" s="14"/>
      <c r="AE107" s="15"/>
      <c r="AF107" s="16"/>
      <c r="AG107" s="14"/>
      <c r="AH107" s="17"/>
      <c r="AJ107" s="14"/>
      <c r="AK107" s="14"/>
      <c r="AL107" s="14"/>
      <c r="AM107" s="17"/>
      <c r="AN107" s="15"/>
    </row>
    <row r="108" customFormat="false" ht="15" hidden="false" customHeight="false" outlineLevel="0" collapsed="false">
      <c r="A108" s="19" t="str">
        <f aca="true">IF($B108="","",IF(AND(A108&lt;&gt;"",A108&lt;&gt;0),A108,TODAY()))</f>
        <v/>
      </c>
      <c r="B108" s="20"/>
      <c r="C108" s="21"/>
      <c r="D108" s="21"/>
      <c r="E108" s="21"/>
      <c r="F108" s="21"/>
      <c r="G108" s="21"/>
      <c r="H108" s="22"/>
      <c r="I108" s="22"/>
      <c r="J108" s="22"/>
      <c r="K108" s="23" t="str">
        <f aca="false">IF($B108="","",IF(AND(I108="",J108=""),"",I108+J108))</f>
        <v/>
      </c>
      <c r="L108" s="23" t="str">
        <f aca="false">IF(OR($B108="",K108=""),"",K108-H108)</f>
        <v/>
      </c>
      <c r="M108" s="24" t="str">
        <f aca="false">IF($B108="","",IF(AND(I108="",J108=""),"Not Counted",IF(OR(I108="",J108=""),"Partially Counted",IF(L108=0,"Match",IF(L108&gt;0,"Overage","Shortage")))))</f>
        <v/>
      </c>
      <c r="N108" s="24" t="str">
        <f aca="false">IF($B108="","",IF(AND(N108&lt;&gt;"",N108&lt;&gt;0),N108,$B$4))</f>
        <v/>
      </c>
      <c r="O108" s="21"/>
      <c r="P108" s="21"/>
      <c r="Q108" s="21"/>
      <c r="S108" s="12"/>
      <c r="V108" s="14"/>
      <c r="W108" s="14"/>
      <c r="X108" s="15"/>
      <c r="Y108" s="16"/>
      <c r="Z108" s="14"/>
      <c r="AA108" s="17"/>
      <c r="AC108" s="14"/>
      <c r="AD108" s="14"/>
      <c r="AE108" s="15"/>
      <c r="AF108" s="16"/>
      <c r="AG108" s="14"/>
      <c r="AH108" s="17"/>
      <c r="AJ108" s="14"/>
      <c r="AK108" s="14"/>
      <c r="AL108" s="14"/>
      <c r="AM108" s="17"/>
      <c r="AN108" s="15"/>
    </row>
    <row r="109" customFormat="false" ht="15" hidden="false" customHeight="false" outlineLevel="0" collapsed="false">
      <c r="A109" s="19" t="str">
        <f aca="true">IF($B109="","",IF(AND(A109&lt;&gt;"",A109&lt;&gt;0),A109,TODAY()))</f>
        <v/>
      </c>
      <c r="B109" s="20"/>
      <c r="C109" s="21"/>
      <c r="D109" s="21"/>
      <c r="E109" s="21"/>
      <c r="F109" s="21"/>
      <c r="G109" s="21"/>
      <c r="H109" s="22"/>
      <c r="I109" s="22"/>
      <c r="J109" s="22"/>
      <c r="K109" s="23" t="str">
        <f aca="false">IF($B109="","",IF(AND(I109="",J109=""),"",I109+J109))</f>
        <v/>
      </c>
      <c r="L109" s="23" t="str">
        <f aca="false">IF(OR($B109="",K109=""),"",K109-H109)</f>
        <v/>
      </c>
      <c r="M109" s="24" t="str">
        <f aca="false">IF($B109="","",IF(AND(I109="",J109=""),"Not Counted",IF(OR(I109="",J109=""),"Partially Counted",IF(L109=0,"Match",IF(L109&gt;0,"Overage","Shortage")))))</f>
        <v/>
      </c>
      <c r="N109" s="24" t="str">
        <f aca="false">IF($B109="","",IF(AND(N109&lt;&gt;"",N109&lt;&gt;0),N109,$B$4))</f>
        <v/>
      </c>
      <c r="O109" s="21"/>
      <c r="P109" s="21"/>
      <c r="Q109" s="21"/>
      <c r="S109" s="12"/>
      <c r="V109" s="14"/>
      <c r="W109" s="14"/>
      <c r="X109" s="15"/>
      <c r="Y109" s="16"/>
      <c r="Z109" s="14"/>
      <c r="AA109" s="17"/>
      <c r="AC109" s="14"/>
      <c r="AD109" s="14"/>
      <c r="AE109" s="15"/>
      <c r="AF109" s="16"/>
      <c r="AG109" s="14"/>
      <c r="AH109" s="17"/>
      <c r="AJ109" s="14"/>
      <c r="AK109" s="14"/>
      <c r="AL109" s="14"/>
      <c r="AM109" s="17"/>
      <c r="AN109" s="15"/>
    </row>
    <row r="110" customFormat="false" ht="15" hidden="false" customHeight="false" outlineLevel="0" collapsed="false">
      <c r="A110" s="19" t="str">
        <f aca="true">IF($B110="","",IF(AND(A110&lt;&gt;"",A110&lt;&gt;0),A110,TODAY()))</f>
        <v/>
      </c>
      <c r="B110" s="20"/>
      <c r="C110" s="21"/>
      <c r="D110" s="21"/>
      <c r="E110" s="21"/>
      <c r="F110" s="21"/>
      <c r="G110" s="21"/>
      <c r="H110" s="22"/>
      <c r="I110" s="22"/>
      <c r="J110" s="22"/>
      <c r="K110" s="23" t="str">
        <f aca="false">IF($B110="","",IF(AND(I110="",J110=""),"",I110+J110))</f>
        <v/>
      </c>
      <c r="L110" s="23" t="str">
        <f aca="false">IF(OR($B110="",K110=""),"",K110-H110)</f>
        <v/>
      </c>
      <c r="M110" s="24" t="str">
        <f aca="false">IF($B110="","",IF(AND(I110="",J110=""),"Not Counted",IF(OR(I110="",J110=""),"Partially Counted",IF(L110=0,"Match",IF(L110&gt;0,"Overage","Shortage")))))</f>
        <v/>
      </c>
      <c r="N110" s="24" t="str">
        <f aca="false">IF($B110="","",IF(AND(N110&lt;&gt;"",N110&lt;&gt;0),N110,$B$4))</f>
        <v/>
      </c>
      <c r="O110" s="21"/>
      <c r="P110" s="21"/>
      <c r="Q110" s="21"/>
      <c r="S110" s="12"/>
      <c r="V110" s="14"/>
      <c r="W110" s="14"/>
      <c r="X110" s="15"/>
      <c r="Y110" s="16"/>
      <c r="Z110" s="14"/>
      <c r="AA110" s="17"/>
      <c r="AC110" s="14"/>
      <c r="AD110" s="14"/>
      <c r="AE110" s="15"/>
      <c r="AF110" s="16"/>
      <c r="AG110" s="14"/>
      <c r="AH110" s="17"/>
      <c r="AJ110" s="14"/>
      <c r="AK110" s="14"/>
      <c r="AL110" s="14"/>
      <c r="AM110" s="17"/>
      <c r="AN110" s="15"/>
    </row>
    <row r="111" customFormat="false" ht="15" hidden="false" customHeight="false" outlineLevel="0" collapsed="false">
      <c r="A111" s="19" t="str">
        <f aca="true">IF($B111="","",IF(AND(A111&lt;&gt;"",A111&lt;&gt;0),A111,TODAY()))</f>
        <v/>
      </c>
      <c r="B111" s="20"/>
      <c r="C111" s="21"/>
      <c r="D111" s="21"/>
      <c r="E111" s="21"/>
      <c r="F111" s="21"/>
      <c r="G111" s="21"/>
      <c r="H111" s="22"/>
      <c r="I111" s="22"/>
      <c r="J111" s="22"/>
      <c r="K111" s="23" t="str">
        <f aca="false">IF($B111="","",IF(AND(I111="",J111=""),"",I111+J111))</f>
        <v/>
      </c>
      <c r="L111" s="23" t="str">
        <f aca="false">IF(OR($B111="",K111=""),"",K111-H111)</f>
        <v/>
      </c>
      <c r="M111" s="24" t="str">
        <f aca="false">IF($B111="","",IF(AND(I111="",J111=""),"Not Counted",IF(OR(I111="",J111=""),"Partially Counted",IF(L111=0,"Match",IF(L111&gt;0,"Overage","Shortage")))))</f>
        <v/>
      </c>
      <c r="N111" s="24" t="str">
        <f aca="false">IF($B111="","",IF(AND(N111&lt;&gt;"",N111&lt;&gt;0),N111,$B$4))</f>
        <v/>
      </c>
      <c r="O111" s="21"/>
      <c r="P111" s="21"/>
      <c r="Q111" s="21"/>
      <c r="S111" s="12"/>
      <c r="V111" s="14"/>
      <c r="W111" s="14"/>
      <c r="X111" s="15"/>
      <c r="Y111" s="16"/>
      <c r="Z111" s="14"/>
      <c r="AA111" s="17"/>
      <c r="AC111" s="14"/>
      <c r="AD111" s="14"/>
      <c r="AE111" s="15"/>
      <c r="AF111" s="16"/>
      <c r="AG111" s="14"/>
      <c r="AH111" s="17"/>
      <c r="AJ111" s="14"/>
      <c r="AK111" s="14"/>
      <c r="AL111" s="14"/>
      <c r="AM111" s="17"/>
      <c r="AN111" s="15"/>
    </row>
    <row r="112" customFormat="false" ht="15" hidden="false" customHeight="false" outlineLevel="0" collapsed="false">
      <c r="A112" s="19" t="str">
        <f aca="true">IF($B112="","",IF(AND(A112&lt;&gt;"",A112&lt;&gt;0),A112,TODAY()))</f>
        <v/>
      </c>
      <c r="B112" s="20"/>
      <c r="C112" s="21"/>
      <c r="D112" s="21"/>
      <c r="E112" s="21"/>
      <c r="F112" s="21"/>
      <c r="G112" s="21"/>
      <c r="H112" s="22"/>
      <c r="I112" s="22"/>
      <c r="J112" s="22"/>
      <c r="K112" s="23" t="str">
        <f aca="false">IF($B112="","",IF(AND(I112="",J112=""),"",I112+J112))</f>
        <v/>
      </c>
      <c r="L112" s="23" t="str">
        <f aca="false">IF(OR($B112="",K112=""),"",K112-H112)</f>
        <v/>
      </c>
      <c r="M112" s="24" t="str">
        <f aca="false">IF($B112="","",IF(AND(I112="",J112=""),"Not Counted",IF(OR(I112="",J112=""),"Partially Counted",IF(L112=0,"Match",IF(L112&gt;0,"Overage","Shortage")))))</f>
        <v/>
      </c>
      <c r="N112" s="24" t="str">
        <f aca="false">IF($B112="","",IF(AND(N112&lt;&gt;"",N112&lt;&gt;0),N112,$B$4))</f>
        <v/>
      </c>
      <c r="O112" s="21"/>
      <c r="P112" s="21"/>
      <c r="Q112" s="21"/>
      <c r="S112" s="12"/>
      <c r="V112" s="14"/>
      <c r="W112" s="14"/>
      <c r="X112" s="15"/>
      <c r="Y112" s="16"/>
      <c r="Z112" s="14"/>
      <c r="AA112" s="17"/>
      <c r="AC112" s="14"/>
      <c r="AD112" s="14"/>
      <c r="AE112" s="15"/>
      <c r="AF112" s="16"/>
      <c r="AG112" s="14"/>
      <c r="AH112" s="17"/>
      <c r="AJ112" s="14"/>
      <c r="AK112" s="14"/>
      <c r="AL112" s="14"/>
      <c r="AM112" s="17"/>
      <c r="AN112" s="15"/>
    </row>
    <row r="113" customFormat="false" ht="15" hidden="false" customHeight="false" outlineLevel="0" collapsed="false">
      <c r="A113" s="19" t="str">
        <f aca="true">IF($B113="","",IF(AND(A113&lt;&gt;"",A113&lt;&gt;0),A113,TODAY()))</f>
        <v/>
      </c>
      <c r="B113" s="20"/>
      <c r="C113" s="21"/>
      <c r="D113" s="21"/>
      <c r="E113" s="21"/>
      <c r="F113" s="21"/>
      <c r="G113" s="21"/>
      <c r="H113" s="22"/>
      <c r="I113" s="22"/>
      <c r="J113" s="22"/>
      <c r="K113" s="23" t="str">
        <f aca="false">IF($B113="","",IF(AND(I113="",J113=""),"",I113+J113))</f>
        <v/>
      </c>
      <c r="L113" s="23" t="str">
        <f aca="false">IF(OR($B113="",K113=""),"",K113-H113)</f>
        <v/>
      </c>
      <c r="M113" s="24" t="str">
        <f aca="false">IF($B113="","",IF(AND(I113="",J113=""),"Not Counted",IF(OR(I113="",J113=""),"Partially Counted",IF(L113=0,"Match",IF(L113&gt;0,"Overage","Shortage")))))</f>
        <v/>
      </c>
      <c r="N113" s="24" t="str">
        <f aca="false">IF($B113="","",IF(AND(N113&lt;&gt;"",N113&lt;&gt;0),N113,$B$4))</f>
        <v/>
      </c>
      <c r="O113" s="21"/>
      <c r="P113" s="21"/>
      <c r="Q113" s="21"/>
      <c r="S113" s="12"/>
      <c r="V113" s="14"/>
      <c r="W113" s="14"/>
      <c r="X113" s="15"/>
      <c r="Y113" s="16"/>
      <c r="Z113" s="14"/>
      <c r="AA113" s="17"/>
      <c r="AC113" s="14"/>
      <c r="AD113" s="14"/>
      <c r="AE113" s="15"/>
      <c r="AF113" s="16"/>
      <c r="AG113" s="14"/>
      <c r="AH113" s="17"/>
      <c r="AJ113" s="14"/>
      <c r="AK113" s="14"/>
      <c r="AL113" s="14"/>
      <c r="AM113" s="17"/>
      <c r="AN113" s="15"/>
    </row>
    <row r="114" customFormat="false" ht="15" hidden="false" customHeight="false" outlineLevel="0" collapsed="false">
      <c r="A114" s="19" t="str">
        <f aca="true">IF($B114="","",IF(AND(A114&lt;&gt;"",A114&lt;&gt;0),A114,TODAY()))</f>
        <v/>
      </c>
      <c r="B114" s="20"/>
      <c r="C114" s="21"/>
      <c r="D114" s="21"/>
      <c r="E114" s="21"/>
      <c r="F114" s="21"/>
      <c r="G114" s="21"/>
      <c r="H114" s="22"/>
      <c r="I114" s="22"/>
      <c r="J114" s="22"/>
      <c r="K114" s="23" t="str">
        <f aca="false">IF($B114="","",IF(AND(I114="",J114=""),"",I114+J114))</f>
        <v/>
      </c>
      <c r="L114" s="23" t="str">
        <f aca="false">IF(OR($B114="",K114=""),"",K114-H114)</f>
        <v/>
      </c>
      <c r="M114" s="24" t="str">
        <f aca="false">IF($B114="","",IF(AND(I114="",J114=""),"Not Counted",IF(OR(I114="",J114=""),"Partially Counted",IF(L114=0,"Match",IF(L114&gt;0,"Overage","Shortage")))))</f>
        <v/>
      </c>
      <c r="N114" s="24" t="str">
        <f aca="false">IF($B114="","",IF(AND(N114&lt;&gt;"",N114&lt;&gt;0),N114,$B$4))</f>
        <v/>
      </c>
      <c r="O114" s="21"/>
      <c r="P114" s="21"/>
      <c r="Q114" s="21"/>
      <c r="S114" s="12"/>
      <c r="V114" s="14"/>
      <c r="W114" s="14"/>
      <c r="X114" s="15"/>
      <c r="Y114" s="16"/>
      <c r="Z114" s="14"/>
      <c r="AA114" s="17"/>
      <c r="AC114" s="14"/>
      <c r="AD114" s="14"/>
      <c r="AE114" s="15"/>
      <c r="AF114" s="16"/>
      <c r="AG114" s="14"/>
      <c r="AH114" s="17"/>
      <c r="AJ114" s="14"/>
      <c r="AK114" s="14"/>
      <c r="AL114" s="14"/>
      <c r="AM114" s="17"/>
      <c r="AN114" s="15"/>
    </row>
    <row r="115" customFormat="false" ht="15" hidden="false" customHeight="false" outlineLevel="0" collapsed="false">
      <c r="A115" s="19" t="str">
        <f aca="true">IF($B115="","",IF(AND(A115&lt;&gt;"",A115&lt;&gt;0),A115,TODAY()))</f>
        <v/>
      </c>
      <c r="B115" s="20"/>
      <c r="C115" s="21"/>
      <c r="D115" s="21"/>
      <c r="E115" s="21"/>
      <c r="F115" s="21"/>
      <c r="G115" s="21"/>
      <c r="H115" s="22"/>
      <c r="I115" s="22"/>
      <c r="J115" s="22"/>
      <c r="K115" s="23" t="str">
        <f aca="false">IF($B115="","",IF(AND(I115="",J115=""),"",I115+J115))</f>
        <v/>
      </c>
      <c r="L115" s="23" t="str">
        <f aca="false">IF(OR($B115="",K115=""),"",K115-H115)</f>
        <v/>
      </c>
      <c r="M115" s="24" t="str">
        <f aca="false">IF($B115="","",IF(AND(I115="",J115=""),"Not Counted",IF(OR(I115="",J115=""),"Partially Counted",IF(L115=0,"Match",IF(L115&gt;0,"Overage","Shortage")))))</f>
        <v/>
      </c>
      <c r="N115" s="24" t="str">
        <f aca="false">IF($B115="","",IF(AND(N115&lt;&gt;"",N115&lt;&gt;0),N115,$B$4))</f>
        <v/>
      </c>
      <c r="O115" s="21"/>
      <c r="P115" s="21"/>
      <c r="Q115" s="21"/>
      <c r="S115" s="12"/>
      <c r="V115" s="14"/>
      <c r="W115" s="14"/>
      <c r="X115" s="15"/>
      <c r="Y115" s="16"/>
      <c r="Z115" s="14"/>
      <c r="AA115" s="17"/>
      <c r="AC115" s="14"/>
      <c r="AD115" s="14"/>
      <c r="AE115" s="15"/>
      <c r="AF115" s="16"/>
      <c r="AG115" s="14"/>
      <c r="AH115" s="17"/>
      <c r="AJ115" s="14"/>
      <c r="AK115" s="14"/>
      <c r="AL115" s="14"/>
      <c r="AM115" s="17"/>
      <c r="AN115" s="15"/>
    </row>
    <row r="116" customFormat="false" ht="15" hidden="false" customHeight="false" outlineLevel="0" collapsed="false">
      <c r="A116" s="19" t="str">
        <f aca="true">IF($B116="","",IF(AND(A116&lt;&gt;"",A116&lt;&gt;0),A116,TODAY()))</f>
        <v/>
      </c>
      <c r="B116" s="20"/>
      <c r="C116" s="21"/>
      <c r="D116" s="21"/>
      <c r="E116" s="21"/>
      <c r="F116" s="21"/>
      <c r="G116" s="21"/>
      <c r="H116" s="22"/>
      <c r="I116" s="22"/>
      <c r="J116" s="22"/>
      <c r="K116" s="23" t="str">
        <f aca="false">IF($B116="","",IF(AND(I116="",J116=""),"",I116+J116))</f>
        <v/>
      </c>
      <c r="L116" s="23" t="str">
        <f aca="false">IF(OR($B116="",K116=""),"",K116-H116)</f>
        <v/>
      </c>
      <c r="M116" s="24" t="str">
        <f aca="false">IF($B116="","",IF(AND(I116="",J116=""),"Not Counted",IF(OR(I116="",J116=""),"Partially Counted",IF(L116=0,"Match",IF(L116&gt;0,"Overage","Shortage")))))</f>
        <v/>
      </c>
      <c r="N116" s="24" t="str">
        <f aca="false">IF($B116="","",IF(AND(N116&lt;&gt;"",N116&lt;&gt;0),N116,$B$4))</f>
        <v/>
      </c>
      <c r="O116" s="21"/>
      <c r="P116" s="21"/>
      <c r="Q116" s="21"/>
      <c r="S116" s="12"/>
      <c r="V116" s="14"/>
      <c r="W116" s="14"/>
      <c r="X116" s="15"/>
      <c r="Y116" s="16"/>
      <c r="Z116" s="14"/>
      <c r="AA116" s="17"/>
      <c r="AC116" s="14"/>
      <c r="AD116" s="14"/>
      <c r="AE116" s="15"/>
      <c r="AF116" s="16"/>
      <c r="AG116" s="14"/>
      <c r="AH116" s="17"/>
      <c r="AJ116" s="14"/>
      <c r="AK116" s="14"/>
      <c r="AL116" s="14"/>
      <c r="AM116" s="17"/>
      <c r="AN116" s="15"/>
    </row>
    <row r="117" customFormat="false" ht="15" hidden="false" customHeight="false" outlineLevel="0" collapsed="false">
      <c r="A117" s="19" t="str">
        <f aca="true">IF($B117="","",IF(AND(A117&lt;&gt;"",A117&lt;&gt;0),A117,TODAY()))</f>
        <v/>
      </c>
      <c r="B117" s="20"/>
      <c r="C117" s="21"/>
      <c r="D117" s="21"/>
      <c r="E117" s="21"/>
      <c r="F117" s="21"/>
      <c r="G117" s="21"/>
      <c r="H117" s="22"/>
      <c r="I117" s="22"/>
      <c r="J117" s="22"/>
      <c r="K117" s="23" t="str">
        <f aca="false">IF($B117="","",IF(AND(I117="",J117=""),"",I117+J117))</f>
        <v/>
      </c>
      <c r="L117" s="23" t="str">
        <f aca="false">IF(OR($B117="",K117=""),"",K117-H117)</f>
        <v/>
      </c>
      <c r="M117" s="24" t="str">
        <f aca="false">IF($B117="","",IF(AND(I117="",J117=""),"Not Counted",IF(OR(I117="",J117=""),"Partially Counted",IF(L117=0,"Match",IF(L117&gt;0,"Overage","Shortage")))))</f>
        <v/>
      </c>
      <c r="N117" s="24" t="str">
        <f aca="false">IF($B117="","",IF(AND(N117&lt;&gt;"",N117&lt;&gt;0),N117,$B$4))</f>
        <v/>
      </c>
      <c r="O117" s="21"/>
      <c r="P117" s="21"/>
      <c r="Q117" s="21"/>
      <c r="S117" s="12"/>
      <c r="V117" s="14"/>
      <c r="W117" s="14"/>
      <c r="X117" s="15"/>
      <c r="Y117" s="16"/>
      <c r="Z117" s="14"/>
      <c r="AA117" s="17"/>
      <c r="AC117" s="14"/>
      <c r="AD117" s="14"/>
      <c r="AE117" s="15"/>
      <c r="AF117" s="16"/>
      <c r="AG117" s="14"/>
      <c r="AH117" s="17"/>
      <c r="AJ117" s="14"/>
      <c r="AK117" s="14"/>
      <c r="AL117" s="14"/>
      <c r="AM117" s="17"/>
      <c r="AN117" s="15"/>
    </row>
    <row r="118" customFormat="false" ht="15" hidden="false" customHeight="false" outlineLevel="0" collapsed="false">
      <c r="A118" s="19" t="str">
        <f aca="true">IF($B118="","",IF(AND(A118&lt;&gt;"",A118&lt;&gt;0),A118,TODAY()))</f>
        <v/>
      </c>
      <c r="B118" s="20"/>
      <c r="C118" s="21"/>
      <c r="D118" s="21"/>
      <c r="E118" s="21"/>
      <c r="F118" s="21"/>
      <c r="G118" s="21"/>
      <c r="H118" s="22"/>
      <c r="I118" s="22"/>
      <c r="J118" s="22"/>
      <c r="K118" s="23" t="str">
        <f aca="false">IF($B118="","",IF(AND(I118="",J118=""),"",I118+J118))</f>
        <v/>
      </c>
      <c r="L118" s="23" t="str">
        <f aca="false">IF(OR($B118="",K118=""),"",K118-H118)</f>
        <v/>
      </c>
      <c r="M118" s="24" t="str">
        <f aca="false">IF($B118="","",IF(AND(I118="",J118=""),"Not Counted",IF(OR(I118="",J118=""),"Partially Counted",IF(L118=0,"Match",IF(L118&gt;0,"Overage","Shortage")))))</f>
        <v/>
      </c>
      <c r="N118" s="24" t="str">
        <f aca="false">IF($B118="","",IF(AND(N118&lt;&gt;"",N118&lt;&gt;0),N118,$B$4))</f>
        <v/>
      </c>
      <c r="O118" s="21"/>
      <c r="P118" s="21"/>
      <c r="Q118" s="21"/>
      <c r="S118" s="12"/>
      <c r="V118" s="14"/>
      <c r="W118" s="14"/>
      <c r="X118" s="15"/>
      <c r="Y118" s="16"/>
      <c r="Z118" s="14"/>
      <c r="AA118" s="17"/>
      <c r="AC118" s="14"/>
      <c r="AD118" s="14"/>
      <c r="AE118" s="15"/>
      <c r="AF118" s="16"/>
      <c r="AG118" s="14"/>
      <c r="AH118" s="17"/>
      <c r="AJ118" s="14"/>
      <c r="AK118" s="14"/>
      <c r="AL118" s="14"/>
      <c r="AM118" s="17"/>
      <c r="AN118" s="15"/>
    </row>
    <row r="119" customFormat="false" ht="15" hidden="false" customHeight="false" outlineLevel="0" collapsed="false">
      <c r="A119" s="19" t="str">
        <f aca="true">IF($B119="","",IF(AND(A119&lt;&gt;"",A119&lt;&gt;0),A119,TODAY()))</f>
        <v/>
      </c>
      <c r="B119" s="20"/>
      <c r="C119" s="21"/>
      <c r="D119" s="21"/>
      <c r="E119" s="21"/>
      <c r="F119" s="21"/>
      <c r="G119" s="21"/>
      <c r="H119" s="22"/>
      <c r="I119" s="22"/>
      <c r="J119" s="22"/>
      <c r="K119" s="23" t="str">
        <f aca="false">IF($B119="","",IF(AND(I119="",J119=""),"",I119+J119))</f>
        <v/>
      </c>
      <c r="L119" s="23" t="str">
        <f aca="false">IF(OR($B119="",K119=""),"",K119-H119)</f>
        <v/>
      </c>
      <c r="M119" s="24" t="str">
        <f aca="false">IF($B119="","",IF(AND(I119="",J119=""),"Not Counted",IF(OR(I119="",J119=""),"Partially Counted",IF(L119=0,"Match",IF(L119&gt;0,"Overage","Shortage")))))</f>
        <v/>
      </c>
      <c r="N119" s="24" t="str">
        <f aca="false">IF($B119="","",IF(AND(N119&lt;&gt;"",N119&lt;&gt;0),N119,$B$4))</f>
        <v/>
      </c>
      <c r="O119" s="21"/>
      <c r="P119" s="21"/>
      <c r="Q119" s="21"/>
      <c r="S119" s="12"/>
      <c r="V119" s="14"/>
      <c r="W119" s="14"/>
      <c r="X119" s="15"/>
      <c r="Y119" s="16"/>
      <c r="Z119" s="14"/>
      <c r="AA119" s="17"/>
      <c r="AC119" s="14"/>
      <c r="AD119" s="14"/>
      <c r="AE119" s="15"/>
      <c r="AF119" s="16"/>
      <c r="AG119" s="14"/>
      <c r="AH119" s="17"/>
      <c r="AJ119" s="14"/>
      <c r="AK119" s="14"/>
      <c r="AL119" s="14"/>
      <c r="AM119" s="17"/>
      <c r="AN119" s="15"/>
    </row>
    <row r="120" customFormat="false" ht="15" hidden="false" customHeight="false" outlineLevel="0" collapsed="false">
      <c r="A120" s="19" t="str">
        <f aca="true">IF($B120="","",IF(AND(A120&lt;&gt;"",A120&lt;&gt;0),A120,TODAY()))</f>
        <v/>
      </c>
      <c r="B120" s="20"/>
      <c r="C120" s="21"/>
      <c r="D120" s="21"/>
      <c r="E120" s="21"/>
      <c r="F120" s="21"/>
      <c r="G120" s="21"/>
      <c r="H120" s="22"/>
      <c r="I120" s="22"/>
      <c r="J120" s="22"/>
      <c r="K120" s="23" t="str">
        <f aca="false">IF($B120="","",IF(AND(I120="",J120=""),"",I120+J120))</f>
        <v/>
      </c>
      <c r="L120" s="23" t="str">
        <f aca="false">IF(OR($B120="",K120=""),"",K120-H120)</f>
        <v/>
      </c>
      <c r="M120" s="24" t="str">
        <f aca="false">IF($B120="","",IF(AND(I120="",J120=""),"Not Counted",IF(OR(I120="",J120=""),"Partially Counted",IF(L120=0,"Match",IF(L120&gt;0,"Overage","Shortage")))))</f>
        <v/>
      </c>
      <c r="N120" s="24" t="str">
        <f aca="false">IF($B120="","",IF(AND(N120&lt;&gt;"",N120&lt;&gt;0),N120,$B$4))</f>
        <v/>
      </c>
      <c r="O120" s="21"/>
      <c r="P120" s="21"/>
      <c r="Q120" s="21"/>
      <c r="S120" s="12"/>
      <c r="V120" s="14"/>
      <c r="W120" s="14"/>
      <c r="X120" s="15"/>
      <c r="Y120" s="16"/>
      <c r="Z120" s="14"/>
      <c r="AA120" s="17"/>
      <c r="AC120" s="14"/>
      <c r="AD120" s="14"/>
      <c r="AE120" s="15"/>
      <c r="AF120" s="16"/>
      <c r="AG120" s="14"/>
      <c r="AH120" s="17"/>
      <c r="AJ120" s="14"/>
      <c r="AK120" s="14"/>
      <c r="AL120" s="14"/>
      <c r="AM120" s="17"/>
      <c r="AN120" s="15"/>
    </row>
    <row r="121" customFormat="false" ht="15" hidden="false" customHeight="false" outlineLevel="0" collapsed="false">
      <c r="A121" s="19" t="str">
        <f aca="true">IF($B121="","",IF(AND(A121&lt;&gt;"",A121&lt;&gt;0),A121,TODAY()))</f>
        <v/>
      </c>
      <c r="B121" s="20"/>
      <c r="C121" s="21"/>
      <c r="D121" s="21"/>
      <c r="E121" s="21"/>
      <c r="F121" s="21"/>
      <c r="G121" s="21"/>
      <c r="H121" s="22"/>
      <c r="I121" s="22"/>
      <c r="J121" s="22"/>
      <c r="K121" s="23" t="str">
        <f aca="false">IF($B121="","",IF(AND(I121="",J121=""),"",I121+J121))</f>
        <v/>
      </c>
      <c r="L121" s="23" t="str">
        <f aca="false">IF(OR($B121="",K121=""),"",K121-H121)</f>
        <v/>
      </c>
      <c r="M121" s="24" t="str">
        <f aca="false">IF($B121="","",IF(AND(I121="",J121=""),"Not Counted",IF(OR(I121="",J121=""),"Partially Counted",IF(L121=0,"Match",IF(L121&gt;0,"Overage","Shortage")))))</f>
        <v/>
      </c>
      <c r="N121" s="24" t="str">
        <f aca="false">IF($B121="","",IF(AND(N121&lt;&gt;"",N121&lt;&gt;0),N121,$B$4))</f>
        <v/>
      </c>
      <c r="O121" s="21"/>
      <c r="P121" s="21"/>
      <c r="Q121" s="21"/>
      <c r="S121" s="12"/>
      <c r="V121" s="14"/>
      <c r="W121" s="14"/>
      <c r="X121" s="15"/>
      <c r="Y121" s="16"/>
      <c r="Z121" s="14"/>
      <c r="AA121" s="17"/>
      <c r="AC121" s="14"/>
      <c r="AD121" s="14"/>
      <c r="AE121" s="15"/>
      <c r="AF121" s="16"/>
      <c r="AG121" s="14"/>
      <c r="AH121" s="17"/>
      <c r="AJ121" s="14"/>
      <c r="AK121" s="14"/>
      <c r="AL121" s="14"/>
      <c r="AM121" s="17"/>
      <c r="AN121" s="15"/>
    </row>
    <row r="122" customFormat="false" ht="15" hidden="false" customHeight="false" outlineLevel="0" collapsed="false">
      <c r="A122" s="19" t="str">
        <f aca="true">IF($B122="","",IF(AND(A122&lt;&gt;"",A122&lt;&gt;0),A122,TODAY()))</f>
        <v/>
      </c>
      <c r="B122" s="20"/>
      <c r="C122" s="21"/>
      <c r="D122" s="21"/>
      <c r="E122" s="21"/>
      <c r="F122" s="21"/>
      <c r="G122" s="21"/>
      <c r="H122" s="22"/>
      <c r="I122" s="22"/>
      <c r="J122" s="22"/>
      <c r="K122" s="23" t="str">
        <f aca="false">IF($B122="","",IF(AND(I122="",J122=""),"",I122+J122))</f>
        <v/>
      </c>
      <c r="L122" s="23" t="str">
        <f aca="false">IF(OR($B122="",K122=""),"",K122-H122)</f>
        <v/>
      </c>
      <c r="M122" s="24" t="str">
        <f aca="false">IF($B122="","",IF(AND(I122="",J122=""),"Not Counted",IF(OR(I122="",J122=""),"Partially Counted",IF(L122=0,"Match",IF(L122&gt;0,"Overage","Shortage")))))</f>
        <v/>
      </c>
      <c r="N122" s="24" t="str">
        <f aca="false">IF($B122="","",IF(AND(N122&lt;&gt;"",N122&lt;&gt;0),N122,$B$4))</f>
        <v/>
      </c>
      <c r="O122" s="21"/>
      <c r="P122" s="21"/>
      <c r="Q122" s="21"/>
      <c r="S122" s="12"/>
      <c r="V122" s="14"/>
      <c r="W122" s="14"/>
      <c r="X122" s="15"/>
      <c r="Y122" s="16"/>
      <c r="Z122" s="14"/>
      <c r="AA122" s="17"/>
      <c r="AC122" s="14"/>
      <c r="AD122" s="14"/>
      <c r="AE122" s="15"/>
      <c r="AF122" s="16"/>
      <c r="AG122" s="14"/>
      <c r="AH122" s="17"/>
      <c r="AJ122" s="14"/>
      <c r="AK122" s="14"/>
      <c r="AL122" s="14"/>
      <c r="AM122" s="17"/>
      <c r="AN122" s="15"/>
    </row>
    <row r="123" customFormat="false" ht="15" hidden="false" customHeight="false" outlineLevel="0" collapsed="false">
      <c r="A123" s="19" t="str">
        <f aca="true">IF($B123="","",IF(AND(A123&lt;&gt;"",A123&lt;&gt;0),A123,TODAY()))</f>
        <v/>
      </c>
      <c r="B123" s="20"/>
      <c r="C123" s="21"/>
      <c r="D123" s="21"/>
      <c r="E123" s="21"/>
      <c r="F123" s="21"/>
      <c r="G123" s="21"/>
      <c r="H123" s="22"/>
      <c r="I123" s="22"/>
      <c r="J123" s="22"/>
      <c r="K123" s="23" t="str">
        <f aca="false">IF($B123="","",IF(AND(I123="",J123=""),"",I123+J123))</f>
        <v/>
      </c>
      <c r="L123" s="23" t="str">
        <f aca="false">IF(OR($B123="",K123=""),"",K123-H123)</f>
        <v/>
      </c>
      <c r="M123" s="24" t="str">
        <f aca="false">IF($B123="","",IF(AND(I123="",J123=""),"Not Counted",IF(OR(I123="",J123=""),"Partially Counted",IF(L123=0,"Match",IF(L123&gt;0,"Overage","Shortage")))))</f>
        <v/>
      </c>
      <c r="N123" s="24" t="str">
        <f aca="false">IF($B123="","",IF(AND(N123&lt;&gt;"",N123&lt;&gt;0),N123,$B$4))</f>
        <v/>
      </c>
      <c r="O123" s="21"/>
      <c r="P123" s="21"/>
      <c r="Q123" s="21"/>
      <c r="S123" s="12"/>
      <c r="V123" s="14"/>
      <c r="W123" s="14"/>
      <c r="X123" s="15"/>
      <c r="Y123" s="16"/>
      <c r="Z123" s="14"/>
      <c r="AA123" s="17"/>
      <c r="AC123" s="14"/>
      <c r="AD123" s="14"/>
      <c r="AE123" s="15"/>
      <c r="AF123" s="16"/>
      <c r="AG123" s="14"/>
      <c r="AH123" s="17"/>
      <c r="AJ123" s="14"/>
      <c r="AK123" s="14"/>
      <c r="AL123" s="14"/>
      <c r="AM123" s="17"/>
      <c r="AN123" s="15"/>
    </row>
    <row r="124" customFormat="false" ht="15" hidden="false" customHeight="false" outlineLevel="0" collapsed="false">
      <c r="A124" s="19" t="str">
        <f aca="true">IF($B124="","",IF(AND(A124&lt;&gt;"",A124&lt;&gt;0),A124,TODAY()))</f>
        <v/>
      </c>
      <c r="B124" s="20"/>
      <c r="C124" s="21"/>
      <c r="D124" s="21"/>
      <c r="E124" s="21"/>
      <c r="F124" s="21"/>
      <c r="G124" s="21"/>
      <c r="H124" s="22"/>
      <c r="I124" s="22"/>
      <c r="J124" s="22"/>
      <c r="K124" s="23" t="str">
        <f aca="false">IF($B124="","",IF(AND(I124="",J124=""),"",I124+J124))</f>
        <v/>
      </c>
      <c r="L124" s="23" t="str">
        <f aca="false">IF(OR($B124="",K124=""),"",K124-H124)</f>
        <v/>
      </c>
      <c r="M124" s="24" t="str">
        <f aca="false">IF($B124="","",IF(AND(I124="",J124=""),"Not Counted",IF(OR(I124="",J124=""),"Partially Counted",IF(L124=0,"Match",IF(L124&gt;0,"Overage","Shortage")))))</f>
        <v/>
      </c>
      <c r="N124" s="24" t="str">
        <f aca="false">IF($B124="","",IF(AND(N124&lt;&gt;"",N124&lt;&gt;0),N124,$B$4))</f>
        <v/>
      </c>
      <c r="O124" s="21"/>
      <c r="P124" s="21"/>
      <c r="Q124" s="21"/>
      <c r="S124" s="12"/>
      <c r="V124" s="14"/>
      <c r="W124" s="14"/>
      <c r="X124" s="15"/>
      <c r="Y124" s="16"/>
      <c r="Z124" s="14"/>
      <c r="AA124" s="17"/>
      <c r="AC124" s="14"/>
      <c r="AD124" s="14"/>
      <c r="AE124" s="15"/>
      <c r="AF124" s="16"/>
      <c r="AG124" s="14"/>
      <c r="AH124" s="17"/>
      <c r="AJ124" s="14"/>
      <c r="AK124" s="14"/>
      <c r="AL124" s="14"/>
      <c r="AM124" s="17"/>
      <c r="AN124" s="15"/>
    </row>
    <row r="125" customFormat="false" ht="15" hidden="false" customHeight="false" outlineLevel="0" collapsed="false">
      <c r="A125" s="19" t="str">
        <f aca="true">IF($B125="","",IF(AND(A125&lt;&gt;"",A125&lt;&gt;0),A125,TODAY()))</f>
        <v/>
      </c>
      <c r="B125" s="20"/>
      <c r="C125" s="21"/>
      <c r="D125" s="21"/>
      <c r="E125" s="21"/>
      <c r="F125" s="21"/>
      <c r="G125" s="21"/>
      <c r="H125" s="22"/>
      <c r="I125" s="22"/>
      <c r="J125" s="22"/>
      <c r="K125" s="23" t="str">
        <f aca="false">IF($B125="","",IF(AND(I125="",J125=""),"",I125+J125))</f>
        <v/>
      </c>
      <c r="L125" s="23" t="str">
        <f aca="false">IF(OR($B125="",K125=""),"",K125-H125)</f>
        <v/>
      </c>
      <c r="M125" s="24" t="str">
        <f aca="false">IF($B125="","",IF(AND(I125="",J125=""),"Not Counted",IF(OR(I125="",J125=""),"Partially Counted",IF(L125=0,"Match",IF(L125&gt;0,"Overage","Shortage")))))</f>
        <v/>
      </c>
      <c r="N125" s="24" t="str">
        <f aca="false">IF($B125="","",IF(AND(N125&lt;&gt;"",N125&lt;&gt;0),N125,$B$4))</f>
        <v/>
      </c>
      <c r="O125" s="21"/>
      <c r="P125" s="21"/>
      <c r="Q125" s="21"/>
      <c r="S125" s="12"/>
      <c r="V125" s="14"/>
      <c r="W125" s="14"/>
      <c r="X125" s="15"/>
      <c r="Y125" s="16"/>
      <c r="Z125" s="14"/>
      <c r="AA125" s="17"/>
      <c r="AC125" s="14"/>
      <c r="AD125" s="14"/>
      <c r="AE125" s="15"/>
      <c r="AF125" s="16"/>
      <c r="AG125" s="14"/>
      <c r="AH125" s="17"/>
      <c r="AJ125" s="14"/>
      <c r="AK125" s="14"/>
      <c r="AL125" s="14"/>
      <c r="AM125" s="17"/>
      <c r="AN125" s="15"/>
    </row>
    <row r="126" customFormat="false" ht="15" hidden="false" customHeight="false" outlineLevel="0" collapsed="false">
      <c r="A126" s="19" t="str">
        <f aca="true">IF($B126="","",IF(AND(A126&lt;&gt;"",A126&lt;&gt;0),A126,TODAY()))</f>
        <v/>
      </c>
      <c r="B126" s="20"/>
      <c r="C126" s="21"/>
      <c r="D126" s="21"/>
      <c r="E126" s="21"/>
      <c r="F126" s="21"/>
      <c r="G126" s="21"/>
      <c r="H126" s="22"/>
      <c r="I126" s="22"/>
      <c r="J126" s="22"/>
      <c r="K126" s="23" t="str">
        <f aca="false">IF($B126="","",IF(AND(I126="",J126=""),"",I126+J126))</f>
        <v/>
      </c>
      <c r="L126" s="23" t="str">
        <f aca="false">IF(OR($B126="",K126=""),"",K126-H126)</f>
        <v/>
      </c>
      <c r="M126" s="24" t="str">
        <f aca="false">IF($B126="","",IF(AND(I126="",J126=""),"Not Counted",IF(OR(I126="",J126=""),"Partially Counted",IF(L126=0,"Match",IF(L126&gt;0,"Overage","Shortage")))))</f>
        <v/>
      </c>
      <c r="N126" s="24" t="str">
        <f aca="false">IF($B126="","",IF(AND(N126&lt;&gt;"",N126&lt;&gt;0),N126,$B$4))</f>
        <v/>
      </c>
      <c r="O126" s="21"/>
      <c r="P126" s="21"/>
      <c r="Q126" s="21"/>
      <c r="S126" s="12"/>
      <c r="V126" s="14"/>
      <c r="W126" s="14"/>
      <c r="X126" s="15"/>
      <c r="Y126" s="16"/>
      <c r="Z126" s="14"/>
      <c r="AA126" s="17"/>
      <c r="AC126" s="14"/>
      <c r="AD126" s="14"/>
      <c r="AE126" s="15"/>
      <c r="AF126" s="16"/>
      <c r="AG126" s="14"/>
      <c r="AH126" s="17"/>
      <c r="AJ126" s="14"/>
      <c r="AK126" s="14"/>
      <c r="AL126" s="14"/>
      <c r="AM126" s="17"/>
      <c r="AN126" s="15"/>
    </row>
    <row r="127" customFormat="false" ht="15" hidden="false" customHeight="false" outlineLevel="0" collapsed="false">
      <c r="A127" s="19" t="str">
        <f aca="true">IF($B127="","",IF(AND(A127&lt;&gt;"",A127&lt;&gt;0),A127,TODAY()))</f>
        <v/>
      </c>
      <c r="B127" s="20"/>
      <c r="C127" s="21"/>
      <c r="D127" s="21"/>
      <c r="E127" s="21"/>
      <c r="F127" s="21"/>
      <c r="G127" s="21"/>
      <c r="H127" s="22"/>
      <c r="I127" s="22"/>
      <c r="J127" s="22"/>
      <c r="K127" s="23" t="str">
        <f aca="false">IF($B127="","",IF(AND(I127="",J127=""),"",I127+J127))</f>
        <v/>
      </c>
      <c r="L127" s="23" t="str">
        <f aca="false">IF(OR($B127="",K127=""),"",K127-H127)</f>
        <v/>
      </c>
      <c r="M127" s="24" t="str">
        <f aca="false">IF($B127="","",IF(AND(I127="",J127=""),"Not Counted",IF(OR(I127="",J127=""),"Partially Counted",IF(L127=0,"Match",IF(L127&gt;0,"Overage","Shortage")))))</f>
        <v/>
      </c>
      <c r="N127" s="24" t="str">
        <f aca="false">IF($B127="","",IF(AND(N127&lt;&gt;"",N127&lt;&gt;0),N127,$B$4))</f>
        <v/>
      </c>
      <c r="O127" s="21"/>
      <c r="P127" s="21"/>
      <c r="Q127" s="21"/>
      <c r="S127" s="12"/>
      <c r="V127" s="14"/>
      <c r="W127" s="14"/>
      <c r="X127" s="15"/>
      <c r="Y127" s="16"/>
      <c r="Z127" s="14"/>
      <c r="AA127" s="17"/>
      <c r="AC127" s="14"/>
      <c r="AD127" s="14"/>
      <c r="AE127" s="15"/>
      <c r="AF127" s="16"/>
      <c r="AG127" s="14"/>
      <c r="AH127" s="17"/>
      <c r="AJ127" s="14"/>
      <c r="AK127" s="14"/>
      <c r="AL127" s="14"/>
      <c r="AM127" s="17"/>
      <c r="AN127" s="15"/>
    </row>
    <row r="128" customFormat="false" ht="15" hidden="false" customHeight="false" outlineLevel="0" collapsed="false">
      <c r="A128" s="19" t="str">
        <f aca="true">IF($B128="","",IF(AND(A128&lt;&gt;"",A128&lt;&gt;0),A128,TODAY()))</f>
        <v/>
      </c>
      <c r="B128" s="20"/>
      <c r="C128" s="21"/>
      <c r="D128" s="21"/>
      <c r="E128" s="21"/>
      <c r="F128" s="21"/>
      <c r="G128" s="21"/>
      <c r="H128" s="22"/>
      <c r="I128" s="22"/>
      <c r="J128" s="22"/>
      <c r="K128" s="23" t="str">
        <f aca="false">IF($B128="","",IF(AND(I128="",J128=""),"",I128+J128))</f>
        <v/>
      </c>
      <c r="L128" s="23" t="str">
        <f aca="false">IF(OR($B128="",K128=""),"",K128-H128)</f>
        <v/>
      </c>
      <c r="M128" s="24" t="str">
        <f aca="false">IF($B128="","",IF(AND(I128="",J128=""),"Not Counted",IF(OR(I128="",J128=""),"Partially Counted",IF(L128=0,"Match",IF(L128&gt;0,"Overage","Shortage")))))</f>
        <v/>
      </c>
      <c r="N128" s="24" t="str">
        <f aca="false">IF($B128="","",IF(AND(N128&lt;&gt;"",N128&lt;&gt;0),N128,$B$4))</f>
        <v/>
      </c>
      <c r="O128" s="21"/>
      <c r="P128" s="21"/>
      <c r="Q128" s="21"/>
      <c r="S128" s="12"/>
      <c r="V128" s="14"/>
      <c r="W128" s="14"/>
      <c r="X128" s="15"/>
      <c r="Y128" s="16"/>
      <c r="Z128" s="14"/>
      <c r="AA128" s="17"/>
      <c r="AC128" s="14"/>
      <c r="AD128" s="14"/>
      <c r="AE128" s="15"/>
      <c r="AF128" s="16"/>
      <c r="AG128" s="14"/>
      <c r="AH128" s="17"/>
      <c r="AJ128" s="14"/>
      <c r="AK128" s="14"/>
      <c r="AL128" s="14"/>
      <c r="AM128" s="17"/>
      <c r="AN128" s="15"/>
    </row>
    <row r="129" customFormat="false" ht="15" hidden="false" customHeight="false" outlineLevel="0" collapsed="false">
      <c r="A129" s="19" t="str">
        <f aca="true">IF($B129="","",IF(AND(A129&lt;&gt;"",A129&lt;&gt;0),A129,TODAY()))</f>
        <v/>
      </c>
      <c r="B129" s="20"/>
      <c r="C129" s="21"/>
      <c r="D129" s="21"/>
      <c r="E129" s="21"/>
      <c r="F129" s="21"/>
      <c r="G129" s="21"/>
      <c r="H129" s="22"/>
      <c r="I129" s="22"/>
      <c r="J129" s="22"/>
      <c r="K129" s="23" t="str">
        <f aca="false">IF($B129="","",IF(AND(I129="",J129=""),"",I129+J129))</f>
        <v/>
      </c>
      <c r="L129" s="23" t="str">
        <f aca="false">IF(OR($B129="",K129=""),"",K129-H129)</f>
        <v/>
      </c>
      <c r="M129" s="24" t="str">
        <f aca="false">IF($B129="","",IF(AND(I129="",J129=""),"Not Counted",IF(OR(I129="",J129=""),"Partially Counted",IF(L129=0,"Match",IF(L129&gt;0,"Overage","Shortage")))))</f>
        <v/>
      </c>
      <c r="N129" s="24" t="str">
        <f aca="false">IF($B129="","",IF(AND(N129&lt;&gt;"",N129&lt;&gt;0),N129,$B$4))</f>
        <v/>
      </c>
      <c r="O129" s="21"/>
      <c r="P129" s="21"/>
      <c r="Q129" s="21"/>
      <c r="S129" s="12"/>
      <c r="V129" s="14"/>
      <c r="W129" s="14"/>
      <c r="X129" s="15"/>
      <c r="Y129" s="16"/>
      <c r="Z129" s="14"/>
      <c r="AA129" s="17"/>
      <c r="AC129" s="14"/>
      <c r="AD129" s="14"/>
      <c r="AE129" s="15"/>
      <c r="AF129" s="16"/>
      <c r="AG129" s="14"/>
      <c r="AH129" s="17"/>
      <c r="AJ129" s="14"/>
      <c r="AK129" s="14"/>
      <c r="AL129" s="14"/>
      <c r="AM129" s="17"/>
      <c r="AN129" s="15"/>
    </row>
    <row r="130" customFormat="false" ht="15" hidden="false" customHeight="false" outlineLevel="0" collapsed="false">
      <c r="A130" s="19" t="str">
        <f aca="true">IF($B130="","",IF(AND(A130&lt;&gt;"",A130&lt;&gt;0),A130,TODAY()))</f>
        <v/>
      </c>
      <c r="B130" s="20"/>
      <c r="C130" s="21"/>
      <c r="D130" s="21"/>
      <c r="E130" s="21"/>
      <c r="F130" s="21"/>
      <c r="G130" s="21"/>
      <c r="H130" s="22"/>
      <c r="I130" s="22"/>
      <c r="J130" s="22"/>
      <c r="K130" s="23" t="str">
        <f aca="false">IF($B130="","",IF(AND(I130="",J130=""),"",I130+J130))</f>
        <v/>
      </c>
      <c r="L130" s="23" t="str">
        <f aca="false">IF(OR($B130="",K130=""),"",K130-H130)</f>
        <v/>
      </c>
      <c r="M130" s="24" t="str">
        <f aca="false">IF($B130="","",IF(AND(I130="",J130=""),"Not Counted",IF(OR(I130="",J130=""),"Partially Counted",IF(L130=0,"Match",IF(L130&gt;0,"Overage","Shortage")))))</f>
        <v/>
      </c>
      <c r="N130" s="24" t="str">
        <f aca="false">IF($B130="","",IF(AND(N130&lt;&gt;"",N130&lt;&gt;0),N130,$B$4))</f>
        <v/>
      </c>
      <c r="O130" s="21"/>
      <c r="P130" s="21"/>
      <c r="Q130" s="21"/>
      <c r="S130" s="12"/>
      <c r="V130" s="14"/>
      <c r="W130" s="14"/>
      <c r="X130" s="15"/>
      <c r="Y130" s="16"/>
      <c r="Z130" s="14"/>
      <c r="AA130" s="17"/>
      <c r="AC130" s="14"/>
      <c r="AD130" s="14"/>
      <c r="AE130" s="15"/>
      <c r="AF130" s="16"/>
      <c r="AG130" s="14"/>
      <c r="AH130" s="17"/>
      <c r="AJ130" s="14"/>
      <c r="AK130" s="14"/>
      <c r="AL130" s="14"/>
      <c r="AM130" s="17"/>
      <c r="AN130" s="15"/>
    </row>
    <row r="131" customFormat="false" ht="15" hidden="false" customHeight="false" outlineLevel="0" collapsed="false">
      <c r="A131" s="19" t="str">
        <f aca="true">IF($B131="","",IF(AND(A131&lt;&gt;"",A131&lt;&gt;0),A131,TODAY()))</f>
        <v/>
      </c>
      <c r="B131" s="20"/>
      <c r="C131" s="21"/>
      <c r="D131" s="21"/>
      <c r="E131" s="21"/>
      <c r="F131" s="21"/>
      <c r="G131" s="21"/>
      <c r="H131" s="22"/>
      <c r="I131" s="22"/>
      <c r="J131" s="22"/>
      <c r="K131" s="23" t="str">
        <f aca="false">IF($B131="","",IF(AND(I131="",J131=""),"",I131+J131))</f>
        <v/>
      </c>
      <c r="L131" s="23" t="str">
        <f aca="false">IF(OR($B131="",K131=""),"",K131-H131)</f>
        <v/>
      </c>
      <c r="M131" s="24" t="str">
        <f aca="false">IF($B131="","",IF(AND(I131="",J131=""),"Not Counted",IF(OR(I131="",J131=""),"Partially Counted",IF(L131=0,"Match",IF(L131&gt;0,"Overage","Shortage")))))</f>
        <v/>
      </c>
      <c r="N131" s="24" t="str">
        <f aca="false">IF($B131="","",IF(AND(N131&lt;&gt;"",N131&lt;&gt;0),N131,$B$4))</f>
        <v/>
      </c>
      <c r="O131" s="21"/>
      <c r="P131" s="21"/>
      <c r="Q131" s="21"/>
      <c r="S131" s="12"/>
      <c r="V131" s="14"/>
      <c r="W131" s="14"/>
      <c r="X131" s="15"/>
      <c r="Y131" s="16"/>
      <c r="Z131" s="14"/>
      <c r="AA131" s="17"/>
      <c r="AC131" s="14"/>
      <c r="AD131" s="14"/>
      <c r="AE131" s="15"/>
      <c r="AF131" s="16"/>
      <c r="AG131" s="14"/>
      <c r="AH131" s="17"/>
      <c r="AJ131" s="14"/>
      <c r="AK131" s="14"/>
      <c r="AL131" s="14"/>
      <c r="AM131" s="17"/>
      <c r="AN131" s="15"/>
    </row>
    <row r="132" customFormat="false" ht="15" hidden="false" customHeight="false" outlineLevel="0" collapsed="false">
      <c r="A132" s="19" t="str">
        <f aca="true">IF($B132="","",IF(AND(A132&lt;&gt;"",A132&lt;&gt;0),A132,TODAY()))</f>
        <v/>
      </c>
      <c r="B132" s="20"/>
      <c r="C132" s="21"/>
      <c r="D132" s="21"/>
      <c r="E132" s="21"/>
      <c r="F132" s="21"/>
      <c r="G132" s="21"/>
      <c r="H132" s="22"/>
      <c r="I132" s="22"/>
      <c r="J132" s="22"/>
      <c r="K132" s="23" t="str">
        <f aca="false">IF($B132="","",IF(AND(I132="",J132=""),"",I132+J132))</f>
        <v/>
      </c>
      <c r="L132" s="23" t="str">
        <f aca="false">IF(OR($B132="",K132=""),"",K132-H132)</f>
        <v/>
      </c>
      <c r="M132" s="24" t="str">
        <f aca="false">IF($B132="","",IF(AND(I132="",J132=""),"Not Counted",IF(OR(I132="",J132=""),"Partially Counted",IF(L132=0,"Match",IF(L132&gt;0,"Overage","Shortage")))))</f>
        <v/>
      </c>
      <c r="N132" s="24" t="str">
        <f aca="false">IF($B132="","",IF(AND(N132&lt;&gt;"",N132&lt;&gt;0),N132,$B$4))</f>
        <v/>
      </c>
      <c r="O132" s="21"/>
      <c r="P132" s="21"/>
      <c r="Q132" s="21"/>
      <c r="S132" s="12"/>
      <c r="V132" s="14"/>
      <c r="W132" s="14"/>
      <c r="X132" s="15"/>
      <c r="Y132" s="16"/>
      <c r="Z132" s="14"/>
      <c r="AA132" s="17"/>
      <c r="AC132" s="14"/>
      <c r="AD132" s="14"/>
      <c r="AE132" s="15"/>
      <c r="AF132" s="16"/>
      <c r="AG132" s="14"/>
      <c r="AH132" s="17"/>
      <c r="AJ132" s="14"/>
      <c r="AK132" s="14"/>
      <c r="AL132" s="14"/>
      <c r="AM132" s="17"/>
      <c r="AN132" s="15"/>
    </row>
    <row r="133" customFormat="false" ht="15" hidden="false" customHeight="false" outlineLevel="0" collapsed="false">
      <c r="A133" s="19" t="str">
        <f aca="true">IF($B133="","",IF(AND(A133&lt;&gt;"",A133&lt;&gt;0),A133,TODAY()))</f>
        <v/>
      </c>
      <c r="B133" s="20"/>
      <c r="C133" s="21"/>
      <c r="D133" s="21"/>
      <c r="E133" s="21"/>
      <c r="F133" s="21"/>
      <c r="G133" s="21"/>
      <c r="H133" s="22"/>
      <c r="I133" s="22"/>
      <c r="J133" s="22"/>
      <c r="K133" s="23" t="str">
        <f aca="false">IF($B133="","",IF(AND(I133="",J133=""),"",I133+J133))</f>
        <v/>
      </c>
      <c r="L133" s="23" t="str">
        <f aca="false">IF(OR($B133="",K133=""),"",K133-H133)</f>
        <v/>
      </c>
      <c r="M133" s="24" t="str">
        <f aca="false">IF($B133="","",IF(AND(I133="",J133=""),"Not Counted",IF(OR(I133="",J133=""),"Partially Counted",IF(L133=0,"Match",IF(L133&gt;0,"Overage","Shortage")))))</f>
        <v/>
      </c>
      <c r="N133" s="24" t="str">
        <f aca="false">IF($B133="","",IF(AND(N133&lt;&gt;"",N133&lt;&gt;0),N133,$B$4))</f>
        <v/>
      </c>
      <c r="O133" s="21"/>
      <c r="P133" s="21"/>
      <c r="Q133" s="21"/>
      <c r="S133" s="12"/>
      <c r="V133" s="14"/>
      <c r="W133" s="14"/>
      <c r="X133" s="15"/>
      <c r="Y133" s="16"/>
      <c r="Z133" s="14"/>
      <c r="AA133" s="17"/>
      <c r="AC133" s="14"/>
      <c r="AD133" s="14"/>
      <c r="AE133" s="15"/>
      <c r="AF133" s="16"/>
      <c r="AG133" s="14"/>
      <c r="AH133" s="17"/>
      <c r="AJ133" s="14"/>
      <c r="AK133" s="14"/>
      <c r="AL133" s="14"/>
      <c r="AM133" s="17"/>
      <c r="AN133" s="15"/>
    </row>
    <row r="134" customFormat="false" ht="15" hidden="false" customHeight="false" outlineLevel="0" collapsed="false">
      <c r="A134" s="19" t="str">
        <f aca="true">IF($B134="","",IF(AND(A134&lt;&gt;"",A134&lt;&gt;0),A134,TODAY()))</f>
        <v/>
      </c>
      <c r="B134" s="20"/>
      <c r="C134" s="21"/>
      <c r="D134" s="21"/>
      <c r="E134" s="21"/>
      <c r="F134" s="21"/>
      <c r="G134" s="21"/>
      <c r="H134" s="22"/>
      <c r="I134" s="22"/>
      <c r="J134" s="22"/>
      <c r="K134" s="23" t="str">
        <f aca="false">IF($B134="","",IF(AND(I134="",J134=""),"",I134+J134))</f>
        <v/>
      </c>
      <c r="L134" s="23" t="str">
        <f aca="false">IF(OR($B134="",K134=""),"",K134-H134)</f>
        <v/>
      </c>
      <c r="M134" s="24" t="str">
        <f aca="false">IF($B134="","",IF(AND(I134="",J134=""),"Not Counted",IF(OR(I134="",J134=""),"Partially Counted",IF(L134=0,"Match",IF(L134&gt;0,"Overage","Shortage")))))</f>
        <v/>
      </c>
      <c r="N134" s="24" t="str">
        <f aca="false">IF($B134="","",IF(AND(N134&lt;&gt;"",N134&lt;&gt;0),N134,$B$4))</f>
        <v/>
      </c>
      <c r="O134" s="21"/>
      <c r="P134" s="21"/>
      <c r="Q134" s="21"/>
      <c r="S134" s="12"/>
      <c r="V134" s="14"/>
      <c r="W134" s="14"/>
      <c r="X134" s="15"/>
      <c r="Y134" s="16"/>
      <c r="Z134" s="14"/>
      <c r="AA134" s="17"/>
      <c r="AC134" s="14"/>
      <c r="AD134" s="14"/>
      <c r="AE134" s="15"/>
      <c r="AF134" s="16"/>
      <c r="AG134" s="14"/>
      <c r="AH134" s="17"/>
      <c r="AJ134" s="14"/>
      <c r="AK134" s="14"/>
      <c r="AL134" s="14"/>
      <c r="AM134" s="17"/>
      <c r="AN134" s="15"/>
    </row>
    <row r="135" customFormat="false" ht="15" hidden="false" customHeight="false" outlineLevel="0" collapsed="false">
      <c r="A135" s="19" t="str">
        <f aca="true">IF($B135="","",IF(AND(A135&lt;&gt;"",A135&lt;&gt;0),A135,TODAY()))</f>
        <v/>
      </c>
      <c r="B135" s="20"/>
      <c r="C135" s="21"/>
      <c r="D135" s="21"/>
      <c r="E135" s="21"/>
      <c r="F135" s="21"/>
      <c r="G135" s="21"/>
      <c r="H135" s="22"/>
      <c r="I135" s="22"/>
      <c r="J135" s="22"/>
      <c r="K135" s="23" t="str">
        <f aca="false">IF($B135="","",IF(AND(I135="",J135=""),"",I135+J135))</f>
        <v/>
      </c>
      <c r="L135" s="23" t="str">
        <f aca="false">IF(OR($B135="",K135=""),"",K135-H135)</f>
        <v/>
      </c>
      <c r="M135" s="24" t="str">
        <f aca="false">IF($B135="","",IF(AND(I135="",J135=""),"Not Counted",IF(OR(I135="",J135=""),"Partially Counted",IF(L135=0,"Match",IF(L135&gt;0,"Overage","Shortage")))))</f>
        <v/>
      </c>
      <c r="N135" s="24" t="str">
        <f aca="false">IF($B135="","",IF(AND(N135&lt;&gt;"",N135&lt;&gt;0),N135,$B$4))</f>
        <v/>
      </c>
      <c r="O135" s="21"/>
      <c r="P135" s="21"/>
      <c r="Q135" s="21"/>
      <c r="S135" s="12"/>
      <c r="V135" s="14"/>
      <c r="W135" s="14"/>
      <c r="X135" s="15"/>
      <c r="Y135" s="16"/>
      <c r="Z135" s="14"/>
      <c r="AA135" s="17"/>
      <c r="AC135" s="14"/>
      <c r="AD135" s="14"/>
      <c r="AE135" s="15"/>
      <c r="AF135" s="16"/>
      <c r="AG135" s="14"/>
      <c r="AH135" s="17"/>
      <c r="AJ135" s="14"/>
      <c r="AK135" s="14"/>
      <c r="AL135" s="14"/>
      <c r="AM135" s="17"/>
      <c r="AN135" s="15"/>
    </row>
    <row r="136" customFormat="false" ht="15" hidden="false" customHeight="false" outlineLevel="0" collapsed="false">
      <c r="A136" s="19" t="str">
        <f aca="true">IF($B136="","",IF(AND(A136&lt;&gt;"",A136&lt;&gt;0),A136,TODAY()))</f>
        <v/>
      </c>
      <c r="B136" s="20"/>
      <c r="C136" s="21"/>
      <c r="D136" s="21"/>
      <c r="E136" s="21"/>
      <c r="F136" s="21"/>
      <c r="G136" s="21"/>
      <c r="H136" s="22"/>
      <c r="I136" s="22"/>
      <c r="J136" s="22"/>
      <c r="K136" s="23" t="str">
        <f aca="false">IF($B136="","",IF(AND(I136="",J136=""),"",I136+J136))</f>
        <v/>
      </c>
      <c r="L136" s="23" t="str">
        <f aca="false">IF(OR($B136="",K136=""),"",K136-H136)</f>
        <v/>
      </c>
      <c r="M136" s="24" t="str">
        <f aca="false">IF($B136="","",IF(AND(I136="",J136=""),"Not Counted",IF(OR(I136="",J136=""),"Partially Counted",IF(L136=0,"Match",IF(L136&gt;0,"Overage","Shortage")))))</f>
        <v/>
      </c>
      <c r="N136" s="24" t="str">
        <f aca="false">IF($B136="","",IF(AND(N136&lt;&gt;"",N136&lt;&gt;0),N136,$B$4))</f>
        <v/>
      </c>
      <c r="O136" s="21"/>
      <c r="P136" s="21"/>
      <c r="Q136" s="21"/>
      <c r="S136" s="12"/>
      <c r="V136" s="14"/>
      <c r="W136" s="14"/>
      <c r="X136" s="15"/>
      <c r="Y136" s="16"/>
      <c r="Z136" s="14"/>
      <c r="AA136" s="17"/>
      <c r="AC136" s="14"/>
      <c r="AD136" s="14"/>
      <c r="AE136" s="15"/>
      <c r="AF136" s="16"/>
      <c r="AG136" s="14"/>
      <c r="AH136" s="17"/>
      <c r="AJ136" s="14"/>
      <c r="AK136" s="14"/>
      <c r="AL136" s="14"/>
      <c r="AM136" s="17"/>
      <c r="AN136" s="15"/>
    </row>
    <row r="137" customFormat="false" ht="15" hidden="false" customHeight="false" outlineLevel="0" collapsed="false">
      <c r="A137" s="19" t="str">
        <f aca="true">IF($B137="","",IF(AND(A137&lt;&gt;"",A137&lt;&gt;0),A137,TODAY()))</f>
        <v/>
      </c>
      <c r="B137" s="20"/>
      <c r="C137" s="21"/>
      <c r="D137" s="21"/>
      <c r="E137" s="21"/>
      <c r="F137" s="21"/>
      <c r="G137" s="21"/>
      <c r="H137" s="22"/>
      <c r="I137" s="22"/>
      <c r="J137" s="22"/>
      <c r="K137" s="23" t="str">
        <f aca="false">IF($B137="","",IF(AND(I137="",J137=""),"",I137+J137))</f>
        <v/>
      </c>
      <c r="L137" s="23" t="str">
        <f aca="false">IF(OR($B137="",K137=""),"",K137-H137)</f>
        <v/>
      </c>
      <c r="M137" s="24" t="str">
        <f aca="false">IF($B137="","",IF(AND(I137="",J137=""),"Not Counted",IF(OR(I137="",J137=""),"Partially Counted",IF(L137=0,"Match",IF(L137&gt;0,"Overage","Shortage")))))</f>
        <v/>
      </c>
      <c r="N137" s="24" t="str">
        <f aca="false">IF($B137="","",IF(AND(N137&lt;&gt;"",N137&lt;&gt;0),N137,$B$4))</f>
        <v/>
      </c>
      <c r="O137" s="21"/>
      <c r="P137" s="21"/>
      <c r="Q137" s="21"/>
      <c r="S137" s="12"/>
      <c r="V137" s="14"/>
      <c r="W137" s="14"/>
      <c r="X137" s="15"/>
      <c r="Y137" s="16"/>
      <c r="Z137" s="14"/>
      <c r="AA137" s="17"/>
      <c r="AC137" s="14"/>
      <c r="AD137" s="14"/>
      <c r="AE137" s="15"/>
      <c r="AF137" s="16"/>
      <c r="AG137" s="14"/>
      <c r="AH137" s="17"/>
      <c r="AJ137" s="14"/>
      <c r="AK137" s="14"/>
      <c r="AL137" s="14"/>
      <c r="AM137" s="17"/>
      <c r="AN137" s="15"/>
    </row>
    <row r="138" customFormat="false" ht="15" hidden="false" customHeight="false" outlineLevel="0" collapsed="false">
      <c r="A138" s="19" t="str">
        <f aca="true">IF($B138="","",IF(AND(A138&lt;&gt;"",A138&lt;&gt;0),A138,TODAY()))</f>
        <v/>
      </c>
      <c r="B138" s="20"/>
      <c r="C138" s="21"/>
      <c r="D138" s="21"/>
      <c r="E138" s="21"/>
      <c r="F138" s="21"/>
      <c r="G138" s="21"/>
      <c r="H138" s="22"/>
      <c r="I138" s="22"/>
      <c r="J138" s="22"/>
      <c r="K138" s="23" t="str">
        <f aca="false">IF($B138="","",IF(AND(I138="",J138=""),"",I138+J138))</f>
        <v/>
      </c>
      <c r="L138" s="23" t="str">
        <f aca="false">IF(OR($B138="",K138=""),"",K138-H138)</f>
        <v/>
      </c>
      <c r="M138" s="24" t="str">
        <f aca="false">IF($B138="","",IF(AND(I138="",J138=""),"Not Counted",IF(OR(I138="",J138=""),"Partially Counted",IF(L138=0,"Match",IF(L138&gt;0,"Overage","Shortage")))))</f>
        <v/>
      </c>
      <c r="N138" s="24" t="str">
        <f aca="false">IF($B138="","",IF(AND(N138&lt;&gt;"",N138&lt;&gt;0),N138,$B$4))</f>
        <v/>
      </c>
      <c r="O138" s="21"/>
      <c r="P138" s="21"/>
      <c r="Q138" s="21"/>
      <c r="S138" s="12"/>
      <c r="V138" s="14"/>
      <c r="W138" s="14"/>
      <c r="X138" s="15"/>
      <c r="Y138" s="16"/>
      <c r="Z138" s="14"/>
      <c r="AA138" s="17"/>
      <c r="AC138" s="14"/>
      <c r="AD138" s="14"/>
      <c r="AE138" s="15"/>
      <c r="AF138" s="16"/>
      <c r="AG138" s="14"/>
      <c r="AH138" s="17"/>
      <c r="AJ138" s="14"/>
      <c r="AK138" s="14"/>
      <c r="AL138" s="14"/>
      <c r="AM138" s="17"/>
      <c r="AN138" s="15"/>
    </row>
    <row r="139" customFormat="false" ht="15" hidden="false" customHeight="false" outlineLevel="0" collapsed="false">
      <c r="A139" s="19" t="str">
        <f aca="true">IF($B139="","",IF(AND(A139&lt;&gt;"",A139&lt;&gt;0),A139,TODAY()))</f>
        <v/>
      </c>
      <c r="B139" s="20"/>
      <c r="C139" s="21"/>
      <c r="D139" s="21"/>
      <c r="E139" s="21"/>
      <c r="F139" s="21"/>
      <c r="G139" s="21"/>
      <c r="H139" s="22"/>
      <c r="I139" s="22"/>
      <c r="J139" s="22"/>
      <c r="K139" s="23" t="str">
        <f aca="false">IF($B139="","",IF(AND(I139="",J139=""),"",I139+J139))</f>
        <v/>
      </c>
      <c r="L139" s="23" t="str">
        <f aca="false">IF(OR($B139="",K139=""),"",K139-H139)</f>
        <v/>
      </c>
      <c r="M139" s="24" t="str">
        <f aca="false">IF($B139="","",IF(AND(I139="",J139=""),"Not Counted",IF(OR(I139="",J139=""),"Partially Counted",IF(L139=0,"Match",IF(L139&gt;0,"Overage","Shortage")))))</f>
        <v/>
      </c>
      <c r="N139" s="24" t="str">
        <f aca="false">IF($B139="","",IF(AND(N139&lt;&gt;"",N139&lt;&gt;0),N139,$B$4))</f>
        <v/>
      </c>
      <c r="O139" s="21"/>
      <c r="P139" s="21"/>
      <c r="Q139" s="21"/>
      <c r="S139" s="12"/>
      <c r="V139" s="14"/>
      <c r="W139" s="14"/>
      <c r="X139" s="15"/>
      <c r="Y139" s="16"/>
      <c r="Z139" s="14"/>
      <c r="AA139" s="17"/>
      <c r="AC139" s="14"/>
      <c r="AD139" s="14"/>
      <c r="AE139" s="15"/>
      <c r="AF139" s="16"/>
      <c r="AG139" s="14"/>
      <c r="AH139" s="17"/>
      <c r="AJ139" s="14"/>
      <c r="AK139" s="14"/>
      <c r="AL139" s="14"/>
      <c r="AM139" s="17"/>
      <c r="AN139" s="15"/>
    </row>
    <row r="140" customFormat="false" ht="15" hidden="false" customHeight="false" outlineLevel="0" collapsed="false">
      <c r="A140" s="19" t="str">
        <f aca="true">IF($B140="","",IF(AND(A140&lt;&gt;"",A140&lt;&gt;0),A140,TODAY()))</f>
        <v/>
      </c>
      <c r="B140" s="20"/>
      <c r="C140" s="21"/>
      <c r="D140" s="21"/>
      <c r="E140" s="21"/>
      <c r="F140" s="21"/>
      <c r="G140" s="21"/>
      <c r="H140" s="22"/>
      <c r="I140" s="22"/>
      <c r="J140" s="22"/>
      <c r="K140" s="23" t="str">
        <f aca="false">IF($B140="","",IF(AND(I140="",J140=""),"",I140+J140))</f>
        <v/>
      </c>
      <c r="L140" s="23" t="str">
        <f aca="false">IF(OR($B140="",K140=""),"",K140-H140)</f>
        <v/>
      </c>
      <c r="M140" s="24" t="str">
        <f aca="false">IF($B140="","",IF(AND(I140="",J140=""),"Not Counted",IF(OR(I140="",J140=""),"Partially Counted",IF(L140=0,"Match",IF(L140&gt;0,"Overage","Shortage")))))</f>
        <v/>
      </c>
      <c r="N140" s="24" t="str">
        <f aca="false">IF($B140="","",IF(AND(N140&lt;&gt;"",N140&lt;&gt;0),N140,$B$4))</f>
        <v/>
      </c>
      <c r="O140" s="21"/>
      <c r="P140" s="21"/>
      <c r="Q140" s="21"/>
      <c r="S140" s="12"/>
      <c r="V140" s="14"/>
      <c r="W140" s="14"/>
      <c r="X140" s="15"/>
      <c r="Y140" s="16"/>
      <c r="Z140" s="14"/>
      <c r="AA140" s="17"/>
      <c r="AC140" s="14"/>
      <c r="AD140" s="14"/>
      <c r="AE140" s="15"/>
      <c r="AF140" s="16"/>
      <c r="AG140" s="14"/>
      <c r="AH140" s="17"/>
      <c r="AJ140" s="14"/>
      <c r="AK140" s="14"/>
      <c r="AL140" s="14"/>
      <c r="AM140" s="17"/>
      <c r="AN140" s="15"/>
    </row>
    <row r="141" customFormat="false" ht="15" hidden="false" customHeight="false" outlineLevel="0" collapsed="false">
      <c r="A141" s="19" t="str">
        <f aca="true">IF($B141="","",IF(AND(A141&lt;&gt;"",A141&lt;&gt;0),A141,TODAY()))</f>
        <v/>
      </c>
      <c r="B141" s="20"/>
      <c r="C141" s="21"/>
      <c r="D141" s="21"/>
      <c r="E141" s="21"/>
      <c r="F141" s="21"/>
      <c r="G141" s="21"/>
      <c r="H141" s="22"/>
      <c r="I141" s="22"/>
      <c r="J141" s="22"/>
      <c r="K141" s="23" t="str">
        <f aca="false">IF($B141="","",IF(AND(I141="",J141=""),"",I141+J141))</f>
        <v/>
      </c>
      <c r="L141" s="23" t="str">
        <f aca="false">IF(OR($B141="",K141=""),"",K141-H141)</f>
        <v/>
      </c>
      <c r="M141" s="24" t="str">
        <f aca="false">IF($B141="","",IF(AND(I141="",J141=""),"Not Counted",IF(OR(I141="",J141=""),"Partially Counted",IF(L141=0,"Match",IF(L141&gt;0,"Overage","Shortage")))))</f>
        <v/>
      </c>
      <c r="N141" s="24" t="str">
        <f aca="false">IF($B141="","",IF(AND(N141&lt;&gt;"",N141&lt;&gt;0),N141,$B$4))</f>
        <v/>
      </c>
      <c r="O141" s="21"/>
      <c r="P141" s="21"/>
      <c r="Q141" s="21"/>
      <c r="S141" s="12"/>
      <c r="V141" s="14"/>
      <c r="W141" s="14"/>
      <c r="X141" s="15"/>
      <c r="Y141" s="16"/>
      <c r="Z141" s="14"/>
      <c r="AA141" s="17"/>
      <c r="AC141" s="14"/>
      <c r="AD141" s="14"/>
      <c r="AE141" s="15"/>
      <c r="AF141" s="16"/>
      <c r="AG141" s="14"/>
      <c r="AH141" s="17"/>
      <c r="AJ141" s="14"/>
      <c r="AK141" s="14"/>
      <c r="AL141" s="14"/>
      <c r="AM141" s="17"/>
      <c r="AN141" s="15"/>
    </row>
    <row r="142" customFormat="false" ht="15" hidden="false" customHeight="false" outlineLevel="0" collapsed="false">
      <c r="A142" s="19" t="str">
        <f aca="true">IF($B142="","",IF(AND(A142&lt;&gt;"",A142&lt;&gt;0),A142,TODAY()))</f>
        <v/>
      </c>
      <c r="B142" s="20"/>
      <c r="C142" s="21"/>
      <c r="D142" s="21"/>
      <c r="E142" s="21"/>
      <c r="F142" s="21"/>
      <c r="G142" s="21"/>
      <c r="H142" s="22"/>
      <c r="I142" s="22"/>
      <c r="J142" s="22"/>
      <c r="K142" s="23" t="str">
        <f aca="false">IF($B142="","",IF(AND(I142="",J142=""),"",I142+J142))</f>
        <v/>
      </c>
      <c r="L142" s="23" t="str">
        <f aca="false">IF(OR($B142="",K142=""),"",K142-H142)</f>
        <v/>
      </c>
      <c r="M142" s="24" t="str">
        <f aca="false">IF($B142="","",IF(AND(I142="",J142=""),"Not Counted",IF(OR(I142="",J142=""),"Partially Counted",IF(L142=0,"Match",IF(L142&gt;0,"Overage","Shortage")))))</f>
        <v/>
      </c>
      <c r="N142" s="24" t="str">
        <f aca="false">IF($B142="","",IF(AND(N142&lt;&gt;"",N142&lt;&gt;0),N142,$B$4))</f>
        <v/>
      </c>
      <c r="O142" s="21"/>
      <c r="P142" s="21"/>
      <c r="Q142" s="21"/>
      <c r="S142" s="12"/>
      <c r="V142" s="14"/>
      <c r="W142" s="14"/>
      <c r="X142" s="15"/>
      <c r="Y142" s="16"/>
      <c r="Z142" s="14"/>
      <c r="AA142" s="17"/>
      <c r="AC142" s="14"/>
      <c r="AD142" s="14"/>
      <c r="AE142" s="15"/>
      <c r="AF142" s="16"/>
      <c r="AG142" s="14"/>
      <c r="AH142" s="17"/>
      <c r="AJ142" s="14"/>
      <c r="AK142" s="14"/>
      <c r="AL142" s="14"/>
      <c r="AM142" s="17"/>
      <c r="AN142" s="15"/>
    </row>
    <row r="143" customFormat="false" ht="15" hidden="false" customHeight="false" outlineLevel="0" collapsed="false">
      <c r="A143" s="19" t="str">
        <f aca="true">IF($B143="","",IF(AND(A143&lt;&gt;"",A143&lt;&gt;0),A143,TODAY()))</f>
        <v/>
      </c>
      <c r="B143" s="20"/>
      <c r="C143" s="21"/>
      <c r="D143" s="21"/>
      <c r="E143" s="21"/>
      <c r="F143" s="21"/>
      <c r="G143" s="21"/>
      <c r="H143" s="22"/>
      <c r="I143" s="22"/>
      <c r="J143" s="22"/>
      <c r="K143" s="23" t="str">
        <f aca="false">IF($B143="","",IF(AND(I143="",J143=""),"",I143+J143))</f>
        <v/>
      </c>
      <c r="L143" s="23" t="str">
        <f aca="false">IF(OR($B143="",K143=""),"",K143-H143)</f>
        <v/>
      </c>
      <c r="M143" s="24" t="str">
        <f aca="false">IF($B143="","",IF(AND(I143="",J143=""),"Not Counted",IF(OR(I143="",J143=""),"Partially Counted",IF(L143=0,"Match",IF(L143&gt;0,"Overage","Shortage")))))</f>
        <v/>
      </c>
      <c r="N143" s="24" t="str">
        <f aca="false">IF($B143="","",IF(AND(N143&lt;&gt;"",N143&lt;&gt;0),N143,$B$4))</f>
        <v/>
      </c>
      <c r="O143" s="21"/>
      <c r="P143" s="21"/>
      <c r="Q143" s="21"/>
      <c r="S143" s="12"/>
      <c r="V143" s="14"/>
      <c r="W143" s="14"/>
      <c r="X143" s="15"/>
      <c r="Y143" s="16"/>
      <c r="Z143" s="14"/>
      <c r="AA143" s="17"/>
      <c r="AC143" s="14"/>
      <c r="AD143" s="14"/>
      <c r="AE143" s="15"/>
      <c r="AF143" s="16"/>
      <c r="AG143" s="14"/>
      <c r="AH143" s="17"/>
      <c r="AJ143" s="14"/>
      <c r="AK143" s="14"/>
      <c r="AL143" s="14"/>
      <c r="AM143" s="17"/>
      <c r="AN143" s="15"/>
    </row>
    <row r="144" customFormat="false" ht="15" hidden="false" customHeight="false" outlineLevel="0" collapsed="false">
      <c r="A144" s="19" t="str">
        <f aca="true">IF($B144="","",IF(AND(A144&lt;&gt;"",A144&lt;&gt;0),A144,TODAY()))</f>
        <v/>
      </c>
      <c r="B144" s="20"/>
      <c r="C144" s="21"/>
      <c r="D144" s="21"/>
      <c r="E144" s="21"/>
      <c r="F144" s="21"/>
      <c r="G144" s="21"/>
      <c r="H144" s="22"/>
      <c r="I144" s="22"/>
      <c r="J144" s="22"/>
      <c r="K144" s="23" t="str">
        <f aca="false">IF($B144="","",IF(AND(I144="",J144=""),"",I144+J144))</f>
        <v/>
      </c>
      <c r="L144" s="23" t="str">
        <f aca="false">IF(OR($B144="",K144=""),"",K144-H144)</f>
        <v/>
      </c>
      <c r="M144" s="24" t="str">
        <f aca="false">IF($B144="","",IF(AND(I144="",J144=""),"Not Counted",IF(OR(I144="",J144=""),"Partially Counted",IF(L144=0,"Match",IF(L144&gt;0,"Overage","Shortage")))))</f>
        <v/>
      </c>
      <c r="N144" s="24" t="str">
        <f aca="false">IF($B144="","",IF(AND(N144&lt;&gt;"",N144&lt;&gt;0),N144,$B$4))</f>
        <v/>
      </c>
      <c r="O144" s="21"/>
      <c r="P144" s="21"/>
      <c r="Q144" s="21"/>
      <c r="S144" s="12"/>
      <c r="V144" s="14"/>
      <c r="W144" s="14"/>
      <c r="X144" s="15"/>
      <c r="Y144" s="16"/>
      <c r="Z144" s="14"/>
      <c r="AA144" s="17"/>
      <c r="AC144" s="14"/>
      <c r="AD144" s="14"/>
      <c r="AE144" s="15"/>
      <c r="AF144" s="16"/>
      <c r="AG144" s="14"/>
      <c r="AH144" s="17"/>
      <c r="AJ144" s="14"/>
      <c r="AK144" s="14"/>
      <c r="AL144" s="14"/>
      <c r="AM144" s="17"/>
      <c r="AN144" s="15"/>
    </row>
    <row r="145" customFormat="false" ht="15" hidden="false" customHeight="false" outlineLevel="0" collapsed="false">
      <c r="A145" s="19" t="str">
        <f aca="true">IF($B145="","",IF(AND(A145&lt;&gt;"",A145&lt;&gt;0),A145,TODAY()))</f>
        <v/>
      </c>
      <c r="B145" s="20"/>
      <c r="C145" s="21"/>
      <c r="D145" s="21"/>
      <c r="E145" s="21"/>
      <c r="F145" s="21"/>
      <c r="G145" s="21"/>
      <c r="H145" s="22"/>
      <c r="I145" s="22"/>
      <c r="J145" s="22"/>
      <c r="K145" s="23" t="str">
        <f aca="false">IF($B145="","",IF(AND(I145="",J145=""),"",I145+J145))</f>
        <v/>
      </c>
      <c r="L145" s="23" t="str">
        <f aca="false">IF(OR($B145="",K145=""),"",K145-H145)</f>
        <v/>
      </c>
      <c r="M145" s="24" t="str">
        <f aca="false">IF($B145="","",IF(AND(I145="",J145=""),"Not Counted",IF(OR(I145="",J145=""),"Partially Counted",IF(L145=0,"Match",IF(L145&gt;0,"Overage","Shortage")))))</f>
        <v/>
      </c>
      <c r="N145" s="24" t="str">
        <f aca="false">IF($B145="","",IF(AND(N145&lt;&gt;"",N145&lt;&gt;0),N145,$B$4))</f>
        <v/>
      </c>
      <c r="O145" s="21"/>
      <c r="P145" s="21"/>
      <c r="Q145" s="21"/>
      <c r="S145" s="12"/>
      <c r="V145" s="14"/>
      <c r="W145" s="14"/>
      <c r="X145" s="15"/>
      <c r="Y145" s="16"/>
      <c r="Z145" s="14"/>
      <c r="AA145" s="17"/>
      <c r="AC145" s="14"/>
      <c r="AD145" s="14"/>
      <c r="AE145" s="15"/>
      <c r="AF145" s="16"/>
      <c r="AG145" s="14"/>
      <c r="AH145" s="17"/>
      <c r="AJ145" s="14"/>
      <c r="AK145" s="14"/>
      <c r="AL145" s="14"/>
      <c r="AM145" s="17"/>
      <c r="AN145" s="15"/>
    </row>
    <row r="146" customFormat="false" ht="15" hidden="false" customHeight="false" outlineLevel="0" collapsed="false">
      <c r="A146" s="19" t="str">
        <f aca="true">IF($B146="","",IF(AND(A146&lt;&gt;"",A146&lt;&gt;0),A146,TODAY()))</f>
        <v/>
      </c>
      <c r="B146" s="20"/>
      <c r="C146" s="21"/>
      <c r="D146" s="21"/>
      <c r="E146" s="21"/>
      <c r="F146" s="21"/>
      <c r="G146" s="21"/>
      <c r="H146" s="22"/>
      <c r="I146" s="22"/>
      <c r="J146" s="22"/>
      <c r="K146" s="23" t="str">
        <f aca="false">IF($B146="","",IF(AND(I146="",J146=""),"",I146+J146))</f>
        <v/>
      </c>
      <c r="L146" s="23" t="str">
        <f aca="false">IF(OR($B146="",K146=""),"",K146-H146)</f>
        <v/>
      </c>
      <c r="M146" s="24" t="str">
        <f aca="false">IF($B146="","",IF(AND(I146="",J146=""),"Not Counted",IF(OR(I146="",J146=""),"Partially Counted",IF(L146=0,"Match",IF(L146&gt;0,"Overage","Shortage")))))</f>
        <v/>
      </c>
      <c r="N146" s="24" t="str">
        <f aca="false">IF($B146="","",IF(AND(N146&lt;&gt;"",N146&lt;&gt;0),N146,$B$4))</f>
        <v/>
      </c>
      <c r="O146" s="21"/>
      <c r="P146" s="21"/>
      <c r="Q146" s="21"/>
      <c r="S146" s="12"/>
      <c r="V146" s="14"/>
      <c r="W146" s="14"/>
      <c r="X146" s="15"/>
      <c r="Y146" s="16"/>
      <c r="Z146" s="14"/>
      <c r="AA146" s="17"/>
      <c r="AC146" s="14"/>
      <c r="AD146" s="14"/>
      <c r="AE146" s="15"/>
      <c r="AF146" s="16"/>
      <c r="AG146" s="14"/>
      <c r="AH146" s="17"/>
      <c r="AJ146" s="14"/>
      <c r="AK146" s="14"/>
      <c r="AL146" s="14"/>
      <c r="AM146" s="17"/>
      <c r="AN146" s="15"/>
    </row>
    <row r="147" customFormat="false" ht="15" hidden="false" customHeight="false" outlineLevel="0" collapsed="false">
      <c r="A147" s="19" t="str">
        <f aca="true">IF($B147="","",IF(AND(A147&lt;&gt;"",A147&lt;&gt;0),A147,TODAY()))</f>
        <v/>
      </c>
      <c r="B147" s="20"/>
      <c r="C147" s="21"/>
      <c r="D147" s="21"/>
      <c r="E147" s="21"/>
      <c r="F147" s="21"/>
      <c r="G147" s="21"/>
      <c r="H147" s="22"/>
      <c r="I147" s="22"/>
      <c r="J147" s="22"/>
      <c r="K147" s="23" t="str">
        <f aca="false">IF($B147="","",IF(AND(I147="",J147=""),"",I147+J147))</f>
        <v/>
      </c>
      <c r="L147" s="23" t="str">
        <f aca="false">IF(OR($B147="",K147=""),"",K147-H147)</f>
        <v/>
      </c>
      <c r="M147" s="24" t="str">
        <f aca="false">IF($B147="","",IF(AND(I147="",J147=""),"Not Counted",IF(OR(I147="",J147=""),"Partially Counted",IF(L147=0,"Match",IF(L147&gt;0,"Overage","Shortage")))))</f>
        <v/>
      </c>
      <c r="N147" s="24" t="str">
        <f aca="false">IF($B147="","",IF(AND(N147&lt;&gt;"",N147&lt;&gt;0),N147,$B$4))</f>
        <v/>
      </c>
      <c r="O147" s="21"/>
      <c r="P147" s="21"/>
      <c r="Q147" s="21"/>
      <c r="S147" s="12"/>
      <c r="V147" s="14"/>
      <c r="W147" s="14"/>
      <c r="X147" s="15"/>
      <c r="Y147" s="16"/>
      <c r="Z147" s="14"/>
      <c r="AA147" s="17"/>
      <c r="AC147" s="14"/>
      <c r="AD147" s="14"/>
      <c r="AE147" s="15"/>
      <c r="AF147" s="16"/>
      <c r="AG147" s="14"/>
      <c r="AH147" s="17"/>
      <c r="AJ147" s="14"/>
      <c r="AK147" s="14"/>
      <c r="AL147" s="14"/>
      <c r="AM147" s="17"/>
      <c r="AN147" s="15"/>
    </row>
    <row r="148" customFormat="false" ht="15" hidden="false" customHeight="false" outlineLevel="0" collapsed="false">
      <c r="A148" s="19" t="str">
        <f aca="true">IF($B148="","",IF(AND(A148&lt;&gt;"",A148&lt;&gt;0),A148,TODAY()))</f>
        <v/>
      </c>
      <c r="B148" s="20"/>
      <c r="C148" s="21"/>
      <c r="D148" s="21"/>
      <c r="E148" s="21"/>
      <c r="F148" s="21"/>
      <c r="G148" s="21"/>
      <c r="H148" s="22"/>
      <c r="I148" s="22"/>
      <c r="J148" s="22"/>
      <c r="K148" s="23" t="str">
        <f aca="false">IF($B148="","",IF(AND(I148="",J148=""),"",I148+J148))</f>
        <v/>
      </c>
      <c r="L148" s="23" t="str">
        <f aca="false">IF(OR($B148="",K148=""),"",K148-H148)</f>
        <v/>
      </c>
      <c r="M148" s="24" t="str">
        <f aca="false">IF($B148="","",IF(AND(I148="",J148=""),"Not Counted",IF(OR(I148="",J148=""),"Partially Counted",IF(L148=0,"Match",IF(L148&gt;0,"Overage","Shortage")))))</f>
        <v/>
      </c>
      <c r="N148" s="24" t="str">
        <f aca="false">IF($B148="","",IF(AND(N148&lt;&gt;"",N148&lt;&gt;0),N148,$B$4))</f>
        <v/>
      </c>
      <c r="O148" s="21"/>
      <c r="P148" s="21"/>
      <c r="Q148" s="21"/>
      <c r="S148" s="12"/>
      <c r="V148" s="14"/>
      <c r="W148" s="14"/>
      <c r="X148" s="15"/>
      <c r="Y148" s="16"/>
      <c r="Z148" s="14"/>
      <c r="AA148" s="17"/>
      <c r="AC148" s="14"/>
      <c r="AD148" s="14"/>
      <c r="AE148" s="15"/>
      <c r="AF148" s="16"/>
      <c r="AG148" s="14"/>
      <c r="AH148" s="17"/>
      <c r="AJ148" s="14"/>
      <c r="AK148" s="14"/>
      <c r="AL148" s="14"/>
      <c r="AM148" s="17"/>
      <c r="AN148" s="15"/>
    </row>
    <row r="149" customFormat="false" ht="15" hidden="false" customHeight="false" outlineLevel="0" collapsed="false">
      <c r="A149" s="19" t="str">
        <f aca="true">IF($B149="","",IF(AND(A149&lt;&gt;"",A149&lt;&gt;0),A149,TODAY()))</f>
        <v/>
      </c>
      <c r="B149" s="20"/>
      <c r="C149" s="21"/>
      <c r="D149" s="21"/>
      <c r="E149" s="21"/>
      <c r="F149" s="21"/>
      <c r="G149" s="21"/>
      <c r="H149" s="22"/>
      <c r="I149" s="22"/>
      <c r="J149" s="22"/>
      <c r="K149" s="23" t="str">
        <f aca="false">IF($B149="","",IF(AND(I149="",J149=""),"",I149+J149))</f>
        <v/>
      </c>
      <c r="L149" s="23" t="str">
        <f aca="false">IF(OR($B149="",K149=""),"",K149-H149)</f>
        <v/>
      </c>
      <c r="M149" s="24" t="str">
        <f aca="false">IF($B149="","",IF(AND(I149="",J149=""),"Not Counted",IF(OR(I149="",J149=""),"Partially Counted",IF(L149=0,"Match",IF(L149&gt;0,"Overage","Shortage")))))</f>
        <v/>
      </c>
      <c r="N149" s="24" t="str">
        <f aca="false">IF($B149="","",IF(AND(N149&lt;&gt;"",N149&lt;&gt;0),N149,$B$4))</f>
        <v/>
      </c>
      <c r="O149" s="21"/>
      <c r="P149" s="21"/>
      <c r="Q149" s="21"/>
      <c r="S149" s="12"/>
      <c r="V149" s="14"/>
      <c r="W149" s="14"/>
      <c r="X149" s="15"/>
      <c r="Y149" s="16"/>
      <c r="Z149" s="14"/>
      <c r="AA149" s="17"/>
      <c r="AC149" s="14"/>
      <c r="AD149" s="14"/>
      <c r="AE149" s="15"/>
      <c r="AF149" s="16"/>
      <c r="AG149" s="14"/>
      <c r="AH149" s="17"/>
      <c r="AJ149" s="14"/>
      <c r="AK149" s="14"/>
      <c r="AL149" s="14"/>
      <c r="AM149" s="17"/>
      <c r="AN149" s="15"/>
    </row>
    <row r="150" customFormat="false" ht="15" hidden="false" customHeight="false" outlineLevel="0" collapsed="false">
      <c r="A150" s="19" t="str">
        <f aca="true">IF($B150="","",IF(AND(A150&lt;&gt;"",A150&lt;&gt;0),A150,TODAY()))</f>
        <v/>
      </c>
      <c r="B150" s="20"/>
      <c r="C150" s="21"/>
      <c r="D150" s="21"/>
      <c r="E150" s="21"/>
      <c r="F150" s="21"/>
      <c r="G150" s="21"/>
      <c r="H150" s="22"/>
      <c r="I150" s="22"/>
      <c r="J150" s="22"/>
      <c r="K150" s="23" t="str">
        <f aca="false">IF($B150="","",IF(AND(I150="",J150=""),"",I150+J150))</f>
        <v/>
      </c>
      <c r="L150" s="23" t="str">
        <f aca="false">IF(OR($B150="",K150=""),"",K150-H150)</f>
        <v/>
      </c>
      <c r="M150" s="24" t="str">
        <f aca="false">IF($B150="","",IF(AND(I150="",J150=""),"Not Counted",IF(OR(I150="",J150=""),"Partially Counted",IF(L150=0,"Match",IF(L150&gt;0,"Overage","Shortage")))))</f>
        <v/>
      </c>
      <c r="N150" s="24" t="str">
        <f aca="false">IF($B150="","",IF(AND(N150&lt;&gt;"",N150&lt;&gt;0),N150,$B$4))</f>
        <v/>
      </c>
      <c r="O150" s="21"/>
      <c r="P150" s="21"/>
      <c r="Q150" s="21"/>
      <c r="S150" s="12"/>
      <c r="V150" s="14"/>
      <c r="W150" s="14"/>
      <c r="X150" s="15"/>
      <c r="Y150" s="16"/>
      <c r="Z150" s="14"/>
      <c r="AA150" s="17"/>
      <c r="AC150" s="14"/>
      <c r="AD150" s="14"/>
      <c r="AE150" s="15"/>
      <c r="AF150" s="16"/>
      <c r="AG150" s="14"/>
      <c r="AH150" s="17"/>
      <c r="AJ150" s="14"/>
      <c r="AK150" s="14"/>
      <c r="AL150" s="14"/>
      <c r="AM150" s="17"/>
      <c r="AN150" s="15"/>
    </row>
    <row r="151" customFormat="false" ht="15" hidden="false" customHeight="false" outlineLevel="0" collapsed="false">
      <c r="A151" s="19" t="str">
        <f aca="true">IF($B151="","",IF(AND(A151&lt;&gt;"",A151&lt;&gt;0),A151,TODAY()))</f>
        <v/>
      </c>
      <c r="B151" s="20"/>
      <c r="C151" s="21"/>
      <c r="D151" s="21"/>
      <c r="E151" s="21"/>
      <c r="F151" s="21"/>
      <c r="G151" s="21"/>
      <c r="H151" s="22"/>
      <c r="I151" s="22"/>
      <c r="J151" s="22"/>
      <c r="K151" s="23" t="str">
        <f aca="false">IF($B151="","",IF(AND(I151="",J151=""),"",I151+J151))</f>
        <v/>
      </c>
      <c r="L151" s="23" t="str">
        <f aca="false">IF(OR($B151="",K151=""),"",K151-H151)</f>
        <v/>
      </c>
      <c r="M151" s="24" t="str">
        <f aca="false">IF($B151="","",IF(AND(I151="",J151=""),"Not Counted",IF(OR(I151="",J151=""),"Partially Counted",IF(L151=0,"Match",IF(L151&gt;0,"Overage","Shortage")))))</f>
        <v/>
      </c>
      <c r="N151" s="24" t="str">
        <f aca="false">IF($B151="","",IF(AND(N151&lt;&gt;"",N151&lt;&gt;0),N151,$B$4))</f>
        <v/>
      </c>
      <c r="O151" s="21"/>
      <c r="P151" s="21"/>
      <c r="Q151" s="21"/>
      <c r="S151" s="12"/>
      <c r="V151" s="14"/>
      <c r="W151" s="14"/>
      <c r="X151" s="15"/>
      <c r="Y151" s="16"/>
      <c r="Z151" s="14"/>
      <c r="AA151" s="17"/>
      <c r="AC151" s="14"/>
      <c r="AD151" s="14"/>
      <c r="AE151" s="15"/>
      <c r="AF151" s="16"/>
      <c r="AG151" s="14"/>
      <c r="AH151" s="17"/>
      <c r="AJ151" s="14"/>
      <c r="AK151" s="14"/>
      <c r="AL151" s="14"/>
      <c r="AM151" s="17"/>
      <c r="AN151" s="15"/>
    </row>
    <row r="152" customFormat="false" ht="15" hidden="false" customHeight="false" outlineLevel="0" collapsed="false">
      <c r="A152" s="19" t="str">
        <f aca="true">IF($B152="","",IF(AND(A152&lt;&gt;"",A152&lt;&gt;0),A152,TODAY()))</f>
        <v/>
      </c>
      <c r="B152" s="20"/>
      <c r="C152" s="21"/>
      <c r="D152" s="21"/>
      <c r="E152" s="21"/>
      <c r="F152" s="21"/>
      <c r="G152" s="21"/>
      <c r="H152" s="22"/>
      <c r="I152" s="22"/>
      <c r="J152" s="22"/>
      <c r="K152" s="23" t="str">
        <f aca="false">IF($B152="","",IF(AND(I152="",J152=""),"",I152+J152))</f>
        <v/>
      </c>
      <c r="L152" s="23" t="str">
        <f aca="false">IF(OR($B152="",K152=""),"",K152-H152)</f>
        <v/>
      </c>
      <c r="M152" s="24" t="str">
        <f aca="false">IF($B152="","",IF(AND(I152="",J152=""),"Not Counted",IF(OR(I152="",J152=""),"Partially Counted",IF(L152=0,"Match",IF(L152&gt;0,"Overage","Shortage")))))</f>
        <v/>
      </c>
      <c r="N152" s="24" t="str">
        <f aca="false">IF($B152="","",IF(AND(N152&lt;&gt;"",N152&lt;&gt;0),N152,$B$4))</f>
        <v/>
      </c>
      <c r="O152" s="21"/>
      <c r="P152" s="21"/>
      <c r="Q152" s="21"/>
      <c r="S152" s="12"/>
      <c r="V152" s="14"/>
      <c r="W152" s="14"/>
      <c r="X152" s="15"/>
      <c r="Y152" s="16"/>
      <c r="Z152" s="14"/>
      <c r="AA152" s="17"/>
      <c r="AC152" s="14"/>
      <c r="AD152" s="14"/>
      <c r="AE152" s="15"/>
      <c r="AF152" s="16"/>
      <c r="AG152" s="14"/>
      <c r="AH152" s="17"/>
      <c r="AJ152" s="14"/>
      <c r="AK152" s="14"/>
      <c r="AL152" s="14"/>
      <c r="AM152" s="17"/>
      <c r="AN152" s="15"/>
    </row>
    <row r="153" customFormat="false" ht="15" hidden="false" customHeight="false" outlineLevel="0" collapsed="false">
      <c r="A153" s="19" t="str">
        <f aca="true">IF($B153="","",IF(AND(A153&lt;&gt;"",A153&lt;&gt;0),A153,TODAY()))</f>
        <v/>
      </c>
      <c r="B153" s="20"/>
      <c r="C153" s="21"/>
      <c r="D153" s="21"/>
      <c r="E153" s="21"/>
      <c r="F153" s="21"/>
      <c r="G153" s="21"/>
      <c r="H153" s="22"/>
      <c r="I153" s="22"/>
      <c r="J153" s="22"/>
      <c r="K153" s="23" t="str">
        <f aca="false">IF($B153="","",IF(AND(I153="",J153=""),"",I153+J153))</f>
        <v/>
      </c>
      <c r="L153" s="23" t="str">
        <f aca="false">IF(OR($B153="",K153=""),"",K153-H153)</f>
        <v/>
      </c>
      <c r="M153" s="24" t="str">
        <f aca="false">IF($B153="","",IF(AND(I153="",J153=""),"Not Counted",IF(OR(I153="",J153=""),"Partially Counted",IF(L153=0,"Match",IF(L153&gt;0,"Overage","Shortage")))))</f>
        <v/>
      </c>
      <c r="N153" s="24" t="str">
        <f aca="false">IF($B153="","",IF(AND(N153&lt;&gt;"",N153&lt;&gt;0),N153,$B$4))</f>
        <v/>
      </c>
      <c r="O153" s="21"/>
      <c r="P153" s="21"/>
      <c r="Q153" s="21"/>
      <c r="V153" s="14"/>
      <c r="W153" s="14"/>
      <c r="X153" s="15"/>
      <c r="Y153" s="16"/>
      <c r="Z153" s="14"/>
      <c r="AA153" s="17"/>
      <c r="AC153" s="14"/>
      <c r="AD153" s="14"/>
      <c r="AE153" s="15"/>
      <c r="AF153" s="16"/>
      <c r="AG153" s="14"/>
      <c r="AH153" s="17"/>
      <c r="AJ153" s="14"/>
      <c r="AK153" s="14"/>
      <c r="AL153" s="14"/>
      <c r="AM153" s="17"/>
      <c r="AN153" s="15"/>
    </row>
    <row r="154" customFormat="false" ht="15" hidden="false" customHeight="false" outlineLevel="0" collapsed="false">
      <c r="A154" s="19" t="str">
        <f aca="true">IF($B154="","",IF(AND(A154&lt;&gt;"",A154&lt;&gt;0),A154,TODAY()))</f>
        <v/>
      </c>
      <c r="B154" s="20"/>
      <c r="C154" s="21"/>
      <c r="D154" s="21"/>
      <c r="E154" s="21"/>
      <c r="F154" s="21"/>
      <c r="G154" s="21"/>
      <c r="H154" s="22"/>
      <c r="I154" s="22"/>
      <c r="J154" s="22"/>
      <c r="K154" s="23" t="str">
        <f aca="false">IF($B154="","",IF(AND(I154="",J154=""),"",I154+J154))</f>
        <v/>
      </c>
      <c r="L154" s="23" t="str">
        <f aca="false">IF(OR($B154="",K154=""),"",K154-H154)</f>
        <v/>
      </c>
      <c r="M154" s="24" t="str">
        <f aca="false">IF($B154="","",IF(AND(I154="",J154=""),"Not Counted",IF(OR(I154="",J154=""),"Partially Counted",IF(L154=0,"Match",IF(L154&gt;0,"Overage","Shortage")))))</f>
        <v/>
      </c>
      <c r="N154" s="24" t="str">
        <f aca="false">IF($B154="","",IF(AND(N154&lt;&gt;"",N154&lt;&gt;0),N154,$B$4))</f>
        <v/>
      </c>
      <c r="O154" s="21"/>
      <c r="P154" s="21"/>
      <c r="Q154" s="21"/>
      <c r="V154" s="14"/>
      <c r="W154" s="14"/>
      <c r="X154" s="15"/>
      <c r="Y154" s="16"/>
      <c r="Z154" s="14"/>
      <c r="AA154" s="17"/>
      <c r="AC154" s="14"/>
      <c r="AD154" s="14"/>
      <c r="AE154" s="15"/>
      <c r="AF154" s="16"/>
      <c r="AG154" s="14"/>
      <c r="AH154" s="17"/>
      <c r="AJ154" s="14"/>
      <c r="AK154" s="14"/>
      <c r="AL154" s="14"/>
      <c r="AM154" s="17"/>
      <c r="AN154" s="15"/>
    </row>
    <row r="155" customFormat="false" ht="15" hidden="false" customHeight="false" outlineLevel="0" collapsed="false">
      <c r="A155" s="19" t="str">
        <f aca="true">IF($B155="","",IF(AND(A155&lt;&gt;"",A155&lt;&gt;0),A155,TODAY()))</f>
        <v/>
      </c>
      <c r="B155" s="20"/>
      <c r="C155" s="21"/>
      <c r="D155" s="21"/>
      <c r="E155" s="21"/>
      <c r="F155" s="21"/>
      <c r="G155" s="21"/>
      <c r="H155" s="22"/>
      <c r="I155" s="22"/>
      <c r="J155" s="22"/>
      <c r="K155" s="23" t="str">
        <f aca="false">IF($B155="","",IF(AND(I155="",J155=""),"",I155+J155))</f>
        <v/>
      </c>
      <c r="L155" s="23" t="str">
        <f aca="false">IF(OR($B155="",K155=""),"",K155-H155)</f>
        <v/>
      </c>
      <c r="M155" s="24" t="str">
        <f aca="false">IF($B155="","",IF(AND(I155="",J155=""),"Not Counted",IF(OR(I155="",J155=""),"Partially Counted",IF(L155=0,"Match",IF(L155&gt;0,"Overage","Shortage")))))</f>
        <v/>
      </c>
      <c r="N155" s="24" t="str">
        <f aca="false">IF($B155="","",IF(AND(N155&lt;&gt;"",N155&lt;&gt;0),N155,$B$4))</f>
        <v/>
      </c>
      <c r="O155" s="21"/>
      <c r="P155" s="21"/>
      <c r="Q155" s="21"/>
      <c r="V155" s="14"/>
      <c r="W155" s="14"/>
      <c r="X155" s="15"/>
      <c r="Y155" s="16"/>
      <c r="Z155" s="14"/>
      <c r="AA155" s="17"/>
      <c r="AC155" s="14"/>
      <c r="AD155" s="14"/>
      <c r="AE155" s="15"/>
      <c r="AF155" s="16"/>
      <c r="AG155" s="14"/>
      <c r="AH155" s="17"/>
      <c r="AJ155" s="14"/>
      <c r="AK155" s="14"/>
      <c r="AL155" s="14"/>
      <c r="AM155" s="17"/>
      <c r="AN155" s="15"/>
    </row>
    <row r="156" customFormat="false" ht="15" hidden="false" customHeight="false" outlineLevel="0" collapsed="false">
      <c r="A156" s="19" t="str">
        <f aca="true">IF($B156="","",IF(AND(A156&lt;&gt;"",A156&lt;&gt;0),A156,TODAY()))</f>
        <v/>
      </c>
      <c r="B156" s="20"/>
      <c r="C156" s="21"/>
      <c r="D156" s="21"/>
      <c r="E156" s="21"/>
      <c r="F156" s="21"/>
      <c r="G156" s="21"/>
      <c r="H156" s="22"/>
      <c r="I156" s="22"/>
      <c r="J156" s="22"/>
      <c r="K156" s="23" t="str">
        <f aca="false">IF($B156="","",IF(AND(I156="",J156=""),"",I156+J156))</f>
        <v/>
      </c>
      <c r="L156" s="23" t="str">
        <f aca="false">IF(OR($B156="",K156=""),"",K156-H156)</f>
        <v/>
      </c>
      <c r="M156" s="24" t="str">
        <f aca="false">IF($B156="","",IF(AND(I156="",J156=""),"Not Counted",IF(OR(I156="",J156=""),"Partially Counted",IF(L156=0,"Match",IF(L156&gt;0,"Overage","Shortage")))))</f>
        <v/>
      </c>
      <c r="N156" s="24" t="str">
        <f aca="false">IF($B156="","",IF(AND(N156&lt;&gt;"",N156&lt;&gt;0),N156,$B$4))</f>
        <v/>
      </c>
      <c r="O156" s="21"/>
      <c r="P156" s="21"/>
      <c r="Q156" s="21"/>
      <c r="V156" s="14"/>
      <c r="W156" s="14"/>
      <c r="X156" s="15"/>
      <c r="Y156" s="16"/>
      <c r="Z156" s="14"/>
      <c r="AA156" s="17"/>
      <c r="AC156" s="14"/>
      <c r="AD156" s="14"/>
      <c r="AE156" s="15"/>
      <c r="AF156" s="16"/>
      <c r="AG156" s="14"/>
      <c r="AH156" s="17"/>
      <c r="AJ156" s="14"/>
      <c r="AK156" s="14"/>
      <c r="AL156" s="14"/>
      <c r="AM156" s="17"/>
      <c r="AN156" s="15"/>
    </row>
    <row r="157" customFormat="false" ht="15" hidden="false" customHeight="false" outlineLevel="0" collapsed="false">
      <c r="A157" s="19" t="str">
        <f aca="true">IF($B157="","",IF(AND(A157&lt;&gt;"",A157&lt;&gt;0),A157,TODAY()))</f>
        <v/>
      </c>
      <c r="B157" s="20"/>
      <c r="C157" s="21"/>
      <c r="D157" s="21"/>
      <c r="E157" s="21"/>
      <c r="F157" s="21"/>
      <c r="G157" s="21"/>
      <c r="H157" s="22"/>
      <c r="I157" s="22"/>
      <c r="J157" s="22"/>
      <c r="K157" s="23" t="str">
        <f aca="false">IF($B157="","",IF(AND(I157="",J157=""),"",I157+J157))</f>
        <v/>
      </c>
      <c r="L157" s="23" t="str">
        <f aca="false">IF(OR($B157="",K157=""),"",K157-H157)</f>
        <v/>
      </c>
      <c r="M157" s="24" t="str">
        <f aca="false">IF($B157="","",IF(AND(I157="",J157=""),"Not Counted",IF(OR(I157="",J157=""),"Partially Counted",IF(L157=0,"Match",IF(L157&gt;0,"Overage","Shortage")))))</f>
        <v/>
      </c>
      <c r="N157" s="24" t="str">
        <f aca="false">IF($B157="","",IF(AND(N157&lt;&gt;"",N157&lt;&gt;0),N157,$B$4))</f>
        <v/>
      </c>
      <c r="O157" s="21"/>
      <c r="P157" s="21"/>
      <c r="Q157" s="21"/>
      <c r="V157" s="14"/>
      <c r="W157" s="14"/>
      <c r="X157" s="15"/>
      <c r="Y157" s="16"/>
      <c r="Z157" s="14"/>
      <c r="AA157" s="17"/>
      <c r="AC157" s="14"/>
      <c r="AD157" s="14"/>
      <c r="AE157" s="15"/>
      <c r="AF157" s="16"/>
      <c r="AG157" s="14"/>
      <c r="AH157" s="17"/>
      <c r="AJ157" s="14"/>
      <c r="AK157" s="14"/>
      <c r="AL157" s="14"/>
      <c r="AM157" s="17"/>
      <c r="AN157" s="15"/>
    </row>
    <row r="158" customFormat="false" ht="15" hidden="false" customHeight="false" outlineLevel="0" collapsed="false">
      <c r="A158" s="19" t="str">
        <f aca="true">IF($B158="","",IF(AND(A158&lt;&gt;"",A158&lt;&gt;0),A158,TODAY()))</f>
        <v/>
      </c>
      <c r="B158" s="20"/>
      <c r="C158" s="21"/>
      <c r="D158" s="21"/>
      <c r="E158" s="21"/>
      <c r="F158" s="21"/>
      <c r="G158" s="21"/>
      <c r="H158" s="22"/>
      <c r="I158" s="22"/>
      <c r="J158" s="22"/>
      <c r="K158" s="23" t="str">
        <f aca="false">IF($B158="","",IF(AND(I158="",J158=""),"",I158+J158))</f>
        <v/>
      </c>
      <c r="L158" s="23" t="str">
        <f aca="false">IF(OR($B158="",K158=""),"",K158-H158)</f>
        <v/>
      </c>
      <c r="M158" s="24" t="str">
        <f aca="false">IF($B158="","",IF(AND(I158="",J158=""),"Not Counted",IF(OR(I158="",J158=""),"Partially Counted",IF(L158=0,"Match",IF(L158&gt;0,"Overage","Shortage")))))</f>
        <v/>
      </c>
      <c r="N158" s="24" t="str">
        <f aca="false">IF($B158="","",IF(AND(N158&lt;&gt;"",N158&lt;&gt;0),N158,$B$4))</f>
        <v/>
      </c>
      <c r="O158" s="21"/>
      <c r="P158" s="21"/>
      <c r="Q158" s="21"/>
      <c r="V158" s="14"/>
      <c r="W158" s="14"/>
      <c r="X158" s="15"/>
      <c r="Y158" s="16"/>
      <c r="Z158" s="14"/>
      <c r="AA158" s="17"/>
      <c r="AC158" s="14"/>
      <c r="AD158" s="14"/>
      <c r="AE158" s="15"/>
      <c r="AF158" s="16"/>
      <c r="AG158" s="14"/>
      <c r="AH158" s="17"/>
      <c r="AJ158" s="14"/>
      <c r="AK158" s="14"/>
      <c r="AL158" s="14"/>
      <c r="AM158" s="17"/>
      <c r="AN158" s="15"/>
    </row>
    <row r="159" customFormat="false" ht="15" hidden="false" customHeight="false" outlineLevel="0" collapsed="false">
      <c r="A159" s="19" t="str">
        <f aca="true">IF($B159="","",IF(AND(A159&lt;&gt;"",A159&lt;&gt;0),A159,TODAY()))</f>
        <v/>
      </c>
      <c r="B159" s="20"/>
      <c r="C159" s="21"/>
      <c r="D159" s="21"/>
      <c r="E159" s="21"/>
      <c r="F159" s="21"/>
      <c r="G159" s="21"/>
      <c r="H159" s="22"/>
      <c r="I159" s="22"/>
      <c r="J159" s="22"/>
      <c r="K159" s="23" t="str">
        <f aca="false">IF($B159="","",IF(AND(I159="",J159=""),"",I159+J159))</f>
        <v/>
      </c>
      <c r="L159" s="23" t="str">
        <f aca="false">IF(OR($B159="",K159=""),"",K159-H159)</f>
        <v/>
      </c>
      <c r="M159" s="24" t="str">
        <f aca="false">IF($B159="","",IF(AND(I159="",J159=""),"Not Counted",IF(OR(I159="",J159=""),"Partially Counted",IF(L159=0,"Match",IF(L159&gt;0,"Overage","Shortage")))))</f>
        <v/>
      </c>
      <c r="N159" s="24" t="str">
        <f aca="false">IF($B159="","",IF(AND(N159&lt;&gt;"",N159&lt;&gt;0),N159,$B$4))</f>
        <v/>
      </c>
      <c r="O159" s="21"/>
      <c r="P159" s="21"/>
      <c r="Q159" s="21"/>
      <c r="V159" s="14"/>
      <c r="W159" s="14"/>
      <c r="X159" s="15"/>
      <c r="Y159" s="16"/>
      <c r="Z159" s="14"/>
      <c r="AA159" s="17"/>
      <c r="AC159" s="14"/>
      <c r="AD159" s="14"/>
      <c r="AE159" s="15"/>
      <c r="AF159" s="16"/>
      <c r="AG159" s="14"/>
      <c r="AH159" s="17"/>
      <c r="AJ159" s="14"/>
      <c r="AK159" s="14"/>
      <c r="AL159" s="14"/>
      <c r="AM159" s="17"/>
      <c r="AN159" s="15"/>
    </row>
    <row r="160" customFormat="false" ht="15" hidden="false" customHeight="false" outlineLevel="0" collapsed="false">
      <c r="A160" s="19" t="str">
        <f aca="true">IF($B160="","",IF(AND(A160&lt;&gt;"",A160&lt;&gt;0),A160,TODAY()))</f>
        <v/>
      </c>
      <c r="B160" s="20"/>
      <c r="C160" s="21"/>
      <c r="D160" s="21"/>
      <c r="E160" s="21"/>
      <c r="F160" s="21"/>
      <c r="G160" s="21"/>
      <c r="H160" s="22"/>
      <c r="I160" s="22"/>
      <c r="J160" s="22"/>
      <c r="K160" s="23" t="str">
        <f aca="false">IF($B160="","",IF(AND(I160="",J160=""),"",I160+J160))</f>
        <v/>
      </c>
      <c r="L160" s="23" t="str">
        <f aca="false">IF(OR($B160="",K160=""),"",K160-H160)</f>
        <v/>
      </c>
      <c r="M160" s="24" t="str">
        <f aca="false">IF($B160="","",IF(AND(I160="",J160=""),"Not Counted",IF(OR(I160="",J160=""),"Partially Counted",IF(L160=0,"Match",IF(L160&gt;0,"Overage","Shortage")))))</f>
        <v/>
      </c>
      <c r="N160" s="24" t="str">
        <f aca="false">IF($B160="","",IF(AND(N160&lt;&gt;"",N160&lt;&gt;0),N160,$B$4))</f>
        <v/>
      </c>
      <c r="O160" s="21"/>
      <c r="P160" s="21"/>
      <c r="Q160" s="21"/>
      <c r="V160" s="14"/>
      <c r="W160" s="14"/>
      <c r="X160" s="15"/>
      <c r="Y160" s="16"/>
      <c r="Z160" s="14"/>
      <c r="AA160" s="17"/>
      <c r="AC160" s="14"/>
      <c r="AD160" s="14"/>
      <c r="AE160" s="15"/>
      <c r="AF160" s="16"/>
      <c r="AG160" s="14"/>
      <c r="AH160" s="17"/>
      <c r="AJ160" s="14"/>
      <c r="AK160" s="14"/>
      <c r="AL160" s="14"/>
      <c r="AM160" s="17"/>
      <c r="AN160" s="15"/>
    </row>
    <row r="161" customFormat="false" ht="15" hidden="false" customHeight="false" outlineLevel="0" collapsed="false">
      <c r="A161" s="19" t="str">
        <f aca="true">IF($B161="","",IF(AND(A161&lt;&gt;"",A161&lt;&gt;0),A161,TODAY()))</f>
        <v/>
      </c>
      <c r="B161" s="20"/>
      <c r="C161" s="21"/>
      <c r="D161" s="21"/>
      <c r="E161" s="21"/>
      <c r="F161" s="21"/>
      <c r="G161" s="21"/>
      <c r="H161" s="22"/>
      <c r="I161" s="22"/>
      <c r="J161" s="22"/>
      <c r="K161" s="23" t="str">
        <f aca="false">IF($B161="","",IF(AND(I161="",J161=""),"",I161+J161))</f>
        <v/>
      </c>
      <c r="L161" s="23" t="str">
        <f aca="false">IF(OR($B161="",K161=""),"",K161-H161)</f>
        <v/>
      </c>
      <c r="M161" s="24" t="str">
        <f aca="false">IF($B161="","",IF(AND(I161="",J161=""),"Not Counted",IF(OR(I161="",J161=""),"Partially Counted",IF(L161=0,"Match",IF(L161&gt;0,"Overage","Shortage")))))</f>
        <v/>
      </c>
      <c r="N161" s="24" t="str">
        <f aca="false">IF($B161="","",IF(AND(N161&lt;&gt;"",N161&lt;&gt;0),N161,$B$4))</f>
        <v/>
      </c>
      <c r="O161" s="21"/>
      <c r="P161" s="21"/>
      <c r="Q161" s="21"/>
      <c r="V161" s="14"/>
      <c r="W161" s="14"/>
      <c r="X161" s="15"/>
      <c r="Y161" s="16"/>
      <c r="Z161" s="14"/>
      <c r="AA161" s="17"/>
      <c r="AC161" s="14"/>
      <c r="AD161" s="14"/>
      <c r="AE161" s="15"/>
      <c r="AF161" s="16"/>
      <c r="AG161" s="14"/>
      <c r="AH161" s="17"/>
      <c r="AJ161" s="14"/>
      <c r="AK161" s="14"/>
      <c r="AL161" s="14"/>
      <c r="AM161" s="17"/>
      <c r="AN161" s="15"/>
    </row>
    <row r="162" customFormat="false" ht="15" hidden="false" customHeight="false" outlineLevel="0" collapsed="false">
      <c r="A162" s="19" t="str">
        <f aca="true">IF($B162="","",IF(AND(A162&lt;&gt;"",A162&lt;&gt;0),A162,TODAY()))</f>
        <v/>
      </c>
      <c r="B162" s="20"/>
      <c r="C162" s="21"/>
      <c r="D162" s="21"/>
      <c r="E162" s="21"/>
      <c r="F162" s="21"/>
      <c r="G162" s="21"/>
      <c r="H162" s="22"/>
      <c r="I162" s="22"/>
      <c r="J162" s="22"/>
      <c r="K162" s="23" t="str">
        <f aca="false">IF($B162="","",IF(AND(I162="",J162=""),"",I162+J162))</f>
        <v/>
      </c>
      <c r="L162" s="23" t="str">
        <f aca="false">IF(OR($B162="",K162=""),"",K162-H162)</f>
        <v/>
      </c>
      <c r="M162" s="24" t="str">
        <f aca="false">IF($B162="","",IF(AND(I162="",J162=""),"Not Counted",IF(OR(I162="",J162=""),"Partially Counted",IF(L162=0,"Match",IF(L162&gt;0,"Overage","Shortage")))))</f>
        <v/>
      </c>
      <c r="N162" s="24" t="str">
        <f aca="false">IF($B162="","",IF(AND(N162&lt;&gt;"",N162&lt;&gt;0),N162,$B$4))</f>
        <v/>
      </c>
      <c r="O162" s="21"/>
      <c r="P162" s="21"/>
      <c r="Q162" s="21"/>
      <c r="V162" s="14"/>
      <c r="W162" s="14"/>
      <c r="X162" s="15"/>
      <c r="Y162" s="16"/>
      <c r="Z162" s="14"/>
      <c r="AA162" s="17"/>
      <c r="AC162" s="14"/>
      <c r="AD162" s="14"/>
      <c r="AE162" s="15"/>
      <c r="AF162" s="16"/>
      <c r="AG162" s="14"/>
      <c r="AH162" s="17"/>
      <c r="AJ162" s="14"/>
      <c r="AK162" s="14"/>
      <c r="AL162" s="14"/>
      <c r="AM162" s="17"/>
      <c r="AN162" s="15"/>
    </row>
    <row r="163" customFormat="false" ht="15" hidden="false" customHeight="false" outlineLevel="0" collapsed="false">
      <c r="A163" s="19" t="str">
        <f aca="true">IF($B163="","",IF(AND(A163&lt;&gt;"",A163&lt;&gt;0),A163,TODAY()))</f>
        <v/>
      </c>
      <c r="B163" s="20"/>
      <c r="C163" s="21"/>
      <c r="D163" s="21"/>
      <c r="E163" s="21"/>
      <c r="F163" s="21"/>
      <c r="G163" s="21"/>
      <c r="H163" s="22"/>
      <c r="I163" s="22"/>
      <c r="J163" s="22"/>
      <c r="K163" s="23" t="str">
        <f aca="false">IF($B163="","",IF(AND(I163="",J163=""),"",I163+J163))</f>
        <v/>
      </c>
      <c r="L163" s="23" t="str">
        <f aca="false">IF(OR($B163="",K163=""),"",K163-H163)</f>
        <v/>
      </c>
      <c r="M163" s="24" t="str">
        <f aca="false">IF($B163="","",IF(AND(I163="",J163=""),"Not Counted",IF(OR(I163="",J163=""),"Partially Counted",IF(L163=0,"Match",IF(L163&gt;0,"Overage","Shortage")))))</f>
        <v/>
      </c>
      <c r="N163" s="24" t="str">
        <f aca="false">IF($B163="","",IF(AND(N163&lt;&gt;"",N163&lt;&gt;0),N163,$B$4))</f>
        <v/>
      </c>
      <c r="O163" s="21"/>
      <c r="P163" s="21"/>
      <c r="Q163" s="21"/>
      <c r="V163" s="14"/>
      <c r="W163" s="14"/>
      <c r="X163" s="15"/>
      <c r="Y163" s="16"/>
      <c r="Z163" s="14"/>
      <c r="AA163" s="17"/>
      <c r="AC163" s="14"/>
      <c r="AD163" s="14"/>
      <c r="AE163" s="15"/>
      <c r="AF163" s="16"/>
      <c r="AG163" s="14"/>
      <c r="AH163" s="17"/>
      <c r="AJ163" s="14"/>
      <c r="AK163" s="14"/>
      <c r="AL163" s="14"/>
      <c r="AM163" s="17"/>
      <c r="AN163" s="15"/>
    </row>
    <row r="164" customFormat="false" ht="15" hidden="false" customHeight="false" outlineLevel="0" collapsed="false">
      <c r="A164" s="19" t="str">
        <f aca="true">IF($B164="","",IF(AND(A164&lt;&gt;"",A164&lt;&gt;0),A164,TODAY()))</f>
        <v/>
      </c>
      <c r="B164" s="20"/>
      <c r="C164" s="21"/>
      <c r="D164" s="21"/>
      <c r="E164" s="21"/>
      <c r="F164" s="21"/>
      <c r="G164" s="21"/>
      <c r="H164" s="22"/>
      <c r="I164" s="22"/>
      <c r="J164" s="22"/>
      <c r="K164" s="23" t="str">
        <f aca="false">IF($B164="","",IF(AND(I164="",J164=""),"",I164+J164))</f>
        <v/>
      </c>
      <c r="L164" s="23" t="str">
        <f aca="false">IF(OR($B164="",K164=""),"",K164-H164)</f>
        <v/>
      </c>
      <c r="M164" s="24" t="str">
        <f aca="false">IF($B164="","",IF(AND(I164="",J164=""),"Not Counted",IF(OR(I164="",J164=""),"Partially Counted",IF(L164=0,"Match",IF(L164&gt;0,"Overage","Shortage")))))</f>
        <v/>
      </c>
      <c r="N164" s="24" t="str">
        <f aca="false">IF($B164="","",IF(AND(N164&lt;&gt;"",N164&lt;&gt;0),N164,$B$4))</f>
        <v/>
      </c>
      <c r="O164" s="21"/>
      <c r="P164" s="21"/>
      <c r="Q164" s="21"/>
      <c r="V164" s="14"/>
      <c r="W164" s="14"/>
      <c r="X164" s="15"/>
      <c r="Y164" s="16"/>
      <c r="Z164" s="14"/>
      <c r="AA164" s="17"/>
      <c r="AC164" s="14"/>
      <c r="AD164" s="14"/>
      <c r="AE164" s="15"/>
      <c r="AF164" s="16"/>
      <c r="AG164" s="14"/>
      <c r="AH164" s="17"/>
      <c r="AJ164" s="14"/>
      <c r="AK164" s="14"/>
      <c r="AL164" s="14"/>
      <c r="AM164" s="17"/>
      <c r="AN164" s="15"/>
    </row>
    <row r="165" customFormat="false" ht="15" hidden="false" customHeight="false" outlineLevel="0" collapsed="false">
      <c r="A165" s="19" t="str">
        <f aca="true">IF($B165="","",IF(AND(A165&lt;&gt;"",A165&lt;&gt;0),A165,TODAY()))</f>
        <v/>
      </c>
      <c r="B165" s="20"/>
      <c r="C165" s="21"/>
      <c r="D165" s="21"/>
      <c r="E165" s="21"/>
      <c r="F165" s="21"/>
      <c r="G165" s="21"/>
      <c r="H165" s="22"/>
      <c r="I165" s="22"/>
      <c r="J165" s="22"/>
      <c r="K165" s="23" t="str">
        <f aca="false">IF($B165="","",IF(AND(I165="",J165=""),"",I165+J165))</f>
        <v/>
      </c>
      <c r="L165" s="23" t="str">
        <f aca="false">IF(OR($B165="",K165=""),"",K165-H165)</f>
        <v/>
      </c>
      <c r="M165" s="24" t="str">
        <f aca="false">IF($B165="","",IF(AND(I165="",J165=""),"Not Counted",IF(OR(I165="",J165=""),"Partially Counted",IF(L165=0,"Match",IF(L165&gt;0,"Overage","Shortage")))))</f>
        <v/>
      </c>
      <c r="N165" s="24" t="str">
        <f aca="false">IF($B165="","",IF(AND(N165&lt;&gt;"",N165&lt;&gt;0),N165,$B$4))</f>
        <v/>
      </c>
      <c r="O165" s="21"/>
      <c r="P165" s="21"/>
      <c r="Q165" s="21"/>
      <c r="V165" s="14"/>
      <c r="W165" s="14"/>
      <c r="X165" s="15"/>
      <c r="Y165" s="16"/>
      <c r="Z165" s="14"/>
      <c r="AA165" s="17"/>
      <c r="AC165" s="14"/>
      <c r="AD165" s="14"/>
      <c r="AE165" s="15"/>
      <c r="AF165" s="16"/>
      <c r="AG165" s="14"/>
      <c r="AH165" s="17"/>
      <c r="AJ165" s="14"/>
      <c r="AK165" s="14"/>
      <c r="AL165" s="14"/>
      <c r="AM165" s="17"/>
      <c r="AN165" s="15"/>
    </row>
    <row r="166" customFormat="false" ht="15" hidden="false" customHeight="false" outlineLevel="0" collapsed="false">
      <c r="A166" s="19" t="str">
        <f aca="true">IF($B166="","",IF(AND(A166&lt;&gt;"",A166&lt;&gt;0),A166,TODAY()))</f>
        <v/>
      </c>
      <c r="B166" s="20"/>
      <c r="C166" s="21"/>
      <c r="D166" s="21"/>
      <c r="E166" s="21"/>
      <c r="F166" s="21"/>
      <c r="G166" s="21"/>
      <c r="H166" s="22"/>
      <c r="I166" s="22"/>
      <c r="J166" s="22"/>
      <c r="K166" s="23" t="str">
        <f aca="false">IF($B166="","",IF(AND(I166="",J166=""),"",I166+J166))</f>
        <v/>
      </c>
      <c r="L166" s="23" t="str">
        <f aca="false">IF(OR($B166="",K166=""),"",K166-H166)</f>
        <v/>
      </c>
      <c r="M166" s="24" t="str">
        <f aca="false">IF($B166="","",IF(AND(I166="",J166=""),"Not Counted",IF(OR(I166="",J166=""),"Partially Counted",IF(L166=0,"Match",IF(L166&gt;0,"Overage","Shortage")))))</f>
        <v/>
      </c>
      <c r="N166" s="24" t="str">
        <f aca="false">IF($B166="","",IF(AND(N166&lt;&gt;"",N166&lt;&gt;0),N166,$B$4))</f>
        <v/>
      </c>
      <c r="O166" s="21"/>
      <c r="P166" s="21"/>
      <c r="Q166" s="21"/>
      <c r="V166" s="14"/>
      <c r="W166" s="14"/>
      <c r="X166" s="15"/>
      <c r="Y166" s="16"/>
      <c r="Z166" s="14"/>
      <c r="AA166" s="17"/>
      <c r="AC166" s="14"/>
      <c r="AD166" s="14"/>
      <c r="AE166" s="15"/>
      <c r="AF166" s="16"/>
      <c r="AG166" s="14"/>
      <c r="AH166" s="17"/>
      <c r="AJ166" s="14"/>
      <c r="AK166" s="14"/>
      <c r="AL166" s="14"/>
      <c r="AM166" s="17"/>
      <c r="AN166" s="15"/>
    </row>
    <row r="167" customFormat="false" ht="15" hidden="false" customHeight="false" outlineLevel="0" collapsed="false">
      <c r="A167" s="19" t="str">
        <f aca="true">IF($B167="","",IF(AND(A167&lt;&gt;"",A167&lt;&gt;0),A167,TODAY()))</f>
        <v/>
      </c>
      <c r="B167" s="20"/>
      <c r="C167" s="21"/>
      <c r="D167" s="21"/>
      <c r="E167" s="21"/>
      <c r="F167" s="21"/>
      <c r="G167" s="21"/>
      <c r="H167" s="22"/>
      <c r="I167" s="22"/>
      <c r="J167" s="22"/>
      <c r="K167" s="23" t="str">
        <f aca="false">IF($B167="","",IF(AND(I167="",J167=""),"",I167+J167))</f>
        <v/>
      </c>
      <c r="L167" s="23" t="str">
        <f aca="false">IF(OR($B167="",K167=""),"",K167-H167)</f>
        <v/>
      </c>
      <c r="M167" s="24" t="str">
        <f aca="false">IF($B167="","",IF(AND(I167="",J167=""),"Not Counted",IF(OR(I167="",J167=""),"Partially Counted",IF(L167=0,"Match",IF(L167&gt;0,"Overage","Shortage")))))</f>
        <v/>
      </c>
      <c r="N167" s="24" t="str">
        <f aca="false">IF($B167="","",IF(AND(N167&lt;&gt;"",N167&lt;&gt;0),N167,$B$4))</f>
        <v/>
      </c>
      <c r="O167" s="21"/>
      <c r="P167" s="21"/>
      <c r="Q167" s="21"/>
      <c r="V167" s="14"/>
      <c r="W167" s="14"/>
      <c r="X167" s="15"/>
      <c r="Y167" s="16"/>
      <c r="Z167" s="14"/>
      <c r="AA167" s="17"/>
      <c r="AC167" s="14"/>
      <c r="AD167" s="14"/>
      <c r="AE167" s="15"/>
      <c r="AF167" s="16"/>
      <c r="AG167" s="14"/>
      <c r="AH167" s="17"/>
      <c r="AJ167" s="14"/>
      <c r="AK167" s="14"/>
      <c r="AL167" s="14"/>
      <c r="AM167" s="17"/>
      <c r="AN167" s="15"/>
    </row>
    <row r="168" customFormat="false" ht="15" hidden="false" customHeight="false" outlineLevel="0" collapsed="false">
      <c r="A168" s="19" t="str">
        <f aca="true">IF($B168="","",IF(AND(A168&lt;&gt;"",A168&lt;&gt;0),A168,TODAY()))</f>
        <v/>
      </c>
      <c r="B168" s="20"/>
      <c r="C168" s="21"/>
      <c r="D168" s="21"/>
      <c r="E168" s="21"/>
      <c r="F168" s="21"/>
      <c r="G168" s="21"/>
      <c r="H168" s="22"/>
      <c r="I168" s="22"/>
      <c r="J168" s="22"/>
      <c r="K168" s="23" t="str">
        <f aca="false">IF($B168="","",IF(AND(I168="",J168=""),"",I168+J168))</f>
        <v/>
      </c>
      <c r="L168" s="23" t="str">
        <f aca="false">IF(OR($B168="",K168=""),"",K168-H168)</f>
        <v/>
      </c>
      <c r="M168" s="24" t="str">
        <f aca="false">IF($B168="","",IF(AND(I168="",J168=""),"Not Counted",IF(OR(I168="",J168=""),"Partially Counted",IF(L168=0,"Match",IF(L168&gt;0,"Overage","Shortage")))))</f>
        <v/>
      </c>
      <c r="N168" s="24" t="str">
        <f aca="false">IF($B168="","",IF(AND(N168&lt;&gt;"",N168&lt;&gt;0),N168,$B$4))</f>
        <v/>
      </c>
      <c r="O168" s="21"/>
      <c r="P168" s="21"/>
      <c r="Q168" s="21"/>
      <c r="V168" s="14"/>
      <c r="W168" s="14"/>
      <c r="X168" s="15"/>
      <c r="Y168" s="16"/>
      <c r="Z168" s="14"/>
      <c r="AA168" s="17"/>
      <c r="AC168" s="14"/>
      <c r="AD168" s="14"/>
      <c r="AE168" s="15"/>
      <c r="AF168" s="16"/>
      <c r="AG168" s="14"/>
      <c r="AH168" s="17"/>
      <c r="AJ168" s="14"/>
      <c r="AK168" s="14"/>
      <c r="AL168" s="14"/>
      <c r="AM168" s="17"/>
      <c r="AN168" s="15"/>
    </row>
    <row r="169" customFormat="false" ht="15" hidden="false" customHeight="false" outlineLevel="0" collapsed="false">
      <c r="A169" s="19" t="str">
        <f aca="true">IF($B169="","",IF(AND(A169&lt;&gt;"",A169&lt;&gt;0),A169,TODAY()))</f>
        <v/>
      </c>
      <c r="B169" s="20"/>
      <c r="C169" s="21"/>
      <c r="D169" s="21"/>
      <c r="E169" s="21"/>
      <c r="F169" s="21"/>
      <c r="G169" s="21"/>
      <c r="H169" s="22"/>
      <c r="I169" s="22"/>
      <c r="J169" s="22"/>
      <c r="K169" s="23" t="str">
        <f aca="false">IF($B169="","",IF(AND(I169="",J169=""),"",I169+J169))</f>
        <v/>
      </c>
      <c r="L169" s="23" t="str">
        <f aca="false">IF(OR($B169="",K169=""),"",K169-H169)</f>
        <v/>
      </c>
      <c r="M169" s="24" t="str">
        <f aca="false">IF($B169="","",IF(AND(I169="",J169=""),"Not Counted",IF(OR(I169="",J169=""),"Partially Counted",IF(L169=0,"Match",IF(L169&gt;0,"Overage","Shortage")))))</f>
        <v/>
      </c>
      <c r="N169" s="24" t="str">
        <f aca="false">IF($B169="","",IF(AND(N169&lt;&gt;"",N169&lt;&gt;0),N169,$B$4))</f>
        <v/>
      </c>
      <c r="O169" s="21"/>
      <c r="P169" s="21"/>
      <c r="Q169" s="21"/>
      <c r="V169" s="14"/>
      <c r="W169" s="14"/>
      <c r="X169" s="15"/>
      <c r="Y169" s="16"/>
      <c r="Z169" s="14"/>
      <c r="AA169" s="17"/>
      <c r="AC169" s="14"/>
      <c r="AD169" s="14"/>
      <c r="AE169" s="15"/>
      <c r="AF169" s="16"/>
      <c r="AG169" s="14"/>
      <c r="AH169" s="17"/>
      <c r="AJ169" s="14"/>
      <c r="AK169" s="14"/>
      <c r="AL169" s="14"/>
      <c r="AM169" s="17"/>
      <c r="AN169" s="15"/>
    </row>
    <row r="170" customFormat="false" ht="15" hidden="false" customHeight="false" outlineLevel="0" collapsed="false">
      <c r="A170" s="19" t="str">
        <f aca="true">IF($B170="","",IF(AND(A170&lt;&gt;"",A170&lt;&gt;0),A170,TODAY()))</f>
        <v/>
      </c>
      <c r="B170" s="20"/>
      <c r="C170" s="21"/>
      <c r="D170" s="21"/>
      <c r="E170" s="21"/>
      <c r="F170" s="21"/>
      <c r="G170" s="21"/>
      <c r="H170" s="22"/>
      <c r="I170" s="22"/>
      <c r="J170" s="22"/>
      <c r="K170" s="23" t="str">
        <f aca="false">IF($B170="","",IF(AND(I170="",J170=""),"",I170+J170))</f>
        <v/>
      </c>
      <c r="L170" s="23" t="str">
        <f aca="false">IF(OR($B170="",K170=""),"",K170-H170)</f>
        <v/>
      </c>
      <c r="M170" s="24" t="str">
        <f aca="false">IF($B170="","",IF(AND(I170="",J170=""),"Not Counted",IF(OR(I170="",J170=""),"Partially Counted",IF(L170=0,"Match",IF(L170&gt;0,"Overage","Shortage")))))</f>
        <v/>
      </c>
      <c r="N170" s="24" t="str">
        <f aca="false">IF($B170="","",IF(AND(N170&lt;&gt;"",N170&lt;&gt;0),N170,$B$4))</f>
        <v/>
      </c>
      <c r="O170" s="21"/>
      <c r="P170" s="21"/>
      <c r="Q170" s="21"/>
      <c r="V170" s="14"/>
      <c r="W170" s="14"/>
      <c r="X170" s="15"/>
      <c r="Y170" s="16"/>
      <c r="Z170" s="14"/>
      <c r="AA170" s="17"/>
      <c r="AC170" s="14"/>
      <c r="AD170" s="14"/>
      <c r="AE170" s="15"/>
      <c r="AF170" s="16"/>
      <c r="AG170" s="14"/>
      <c r="AH170" s="17"/>
      <c r="AJ170" s="14"/>
      <c r="AK170" s="14"/>
      <c r="AL170" s="14"/>
      <c r="AM170" s="17"/>
      <c r="AN170" s="15"/>
    </row>
    <row r="171" customFormat="false" ht="15" hidden="false" customHeight="false" outlineLevel="0" collapsed="false">
      <c r="A171" s="19" t="str">
        <f aca="true">IF($B171="","",IF(AND(A171&lt;&gt;"",A171&lt;&gt;0),A171,TODAY()))</f>
        <v/>
      </c>
      <c r="B171" s="20"/>
      <c r="C171" s="21"/>
      <c r="D171" s="21"/>
      <c r="E171" s="21"/>
      <c r="F171" s="21"/>
      <c r="G171" s="21"/>
      <c r="H171" s="22"/>
      <c r="I171" s="22"/>
      <c r="J171" s="22"/>
      <c r="K171" s="23" t="str">
        <f aca="false">IF($B171="","",IF(AND(I171="",J171=""),"",I171+J171))</f>
        <v/>
      </c>
      <c r="L171" s="23" t="str">
        <f aca="false">IF(OR($B171="",K171=""),"",K171-H171)</f>
        <v/>
      </c>
      <c r="M171" s="24" t="str">
        <f aca="false">IF($B171="","",IF(AND(I171="",J171=""),"Not Counted",IF(OR(I171="",J171=""),"Partially Counted",IF(L171=0,"Match",IF(L171&gt;0,"Overage","Shortage")))))</f>
        <v/>
      </c>
      <c r="N171" s="24" t="str">
        <f aca="false">IF($B171="","",IF(AND(N171&lt;&gt;"",N171&lt;&gt;0),N171,$B$4))</f>
        <v/>
      </c>
      <c r="O171" s="21"/>
      <c r="P171" s="21"/>
      <c r="Q171" s="21"/>
      <c r="V171" s="14"/>
      <c r="W171" s="14"/>
      <c r="X171" s="15"/>
      <c r="Y171" s="16"/>
      <c r="Z171" s="14"/>
      <c r="AA171" s="17"/>
      <c r="AC171" s="14"/>
      <c r="AD171" s="14"/>
      <c r="AE171" s="15"/>
      <c r="AF171" s="16"/>
      <c r="AG171" s="14"/>
      <c r="AH171" s="17"/>
      <c r="AJ171" s="14"/>
      <c r="AK171" s="14"/>
      <c r="AL171" s="14"/>
      <c r="AM171" s="17"/>
      <c r="AN171" s="15"/>
    </row>
    <row r="172" customFormat="false" ht="15" hidden="false" customHeight="false" outlineLevel="0" collapsed="false">
      <c r="A172" s="19" t="str">
        <f aca="true">IF($B172="","",IF(AND(A172&lt;&gt;"",A172&lt;&gt;0),A172,TODAY()))</f>
        <v/>
      </c>
      <c r="B172" s="20"/>
      <c r="C172" s="21"/>
      <c r="D172" s="21"/>
      <c r="E172" s="21"/>
      <c r="F172" s="21"/>
      <c r="G172" s="21"/>
      <c r="H172" s="22"/>
      <c r="I172" s="22"/>
      <c r="J172" s="22"/>
      <c r="K172" s="23" t="str">
        <f aca="false">IF($B172="","",IF(AND(I172="",J172=""),"",I172+J172))</f>
        <v/>
      </c>
      <c r="L172" s="23" t="str">
        <f aca="false">IF(OR($B172="",K172=""),"",K172-H172)</f>
        <v/>
      </c>
      <c r="M172" s="24" t="str">
        <f aca="false">IF($B172="","",IF(AND(I172="",J172=""),"Not Counted",IF(OR(I172="",J172=""),"Partially Counted",IF(L172=0,"Match",IF(L172&gt;0,"Overage","Shortage")))))</f>
        <v/>
      </c>
      <c r="N172" s="24" t="str">
        <f aca="false">IF($B172="","",IF(AND(N172&lt;&gt;"",N172&lt;&gt;0),N172,$B$4))</f>
        <v/>
      </c>
      <c r="O172" s="21"/>
      <c r="P172" s="21"/>
      <c r="Q172" s="21"/>
      <c r="V172" s="14"/>
      <c r="W172" s="14"/>
      <c r="X172" s="15"/>
      <c r="Y172" s="16"/>
      <c r="Z172" s="14"/>
      <c r="AA172" s="17"/>
      <c r="AC172" s="14"/>
      <c r="AD172" s="14"/>
      <c r="AE172" s="15"/>
      <c r="AF172" s="16"/>
      <c r="AG172" s="14"/>
      <c r="AH172" s="17"/>
      <c r="AJ172" s="14"/>
      <c r="AK172" s="14"/>
      <c r="AL172" s="14"/>
      <c r="AM172" s="17"/>
      <c r="AN172" s="15"/>
    </row>
    <row r="173" customFormat="false" ht="15" hidden="false" customHeight="false" outlineLevel="0" collapsed="false">
      <c r="A173" s="19" t="str">
        <f aca="true">IF($B173="","",IF(AND(A173&lt;&gt;"",A173&lt;&gt;0),A173,TODAY()))</f>
        <v/>
      </c>
      <c r="B173" s="20"/>
      <c r="C173" s="21"/>
      <c r="D173" s="21"/>
      <c r="E173" s="21"/>
      <c r="F173" s="21"/>
      <c r="G173" s="21"/>
      <c r="H173" s="22"/>
      <c r="I173" s="22"/>
      <c r="J173" s="22"/>
      <c r="K173" s="23" t="str">
        <f aca="false">IF($B173="","",IF(AND(I173="",J173=""),"",I173+J173))</f>
        <v/>
      </c>
      <c r="L173" s="23" t="str">
        <f aca="false">IF(OR($B173="",K173=""),"",K173-H173)</f>
        <v/>
      </c>
      <c r="M173" s="24" t="str">
        <f aca="false">IF($B173="","",IF(AND(I173="",J173=""),"Not Counted",IF(OR(I173="",J173=""),"Partially Counted",IF(L173=0,"Match",IF(L173&gt;0,"Overage","Shortage")))))</f>
        <v/>
      </c>
      <c r="N173" s="24" t="str">
        <f aca="false">IF($B173="","",IF(AND(N173&lt;&gt;"",N173&lt;&gt;0),N173,$B$4))</f>
        <v/>
      </c>
      <c r="O173" s="21"/>
      <c r="P173" s="21"/>
      <c r="Q173" s="21"/>
      <c r="V173" s="14"/>
      <c r="W173" s="14"/>
      <c r="X173" s="15"/>
      <c r="Y173" s="16"/>
      <c r="Z173" s="14"/>
      <c r="AA173" s="17"/>
      <c r="AC173" s="14"/>
      <c r="AD173" s="14"/>
      <c r="AE173" s="15"/>
      <c r="AF173" s="16"/>
      <c r="AG173" s="14"/>
      <c r="AH173" s="17"/>
      <c r="AJ173" s="14"/>
      <c r="AK173" s="14"/>
      <c r="AL173" s="14"/>
      <c r="AM173" s="17"/>
      <c r="AN173" s="15"/>
    </row>
    <row r="174" customFormat="false" ht="15" hidden="false" customHeight="false" outlineLevel="0" collapsed="false">
      <c r="A174" s="19" t="str">
        <f aca="true">IF($B174="","",IF(AND(A174&lt;&gt;"",A174&lt;&gt;0),A174,TODAY()))</f>
        <v/>
      </c>
      <c r="B174" s="20"/>
      <c r="C174" s="21"/>
      <c r="D174" s="21"/>
      <c r="E174" s="21"/>
      <c r="F174" s="21"/>
      <c r="G174" s="21"/>
      <c r="H174" s="22"/>
      <c r="I174" s="22"/>
      <c r="J174" s="22"/>
      <c r="K174" s="23" t="str">
        <f aca="false">IF($B174="","",IF(AND(I174="",J174=""),"",I174+J174))</f>
        <v/>
      </c>
      <c r="L174" s="23" t="str">
        <f aca="false">IF(OR($B174="",K174=""),"",K174-H174)</f>
        <v/>
      </c>
      <c r="M174" s="24" t="str">
        <f aca="false">IF($B174="","",IF(AND(I174="",J174=""),"Not Counted",IF(OR(I174="",J174=""),"Partially Counted",IF(L174=0,"Match",IF(L174&gt;0,"Overage","Shortage")))))</f>
        <v/>
      </c>
      <c r="N174" s="24" t="str">
        <f aca="false">IF($B174="","",IF(AND(N174&lt;&gt;"",N174&lt;&gt;0),N174,$B$4))</f>
        <v/>
      </c>
      <c r="O174" s="21"/>
      <c r="P174" s="21"/>
      <c r="Q174" s="21"/>
      <c r="V174" s="14"/>
      <c r="W174" s="14"/>
      <c r="X174" s="15"/>
      <c r="Y174" s="16"/>
      <c r="Z174" s="14"/>
      <c r="AA174" s="17"/>
      <c r="AC174" s="14"/>
      <c r="AD174" s="14"/>
      <c r="AE174" s="15"/>
      <c r="AF174" s="16"/>
      <c r="AG174" s="14"/>
      <c r="AH174" s="17"/>
      <c r="AJ174" s="14"/>
      <c r="AK174" s="14"/>
      <c r="AL174" s="14"/>
      <c r="AM174" s="17"/>
      <c r="AN174" s="15"/>
    </row>
    <row r="175" customFormat="false" ht="15" hidden="false" customHeight="false" outlineLevel="0" collapsed="false">
      <c r="A175" s="19" t="str">
        <f aca="true">IF($B175="","",IF(AND(A175&lt;&gt;"",A175&lt;&gt;0),A175,TODAY()))</f>
        <v/>
      </c>
      <c r="B175" s="20"/>
      <c r="C175" s="21"/>
      <c r="D175" s="21"/>
      <c r="E175" s="21"/>
      <c r="F175" s="21"/>
      <c r="G175" s="21"/>
      <c r="H175" s="22"/>
      <c r="I175" s="22"/>
      <c r="J175" s="22"/>
      <c r="K175" s="23" t="str">
        <f aca="false">IF($B175="","",IF(AND(I175="",J175=""),"",I175+J175))</f>
        <v/>
      </c>
      <c r="L175" s="23" t="str">
        <f aca="false">IF(OR($B175="",K175=""),"",K175-H175)</f>
        <v/>
      </c>
      <c r="M175" s="24" t="str">
        <f aca="false">IF($B175="","",IF(AND(I175="",J175=""),"Not Counted",IF(OR(I175="",J175=""),"Partially Counted",IF(L175=0,"Match",IF(L175&gt;0,"Overage","Shortage")))))</f>
        <v/>
      </c>
      <c r="N175" s="24" t="str">
        <f aca="false">IF($B175="","",IF(AND(N175&lt;&gt;"",N175&lt;&gt;0),N175,$B$4))</f>
        <v/>
      </c>
      <c r="O175" s="21"/>
      <c r="P175" s="21"/>
      <c r="Q175" s="21"/>
      <c r="V175" s="14"/>
      <c r="W175" s="14"/>
      <c r="X175" s="15"/>
      <c r="Y175" s="16"/>
      <c r="Z175" s="14"/>
      <c r="AA175" s="17"/>
      <c r="AC175" s="14"/>
      <c r="AD175" s="14"/>
      <c r="AE175" s="15"/>
      <c r="AF175" s="16"/>
      <c r="AG175" s="14"/>
      <c r="AH175" s="17"/>
      <c r="AJ175" s="14"/>
      <c r="AK175" s="14"/>
      <c r="AL175" s="14"/>
      <c r="AM175" s="17"/>
      <c r="AN175" s="15"/>
    </row>
    <row r="176" customFormat="false" ht="15" hidden="false" customHeight="false" outlineLevel="0" collapsed="false">
      <c r="A176" s="19" t="str">
        <f aca="true">IF($B176="","",IF(AND(A176&lt;&gt;"",A176&lt;&gt;0),A176,TODAY()))</f>
        <v/>
      </c>
      <c r="B176" s="20"/>
      <c r="C176" s="21"/>
      <c r="D176" s="21"/>
      <c r="E176" s="21"/>
      <c r="F176" s="21"/>
      <c r="G176" s="21"/>
      <c r="H176" s="22"/>
      <c r="I176" s="22"/>
      <c r="J176" s="22"/>
      <c r="K176" s="23" t="str">
        <f aca="false">IF($B176="","",IF(AND(I176="",J176=""),"",I176+J176))</f>
        <v/>
      </c>
      <c r="L176" s="23" t="str">
        <f aca="false">IF(OR($B176="",K176=""),"",K176-H176)</f>
        <v/>
      </c>
      <c r="M176" s="24" t="str">
        <f aca="false">IF($B176="","",IF(AND(I176="",J176=""),"Not Counted",IF(OR(I176="",J176=""),"Partially Counted",IF(L176=0,"Match",IF(L176&gt;0,"Overage","Shortage")))))</f>
        <v/>
      </c>
      <c r="N176" s="24" t="str">
        <f aca="false">IF($B176="","",IF(AND(N176&lt;&gt;"",N176&lt;&gt;0),N176,$B$4))</f>
        <v/>
      </c>
      <c r="O176" s="21"/>
      <c r="P176" s="21"/>
      <c r="Q176" s="21"/>
      <c r="V176" s="14"/>
      <c r="W176" s="14"/>
      <c r="X176" s="15"/>
      <c r="Y176" s="16"/>
      <c r="Z176" s="14"/>
      <c r="AA176" s="17"/>
      <c r="AC176" s="14"/>
      <c r="AD176" s="14"/>
      <c r="AE176" s="15"/>
      <c r="AF176" s="16"/>
      <c r="AG176" s="14"/>
      <c r="AH176" s="17"/>
      <c r="AJ176" s="14"/>
      <c r="AK176" s="14"/>
      <c r="AL176" s="14"/>
      <c r="AM176" s="17"/>
      <c r="AN176" s="15"/>
    </row>
    <row r="177" customFormat="false" ht="15" hidden="false" customHeight="false" outlineLevel="0" collapsed="false">
      <c r="A177" s="19" t="str">
        <f aca="true">IF($B177="","",IF(AND(A177&lt;&gt;"",A177&lt;&gt;0),A177,TODAY()))</f>
        <v/>
      </c>
      <c r="B177" s="20"/>
      <c r="C177" s="21"/>
      <c r="D177" s="21"/>
      <c r="E177" s="21"/>
      <c r="F177" s="21"/>
      <c r="G177" s="21"/>
      <c r="H177" s="22"/>
      <c r="I177" s="22"/>
      <c r="J177" s="22"/>
      <c r="K177" s="23" t="str">
        <f aca="false">IF($B177="","",IF(AND(I177="",J177=""),"",I177+J177))</f>
        <v/>
      </c>
      <c r="L177" s="23" t="str">
        <f aca="false">IF(OR($B177="",K177=""),"",K177-H177)</f>
        <v/>
      </c>
      <c r="M177" s="24" t="str">
        <f aca="false">IF($B177="","",IF(AND(I177="",J177=""),"Not Counted",IF(OR(I177="",J177=""),"Partially Counted",IF(L177=0,"Match",IF(L177&gt;0,"Overage","Shortage")))))</f>
        <v/>
      </c>
      <c r="N177" s="24" t="str">
        <f aca="false">IF($B177="","",IF(AND(N177&lt;&gt;"",N177&lt;&gt;0),N177,$B$4))</f>
        <v/>
      </c>
      <c r="O177" s="21"/>
      <c r="P177" s="21"/>
      <c r="Q177" s="21"/>
      <c r="V177" s="14"/>
      <c r="W177" s="14"/>
      <c r="X177" s="15"/>
      <c r="Y177" s="16"/>
      <c r="Z177" s="14"/>
      <c r="AA177" s="17"/>
      <c r="AC177" s="14"/>
      <c r="AD177" s="14"/>
      <c r="AE177" s="15"/>
      <c r="AF177" s="16"/>
      <c r="AG177" s="14"/>
      <c r="AH177" s="17"/>
      <c r="AJ177" s="14"/>
      <c r="AK177" s="14"/>
      <c r="AL177" s="14"/>
      <c r="AM177" s="17"/>
      <c r="AN177" s="15"/>
    </row>
    <row r="178" customFormat="false" ht="15" hidden="false" customHeight="false" outlineLevel="0" collapsed="false">
      <c r="A178" s="19" t="str">
        <f aca="true">IF($B178="","",IF(AND(A178&lt;&gt;"",A178&lt;&gt;0),A178,TODAY()))</f>
        <v/>
      </c>
      <c r="B178" s="20"/>
      <c r="C178" s="21"/>
      <c r="D178" s="21"/>
      <c r="E178" s="21"/>
      <c r="F178" s="21"/>
      <c r="G178" s="21"/>
      <c r="H178" s="22"/>
      <c r="I178" s="22"/>
      <c r="J178" s="22"/>
      <c r="K178" s="23" t="str">
        <f aca="false">IF($B178="","",IF(AND(I178="",J178=""),"",I178+J178))</f>
        <v/>
      </c>
      <c r="L178" s="23" t="str">
        <f aca="false">IF(OR($B178="",K178=""),"",K178-H178)</f>
        <v/>
      </c>
      <c r="M178" s="24" t="str">
        <f aca="false">IF($B178="","",IF(AND(I178="",J178=""),"Not Counted",IF(OR(I178="",J178=""),"Partially Counted",IF(L178=0,"Match",IF(L178&gt;0,"Overage","Shortage")))))</f>
        <v/>
      </c>
      <c r="N178" s="24" t="str">
        <f aca="false">IF($B178="","",IF(AND(N178&lt;&gt;"",N178&lt;&gt;0),N178,$B$4))</f>
        <v/>
      </c>
      <c r="O178" s="21"/>
      <c r="P178" s="21"/>
      <c r="Q178" s="21"/>
      <c r="V178" s="14"/>
      <c r="W178" s="14"/>
      <c r="X178" s="15"/>
      <c r="Y178" s="16"/>
      <c r="Z178" s="14"/>
      <c r="AA178" s="17"/>
      <c r="AC178" s="14"/>
      <c r="AD178" s="14"/>
      <c r="AE178" s="15"/>
      <c r="AF178" s="16"/>
      <c r="AG178" s="14"/>
      <c r="AH178" s="17"/>
      <c r="AJ178" s="14"/>
      <c r="AK178" s="14"/>
      <c r="AL178" s="14"/>
      <c r="AM178" s="17"/>
      <c r="AN178" s="15"/>
    </row>
    <row r="179" customFormat="false" ht="15" hidden="false" customHeight="false" outlineLevel="0" collapsed="false">
      <c r="A179" s="19" t="str">
        <f aca="true">IF($B179="","",IF(AND(A179&lt;&gt;"",A179&lt;&gt;0),A179,TODAY()))</f>
        <v/>
      </c>
      <c r="B179" s="20"/>
      <c r="C179" s="21"/>
      <c r="D179" s="21"/>
      <c r="E179" s="21"/>
      <c r="F179" s="21"/>
      <c r="G179" s="21"/>
      <c r="H179" s="22"/>
      <c r="I179" s="22"/>
      <c r="J179" s="22"/>
      <c r="K179" s="23" t="str">
        <f aca="false">IF($B179="","",IF(AND(I179="",J179=""),"",I179+J179))</f>
        <v/>
      </c>
      <c r="L179" s="23" t="str">
        <f aca="false">IF(OR($B179="",K179=""),"",K179-H179)</f>
        <v/>
      </c>
      <c r="M179" s="24" t="str">
        <f aca="false">IF($B179="","",IF(AND(I179="",J179=""),"Not Counted",IF(OR(I179="",J179=""),"Partially Counted",IF(L179=0,"Match",IF(L179&gt;0,"Overage","Shortage")))))</f>
        <v/>
      </c>
      <c r="N179" s="24" t="str">
        <f aca="false">IF($B179="","",IF(AND(N179&lt;&gt;"",N179&lt;&gt;0),N179,$B$4))</f>
        <v/>
      </c>
      <c r="O179" s="21"/>
      <c r="P179" s="21"/>
      <c r="Q179" s="21"/>
      <c r="V179" s="14"/>
      <c r="W179" s="14"/>
      <c r="X179" s="15"/>
      <c r="Y179" s="16"/>
      <c r="Z179" s="14"/>
      <c r="AA179" s="17"/>
      <c r="AC179" s="14"/>
      <c r="AD179" s="14"/>
      <c r="AE179" s="15"/>
      <c r="AF179" s="16"/>
      <c r="AG179" s="14"/>
      <c r="AH179" s="17"/>
      <c r="AJ179" s="14"/>
      <c r="AK179" s="14"/>
      <c r="AL179" s="14"/>
      <c r="AM179" s="17"/>
      <c r="AN179" s="15"/>
    </row>
    <row r="180" customFormat="false" ht="15" hidden="false" customHeight="false" outlineLevel="0" collapsed="false">
      <c r="A180" s="19" t="str">
        <f aca="true">IF($B180="","",IF(AND(A180&lt;&gt;"",A180&lt;&gt;0),A180,TODAY()))</f>
        <v/>
      </c>
      <c r="B180" s="20"/>
      <c r="C180" s="21"/>
      <c r="D180" s="21"/>
      <c r="E180" s="21"/>
      <c r="F180" s="21"/>
      <c r="G180" s="21"/>
      <c r="H180" s="22"/>
      <c r="I180" s="22"/>
      <c r="J180" s="22"/>
      <c r="K180" s="23" t="str">
        <f aca="false">IF($B180="","",IF(AND(I180="",J180=""),"",I180+J180))</f>
        <v/>
      </c>
      <c r="L180" s="23" t="str">
        <f aca="false">IF(OR($B180="",K180=""),"",K180-H180)</f>
        <v/>
      </c>
      <c r="M180" s="24" t="str">
        <f aca="false">IF($B180="","",IF(AND(I180="",J180=""),"Not Counted",IF(OR(I180="",J180=""),"Partially Counted",IF(L180=0,"Match",IF(L180&gt;0,"Overage","Shortage")))))</f>
        <v/>
      </c>
      <c r="N180" s="24" t="str">
        <f aca="false">IF($B180="","",IF(AND(N180&lt;&gt;"",N180&lt;&gt;0),N180,$B$4))</f>
        <v/>
      </c>
      <c r="O180" s="21"/>
      <c r="P180" s="21"/>
      <c r="Q180" s="21"/>
      <c r="V180" s="14"/>
      <c r="W180" s="14"/>
      <c r="X180" s="15"/>
      <c r="Y180" s="16"/>
      <c r="Z180" s="14"/>
      <c r="AA180" s="17"/>
      <c r="AC180" s="14"/>
      <c r="AD180" s="14"/>
      <c r="AE180" s="15"/>
      <c r="AF180" s="16"/>
      <c r="AG180" s="14"/>
      <c r="AH180" s="17"/>
      <c r="AJ180" s="14"/>
      <c r="AK180" s="14"/>
      <c r="AL180" s="14"/>
      <c r="AM180" s="17"/>
      <c r="AN180" s="15"/>
    </row>
    <row r="181" customFormat="false" ht="15" hidden="false" customHeight="false" outlineLevel="0" collapsed="false">
      <c r="A181" s="19" t="str">
        <f aca="true">IF($B181="","",IF(AND(A181&lt;&gt;"",A181&lt;&gt;0),A181,TODAY()))</f>
        <v/>
      </c>
      <c r="B181" s="20"/>
      <c r="C181" s="21"/>
      <c r="D181" s="21"/>
      <c r="E181" s="21"/>
      <c r="F181" s="21"/>
      <c r="G181" s="21"/>
      <c r="H181" s="22"/>
      <c r="I181" s="22"/>
      <c r="J181" s="22"/>
      <c r="K181" s="23" t="str">
        <f aca="false">IF($B181="","",IF(AND(I181="",J181=""),"",I181+J181))</f>
        <v/>
      </c>
      <c r="L181" s="23" t="str">
        <f aca="false">IF(OR($B181="",K181=""),"",K181-H181)</f>
        <v/>
      </c>
      <c r="M181" s="24" t="str">
        <f aca="false">IF($B181="","",IF(AND(I181="",J181=""),"Not Counted",IF(OR(I181="",J181=""),"Partially Counted",IF(L181=0,"Match",IF(L181&gt;0,"Overage","Shortage")))))</f>
        <v/>
      </c>
      <c r="N181" s="24" t="str">
        <f aca="false">IF($B181="","",IF(AND(N181&lt;&gt;"",N181&lt;&gt;0),N181,$B$4))</f>
        <v/>
      </c>
      <c r="O181" s="21"/>
      <c r="P181" s="21"/>
      <c r="Q181" s="21"/>
      <c r="V181" s="14"/>
      <c r="W181" s="14"/>
      <c r="X181" s="15"/>
      <c r="Y181" s="16"/>
      <c r="Z181" s="14"/>
      <c r="AA181" s="17"/>
      <c r="AC181" s="14"/>
      <c r="AD181" s="14"/>
      <c r="AE181" s="15"/>
      <c r="AF181" s="16"/>
      <c r="AG181" s="14"/>
      <c r="AH181" s="17"/>
      <c r="AJ181" s="14"/>
      <c r="AK181" s="14"/>
      <c r="AL181" s="14"/>
      <c r="AM181" s="17"/>
      <c r="AN181" s="15"/>
    </row>
    <row r="182" customFormat="false" ht="15" hidden="false" customHeight="false" outlineLevel="0" collapsed="false">
      <c r="A182" s="19" t="str">
        <f aca="true">IF($B182="","",IF(AND(A182&lt;&gt;"",A182&lt;&gt;0),A182,TODAY()))</f>
        <v/>
      </c>
      <c r="B182" s="20"/>
      <c r="C182" s="21"/>
      <c r="D182" s="21"/>
      <c r="E182" s="21"/>
      <c r="F182" s="21"/>
      <c r="G182" s="21"/>
      <c r="H182" s="22"/>
      <c r="I182" s="22"/>
      <c r="J182" s="22"/>
      <c r="K182" s="23" t="str">
        <f aca="false">IF($B182="","",IF(AND(I182="",J182=""),"",I182+J182))</f>
        <v/>
      </c>
      <c r="L182" s="23" t="str">
        <f aca="false">IF(OR($B182="",K182=""),"",K182-H182)</f>
        <v/>
      </c>
      <c r="M182" s="24" t="str">
        <f aca="false">IF($B182="","",IF(AND(I182="",J182=""),"Not Counted",IF(OR(I182="",J182=""),"Partially Counted",IF(L182=0,"Match",IF(L182&gt;0,"Overage","Shortage")))))</f>
        <v/>
      </c>
      <c r="N182" s="24" t="str">
        <f aca="false">IF($B182="","",IF(AND(N182&lt;&gt;"",N182&lt;&gt;0),N182,$B$4))</f>
        <v/>
      </c>
      <c r="O182" s="21"/>
      <c r="P182" s="21"/>
      <c r="Q182" s="21"/>
      <c r="V182" s="14"/>
      <c r="W182" s="14"/>
      <c r="X182" s="15"/>
      <c r="Y182" s="16"/>
      <c r="Z182" s="14"/>
      <c r="AA182" s="17"/>
      <c r="AC182" s="14"/>
      <c r="AD182" s="14"/>
      <c r="AE182" s="15"/>
      <c r="AF182" s="16"/>
      <c r="AG182" s="14"/>
      <c r="AH182" s="17"/>
      <c r="AJ182" s="14"/>
      <c r="AK182" s="14"/>
      <c r="AL182" s="14"/>
      <c r="AM182" s="17"/>
      <c r="AN182" s="15"/>
    </row>
    <row r="183" customFormat="false" ht="15" hidden="false" customHeight="false" outlineLevel="0" collapsed="false">
      <c r="A183" s="19" t="str">
        <f aca="true">IF($B183="","",IF(AND(A183&lt;&gt;"",A183&lt;&gt;0),A183,TODAY()))</f>
        <v/>
      </c>
      <c r="B183" s="20"/>
      <c r="C183" s="21"/>
      <c r="D183" s="21"/>
      <c r="E183" s="21"/>
      <c r="F183" s="21"/>
      <c r="G183" s="21"/>
      <c r="H183" s="22"/>
      <c r="I183" s="22"/>
      <c r="J183" s="22"/>
      <c r="K183" s="23" t="str">
        <f aca="false">IF($B183="","",IF(AND(I183="",J183=""),"",I183+J183))</f>
        <v/>
      </c>
      <c r="L183" s="23" t="str">
        <f aca="false">IF(OR($B183="",K183=""),"",K183-H183)</f>
        <v/>
      </c>
      <c r="M183" s="24" t="str">
        <f aca="false">IF($B183="","",IF(AND(I183="",J183=""),"Not Counted",IF(OR(I183="",J183=""),"Partially Counted",IF(L183=0,"Match",IF(L183&gt;0,"Overage","Shortage")))))</f>
        <v/>
      </c>
      <c r="N183" s="24" t="str">
        <f aca="false">IF($B183="","",IF(AND(N183&lt;&gt;"",N183&lt;&gt;0),N183,$B$4))</f>
        <v/>
      </c>
      <c r="O183" s="21"/>
      <c r="P183" s="21"/>
      <c r="Q183" s="21"/>
      <c r="V183" s="14"/>
      <c r="W183" s="14"/>
      <c r="X183" s="15"/>
      <c r="Y183" s="16"/>
      <c r="Z183" s="14"/>
      <c r="AA183" s="17"/>
      <c r="AC183" s="14"/>
      <c r="AD183" s="14"/>
      <c r="AE183" s="15"/>
      <c r="AF183" s="16"/>
      <c r="AG183" s="14"/>
      <c r="AH183" s="17"/>
      <c r="AJ183" s="14"/>
      <c r="AK183" s="14"/>
      <c r="AL183" s="14"/>
      <c r="AM183" s="17"/>
      <c r="AN183" s="15"/>
    </row>
    <row r="184" customFormat="false" ht="15" hidden="false" customHeight="false" outlineLevel="0" collapsed="false">
      <c r="A184" s="19" t="str">
        <f aca="true">IF($B184="","",IF(AND(A184&lt;&gt;"",A184&lt;&gt;0),A184,TODAY()))</f>
        <v/>
      </c>
      <c r="B184" s="20"/>
      <c r="C184" s="21"/>
      <c r="D184" s="21"/>
      <c r="E184" s="21"/>
      <c r="F184" s="21"/>
      <c r="G184" s="21"/>
      <c r="H184" s="22"/>
      <c r="I184" s="22"/>
      <c r="J184" s="22"/>
      <c r="K184" s="23" t="str">
        <f aca="false">IF($B184="","",IF(AND(I184="",J184=""),"",I184+J184))</f>
        <v/>
      </c>
      <c r="L184" s="23" t="str">
        <f aca="false">IF(OR($B184="",K184=""),"",K184-H184)</f>
        <v/>
      </c>
      <c r="M184" s="24" t="str">
        <f aca="false">IF($B184="","",IF(AND(I184="",J184=""),"Not Counted",IF(OR(I184="",J184=""),"Partially Counted",IF(L184=0,"Match",IF(L184&gt;0,"Overage","Shortage")))))</f>
        <v/>
      </c>
      <c r="N184" s="24" t="str">
        <f aca="false">IF($B184="","",IF(AND(N184&lt;&gt;"",N184&lt;&gt;0),N184,$B$4))</f>
        <v/>
      </c>
      <c r="O184" s="21"/>
      <c r="P184" s="21"/>
      <c r="Q184" s="21"/>
      <c r="V184" s="14"/>
      <c r="W184" s="14"/>
      <c r="X184" s="15"/>
      <c r="Y184" s="16"/>
      <c r="Z184" s="14"/>
      <c r="AA184" s="17"/>
      <c r="AC184" s="14"/>
      <c r="AD184" s="14"/>
      <c r="AE184" s="15"/>
      <c r="AF184" s="16"/>
      <c r="AG184" s="14"/>
      <c r="AH184" s="17"/>
      <c r="AJ184" s="14"/>
      <c r="AK184" s="14"/>
      <c r="AL184" s="14"/>
      <c r="AM184" s="17"/>
      <c r="AN184" s="15"/>
    </row>
    <row r="185" customFormat="false" ht="15" hidden="false" customHeight="false" outlineLevel="0" collapsed="false">
      <c r="A185" s="19" t="str">
        <f aca="true">IF($B185="","",IF(AND(A185&lt;&gt;"",A185&lt;&gt;0),A185,TODAY()))</f>
        <v/>
      </c>
      <c r="B185" s="20"/>
      <c r="C185" s="21"/>
      <c r="D185" s="21"/>
      <c r="E185" s="21"/>
      <c r="F185" s="21"/>
      <c r="G185" s="21"/>
      <c r="H185" s="22"/>
      <c r="I185" s="22"/>
      <c r="J185" s="22"/>
      <c r="K185" s="23" t="str">
        <f aca="false">IF($B185="","",IF(AND(I185="",J185=""),"",I185+J185))</f>
        <v/>
      </c>
      <c r="L185" s="23" t="str">
        <f aca="false">IF(OR($B185="",K185=""),"",K185-H185)</f>
        <v/>
      </c>
      <c r="M185" s="24" t="str">
        <f aca="false">IF($B185="","",IF(AND(I185="",J185=""),"Not Counted",IF(OR(I185="",J185=""),"Partially Counted",IF(L185=0,"Match",IF(L185&gt;0,"Overage","Shortage")))))</f>
        <v/>
      </c>
      <c r="N185" s="24" t="str">
        <f aca="false">IF($B185="","",IF(AND(N185&lt;&gt;"",N185&lt;&gt;0),N185,$B$4))</f>
        <v/>
      </c>
      <c r="O185" s="21"/>
      <c r="P185" s="21"/>
      <c r="Q185" s="21"/>
      <c r="V185" s="14"/>
      <c r="W185" s="14"/>
      <c r="X185" s="15"/>
      <c r="Y185" s="16"/>
      <c r="Z185" s="14"/>
      <c r="AA185" s="17"/>
      <c r="AC185" s="14"/>
      <c r="AD185" s="14"/>
      <c r="AE185" s="15"/>
      <c r="AF185" s="16"/>
      <c r="AG185" s="14"/>
      <c r="AH185" s="17"/>
      <c r="AJ185" s="14"/>
      <c r="AK185" s="14"/>
      <c r="AL185" s="14"/>
      <c r="AM185" s="17"/>
      <c r="AN185" s="15"/>
    </row>
    <row r="186" customFormat="false" ht="15" hidden="false" customHeight="false" outlineLevel="0" collapsed="false">
      <c r="A186" s="19" t="str">
        <f aca="true">IF($B186="","",IF(AND(A186&lt;&gt;"",A186&lt;&gt;0),A186,TODAY()))</f>
        <v/>
      </c>
      <c r="B186" s="20"/>
      <c r="C186" s="21"/>
      <c r="D186" s="21"/>
      <c r="E186" s="21"/>
      <c r="F186" s="21"/>
      <c r="G186" s="21"/>
      <c r="H186" s="22"/>
      <c r="I186" s="22"/>
      <c r="J186" s="22"/>
      <c r="K186" s="23" t="str">
        <f aca="false">IF($B186="","",IF(AND(I186="",J186=""),"",I186+J186))</f>
        <v/>
      </c>
      <c r="L186" s="23" t="str">
        <f aca="false">IF(OR($B186="",K186=""),"",K186-H186)</f>
        <v/>
      </c>
      <c r="M186" s="24" t="str">
        <f aca="false">IF($B186="","",IF(AND(I186="",J186=""),"Not Counted",IF(OR(I186="",J186=""),"Partially Counted",IF(L186=0,"Match",IF(L186&gt;0,"Overage","Shortage")))))</f>
        <v/>
      </c>
      <c r="N186" s="24" t="str">
        <f aca="false">IF($B186="","",IF(AND(N186&lt;&gt;"",N186&lt;&gt;0),N186,$B$4))</f>
        <v/>
      </c>
      <c r="O186" s="21"/>
      <c r="P186" s="21"/>
      <c r="Q186" s="21"/>
      <c r="V186" s="14"/>
      <c r="W186" s="14"/>
      <c r="X186" s="15"/>
      <c r="Y186" s="16"/>
      <c r="Z186" s="14"/>
      <c r="AA186" s="17"/>
      <c r="AC186" s="14"/>
      <c r="AD186" s="14"/>
      <c r="AE186" s="15"/>
      <c r="AF186" s="16"/>
      <c r="AG186" s="14"/>
      <c r="AH186" s="17"/>
      <c r="AJ186" s="14"/>
      <c r="AK186" s="14"/>
      <c r="AL186" s="14"/>
      <c r="AM186" s="17"/>
      <c r="AN186" s="15"/>
    </row>
    <row r="187" customFormat="false" ht="15" hidden="false" customHeight="false" outlineLevel="0" collapsed="false">
      <c r="A187" s="19" t="str">
        <f aca="true">IF($B187="","",IF(AND(A187&lt;&gt;"",A187&lt;&gt;0),A187,TODAY()))</f>
        <v/>
      </c>
      <c r="B187" s="20"/>
      <c r="C187" s="21"/>
      <c r="D187" s="21"/>
      <c r="E187" s="21"/>
      <c r="F187" s="21"/>
      <c r="G187" s="21"/>
      <c r="H187" s="22"/>
      <c r="I187" s="22"/>
      <c r="J187" s="22"/>
      <c r="K187" s="23" t="str">
        <f aca="false">IF($B187="","",IF(AND(I187="",J187=""),"",I187+J187))</f>
        <v/>
      </c>
      <c r="L187" s="23" t="str">
        <f aca="false">IF(OR($B187="",K187=""),"",K187-H187)</f>
        <v/>
      </c>
      <c r="M187" s="24" t="str">
        <f aca="false">IF($B187="","",IF(AND(I187="",J187=""),"Not Counted",IF(OR(I187="",J187=""),"Partially Counted",IF(L187=0,"Match",IF(L187&gt;0,"Overage","Shortage")))))</f>
        <v/>
      </c>
      <c r="N187" s="24" t="str">
        <f aca="false">IF($B187="","",IF(AND(N187&lt;&gt;"",N187&lt;&gt;0),N187,$B$4))</f>
        <v/>
      </c>
      <c r="O187" s="21"/>
      <c r="P187" s="21"/>
      <c r="Q187" s="21"/>
      <c r="V187" s="14"/>
      <c r="W187" s="14"/>
      <c r="X187" s="15"/>
      <c r="Y187" s="16"/>
      <c r="Z187" s="14"/>
      <c r="AA187" s="17"/>
      <c r="AC187" s="14"/>
      <c r="AD187" s="14"/>
      <c r="AE187" s="15"/>
      <c r="AF187" s="16"/>
      <c r="AG187" s="14"/>
      <c r="AH187" s="17"/>
      <c r="AJ187" s="14"/>
      <c r="AK187" s="14"/>
      <c r="AL187" s="14"/>
      <c r="AM187" s="17"/>
      <c r="AN187" s="15"/>
    </row>
    <row r="188" customFormat="false" ht="15" hidden="false" customHeight="false" outlineLevel="0" collapsed="false">
      <c r="A188" s="19" t="str">
        <f aca="true">IF($B188="","",IF(AND(A188&lt;&gt;"",A188&lt;&gt;0),A188,TODAY()))</f>
        <v/>
      </c>
      <c r="B188" s="20"/>
      <c r="C188" s="21"/>
      <c r="D188" s="21"/>
      <c r="E188" s="21"/>
      <c r="F188" s="21"/>
      <c r="G188" s="21"/>
      <c r="H188" s="22"/>
      <c r="I188" s="22"/>
      <c r="J188" s="22"/>
      <c r="K188" s="23" t="str">
        <f aca="false">IF($B188="","",IF(AND(I188="",J188=""),"",I188+J188))</f>
        <v/>
      </c>
      <c r="L188" s="23" t="str">
        <f aca="false">IF(OR($B188="",K188=""),"",K188-H188)</f>
        <v/>
      </c>
      <c r="M188" s="24" t="str">
        <f aca="false">IF($B188="","",IF(AND(I188="",J188=""),"Not Counted",IF(OR(I188="",J188=""),"Partially Counted",IF(L188=0,"Match",IF(L188&gt;0,"Overage","Shortage")))))</f>
        <v/>
      </c>
      <c r="N188" s="24" t="str">
        <f aca="false">IF($B188="","",IF(AND(N188&lt;&gt;"",N188&lt;&gt;0),N188,$B$4))</f>
        <v/>
      </c>
      <c r="O188" s="21"/>
      <c r="P188" s="21"/>
      <c r="Q188" s="21"/>
      <c r="V188" s="14"/>
      <c r="W188" s="14"/>
      <c r="X188" s="15"/>
      <c r="Y188" s="16"/>
      <c r="Z188" s="14"/>
      <c r="AA188" s="17"/>
      <c r="AC188" s="14"/>
      <c r="AD188" s="14"/>
      <c r="AE188" s="15"/>
      <c r="AF188" s="16"/>
      <c r="AG188" s="14"/>
      <c r="AH188" s="17"/>
      <c r="AJ188" s="14"/>
      <c r="AK188" s="14"/>
      <c r="AL188" s="14"/>
      <c r="AM188" s="17"/>
      <c r="AN188" s="15"/>
    </row>
    <row r="189" customFormat="false" ht="15" hidden="false" customHeight="false" outlineLevel="0" collapsed="false">
      <c r="A189" s="19" t="str">
        <f aca="true">IF($B189="","",IF(AND(A189&lt;&gt;"",A189&lt;&gt;0),A189,TODAY()))</f>
        <v/>
      </c>
      <c r="B189" s="20"/>
      <c r="C189" s="21"/>
      <c r="D189" s="21"/>
      <c r="E189" s="21"/>
      <c r="F189" s="21"/>
      <c r="G189" s="21"/>
      <c r="H189" s="22"/>
      <c r="I189" s="22"/>
      <c r="J189" s="22"/>
      <c r="K189" s="23" t="str">
        <f aca="false">IF($B189="","",IF(AND(I189="",J189=""),"",I189+J189))</f>
        <v/>
      </c>
      <c r="L189" s="23" t="str">
        <f aca="false">IF(OR($B189="",K189=""),"",K189-H189)</f>
        <v/>
      </c>
      <c r="M189" s="24" t="str">
        <f aca="false">IF($B189="","",IF(AND(I189="",J189=""),"Not Counted",IF(OR(I189="",J189=""),"Partially Counted",IF(L189=0,"Match",IF(L189&gt;0,"Overage","Shortage")))))</f>
        <v/>
      </c>
      <c r="N189" s="24" t="str">
        <f aca="false">IF($B189="","",IF(AND(N189&lt;&gt;"",N189&lt;&gt;0),N189,$B$4))</f>
        <v/>
      </c>
      <c r="O189" s="21"/>
      <c r="P189" s="21"/>
      <c r="Q189" s="21"/>
      <c r="V189" s="14"/>
      <c r="W189" s="14"/>
      <c r="X189" s="15"/>
      <c r="Y189" s="16"/>
      <c r="Z189" s="14"/>
      <c r="AA189" s="17"/>
      <c r="AC189" s="14"/>
      <c r="AD189" s="14"/>
      <c r="AE189" s="15"/>
      <c r="AF189" s="16"/>
      <c r="AG189" s="14"/>
      <c r="AH189" s="17"/>
      <c r="AJ189" s="14"/>
      <c r="AK189" s="14"/>
      <c r="AL189" s="14"/>
      <c r="AM189" s="17"/>
      <c r="AN189" s="15"/>
    </row>
    <row r="190" customFormat="false" ht="15" hidden="false" customHeight="false" outlineLevel="0" collapsed="false">
      <c r="A190" s="19" t="str">
        <f aca="true">IF($B190="","",IF(AND(A190&lt;&gt;"",A190&lt;&gt;0),A190,TODAY()))</f>
        <v/>
      </c>
      <c r="B190" s="20"/>
      <c r="C190" s="21"/>
      <c r="D190" s="21"/>
      <c r="E190" s="21"/>
      <c r="F190" s="21"/>
      <c r="G190" s="21"/>
      <c r="H190" s="22"/>
      <c r="I190" s="22"/>
      <c r="J190" s="22"/>
      <c r="K190" s="23" t="str">
        <f aca="false">IF($B190="","",IF(AND(I190="",J190=""),"",I190+J190))</f>
        <v/>
      </c>
      <c r="L190" s="23" t="str">
        <f aca="false">IF(OR($B190="",K190=""),"",K190-H190)</f>
        <v/>
      </c>
      <c r="M190" s="24" t="str">
        <f aca="false">IF($B190="","",IF(AND(I190="",J190=""),"Not Counted",IF(OR(I190="",J190=""),"Partially Counted",IF(L190=0,"Match",IF(L190&gt;0,"Overage","Shortage")))))</f>
        <v/>
      </c>
      <c r="N190" s="24" t="str">
        <f aca="false">IF($B190="","",IF(AND(N190&lt;&gt;"",N190&lt;&gt;0),N190,$B$4))</f>
        <v/>
      </c>
      <c r="O190" s="21"/>
      <c r="P190" s="21"/>
      <c r="Q190" s="21"/>
      <c r="V190" s="14"/>
      <c r="W190" s="14"/>
      <c r="X190" s="15"/>
      <c r="Y190" s="16"/>
      <c r="Z190" s="14"/>
      <c r="AA190" s="17"/>
      <c r="AC190" s="14"/>
      <c r="AD190" s="14"/>
      <c r="AE190" s="15"/>
      <c r="AF190" s="16"/>
      <c r="AG190" s="14"/>
      <c r="AH190" s="17"/>
      <c r="AJ190" s="14"/>
      <c r="AK190" s="14"/>
      <c r="AL190" s="14"/>
      <c r="AM190" s="17"/>
      <c r="AN190" s="15"/>
    </row>
    <row r="191" customFormat="false" ht="15" hidden="false" customHeight="false" outlineLevel="0" collapsed="false">
      <c r="A191" s="19" t="str">
        <f aca="true">IF($B191="","",IF(AND(A191&lt;&gt;"",A191&lt;&gt;0),A191,TODAY()))</f>
        <v/>
      </c>
      <c r="B191" s="20"/>
      <c r="C191" s="21"/>
      <c r="D191" s="21"/>
      <c r="E191" s="21"/>
      <c r="F191" s="21"/>
      <c r="G191" s="21"/>
      <c r="H191" s="22"/>
      <c r="I191" s="22"/>
      <c r="J191" s="22"/>
      <c r="K191" s="23" t="str">
        <f aca="false">IF($B191="","",IF(AND(I191="",J191=""),"",I191+J191))</f>
        <v/>
      </c>
      <c r="L191" s="23" t="str">
        <f aca="false">IF(OR($B191="",K191=""),"",K191-H191)</f>
        <v/>
      </c>
      <c r="M191" s="24" t="str">
        <f aca="false">IF($B191="","",IF(AND(I191="",J191=""),"Not Counted",IF(OR(I191="",J191=""),"Partially Counted",IF(L191=0,"Match",IF(L191&gt;0,"Overage","Shortage")))))</f>
        <v/>
      </c>
      <c r="N191" s="24" t="str">
        <f aca="false">IF($B191="","",IF(AND(N191&lt;&gt;"",N191&lt;&gt;0),N191,$B$4))</f>
        <v/>
      </c>
      <c r="O191" s="21"/>
      <c r="P191" s="21"/>
      <c r="Q191" s="21"/>
      <c r="V191" s="14"/>
      <c r="W191" s="14"/>
      <c r="X191" s="15"/>
      <c r="Y191" s="16"/>
      <c r="Z191" s="14"/>
      <c r="AA191" s="17"/>
      <c r="AC191" s="14"/>
      <c r="AD191" s="14"/>
      <c r="AE191" s="15"/>
      <c r="AF191" s="16"/>
      <c r="AG191" s="14"/>
      <c r="AH191" s="17"/>
      <c r="AJ191" s="14"/>
      <c r="AK191" s="14"/>
      <c r="AL191" s="14"/>
      <c r="AM191" s="17"/>
      <c r="AN191" s="15"/>
    </row>
    <row r="192" customFormat="false" ht="15" hidden="false" customHeight="false" outlineLevel="0" collapsed="false">
      <c r="A192" s="19" t="str">
        <f aca="true">IF($B192="","",IF(AND(A192&lt;&gt;"",A192&lt;&gt;0),A192,TODAY()))</f>
        <v/>
      </c>
      <c r="B192" s="20"/>
      <c r="C192" s="21"/>
      <c r="D192" s="21"/>
      <c r="E192" s="21"/>
      <c r="F192" s="21"/>
      <c r="G192" s="21"/>
      <c r="H192" s="22"/>
      <c r="I192" s="22"/>
      <c r="J192" s="22"/>
      <c r="K192" s="23" t="str">
        <f aca="false">IF($B192="","",IF(AND(I192="",J192=""),"",I192+J192))</f>
        <v/>
      </c>
      <c r="L192" s="23" t="str">
        <f aca="false">IF(OR($B192="",K192=""),"",K192-H192)</f>
        <v/>
      </c>
      <c r="M192" s="24" t="str">
        <f aca="false">IF($B192="","",IF(AND(I192="",J192=""),"Not Counted",IF(OR(I192="",J192=""),"Partially Counted",IF(L192=0,"Match",IF(L192&gt;0,"Overage","Shortage")))))</f>
        <v/>
      </c>
      <c r="N192" s="24" t="str">
        <f aca="false">IF($B192="","",IF(AND(N192&lt;&gt;"",N192&lt;&gt;0),N192,$B$4))</f>
        <v/>
      </c>
      <c r="O192" s="21"/>
      <c r="P192" s="21"/>
      <c r="Q192" s="21"/>
      <c r="V192" s="14"/>
      <c r="W192" s="14"/>
      <c r="X192" s="15"/>
      <c r="Y192" s="16"/>
      <c r="Z192" s="14"/>
      <c r="AA192" s="17"/>
      <c r="AC192" s="14"/>
      <c r="AD192" s="14"/>
      <c r="AE192" s="15"/>
      <c r="AF192" s="16"/>
      <c r="AG192" s="14"/>
      <c r="AH192" s="17"/>
      <c r="AJ192" s="14"/>
      <c r="AK192" s="14"/>
      <c r="AL192" s="14"/>
      <c r="AM192" s="17"/>
      <c r="AN192" s="15"/>
    </row>
    <row r="193" customFormat="false" ht="15" hidden="false" customHeight="false" outlineLevel="0" collapsed="false">
      <c r="A193" s="19" t="str">
        <f aca="true">IF($B193="","",IF(AND(A193&lt;&gt;"",A193&lt;&gt;0),A193,TODAY()))</f>
        <v/>
      </c>
      <c r="B193" s="20"/>
      <c r="C193" s="21"/>
      <c r="D193" s="21"/>
      <c r="E193" s="21"/>
      <c r="F193" s="21"/>
      <c r="G193" s="21"/>
      <c r="H193" s="22"/>
      <c r="I193" s="22"/>
      <c r="J193" s="22"/>
      <c r="K193" s="23" t="str">
        <f aca="false">IF($B193="","",IF(AND(I193="",J193=""),"",I193+J193))</f>
        <v/>
      </c>
      <c r="L193" s="23" t="str">
        <f aca="false">IF(OR($B193="",K193=""),"",K193-H193)</f>
        <v/>
      </c>
      <c r="M193" s="24" t="str">
        <f aca="false">IF($B193="","",IF(AND(I193="",J193=""),"Not Counted",IF(OR(I193="",J193=""),"Partially Counted",IF(L193=0,"Match",IF(L193&gt;0,"Overage","Shortage")))))</f>
        <v/>
      </c>
      <c r="N193" s="24" t="str">
        <f aca="false">IF($B193="","",IF(AND(N193&lt;&gt;"",N193&lt;&gt;0),N193,$B$4))</f>
        <v/>
      </c>
      <c r="O193" s="21"/>
      <c r="P193" s="21"/>
      <c r="Q193" s="21"/>
      <c r="V193" s="14"/>
      <c r="W193" s="14"/>
      <c r="X193" s="15"/>
      <c r="Y193" s="16"/>
      <c r="Z193" s="14"/>
      <c r="AA193" s="17"/>
      <c r="AC193" s="14"/>
      <c r="AD193" s="14"/>
      <c r="AE193" s="15"/>
      <c r="AF193" s="16"/>
      <c r="AG193" s="14"/>
      <c r="AH193" s="17"/>
      <c r="AJ193" s="14"/>
      <c r="AK193" s="14"/>
      <c r="AL193" s="14"/>
      <c r="AM193" s="17"/>
      <c r="AN193" s="15"/>
    </row>
    <row r="194" customFormat="false" ht="15" hidden="false" customHeight="false" outlineLevel="0" collapsed="false">
      <c r="A194" s="19" t="str">
        <f aca="true">IF($B194="","",IF(AND(A194&lt;&gt;"",A194&lt;&gt;0),A194,TODAY()))</f>
        <v/>
      </c>
      <c r="B194" s="20"/>
      <c r="C194" s="21"/>
      <c r="D194" s="21"/>
      <c r="E194" s="21"/>
      <c r="F194" s="21"/>
      <c r="G194" s="21"/>
      <c r="H194" s="22"/>
      <c r="I194" s="22"/>
      <c r="J194" s="22"/>
      <c r="K194" s="23" t="str">
        <f aca="false">IF($B194="","",IF(AND(I194="",J194=""),"",I194+J194))</f>
        <v/>
      </c>
      <c r="L194" s="23" t="str">
        <f aca="false">IF(OR($B194="",K194=""),"",K194-H194)</f>
        <v/>
      </c>
      <c r="M194" s="24" t="str">
        <f aca="false">IF($B194="","",IF(AND(I194="",J194=""),"Not Counted",IF(OR(I194="",J194=""),"Partially Counted",IF(L194=0,"Match",IF(L194&gt;0,"Overage","Shortage")))))</f>
        <v/>
      </c>
      <c r="N194" s="24" t="str">
        <f aca="false">IF($B194="","",IF(AND(N194&lt;&gt;"",N194&lt;&gt;0),N194,$B$4))</f>
        <v/>
      </c>
      <c r="O194" s="21"/>
      <c r="P194" s="21"/>
      <c r="Q194" s="21"/>
      <c r="V194" s="14"/>
      <c r="W194" s="14"/>
      <c r="X194" s="15"/>
      <c r="Y194" s="16"/>
      <c r="Z194" s="14"/>
      <c r="AA194" s="17"/>
      <c r="AC194" s="14"/>
      <c r="AD194" s="14"/>
      <c r="AE194" s="15"/>
      <c r="AF194" s="16"/>
      <c r="AG194" s="14"/>
      <c r="AH194" s="17"/>
      <c r="AJ194" s="14"/>
      <c r="AK194" s="14"/>
      <c r="AL194" s="14"/>
      <c r="AM194" s="17"/>
      <c r="AN194" s="15"/>
    </row>
    <row r="195" customFormat="false" ht="15" hidden="false" customHeight="false" outlineLevel="0" collapsed="false">
      <c r="A195" s="19" t="str">
        <f aca="true">IF($B195="","",IF(AND(A195&lt;&gt;"",A195&lt;&gt;0),A195,TODAY()))</f>
        <v/>
      </c>
      <c r="B195" s="20"/>
      <c r="C195" s="21"/>
      <c r="D195" s="21"/>
      <c r="E195" s="21"/>
      <c r="F195" s="21"/>
      <c r="G195" s="21"/>
      <c r="H195" s="22"/>
      <c r="I195" s="22"/>
      <c r="J195" s="22"/>
      <c r="K195" s="23" t="str">
        <f aca="false">IF($B195="","",IF(AND(I195="",J195=""),"",I195+J195))</f>
        <v/>
      </c>
      <c r="L195" s="23" t="str">
        <f aca="false">IF(OR($B195="",K195=""),"",K195-H195)</f>
        <v/>
      </c>
      <c r="M195" s="24" t="str">
        <f aca="false">IF($B195="","",IF(AND(I195="",J195=""),"Not Counted",IF(OR(I195="",J195=""),"Partially Counted",IF(L195=0,"Match",IF(L195&gt;0,"Overage","Shortage")))))</f>
        <v/>
      </c>
      <c r="N195" s="24" t="str">
        <f aca="false">IF($B195="","",IF(AND(N195&lt;&gt;"",N195&lt;&gt;0),N195,$B$4))</f>
        <v/>
      </c>
      <c r="O195" s="21"/>
      <c r="P195" s="21"/>
      <c r="Q195" s="21"/>
      <c r="V195" s="14"/>
      <c r="W195" s="14"/>
      <c r="X195" s="15"/>
      <c r="Y195" s="16"/>
      <c r="Z195" s="14"/>
      <c r="AA195" s="17"/>
      <c r="AC195" s="14"/>
      <c r="AD195" s="14"/>
      <c r="AE195" s="15"/>
      <c r="AF195" s="16"/>
      <c r="AG195" s="14"/>
      <c r="AH195" s="17"/>
      <c r="AJ195" s="14"/>
      <c r="AK195" s="14"/>
      <c r="AL195" s="14"/>
      <c r="AM195" s="17"/>
      <c r="AN195" s="15"/>
    </row>
    <row r="196" customFormat="false" ht="15" hidden="false" customHeight="false" outlineLevel="0" collapsed="false">
      <c r="A196" s="19" t="str">
        <f aca="true">IF($B196="","",IF(AND(A196&lt;&gt;"",A196&lt;&gt;0),A196,TODAY()))</f>
        <v/>
      </c>
      <c r="B196" s="20"/>
      <c r="C196" s="21"/>
      <c r="D196" s="21"/>
      <c r="E196" s="21"/>
      <c r="F196" s="21"/>
      <c r="G196" s="21"/>
      <c r="H196" s="22"/>
      <c r="I196" s="22"/>
      <c r="J196" s="22"/>
      <c r="K196" s="23" t="str">
        <f aca="false">IF($B196="","",IF(AND(I196="",J196=""),"",I196+J196))</f>
        <v/>
      </c>
      <c r="L196" s="23" t="str">
        <f aca="false">IF(OR($B196="",K196=""),"",K196-H196)</f>
        <v/>
      </c>
      <c r="M196" s="24" t="str">
        <f aca="false">IF($B196="","",IF(AND(I196="",J196=""),"Not Counted",IF(OR(I196="",J196=""),"Partially Counted",IF(L196=0,"Match",IF(L196&gt;0,"Overage","Shortage")))))</f>
        <v/>
      </c>
      <c r="N196" s="24" t="str">
        <f aca="false">IF($B196="","",IF(AND(N196&lt;&gt;"",N196&lt;&gt;0),N196,$B$4))</f>
        <v/>
      </c>
      <c r="O196" s="21"/>
      <c r="P196" s="21"/>
      <c r="Q196" s="21"/>
      <c r="V196" s="14"/>
      <c r="W196" s="14"/>
      <c r="X196" s="15"/>
      <c r="Y196" s="16"/>
      <c r="Z196" s="14"/>
      <c r="AA196" s="17"/>
      <c r="AC196" s="14"/>
      <c r="AD196" s="14"/>
      <c r="AE196" s="15"/>
      <c r="AF196" s="16"/>
      <c r="AG196" s="14"/>
      <c r="AH196" s="17"/>
      <c r="AJ196" s="14"/>
      <c r="AK196" s="14"/>
      <c r="AL196" s="14"/>
      <c r="AM196" s="17"/>
      <c r="AN196" s="15"/>
    </row>
    <row r="197" customFormat="false" ht="15" hidden="false" customHeight="false" outlineLevel="0" collapsed="false">
      <c r="A197" s="19" t="str">
        <f aca="true">IF($B197="","",IF(AND(A197&lt;&gt;"",A197&lt;&gt;0),A197,TODAY()))</f>
        <v/>
      </c>
      <c r="B197" s="20"/>
      <c r="C197" s="21"/>
      <c r="D197" s="21"/>
      <c r="E197" s="21"/>
      <c r="F197" s="21"/>
      <c r="G197" s="21"/>
      <c r="H197" s="22"/>
      <c r="I197" s="22"/>
      <c r="J197" s="22"/>
      <c r="K197" s="23" t="str">
        <f aca="false">IF($B197="","",IF(AND(I197="",J197=""),"",I197+J197))</f>
        <v/>
      </c>
      <c r="L197" s="23" t="str">
        <f aca="false">IF(OR($B197="",K197=""),"",K197-H197)</f>
        <v/>
      </c>
      <c r="M197" s="24" t="str">
        <f aca="false">IF($B197="","",IF(AND(I197="",J197=""),"Not Counted",IF(OR(I197="",J197=""),"Partially Counted",IF(L197=0,"Match",IF(L197&gt;0,"Overage","Shortage")))))</f>
        <v/>
      </c>
      <c r="N197" s="24" t="str">
        <f aca="false">IF($B197="","",IF(AND(N197&lt;&gt;"",N197&lt;&gt;0),N197,$B$4))</f>
        <v/>
      </c>
      <c r="O197" s="21"/>
      <c r="P197" s="21"/>
      <c r="Q197" s="21"/>
      <c r="V197" s="14"/>
      <c r="W197" s="14"/>
      <c r="X197" s="15"/>
      <c r="Y197" s="16"/>
      <c r="Z197" s="14"/>
      <c r="AA197" s="17"/>
      <c r="AC197" s="14"/>
      <c r="AD197" s="14"/>
      <c r="AE197" s="15"/>
      <c r="AF197" s="16"/>
      <c r="AG197" s="14"/>
      <c r="AH197" s="17"/>
      <c r="AJ197" s="14"/>
      <c r="AK197" s="14"/>
      <c r="AL197" s="14"/>
      <c r="AM197" s="17"/>
      <c r="AN197" s="15"/>
    </row>
    <row r="198" customFormat="false" ht="15" hidden="false" customHeight="false" outlineLevel="0" collapsed="false">
      <c r="A198" s="19" t="str">
        <f aca="true">IF($B198="","",IF(AND(A198&lt;&gt;"",A198&lt;&gt;0),A198,TODAY()))</f>
        <v/>
      </c>
      <c r="B198" s="20"/>
      <c r="C198" s="21"/>
      <c r="D198" s="21"/>
      <c r="E198" s="21"/>
      <c r="F198" s="21"/>
      <c r="G198" s="21"/>
      <c r="H198" s="22"/>
      <c r="I198" s="22"/>
      <c r="J198" s="22"/>
      <c r="K198" s="23" t="str">
        <f aca="false">IF($B198="","",IF(AND(I198="",J198=""),"",I198+J198))</f>
        <v/>
      </c>
      <c r="L198" s="23" t="str">
        <f aca="false">IF(OR($B198="",K198=""),"",K198-H198)</f>
        <v/>
      </c>
      <c r="M198" s="24" t="str">
        <f aca="false">IF($B198="","",IF(AND(I198="",J198=""),"Not Counted",IF(OR(I198="",J198=""),"Partially Counted",IF(L198=0,"Match",IF(L198&gt;0,"Overage","Shortage")))))</f>
        <v/>
      </c>
      <c r="N198" s="24" t="str">
        <f aca="false">IF($B198="","",IF(AND(N198&lt;&gt;"",N198&lt;&gt;0),N198,$B$4))</f>
        <v/>
      </c>
      <c r="O198" s="21"/>
      <c r="P198" s="21"/>
      <c r="Q198" s="21"/>
      <c r="V198" s="14"/>
      <c r="W198" s="14"/>
      <c r="X198" s="15"/>
      <c r="Y198" s="16"/>
      <c r="Z198" s="14"/>
      <c r="AA198" s="17"/>
      <c r="AC198" s="14"/>
      <c r="AD198" s="14"/>
      <c r="AE198" s="15"/>
      <c r="AF198" s="16"/>
      <c r="AG198" s="14"/>
      <c r="AH198" s="17"/>
      <c r="AJ198" s="14"/>
      <c r="AK198" s="14"/>
      <c r="AL198" s="14"/>
      <c r="AM198" s="17"/>
      <c r="AN198" s="15"/>
    </row>
    <row r="199" customFormat="false" ht="15" hidden="false" customHeight="false" outlineLevel="0" collapsed="false">
      <c r="A199" s="19" t="str">
        <f aca="true">IF($B199="","",IF(AND(A199&lt;&gt;"",A199&lt;&gt;0),A199,TODAY()))</f>
        <v/>
      </c>
      <c r="B199" s="20"/>
      <c r="C199" s="21"/>
      <c r="D199" s="21"/>
      <c r="E199" s="21"/>
      <c r="F199" s="21"/>
      <c r="G199" s="21"/>
      <c r="H199" s="22"/>
      <c r="I199" s="22"/>
      <c r="J199" s="22"/>
      <c r="K199" s="23" t="str">
        <f aca="false">IF($B199="","",IF(AND(I199="",J199=""),"",I199+J199))</f>
        <v/>
      </c>
      <c r="L199" s="23" t="str">
        <f aca="false">IF(OR($B199="",K199=""),"",K199-H199)</f>
        <v/>
      </c>
      <c r="M199" s="24" t="str">
        <f aca="false">IF($B199="","",IF(AND(I199="",J199=""),"Not Counted",IF(OR(I199="",J199=""),"Partially Counted",IF(L199=0,"Match",IF(L199&gt;0,"Overage","Shortage")))))</f>
        <v/>
      </c>
      <c r="N199" s="24" t="str">
        <f aca="false">IF($B199="","",IF(AND(N199&lt;&gt;"",N199&lt;&gt;0),N199,$B$4))</f>
        <v/>
      </c>
      <c r="O199" s="21"/>
      <c r="P199" s="21"/>
      <c r="Q199" s="21"/>
      <c r="V199" s="14"/>
      <c r="W199" s="14"/>
      <c r="X199" s="15"/>
      <c r="Y199" s="16"/>
      <c r="Z199" s="14"/>
      <c r="AA199" s="17"/>
      <c r="AC199" s="14"/>
      <c r="AD199" s="14"/>
      <c r="AE199" s="15"/>
      <c r="AF199" s="16"/>
      <c r="AG199" s="14"/>
      <c r="AH199" s="17"/>
      <c r="AJ199" s="14"/>
      <c r="AK199" s="14"/>
      <c r="AL199" s="14"/>
      <c r="AM199" s="17"/>
      <c r="AN199" s="15"/>
    </row>
    <row r="200" customFormat="false" ht="15" hidden="false" customHeight="false" outlineLevel="0" collapsed="false">
      <c r="A200" s="19" t="str">
        <f aca="true">IF($B200="","",IF(AND(A200&lt;&gt;"",A200&lt;&gt;0),A200,TODAY()))</f>
        <v/>
      </c>
      <c r="B200" s="20"/>
      <c r="C200" s="21"/>
      <c r="D200" s="21"/>
      <c r="E200" s="21"/>
      <c r="F200" s="21"/>
      <c r="G200" s="21"/>
      <c r="H200" s="22"/>
      <c r="I200" s="22"/>
      <c r="J200" s="22"/>
      <c r="K200" s="23" t="str">
        <f aca="false">IF($B200="","",IF(AND(I200="",J200=""),"",I200+J200))</f>
        <v/>
      </c>
      <c r="L200" s="23" t="str">
        <f aca="false">IF(OR($B200="",K200=""),"",K200-H200)</f>
        <v/>
      </c>
      <c r="M200" s="24" t="str">
        <f aca="false">IF($B200="","",IF(AND(I200="",J200=""),"Not Counted",IF(OR(I200="",J200=""),"Partially Counted",IF(L200=0,"Match",IF(L200&gt;0,"Overage","Shortage")))))</f>
        <v/>
      </c>
      <c r="N200" s="24" t="str">
        <f aca="false">IF($B200="","",IF(AND(N200&lt;&gt;"",N200&lt;&gt;0),N200,$B$4))</f>
        <v/>
      </c>
      <c r="O200" s="21"/>
      <c r="P200" s="21"/>
      <c r="Q200" s="21"/>
      <c r="V200" s="14"/>
      <c r="W200" s="14"/>
      <c r="X200" s="15"/>
      <c r="Y200" s="16"/>
      <c r="Z200" s="14"/>
      <c r="AA200" s="17"/>
      <c r="AC200" s="14"/>
      <c r="AD200" s="14"/>
      <c r="AE200" s="15"/>
      <c r="AF200" s="16"/>
      <c r="AG200" s="14"/>
      <c r="AH200" s="17"/>
      <c r="AJ200" s="14"/>
      <c r="AK200" s="14"/>
      <c r="AL200" s="14"/>
      <c r="AM200" s="17"/>
      <c r="AN200" s="15"/>
    </row>
    <row r="201" customFormat="false" ht="15" hidden="false" customHeight="false" outlineLevel="0" collapsed="false">
      <c r="A201" s="19" t="str">
        <f aca="true">IF($B201="","",IF(AND(A201&lt;&gt;"",A201&lt;&gt;0),A201,TODAY()))</f>
        <v/>
      </c>
      <c r="B201" s="20"/>
      <c r="C201" s="21"/>
      <c r="D201" s="21"/>
      <c r="E201" s="21"/>
      <c r="F201" s="21"/>
      <c r="G201" s="21"/>
      <c r="H201" s="22"/>
      <c r="I201" s="22"/>
      <c r="J201" s="22"/>
      <c r="K201" s="23" t="str">
        <f aca="false">IF($B201="","",IF(AND(I201="",J201=""),"",I201+J201))</f>
        <v/>
      </c>
      <c r="L201" s="23" t="str">
        <f aca="false">IF(OR($B201="",K201=""),"",K201-H201)</f>
        <v/>
      </c>
      <c r="M201" s="24" t="str">
        <f aca="false">IF($B201="","",IF(AND(I201="",J201=""),"Not Counted",IF(OR(I201="",J201=""),"Partially Counted",IF(L201=0,"Match",IF(L201&gt;0,"Overage","Shortage")))))</f>
        <v/>
      </c>
      <c r="N201" s="24" t="str">
        <f aca="false">IF($B201="","",IF(AND(N201&lt;&gt;"",N201&lt;&gt;0),N201,$B$4))</f>
        <v/>
      </c>
      <c r="O201" s="21"/>
      <c r="P201" s="21"/>
      <c r="Q201" s="21"/>
      <c r="V201" s="14"/>
      <c r="W201" s="14"/>
      <c r="X201" s="15"/>
      <c r="Y201" s="16"/>
      <c r="Z201" s="14"/>
      <c r="AA201" s="17"/>
      <c r="AC201" s="14"/>
      <c r="AD201" s="14"/>
      <c r="AE201" s="15"/>
      <c r="AF201" s="16"/>
      <c r="AG201" s="14"/>
      <c r="AH201" s="17"/>
      <c r="AJ201" s="14"/>
      <c r="AK201" s="14"/>
      <c r="AL201" s="14"/>
      <c r="AM201" s="17"/>
      <c r="AN201" s="15"/>
    </row>
    <row r="202" customFormat="false" ht="15" hidden="false" customHeight="false" outlineLevel="0" collapsed="false">
      <c r="A202" s="19" t="str">
        <f aca="true">IF($B202="","",IF(AND(A202&lt;&gt;"",A202&lt;&gt;0),A202,TODAY()))</f>
        <v/>
      </c>
      <c r="B202" s="20"/>
      <c r="C202" s="21"/>
      <c r="D202" s="21"/>
      <c r="E202" s="21"/>
      <c r="F202" s="21"/>
      <c r="G202" s="21"/>
      <c r="H202" s="22"/>
      <c r="I202" s="22"/>
      <c r="J202" s="22"/>
      <c r="K202" s="23" t="str">
        <f aca="false">IF($B202="","",IF(AND(I202="",J202=""),"",I202+J202))</f>
        <v/>
      </c>
      <c r="L202" s="23" t="str">
        <f aca="false">IF(OR($B202="",K202=""),"",K202-H202)</f>
        <v/>
      </c>
      <c r="M202" s="24" t="str">
        <f aca="false">IF($B202="","",IF(AND(I202="",J202=""),"Not Counted",IF(OR(I202="",J202=""),"Partially Counted",IF(L202=0,"Match",IF(L202&gt;0,"Overage","Shortage")))))</f>
        <v/>
      </c>
      <c r="N202" s="24" t="str">
        <f aca="false">IF($B202="","",IF(AND(N202&lt;&gt;"",N202&lt;&gt;0),N202,$B$4))</f>
        <v/>
      </c>
      <c r="O202" s="21"/>
      <c r="P202" s="21"/>
      <c r="Q202" s="21"/>
      <c r="V202" s="14"/>
      <c r="W202" s="14"/>
      <c r="X202" s="15"/>
      <c r="Y202" s="16"/>
      <c r="Z202" s="14"/>
      <c r="AA202" s="17"/>
      <c r="AC202" s="14"/>
      <c r="AD202" s="14"/>
      <c r="AE202" s="15"/>
      <c r="AF202" s="16"/>
      <c r="AG202" s="14"/>
      <c r="AH202" s="17"/>
      <c r="AJ202" s="14"/>
      <c r="AK202" s="14"/>
      <c r="AL202" s="14"/>
      <c r="AM202" s="17"/>
      <c r="AN202" s="15"/>
    </row>
    <row r="203" customFormat="false" ht="15" hidden="false" customHeight="false" outlineLevel="0" collapsed="false">
      <c r="A203" s="19" t="str">
        <f aca="true">IF($B203="","",IF(AND(A203&lt;&gt;"",A203&lt;&gt;0),A203,TODAY()))</f>
        <v/>
      </c>
      <c r="B203" s="20"/>
      <c r="C203" s="21"/>
      <c r="D203" s="21"/>
      <c r="E203" s="21"/>
      <c r="F203" s="21"/>
      <c r="G203" s="21"/>
      <c r="H203" s="22"/>
      <c r="I203" s="22"/>
      <c r="J203" s="22"/>
      <c r="K203" s="23" t="str">
        <f aca="false">IF($B203="","",IF(AND(I203="",J203=""),"",I203+J203))</f>
        <v/>
      </c>
      <c r="L203" s="23" t="str">
        <f aca="false">IF(OR($B203="",K203=""),"",K203-H203)</f>
        <v/>
      </c>
      <c r="M203" s="24" t="str">
        <f aca="false">IF($B203="","",IF(AND(I203="",J203=""),"Not Counted",IF(OR(I203="",J203=""),"Partially Counted",IF(L203=0,"Match",IF(L203&gt;0,"Overage","Shortage")))))</f>
        <v/>
      </c>
      <c r="N203" s="24" t="str">
        <f aca="false">IF($B203="","",IF(AND(N203&lt;&gt;"",N203&lt;&gt;0),N203,$B$4))</f>
        <v/>
      </c>
      <c r="O203" s="21"/>
      <c r="P203" s="21"/>
      <c r="Q203" s="21"/>
      <c r="V203" s="14"/>
      <c r="W203" s="14"/>
      <c r="X203" s="15"/>
      <c r="Y203" s="16"/>
      <c r="Z203" s="14"/>
      <c r="AA203" s="17"/>
      <c r="AC203" s="14"/>
      <c r="AD203" s="14"/>
      <c r="AE203" s="15"/>
      <c r="AF203" s="16"/>
      <c r="AG203" s="14"/>
      <c r="AH203" s="17"/>
      <c r="AJ203" s="14"/>
      <c r="AK203" s="14"/>
      <c r="AL203" s="14"/>
      <c r="AM203" s="17"/>
      <c r="AN203" s="15"/>
    </row>
    <row r="204" customFormat="false" ht="15" hidden="false" customHeight="false" outlineLevel="0" collapsed="false">
      <c r="A204" s="19" t="str">
        <f aca="true">IF($B204="","",IF(AND(A204&lt;&gt;"",A204&lt;&gt;0),A204,TODAY()))</f>
        <v/>
      </c>
      <c r="B204" s="20"/>
      <c r="C204" s="21"/>
      <c r="D204" s="21"/>
      <c r="E204" s="21"/>
      <c r="F204" s="21"/>
      <c r="G204" s="21"/>
      <c r="H204" s="22"/>
      <c r="I204" s="22"/>
      <c r="J204" s="22"/>
      <c r="K204" s="23" t="str">
        <f aca="false">IF($B204="","",IF(AND(I204="",J204=""),"",I204+J204))</f>
        <v/>
      </c>
      <c r="L204" s="23" t="str">
        <f aca="false">IF(OR($B204="",K204=""),"",K204-H204)</f>
        <v/>
      </c>
      <c r="M204" s="24" t="str">
        <f aca="false">IF($B204="","",IF(AND(I204="",J204=""),"Not Counted",IF(OR(I204="",J204=""),"Partially Counted",IF(L204=0,"Match",IF(L204&gt;0,"Overage","Shortage")))))</f>
        <v/>
      </c>
      <c r="N204" s="24" t="str">
        <f aca="false">IF($B204="","",IF(AND(N204&lt;&gt;"",N204&lt;&gt;0),N204,$B$4))</f>
        <v/>
      </c>
      <c r="O204" s="21"/>
      <c r="P204" s="21"/>
      <c r="Q204" s="21"/>
      <c r="V204" s="14"/>
      <c r="W204" s="14"/>
      <c r="X204" s="15"/>
      <c r="Y204" s="16"/>
      <c r="Z204" s="14"/>
      <c r="AA204" s="17"/>
      <c r="AC204" s="14"/>
      <c r="AD204" s="14"/>
      <c r="AE204" s="15"/>
      <c r="AF204" s="16"/>
      <c r="AG204" s="14"/>
      <c r="AH204" s="17"/>
      <c r="AJ204" s="14"/>
      <c r="AK204" s="14"/>
      <c r="AL204" s="14"/>
      <c r="AM204" s="17"/>
      <c r="AN204" s="15"/>
    </row>
    <row r="205" customFormat="false" ht="15" hidden="false" customHeight="false" outlineLevel="0" collapsed="false">
      <c r="A205" s="19" t="str">
        <f aca="true">IF($B205="","",IF(AND(A205&lt;&gt;"",A205&lt;&gt;0),A205,TODAY()))</f>
        <v/>
      </c>
      <c r="B205" s="20"/>
      <c r="C205" s="21"/>
      <c r="D205" s="21"/>
      <c r="E205" s="21"/>
      <c r="F205" s="21"/>
      <c r="G205" s="21"/>
      <c r="H205" s="22"/>
      <c r="I205" s="22"/>
      <c r="J205" s="22"/>
      <c r="K205" s="23" t="str">
        <f aca="false">IF($B205="","",IF(AND(I205="",J205=""),"",I205+J205))</f>
        <v/>
      </c>
      <c r="L205" s="23" t="str">
        <f aca="false">IF(OR($B205="",K205=""),"",K205-H205)</f>
        <v/>
      </c>
      <c r="M205" s="24" t="str">
        <f aca="false">IF($B205="","",IF(AND(I205="",J205=""),"Not Counted",IF(OR(I205="",J205=""),"Partially Counted",IF(L205=0,"Match",IF(L205&gt;0,"Overage","Shortage")))))</f>
        <v/>
      </c>
      <c r="N205" s="24" t="str">
        <f aca="false">IF($B205="","",IF(AND(N205&lt;&gt;"",N205&lt;&gt;0),N205,$B$4))</f>
        <v/>
      </c>
      <c r="O205" s="21"/>
      <c r="P205" s="21"/>
      <c r="Q205" s="21"/>
      <c r="V205" s="14"/>
      <c r="W205" s="14"/>
      <c r="X205" s="15"/>
      <c r="Y205" s="16"/>
      <c r="Z205" s="14"/>
      <c r="AA205" s="17"/>
      <c r="AC205" s="14"/>
      <c r="AD205" s="14"/>
      <c r="AE205" s="15"/>
      <c r="AF205" s="16"/>
      <c r="AG205" s="14"/>
      <c r="AH205" s="17"/>
      <c r="AJ205" s="14"/>
      <c r="AK205" s="14"/>
      <c r="AL205" s="14"/>
      <c r="AM205" s="17"/>
      <c r="AN205" s="15"/>
    </row>
    <row r="206" customFormat="false" ht="15" hidden="false" customHeight="false" outlineLevel="0" collapsed="false">
      <c r="A206" s="19" t="str">
        <f aca="true">IF($B206="","",IF(AND(A206&lt;&gt;"",A206&lt;&gt;0),A206,TODAY()))</f>
        <v/>
      </c>
      <c r="B206" s="20"/>
      <c r="C206" s="21"/>
      <c r="D206" s="21"/>
      <c r="E206" s="21"/>
      <c r="F206" s="21"/>
      <c r="G206" s="21"/>
      <c r="H206" s="22"/>
      <c r="I206" s="22"/>
      <c r="J206" s="22"/>
      <c r="K206" s="23" t="str">
        <f aca="false">IF($B206="","",IF(AND(I206="",J206=""),"",I206+J206))</f>
        <v/>
      </c>
      <c r="L206" s="23" t="str">
        <f aca="false">IF(OR($B206="",K206=""),"",K206-H206)</f>
        <v/>
      </c>
      <c r="M206" s="24" t="str">
        <f aca="false">IF($B206="","",IF(AND(I206="",J206=""),"Not Counted",IF(OR(I206="",J206=""),"Partially Counted",IF(L206=0,"Match",IF(L206&gt;0,"Overage","Shortage")))))</f>
        <v/>
      </c>
      <c r="N206" s="24" t="str">
        <f aca="false">IF($B206="","",IF(AND(N206&lt;&gt;"",N206&lt;&gt;0),N206,$B$4))</f>
        <v/>
      </c>
      <c r="O206" s="21"/>
      <c r="P206" s="21"/>
      <c r="Q206" s="21"/>
      <c r="V206" s="14"/>
      <c r="W206" s="14"/>
      <c r="X206" s="15"/>
      <c r="Y206" s="16"/>
      <c r="Z206" s="14"/>
      <c r="AA206" s="17"/>
      <c r="AC206" s="14"/>
      <c r="AD206" s="14"/>
      <c r="AE206" s="15"/>
      <c r="AF206" s="16"/>
      <c r="AG206" s="14"/>
      <c r="AH206" s="17"/>
      <c r="AJ206" s="14"/>
      <c r="AK206" s="14"/>
      <c r="AL206" s="14"/>
      <c r="AM206" s="17"/>
      <c r="AN206" s="15"/>
    </row>
    <row r="207" customFormat="false" ht="15" hidden="false" customHeight="false" outlineLevel="0" collapsed="false">
      <c r="A207" s="19" t="str">
        <f aca="true">IF($B207="","",IF(AND(A207&lt;&gt;"",A207&lt;&gt;0),A207,TODAY()))</f>
        <v/>
      </c>
      <c r="B207" s="20"/>
      <c r="C207" s="21"/>
      <c r="D207" s="21"/>
      <c r="E207" s="21"/>
      <c r="F207" s="21"/>
      <c r="G207" s="21"/>
      <c r="H207" s="22"/>
      <c r="I207" s="22"/>
      <c r="J207" s="22"/>
      <c r="K207" s="23" t="str">
        <f aca="false">IF($B207="","",IF(AND(I207="",J207=""),"",I207+J207))</f>
        <v/>
      </c>
      <c r="L207" s="23" t="str">
        <f aca="false">IF(OR($B207="",K207=""),"",K207-H207)</f>
        <v/>
      </c>
      <c r="M207" s="24" t="str">
        <f aca="false">IF($B207="","",IF(AND(I207="",J207=""),"Not Counted",IF(OR(I207="",J207=""),"Partially Counted",IF(L207=0,"Match",IF(L207&gt;0,"Overage","Shortage")))))</f>
        <v/>
      </c>
      <c r="N207" s="24" t="str">
        <f aca="false">IF($B207="","",IF(AND(N207&lt;&gt;"",N207&lt;&gt;0),N207,$B$4))</f>
        <v/>
      </c>
      <c r="O207" s="21"/>
      <c r="P207" s="21"/>
      <c r="Q207" s="21"/>
      <c r="V207" s="14"/>
      <c r="W207" s="14"/>
      <c r="X207" s="15"/>
      <c r="Y207" s="16"/>
      <c r="Z207" s="14"/>
      <c r="AA207" s="17"/>
      <c r="AC207" s="14"/>
      <c r="AD207" s="14"/>
      <c r="AE207" s="15"/>
      <c r="AF207" s="16"/>
      <c r="AG207" s="14"/>
      <c r="AH207" s="17"/>
      <c r="AJ207" s="14"/>
      <c r="AK207" s="14"/>
      <c r="AL207" s="14"/>
      <c r="AM207" s="17"/>
      <c r="AN207" s="15"/>
    </row>
    <row r="208" customFormat="false" ht="15" hidden="false" customHeight="false" outlineLevel="0" collapsed="false">
      <c r="A208" s="19" t="str">
        <f aca="true">IF($B208="","",IF(AND(A208&lt;&gt;"",A208&lt;&gt;0),A208,TODAY()))</f>
        <v/>
      </c>
      <c r="B208" s="20"/>
      <c r="C208" s="21"/>
      <c r="D208" s="21"/>
      <c r="E208" s="21"/>
      <c r="F208" s="21"/>
      <c r="G208" s="21"/>
      <c r="H208" s="22"/>
      <c r="I208" s="22"/>
      <c r="J208" s="22"/>
      <c r="K208" s="23" t="str">
        <f aca="false">IF($B208="","",IF(AND(I208="",J208=""),"",I208+J208))</f>
        <v/>
      </c>
      <c r="L208" s="23" t="str">
        <f aca="false">IF(OR($B208="",K208=""),"",K208-H208)</f>
        <v/>
      </c>
      <c r="M208" s="24" t="str">
        <f aca="false">IF($B208="","",IF(AND(I208="",J208=""),"Not Counted",IF(OR(I208="",J208=""),"Partially Counted",IF(L208=0,"Match",IF(L208&gt;0,"Overage","Shortage")))))</f>
        <v/>
      </c>
      <c r="N208" s="24" t="str">
        <f aca="false">IF($B208="","",IF(AND(N208&lt;&gt;"",N208&lt;&gt;0),N208,$B$4))</f>
        <v/>
      </c>
      <c r="O208" s="21"/>
      <c r="P208" s="21"/>
      <c r="Q208" s="21"/>
      <c r="V208" s="14"/>
      <c r="W208" s="14"/>
      <c r="X208" s="15"/>
      <c r="Y208" s="16"/>
      <c r="Z208" s="14"/>
      <c r="AA208" s="17"/>
      <c r="AC208" s="14"/>
      <c r="AD208" s="14"/>
      <c r="AE208" s="15"/>
      <c r="AF208" s="16"/>
      <c r="AG208" s="14"/>
      <c r="AH208" s="17"/>
      <c r="AJ208" s="14"/>
      <c r="AK208" s="14"/>
      <c r="AL208" s="14"/>
      <c r="AM208" s="17"/>
      <c r="AN208" s="15"/>
    </row>
    <row r="209" customFormat="false" ht="15" hidden="false" customHeight="false" outlineLevel="0" collapsed="false">
      <c r="A209" s="19" t="str">
        <f aca="true">IF($B209="","",IF(AND(A209&lt;&gt;"",A209&lt;&gt;0),A209,TODAY()))</f>
        <v/>
      </c>
      <c r="B209" s="20"/>
      <c r="C209" s="21"/>
      <c r="D209" s="21"/>
      <c r="E209" s="21"/>
      <c r="F209" s="21"/>
      <c r="G209" s="21"/>
      <c r="H209" s="22"/>
      <c r="I209" s="22"/>
      <c r="J209" s="22"/>
      <c r="K209" s="23" t="str">
        <f aca="false">IF($B209="","",IF(AND(I209="",J209=""),"",I209+J209))</f>
        <v/>
      </c>
      <c r="L209" s="23" t="str">
        <f aca="false">IF(OR($B209="",K209=""),"",K209-H209)</f>
        <v/>
      </c>
      <c r="M209" s="24" t="str">
        <f aca="false">IF($B209="","",IF(AND(I209="",J209=""),"Not Counted",IF(OR(I209="",J209=""),"Partially Counted",IF(L209=0,"Match",IF(L209&gt;0,"Overage","Shortage")))))</f>
        <v/>
      </c>
      <c r="N209" s="24" t="str">
        <f aca="false">IF($B209="","",IF(AND(N209&lt;&gt;"",N209&lt;&gt;0),N209,$B$4))</f>
        <v/>
      </c>
      <c r="O209" s="21"/>
      <c r="P209" s="21"/>
      <c r="Q209" s="21"/>
      <c r="V209" s="14"/>
      <c r="W209" s="14"/>
      <c r="X209" s="15"/>
      <c r="Y209" s="16"/>
      <c r="Z209" s="14"/>
      <c r="AA209" s="17"/>
      <c r="AC209" s="14"/>
      <c r="AD209" s="14"/>
      <c r="AE209" s="15"/>
      <c r="AF209" s="16"/>
      <c r="AG209" s="14"/>
      <c r="AH209" s="17"/>
      <c r="AJ209" s="14"/>
      <c r="AK209" s="14"/>
      <c r="AL209" s="14"/>
      <c r="AM209" s="17"/>
      <c r="AN209" s="15"/>
    </row>
    <row r="210" customFormat="false" ht="15" hidden="false" customHeight="false" outlineLevel="0" collapsed="false">
      <c r="A210" s="19" t="str">
        <f aca="true">IF($B210="","",IF(AND(A210&lt;&gt;"",A210&lt;&gt;0),A210,TODAY()))</f>
        <v/>
      </c>
      <c r="B210" s="20"/>
      <c r="C210" s="21"/>
      <c r="D210" s="21"/>
      <c r="E210" s="21"/>
      <c r="F210" s="21"/>
      <c r="G210" s="21"/>
      <c r="H210" s="22"/>
      <c r="I210" s="22"/>
      <c r="J210" s="22"/>
      <c r="K210" s="23" t="str">
        <f aca="false">IF($B210="","",IF(AND(I210="",J210=""),"",I210+J210))</f>
        <v/>
      </c>
      <c r="L210" s="23" t="str">
        <f aca="false">IF(OR($B210="",K210=""),"",K210-H210)</f>
        <v/>
      </c>
      <c r="M210" s="24" t="str">
        <f aca="false">IF($B210="","",IF(AND(I210="",J210=""),"Not Counted",IF(OR(I210="",J210=""),"Partially Counted",IF(L210=0,"Match",IF(L210&gt;0,"Overage","Shortage")))))</f>
        <v/>
      </c>
      <c r="N210" s="24" t="str">
        <f aca="false">IF($B210="","",IF(AND(N210&lt;&gt;"",N210&lt;&gt;0),N210,$B$4))</f>
        <v/>
      </c>
      <c r="O210" s="21"/>
      <c r="P210" s="21"/>
      <c r="Q210" s="21"/>
      <c r="V210" s="14"/>
      <c r="W210" s="14"/>
      <c r="X210" s="15"/>
      <c r="Y210" s="16"/>
      <c r="Z210" s="14"/>
      <c r="AA210" s="17"/>
      <c r="AC210" s="14"/>
      <c r="AD210" s="14"/>
      <c r="AE210" s="15"/>
      <c r="AF210" s="16"/>
      <c r="AG210" s="14"/>
      <c r="AH210" s="17"/>
      <c r="AJ210" s="14"/>
      <c r="AK210" s="14"/>
      <c r="AL210" s="14"/>
      <c r="AM210" s="17"/>
      <c r="AN210" s="15"/>
    </row>
    <row r="211" customFormat="false" ht="15" hidden="false" customHeight="false" outlineLevel="0" collapsed="false">
      <c r="A211" s="19" t="str">
        <f aca="true">IF($B211="","",IF(AND(A211&lt;&gt;"",A211&lt;&gt;0),A211,TODAY()))</f>
        <v/>
      </c>
      <c r="B211" s="20"/>
      <c r="C211" s="21"/>
      <c r="D211" s="21"/>
      <c r="E211" s="21"/>
      <c r="F211" s="21"/>
      <c r="G211" s="21"/>
      <c r="H211" s="22"/>
      <c r="I211" s="22"/>
      <c r="J211" s="22"/>
      <c r="K211" s="23" t="str">
        <f aca="false">IF($B211="","",IF(AND(I211="",J211=""),"",I211+J211))</f>
        <v/>
      </c>
      <c r="L211" s="23" t="str">
        <f aca="false">IF(OR($B211="",K211=""),"",K211-H211)</f>
        <v/>
      </c>
      <c r="M211" s="24" t="str">
        <f aca="false">IF($B211="","",IF(AND(I211="",J211=""),"Not Counted",IF(OR(I211="",J211=""),"Partially Counted",IF(L211=0,"Match",IF(L211&gt;0,"Overage","Shortage")))))</f>
        <v/>
      </c>
      <c r="N211" s="24" t="str">
        <f aca="false">IF($B211="","",IF(AND(N211&lt;&gt;"",N211&lt;&gt;0),N211,$B$4))</f>
        <v/>
      </c>
      <c r="O211" s="21"/>
      <c r="P211" s="21"/>
      <c r="Q211" s="21"/>
      <c r="V211" s="14"/>
      <c r="W211" s="14"/>
      <c r="X211" s="15"/>
      <c r="Y211" s="16"/>
      <c r="Z211" s="14"/>
      <c r="AA211" s="17"/>
      <c r="AC211" s="14"/>
      <c r="AD211" s="14"/>
      <c r="AE211" s="15"/>
      <c r="AF211" s="16"/>
      <c r="AG211" s="14"/>
      <c r="AH211" s="17"/>
      <c r="AJ211" s="14"/>
      <c r="AK211" s="14"/>
      <c r="AL211" s="14"/>
      <c r="AM211" s="17"/>
      <c r="AN211" s="15"/>
    </row>
    <row r="212" customFormat="false" ht="15" hidden="false" customHeight="false" outlineLevel="0" collapsed="false">
      <c r="A212" s="19" t="str">
        <f aca="true">IF($B212="","",IF(AND(A212&lt;&gt;"",A212&lt;&gt;0),A212,TODAY()))</f>
        <v/>
      </c>
      <c r="B212" s="20"/>
      <c r="C212" s="21"/>
      <c r="D212" s="21"/>
      <c r="E212" s="21"/>
      <c r="F212" s="21"/>
      <c r="G212" s="21"/>
      <c r="H212" s="22"/>
      <c r="I212" s="22"/>
      <c r="J212" s="22"/>
      <c r="K212" s="23" t="str">
        <f aca="false">IF($B212="","",IF(AND(I212="",J212=""),"",I212+J212))</f>
        <v/>
      </c>
      <c r="L212" s="23" t="str">
        <f aca="false">IF(OR($B212="",K212=""),"",K212-H212)</f>
        <v/>
      </c>
      <c r="M212" s="24" t="str">
        <f aca="false">IF($B212="","",IF(AND(I212="",J212=""),"Not Counted",IF(OR(I212="",J212=""),"Partially Counted",IF(L212=0,"Match",IF(L212&gt;0,"Overage","Shortage")))))</f>
        <v/>
      </c>
      <c r="N212" s="24" t="str">
        <f aca="false">IF($B212="","",IF(AND(N212&lt;&gt;"",N212&lt;&gt;0),N212,$B$4))</f>
        <v/>
      </c>
      <c r="O212" s="21"/>
      <c r="P212" s="21"/>
      <c r="Q212" s="21"/>
      <c r="V212" s="14"/>
      <c r="W212" s="14"/>
      <c r="X212" s="15"/>
      <c r="Y212" s="16"/>
      <c r="Z212" s="14"/>
      <c r="AA212" s="17"/>
      <c r="AC212" s="14"/>
      <c r="AD212" s="14"/>
      <c r="AE212" s="15"/>
      <c r="AF212" s="16"/>
      <c r="AG212" s="14"/>
      <c r="AH212" s="17"/>
      <c r="AJ212" s="14"/>
      <c r="AK212" s="14"/>
      <c r="AL212" s="14"/>
      <c r="AM212" s="17"/>
      <c r="AN212" s="15"/>
    </row>
    <row r="213" customFormat="false" ht="15" hidden="false" customHeight="false" outlineLevel="0" collapsed="false">
      <c r="A213" s="19" t="str">
        <f aca="true">IF($B213="","",IF(AND(A213&lt;&gt;"",A213&lt;&gt;0),A213,TODAY()))</f>
        <v/>
      </c>
      <c r="B213" s="20"/>
      <c r="C213" s="21"/>
      <c r="D213" s="21"/>
      <c r="E213" s="21"/>
      <c r="F213" s="21"/>
      <c r="G213" s="21"/>
      <c r="H213" s="22"/>
      <c r="I213" s="22"/>
      <c r="J213" s="22"/>
      <c r="K213" s="23" t="str">
        <f aca="false">IF($B213="","",IF(AND(I213="",J213=""),"",I213+J213))</f>
        <v/>
      </c>
      <c r="L213" s="23" t="str">
        <f aca="false">IF(OR($B213="",K213=""),"",K213-H213)</f>
        <v/>
      </c>
      <c r="M213" s="24" t="str">
        <f aca="false">IF($B213="","",IF(AND(I213="",J213=""),"Not Counted",IF(OR(I213="",J213=""),"Partially Counted",IF(L213=0,"Match",IF(L213&gt;0,"Overage","Shortage")))))</f>
        <v/>
      </c>
      <c r="N213" s="24" t="str">
        <f aca="false">IF($B213="","",IF(AND(N213&lt;&gt;"",N213&lt;&gt;0),N213,$B$4))</f>
        <v/>
      </c>
      <c r="O213" s="21"/>
      <c r="P213" s="21"/>
      <c r="Q213" s="21"/>
      <c r="V213" s="14"/>
      <c r="W213" s="14"/>
      <c r="X213" s="15"/>
      <c r="Y213" s="16"/>
      <c r="Z213" s="14"/>
      <c r="AA213" s="17"/>
      <c r="AC213" s="14"/>
      <c r="AD213" s="14"/>
      <c r="AE213" s="15"/>
      <c r="AF213" s="16"/>
      <c r="AG213" s="14"/>
      <c r="AH213" s="17"/>
      <c r="AJ213" s="14"/>
      <c r="AK213" s="14"/>
      <c r="AL213" s="14"/>
      <c r="AM213" s="17"/>
      <c r="AN213" s="15"/>
    </row>
    <row r="214" customFormat="false" ht="15" hidden="false" customHeight="false" outlineLevel="0" collapsed="false">
      <c r="A214" s="19" t="str">
        <f aca="true">IF($B214="","",IF(AND(A214&lt;&gt;"",A214&lt;&gt;0),A214,TODAY()))</f>
        <v/>
      </c>
      <c r="B214" s="20"/>
      <c r="C214" s="21"/>
      <c r="D214" s="21"/>
      <c r="E214" s="21"/>
      <c r="F214" s="21"/>
      <c r="G214" s="21"/>
      <c r="H214" s="22"/>
      <c r="I214" s="22"/>
      <c r="J214" s="22"/>
      <c r="K214" s="23" t="str">
        <f aca="false">IF($B214="","",IF(AND(I214="",J214=""),"",I214+J214))</f>
        <v/>
      </c>
      <c r="L214" s="23" t="str">
        <f aca="false">IF(OR($B214="",K214=""),"",K214-H214)</f>
        <v/>
      </c>
      <c r="M214" s="24" t="str">
        <f aca="false">IF($B214="","",IF(AND(I214="",J214=""),"Not Counted",IF(OR(I214="",J214=""),"Partially Counted",IF(L214=0,"Match",IF(L214&gt;0,"Overage","Shortage")))))</f>
        <v/>
      </c>
      <c r="N214" s="24" t="str">
        <f aca="false">IF($B214="","",IF(AND(N214&lt;&gt;"",N214&lt;&gt;0),N214,$B$4))</f>
        <v/>
      </c>
      <c r="O214" s="21"/>
      <c r="P214" s="21"/>
      <c r="Q214" s="21"/>
      <c r="V214" s="14"/>
      <c r="W214" s="14"/>
      <c r="X214" s="15"/>
      <c r="Y214" s="16"/>
      <c r="Z214" s="14"/>
      <c r="AA214" s="17"/>
      <c r="AC214" s="14"/>
      <c r="AD214" s="14"/>
      <c r="AE214" s="15"/>
      <c r="AF214" s="16"/>
      <c r="AG214" s="14"/>
      <c r="AH214" s="17"/>
      <c r="AJ214" s="14"/>
      <c r="AK214" s="14"/>
      <c r="AL214" s="14"/>
      <c r="AM214" s="17"/>
      <c r="AN214" s="15"/>
    </row>
    <row r="215" customFormat="false" ht="15" hidden="false" customHeight="false" outlineLevel="0" collapsed="false">
      <c r="A215" s="19" t="str">
        <f aca="true">IF($B215="","",IF(AND(A215&lt;&gt;"",A215&lt;&gt;0),A215,TODAY()))</f>
        <v/>
      </c>
      <c r="B215" s="20"/>
      <c r="C215" s="21"/>
      <c r="D215" s="21"/>
      <c r="E215" s="21"/>
      <c r="F215" s="21"/>
      <c r="G215" s="21"/>
      <c r="H215" s="22"/>
      <c r="I215" s="22"/>
      <c r="J215" s="22"/>
      <c r="K215" s="23" t="str">
        <f aca="false">IF($B215="","",IF(AND(I215="",J215=""),"",I215+J215))</f>
        <v/>
      </c>
      <c r="L215" s="23" t="str">
        <f aca="false">IF(OR($B215="",K215=""),"",K215-H215)</f>
        <v/>
      </c>
      <c r="M215" s="24" t="str">
        <f aca="false">IF($B215="","",IF(AND(I215="",J215=""),"Not Counted",IF(OR(I215="",J215=""),"Partially Counted",IF(L215=0,"Match",IF(L215&gt;0,"Overage","Shortage")))))</f>
        <v/>
      </c>
      <c r="N215" s="24" t="str">
        <f aca="false">IF($B215="","",IF(AND(N215&lt;&gt;"",N215&lt;&gt;0),N215,$B$4))</f>
        <v/>
      </c>
      <c r="O215" s="21"/>
      <c r="P215" s="21"/>
      <c r="Q215" s="21"/>
      <c r="V215" s="14"/>
      <c r="W215" s="14"/>
      <c r="X215" s="15"/>
      <c r="Y215" s="16"/>
      <c r="Z215" s="14"/>
      <c r="AA215" s="17"/>
      <c r="AC215" s="14"/>
      <c r="AD215" s="14"/>
      <c r="AE215" s="15"/>
      <c r="AF215" s="16"/>
      <c r="AG215" s="14"/>
      <c r="AH215" s="17"/>
      <c r="AJ215" s="14"/>
      <c r="AK215" s="14"/>
      <c r="AL215" s="14"/>
      <c r="AM215" s="17"/>
      <c r="AN215" s="15"/>
    </row>
    <row r="216" customFormat="false" ht="15" hidden="false" customHeight="false" outlineLevel="0" collapsed="false">
      <c r="A216" s="19" t="str">
        <f aca="true">IF($B216="","",IF(AND(A216&lt;&gt;"",A216&lt;&gt;0),A216,TODAY()))</f>
        <v/>
      </c>
      <c r="B216" s="20"/>
      <c r="C216" s="21"/>
      <c r="D216" s="21"/>
      <c r="E216" s="21"/>
      <c r="F216" s="21"/>
      <c r="G216" s="21"/>
      <c r="H216" s="22"/>
      <c r="I216" s="22"/>
      <c r="J216" s="22"/>
      <c r="K216" s="23" t="str">
        <f aca="false">IF($B216="","",IF(AND(I216="",J216=""),"",I216+J216))</f>
        <v/>
      </c>
      <c r="L216" s="23" t="str">
        <f aca="false">IF(OR($B216="",K216=""),"",K216-H216)</f>
        <v/>
      </c>
      <c r="M216" s="24" t="str">
        <f aca="false">IF($B216="","",IF(AND(I216="",J216=""),"Not Counted",IF(OR(I216="",J216=""),"Partially Counted",IF(L216=0,"Match",IF(L216&gt;0,"Overage","Shortage")))))</f>
        <v/>
      </c>
      <c r="N216" s="24" t="str">
        <f aca="false">IF($B216="","",IF(AND(N216&lt;&gt;"",N216&lt;&gt;0),N216,$B$4))</f>
        <v/>
      </c>
      <c r="O216" s="21"/>
      <c r="P216" s="21"/>
      <c r="Q216" s="21"/>
      <c r="V216" s="14"/>
      <c r="W216" s="14"/>
      <c r="X216" s="15"/>
      <c r="Y216" s="16"/>
      <c r="Z216" s="14"/>
      <c r="AA216" s="17"/>
      <c r="AC216" s="14"/>
      <c r="AD216" s="14"/>
      <c r="AE216" s="15"/>
      <c r="AF216" s="16"/>
      <c r="AG216" s="14"/>
      <c r="AH216" s="17"/>
      <c r="AJ216" s="14"/>
      <c r="AK216" s="14"/>
      <c r="AL216" s="14"/>
      <c r="AM216" s="17"/>
      <c r="AN216" s="15"/>
    </row>
    <row r="217" customFormat="false" ht="15" hidden="false" customHeight="false" outlineLevel="0" collapsed="false">
      <c r="A217" s="19" t="str">
        <f aca="true">IF($B217="","",IF(AND(A217&lt;&gt;"",A217&lt;&gt;0),A217,TODAY()))</f>
        <v/>
      </c>
      <c r="B217" s="20"/>
      <c r="C217" s="21"/>
      <c r="D217" s="21"/>
      <c r="E217" s="21"/>
      <c r="F217" s="21"/>
      <c r="G217" s="21"/>
      <c r="H217" s="22"/>
      <c r="I217" s="22"/>
      <c r="J217" s="22"/>
      <c r="K217" s="23" t="str">
        <f aca="false">IF($B217="","",IF(AND(I217="",J217=""),"",I217+J217))</f>
        <v/>
      </c>
      <c r="L217" s="23" t="str">
        <f aca="false">IF(OR($B217="",K217=""),"",K217-H217)</f>
        <v/>
      </c>
      <c r="M217" s="24" t="str">
        <f aca="false">IF($B217="","",IF(AND(I217="",J217=""),"Not Counted",IF(OR(I217="",J217=""),"Partially Counted",IF(L217=0,"Match",IF(L217&gt;0,"Overage","Shortage")))))</f>
        <v/>
      </c>
      <c r="N217" s="24" t="str">
        <f aca="false">IF($B217="","",IF(AND(N217&lt;&gt;"",N217&lt;&gt;0),N217,$B$4))</f>
        <v/>
      </c>
      <c r="O217" s="21"/>
      <c r="P217" s="21"/>
      <c r="Q217" s="21"/>
      <c r="V217" s="14"/>
      <c r="W217" s="14"/>
      <c r="X217" s="15"/>
      <c r="Y217" s="16"/>
      <c r="Z217" s="14"/>
      <c r="AA217" s="17"/>
      <c r="AC217" s="14"/>
      <c r="AD217" s="14"/>
      <c r="AE217" s="15"/>
      <c r="AF217" s="16"/>
      <c r="AG217" s="14"/>
      <c r="AH217" s="17"/>
      <c r="AJ217" s="14"/>
      <c r="AK217" s="14"/>
      <c r="AL217" s="14"/>
      <c r="AM217" s="17"/>
      <c r="AN217" s="15"/>
    </row>
    <row r="218" customFormat="false" ht="15" hidden="false" customHeight="false" outlineLevel="0" collapsed="false">
      <c r="A218" s="19" t="str">
        <f aca="true">IF($B218="","",IF(AND(A218&lt;&gt;"",A218&lt;&gt;0),A218,TODAY()))</f>
        <v/>
      </c>
      <c r="B218" s="20"/>
      <c r="C218" s="21"/>
      <c r="D218" s="21"/>
      <c r="E218" s="21"/>
      <c r="F218" s="21"/>
      <c r="G218" s="21"/>
      <c r="H218" s="22"/>
      <c r="I218" s="22"/>
      <c r="J218" s="22"/>
      <c r="K218" s="23" t="str">
        <f aca="false">IF($B218="","",IF(AND(I218="",J218=""),"",I218+J218))</f>
        <v/>
      </c>
      <c r="L218" s="23" t="str">
        <f aca="false">IF(OR($B218="",K218=""),"",K218-H218)</f>
        <v/>
      </c>
      <c r="M218" s="24" t="str">
        <f aca="false">IF($B218="","",IF(AND(I218="",J218=""),"Not Counted",IF(OR(I218="",J218=""),"Partially Counted",IF(L218=0,"Match",IF(L218&gt;0,"Overage","Shortage")))))</f>
        <v/>
      </c>
      <c r="N218" s="24" t="str">
        <f aca="false">IF($B218="","",IF(AND(N218&lt;&gt;"",N218&lt;&gt;0),N218,$B$4))</f>
        <v/>
      </c>
      <c r="O218" s="21"/>
      <c r="P218" s="21"/>
      <c r="Q218" s="21"/>
      <c r="V218" s="14"/>
      <c r="W218" s="14"/>
      <c r="X218" s="15"/>
      <c r="Y218" s="16"/>
      <c r="Z218" s="14"/>
      <c r="AA218" s="17"/>
      <c r="AC218" s="14"/>
      <c r="AD218" s="14"/>
      <c r="AE218" s="15"/>
      <c r="AF218" s="16"/>
      <c r="AG218" s="14"/>
      <c r="AH218" s="17"/>
      <c r="AJ218" s="14"/>
      <c r="AK218" s="14"/>
      <c r="AL218" s="14"/>
      <c r="AM218" s="17"/>
      <c r="AN218" s="15"/>
    </row>
    <row r="219" customFormat="false" ht="15" hidden="false" customHeight="false" outlineLevel="0" collapsed="false">
      <c r="A219" s="19" t="str">
        <f aca="true">IF($B219="","",IF(AND(A219&lt;&gt;"",A219&lt;&gt;0),A219,TODAY()))</f>
        <v/>
      </c>
      <c r="B219" s="20"/>
      <c r="C219" s="21"/>
      <c r="D219" s="21"/>
      <c r="E219" s="21"/>
      <c r="F219" s="21"/>
      <c r="G219" s="21"/>
      <c r="H219" s="22"/>
      <c r="I219" s="22"/>
      <c r="J219" s="22"/>
      <c r="K219" s="23" t="str">
        <f aca="false">IF($B219="","",IF(AND(I219="",J219=""),"",I219+J219))</f>
        <v/>
      </c>
      <c r="L219" s="23" t="str">
        <f aca="false">IF(OR($B219="",K219=""),"",K219-H219)</f>
        <v/>
      </c>
      <c r="M219" s="24" t="str">
        <f aca="false">IF($B219="","",IF(AND(I219="",J219=""),"Not Counted",IF(OR(I219="",J219=""),"Partially Counted",IF(L219=0,"Match",IF(L219&gt;0,"Overage","Shortage")))))</f>
        <v/>
      </c>
      <c r="N219" s="24" t="str">
        <f aca="false">IF($B219="","",IF(AND(N219&lt;&gt;"",N219&lt;&gt;0),N219,$B$4))</f>
        <v/>
      </c>
      <c r="O219" s="21"/>
      <c r="P219" s="21"/>
      <c r="Q219" s="21"/>
      <c r="V219" s="14"/>
      <c r="W219" s="14"/>
      <c r="X219" s="15"/>
      <c r="Y219" s="16"/>
      <c r="Z219" s="14"/>
      <c r="AA219" s="17"/>
      <c r="AC219" s="14"/>
      <c r="AD219" s="14"/>
      <c r="AE219" s="15"/>
      <c r="AF219" s="16"/>
      <c r="AG219" s="14"/>
      <c r="AH219" s="17"/>
      <c r="AJ219" s="14"/>
      <c r="AK219" s="14"/>
      <c r="AL219" s="14"/>
      <c r="AM219" s="17"/>
      <c r="AN219" s="15"/>
    </row>
    <row r="220" customFormat="false" ht="15" hidden="false" customHeight="false" outlineLevel="0" collapsed="false">
      <c r="A220" s="19" t="str">
        <f aca="true">IF($B220="","",IF(AND(A220&lt;&gt;"",A220&lt;&gt;0),A220,TODAY()))</f>
        <v/>
      </c>
      <c r="B220" s="20"/>
      <c r="C220" s="21"/>
      <c r="D220" s="21"/>
      <c r="E220" s="21"/>
      <c r="F220" s="21"/>
      <c r="G220" s="21"/>
      <c r="H220" s="22"/>
      <c r="I220" s="22"/>
      <c r="J220" s="22"/>
      <c r="K220" s="23" t="str">
        <f aca="false">IF($B220="","",IF(AND(I220="",J220=""),"",I220+J220))</f>
        <v/>
      </c>
      <c r="L220" s="23" t="str">
        <f aca="false">IF(OR($B220="",K220=""),"",K220-H220)</f>
        <v/>
      </c>
      <c r="M220" s="24" t="str">
        <f aca="false">IF($B220="","",IF(AND(I220="",J220=""),"Not Counted",IF(OR(I220="",J220=""),"Partially Counted",IF(L220=0,"Match",IF(L220&gt;0,"Overage","Shortage")))))</f>
        <v/>
      </c>
      <c r="N220" s="24" t="str">
        <f aca="false">IF($B220="","",IF(AND(N220&lt;&gt;"",N220&lt;&gt;0),N220,$B$4))</f>
        <v/>
      </c>
      <c r="O220" s="21"/>
      <c r="P220" s="21"/>
      <c r="Q220" s="21"/>
      <c r="V220" s="14"/>
      <c r="W220" s="14"/>
      <c r="X220" s="15"/>
      <c r="Y220" s="16"/>
      <c r="Z220" s="14"/>
      <c r="AA220" s="17"/>
      <c r="AC220" s="14"/>
      <c r="AD220" s="14"/>
      <c r="AE220" s="15"/>
      <c r="AF220" s="16"/>
      <c r="AG220" s="14"/>
      <c r="AH220" s="17"/>
      <c r="AJ220" s="14"/>
      <c r="AK220" s="14"/>
      <c r="AL220" s="14"/>
      <c r="AM220" s="17"/>
      <c r="AN220" s="15"/>
    </row>
    <row r="221" customFormat="false" ht="15" hidden="false" customHeight="false" outlineLevel="0" collapsed="false">
      <c r="A221" s="19" t="str">
        <f aca="true">IF($B221="","",IF(AND(A221&lt;&gt;"",A221&lt;&gt;0),A221,TODAY()))</f>
        <v/>
      </c>
      <c r="B221" s="20"/>
      <c r="C221" s="21"/>
      <c r="D221" s="21"/>
      <c r="E221" s="21"/>
      <c r="F221" s="21"/>
      <c r="G221" s="21"/>
      <c r="H221" s="22"/>
      <c r="I221" s="22"/>
      <c r="J221" s="22"/>
      <c r="K221" s="23" t="str">
        <f aca="false">IF($B221="","",IF(AND(I221="",J221=""),"",I221+J221))</f>
        <v/>
      </c>
      <c r="L221" s="23" t="str">
        <f aca="false">IF(OR($B221="",K221=""),"",K221-H221)</f>
        <v/>
      </c>
      <c r="M221" s="24" t="str">
        <f aca="false">IF($B221="","",IF(AND(I221="",J221=""),"Not Counted",IF(OR(I221="",J221=""),"Partially Counted",IF(L221=0,"Match",IF(L221&gt;0,"Overage","Shortage")))))</f>
        <v/>
      </c>
      <c r="N221" s="24" t="str">
        <f aca="false">IF($B221="","",IF(AND(N221&lt;&gt;"",N221&lt;&gt;0),N221,$B$4))</f>
        <v/>
      </c>
      <c r="O221" s="21"/>
      <c r="P221" s="21"/>
      <c r="Q221" s="21"/>
      <c r="V221" s="14"/>
      <c r="W221" s="14"/>
      <c r="X221" s="15"/>
      <c r="Y221" s="16"/>
      <c r="Z221" s="14"/>
      <c r="AA221" s="17"/>
      <c r="AC221" s="14"/>
      <c r="AD221" s="14"/>
      <c r="AE221" s="15"/>
      <c r="AF221" s="16"/>
      <c r="AG221" s="14"/>
      <c r="AH221" s="17"/>
      <c r="AJ221" s="14"/>
      <c r="AK221" s="14"/>
      <c r="AL221" s="14"/>
      <c r="AM221" s="17"/>
      <c r="AN221" s="15"/>
    </row>
    <row r="222" customFormat="false" ht="15" hidden="false" customHeight="false" outlineLevel="0" collapsed="false">
      <c r="A222" s="19" t="str">
        <f aca="true">IF($B222="","",IF(AND(A222&lt;&gt;"",A222&lt;&gt;0),A222,TODAY()))</f>
        <v/>
      </c>
      <c r="B222" s="20"/>
      <c r="C222" s="21"/>
      <c r="D222" s="21"/>
      <c r="E222" s="21"/>
      <c r="F222" s="21"/>
      <c r="G222" s="21"/>
      <c r="H222" s="22"/>
      <c r="I222" s="22"/>
      <c r="J222" s="22"/>
      <c r="K222" s="23" t="str">
        <f aca="false">IF($B222="","",IF(AND(I222="",J222=""),"",I222+J222))</f>
        <v/>
      </c>
      <c r="L222" s="23" t="str">
        <f aca="false">IF(OR($B222="",K222=""),"",K222-H222)</f>
        <v/>
      </c>
      <c r="M222" s="24" t="str">
        <f aca="false">IF($B222="","",IF(AND(I222="",J222=""),"Not Counted",IF(OR(I222="",J222=""),"Partially Counted",IF(L222=0,"Match",IF(L222&gt;0,"Overage","Shortage")))))</f>
        <v/>
      </c>
      <c r="N222" s="24" t="str">
        <f aca="false">IF($B222="","",IF(AND(N222&lt;&gt;"",N222&lt;&gt;0),N222,$B$4))</f>
        <v/>
      </c>
      <c r="O222" s="21"/>
      <c r="P222" s="21"/>
      <c r="Q222" s="21"/>
      <c r="V222" s="14"/>
      <c r="W222" s="14"/>
      <c r="X222" s="15"/>
      <c r="Y222" s="16"/>
      <c r="Z222" s="14"/>
      <c r="AA222" s="17"/>
      <c r="AC222" s="14"/>
      <c r="AD222" s="14"/>
      <c r="AE222" s="15"/>
      <c r="AF222" s="16"/>
      <c r="AG222" s="14"/>
      <c r="AH222" s="17"/>
      <c r="AJ222" s="14"/>
      <c r="AK222" s="14"/>
      <c r="AL222" s="14"/>
      <c r="AM222" s="17"/>
      <c r="AN222" s="15"/>
    </row>
    <row r="223" customFormat="false" ht="15" hidden="false" customHeight="false" outlineLevel="0" collapsed="false">
      <c r="A223" s="19" t="str">
        <f aca="true">IF($B223="","",IF(AND(A223&lt;&gt;"",A223&lt;&gt;0),A223,TODAY()))</f>
        <v/>
      </c>
      <c r="B223" s="20"/>
      <c r="C223" s="21"/>
      <c r="D223" s="21"/>
      <c r="E223" s="21"/>
      <c r="F223" s="21"/>
      <c r="G223" s="21"/>
      <c r="H223" s="22"/>
      <c r="I223" s="22"/>
      <c r="J223" s="22"/>
      <c r="K223" s="23" t="str">
        <f aca="false">IF($B223="","",IF(AND(I223="",J223=""),"",I223+J223))</f>
        <v/>
      </c>
      <c r="L223" s="23" t="str">
        <f aca="false">IF(OR($B223="",K223=""),"",K223-H223)</f>
        <v/>
      </c>
      <c r="M223" s="24" t="str">
        <f aca="false">IF($B223="","",IF(AND(I223="",J223=""),"Not Counted",IF(OR(I223="",J223=""),"Partially Counted",IF(L223=0,"Match",IF(L223&gt;0,"Overage","Shortage")))))</f>
        <v/>
      </c>
      <c r="N223" s="24" t="str">
        <f aca="false">IF($B223="","",IF(AND(N223&lt;&gt;"",N223&lt;&gt;0),N223,$B$4))</f>
        <v/>
      </c>
      <c r="O223" s="21"/>
      <c r="P223" s="21"/>
      <c r="Q223" s="21"/>
      <c r="V223" s="14"/>
      <c r="W223" s="14"/>
      <c r="X223" s="15"/>
      <c r="Y223" s="16"/>
      <c r="Z223" s="14"/>
      <c r="AA223" s="17"/>
      <c r="AC223" s="14"/>
      <c r="AD223" s="14"/>
      <c r="AE223" s="15"/>
      <c r="AF223" s="16"/>
      <c r="AG223" s="14"/>
      <c r="AH223" s="17"/>
      <c r="AJ223" s="14"/>
      <c r="AK223" s="14"/>
      <c r="AL223" s="14"/>
      <c r="AM223" s="17"/>
      <c r="AN223" s="15"/>
    </row>
    <row r="224" customFormat="false" ht="15" hidden="false" customHeight="false" outlineLevel="0" collapsed="false">
      <c r="A224" s="19" t="str">
        <f aca="true">IF($B224="","",IF(AND(A224&lt;&gt;"",A224&lt;&gt;0),A224,TODAY()))</f>
        <v/>
      </c>
      <c r="B224" s="20"/>
      <c r="C224" s="21"/>
      <c r="D224" s="21"/>
      <c r="E224" s="21"/>
      <c r="F224" s="21"/>
      <c r="G224" s="21"/>
      <c r="H224" s="22"/>
      <c r="I224" s="22"/>
      <c r="J224" s="22"/>
      <c r="K224" s="23" t="str">
        <f aca="false">IF($B224="","",IF(AND(I224="",J224=""),"",I224+J224))</f>
        <v/>
      </c>
      <c r="L224" s="23" t="str">
        <f aca="false">IF(OR($B224="",K224=""),"",K224-H224)</f>
        <v/>
      </c>
      <c r="M224" s="24" t="str">
        <f aca="false">IF($B224="","",IF(AND(I224="",J224=""),"Not Counted",IF(OR(I224="",J224=""),"Partially Counted",IF(L224=0,"Match",IF(L224&gt;0,"Overage","Shortage")))))</f>
        <v/>
      </c>
      <c r="N224" s="24" t="str">
        <f aca="false">IF($B224="","",IF(AND(N224&lt;&gt;"",N224&lt;&gt;0),N224,$B$4))</f>
        <v/>
      </c>
      <c r="O224" s="21"/>
      <c r="P224" s="21"/>
      <c r="Q224" s="21"/>
      <c r="V224" s="14"/>
      <c r="W224" s="14"/>
      <c r="X224" s="15"/>
      <c r="Y224" s="16"/>
      <c r="Z224" s="14"/>
      <c r="AA224" s="17"/>
      <c r="AC224" s="14"/>
      <c r="AD224" s="14"/>
      <c r="AE224" s="15"/>
      <c r="AF224" s="16"/>
      <c r="AG224" s="14"/>
      <c r="AH224" s="17"/>
      <c r="AJ224" s="14"/>
      <c r="AK224" s="14"/>
      <c r="AL224" s="14"/>
      <c r="AM224" s="17"/>
      <c r="AN224" s="15"/>
    </row>
    <row r="225" customFormat="false" ht="15" hidden="false" customHeight="false" outlineLevel="0" collapsed="false">
      <c r="A225" s="19" t="str">
        <f aca="true">IF($B225="","",IF(AND(A225&lt;&gt;"",A225&lt;&gt;0),A225,TODAY()))</f>
        <v/>
      </c>
      <c r="B225" s="20"/>
      <c r="C225" s="21"/>
      <c r="D225" s="21"/>
      <c r="E225" s="21"/>
      <c r="F225" s="21"/>
      <c r="G225" s="21"/>
      <c r="H225" s="22"/>
      <c r="I225" s="22"/>
      <c r="J225" s="22"/>
      <c r="K225" s="23" t="str">
        <f aca="false">IF($B225="","",IF(AND(I225="",J225=""),"",I225+J225))</f>
        <v/>
      </c>
      <c r="L225" s="23" t="str">
        <f aca="false">IF(OR($B225="",K225=""),"",K225-H225)</f>
        <v/>
      </c>
      <c r="M225" s="24" t="str">
        <f aca="false">IF($B225="","",IF(AND(I225="",J225=""),"Not Counted",IF(OR(I225="",J225=""),"Partially Counted",IF(L225=0,"Match",IF(L225&gt;0,"Overage","Shortage")))))</f>
        <v/>
      </c>
      <c r="N225" s="24" t="str">
        <f aca="false">IF($B225="","",IF(AND(N225&lt;&gt;"",N225&lt;&gt;0),N225,$B$4))</f>
        <v/>
      </c>
      <c r="O225" s="21"/>
      <c r="P225" s="21"/>
      <c r="Q225" s="21"/>
      <c r="V225" s="14"/>
      <c r="W225" s="14"/>
      <c r="X225" s="15"/>
      <c r="Y225" s="16"/>
      <c r="Z225" s="14"/>
      <c r="AA225" s="17"/>
      <c r="AC225" s="14"/>
      <c r="AD225" s="14"/>
      <c r="AE225" s="15"/>
      <c r="AF225" s="16"/>
      <c r="AG225" s="14"/>
      <c r="AH225" s="17"/>
      <c r="AJ225" s="14"/>
      <c r="AK225" s="14"/>
      <c r="AL225" s="14"/>
      <c r="AM225" s="17"/>
      <c r="AN225" s="15"/>
    </row>
    <row r="226" customFormat="false" ht="15" hidden="false" customHeight="false" outlineLevel="0" collapsed="false">
      <c r="A226" s="19" t="str">
        <f aca="true">IF($B226="","",IF(AND(A226&lt;&gt;"",A226&lt;&gt;0),A226,TODAY()))</f>
        <v/>
      </c>
      <c r="B226" s="20"/>
      <c r="C226" s="21"/>
      <c r="D226" s="21"/>
      <c r="E226" s="21"/>
      <c r="F226" s="21"/>
      <c r="G226" s="21"/>
      <c r="H226" s="22"/>
      <c r="I226" s="22"/>
      <c r="J226" s="22"/>
      <c r="K226" s="23" t="str">
        <f aca="false">IF($B226="","",IF(AND(I226="",J226=""),"",I226+J226))</f>
        <v/>
      </c>
      <c r="L226" s="23" t="str">
        <f aca="false">IF(OR($B226="",K226=""),"",K226-H226)</f>
        <v/>
      </c>
      <c r="M226" s="24" t="str">
        <f aca="false">IF($B226="","",IF(AND(I226="",J226=""),"Not Counted",IF(OR(I226="",J226=""),"Partially Counted",IF(L226=0,"Match",IF(L226&gt;0,"Overage","Shortage")))))</f>
        <v/>
      </c>
      <c r="N226" s="24" t="str">
        <f aca="false">IF($B226="","",IF(AND(N226&lt;&gt;"",N226&lt;&gt;0),N226,$B$4))</f>
        <v/>
      </c>
      <c r="O226" s="21"/>
      <c r="P226" s="21"/>
      <c r="Q226" s="21"/>
      <c r="V226" s="14"/>
      <c r="W226" s="14"/>
      <c r="X226" s="15"/>
      <c r="Y226" s="16"/>
      <c r="Z226" s="14"/>
      <c r="AA226" s="17"/>
      <c r="AC226" s="14"/>
      <c r="AD226" s="14"/>
      <c r="AE226" s="15"/>
      <c r="AF226" s="16"/>
      <c r="AG226" s="14"/>
      <c r="AH226" s="17"/>
      <c r="AJ226" s="14"/>
      <c r="AK226" s="14"/>
      <c r="AL226" s="14"/>
      <c r="AM226" s="17"/>
      <c r="AN226" s="15"/>
    </row>
    <row r="227" customFormat="false" ht="15" hidden="false" customHeight="false" outlineLevel="0" collapsed="false">
      <c r="A227" s="19" t="str">
        <f aca="true">IF($B227="","",IF(AND(A227&lt;&gt;"",A227&lt;&gt;0),A227,TODAY()))</f>
        <v/>
      </c>
      <c r="B227" s="20"/>
      <c r="C227" s="21"/>
      <c r="D227" s="21"/>
      <c r="E227" s="21"/>
      <c r="F227" s="21"/>
      <c r="G227" s="21"/>
      <c r="H227" s="22"/>
      <c r="I227" s="22"/>
      <c r="J227" s="22"/>
      <c r="K227" s="23" t="str">
        <f aca="false">IF($B227="","",IF(AND(I227="",J227=""),"",I227+J227))</f>
        <v/>
      </c>
      <c r="L227" s="23" t="str">
        <f aca="false">IF(OR($B227="",K227=""),"",K227-H227)</f>
        <v/>
      </c>
      <c r="M227" s="24" t="str">
        <f aca="false">IF($B227="","",IF(AND(I227="",J227=""),"Not Counted",IF(OR(I227="",J227=""),"Partially Counted",IF(L227=0,"Match",IF(L227&gt;0,"Overage","Shortage")))))</f>
        <v/>
      </c>
      <c r="N227" s="24" t="str">
        <f aca="false">IF($B227="","",IF(AND(N227&lt;&gt;"",N227&lt;&gt;0),N227,$B$4))</f>
        <v/>
      </c>
      <c r="O227" s="21"/>
      <c r="P227" s="21"/>
      <c r="Q227" s="21"/>
      <c r="V227" s="14"/>
      <c r="W227" s="14"/>
      <c r="X227" s="15"/>
      <c r="Y227" s="16"/>
      <c r="Z227" s="14"/>
      <c r="AA227" s="17"/>
      <c r="AC227" s="14"/>
      <c r="AD227" s="14"/>
      <c r="AE227" s="15"/>
      <c r="AF227" s="16"/>
      <c r="AG227" s="14"/>
      <c r="AH227" s="17"/>
      <c r="AJ227" s="14"/>
      <c r="AK227" s="14"/>
      <c r="AL227" s="14"/>
      <c r="AM227" s="17"/>
      <c r="AN227" s="15"/>
    </row>
    <row r="228" customFormat="false" ht="15" hidden="false" customHeight="false" outlineLevel="0" collapsed="false">
      <c r="A228" s="19" t="str">
        <f aca="true">IF($B228="","",IF(AND(A228&lt;&gt;"",A228&lt;&gt;0),A228,TODAY()))</f>
        <v/>
      </c>
      <c r="B228" s="20"/>
      <c r="C228" s="21"/>
      <c r="D228" s="21"/>
      <c r="E228" s="21"/>
      <c r="F228" s="21"/>
      <c r="G228" s="21"/>
      <c r="H228" s="22"/>
      <c r="I228" s="22"/>
      <c r="J228" s="22"/>
      <c r="K228" s="23" t="str">
        <f aca="false">IF($B228="","",IF(AND(I228="",J228=""),"",I228+J228))</f>
        <v/>
      </c>
      <c r="L228" s="23" t="str">
        <f aca="false">IF(OR($B228="",K228=""),"",K228-H228)</f>
        <v/>
      </c>
      <c r="M228" s="24" t="str">
        <f aca="false">IF($B228="","",IF(AND(I228="",J228=""),"Not Counted",IF(OR(I228="",J228=""),"Partially Counted",IF(L228=0,"Match",IF(L228&gt;0,"Overage","Shortage")))))</f>
        <v/>
      </c>
      <c r="N228" s="24" t="str">
        <f aca="false">IF($B228="","",IF(AND(N228&lt;&gt;"",N228&lt;&gt;0),N228,$B$4))</f>
        <v/>
      </c>
      <c r="O228" s="21"/>
      <c r="P228" s="21"/>
      <c r="Q228" s="21"/>
      <c r="V228" s="14"/>
      <c r="W228" s="14"/>
      <c r="X228" s="15"/>
      <c r="Y228" s="16"/>
      <c r="Z228" s="14"/>
      <c r="AA228" s="17"/>
      <c r="AC228" s="14"/>
      <c r="AD228" s="14"/>
      <c r="AE228" s="15"/>
      <c r="AF228" s="16"/>
      <c r="AG228" s="14"/>
      <c r="AH228" s="17"/>
      <c r="AJ228" s="14"/>
      <c r="AK228" s="14"/>
      <c r="AL228" s="14"/>
      <c r="AM228" s="17"/>
      <c r="AN228" s="15"/>
    </row>
    <row r="229" customFormat="false" ht="15" hidden="false" customHeight="false" outlineLevel="0" collapsed="false">
      <c r="A229" s="19" t="str">
        <f aca="true">IF($B229="","",IF(AND(A229&lt;&gt;"",A229&lt;&gt;0),A229,TODAY()))</f>
        <v/>
      </c>
      <c r="B229" s="20"/>
      <c r="C229" s="21"/>
      <c r="D229" s="21"/>
      <c r="E229" s="21"/>
      <c r="F229" s="21"/>
      <c r="G229" s="21"/>
      <c r="H229" s="22"/>
      <c r="I229" s="22"/>
      <c r="J229" s="22"/>
      <c r="K229" s="23" t="str">
        <f aca="false">IF($B229="","",IF(AND(I229="",J229=""),"",I229+J229))</f>
        <v/>
      </c>
      <c r="L229" s="23" t="str">
        <f aca="false">IF(OR($B229="",K229=""),"",K229-H229)</f>
        <v/>
      </c>
      <c r="M229" s="24" t="str">
        <f aca="false">IF($B229="","",IF(AND(I229="",J229=""),"Not Counted",IF(OR(I229="",J229=""),"Partially Counted",IF(L229=0,"Match",IF(L229&gt;0,"Overage","Shortage")))))</f>
        <v/>
      </c>
      <c r="N229" s="24" t="str">
        <f aca="false">IF($B229="","",IF(AND(N229&lt;&gt;"",N229&lt;&gt;0),N229,$B$4))</f>
        <v/>
      </c>
      <c r="O229" s="21"/>
      <c r="P229" s="21"/>
      <c r="Q229" s="21"/>
      <c r="V229" s="14"/>
      <c r="W229" s="14"/>
      <c r="X229" s="15"/>
      <c r="Y229" s="16"/>
      <c r="Z229" s="14"/>
      <c r="AA229" s="17"/>
      <c r="AC229" s="14"/>
      <c r="AD229" s="14"/>
      <c r="AE229" s="15"/>
      <c r="AF229" s="16"/>
      <c r="AG229" s="14"/>
      <c r="AH229" s="17"/>
      <c r="AJ229" s="14"/>
      <c r="AK229" s="14"/>
      <c r="AL229" s="14"/>
      <c r="AM229" s="17"/>
      <c r="AN229" s="15"/>
    </row>
    <row r="230" customFormat="false" ht="15" hidden="false" customHeight="false" outlineLevel="0" collapsed="false">
      <c r="A230" s="19" t="str">
        <f aca="true">IF($B230="","",IF(AND(A230&lt;&gt;"",A230&lt;&gt;0),A230,TODAY()))</f>
        <v/>
      </c>
      <c r="B230" s="20"/>
      <c r="C230" s="21"/>
      <c r="D230" s="21"/>
      <c r="E230" s="21"/>
      <c r="F230" s="21"/>
      <c r="G230" s="21"/>
      <c r="H230" s="22"/>
      <c r="I230" s="22"/>
      <c r="J230" s="22"/>
      <c r="K230" s="23" t="str">
        <f aca="false">IF($B230="","",IF(AND(I230="",J230=""),"",I230+J230))</f>
        <v/>
      </c>
      <c r="L230" s="23" t="str">
        <f aca="false">IF(OR($B230="",K230=""),"",K230-H230)</f>
        <v/>
      </c>
      <c r="M230" s="24" t="str">
        <f aca="false">IF($B230="","",IF(AND(I230="",J230=""),"Not Counted",IF(OR(I230="",J230=""),"Partially Counted",IF(L230=0,"Match",IF(L230&gt;0,"Overage","Shortage")))))</f>
        <v/>
      </c>
      <c r="N230" s="24" t="str">
        <f aca="false">IF($B230="","",IF(AND(N230&lt;&gt;"",N230&lt;&gt;0),N230,$B$4))</f>
        <v/>
      </c>
      <c r="O230" s="21"/>
      <c r="P230" s="21"/>
      <c r="Q230" s="21"/>
      <c r="V230" s="14"/>
      <c r="W230" s="14"/>
      <c r="X230" s="15"/>
      <c r="Y230" s="16"/>
      <c r="Z230" s="14"/>
      <c r="AA230" s="17"/>
      <c r="AC230" s="14"/>
      <c r="AD230" s="14"/>
      <c r="AE230" s="15"/>
      <c r="AF230" s="16"/>
      <c r="AG230" s="14"/>
      <c r="AH230" s="17"/>
      <c r="AJ230" s="14"/>
      <c r="AK230" s="14"/>
      <c r="AL230" s="14"/>
      <c r="AM230" s="17"/>
      <c r="AN230" s="15"/>
    </row>
    <row r="231" customFormat="false" ht="15" hidden="false" customHeight="false" outlineLevel="0" collapsed="false">
      <c r="A231" s="19" t="str">
        <f aca="true">IF($B231="","",IF(AND(A231&lt;&gt;"",A231&lt;&gt;0),A231,TODAY()))</f>
        <v/>
      </c>
      <c r="B231" s="20"/>
      <c r="C231" s="21"/>
      <c r="D231" s="21"/>
      <c r="E231" s="21"/>
      <c r="F231" s="21"/>
      <c r="G231" s="21"/>
      <c r="H231" s="22"/>
      <c r="I231" s="22"/>
      <c r="J231" s="22"/>
      <c r="K231" s="23" t="str">
        <f aca="false">IF($B231="","",IF(AND(I231="",J231=""),"",I231+J231))</f>
        <v/>
      </c>
      <c r="L231" s="23" t="str">
        <f aca="false">IF(OR($B231="",K231=""),"",K231-H231)</f>
        <v/>
      </c>
      <c r="M231" s="24" t="str">
        <f aca="false">IF($B231="","",IF(AND(I231="",J231=""),"Not Counted",IF(OR(I231="",J231=""),"Partially Counted",IF(L231=0,"Match",IF(L231&gt;0,"Overage","Shortage")))))</f>
        <v/>
      </c>
      <c r="N231" s="24" t="str">
        <f aca="false">IF($B231="","",IF(AND(N231&lt;&gt;"",N231&lt;&gt;0),N231,$B$4))</f>
        <v/>
      </c>
      <c r="O231" s="21"/>
      <c r="P231" s="21"/>
      <c r="Q231" s="21"/>
      <c r="V231" s="14"/>
      <c r="W231" s="14"/>
      <c r="X231" s="15"/>
      <c r="Y231" s="16"/>
      <c r="Z231" s="14"/>
      <c r="AA231" s="17"/>
      <c r="AC231" s="14"/>
      <c r="AD231" s="14"/>
      <c r="AE231" s="15"/>
      <c r="AF231" s="16"/>
      <c r="AG231" s="14"/>
      <c r="AH231" s="17"/>
      <c r="AJ231" s="14"/>
      <c r="AK231" s="14"/>
      <c r="AL231" s="14"/>
      <c r="AM231" s="17"/>
      <c r="AN231" s="15"/>
    </row>
    <row r="232" customFormat="false" ht="15" hidden="false" customHeight="false" outlineLevel="0" collapsed="false">
      <c r="A232" s="19" t="str">
        <f aca="true">IF($B232="","",IF(AND(A232&lt;&gt;"",A232&lt;&gt;0),A232,TODAY()))</f>
        <v/>
      </c>
      <c r="B232" s="20"/>
      <c r="C232" s="21"/>
      <c r="D232" s="21"/>
      <c r="E232" s="21"/>
      <c r="F232" s="21"/>
      <c r="G232" s="21"/>
      <c r="H232" s="22"/>
      <c r="I232" s="22"/>
      <c r="J232" s="22"/>
      <c r="K232" s="23" t="str">
        <f aca="false">IF($B232="","",IF(AND(I232="",J232=""),"",I232+J232))</f>
        <v/>
      </c>
      <c r="L232" s="23" t="str">
        <f aca="false">IF(OR($B232="",K232=""),"",K232-H232)</f>
        <v/>
      </c>
      <c r="M232" s="24" t="str">
        <f aca="false">IF($B232="","",IF(AND(I232="",J232=""),"Not Counted",IF(OR(I232="",J232=""),"Partially Counted",IF(L232=0,"Match",IF(L232&gt;0,"Overage","Shortage")))))</f>
        <v/>
      </c>
      <c r="N232" s="24" t="str">
        <f aca="false">IF($B232="","",IF(AND(N232&lt;&gt;"",N232&lt;&gt;0),N232,$B$4))</f>
        <v/>
      </c>
      <c r="O232" s="21"/>
      <c r="P232" s="21"/>
      <c r="Q232" s="21"/>
      <c r="V232" s="14"/>
      <c r="W232" s="14"/>
      <c r="X232" s="15"/>
      <c r="Y232" s="16"/>
      <c r="Z232" s="14"/>
      <c r="AA232" s="17"/>
      <c r="AC232" s="14"/>
      <c r="AD232" s="14"/>
      <c r="AE232" s="15"/>
      <c r="AF232" s="16"/>
      <c r="AG232" s="14"/>
      <c r="AH232" s="17"/>
      <c r="AJ232" s="14"/>
      <c r="AK232" s="14"/>
      <c r="AL232" s="14"/>
      <c r="AM232" s="17"/>
      <c r="AN232" s="15"/>
    </row>
    <row r="233" customFormat="false" ht="15" hidden="false" customHeight="false" outlineLevel="0" collapsed="false">
      <c r="A233" s="19" t="str">
        <f aca="true">IF($B233="","",IF(AND(A233&lt;&gt;"",A233&lt;&gt;0),A233,TODAY()))</f>
        <v/>
      </c>
      <c r="B233" s="20"/>
      <c r="C233" s="21"/>
      <c r="D233" s="21"/>
      <c r="E233" s="21"/>
      <c r="F233" s="21"/>
      <c r="G233" s="21"/>
      <c r="H233" s="22"/>
      <c r="I233" s="22"/>
      <c r="J233" s="22"/>
      <c r="K233" s="23" t="str">
        <f aca="false">IF($B233="","",IF(AND(I233="",J233=""),"",I233+J233))</f>
        <v/>
      </c>
      <c r="L233" s="23" t="str">
        <f aca="false">IF(OR($B233="",K233=""),"",K233-H233)</f>
        <v/>
      </c>
      <c r="M233" s="24" t="str">
        <f aca="false">IF($B233="","",IF(AND(I233="",J233=""),"Not Counted",IF(OR(I233="",J233=""),"Partially Counted",IF(L233=0,"Match",IF(L233&gt;0,"Overage","Shortage")))))</f>
        <v/>
      </c>
      <c r="N233" s="24" t="str">
        <f aca="false">IF($B233="","",IF(AND(N233&lt;&gt;"",N233&lt;&gt;0),N233,$B$4))</f>
        <v/>
      </c>
      <c r="O233" s="21"/>
      <c r="P233" s="21"/>
      <c r="Q233" s="21"/>
      <c r="V233" s="14"/>
      <c r="W233" s="14"/>
      <c r="X233" s="15"/>
      <c r="Y233" s="16"/>
      <c r="Z233" s="14"/>
      <c r="AA233" s="17"/>
      <c r="AC233" s="14"/>
      <c r="AD233" s="14"/>
      <c r="AE233" s="15"/>
      <c r="AF233" s="16"/>
      <c r="AG233" s="14"/>
      <c r="AH233" s="17"/>
      <c r="AJ233" s="14"/>
      <c r="AK233" s="14"/>
      <c r="AL233" s="14"/>
      <c r="AM233" s="17"/>
      <c r="AN233" s="15"/>
    </row>
    <row r="234" customFormat="false" ht="15" hidden="false" customHeight="false" outlineLevel="0" collapsed="false">
      <c r="A234" s="19" t="str">
        <f aca="true">IF($B234="","",IF(AND(A234&lt;&gt;"",A234&lt;&gt;0),A234,TODAY()))</f>
        <v/>
      </c>
      <c r="B234" s="20"/>
      <c r="C234" s="21"/>
      <c r="D234" s="21"/>
      <c r="E234" s="21"/>
      <c r="F234" s="21"/>
      <c r="G234" s="21"/>
      <c r="H234" s="22"/>
      <c r="I234" s="22"/>
      <c r="J234" s="22"/>
      <c r="K234" s="23" t="str">
        <f aca="false">IF($B234="","",IF(AND(I234="",J234=""),"",I234+J234))</f>
        <v/>
      </c>
      <c r="L234" s="23" t="str">
        <f aca="false">IF(OR($B234="",K234=""),"",K234-H234)</f>
        <v/>
      </c>
      <c r="M234" s="24" t="str">
        <f aca="false">IF($B234="","",IF(AND(I234="",J234=""),"Not Counted",IF(OR(I234="",J234=""),"Partially Counted",IF(L234=0,"Match",IF(L234&gt;0,"Overage","Shortage")))))</f>
        <v/>
      </c>
      <c r="N234" s="24" t="str">
        <f aca="false">IF($B234="","",IF(AND(N234&lt;&gt;"",N234&lt;&gt;0),N234,$B$4))</f>
        <v/>
      </c>
      <c r="O234" s="21"/>
      <c r="P234" s="21"/>
      <c r="Q234" s="21"/>
      <c r="V234" s="14"/>
      <c r="W234" s="14"/>
      <c r="X234" s="15"/>
      <c r="Y234" s="16"/>
      <c r="Z234" s="14"/>
      <c r="AA234" s="17"/>
      <c r="AC234" s="14"/>
      <c r="AD234" s="14"/>
      <c r="AE234" s="15"/>
      <c r="AF234" s="16"/>
      <c r="AG234" s="14"/>
      <c r="AH234" s="17"/>
      <c r="AJ234" s="14"/>
      <c r="AK234" s="14"/>
      <c r="AL234" s="14"/>
      <c r="AM234" s="17"/>
      <c r="AN234" s="15"/>
    </row>
    <row r="235" customFormat="false" ht="15" hidden="false" customHeight="false" outlineLevel="0" collapsed="false">
      <c r="A235" s="19" t="str">
        <f aca="true">IF($B235="","",IF(AND(A235&lt;&gt;"",A235&lt;&gt;0),A235,TODAY()))</f>
        <v/>
      </c>
      <c r="B235" s="20"/>
      <c r="C235" s="21"/>
      <c r="D235" s="21"/>
      <c r="E235" s="21"/>
      <c r="F235" s="21"/>
      <c r="G235" s="21"/>
      <c r="H235" s="22"/>
      <c r="I235" s="22"/>
      <c r="J235" s="22"/>
      <c r="K235" s="23" t="str">
        <f aca="false">IF($B235="","",IF(AND(I235="",J235=""),"",I235+J235))</f>
        <v/>
      </c>
      <c r="L235" s="23" t="str">
        <f aca="false">IF(OR($B235="",K235=""),"",K235-H235)</f>
        <v/>
      </c>
      <c r="M235" s="24" t="str">
        <f aca="false">IF($B235="","",IF(AND(I235="",J235=""),"Not Counted",IF(OR(I235="",J235=""),"Partially Counted",IF(L235=0,"Match",IF(L235&gt;0,"Overage","Shortage")))))</f>
        <v/>
      </c>
      <c r="N235" s="24" t="str">
        <f aca="false">IF($B235="","",IF(AND(N235&lt;&gt;"",N235&lt;&gt;0),N235,$B$4))</f>
        <v/>
      </c>
      <c r="O235" s="21"/>
      <c r="P235" s="21"/>
      <c r="Q235" s="21"/>
      <c r="V235" s="14"/>
      <c r="W235" s="14"/>
      <c r="X235" s="15"/>
      <c r="Y235" s="16"/>
      <c r="Z235" s="14"/>
      <c r="AA235" s="17"/>
      <c r="AC235" s="14"/>
      <c r="AD235" s="14"/>
      <c r="AE235" s="15"/>
      <c r="AF235" s="16"/>
      <c r="AG235" s="14"/>
      <c r="AH235" s="17"/>
      <c r="AJ235" s="14"/>
      <c r="AK235" s="14"/>
      <c r="AL235" s="14"/>
      <c r="AM235" s="17"/>
      <c r="AN235" s="15"/>
    </row>
    <row r="236" customFormat="false" ht="15" hidden="false" customHeight="false" outlineLevel="0" collapsed="false">
      <c r="A236" s="19" t="str">
        <f aca="true">IF($B236="","",IF(AND(A236&lt;&gt;"",A236&lt;&gt;0),A236,TODAY()))</f>
        <v/>
      </c>
      <c r="B236" s="20"/>
      <c r="C236" s="21"/>
      <c r="D236" s="21"/>
      <c r="E236" s="21"/>
      <c r="F236" s="21"/>
      <c r="G236" s="21"/>
      <c r="H236" s="22"/>
      <c r="I236" s="22"/>
      <c r="J236" s="22"/>
      <c r="K236" s="23" t="str">
        <f aca="false">IF($B236="","",IF(AND(I236="",J236=""),"",I236+J236))</f>
        <v/>
      </c>
      <c r="L236" s="23" t="str">
        <f aca="false">IF(OR($B236="",K236=""),"",K236-H236)</f>
        <v/>
      </c>
      <c r="M236" s="24" t="str">
        <f aca="false">IF($B236="","",IF(AND(I236="",J236=""),"Not Counted",IF(OR(I236="",J236=""),"Partially Counted",IF(L236=0,"Match",IF(L236&gt;0,"Overage","Shortage")))))</f>
        <v/>
      </c>
      <c r="N236" s="24" t="str">
        <f aca="false">IF($B236="","",IF(AND(N236&lt;&gt;"",N236&lt;&gt;0),N236,$B$4))</f>
        <v/>
      </c>
      <c r="O236" s="21"/>
      <c r="P236" s="21"/>
      <c r="Q236" s="21"/>
      <c r="V236" s="14"/>
      <c r="W236" s="14"/>
      <c r="X236" s="15"/>
      <c r="Y236" s="16"/>
      <c r="Z236" s="14"/>
      <c r="AA236" s="17"/>
      <c r="AC236" s="14"/>
      <c r="AD236" s="14"/>
      <c r="AE236" s="15"/>
      <c r="AF236" s="16"/>
      <c r="AG236" s="14"/>
      <c r="AH236" s="17"/>
      <c r="AJ236" s="14"/>
      <c r="AK236" s="14"/>
      <c r="AL236" s="14"/>
      <c r="AM236" s="17"/>
      <c r="AN236" s="15"/>
    </row>
    <row r="237" customFormat="false" ht="15" hidden="false" customHeight="false" outlineLevel="0" collapsed="false">
      <c r="A237" s="19" t="str">
        <f aca="true">IF($B237="","",IF(AND(A237&lt;&gt;"",A237&lt;&gt;0),A237,TODAY()))</f>
        <v/>
      </c>
      <c r="B237" s="20"/>
      <c r="C237" s="21"/>
      <c r="D237" s="21"/>
      <c r="E237" s="21"/>
      <c r="F237" s="21"/>
      <c r="G237" s="21"/>
      <c r="H237" s="22"/>
      <c r="I237" s="22"/>
      <c r="J237" s="22"/>
      <c r="K237" s="23" t="str">
        <f aca="false">IF($B237="","",IF(AND(I237="",J237=""),"",I237+J237))</f>
        <v/>
      </c>
      <c r="L237" s="23" t="str">
        <f aca="false">IF(OR($B237="",K237=""),"",K237-H237)</f>
        <v/>
      </c>
      <c r="M237" s="24" t="str">
        <f aca="false">IF($B237="","",IF(AND(I237="",J237=""),"Not Counted",IF(OR(I237="",J237=""),"Partially Counted",IF(L237=0,"Match",IF(L237&gt;0,"Overage","Shortage")))))</f>
        <v/>
      </c>
      <c r="N237" s="24" t="str">
        <f aca="false">IF($B237="","",IF(AND(N237&lt;&gt;"",N237&lt;&gt;0),N237,$B$4))</f>
        <v/>
      </c>
      <c r="O237" s="21"/>
      <c r="P237" s="21"/>
      <c r="Q237" s="21"/>
      <c r="V237" s="14"/>
      <c r="W237" s="14"/>
      <c r="X237" s="15"/>
      <c r="Y237" s="16"/>
      <c r="Z237" s="14"/>
      <c r="AA237" s="17"/>
      <c r="AC237" s="14"/>
      <c r="AD237" s="14"/>
      <c r="AE237" s="15"/>
      <c r="AF237" s="16"/>
      <c r="AG237" s="14"/>
      <c r="AH237" s="17"/>
      <c r="AJ237" s="14"/>
      <c r="AK237" s="14"/>
      <c r="AL237" s="14"/>
      <c r="AM237" s="17"/>
      <c r="AN237" s="15"/>
    </row>
    <row r="238" customFormat="false" ht="15" hidden="false" customHeight="false" outlineLevel="0" collapsed="false">
      <c r="A238" s="19" t="str">
        <f aca="true">IF($B238="","",IF(AND(A238&lt;&gt;"",A238&lt;&gt;0),A238,TODAY()))</f>
        <v/>
      </c>
      <c r="B238" s="20"/>
      <c r="C238" s="21"/>
      <c r="D238" s="21"/>
      <c r="E238" s="21"/>
      <c r="F238" s="21"/>
      <c r="G238" s="21"/>
      <c r="H238" s="22"/>
      <c r="I238" s="22"/>
      <c r="J238" s="22"/>
      <c r="K238" s="23" t="str">
        <f aca="false">IF($B238="","",IF(AND(I238="",J238=""),"",I238+J238))</f>
        <v/>
      </c>
      <c r="L238" s="23" t="str">
        <f aca="false">IF(OR($B238="",K238=""),"",K238-H238)</f>
        <v/>
      </c>
      <c r="M238" s="24" t="str">
        <f aca="false">IF($B238="","",IF(AND(I238="",J238=""),"Not Counted",IF(OR(I238="",J238=""),"Partially Counted",IF(L238=0,"Match",IF(L238&gt;0,"Overage","Shortage")))))</f>
        <v/>
      </c>
      <c r="N238" s="24" t="str">
        <f aca="false">IF($B238="","",IF(AND(N238&lt;&gt;"",N238&lt;&gt;0),N238,$B$4))</f>
        <v/>
      </c>
      <c r="O238" s="21"/>
      <c r="P238" s="21"/>
      <c r="Q238" s="21"/>
      <c r="V238" s="14"/>
      <c r="W238" s="14"/>
      <c r="X238" s="15"/>
      <c r="Y238" s="16"/>
      <c r="Z238" s="14"/>
      <c r="AA238" s="17"/>
      <c r="AC238" s="14"/>
      <c r="AD238" s="14"/>
      <c r="AE238" s="15"/>
      <c r="AF238" s="16"/>
      <c r="AG238" s="14"/>
      <c r="AH238" s="17"/>
      <c r="AJ238" s="14"/>
      <c r="AK238" s="14"/>
      <c r="AL238" s="14"/>
      <c r="AM238" s="17"/>
      <c r="AN238" s="15"/>
    </row>
    <row r="239" customFormat="false" ht="15" hidden="false" customHeight="false" outlineLevel="0" collapsed="false">
      <c r="A239" s="19" t="str">
        <f aca="true">IF($B239="","",IF(AND(A239&lt;&gt;"",A239&lt;&gt;0),A239,TODAY()))</f>
        <v/>
      </c>
      <c r="B239" s="20"/>
      <c r="C239" s="21"/>
      <c r="D239" s="21"/>
      <c r="E239" s="21"/>
      <c r="F239" s="21"/>
      <c r="G239" s="21"/>
      <c r="H239" s="22"/>
      <c r="I239" s="22"/>
      <c r="J239" s="22"/>
      <c r="K239" s="23" t="str">
        <f aca="false">IF($B239="","",IF(AND(I239="",J239=""),"",I239+J239))</f>
        <v/>
      </c>
      <c r="L239" s="23" t="str">
        <f aca="false">IF(OR($B239="",K239=""),"",K239-H239)</f>
        <v/>
      </c>
      <c r="M239" s="24" t="str">
        <f aca="false">IF($B239="","",IF(AND(I239="",J239=""),"Not Counted",IF(OR(I239="",J239=""),"Partially Counted",IF(L239=0,"Match",IF(L239&gt;0,"Overage","Shortage")))))</f>
        <v/>
      </c>
      <c r="N239" s="24" t="str">
        <f aca="false">IF($B239="","",IF(AND(N239&lt;&gt;"",N239&lt;&gt;0),N239,$B$4))</f>
        <v/>
      </c>
      <c r="O239" s="21"/>
      <c r="P239" s="21"/>
      <c r="Q239" s="21"/>
      <c r="V239" s="14"/>
      <c r="W239" s="14"/>
      <c r="X239" s="15"/>
      <c r="Y239" s="16"/>
      <c r="Z239" s="14"/>
      <c r="AA239" s="17"/>
      <c r="AC239" s="14"/>
      <c r="AD239" s="14"/>
      <c r="AE239" s="15"/>
      <c r="AF239" s="16"/>
      <c r="AG239" s="14"/>
      <c r="AH239" s="17"/>
      <c r="AJ239" s="14"/>
      <c r="AK239" s="14"/>
      <c r="AL239" s="14"/>
      <c r="AM239" s="17"/>
      <c r="AN239" s="15"/>
    </row>
    <row r="240" customFormat="false" ht="15" hidden="false" customHeight="false" outlineLevel="0" collapsed="false">
      <c r="A240" s="19" t="str">
        <f aca="true">IF($B240="","",IF(AND(A240&lt;&gt;"",A240&lt;&gt;0),A240,TODAY()))</f>
        <v/>
      </c>
      <c r="B240" s="20"/>
      <c r="C240" s="21"/>
      <c r="D240" s="21"/>
      <c r="E240" s="21"/>
      <c r="F240" s="21"/>
      <c r="G240" s="21"/>
      <c r="H240" s="22"/>
      <c r="I240" s="22"/>
      <c r="J240" s="22"/>
      <c r="K240" s="23" t="str">
        <f aca="false">IF($B240="","",IF(AND(I240="",J240=""),"",I240+J240))</f>
        <v/>
      </c>
      <c r="L240" s="23" t="str">
        <f aca="false">IF(OR($B240="",K240=""),"",K240-H240)</f>
        <v/>
      </c>
      <c r="M240" s="24" t="str">
        <f aca="false">IF($B240="","",IF(AND(I240="",J240=""),"Not Counted",IF(OR(I240="",J240=""),"Partially Counted",IF(L240=0,"Match",IF(L240&gt;0,"Overage","Shortage")))))</f>
        <v/>
      </c>
      <c r="N240" s="24" t="str">
        <f aca="false">IF($B240="","",IF(AND(N240&lt;&gt;"",N240&lt;&gt;0),N240,$B$4))</f>
        <v/>
      </c>
      <c r="O240" s="21"/>
      <c r="P240" s="21"/>
      <c r="Q240" s="21"/>
      <c r="V240" s="14"/>
      <c r="W240" s="14"/>
      <c r="X240" s="15"/>
      <c r="Y240" s="16"/>
      <c r="Z240" s="14"/>
      <c r="AA240" s="17"/>
      <c r="AC240" s="14"/>
      <c r="AD240" s="14"/>
      <c r="AE240" s="15"/>
      <c r="AF240" s="16"/>
      <c r="AG240" s="14"/>
      <c r="AH240" s="17"/>
      <c r="AJ240" s="14"/>
      <c r="AK240" s="14"/>
      <c r="AL240" s="14"/>
      <c r="AM240" s="17"/>
      <c r="AN240" s="15"/>
    </row>
    <row r="241" customFormat="false" ht="15" hidden="false" customHeight="false" outlineLevel="0" collapsed="false">
      <c r="A241" s="19" t="str">
        <f aca="true">IF($B241="","",IF(AND(A241&lt;&gt;"",A241&lt;&gt;0),A241,TODAY()))</f>
        <v/>
      </c>
      <c r="B241" s="20"/>
      <c r="C241" s="21"/>
      <c r="D241" s="21"/>
      <c r="E241" s="21"/>
      <c r="F241" s="21"/>
      <c r="G241" s="21"/>
      <c r="H241" s="22"/>
      <c r="I241" s="22"/>
      <c r="J241" s="22"/>
      <c r="K241" s="23" t="str">
        <f aca="false">IF($B241="","",IF(AND(I241="",J241=""),"",I241+J241))</f>
        <v/>
      </c>
      <c r="L241" s="23" t="str">
        <f aca="false">IF(OR($B241="",K241=""),"",K241-H241)</f>
        <v/>
      </c>
      <c r="M241" s="24" t="str">
        <f aca="false">IF($B241="","",IF(AND(I241="",J241=""),"Not Counted",IF(OR(I241="",J241=""),"Partially Counted",IF(L241=0,"Match",IF(L241&gt;0,"Overage","Shortage")))))</f>
        <v/>
      </c>
      <c r="N241" s="24" t="str">
        <f aca="false">IF($B241="","",IF(AND(N241&lt;&gt;"",N241&lt;&gt;0),N241,$B$4))</f>
        <v/>
      </c>
      <c r="O241" s="21"/>
      <c r="P241" s="21"/>
      <c r="Q241" s="21"/>
      <c r="V241" s="14"/>
      <c r="W241" s="14"/>
      <c r="X241" s="15"/>
      <c r="Y241" s="16"/>
      <c r="Z241" s="14"/>
      <c r="AA241" s="17"/>
      <c r="AC241" s="14"/>
      <c r="AD241" s="14"/>
      <c r="AE241" s="15"/>
      <c r="AF241" s="16"/>
      <c r="AG241" s="14"/>
      <c r="AH241" s="17"/>
      <c r="AJ241" s="14"/>
      <c r="AK241" s="14"/>
      <c r="AL241" s="14"/>
      <c r="AM241" s="17"/>
      <c r="AN241" s="15"/>
    </row>
    <row r="242" customFormat="false" ht="15" hidden="false" customHeight="false" outlineLevel="0" collapsed="false">
      <c r="A242" s="19" t="str">
        <f aca="true">IF($B242="","",IF(AND(A242&lt;&gt;"",A242&lt;&gt;0),A242,TODAY()))</f>
        <v/>
      </c>
      <c r="B242" s="20"/>
      <c r="C242" s="21"/>
      <c r="D242" s="21"/>
      <c r="E242" s="21"/>
      <c r="F242" s="21"/>
      <c r="G242" s="21"/>
      <c r="H242" s="22"/>
      <c r="I242" s="22"/>
      <c r="J242" s="22"/>
      <c r="K242" s="23" t="str">
        <f aca="false">IF($B242="","",IF(AND(I242="",J242=""),"",I242+J242))</f>
        <v/>
      </c>
      <c r="L242" s="23" t="str">
        <f aca="false">IF(OR($B242="",K242=""),"",K242-H242)</f>
        <v/>
      </c>
      <c r="M242" s="24" t="str">
        <f aca="false">IF($B242="","",IF(AND(I242="",J242=""),"Not Counted",IF(OR(I242="",J242=""),"Partially Counted",IF(L242=0,"Match",IF(L242&gt;0,"Overage","Shortage")))))</f>
        <v/>
      </c>
      <c r="N242" s="24" t="str">
        <f aca="false">IF($B242="","",IF(AND(N242&lt;&gt;"",N242&lt;&gt;0),N242,$B$4))</f>
        <v/>
      </c>
      <c r="O242" s="21"/>
      <c r="P242" s="21"/>
      <c r="Q242" s="21"/>
      <c r="V242" s="14"/>
      <c r="W242" s="14"/>
      <c r="X242" s="15"/>
      <c r="Y242" s="16"/>
      <c r="Z242" s="14"/>
      <c r="AA242" s="17"/>
      <c r="AC242" s="14"/>
      <c r="AD242" s="14"/>
      <c r="AE242" s="15"/>
      <c r="AF242" s="16"/>
      <c r="AG242" s="14"/>
      <c r="AH242" s="17"/>
      <c r="AJ242" s="14"/>
      <c r="AK242" s="14"/>
      <c r="AL242" s="14"/>
      <c r="AM242" s="17"/>
      <c r="AN242" s="15"/>
    </row>
    <row r="243" customFormat="false" ht="15" hidden="false" customHeight="false" outlineLevel="0" collapsed="false">
      <c r="A243" s="19" t="str">
        <f aca="true">IF($B243="","",IF(AND(A243&lt;&gt;"",A243&lt;&gt;0),A243,TODAY()))</f>
        <v/>
      </c>
      <c r="B243" s="20"/>
      <c r="C243" s="21"/>
      <c r="D243" s="21"/>
      <c r="E243" s="21"/>
      <c r="F243" s="21"/>
      <c r="G243" s="21"/>
      <c r="H243" s="22"/>
      <c r="I243" s="22"/>
      <c r="J243" s="22"/>
      <c r="K243" s="23" t="str">
        <f aca="false">IF($B243="","",IF(AND(I243="",J243=""),"",I243+J243))</f>
        <v/>
      </c>
      <c r="L243" s="23" t="str">
        <f aca="false">IF(OR($B243="",K243=""),"",K243-H243)</f>
        <v/>
      </c>
      <c r="M243" s="24" t="str">
        <f aca="false">IF($B243="","",IF(AND(I243="",J243=""),"Not Counted",IF(OR(I243="",J243=""),"Partially Counted",IF(L243=0,"Match",IF(L243&gt;0,"Overage","Shortage")))))</f>
        <v/>
      </c>
      <c r="N243" s="24" t="str">
        <f aca="false">IF($B243="","",IF(AND(N243&lt;&gt;"",N243&lt;&gt;0),N243,$B$4))</f>
        <v/>
      </c>
      <c r="O243" s="21"/>
      <c r="P243" s="21"/>
      <c r="Q243" s="21"/>
      <c r="V243" s="14"/>
      <c r="W243" s="14"/>
      <c r="X243" s="15"/>
      <c r="Y243" s="16"/>
      <c r="Z243" s="14"/>
      <c r="AA243" s="17"/>
      <c r="AC243" s="14"/>
      <c r="AD243" s="14"/>
      <c r="AE243" s="15"/>
      <c r="AF243" s="16"/>
      <c r="AG243" s="14"/>
      <c r="AH243" s="17"/>
      <c r="AJ243" s="14"/>
      <c r="AK243" s="14"/>
      <c r="AL243" s="14"/>
      <c r="AM243" s="17"/>
      <c r="AN243" s="15"/>
    </row>
    <row r="244" customFormat="false" ht="15" hidden="false" customHeight="false" outlineLevel="0" collapsed="false">
      <c r="A244" s="19" t="str">
        <f aca="true">IF($B244="","",IF(AND(A244&lt;&gt;"",A244&lt;&gt;0),A244,TODAY()))</f>
        <v/>
      </c>
      <c r="B244" s="20"/>
      <c r="C244" s="21"/>
      <c r="D244" s="21"/>
      <c r="E244" s="21"/>
      <c r="F244" s="21"/>
      <c r="G244" s="21"/>
      <c r="H244" s="22"/>
      <c r="I244" s="22"/>
      <c r="J244" s="22"/>
      <c r="K244" s="23" t="str">
        <f aca="false">IF($B244="","",IF(AND(I244="",J244=""),"",I244+J244))</f>
        <v/>
      </c>
      <c r="L244" s="23" t="str">
        <f aca="false">IF(OR($B244="",K244=""),"",K244-H244)</f>
        <v/>
      </c>
      <c r="M244" s="24" t="str">
        <f aca="false">IF($B244="","",IF(AND(I244="",J244=""),"Not Counted",IF(OR(I244="",J244=""),"Partially Counted",IF(L244=0,"Match",IF(L244&gt;0,"Overage","Shortage")))))</f>
        <v/>
      </c>
      <c r="N244" s="24" t="str">
        <f aca="false">IF($B244="","",IF(AND(N244&lt;&gt;"",N244&lt;&gt;0),N244,$B$4))</f>
        <v/>
      </c>
      <c r="O244" s="21"/>
      <c r="P244" s="21"/>
      <c r="Q244" s="21"/>
      <c r="V244" s="14"/>
      <c r="W244" s="14"/>
      <c r="X244" s="15"/>
      <c r="Y244" s="16"/>
      <c r="Z244" s="14"/>
      <c r="AA244" s="17"/>
      <c r="AC244" s="14"/>
      <c r="AD244" s="14"/>
      <c r="AE244" s="15"/>
      <c r="AF244" s="16"/>
      <c r="AG244" s="14"/>
      <c r="AH244" s="17"/>
      <c r="AJ244" s="14"/>
      <c r="AK244" s="14"/>
      <c r="AL244" s="14"/>
      <c r="AM244" s="17"/>
      <c r="AN244" s="15"/>
    </row>
    <row r="245" customFormat="false" ht="15" hidden="false" customHeight="false" outlineLevel="0" collapsed="false">
      <c r="A245" s="19" t="str">
        <f aca="true">IF($B245="","",IF(AND(A245&lt;&gt;"",A245&lt;&gt;0),A245,TODAY()))</f>
        <v/>
      </c>
      <c r="B245" s="20"/>
      <c r="C245" s="21"/>
      <c r="D245" s="21"/>
      <c r="E245" s="21"/>
      <c r="F245" s="21"/>
      <c r="G245" s="21"/>
      <c r="H245" s="22"/>
      <c r="I245" s="22"/>
      <c r="J245" s="22"/>
      <c r="K245" s="23" t="str">
        <f aca="false">IF($B245="","",IF(AND(I245="",J245=""),"",I245+J245))</f>
        <v/>
      </c>
      <c r="L245" s="23" t="str">
        <f aca="false">IF(OR($B245="",K245=""),"",K245-H245)</f>
        <v/>
      </c>
      <c r="M245" s="24" t="str">
        <f aca="false">IF($B245="","",IF(AND(I245="",J245=""),"Not Counted",IF(OR(I245="",J245=""),"Partially Counted",IF(L245=0,"Match",IF(L245&gt;0,"Overage","Shortage")))))</f>
        <v/>
      </c>
      <c r="N245" s="24" t="str">
        <f aca="false">IF($B245="","",IF(AND(N245&lt;&gt;"",N245&lt;&gt;0),N245,$B$4))</f>
        <v/>
      </c>
      <c r="O245" s="21"/>
      <c r="P245" s="21"/>
      <c r="Q245" s="21"/>
      <c r="V245" s="14"/>
      <c r="W245" s="14"/>
      <c r="X245" s="15"/>
      <c r="Y245" s="16"/>
      <c r="Z245" s="14"/>
      <c r="AA245" s="17"/>
      <c r="AC245" s="14"/>
      <c r="AD245" s="14"/>
      <c r="AE245" s="15"/>
      <c r="AF245" s="16"/>
      <c r="AG245" s="14"/>
      <c r="AH245" s="17"/>
      <c r="AJ245" s="14"/>
      <c r="AK245" s="14"/>
      <c r="AL245" s="14"/>
      <c r="AM245" s="17"/>
      <c r="AN245" s="15"/>
    </row>
    <row r="246" customFormat="false" ht="15" hidden="false" customHeight="false" outlineLevel="0" collapsed="false">
      <c r="A246" s="19" t="str">
        <f aca="true">IF($B246="","",IF(AND(A246&lt;&gt;"",A246&lt;&gt;0),A246,TODAY()))</f>
        <v/>
      </c>
      <c r="B246" s="20"/>
      <c r="C246" s="21"/>
      <c r="D246" s="21"/>
      <c r="E246" s="21"/>
      <c r="F246" s="21"/>
      <c r="G246" s="21"/>
      <c r="H246" s="22"/>
      <c r="I246" s="22"/>
      <c r="J246" s="22"/>
      <c r="K246" s="23" t="str">
        <f aca="false">IF($B246="","",IF(AND(I246="",J246=""),"",I246+J246))</f>
        <v/>
      </c>
      <c r="L246" s="23" t="str">
        <f aca="false">IF(OR($B246="",K246=""),"",K246-H246)</f>
        <v/>
      </c>
      <c r="M246" s="24" t="str">
        <f aca="false">IF($B246="","",IF(AND(I246="",J246=""),"Not Counted",IF(OR(I246="",J246=""),"Partially Counted",IF(L246=0,"Match",IF(L246&gt;0,"Overage","Shortage")))))</f>
        <v/>
      </c>
      <c r="N246" s="24" t="str">
        <f aca="false">IF($B246="","",IF(AND(N246&lt;&gt;"",N246&lt;&gt;0),N246,$B$4))</f>
        <v/>
      </c>
      <c r="O246" s="21"/>
      <c r="P246" s="21"/>
      <c r="Q246" s="21"/>
      <c r="V246" s="14"/>
      <c r="W246" s="14"/>
      <c r="X246" s="15"/>
      <c r="Y246" s="16"/>
      <c r="Z246" s="14"/>
      <c r="AA246" s="17"/>
      <c r="AC246" s="14"/>
      <c r="AD246" s="14"/>
      <c r="AE246" s="15"/>
      <c r="AF246" s="16"/>
      <c r="AG246" s="14"/>
      <c r="AH246" s="17"/>
      <c r="AJ246" s="14"/>
      <c r="AK246" s="14"/>
      <c r="AL246" s="14"/>
      <c r="AM246" s="17"/>
      <c r="AN246" s="15"/>
    </row>
    <row r="247" customFormat="false" ht="15" hidden="false" customHeight="false" outlineLevel="0" collapsed="false">
      <c r="A247" s="19" t="str">
        <f aca="true">IF($B247="","",IF(AND(A247&lt;&gt;"",A247&lt;&gt;0),A247,TODAY()))</f>
        <v/>
      </c>
      <c r="B247" s="20"/>
      <c r="C247" s="21"/>
      <c r="D247" s="21"/>
      <c r="E247" s="21"/>
      <c r="F247" s="21"/>
      <c r="G247" s="21"/>
      <c r="H247" s="22"/>
      <c r="I247" s="22"/>
      <c r="J247" s="22"/>
      <c r="K247" s="23" t="str">
        <f aca="false">IF($B247="","",IF(AND(I247="",J247=""),"",I247+J247))</f>
        <v/>
      </c>
      <c r="L247" s="23" t="str">
        <f aca="false">IF(OR($B247="",K247=""),"",K247-H247)</f>
        <v/>
      </c>
      <c r="M247" s="24" t="str">
        <f aca="false">IF($B247="","",IF(AND(I247="",J247=""),"Not Counted",IF(OR(I247="",J247=""),"Partially Counted",IF(L247=0,"Match",IF(L247&gt;0,"Overage","Shortage")))))</f>
        <v/>
      </c>
      <c r="N247" s="24" t="str">
        <f aca="false">IF($B247="","",IF(AND(N247&lt;&gt;"",N247&lt;&gt;0),N247,$B$4))</f>
        <v/>
      </c>
      <c r="O247" s="21"/>
      <c r="P247" s="21"/>
      <c r="Q247" s="21"/>
      <c r="V247" s="14"/>
      <c r="W247" s="14"/>
      <c r="X247" s="15"/>
      <c r="Y247" s="16"/>
      <c r="Z247" s="14"/>
      <c r="AA247" s="17"/>
      <c r="AC247" s="14"/>
      <c r="AD247" s="14"/>
      <c r="AE247" s="15"/>
      <c r="AF247" s="16"/>
      <c r="AG247" s="14"/>
      <c r="AH247" s="17"/>
      <c r="AJ247" s="14"/>
      <c r="AK247" s="14"/>
      <c r="AL247" s="14"/>
      <c r="AM247" s="17"/>
      <c r="AN247" s="15"/>
    </row>
    <row r="248" customFormat="false" ht="15" hidden="false" customHeight="false" outlineLevel="0" collapsed="false">
      <c r="A248" s="19" t="str">
        <f aca="true">IF($B248="","",IF(AND(A248&lt;&gt;"",A248&lt;&gt;0),A248,TODAY()))</f>
        <v/>
      </c>
      <c r="B248" s="20"/>
      <c r="C248" s="21"/>
      <c r="D248" s="21"/>
      <c r="E248" s="21"/>
      <c r="F248" s="21"/>
      <c r="G248" s="21"/>
      <c r="H248" s="22"/>
      <c r="I248" s="22"/>
      <c r="J248" s="22"/>
      <c r="K248" s="23" t="str">
        <f aca="false">IF($B248="","",IF(AND(I248="",J248=""),"",I248+J248))</f>
        <v/>
      </c>
      <c r="L248" s="23" t="str">
        <f aca="false">IF(OR($B248="",K248=""),"",K248-H248)</f>
        <v/>
      </c>
      <c r="M248" s="24" t="str">
        <f aca="false">IF($B248="","",IF(AND(I248="",J248=""),"Not Counted",IF(OR(I248="",J248=""),"Partially Counted",IF(L248=0,"Match",IF(L248&gt;0,"Overage","Shortage")))))</f>
        <v/>
      </c>
      <c r="N248" s="24" t="str">
        <f aca="false">IF($B248="","",IF(AND(N248&lt;&gt;"",N248&lt;&gt;0),N248,$B$4))</f>
        <v/>
      </c>
      <c r="O248" s="21"/>
      <c r="P248" s="21"/>
      <c r="Q248" s="21"/>
      <c r="V248" s="14"/>
      <c r="W248" s="14"/>
      <c r="X248" s="15"/>
      <c r="Y248" s="16"/>
      <c r="Z248" s="14"/>
      <c r="AA248" s="17"/>
      <c r="AC248" s="14"/>
      <c r="AD248" s="14"/>
      <c r="AE248" s="15"/>
      <c r="AF248" s="16"/>
      <c r="AG248" s="14"/>
      <c r="AH248" s="17"/>
      <c r="AJ248" s="14"/>
      <c r="AK248" s="14"/>
      <c r="AL248" s="14"/>
      <c r="AM248" s="17"/>
      <c r="AN248" s="15"/>
    </row>
    <row r="249" customFormat="false" ht="15" hidden="false" customHeight="false" outlineLevel="0" collapsed="false">
      <c r="A249" s="19" t="str">
        <f aca="true">IF($B249="","",IF(AND(A249&lt;&gt;"",A249&lt;&gt;0),A249,TODAY()))</f>
        <v/>
      </c>
      <c r="B249" s="20"/>
      <c r="C249" s="21"/>
      <c r="D249" s="21"/>
      <c r="E249" s="21"/>
      <c r="F249" s="21"/>
      <c r="G249" s="21"/>
      <c r="H249" s="22"/>
      <c r="I249" s="22"/>
      <c r="J249" s="22"/>
      <c r="K249" s="23" t="str">
        <f aca="false">IF($B249="","",IF(AND(I249="",J249=""),"",I249+J249))</f>
        <v/>
      </c>
      <c r="L249" s="23" t="str">
        <f aca="false">IF(OR($B249="",K249=""),"",K249-H249)</f>
        <v/>
      </c>
      <c r="M249" s="24" t="str">
        <f aca="false">IF($B249="","",IF(AND(I249="",J249=""),"Not Counted",IF(OR(I249="",J249=""),"Partially Counted",IF(L249=0,"Match",IF(L249&gt;0,"Overage","Shortage")))))</f>
        <v/>
      </c>
      <c r="N249" s="24" t="str">
        <f aca="false">IF($B249="","",IF(AND(N249&lt;&gt;"",N249&lt;&gt;0),N249,$B$4))</f>
        <v/>
      </c>
      <c r="O249" s="21"/>
      <c r="P249" s="21"/>
      <c r="Q249" s="21"/>
      <c r="V249" s="14"/>
      <c r="W249" s="14"/>
      <c r="X249" s="15"/>
      <c r="Y249" s="16"/>
      <c r="Z249" s="14"/>
      <c r="AA249" s="17"/>
      <c r="AC249" s="14"/>
      <c r="AD249" s="14"/>
      <c r="AE249" s="15"/>
      <c r="AF249" s="16"/>
      <c r="AG249" s="14"/>
      <c r="AH249" s="17"/>
      <c r="AJ249" s="14"/>
      <c r="AK249" s="14"/>
      <c r="AL249" s="14"/>
      <c r="AM249" s="17"/>
      <c r="AN249" s="15"/>
    </row>
    <row r="250" customFormat="false" ht="15" hidden="false" customHeight="false" outlineLevel="0" collapsed="false">
      <c r="A250" s="19" t="str">
        <f aca="true">IF($B250="","",IF(AND(A250&lt;&gt;"",A250&lt;&gt;0),A250,TODAY()))</f>
        <v/>
      </c>
      <c r="B250" s="20"/>
      <c r="C250" s="21"/>
      <c r="D250" s="21"/>
      <c r="E250" s="21"/>
      <c r="F250" s="21"/>
      <c r="G250" s="21"/>
      <c r="H250" s="22"/>
      <c r="I250" s="22"/>
      <c r="J250" s="22"/>
      <c r="K250" s="23" t="str">
        <f aca="false">IF($B250="","",IF(AND(I250="",J250=""),"",I250+J250))</f>
        <v/>
      </c>
      <c r="L250" s="23" t="str">
        <f aca="false">IF(OR($B250="",K250=""),"",K250-H250)</f>
        <v/>
      </c>
      <c r="M250" s="24" t="str">
        <f aca="false">IF($B250="","",IF(AND(I250="",J250=""),"Not Counted",IF(OR(I250="",J250=""),"Partially Counted",IF(L250=0,"Match",IF(L250&gt;0,"Overage","Shortage")))))</f>
        <v/>
      </c>
      <c r="N250" s="24" t="str">
        <f aca="false">IF($B250="","",IF(AND(N250&lt;&gt;"",N250&lt;&gt;0),N250,$B$4))</f>
        <v/>
      </c>
      <c r="O250" s="21"/>
      <c r="P250" s="21"/>
      <c r="Q250" s="21"/>
      <c r="V250" s="14"/>
      <c r="W250" s="14"/>
      <c r="X250" s="15"/>
      <c r="Y250" s="16"/>
      <c r="Z250" s="14"/>
      <c r="AA250" s="17"/>
      <c r="AC250" s="14"/>
      <c r="AD250" s="14"/>
      <c r="AE250" s="15"/>
      <c r="AF250" s="16"/>
      <c r="AG250" s="14"/>
      <c r="AH250" s="17"/>
      <c r="AJ250" s="14"/>
      <c r="AK250" s="14"/>
      <c r="AL250" s="14"/>
      <c r="AM250" s="17"/>
      <c r="AN250" s="15"/>
    </row>
    <row r="251" customFormat="false" ht="15" hidden="false" customHeight="false" outlineLevel="0" collapsed="false">
      <c r="A251" s="19" t="str">
        <f aca="true">IF($B251="","",IF(AND(A251&lt;&gt;"",A251&lt;&gt;0),A251,TODAY()))</f>
        <v/>
      </c>
      <c r="B251" s="20"/>
      <c r="C251" s="21"/>
      <c r="D251" s="21"/>
      <c r="E251" s="21"/>
      <c r="F251" s="21"/>
      <c r="G251" s="21"/>
      <c r="H251" s="22"/>
      <c r="I251" s="22"/>
      <c r="J251" s="22"/>
      <c r="K251" s="23" t="str">
        <f aca="false">IF($B251="","",IF(AND(I251="",J251=""),"",I251+J251))</f>
        <v/>
      </c>
      <c r="L251" s="23" t="str">
        <f aca="false">IF(OR($B251="",K251=""),"",K251-H251)</f>
        <v/>
      </c>
      <c r="M251" s="24" t="str">
        <f aca="false">IF($B251="","",IF(AND(I251="",J251=""),"Not Counted",IF(OR(I251="",J251=""),"Partially Counted",IF(L251=0,"Match",IF(L251&gt;0,"Overage","Shortage")))))</f>
        <v/>
      </c>
      <c r="N251" s="24" t="str">
        <f aca="false">IF($B251="","",IF(AND(N251&lt;&gt;"",N251&lt;&gt;0),N251,$B$4))</f>
        <v/>
      </c>
      <c r="O251" s="21"/>
      <c r="P251" s="21"/>
      <c r="Q251" s="21"/>
      <c r="V251" s="14"/>
      <c r="W251" s="14"/>
      <c r="X251" s="15"/>
      <c r="Y251" s="16"/>
      <c r="Z251" s="14"/>
      <c r="AA251" s="17"/>
      <c r="AC251" s="14"/>
      <c r="AD251" s="14"/>
      <c r="AE251" s="15"/>
      <c r="AF251" s="16"/>
      <c r="AG251" s="14"/>
      <c r="AH251" s="17"/>
      <c r="AJ251" s="14"/>
      <c r="AK251" s="14"/>
      <c r="AL251" s="14"/>
      <c r="AM251" s="17"/>
      <c r="AN251" s="15"/>
    </row>
    <row r="252" customFormat="false" ht="15" hidden="false" customHeight="false" outlineLevel="0" collapsed="false">
      <c r="A252" s="19" t="str">
        <f aca="true">IF($B252="","",IF(AND(A252&lt;&gt;"",A252&lt;&gt;0),A252,TODAY()))</f>
        <v/>
      </c>
      <c r="B252" s="20"/>
      <c r="C252" s="21"/>
      <c r="D252" s="21"/>
      <c r="E252" s="21"/>
      <c r="F252" s="21"/>
      <c r="G252" s="21"/>
      <c r="H252" s="22"/>
      <c r="I252" s="22"/>
      <c r="J252" s="22"/>
      <c r="K252" s="23" t="str">
        <f aca="false">IF($B252="","",IF(AND(I252="",J252=""),"",I252+J252))</f>
        <v/>
      </c>
      <c r="L252" s="23" t="str">
        <f aca="false">IF(OR($B252="",K252=""),"",K252-H252)</f>
        <v/>
      </c>
      <c r="M252" s="24" t="str">
        <f aca="false">IF($B252="","",IF(AND(I252="",J252=""),"Not Counted",IF(OR(I252="",J252=""),"Partially Counted",IF(L252=0,"Match",IF(L252&gt;0,"Overage","Shortage")))))</f>
        <v/>
      </c>
      <c r="N252" s="24" t="str">
        <f aca="false">IF($B252="","",IF(AND(N252&lt;&gt;"",N252&lt;&gt;0),N252,$B$4))</f>
        <v/>
      </c>
      <c r="O252" s="21"/>
      <c r="P252" s="21"/>
      <c r="Q252" s="21"/>
      <c r="V252" s="14"/>
      <c r="W252" s="14"/>
      <c r="X252" s="15"/>
      <c r="Y252" s="16"/>
      <c r="Z252" s="14"/>
      <c r="AA252" s="17"/>
      <c r="AC252" s="14"/>
      <c r="AD252" s="14"/>
      <c r="AE252" s="15"/>
      <c r="AF252" s="16"/>
      <c r="AG252" s="14"/>
      <c r="AH252" s="17"/>
      <c r="AJ252" s="14"/>
      <c r="AK252" s="14"/>
      <c r="AL252" s="14"/>
      <c r="AM252" s="17"/>
      <c r="AN252" s="15"/>
    </row>
    <row r="253" customFormat="false" ht="15" hidden="false" customHeight="false" outlineLevel="0" collapsed="false">
      <c r="A253" s="19" t="str">
        <f aca="true">IF($B253="","",IF(AND(A253&lt;&gt;"",A253&lt;&gt;0),A253,TODAY()))</f>
        <v/>
      </c>
      <c r="B253" s="20"/>
      <c r="C253" s="21"/>
      <c r="D253" s="21"/>
      <c r="E253" s="21"/>
      <c r="F253" s="21"/>
      <c r="G253" s="21"/>
      <c r="H253" s="22"/>
      <c r="I253" s="22"/>
      <c r="J253" s="22"/>
      <c r="K253" s="23" t="str">
        <f aca="false">IF($B253="","",IF(AND(I253="",J253=""),"",I253+J253))</f>
        <v/>
      </c>
      <c r="L253" s="23" t="str">
        <f aca="false">IF(OR($B253="",K253=""),"",K253-H253)</f>
        <v/>
      </c>
      <c r="M253" s="24" t="str">
        <f aca="false">IF($B253="","",IF(AND(I253="",J253=""),"Not Counted",IF(OR(I253="",J253=""),"Partially Counted",IF(L253=0,"Match",IF(L253&gt;0,"Overage","Shortage")))))</f>
        <v/>
      </c>
      <c r="N253" s="24" t="str">
        <f aca="false">IF($B253="","",IF(AND(N253&lt;&gt;"",N253&lt;&gt;0),N253,$B$4))</f>
        <v/>
      </c>
      <c r="O253" s="21"/>
      <c r="P253" s="21"/>
      <c r="Q253" s="21"/>
      <c r="V253" s="14"/>
      <c r="W253" s="14"/>
      <c r="X253" s="15"/>
      <c r="Y253" s="16"/>
      <c r="Z253" s="14"/>
      <c r="AA253" s="17"/>
      <c r="AC253" s="14"/>
      <c r="AD253" s="14"/>
      <c r="AE253" s="15"/>
      <c r="AF253" s="16"/>
      <c r="AG253" s="14"/>
      <c r="AH253" s="17"/>
      <c r="AJ253" s="14"/>
      <c r="AK253" s="14"/>
      <c r="AL253" s="14"/>
      <c r="AM253" s="17"/>
      <c r="AN253" s="15"/>
    </row>
    <row r="254" customFormat="false" ht="15" hidden="false" customHeight="false" outlineLevel="0" collapsed="false">
      <c r="A254" s="19" t="str">
        <f aca="true">IF($B254="","",IF(AND(A254&lt;&gt;"",A254&lt;&gt;0),A254,TODAY()))</f>
        <v/>
      </c>
      <c r="B254" s="20"/>
      <c r="C254" s="21"/>
      <c r="D254" s="21"/>
      <c r="E254" s="21"/>
      <c r="F254" s="21"/>
      <c r="G254" s="21"/>
      <c r="H254" s="22"/>
      <c r="I254" s="22"/>
      <c r="J254" s="22"/>
      <c r="K254" s="23" t="str">
        <f aca="false">IF($B254="","",IF(AND(I254="",J254=""),"",I254+J254))</f>
        <v/>
      </c>
      <c r="L254" s="23" t="str">
        <f aca="false">IF(OR($B254="",K254=""),"",K254-H254)</f>
        <v/>
      </c>
      <c r="M254" s="24" t="str">
        <f aca="false">IF($B254="","",IF(AND(I254="",J254=""),"Not Counted",IF(OR(I254="",J254=""),"Partially Counted",IF(L254=0,"Match",IF(L254&gt;0,"Overage","Shortage")))))</f>
        <v/>
      </c>
      <c r="N254" s="24" t="str">
        <f aca="false">IF($B254="","",IF(AND(N254&lt;&gt;"",N254&lt;&gt;0),N254,$B$4))</f>
        <v/>
      </c>
      <c r="O254" s="21"/>
      <c r="P254" s="21"/>
      <c r="Q254" s="21"/>
      <c r="V254" s="14"/>
      <c r="W254" s="14"/>
      <c r="X254" s="15"/>
      <c r="Y254" s="16"/>
      <c r="Z254" s="14"/>
      <c r="AA254" s="17"/>
      <c r="AC254" s="14"/>
      <c r="AD254" s="14"/>
      <c r="AE254" s="15"/>
      <c r="AF254" s="16"/>
      <c r="AG254" s="14"/>
      <c r="AH254" s="17"/>
      <c r="AJ254" s="14"/>
      <c r="AK254" s="14"/>
      <c r="AL254" s="14"/>
      <c r="AM254" s="17"/>
      <c r="AN254" s="15"/>
    </row>
    <row r="255" customFormat="false" ht="15" hidden="false" customHeight="false" outlineLevel="0" collapsed="false">
      <c r="A255" s="19" t="str">
        <f aca="true">IF($B255="","",IF(AND(A255&lt;&gt;"",A255&lt;&gt;0),A255,TODAY()))</f>
        <v/>
      </c>
      <c r="B255" s="20"/>
      <c r="C255" s="21"/>
      <c r="D255" s="21"/>
      <c r="E255" s="21"/>
      <c r="F255" s="21"/>
      <c r="G255" s="21"/>
      <c r="H255" s="22"/>
      <c r="I255" s="22"/>
      <c r="J255" s="22"/>
      <c r="K255" s="23" t="str">
        <f aca="false">IF($B255="","",IF(AND(I255="",J255=""),"",I255+J255))</f>
        <v/>
      </c>
      <c r="L255" s="23" t="str">
        <f aca="false">IF(OR($B255="",K255=""),"",K255-H255)</f>
        <v/>
      </c>
      <c r="M255" s="24" t="str">
        <f aca="false">IF($B255="","",IF(AND(I255="",J255=""),"Not Counted",IF(OR(I255="",J255=""),"Partially Counted",IF(L255=0,"Match",IF(L255&gt;0,"Overage","Shortage")))))</f>
        <v/>
      </c>
      <c r="N255" s="24" t="str">
        <f aca="false">IF($B255="","",IF(AND(N255&lt;&gt;"",N255&lt;&gt;0),N255,$B$4))</f>
        <v/>
      </c>
      <c r="O255" s="21"/>
      <c r="P255" s="21"/>
      <c r="Q255" s="21"/>
    </row>
    <row r="256" customFormat="false" ht="15" hidden="false" customHeight="false" outlineLevel="0" collapsed="false">
      <c r="A256" s="19" t="str">
        <f aca="true">IF($B256="","",IF(AND(A256&lt;&gt;"",A256&lt;&gt;0),A256,TODAY()))</f>
        <v/>
      </c>
      <c r="B256" s="20"/>
      <c r="C256" s="21"/>
      <c r="D256" s="21"/>
      <c r="E256" s="21"/>
      <c r="F256" s="21"/>
      <c r="G256" s="21"/>
      <c r="H256" s="22"/>
      <c r="I256" s="22"/>
      <c r="J256" s="22"/>
      <c r="K256" s="23" t="str">
        <f aca="false">IF($B256="","",IF(AND(I256="",J256=""),"",I256+J256))</f>
        <v/>
      </c>
      <c r="L256" s="23" t="str">
        <f aca="false">IF(OR($B256="",K256=""),"",K256-H256)</f>
        <v/>
      </c>
      <c r="M256" s="24" t="str">
        <f aca="false">IF($B256="","",IF(AND(I256="",J256=""),"Not Counted",IF(OR(I256="",J256=""),"Partially Counted",IF(L256=0,"Match",IF(L256&gt;0,"Overage","Shortage")))))</f>
        <v/>
      </c>
      <c r="N256" s="24" t="str">
        <f aca="false">IF($B256="","",IF(AND(N256&lt;&gt;"",N256&lt;&gt;0),N256,$B$4))</f>
        <v/>
      </c>
      <c r="O256" s="21"/>
      <c r="P256" s="21"/>
      <c r="Q256" s="21"/>
    </row>
    <row r="257" customFormat="false" ht="15" hidden="false" customHeight="false" outlineLevel="0" collapsed="false">
      <c r="A257" s="19" t="str">
        <f aca="true">IF($B257="","",IF(AND(A257&lt;&gt;"",A257&lt;&gt;0),A257,TODAY()))</f>
        <v/>
      </c>
      <c r="B257" s="20"/>
      <c r="C257" s="21"/>
      <c r="D257" s="21"/>
      <c r="E257" s="21"/>
      <c r="F257" s="21"/>
      <c r="G257" s="21"/>
      <c r="H257" s="22"/>
      <c r="I257" s="22"/>
      <c r="J257" s="22"/>
      <c r="K257" s="23" t="str">
        <f aca="false">IF($B257="","",IF(AND(I257="",J257=""),"",I257+J257))</f>
        <v/>
      </c>
      <c r="L257" s="23" t="str">
        <f aca="false">IF(OR($B257="",K257=""),"",K257-H257)</f>
        <v/>
      </c>
      <c r="M257" s="24" t="str">
        <f aca="false">IF($B257="","",IF(AND(I257="",J257=""),"Not Counted",IF(OR(I257="",J257=""),"Partially Counted",IF(L257=0,"Match",IF(L257&gt;0,"Overage","Shortage")))))</f>
        <v/>
      </c>
      <c r="N257" s="24" t="str">
        <f aca="false">IF($B257="","",IF(AND(N257&lt;&gt;"",N257&lt;&gt;0),N257,$B$4))</f>
        <v/>
      </c>
      <c r="O257" s="21"/>
      <c r="P257" s="21"/>
      <c r="Q257" s="21"/>
    </row>
    <row r="258" customFormat="false" ht="15" hidden="false" customHeight="false" outlineLevel="0" collapsed="false">
      <c r="A258" s="19" t="str">
        <f aca="true">IF($B258="","",IF(AND(A258&lt;&gt;"",A258&lt;&gt;0),A258,TODAY()))</f>
        <v/>
      </c>
      <c r="B258" s="20"/>
      <c r="C258" s="21"/>
      <c r="D258" s="21"/>
      <c r="E258" s="21"/>
      <c r="F258" s="21"/>
      <c r="G258" s="21"/>
      <c r="H258" s="22"/>
      <c r="I258" s="22"/>
      <c r="J258" s="22"/>
      <c r="K258" s="23" t="str">
        <f aca="false">IF($B258="","",IF(AND(I258="",J258=""),"",I258+J258))</f>
        <v/>
      </c>
      <c r="L258" s="23" t="str">
        <f aca="false">IF(OR($B258="",K258=""),"",K258-H258)</f>
        <v/>
      </c>
      <c r="M258" s="24" t="str">
        <f aca="false">IF($B258="","",IF(AND(I258="",J258=""),"Not Counted",IF(OR(I258="",J258=""),"Partially Counted",IF(L258=0,"Match",IF(L258&gt;0,"Overage","Shortage")))))</f>
        <v/>
      </c>
      <c r="N258" s="24" t="str">
        <f aca="false">IF($B258="","",IF(AND(N258&lt;&gt;"",N258&lt;&gt;0),N258,$B$4))</f>
        <v/>
      </c>
      <c r="O258" s="21"/>
      <c r="P258" s="21"/>
      <c r="Q258" s="21"/>
    </row>
    <row r="259" customFormat="false" ht="15" hidden="false" customHeight="false" outlineLevel="0" collapsed="false">
      <c r="A259" s="19" t="str">
        <f aca="true">IF($B259="","",IF(AND(A259&lt;&gt;"",A259&lt;&gt;0),A259,TODAY()))</f>
        <v/>
      </c>
      <c r="B259" s="20"/>
      <c r="C259" s="21"/>
      <c r="D259" s="21"/>
      <c r="E259" s="21"/>
      <c r="F259" s="21"/>
      <c r="G259" s="21"/>
      <c r="H259" s="22"/>
      <c r="I259" s="22"/>
      <c r="J259" s="22"/>
      <c r="K259" s="23" t="str">
        <f aca="false">IF($B259="","",IF(AND(I259="",J259=""),"",I259+J259))</f>
        <v/>
      </c>
      <c r="L259" s="23" t="str">
        <f aca="false">IF(OR($B259="",K259=""),"",K259-H259)</f>
        <v/>
      </c>
      <c r="M259" s="24" t="str">
        <f aca="false">IF($B259="","",IF(AND(I259="",J259=""),"Not Counted",IF(OR(I259="",J259=""),"Partially Counted",IF(L259=0,"Match",IF(L259&gt;0,"Overage","Shortage")))))</f>
        <v/>
      </c>
      <c r="N259" s="24" t="str">
        <f aca="false">IF($B259="","",IF(AND(N259&lt;&gt;"",N259&lt;&gt;0),N259,$B$4))</f>
        <v/>
      </c>
      <c r="O259" s="21"/>
      <c r="P259" s="21"/>
      <c r="Q259" s="21"/>
    </row>
    <row r="260" customFormat="false" ht="15" hidden="false" customHeight="false" outlineLevel="0" collapsed="false">
      <c r="A260" s="19" t="str">
        <f aca="true">IF($B260="","",IF(AND(A260&lt;&gt;"",A260&lt;&gt;0),A260,TODAY()))</f>
        <v/>
      </c>
      <c r="B260" s="20"/>
      <c r="C260" s="21"/>
      <c r="D260" s="21"/>
      <c r="E260" s="21"/>
      <c r="F260" s="21"/>
      <c r="G260" s="21"/>
      <c r="H260" s="22"/>
      <c r="I260" s="22"/>
      <c r="J260" s="22"/>
      <c r="K260" s="23" t="str">
        <f aca="false">IF($B260="","",IF(AND(I260="",J260=""),"",I260+J260))</f>
        <v/>
      </c>
      <c r="L260" s="23" t="str">
        <f aca="false">IF(OR($B260="",K260=""),"",K260-H260)</f>
        <v/>
      </c>
      <c r="M260" s="24" t="str">
        <f aca="false">IF($B260="","",IF(AND(I260="",J260=""),"Not Counted",IF(OR(I260="",J260=""),"Partially Counted",IF(L260=0,"Match",IF(L260&gt;0,"Overage","Shortage")))))</f>
        <v/>
      </c>
      <c r="N260" s="24" t="str">
        <f aca="false">IF($B260="","",IF(AND(N260&lt;&gt;"",N260&lt;&gt;0),N260,$B$4))</f>
        <v/>
      </c>
      <c r="O260" s="21"/>
      <c r="P260" s="21"/>
      <c r="Q260" s="21"/>
    </row>
    <row r="261" customFormat="false" ht="15" hidden="false" customHeight="false" outlineLevel="0" collapsed="false">
      <c r="A261" s="19" t="str">
        <f aca="true">IF($B261="","",IF(AND(A261&lt;&gt;"",A261&lt;&gt;0),A261,TODAY()))</f>
        <v/>
      </c>
      <c r="B261" s="20"/>
      <c r="C261" s="21"/>
      <c r="D261" s="21"/>
      <c r="E261" s="21"/>
      <c r="F261" s="21"/>
      <c r="G261" s="21"/>
      <c r="H261" s="22"/>
      <c r="I261" s="22"/>
      <c r="J261" s="22"/>
      <c r="K261" s="23" t="str">
        <f aca="false">IF($B261="","",IF(AND(I261="",J261=""),"",I261+J261))</f>
        <v/>
      </c>
      <c r="L261" s="23" t="str">
        <f aca="false">IF(OR($B261="",K261=""),"",K261-H261)</f>
        <v/>
      </c>
      <c r="M261" s="24" t="str">
        <f aca="false">IF($B261="","",IF(AND(I261="",J261=""),"Not Counted",IF(OR(I261="",J261=""),"Partially Counted",IF(L261=0,"Match",IF(L261&gt;0,"Overage","Shortage")))))</f>
        <v/>
      </c>
      <c r="N261" s="24" t="str">
        <f aca="false">IF($B261="","",IF(AND(N261&lt;&gt;"",N261&lt;&gt;0),N261,$B$4))</f>
        <v/>
      </c>
      <c r="O261" s="21"/>
      <c r="P261" s="21"/>
      <c r="Q261" s="21"/>
    </row>
    <row r="262" customFormat="false" ht="15" hidden="false" customHeight="false" outlineLevel="0" collapsed="false">
      <c r="A262" s="19" t="str">
        <f aca="true">IF($B262="","",IF(AND(A262&lt;&gt;"",A262&lt;&gt;0),A262,TODAY()))</f>
        <v/>
      </c>
      <c r="B262" s="20"/>
      <c r="C262" s="21"/>
      <c r="D262" s="21"/>
      <c r="E262" s="21"/>
      <c r="F262" s="21"/>
      <c r="G262" s="21"/>
      <c r="H262" s="22"/>
      <c r="I262" s="22"/>
      <c r="J262" s="22"/>
      <c r="K262" s="23" t="str">
        <f aca="false">IF($B262="","",IF(AND(I262="",J262=""),"",I262+J262))</f>
        <v/>
      </c>
      <c r="L262" s="23" t="str">
        <f aca="false">IF(OR($B262="",K262=""),"",K262-H262)</f>
        <v/>
      </c>
      <c r="M262" s="24" t="str">
        <f aca="false">IF($B262="","",IF(AND(I262="",J262=""),"Not Counted",IF(OR(I262="",J262=""),"Partially Counted",IF(L262=0,"Match",IF(L262&gt;0,"Overage","Shortage")))))</f>
        <v/>
      </c>
      <c r="N262" s="24" t="str">
        <f aca="false">IF($B262="","",IF(AND(N262&lt;&gt;"",N262&lt;&gt;0),N262,$B$4))</f>
        <v/>
      </c>
      <c r="O262" s="21"/>
      <c r="P262" s="21"/>
      <c r="Q262" s="21"/>
    </row>
    <row r="263" customFormat="false" ht="15" hidden="false" customHeight="false" outlineLevel="0" collapsed="false">
      <c r="A263" s="19" t="str">
        <f aca="true">IF($B263="","",IF(AND(A263&lt;&gt;"",A263&lt;&gt;0),A263,TODAY()))</f>
        <v/>
      </c>
      <c r="B263" s="20"/>
      <c r="C263" s="21"/>
      <c r="D263" s="21"/>
      <c r="E263" s="21"/>
      <c r="F263" s="21"/>
      <c r="G263" s="21"/>
      <c r="H263" s="22"/>
      <c r="I263" s="22"/>
      <c r="J263" s="22"/>
      <c r="K263" s="23" t="str">
        <f aca="false">IF($B263="","",IF(AND(I263="",J263=""),"",I263+J263))</f>
        <v/>
      </c>
      <c r="L263" s="23" t="str">
        <f aca="false">IF(OR($B263="",K263=""),"",K263-H263)</f>
        <v/>
      </c>
      <c r="M263" s="24" t="str">
        <f aca="false">IF($B263="","",IF(AND(I263="",J263=""),"Not Counted",IF(OR(I263="",J263=""),"Partially Counted",IF(L263=0,"Match",IF(L263&gt;0,"Overage","Shortage")))))</f>
        <v/>
      </c>
      <c r="N263" s="24" t="str">
        <f aca="false">IF($B263="","",IF(AND(N263&lt;&gt;"",N263&lt;&gt;0),N263,$B$4))</f>
        <v/>
      </c>
      <c r="O263" s="21"/>
      <c r="P263" s="21"/>
      <c r="Q263" s="21"/>
    </row>
    <row r="264" customFormat="false" ht="15" hidden="false" customHeight="false" outlineLevel="0" collapsed="false">
      <c r="A264" s="19" t="str">
        <f aca="true">IF($B264="","",IF(AND(A264&lt;&gt;"",A264&lt;&gt;0),A264,TODAY()))</f>
        <v/>
      </c>
      <c r="B264" s="20"/>
      <c r="C264" s="21"/>
      <c r="D264" s="21"/>
      <c r="E264" s="21"/>
      <c r="F264" s="21"/>
      <c r="G264" s="21"/>
      <c r="H264" s="22"/>
      <c r="I264" s="22"/>
      <c r="J264" s="22"/>
      <c r="K264" s="23" t="str">
        <f aca="false">IF($B264="","",IF(AND(I264="",J264=""),"",I264+J264))</f>
        <v/>
      </c>
      <c r="L264" s="23" t="str">
        <f aca="false">IF(OR($B264="",K264=""),"",K264-H264)</f>
        <v/>
      </c>
      <c r="M264" s="24" t="str">
        <f aca="false">IF($B264="","",IF(AND(I264="",J264=""),"Not Counted",IF(OR(I264="",J264=""),"Partially Counted",IF(L264=0,"Match",IF(L264&gt;0,"Overage","Shortage")))))</f>
        <v/>
      </c>
      <c r="N264" s="24" t="str">
        <f aca="false">IF($B264="","",IF(AND(N264&lt;&gt;"",N264&lt;&gt;0),N264,$B$4))</f>
        <v/>
      </c>
      <c r="O264" s="21"/>
      <c r="P264" s="21"/>
      <c r="Q264" s="21"/>
    </row>
    <row r="265" customFormat="false" ht="15" hidden="false" customHeight="false" outlineLevel="0" collapsed="false">
      <c r="A265" s="19" t="str">
        <f aca="true">IF($B265="","",IF(AND(A265&lt;&gt;"",A265&lt;&gt;0),A265,TODAY()))</f>
        <v/>
      </c>
      <c r="B265" s="20"/>
      <c r="C265" s="21"/>
      <c r="D265" s="21"/>
      <c r="E265" s="21"/>
      <c r="F265" s="21"/>
      <c r="G265" s="21"/>
      <c r="H265" s="22"/>
      <c r="I265" s="22"/>
      <c r="J265" s="22"/>
      <c r="K265" s="23" t="str">
        <f aca="false">IF($B265="","",IF(AND(I265="",J265=""),"",I265+J265))</f>
        <v/>
      </c>
      <c r="L265" s="23" t="str">
        <f aca="false">IF(OR($B265="",K265=""),"",K265-H265)</f>
        <v/>
      </c>
      <c r="M265" s="24" t="str">
        <f aca="false">IF($B265="","",IF(AND(I265="",J265=""),"Not Counted",IF(OR(I265="",J265=""),"Partially Counted",IF(L265=0,"Match",IF(L265&gt;0,"Overage","Shortage")))))</f>
        <v/>
      </c>
      <c r="N265" s="24" t="str">
        <f aca="false">IF($B265="","",IF(AND(N265&lt;&gt;"",N265&lt;&gt;0),N265,$B$4))</f>
        <v/>
      </c>
      <c r="O265" s="21"/>
      <c r="P265" s="21"/>
      <c r="Q265" s="21"/>
    </row>
    <row r="266" customFormat="false" ht="15" hidden="false" customHeight="false" outlineLevel="0" collapsed="false">
      <c r="A266" s="19" t="str">
        <f aca="true">IF($B266="","",IF(AND(A266&lt;&gt;"",A266&lt;&gt;0),A266,TODAY()))</f>
        <v/>
      </c>
      <c r="B266" s="20"/>
      <c r="C266" s="21"/>
      <c r="D266" s="21"/>
      <c r="E266" s="21"/>
      <c r="F266" s="21"/>
      <c r="G266" s="21"/>
      <c r="H266" s="22"/>
      <c r="I266" s="22"/>
      <c r="J266" s="22"/>
      <c r="K266" s="23" t="str">
        <f aca="false">IF($B266="","",IF(AND(I266="",J266=""),"",I266+J266))</f>
        <v/>
      </c>
      <c r="L266" s="23" t="str">
        <f aca="false">IF(OR($B266="",K266=""),"",K266-H266)</f>
        <v/>
      </c>
      <c r="M266" s="24" t="str">
        <f aca="false">IF($B266="","",IF(AND(I266="",J266=""),"Not Counted",IF(OR(I266="",J266=""),"Partially Counted",IF(L266=0,"Match",IF(L266&gt;0,"Overage","Shortage")))))</f>
        <v/>
      </c>
      <c r="N266" s="24" t="str">
        <f aca="false">IF($B266="","",IF(AND(N266&lt;&gt;"",N266&lt;&gt;0),N266,$B$4))</f>
        <v/>
      </c>
      <c r="O266" s="21"/>
      <c r="P266" s="21"/>
      <c r="Q266" s="21"/>
    </row>
    <row r="267" customFormat="false" ht="15" hidden="false" customHeight="false" outlineLevel="0" collapsed="false">
      <c r="A267" s="19" t="str">
        <f aca="true">IF($B267="","",IF(AND(A267&lt;&gt;"",A267&lt;&gt;0),A267,TODAY()))</f>
        <v/>
      </c>
      <c r="B267" s="20"/>
      <c r="C267" s="21"/>
      <c r="D267" s="21"/>
      <c r="E267" s="21"/>
      <c r="F267" s="21"/>
      <c r="G267" s="21"/>
      <c r="H267" s="22"/>
      <c r="I267" s="22"/>
      <c r="J267" s="22"/>
      <c r="K267" s="23" t="str">
        <f aca="false">IF($B267="","",IF(AND(I267="",J267=""),"",I267+J267))</f>
        <v/>
      </c>
      <c r="L267" s="23" t="str">
        <f aca="false">IF(OR($B267="",K267=""),"",K267-H267)</f>
        <v/>
      </c>
      <c r="M267" s="24" t="str">
        <f aca="false">IF($B267="","",IF(AND(I267="",J267=""),"Not Counted",IF(OR(I267="",J267=""),"Partially Counted",IF(L267=0,"Match",IF(L267&gt;0,"Overage","Shortage")))))</f>
        <v/>
      </c>
      <c r="N267" s="24" t="str">
        <f aca="false">IF($B267="","",IF(AND(N267&lt;&gt;"",N267&lt;&gt;0),N267,$B$4))</f>
        <v/>
      </c>
      <c r="O267" s="21"/>
      <c r="P267" s="21"/>
      <c r="Q267" s="21"/>
    </row>
    <row r="268" customFormat="false" ht="15" hidden="false" customHeight="false" outlineLevel="0" collapsed="false">
      <c r="A268" s="19" t="str">
        <f aca="true">IF($B268="","",IF(AND(A268&lt;&gt;"",A268&lt;&gt;0),A268,TODAY()))</f>
        <v/>
      </c>
      <c r="B268" s="20"/>
      <c r="C268" s="21"/>
      <c r="D268" s="21"/>
      <c r="E268" s="21"/>
      <c r="F268" s="21"/>
      <c r="G268" s="21"/>
      <c r="H268" s="22"/>
      <c r="I268" s="22"/>
      <c r="J268" s="22"/>
      <c r="K268" s="23" t="str">
        <f aca="false">IF($B268="","",IF(AND(I268="",J268=""),"",I268+J268))</f>
        <v/>
      </c>
      <c r="L268" s="23" t="str">
        <f aca="false">IF(OR($B268="",K268=""),"",K268-H268)</f>
        <v/>
      </c>
      <c r="M268" s="24" t="str">
        <f aca="false">IF($B268="","",IF(AND(I268="",J268=""),"Not Counted",IF(OR(I268="",J268=""),"Partially Counted",IF(L268=0,"Match",IF(L268&gt;0,"Overage","Shortage")))))</f>
        <v/>
      </c>
      <c r="N268" s="24" t="str">
        <f aca="false">IF($B268="","",IF(AND(N268&lt;&gt;"",N268&lt;&gt;0),N268,$B$4))</f>
        <v/>
      </c>
      <c r="O268" s="21"/>
      <c r="P268" s="21"/>
      <c r="Q268" s="21"/>
    </row>
    <row r="269" customFormat="false" ht="15" hidden="false" customHeight="false" outlineLevel="0" collapsed="false">
      <c r="A269" s="19" t="str">
        <f aca="true">IF($B269="","",IF(AND(A269&lt;&gt;"",A269&lt;&gt;0),A269,TODAY()))</f>
        <v/>
      </c>
      <c r="B269" s="20"/>
      <c r="C269" s="21"/>
      <c r="D269" s="21"/>
      <c r="E269" s="21"/>
      <c r="F269" s="21"/>
      <c r="G269" s="21"/>
      <c r="H269" s="22"/>
      <c r="I269" s="22"/>
      <c r="J269" s="22"/>
      <c r="K269" s="23" t="str">
        <f aca="false">IF($B269="","",IF(AND(I269="",J269=""),"",I269+J269))</f>
        <v/>
      </c>
      <c r="L269" s="23" t="str">
        <f aca="false">IF(OR($B269="",K269=""),"",K269-H269)</f>
        <v/>
      </c>
      <c r="M269" s="24" t="str">
        <f aca="false">IF($B269="","",IF(AND(I269="",J269=""),"Not Counted",IF(OR(I269="",J269=""),"Partially Counted",IF(L269=0,"Match",IF(L269&gt;0,"Overage","Shortage")))))</f>
        <v/>
      </c>
      <c r="N269" s="24" t="str">
        <f aca="false">IF($B269="","",IF(AND(N269&lt;&gt;"",N269&lt;&gt;0),N269,$B$4))</f>
        <v/>
      </c>
      <c r="O269" s="21"/>
      <c r="P269" s="21"/>
      <c r="Q269" s="21"/>
    </row>
    <row r="270" customFormat="false" ht="15" hidden="false" customHeight="false" outlineLevel="0" collapsed="false">
      <c r="A270" s="19" t="str">
        <f aca="true">IF($B270="","",IF(AND(A270&lt;&gt;"",A270&lt;&gt;0),A270,TODAY()))</f>
        <v/>
      </c>
      <c r="B270" s="20"/>
      <c r="C270" s="21"/>
      <c r="D270" s="21"/>
      <c r="E270" s="21"/>
      <c r="F270" s="21"/>
      <c r="G270" s="21"/>
      <c r="H270" s="22"/>
      <c r="I270" s="22"/>
      <c r="J270" s="22"/>
      <c r="K270" s="23" t="str">
        <f aca="false">IF($B270="","",IF(AND(I270="",J270=""),"",I270+J270))</f>
        <v/>
      </c>
      <c r="L270" s="23" t="str">
        <f aca="false">IF(OR($B270="",K270=""),"",K270-H270)</f>
        <v/>
      </c>
      <c r="M270" s="24" t="str">
        <f aca="false">IF($B270="","",IF(AND(I270="",J270=""),"Not Counted",IF(OR(I270="",J270=""),"Partially Counted",IF(L270=0,"Match",IF(L270&gt;0,"Overage","Shortage")))))</f>
        <v/>
      </c>
      <c r="N270" s="24" t="str">
        <f aca="false">IF($B270="","",IF(AND(N270&lt;&gt;"",N270&lt;&gt;0),N270,$B$4))</f>
        <v/>
      </c>
      <c r="O270" s="21"/>
      <c r="P270" s="21"/>
      <c r="Q270" s="21"/>
    </row>
    <row r="271" customFormat="false" ht="15" hidden="false" customHeight="false" outlineLevel="0" collapsed="false">
      <c r="A271" s="19" t="str">
        <f aca="true">IF($B271="","",IF(AND(A271&lt;&gt;"",A271&lt;&gt;0),A271,TODAY()))</f>
        <v/>
      </c>
      <c r="B271" s="20"/>
      <c r="C271" s="21"/>
      <c r="D271" s="21"/>
      <c r="E271" s="21"/>
      <c r="F271" s="21"/>
      <c r="G271" s="21"/>
      <c r="H271" s="22"/>
      <c r="I271" s="22"/>
      <c r="J271" s="22"/>
      <c r="K271" s="23" t="str">
        <f aca="false">IF($B271="","",IF(AND(I271="",J271=""),"",I271+J271))</f>
        <v/>
      </c>
      <c r="L271" s="23" t="str">
        <f aca="false">IF(OR($B271="",K271=""),"",K271-H271)</f>
        <v/>
      </c>
      <c r="M271" s="24" t="str">
        <f aca="false">IF($B271="","",IF(AND(I271="",J271=""),"Not Counted",IF(OR(I271="",J271=""),"Partially Counted",IF(L271=0,"Match",IF(L271&gt;0,"Overage","Shortage")))))</f>
        <v/>
      </c>
      <c r="N271" s="24" t="str">
        <f aca="false">IF($B271="","",IF(AND(N271&lt;&gt;"",N271&lt;&gt;0),N271,$B$4))</f>
        <v/>
      </c>
      <c r="O271" s="21"/>
      <c r="P271" s="21"/>
      <c r="Q271" s="21"/>
    </row>
    <row r="272" customFormat="false" ht="15" hidden="false" customHeight="false" outlineLevel="0" collapsed="false">
      <c r="A272" s="19" t="str">
        <f aca="true">IF($B272="","",IF(AND(A272&lt;&gt;"",A272&lt;&gt;0),A272,TODAY()))</f>
        <v/>
      </c>
      <c r="B272" s="20"/>
      <c r="C272" s="21"/>
      <c r="D272" s="21"/>
      <c r="E272" s="21"/>
      <c r="F272" s="21"/>
      <c r="G272" s="21"/>
      <c r="H272" s="22"/>
      <c r="I272" s="22"/>
      <c r="J272" s="22"/>
      <c r="K272" s="23" t="str">
        <f aca="false">IF($B272="","",IF(AND(I272="",J272=""),"",I272+J272))</f>
        <v/>
      </c>
      <c r="L272" s="23" t="str">
        <f aca="false">IF(OR($B272="",K272=""),"",K272-H272)</f>
        <v/>
      </c>
      <c r="M272" s="24" t="str">
        <f aca="false">IF($B272="","",IF(AND(I272="",J272=""),"Not Counted",IF(OR(I272="",J272=""),"Partially Counted",IF(L272=0,"Match",IF(L272&gt;0,"Overage","Shortage")))))</f>
        <v/>
      </c>
      <c r="N272" s="24" t="str">
        <f aca="false">IF($B272="","",IF(AND(N272&lt;&gt;"",N272&lt;&gt;0),N272,$B$4))</f>
        <v/>
      </c>
      <c r="O272" s="21"/>
      <c r="P272" s="21"/>
      <c r="Q272" s="21"/>
    </row>
    <row r="273" customFormat="false" ht="15" hidden="false" customHeight="false" outlineLevel="0" collapsed="false">
      <c r="A273" s="19" t="str">
        <f aca="true">IF($B273="","",IF(AND(A273&lt;&gt;"",A273&lt;&gt;0),A273,TODAY()))</f>
        <v/>
      </c>
      <c r="B273" s="20"/>
      <c r="C273" s="21"/>
      <c r="D273" s="21"/>
      <c r="E273" s="21"/>
      <c r="F273" s="21"/>
      <c r="G273" s="21"/>
      <c r="H273" s="22"/>
      <c r="I273" s="22"/>
      <c r="J273" s="22"/>
      <c r="K273" s="23" t="str">
        <f aca="false">IF($B273="","",IF(AND(I273="",J273=""),"",I273+J273))</f>
        <v/>
      </c>
      <c r="L273" s="23" t="str">
        <f aca="false">IF(OR($B273="",K273=""),"",K273-H273)</f>
        <v/>
      </c>
      <c r="M273" s="24" t="str">
        <f aca="false">IF($B273="","",IF(AND(I273="",J273=""),"Not Counted",IF(OR(I273="",J273=""),"Partially Counted",IF(L273=0,"Match",IF(L273&gt;0,"Overage","Shortage")))))</f>
        <v/>
      </c>
      <c r="N273" s="24" t="str">
        <f aca="false">IF($B273="","",IF(AND(N273&lt;&gt;"",N273&lt;&gt;0),N273,$B$4))</f>
        <v/>
      </c>
      <c r="O273" s="21"/>
      <c r="P273" s="21"/>
      <c r="Q273" s="21"/>
    </row>
    <row r="274" customFormat="false" ht="15" hidden="false" customHeight="false" outlineLevel="0" collapsed="false">
      <c r="A274" s="19" t="str">
        <f aca="true">IF($B274="","",IF(AND(A274&lt;&gt;"",A274&lt;&gt;0),A274,TODAY()))</f>
        <v/>
      </c>
      <c r="B274" s="20"/>
      <c r="C274" s="21"/>
      <c r="D274" s="21"/>
      <c r="E274" s="21"/>
      <c r="F274" s="21"/>
      <c r="G274" s="21"/>
      <c r="H274" s="22"/>
      <c r="I274" s="22"/>
      <c r="J274" s="22"/>
      <c r="K274" s="23" t="str">
        <f aca="false">IF($B274="","",IF(AND(I274="",J274=""),"",I274+J274))</f>
        <v/>
      </c>
      <c r="L274" s="23" t="str">
        <f aca="false">IF(OR($B274="",K274=""),"",K274-H274)</f>
        <v/>
      </c>
      <c r="M274" s="24" t="str">
        <f aca="false">IF($B274="","",IF(AND(I274="",J274=""),"Not Counted",IF(OR(I274="",J274=""),"Partially Counted",IF(L274=0,"Match",IF(L274&gt;0,"Overage","Shortage")))))</f>
        <v/>
      </c>
      <c r="N274" s="24" t="str">
        <f aca="false">IF($B274="","",IF(AND(N274&lt;&gt;"",N274&lt;&gt;0),N274,$B$4))</f>
        <v/>
      </c>
      <c r="O274" s="21"/>
      <c r="P274" s="21"/>
      <c r="Q274" s="21"/>
    </row>
    <row r="275" customFormat="false" ht="15" hidden="false" customHeight="false" outlineLevel="0" collapsed="false">
      <c r="A275" s="19" t="str">
        <f aca="true">IF($B275="","",IF(AND(A275&lt;&gt;"",A275&lt;&gt;0),A275,TODAY()))</f>
        <v/>
      </c>
      <c r="B275" s="20"/>
      <c r="C275" s="21"/>
      <c r="D275" s="21"/>
      <c r="E275" s="21"/>
      <c r="F275" s="21"/>
      <c r="G275" s="21"/>
      <c r="H275" s="22"/>
      <c r="I275" s="22"/>
      <c r="J275" s="22"/>
      <c r="K275" s="23" t="str">
        <f aca="false">IF($B275="","",IF(AND(I275="",J275=""),"",I275+J275))</f>
        <v/>
      </c>
      <c r="L275" s="23" t="str">
        <f aca="false">IF(OR($B275="",K275=""),"",K275-H275)</f>
        <v/>
      </c>
      <c r="M275" s="24" t="str">
        <f aca="false">IF($B275="","",IF(AND(I275="",J275=""),"Not Counted",IF(OR(I275="",J275=""),"Partially Counted",IF(L275=0,"Match",IF(L275&gt;0,"Overage","Shortage")))))</f>
        <v/>
      </c>
      <c r="N275" s="24" t="str">
        <f aca="false">IF($B275="","",IF(AND(N275&lt;&gt;"",N275&lt;&gt;0),N275,$B$4))</f>
        <v/>
      </c>
      <c r="O275" s="21"/>
      <c r="P275" s="21"/>
      <c r="Q275" s="21"/>
    </row>
    <row r="276" customFormat="false" ht="15" hidden="false" customHeight="false" outlineLevel="0" collapsed="false">
      <c r="A276" s="19" t="str">
        <f aca="true">IF($B276="","",IF(AND(A276&lt;&gt;"",A276&lt;&gt;0),A276,TODAY()))</f>
        <v/>
      </c>
      <c r="B276" s="20"/>
      <c r="C276" s="21"/>
      <c r="D276" s="21"/>
      <c r="E276" s="21"/>
      <c r="F276" s="21"/>
      <c r="G276" s="21"/>
      <c r="H276" s="22"/>
      <c r="I276" s="22"/>
      <c r="J276" s="22"/>
      <c r="K276" s="23" t="str">
        <f aca="false">IF($B276="","",IF(AND(I276="",J276=""),"",I276+J276))</f>
        <v/>
      </c>
      <c r="L276" s="23" t="str">
        <f aca="false">IF(OR($B276="",K276=""),"",K276-H276)</f>
        <v/>
      </c>
      <c r="M276" s="24" t="str">
        <f aca="false">IF($B276="","",IF(AND(I276="",J276=""),"Not Counted",IF(OR(I276="",J276=""),"Partially Counted",IF(L276=0,"Match",IF(L276&gt;0,"Overage","Shortage")))))</f>
        <v/>
      </c>
      <c r="N276" s="24" t="str">
        <f aca="false">IF($B276="","",IF(AND(N276&lt;&gt;"",N276&lt;&gt;0),N276,$B$4))</f>
        <v/>
      </c>
      <c r="O276" s="21"/>
      <c r="P276" s="21"/>
      <c r="Q276" s="21"/>
    </row>
    <row r="277" customFormat="false" ht="15" hidden="false" customHeight="false" outlineLevel="0" collapsed="false">
      <c r="A277" s="19" t="str">
        <f aca="true">IF($B277="","",IF(AND(A277&lt;&gt;"",A277&lt;&gt;0),A277,TODAY()))</f>
        <v/>
      </c>
      <c r="B277" s="20"/>
      <c r="C277" s="21"/>
      <c r="D277" s="21"/>
      <c r="E277" s="21"/>
      <c r="F277" s="21"/>
      <c r="G277" s="21"/>
      <c r="H277" s="22"/>
      <c r="I277" s="22"/>
      <c r="J277" s="22"/>
      <c r="K277" s="23" t="str">
        <f aca="false">IF($B277="","",IF(AND(I277="",J277=""),"",I277+J277))</f>
        <v/>
      </c>
      <c r="L277" s="23" t="str">
        <f aca="false">IF(OR($B277="",K277=""),"",K277-H277)</f>
        <v/>
      </c>
      <c r="M277" s="24" t="str">
        <f aca="false">IF($B277="","",IF(AND(I277="",J277=""),"Not Counted",IF(OR(I277="",J277=""),"Partially Counted",IF(L277=0,"Match",IF(L277&gt;0,"Overage","Shortage")))))</f>
        <v/>
      </c>
      <c r="N277" s="24" t="str">
        <f aca="false">IF($B277="","",IF(AND(N277&lt;&gt;"",N277&lt;&gt;0),N277,$B$4))</f>
        <v/>
      </c>
      <c r="O277" s="21"/>
      <c r="P277" s="21"/>
      <c r="Q277" s="21"/>
    </row>
    <row r="278" customFormat="false" ht="15" hidden="false" customHeight="false" outlineLevel="0" collapsed="false">
      <c r="A278" s="19" t="str">
        <f aca="true">IF($B278="","",IF(AND(A278&lt;&gt;"",A278&lt;&gt;0),A278,TODAY()))</f>
        <v/>
      </c>
      <c r="B278" s="20"/>
      <c r="C278" s="21"/>
      <c r="D278" s="21"/>
      <c r="E278" s="21"/>
      <c r="F278" s="21"/>
      <c r="G278" s="21"/>
      <c r="H278" s="22"/>
      <c r="I278" s="22"/>
      <c r="J278" s="22"/>
      <c r="K278" s="23" t="str">
        <f aca="false">IF($B278="","",IF(AND(I278="",J278=""),"",I278+J278))</f>
        <v/>
      </c>
      <c r="L278" s="23" t="str">
        <f aca="false">IF(OR($B278="",K278=""),"",K278-H278)</f>
        <v/>
      </c>
      <c r="M278" s="24" t="str">
        <f aca="false">IF($B278="","",IF(AND(I278="",J278=""),"Not Counted",IF(OR(I278="",J278=""),"Partially Counted",IF(L278=0,"Match",IF(L278&gt;0,"Overage","Shortage")))))</f>
        <v/>
      </c>
      <c r="N278" s="24" t="str">
        <f aca="false">IF($B278="","",IF(AND(N278&lt;&gt;"",N278&lt;&gt;0),N278,$B$4))</f>
        <v/>
      </c>
      <c r="O278" s="21"/>
      <c r="P278" s="21"/>
      <c r="Q278" s="21"/>
    </row>
    <row r="279" customFormat="false" ht="15" hidden="false" customHeight="false" outlineLevel="0" collapsed="false">
      <c r="A279" s="19" t="str">
        <f aca="true">IF($B279="","",IF(AND(A279&lt;&gt;"",A279&lt;&gt;0),A279,TODAY()))</f>
        <v/>
      </c>
      <c r="B279" s="20"/>
      <c r="C279" s="21"/>
      <c r="D279" s="21"/>
      <c r="E279" s="21"/>
      <c r="F279" s="21"/>
      <c r="G279" s="21"/>
      <c r="H279" s="22"/>
      <c r="I279" s="22"/>
      <c r="J279" s="22"/>
      <c r="K279" s="23" t="str">
        <f aca="false">IF($B279="","",IF(AND(I279="",J279=""),"",I279+J279))</f>
        <v/>
      </c>
      <c r="L279" s="23" t="str">
        <f aca="false">IF(OR($B279="",K279=""),"",K279-H279)</f>
        <v/>
      </c>
      <c r="M279" s="24" t="str">
        <f aca="false">IF($B279="","",IF(AND(I279="",J279=""),"Not Counted",IF(OR(I279="",J279=""),"Partially Counted",IF(L279=0,"Match",IF(L279&gt;0,"Overage","Shortage")))))</f>
        <v/>
      </c>
      <c r="N279" s="24" t="str">
        <f aca="false">IF($B279="","",IF(AND(N279&lt;&gt;"",N279&lt;&gt;0),N279,$B$4))</f>
        <v/>
      </c>
      <c r="O279" s="21"/>
      <c r="P279" s="21"/>
      <c r="Q279" s="21"/>
    </row>
    <row r="280" customFormat="false" ht="15" hidden="false" customHeight="false" outlineLevel="0" collapsed="false">
      <c r="A280" s="19" t="str">
        <f aca="true">IF($B280="","",IF(AND(A280&lt;&gt;"",A280&lt;&gt;0),A280,TODAY()))</f>
        <v/>
      </c>
      <c r="B280" s="20"/>
      <c r="C280" s="21"/>
      <c r="D280" s="21"/>
      <c r="E280" s="21"/>
      <c r="F280" s="21"/>
      <c r="G280" s="21"/>
      <c r="H280" s="22"/>
      <c r="I280" s="22"/>
      <c r="J280" s="22"/>
      <c r="K280" s="23" t="str">
        <f aca="false">IF($B280="","",IF(AND(I280="",J280=""),"",I280+J280))</f>
        <v/>
      </c>
      <c r="L280" s="23" t="str">
        <f aca="false">IF(OR($B280="",K280=""),"",K280-H280)</f>
        <v/>
      </c>
      <c r="M280" s="24" t="str">
        <f aca="false">IF($B280="","",IF(AND(I280="",J280=""),"Not Counted",IF(OR(I280="",J280=""),"Partially Counted",IF(L280=0,"Match",IF(L280&gt;0,"Overage","Shortage")))))</f>
        <v/>
      </c>
      <c r="N280" s="24" t="str">
        <f aca="false">IF($B280="","",IF(AND(N280&lt;&gt;"",N280&lt;&gt;0),N280,$B$4))</f>
        <v/>
      </c>
      <c r="O280" s="21"/>
      <c r="P280" s="21"/>
      <c r="Q280" s="21"/>
    </row>
    <row r="281" customFormat="false" ht="15" hidden="false" customHeight="false" outlineLevel="0" collapsed="false">
      <c r="A281" s="19" t="str">
        <f aca="true">IF($B281="","",IF(AND(A281&lt;&gt;"",A281&lt;&gt;0),A281,TODAY()))</f>
        <v/>
      </c>
      <c r="B281" s="20"/>
      <c r="C281" s="21"/>
      <c r="D281" s="21"/>
      <c r="E281" s="21"/>
      <c r="F281" s="21"/>
      <c r="G281" s="21"/>
      <c r="H281" s="22"/>
      <c r="I281" s="22"/>
      <c r="J281" s="22"/>
      <c r="K281" s="23" t="str">
        <f aca="false">IF($B281="","",IF(AND(I281="",J281=""),"",I281+J281))</f>
        <v/>
      </c>
      <c r="L281" s="23" t="str">
        <f aca="false">IF(OR($B281="",K281=""),"",K281-H281)</f>
        <v/>
      </c>
      <c r="M281" s="24" t="str">
        <f aca="false">IF($B281="","",IF(AND(I281="",J281=""),"Not Counted",IF(OR(I281="",J281=""),"Partially Counted",IF(L281=0,"Match",IF(L281&gt;0,"Overage","Shortage")))))</f>
        <v/>
      </c>
      <c r="N281" s="24" t="str">
        <f aca="false">IF($B281="","",IF(AND(N281&lt;&gt;"",N281&lt;&gt;0),N281,$B$4))</f>
        <v/>
      </c>
      <c r="O281" s="21"/>
      <c r="P281" s="21"/>
      <c r="Q281" s="21"/>
    </row>
    <row r="282" customFormat="false" ht="15" hidden="false" customHeight="false" outlineLevel="0" collapsed="false">
      <c r="A282" s="19" t="str">
        <f aca="true">IF($B282="","",IF(AND(A282&lt;&gt;"",A282&lt;&gt;0),A282,TODAY()))</f>
        <v/>
      </c>
      <c r="B282" s="20"/>
      <c r="C282" s="21"/>
      <c r="D282" s="21"/>
      <c r="E282" s="21"/>
      <c r="F282" s="21"/>
      <c r="G282" s="21"/>
      <c r="H282" s="22"/>
      <c r="I282" s="22"/>
      <c r="J282" s="22"/>
      <c r="K282" s="23" t="str">
        <f aca="false">IF($B282="","",IF(AND(I282="",J282=""),"",I282+J282))</f>
        <v/>
      </c>
      <c r="L282" s="23" t="str">
        <f aca="false">IF(OR($B282="",K282=""),"",K282-H282)</f>
        <v/>
      </c>
      <c r="M282" s="24" t="str">
        <f aca="false">IF($B282="","",IF(AND(I282="",J282=""),"Not Counted",IF(OR(I282="",J282=""),"Partially Counted",IF(L282=0,"Match",IF(L282&gt;0,"Overage","Shortage")))))</f>
        <v/>
      </c>
      <c r="N282" s="24" t="str">
        <f aca="false">IF($B282="","",IF(AND(N282&lt;&gt;"",N282&lt;&gt;0),N282,$B$4))</f>
        <v/>
      </c>
      <c r="O282" s="21"/>
      <c r="P282" s="21"/>
      <c r="Q282" s="21"/>
    </row>
    <row r="283" customFormat="false" ht="15" hidden="false" customHeight="false" outlineLevel="0" collapsed="false">
      <c r="A283" s="19" t="str">
        <f aca="true">IF($B283="","",IF(AND(A283&lt;&gt;"",A283&lt;&gt;0),A283,TODAY()))</f>
        <v/>
      </c>
      <c r="B283" s="20"/>
      <c r="C283" s="21"/>
      <c r="D283" s="21"/>
      <c r="E283" s="21"/>
      <c r="F283" s="21"/>
      <c r="G283" s="21"/>
      <c r="H283" s="22"/>
      <c r="I283" s="22"/>
      <c r="J283" s="22"/>
      <c r="K283" s="23" t="str">
        <f aca="false">IF($B283="","",IF(AND(I283="",J283=""),"",I283+J283))</f>
        <v/>
      </c>
      <c r="L283" s="23" t="str">
        <f aca="false">IF(OR($B283="",K283=""),"",K283-H283)</f>
        <v/>
      </c>
      <c r="M283" s="24" t="str">
        <f aca="false">IF($B283="","",IF(AND(I283="",J283=""),"Not Counted",IF(OR(I283="",J283=""),"Partially Counted",IF(L283=0,"Match",IF(L283&gt;0,"Overage","Shortage")))))</f>
        <v/>
      </c>
      <c r="N283" s="24" t="str">
        <f aca="false">IF($B283="","",IF(AND(N283&lt;&gt;"",N283&lt;&gt;0),N283,$B$4))</f>
        <v/>
      </c>
      <c r="O283" s="21"/>
      <c r="P283" s="21"/>
      <c r="Q283" s="21"/>
    </row>
    <row r="284" customFormat="false" ht="15" hidden="false" customHeight="false" outlineLevel="0" collapsed="false">
      <c r="A284" s="19" t="str">
        <f aca="true">IF($B284="","",IF(AND(A284&lt;&gt;"",A284&lt;&gt;0),A284,TODAY()))</f>
        <v/>
      </c>
      <c r="B284" s="20"/>
      <c r="C284" s="21"/>
      <c r="D284" s="21"/>
      <c r="E284" s="21"/>
      <c r="F284" s="21"/>
      <c r="G284" s="21"/>
      <c r="H284" s="22"/>
      <c r="I284" s="22"/>
      <c r="J284" s="22"/>
      <c r="K284" s="23" t="str">
        <f aca="false">IF($B284="","",IF(AND(I284="",J284=""),"",I284+J284))</f>
        <v/>
      </c>
      <c r="L284" s="23" t="str">
        <f aca="false">IF(OR($B284="",K284=""),"",K284-H284)</f>
        <v/>
      </c>
      <c r="M284" s="24" t="str">
        <f aca="false">IF($B284="","",IF(AND(I284="",J284=""),"Not Counted",IF(OR(I284="",J284=""),"Partially Counted",IF(L284=0,"Match",IF(L284&gt;0,"Overage","Shortage")))))</f>
        <v/>
      </c>
      <c r="N284" s="24" t="str">
        <f aca="false">IF($B284="","",IF(AND(N284&lt;&gt;"",N284&lt;&gt;0),N284,$B$4))</f>
        <v/>
      </c>
      <c r="O284" s="21"/>
      <c r="P284" s="21"/>
      <c r="Q284" s="21"/>
    </row>
    <row r="285" customFormat="false" ht="15" hidden="false" customHeight="false" outlineLevel="0" collapsed="false">
      <c r="A285" s="19" t="str">
        <f aca="true">IF($B285="","",IF(AND(A285&lt;&gt;"",A285&lt;&gt;0),A285,TODAY()))</f>
        <v/>
      </c>
      <c r="B285" s="20"/>
      <c r="C285" s="21"/>
      <c r="D285" s="21"/>
      <c r="E285" s="21"/>
      <c r="F285" s="21"/>
      <c r="G285" s="21"/>
      <c r="H285" s="22"/>
      <c r="I285" s="22"/>
      <c r="J285" s="22"/>
      <c r="K285" s="23" t="str">
        <f aca="false">IF($B285="","",IF(AND(I285="",J285=""),"",I285+J285))</f>
        <v/>
      </c>
      <c r="L285" s="23" t="str">
        <f aca="false">IF(OR($B285="",K285=""),"",K285-H285)</f>
        <v/>
      </c>
      <c r="M285" s="24" t="str">
        <f aca="false">IF($B285="","",IF(AND(I285="",J285=""),"Not Counted",IF(OR(I285="",J285=""),"Partially Counted",IF(L285=0,"Match",IF(L285&gt;0,"Overage","Shortage")))))</f>
        <v/>
      </c>
      <c r="N285" s="24" t="str">
        <f aca="false">IF($B285="","",IF(AND(N285&lt;&gt;"",N285&lt;&gt;0),N285,$B$4))</f>
        <v/>
      </c>
      <c r="O285" s="21"/>
      <c r="P285" s="21"/>
      <c r="Q285" s="21"/>
    </row>
    <row r="286" customFormat="false" ht="15" hidden="false" customHeight="false" outlineLevel="0" collapsed="false">
      <c r="A286" s="19" t="str">
        <f aca="true">IF($B286="","",IF(AND(A286&lt;&gt;"",A286&lt;&gt;0),A286,TODAY()))</f>
        <v/>
      </c>
      <c r="B286" s="20"/>
      <c r="C286" s="21"/>
      <c r="D286" s="21"/>
      <c r="E286" s="21"/>
      <c r="F286" s="21"/>
      <c r="G286" s="21"/>
      <c r="H286" s="22"/>
      <c r="I286" s="22"/>
      <c r="J286" s="22"/>
      <c r="K286" s="23" t="str">
        <f aca="false">IF($B286="","",IF(AND(I286="",J286=""),"",I286+J286))</f>
        <v/>
      </c>
      <c r="L286" s="23" t="str">
        <f aca="false">IF(OR($B286="",K286=""),"",K286-H286)</f>
        <v/>
      </c>
      <c r="M286" s="24" t="str">
        <f aca="false">IF($B286="","",IF(AND(I286="",J286=""),"Not Counted",IF(OR(I286="",J286=""),"Partially Counted",IF(L286=0,"Match",IF(L286&gt;0,"Overage","Shortage")))))</f>
        <v/>
      </c>
      <c r="N286" s="24" t="str">
        <f aca="false">IF($B286="","",IF(AND(N286&lt;&gt;"",N286&lt;&gt;0),N286,$B$4))</f>
        <v/>
      </c>
      <c r="O286" s="21"/>
      <c r="P286" s="21"/>
      <c r="Q286" s="21"/>
    </row>
    <row r="287" customFormat="false" ht="15" hidden="false" customHeight="false" outlineLevel="0" collapsed="false">
      <c r="A287" s="19" t="str">
        <f aca="true">IF($B287="","",IF(AND(A287&lt;&gt;"",A287&lt;&gt;0),A287,TODAY()))</f>
        <v/>
      </c>
      <c r="B287" s="20"/>
      <c r="C287" s="21"/>
      <c r="D287" s="21"/>
      <c r="E287" s="21"/>
      <c r="F287" s="21"/>
      <c r="G287" s="21"/>
      <c r="H287" s="22"/>
      <c r="I287" s="22"/>
      <c r="J287" s="22"/>
      <c r="K287" s="23" t="str">
        <f aca="false">IF($B287="","",IF(AND(I287="",J287=""),"",I287+J287))</f>
        <v/>
      </c>
      <c r="L287" s="23" t="str">
        <f aca="false">IF(OR($B287="",K287=""),"",K287-H287)</f>
        <v/>
      </c>
      <c r="M287" s="24" t="str">
        <f aca="false">IF($B287="","",IF(AND(I287="",J287=""),"Not Counted",IF(OR(I287="",J287=""),"Partially Counted",IF(L287=0,"Match",IF(L287&gt;0,"Overage","Shortage")))))</f>
        <v/>
      </c>
      <c r="N287" s="24" t="str">
        <f aca="false">IF($B287="","",IF(AND(N287&lt;&gt;"",N287&lt;&gt;0),N287,$B$4))</f>
        <v/>
      </c>
      <c r="O287" s="21"/>
      <c r="P287" s="21"/>
      <c r="Q287" s="21"/>
    </row>
    <row r="288" customFormat="false" ht="15" hidden="false" customHeight="false" outlineLevel="0" collapsed="false">
      <c r="A288" s="19" t="str">
        <f aca="true">IF($B288="","",IF(AND(A288&lt;&gt;"",A288&lt;&gt;0),A288,TODAY()))</f>
        <v/>
      </c>
      <c r="B288" s="20"/>
      <c r="C288" s="21"/>
      <c r="D288" s="21"/>
      <c r="E288" s="21"/>
      <c r="F288" s="21"/>
      <c r="G288" s="21"/>
      <c r="H288" s="22"/>
      <c r="I288" s="22"/>
      <c r="J288" s="22"/>
      <c r="K288" s="23" t="str">
        <f aca="false">IF($B288="","",IF(AND(I288="",J288=""),"",I288+J288))</f>
        <v/>
      </c>
      <c r="L288" s="23" t="str">
        <f aca="false">IF(OR($B288="",K288=""),"",K288-H288)</f>
        <v/>
      </c>
      <c r="M288" s="24" t="str">
        <f aca="false">IF($B288="","",IF(AND(I288="",J288=""),"Not Counted",IF(OR(I288="",J288=""),"Partially Counted",IF(L288=0,"Match",IF(L288&gt;0,"Overage","Shortage")))))</f>
        <v/>
      </c>
      <c r="N288" s="24" t="str">
        <f aca="false">IF($B288="","",IF(AND(N288&lt;&gt;"",N288&lt;&gt;0),N288,$B$4))</f>
        <v/>
      </c>
      <c r="O288" s="21"/>
      <c r="P288" s="21"/>
      <c r="Q288" s="21"/>
    </row>
    <row r="289" customFormat="false" ht="15" hidden="false" customHeight="false" outlineLevel="0" collapsed="false">
      <c r="A289" s="19" t="str">
        <f aca="true">IF($B289="","",IF(AND(A289&lt;&gt;"",A289&lt;&gt;0),A289,TODAY()))</f>
        <v/>
      </c>
      <c r="B289" s="20"/>
      <c r="C289" s="21"/>
      <c r="D289" s="21"/>
      <c r="E289" s="21"/>
      <c r="F289" s="21"/>
      <c r="G289" s="21"/>
      <c r="H289" s="22"/>
      <c r="I289" s="22"/>
      <c r="J289" s="22"/>
      <c r="K289" s="23" t="str">
        <f aca="false">IF($B289="","",IF(AND(I289="",J289=""),"",I289+J289))</f>
        <v/>
      </c>
      <c r="L289" s="23" t="str">
        <f aca="false">IF(OR($B289="",K289=""),"",K289-H289)</f>
        <v/>
      </c>
      <c r="M289" s="24" t="str">
        <f aca="false">IF($B289="","",IF(AND(I289="",J289=""),"Not Counted",IF(OR(I289="",J289=""),"Partially Counted",IF(L289=0,"Match",IF(L289&gt;0,"Overage","Shortage")))))</f>
        <v/>
      </c>
      <c r="N289" s="24" t="str">
        <f aca="false">IF($B289="","",IF(AND(N289&lt;&gt;"",N289&lt;&gt;0),N289,$B$4))</f>
        <v/>
      </c>
      <c r="O289" s="21"/>
      <c r="P289" s="21"/>
      <c r="Q289" s="21"/>
    </row>
    <row r="290" customFormat="false" ht="15" hidden="false" customHeight="false" outlineLevel="0" collapsed="false">
      <c r="A290" s="19" t="str">
        <f aca="true">IF($B290="","",IF(AND(A290&lt;&gt;"",A290&lt;&gt;0),A290,TODAY()))</f>
        <v/>
      </c>
      <c r="B290" s="20"/>
      <c r="C290" s="21"/>
      <c r="D290" s="21"/>
      <c r="E290" s="21"/>
      <c r="F290" s="21"/>
      <c r="G290" s="21"/>
      <c r="H290" s="22"/>
      <c r="I290" s="22"/>
      <c r="J290" s="22"/>
      <c r="K290" s="23" t="str">
        <f aca="false">IF($B290="","",IF(AND(I290="",J290=""),"",I290+J290))</f>
        <v/>
      </c>
      <c r="L290" s="23" t="str">
        <f aca="false">IF(OR($B290="",K290=""),"",K290-H290)</f>
        <v/>
      </c>
      <c r="M290" s="24" t="str">
        <f aca="false">IF($B290="","",IF(AND(I290="",J290=""),"Not Counted",IF(OR(I290="",J290=""),"Partially Counted",IF(L290=0,"Match",IF(L290&gt;0,"Overage","Shortage")))))</f>
        <v/>
      </c>
      <c r="N290" s="24" t="str">
        <f aca="false">IF($B290="","",IF(AND(N290&lt;&gt;"",N290&lt;&gt;0),N290,$B$4))</f>
        <v/>
      </c>
      <c r="O290" s="21"/>
      <c r="P290" s="21"/>
      <c r="Q290" s="21"/>
    </row>
    <row r="291" customFormat="false" ht="15" hidden="false" customHeight="false" outlineLevel="0" collapsed="false">
      <c r="A291" s="19" t="str">
        <f aca="true">IF($B291="","",IF(AND(A291&lt;&gt;"",A291&lt;&gt;0),A291,TODAY()))</f>
        <v/>
      </c>
      <c r="B291" s="20"/>
      <c r="C291" s="21"/>
      <c r="D291" s="21"/>
      <c r="E291" s="21"/>
      <c r="F291" s="21"/>
      <c r="G291" s="21"/>
      <c r="H291" s="22"/>
      <c r="I291" s="22"/>
      <c r="J291" s="22"/>
      <c r="K291" s="23" t="str">
        <f aca="false">IF($B291="","",IF(AND(I291="",J291=""),"",I291+J291))</f>
        <v/>
      </c>
      <c r="L291" s="23" t="str">
        <f aca="false">IF(OR($B291="",K291=""),"",K291-H291)</f>
        <v/>
      </c>
      <c r="M291" s="24" t="str">
        <f aca="false">IF($B291="","",IF(AND(I291="",J291=""),"Not Counted",IF(OR(I291="",J291=""),"Partially Counted",IF(L291=0,"Match",IF(L291&gt;0,"Overage","Shortage")))))</f>
        <v/>
      </c>
      <c r="N291" s="24" t="str">
        <f aca="false">IF($B291="","",IF(AND(N291&lt;&gt;"",N291&lt;&gt;0),N291,$B$4))</f>
        <v/>
      </c>
      <c r="O291" s="21"/>
      <c r="P291" s="21"/>
      <c r="Q291" s="21"/>
    </row>
    <row r="292" customFormat="false" ht="15" hidden="false" customHeight="false" outlineLevel="0" collapsed="false">
      <c r="A292" s="19" t="str">
        <f aca="true">IF($B292="","",IF(AND(A292&lt;&gt;"",A292&lt;&gt;0),A292,TODAY()))</f>
        <v/>
      </c>
      <c r="B292" s="20"/>
      <c r="C292" s="21"/>
      <c r="D292" s="21"/>
      <c r="E292" s="21"/>
      <c r="F292" s="21"/>
      <c r="G292" s="21"/>
      <c r="H292" s="22"/>
      <c r="I292" s="22"/>
      <c r="J292" s="22"/>
      <c r="K292" s="23" t="str">
        <f aca="false">IF($B292="","",IF(AND(I292="",J292=""),"",I292+J292))</f>
        <v/>
      </c>
      <c r="L292" s="23" t="str">
        <f aca="false">IF(OR($B292="",K292=""),"",K292-H292)</f>
        <v/>
      </c>
      <c r="M292" s="24" t="str">
        <f aca="false">IF($B292="","",IF(AND(I292="",J292=""),"Not Counted",IF(OR(I292="",J292=""),"Partially Counted",IF(L292=0,"Match",IF(L292&gt;0,"Overage","Shortage")))))</f>
        <v/>
      </c>
      <c r="N292" s="24" t="str">
        <f aca="false">IF($B292="","",IF(AND(N292&lt;&gt;"",N292&lt;&gt;0),N292,$B$4))</f>
        <v/>
      </c>
      <c r="O292" s="21"/>
      <c r="P292" s="21"/>
      <c r="Q292" s="21"/>
    </row>
    <row r="293" customFormat="false" ht="15" hidden="false" customHeight="false" outlineLevel="0" collapsed="false">
      <c r="A293" s="19" t="str">
        <f aca="true">IF($B293="","",IF(AND(A293&lt;&gt;"",A293&lt;&gt;0),A293,TODAY()))</f>
        <v/>
      </c>
      <c r="B293" s="20"/>
      <c r="C293" s="21"/>
      <c r="D293" s="21"/>
      <c r="E293" s="21"/>
      <c r="F293" s="21"/>
      <c r="G293" s="21"/>
      <c r="H293" s="22"/>
      <c r="I293" s="22"/>
      <c r="J293" s="22"/>
      <c r="K293" s="23" t="str">
        <f aca="false">IF($B293="","",IF(AND(I293="",J293=""),"",I293+J293))</f>
        <v/>
      </c>
      <c r="L293" s="23" t="str">
        <f aca="false">IF(OR($B293="",K293=""),"",K293-H293)</f>
        <v/>
      </c>
      <c r="M293" s="24" t="str">
        <f aca="false">IF($B293="","",IF(AND(I293="",J293=""),"Not Counted",IF(OR(I293="",J293=""),"Partially Counted",IF(L293=0,"Match",IF(L293&gt;0,"Overage","Shortage")))))</f>
        <v/>
      </c>
      <c r="N293" s="24" t="str">
        <f aca="false">IF($B293="","",IF(AND(N293&lt;&gt;"",N293&lt;&gt;0),N293,$B$4))</f>
        <v/>
      </c>
      <c r="O293" s="21"/>
      <c r="P293" s="21"/>
      <c r="Q293" s="21"/>
    </row>
    <row r="294" customFormat="false" ht="15" hidden="false" customHeight="false" outlineLevel="0" collapsed="false">
      <c r="A294" s="19" t="str">
        <f aca="true">IF($B294="","",IF(AND(A294&lt;&gt;"",A294&lt;&gt;0),A294,TODAY()))</f>
        <v/>
      </c>
      <c r="B294" s="20"/>
      <c r="C294" s="21"/>
      <c r="D294" s="21"/>
      <c r="E294" s="21"/>
      <c r="F294" s="21"/>
      <c r="G294" s="21"/>
      <c r="H294" s="22"/>
      <c r="I294" s="22"/>
      <c r="J294" s="22"/>
      <c r="K294" s="23" t="str">
        <f aca="false">IF($B294="","",IF(AND(I294="",J294=""),"",I294+J294))</f>
        <v/>
      </c>
      <c r="L294" s="23" t="str">
        <f aca="false">IF(OR($B294="",K294=""),"",K294-H294)</f>
        <v/>
      </c>
      <c r="M294" s="24" t="str">
        <f aca="false">IF($B294="","",IF(AND(I294="",J294=""),"Not Counted",IF(OR(I294="",J294=""),"Partially Counted",IF(L294=0,"Match",IF(L294&gt;0,"Overage","Shortage")))))</f>
        <v/>
      </c>
      <c r="N294" s="24" t="str">
        <f aca="false">IF($B294="","",IF(AND(N294&lt;&gt;"",N294&lt;&gt;0),N294,$B$4))</f>
        <v/>
      </c>
      <c r="O294" s="21"/>
      <c r="P294" s="21"/>
      <c r="Q294" s="21"/>
    </row>
    <row r="295" customFormat="false" ht="15" hidden="false" customHeight="false" outlineLevel="0" collapsed="false">
      <c r="A295" s="19" t="str">
        <f aca="true">IF($B295="","",IF(AND(A295&lt;&gt;"",A295&lt;&gt;0),A295,TODAY()))</f>
        <v/>
      </c>
      <c r="B295" s="20"/>
      <c r="C295" s="21"/>
      <c r="D295" s="21"/>
      <c r="E295" s="21"/>
      <c r="F295" s="21"/>
      <c r="G295" s="21"/>
      <c r="H295" s="22"/>
      <c r="I295" s="22"/>
      <c r="J295" s="22"/>
      <c r="K295" s="23" t="str">
        <f aca="false">IF($B295="","",IF(AND(I295="",J295=""),"",I295+J295))</f>
        <v/>
      </c>
      <c r="L295" s="23" t="str">
        <f aca="false">IF(OR($B295="",K295=""),"",K295-H295)</f>
        <v/>
      </c>
      <c r="M295" s="24" t="str">
        <f aca="false">IF($B295="","",IF(AND(I295="",J295=""),"Not Counted",IF(OR(I295="",J295=""),"Partially Counted",IF(L295=0,"Match",IF(L295&gt;0,"Overage","Shortage")))))</f>
        <v/>
      </c>
      <c r="N295" s="24" t="str">
        <f aca="false">IF($B295="","",IF(AND(N295&lt;&gt;"",N295&lt;&gt;0),N295,$B$4))</f>
        <v/>
      </c>
      <c r="O295" s="21"/>
      <c r="P295" s="21"/>
      <c r="Q295" s="21"/>
    </row>
    <row r="296" customFormat="false" ht="15" hidden="false" customHeight="false" outlineLevel="0" collapsed="false">
      <c r="A296" s="19" t="str">
        <f aca="true">IF($B296="","",IF(AND(A296&lt;&gt;"",A296&lt;&gt;0),A296,TODAY()))</f>
        <v/>
      </c>
      <c r="B296" s="20"/>
      <c r="C296" s="21"/>
      <c r="D296" s="21"/>
      <c r="E296" s="21"/>
      <c r="F296" s="21"/>
      <c r="G296" s="21"/>
      <c r="H296" s="22"/>
      <c r="I296" s="22"/>
      <c r="J296" s="22"/>
      <c r="K296" s="23" t="str">
        <f aca="false">IF($B296="","",IF(AND(I296="",J296=""),"",I296+J296))</f>
        <v/>
      </c>
      <c r="L296" s="23" t="str">
        <f aca="false">IF(OR($B296="",K296=""),"",K296-H296)</f>
        <v/>
      </c>
      <c r="M296" s="24" t="str">
        <f aca="false">IF($B296="","",IF(AND(I296="",J296=""),"Not Counted",IF(OR(I296="",J296=""),"Partially Counted",IF(L296=0,"Match",IF(L296&gt;0,"Overage","Shortage")))))</f>
        <v/>
      </c>
      <c r="N296" s="24" t="str">
        <f aca="false">IF($B296="","",IF(AND(N296&lt;&gt;"",N296&lt;&gt;0),N296,$B$4))</f>
        <v/>
      </c>
      <c r="O296" s="21"/>
      <c r="P296" s="21"/>
      <c r="Q296" s="21"/>
    </row>
    <row r="297" customFormat="false" ht="15" hidden="false" customHeight="false" outlineLevel="0" collapsed="false">
      <c r="A297" s="19" t="str">
        <f aca="true">IF($B297="","",IF(AND(A297&lt;&gt;"",A297&lt;&gt;0),A297,TODAY()))</f>
        <v/>
      </c>
      <c r="B297" s="20"/>
      <c r="C297" s="21"/>
      <c r="D297" s="21"/>
      <c r="E297" s="21"/>
      <c r="F297" s="21"/>
      <c r="G297" s="21"/>
      <c r="H297" s="22"/>
      <c r="I297" s="22"/>
      <c r="J297" s="22"/>
      <c r="K297" s="23" t="str">
        <f aca="false">IF($B297="","",IF(AND(I297="",J297=""),"",I297+J297))</f>
        <v/>
      </c>
      <c r="L297" s="23" t="str">
        <f aca="false">IF(OR($B297="",K297=""),"",K297-H297)</f>
        <v/>
      </c>
      <c r="M297" s="24" t="str">
        <f aca="false">IF($B297="","",IF(AND(I297="",J297=""),"Not Counted",IF(OR(I297="",J297=""),"Partially Counted",IF(L297=0,"Match",IF(L297&gt;0,"Overage","Shortage")))))</f>
        <v/>
      </c>
      <c r="N297" s="24" t="str">
        <f aca="false">IF($B297="","",IF(AND(N297&lt;&gt;"",N297&lt;&gt;0),N297,$B$4))</f>
        <v/>
      </c>
      <c r="O297" s="21"/>
      <c r="P297" s="21"/>
      <c r="Q297" s="21"/>
    </row>
    <row r="298" customFormat="false" ht="15" hidden="false" customHeight="false" outlineLevel="0" collapsed="false">
      <c r="A298" s="19" t="str">
        <f aca="true">IF($B298="","",IF(AND(A298&lt;&gt;"",A298&lt;&gt;0),A298,TODAY()))</f>
        <v/>
      </c>
      <c r="B298" s="20"/>
      <c r="C298" s="21"/>
      <c r="D298" s="21"/>
      <c r="E298" s="21"/>
      <c r="F298" s="21"/>
      <c r="G298" s="21"/>
      <c r="H298" s="22"/>
      <c r="I298" s="22"/>
      <c r="J298" s="22"/>
      <c r="K298" s="23" t="str">
        <f aca="false">IF($B298="","",IF(AND(I298="",J298=""),"",I298+J298))</f>
        <v/>
      </c>
      <c r="L298" s="23" t="str">
        <f aca="false">IF(OR($B298="",K298=""),"",K298-H298)</f>
        <v/>
      </c>
      <c r="M298" s="24" t="str">
        <f aca="false">IF($B298="","",IF(AND(I298="",J298=""),"Not Counted",IF(OR(I298="",J298=""),"Partially Counted",IF(L298=0,"Match",IF(L298&gt;0,"Overage","Shortage")))))</f>
        <v/>
      </c>
      <c r="N298" s="24" t="str">
        <f aca="false">IF($B298="","",IF(AND(N298&lt;&gt;"",N298&lt;&gt;0),N298,$B$4))</f>
        <v/>
      </c>
      <c r="O298" s="21"/>
      <c r="P298" s="21"/>
      <c r="Q298" s="21"/>
    </row>
    <row r="299" customFormat="false" ht="15" hidden="false" customHeight="false" outlineLevel="0" collapsed="false">
      <c r="A299" s="19" t="str">
        <f aca="true">IF($B299="","",IF(AND(A299&lt;&gt;"",A299&lt;&gt;0),A299,TODAY()))</f>
        <v/>
      </c>
      <c r="B299" s="20"/>
      <c r="C299" s="21"/>
      <c r="D299" s="21"/>
      <c r="E299" s="21"/>
      <c r="F299" s="21"/>
      <c r="G299" s="21"/>
      <c r="H299" s="22"/>
      <c r="I299" s="22"/>
      <c r="J299" s="22"/>
      <c r="K299" s="23" t="str">
        <f aca="false">IF($B299="","",IF(AND(I299="",J299=""),"",I299+J299))</f>
        <v/>
      </c>
      <c r="L299" s="23" t="str">
        <f aca="false">IF(OR($B299="",K299=""),"",K299-H299)</f>
        <v/>
      </c>
      <c r="M299" s="24" t="str">
        <f aca="false">IF($B299="","",IF(AND(I299="",J299=""),"Not Counted",IF(OR(I299="",J299=""),"Partially Counted",IF(L299=0,"Match",IF(L299&gt;0,"Overage","Shortage")))))</f>
        <v/>
      </c>
      <c r="N299" s="24" t="str">
        <f aca="false">IF($B299="","",IF(AND(N299&lt;&gt;"",N299&lt;&gt;0),N299,$B$4))</f>
        <v/>
      </c>
      <c r="O299" s="21"/>
      <c r="P299" s="21"/>
      <c r="Q299" s="21"/>
    </row>
    <row r="300" customFormat="false" ht="15" hidden="false" customHeight="false" outlineLevel="0" collapsed="false">
      <c r="A300" s="19" t="str">
        <f aca="true">IF($B300="","",IF(AND(A300&lt;&gt;"",A300&lt;&gt;0),A300,TODAY()))</f>
        <v/>
      </c>
      <c r="B300" s="20"/>
      <c r="C300" s="21"/>
      <c r="D300" s="21"/>
      <c r="E300" s="21"/>
      <c r="F300" s="21"/>
      <c r="G300" s="21"/>
      <c r="H300" s="22"/>
      <c r="I300" s="22"/>
      <c r="J300" s="22"/>
      <c r="K300" s="23" t="str">
        <f aca="false">IF($B300="","",IF(AND(I300="",J300=""),"",I300+J300))</f>
        <v/>
      </c>
      <c r="L300" s="23" t="str">
        <f aca="false">IF(OR($B300="",K300=""),"",K300-H300)</f>
        <v/>
      </c>
      <c r="M300" s="24" t="str">
        <f aca="false">IF($B300="","",IF(AND(I300="",J300=""),"Not Counted",IF(OR(I300="",J300=""),"Partially Counted",IF(L300=0,"Match",IF(L300&gt;0,"Overage","Shortage")))))</f>
        <v/>
      </c>
      <c r="N300" s="24" t="str">
        <f aca="false">IF($B300="","",IF(AND(N300&lt;&gt;"",N300&lt;&gt;0),N300,$B$4))</f>
        <v/>
      </c>
      <c r="O300" s="21"/>
      <c r="P300" s="21"/>
      <c r="Q300" s="21"/>
    </row>
    <row r="301" customFormat="false" ht="15" hidden="false" customHeight="false" outlineLevel="0" collapsed="false">
      <c r="A301" s="19" t="str">
        <f aca="true">IF($B301="","",IF(AND(A301&lt;&gt;"",A301&lt;&gt;0),A301,TODAY()))</f>
        <v/>
      </c>
      <c r="B301" s="20"/>
      <c r="C301" s="21"/>
      <c r="D301" s="21"/>
      <c r="E301" s="21"/>
      <c r="F301" s="21"/>
      <c r="G301" s="21"/>
      <c r="H301" s="22"/>
      <c r="I301" s="22"/>
      <c r="J301" s="22"/>
      <c r="K301" s="23" t="str">
        <f aca="false">IF($B301="","",IF(AND(I301="",J301=""),"",I301+J301))</f>
        <v/>
      </c>
      <c r="L301" s="23" t="str">
        <f aca="false">IF(OR($B301="",K301=""),"",K301-H301)</f>
        <v/>
      </c>
      <c r="M301" s="24" t="str">
        <f aca="false">IF($B301="","",IF(AND(I301="",J301=""),"Not Counted",IF(OR(I301="",J301=""),"Partially Counted",IF(L301=0,"Match",IF(L301&gt;0,"Overage","Shortage")))))</f>
        <v/>
      </c>
      <c r="N301" s="24" t="str">
        <f aca="false">IF($B301="","",IF(AND(N301&lt;&gt;"",N301&lt;&gt;0),N301,$B$4))</f>
        <v/>
      </c>
      <c r="O301" s="21"/>
      <c r="P301" s="21"/>
      <c r="Q301" s="21"/>
    </row>
    <row r="302" customFormat="false" ht="15" hidden="false" customHeight="false" outlineLevel="0" collapsed="false">
      <c r="A302" s="19" t="str">
        <f aca="true">IF($B302="","",IF(AND(A302&lt;&gt;"",A302&lt;&gt;0),A302,TODAY()))</f>
        <v/>
      </c>
      <c r="B302" s="20"/>
      <c r="C302" s="21"/>
      <c r="D302" s="21"/>
      <c r="E302" s="21"/>
      <c r="F302" s="21"/>
      <c r="G302" s="21"/>
      <c r="H302" s="22"/>
      <c r="I302" s="22"/>
      <c r="J302" s="22"/>
      <c r="K302" s="23" t="str">
        <f aca="false">IF($B302="","",IF(AND(I302="",J302=""),"",I302+J302))</f>
        <v/>
      </c>
      <c r="L302" s="23" t="str">
        <f aca="false">IF(OR($B302="",K302=""),"",K302-H302)</f>
        <v/>
      </c>
      <c r="M302" s="24" t="str">
        <f aca="false">IF($B302="","",IF(AND(I302="",J302=""),"Not Counted",IF(OR(I302="",J302=""),"Partially Counted",IF(L302=0,"Match",IF(L302&gt;0,"Overage","Shortage")))))</f>
        <v/>
      </c>
      <c r="N302" s="24" t="str">
        <f aca="false">IF($B302="","",IF(AND(N302&lt;&gt;"",N302&lt;&gt;0),N302,$B$4))</f>
        <v/>
      </c>
      <c r="O302" s="21"/>
      <c r="P302" s="21"/>
      <c r="Q302" s="21"/>
    </row>
    <row r="303" customFormat="false" ht="15" hidden="false" customHeight="false" outlineLevel="0" collapsed="false">
      <c r="A303" s="19" t="str">
        <f aca="true">IF($B303="","",IF(AND(A303&lt;&gt;"",A303&lt;&gt;0),A303,TODAY()))</f>
        <v/>
      </c>
      <c r="B303" s="20"/>
      <c r="C303" s="21"/>
      <c r="D303" s="21"/>
      <c r="E303" s="21"/>
      <c r="F303" s="21"/>
      <c r="G303" s="21"/>
      <c r="H303" s="22"/>
      <c r="I303" s="22"/>
      <c r="J303" s="22"/>
      <c r="K303" s="23" t="str">
        <f aca="false">IF($B303="","",IF(AND(I303="",J303=""),"",I303+J303))</f>
        <v/>
      </c>
      <c r="L303" s="23" t="str">
        <f aca="false">IF(OR($B303="",K303=""),"",K303-H303)</f>
        <v/>
      </c>
      <c r="M303" s="24" t="str">
        <f aca="false">IF($B303="","",IF(AND(I303="",J303=""),"Not Counted",IF(OR(I303="",J303=""),"Partially Counted",IF(L303=0,"Match",IF(L303&gt;0,"Overage","Shortage")))))</f>
        <v/>
      </c>
      <c r="N303" s="24" t="str">
        <f aca="false">IF($B303="","",IF(AND(N303&lt;&gt;"",N303&lt;&gt;0),N303,$B$4))</f>
        <v/>
      </c>
      <c r="O303" s="21"/>
      <c r="P303" s="21"/>
      <c r="Q303" s="21"/>
    </row>
    <row r="304" customFormat="false" ht="15" hidden="false" customHeight="false" outlineLevel="0" collapsed="false">
      <c r="A304" s="19" t="str">
        <f aca="true">IF($B304="","",IF(AND(A304&lt;&gt;"",A304&lt;&gt;0),A304,TODAY()))</f>
        <v/>
      </c>
      <c r="B304" s="20"/>
      <c r="C304" s="21"/>
      <c r="D304" s="21"/>
      <c r="E304" s="21"/>
      <c r="F304" s="21"/>
      <c r="G304" s="21"/>
      <c r="H304" s="22"/>
      <c r="I304" s="22"/>
      <c r="J304" s="22"/>
      <c r="K304" s="23" t="str">
        <f aca="false">IF($B304="","",IF(AND(I304="",J304=""),"",I304+J304))</f>
        <v/>
      </c>
      <c r="L304" s="23" t="str">
        <f aca="false">IF(OR($B304="",K304=""),"",K304-H304)</f>
        <v/>
      </c>
      <c r="M304" s="24" t="str">
        <f aca="false">IF($B304="","",IF(AND(I304="",J304=""),"Not Counted",IF(OR(I304="",J304=""),"Partially Counted",IF(L304=0,"Match",IF(L304&gt;0,"Overage","Shortage")))))</f>
        <v/>
      </c>
      <c r="N304" s="24" t="str">
        <f aca="false">IF($B304="","",IF(AND(N304&lt;&gt;"",N304&lt;&gt;0),N304,$B$4))</f>
        <v/>
      </c>
      <c r="O304" s="21"/>
      <c r="P304" s="21"/>
      <c r="Q304" s="21"/>
    </row>
    <row r="305" customFormat="false" ht="15" hidden="false" customHeight="false" outlineLevel="0" collapsed="false">
      <c r="A305" s="19" t="str">
        <f aca="true">IF($B305="","",IF(AND(A305&lt;&gt;"",A305&lt;&gt;0),A305,TODAY()))</f>
        <v/>
      </c>
      <c r="B305" s="20"/>
      <c r="C305" s="21"/>
      <c r="D305" s="21"/>
      <c r="E305" s="21"/>
      <c r="F305" s="21"/>
      <c r="G305" s="21"/>
      <c r="H305" s="22"/>
      <c r="I305" s="22"/>
      <c r="J305" s="22"/>
      <c r="K305" s="23" t="str">
        <f aca="false">IF($B305="","",IF(AND(I305="",J305=""),"",I305+J305))</f>
        <v/>
      </c>
      <c r="L305" s="23" t="str">
        <f aca="false">IF(OR($B305="",K305=""),"",K305-H305)</f>
        <v/>
      </c>
      <c r="M305" s="24" t="str">
        <f aca="false">IF($B305="","",IF(AND(I305="",J305=""),"Not Counted",IF(OR(I305="",J305=""),"Partially Counted",IF(L305=0,"Match",IF(L305&gt;0,"Overage","Shortage")))))</f>
        <v/>
      </c>
      <c r="N305" s="24" t="str">
        <f aca="false">IF($B305="","",IF(AND(N305&lt;&gt;"",N305&lt;&gt;0),N305,$B$4))</f>
        <v/>
      </c>
      <c r="O305" s="21"/>
      <c r="P305" s="21"/>
      <c r="Q305" s="21"/>
    </row>
    <row r="306" customFormat="false" ht="15" hidden="false" customHeight="false" outlineLevel="0" collapsed="false">
      <c r="A306" s="19" t="str">
        <f aca="true">IF($B306="","",IF(AND(A306&lt;&gt;"",A306&lt;&gt;0),A306,TODAY()))</f>
        <v/>
      </c>
      <c r="B306" s="20"/>
      <c r="C306" s="21"/>
      <c r="D306" s="21"/>
      <c r="E306" s="21"/>
      <c r="F306" s="21"/>
      <c r="G306" s="21"/>
      <c r="H306" s="22"/>
      <c r="I306" s="22"/>
      <c r="J306" s="22"/>
      <c r="K306" s="23" t="str">
        <f aca="false">IF($B306="","",IF(AND(I306="",J306=""),"",I306+J306))</f>
        <v/>
      </c>
      <c r="L306" s="23" t="str">
        <f aca="false">IF(OR($B306="",K306=""),"",K306-H306)</f>
        <v/>
      </c>
      <c r="M306" s="24" t="str">
        <f aca="false">IF($B306="","",IF(AND(I306="",J306=""),"Not Counted",IF(OR(I306="",J306=""),"Partially Counted",IF(L306=0,"Match",IF(L306&gt;0,"Overage","Shortage")))))</f>
        <v/>
      </c>
      <c r="N306" s="24" t="str">
        <f aca="false">IF($B306="","",IF(AND(N306&lt;&gt;"",N306&lt;&gt;0),N306,$B$4))</f>
        <v/>
      </c>
      <c r="O306" s="21"/>
      <c r="P306" s="21"/>
      <c r="Q306" s="21"/>
    </row>
    <row r="307" customFormat="false" ht="15" hidden="false" customHeight="false" outlineLevel="0" collapsed="false">
      <c r="A307" s="19" t="str">
        <f aca="true">IF($B307="","",IF(AND(A307&lt;&gt;"",A307&lt;&gt;0),A307,TODAY()))</f>
        <v/>
      </c>
      <c r="B307" s="20"/>
      <c r="C307" s="21"/>
      <c r="D307" s="21"/>
      <c r="E307" s="21"/>
      <c r="F307" s="21"/>
      <c r="G307" s="21"/>
      <c r="H307" s="22"/>
      <c r="I307" s="22"/>
      <c r="J307" s="22"/>
      <c r="K307" s="23" t="str">
        <f aca="false">IF($B307="","",IF(AND(I307="",J307=""),"",I307+J307))</f>
        <v/>
      </c>
      <c r="L307" s="23" t="str">
        <f aca="false">IF(OR($B307="",K307=""),"",K307-H307)</f>
        <v/>
      </c>
      <c r="M307" s="24" t="str">
        <f aca="false">IF($B307="","",IF(AND(I307="",J307=""),"Not Counted",IF(OR(I307="",J307=""),"Partially Counted",IF(L307=0,"Match",IF(L307&gt;0,"Overage","Shortage")))))</f>
        <v/>
      </c>
      <c r="N307" s="24" t="str">
        <f aca="false">IF($B307="","",IF(AND(N307&lt;&gt;"",N307&lt;&gt;0),N307,$B$4))</f>
        <v/>
      </c>
      <c r="O307" s="21"/>
      <c r="P307" s="21"/>
      <c r="Q307" s="21"/>
    </row>
    <row r="308" customFormat="false" ht="15" hidden="false" customHeight="false" outlineLevel="0" collapsed="false">
      <c r="A308" s="19" t="str">
        <f aca="true">IF($B308="","",IF(AND(A308&lt;&gt;"",A308&lt;&gt;0),A308,TODAY()))</f>
        <v/>
      </c>
      <c r="B308" s="20"/>
      <c r="C308" s="21"/>
      <c r="D308" s="21"/>
      <c r="E308" s="21"/>
      <c r="F308" s="21"/>
      <c r="G308" s="21"/>
      <c r="H308" s="22"/>
      <c r="I308" s="22"/>
      <c r="J308" s="22"/>
      <c r="K308" s="23" t="str">
        <f aca="false">IF($B308="","",IF(AND(I308="",J308=""),"",I308+J308))</f>
        <v/>
      </c>
      <c r="L308" s="23" t="str">
        <f aca="false">IF(OR($B308="",K308=""),"",K308-H308)</f>
        <v/>
      </c>
      <c r="M308" s="24" t="str">
        <f aca="false">IF($B308="","",IF(AND(I308="",J308=""),"Not Counted",IF(OR(I308="",J308=""),"Partially Counted",IF(L308=0,"Match",IF(L308&gt;0,"Overage","Shortage")))))</f>
        <v/>
      </c>
      <c r="N308" s="24" t="str">
        <f aca="false">IF($B308="","",IF(AND(N308&lt;&gt;"",N308&lt;&gt;0),N308,$B$4))</f>
        <v/>
      </c>
      <c r="O308" s="21"/>
      <c r="P308" s="21"/>
      <c r="Q308" s="21"/>
    </row>
    <row r="309" customFormat="false" ht="15" hidden="false" customHeight="false" outlineLevel="0" collapsed="false">
      <c r="A309" s="19" t="str">
        <f aca="true">IF($B309="","",IF(AND(A309&lt;&gt;"",A309&lt;&gt;0),A309,TODAY()))</f>
        <v/>
      </c>
      <c r="B309" s="20"/>
      <c r="C309" s="21"/>
      <c r="D309" s="21"/>
      <c r="E309" s="21"/>
      <c r="F309" s="21"/>
      <c r="G309" s="21"/>
      <c r="H309" s="22"/>
      <c r="I309" s="22"/>
      <c r="J309" s="22"/>
      <c r="K309" s="23" t="str">
        <f aca="false">IF($B309="","",IF(AND(I309="",J309=""),"",I309+J309))</f>
        <v/>
      </c>
      <c r="L309" s="23" t="str">
        <f aca="false">IF(OR($B309="",K309=""),"",K309-H309)</f>
        <v/>
      </c>
      <c r="M309" s="24" t="str">
        <f aca="false">IF($B309="","",IF(AND(I309="",J309=""),"Not Counted",IF(OR(I309="",J309=""),"Partially Counted",IF(L309=0,"Match",IF(L309&gt;0,"Overage","Shortage")))))</f>
        <v/>
      </c>
      <c r="N309" s="24" t="str">
        <f aca="false">IF($B309="","",IF(AND(N309&lt;&gt;"",N309&lt;&gt;0),N309,$B$4))</f>
        <v/>
      </c>
      <c r="O309" s="21"/>
      <c r="P309" s="21"/>
      <c r="Q309" s="21"/>
    </row>
    <row r="310" customFormat="false" ht="15" hidden="false" customHeight="false" outlineLevel="0" collapsed="false">
      <c r="A310" s="19" t="str">
        <f aca="true">IF($B310="","",IF(AND(A310&lt;&gt;"",A310&lt;&gt;0),A310,TODAY()))</f>
        <v/>
      </c>
      <c r="B310" s="20"/>
      <c r="C310" s="21"/>
      <c r="D310" s="21"/>
      <c r="E310" s="21"/>
      <c r="F310" s="21"/>
      <c r="G310" s="21"/>
      <c r="H310" s="22"/>
      <c r="I310" s="22"/>
      <c r="J310" s="22"/>
      <c r="K310" s="23" t="str">
        <f aca="false">IF($B310="","",IF(AND(I310="",J310=""),"",I310+J310))</f>
        <v/>
      </c>
      <c r="L310" s="23" t="str">
        <f aca="false">IF(OR($B310="",K310=""),"",K310-H310)</f>
        <v/>
      </c>
      <c r="M310" s="24" t="str">
        <f aca="false">IF($B310="","",IF(AND(I310="",J310=""),"Not Counted",IF(OR(I310="",J310=""),"Partially Counted",IF(L310=0,"Match",IF(L310&gt;0,"Overage","Shortage")))))</f>
        <v/>
      </c>
      <c r="N310" s="24" t="str">
        <f aca="false">IF($B310="","",IF(AND(N310&lt;&gt;"",N310&lt;&gt;0),N310,$B$4))</f>
        <v/>
      </c>
      <c r="O310" s="21"/>
      <c r="P310" s="21"/>
      <c r="Q310" s="21"/>
    </row>
    <row r="311" customFormat="false" ht="15" hidden="false" customHeight="false" outlineLevel="0" collapsed="false">
      <c r="A311" s="19" t="str">
        <f aca="true">IF($B311="","",IF(AND(A311&lt;&gt;"",A311&lt;&gt;0),A311,TODAY()))</f>
        <v/>
      </c>
      <c r="B311" s="20"/>
      <c r="C311" s="21"/>
      <c r="D311" s="21"/>
      <c r="E311" s="21"/>
      <c r="F311" s="21"/>
      <c r="G311" s="21"/>
      <c r="H311" s="22"/>
      <c r="I311" s="22"/>
      <c r="J311" s="22"/>
      <c r="K311" s="23" t="str">
        <f aca="false">IF($B311="","",IF(AND(I311="",J311=""),"",I311+J311))</f>
        <v/>
      </c>
      <c r="L311" s="23" t="str">
        <f aca="false">IF(OR($B311="",K311=""),"",K311-H311)</f>
        <v/>
      </c>
      <c r="M311" s="24" t="str">
        <f aca="false">IF($B311="","",IF(AND(I311="",J311=""),"Not Counted",IF(OR(I311="",J311=""),"Partially Counted",IF(L311=0,"Match",IF(L311&gt;0,"Overage","Shortage")))))</f>
        <v/>
      </c>
      <c r="N311" s="24" t="str">
        <f aca="false">IF($B311="","",IF(AND(N311&lt;&gt;"",N311&lt;&gt;0),N311,$B$4))</f>
        <v/>
      </c>
      <c r="O311" s="21"/>
      <c r="P311" s="21"/>
      <c r="Q311" s="21"/>
    </row>
    <row r="312" customFormat="false" ht="15" hidden="false" customHeight="false" outlineLevel="0" collapsed="false">
      <c r="A312" s="19" t="str">
        <f aca="true">IF($B312="","",IF(AND(A312&lt;&gt;"",A312&lt;&gt;0),A312,TODAY()))</f>
        <v/>
      </c>
      <c r="B312" s="20"/>
      <c r="C312" s="21"/>
      <c r="D312" s="21"/>
      <c r="E312" s="21"/>
      <c r="F312" s="21"/>
      <c r="G312" s="21"/>
      <c r="H312" s="22"/>
      <c r="I312" s="22"/>
      <c r="J312" s="22"/>
      <c r="K312" s="23" t="str">
        <f aca="false">IF($B312="","",IF(AND(I312="",J312=""),"",I312+J312))</f>
        <v/>
      </c>
      <c r="L312" s="23" t="str">
        <f aca="false">IF(OR($B312="",K312=""),"",K312-H312)</f>
        <v/>
      </c>
      <c r="M312" s="24" t="str">
        <f aca="false">IF($B312="","",IF(AND(I312="",J312=""),"Not Counted",IF(OR(I312="",J312=""),"Partially Counted",IF(L312=0,"Match",IF(L312&gt;0,"Overage","Shortage")))))</f>
        <v/>
      </c>
      <c r="N312" s="24" t="str">
        <f aca="false">IF($B312="","",IF(AND(N312&lt;&gt;"",N312&lt;&gt;0),N312,$B$4))</f>
        <v/>
      </c>
      <c r="O312" s="21"/>
      <c r="P312" s="21"/>
      <c r="Q312" s="21"/>
    </row>
    <row r="313" customFormat="false" ht="15" hidden="false" customHeight="false" outlineLevel="0" collapsed="false">
      <c r="A313" s="19" t="str">
        <f aca="true">IF($B313="","",IF(AND(A313&lt;&gt;"",A313&lt;&gt;0),A313,TODAY()))</f>
        <v/>
      </c>
      <c r="B313" s="20"/>
      <c r="C313" s="21"/>
      <c r="D313" s="21"/>
      <c r="E313" s="21"/>
      <c r="F313" s="21"/>
      <c r="G313" s="21"/>
      <c r="H313" s="22"/>
      <c r="I313" s="22"/>
      <c r="J313" s="22"/>
      <c r="K313" s="23" t="str">
        <f aca="false">IF($B313="","",IF(AND(I313="",J313=""),"",I313+J313))</f>
        <v/>
      </c>
      <c r="L313" s="23" t="str">
        <f aca="false">IF(OR($B313="",K313=""),"",K313-H313)</f>
        <v/>
      </c>
      <c r="M313" s="24" t="str">
        <f aca="false">IF($B313="","",IF(AND(I313="",J313=""),"Not Counted",IF(OR(I313="",J313=""),"Partially Counted",IF(L313=0,"Match",IF(L313&gt;0,"Overage","Shortage")))))</f>
        <v/>
      </c>
      <c r="N313" s="24" t="str">
        <f aca="false">IF($B313="","",IF(AND(N313&lt;&gt;"",N313&lt;&gt;0),N313,$B$4))</f>
        <v/>
      </c>
      <c r="O313" s="21"/>
      <c r="P313" s="21"/>
      <c r="Q313" s="21"/>
    </row>
    <row r="314" customFormat="false" ht="15" hidden="false" customHeight="false" outlineLevel="0" collapsed="false">
      <c r="A314" s="19" t="str">
        <f aca="true">IF($B314="","",IF(AND(A314&lt;&gt;"",A314&lt;&gt;0),A314,TODAY()))</f>
        <v/>
      </c>
      <c r="B314" s="20"/>
      <c r="C314" s="21"/>
      <c r="D314" s="21"/>
      <c r="E314" s="21"/>
      <c r="F314" s="21"/>
      <c r="G314" s="21"/>
      <c r="H314" s="22"/>
      <c r="I314" s="22"/>
      <c r="J314" s="22"/>
      <c r="K314" s="23" t="str">
        <f aca="false">IF($B314="","",IF(AND(I314="",J314=""),"",I314+J314))</f>
        <v/>
      </c>
      <c r="L314" s="23" t="str">
        <f aca="false">IF(OR($B314="",K314=""),"",K314-H314)</f>
        <v/>
      </c>
      <c r="M314" s="24" t="str">
        <f aca="false">IF($B314="","",IF(AND(I314="",J314=""),"Not Counted",IF(OR(I314="",J314=""),"Partially Counted",IF(L314=0,"Match",IF(L314&gt;0,"Overage","Shortage")))))</f>
        <v/>
      </c>
      <c r="N314" s="24" t="str">
        <f aca="false">IF($B314="","",IF(AND(N314&lt;&gt;"",N314&lt;&gt;0),N314,$B$4))</f>
        <v/>
      </c>
      <c r="O314" s="21"/>
      <c r="P314" s="21"/>
      <c r="Q314" s="21"/>
    </row>
    <row r="315" customFormat="false" ht="15" hidden="false" customHeight="false" outlineLevel="0" collapsed="false">
      <c r="A315" s="19" t="str">
        <f aca="true">IF($B315="","",IF(AND(A315&lt;&gt;"",A315&lt;&gt;0),A315,TODAY()))</f>
        <v/>
      </c>
      <c r="B315" s="20"/>
      <c r="C315" s="21"/>
      <c r="D315" s="21"/>
      <c r="E315" s="21"/>
      <c r="F315" s="21"/>
      <c r="G315" s="21"/>
      <c r="H315" s="22"/>
      <c r="I315" s="22"/>
      <c r="J315" s="22"/>
      <c r="K315" s="23" t="str">
        <f aca="false">IF($B315="","",IF(AND(I315="",J315=""),"",I315+J315))</f>
        <v/>
      </c>
      <c r="L315" s="23" t="str">
        <f aca="false">IF(OR($B315="",K315=""),"",K315-H315)</f>
        <v/>
      </c>
      <c r="M315" s="24" t="str">
        <f aca="false">IF($B315="","",IF(AND(I315="",J315=""),"Not Counted",IF(OR(I315="",J315=""),"Partially Counted",IF(L315=0,"Match",IF(L315&gt;0,"Overage","Shortage")))))</f>
        <v/>
      </c>
      <c r="N315" s="24" t="str">
        <f aca="false">IF($B315="","",IF(AND(N315&lt;&gt;"",N315&lt;&gt;0),N315,$B$4))</f>
        <v/>
      </c>
      <c r="O315" s="21"/>
      <c r="P315" s="21"/>
      <c r="Q315" s="21"/>
    </row>
    <row r="316" customFormat="false" ht="15" hidden="false" customHeight="false" outlineLevel="0" collapsed="false">
      <c r="A316" s="19" t="str">
        <f aca="true">IF($B316="","",IF(AND(A316&lt;&gt;"",A316&lt;&gt;0),A316,TODAY()))</f>
        <v/>
      </c>
      <c r="B316" s="20"/>
      <c r="C316" s="21"/>
      <c r="D316" s="21"/>
      <c r="E316" s="21"/>
      <c r="F316" s="21"/>
      <c r="G316" s="21"/>
      <c r="H316" s="22"/>
      <c r="I316" s="22"/>
      <c r="J316" s="22"/>
      <c r="K316" s="23" t="str">
        <f aca="false">IF($B316="","",IF(AND(I316="",J316=""),"",I316+J316))</f>
        <v/>
      </c>
      <c r="L316" s="23" t="str">
        <f aca="false">IF(OR($B316="",K316=""),"",K316-H316)</f>
        <v/>
      </c>
      <c r="M316" s="24" t="str">
        <f aca="false">IF($B316="","",IF(AND(I316="",J316=""),"Not Counted",IF(OR(I316="",J316=""),"Partially Counted",IF(L316=0,"Match",IF(L316&gt;0,"Overage","Shortage")))))</f>
        <v/>
      </c>
      <c r="N316" s="24" t="str">
        <f aca="false">IF($B316="","",IF(AND(N316&lt;&gt;"",N316&lt;&gt;0),N316,$B$4))</f>
        <v/>
      </c>
      <c r="O316" s="21"/>
      <c r="P316" s="21"/>
      <c r="Q316" s="21"/>
    </row>
    <row r="317" customFormat="false" ht="15" hidden="false" customHeight="false" outlineLevel="0" collapsed="false">
      <c r="A317" s="19" t="str">
        <f aca="true">IF($B317="","",IF(AND(A317&lt;&gt;"",A317&lt;&gt;0),A317,TODAY()))</f>
        <v/>
      </c>
      <c r="B317" s="20"/>
      <c r="C317" s="21"/>
      <c r="D317" s="21"/>
      <c r="E317" s="21"/>
      <c r="F317" s="21"/>
      <c r="G317" s="21"/>
      <c r="H317" s="22"/>
      <c r="I317" s="22"/>
      <c r="J317" s="22"/>
      <c r="K317" s="23" t="str">
        <f aca="false">IF($B317="","",IF(AND(I317="",J317=""),"",I317+J317))</f>
        <v/>
      </c>
      <c r="L317" s="23" t="str">
        <f aca="false">IF(OR($B317="",K317=""),"",K317-H317)</f>
        <v/>
      </c>
      <c r="M317" s="24" t="str">
        <f aca="false">IF($B317="","",IF(AND(I317="",J317=""),"Not Counted",IF(OR(I317="",J317=""),"Partially Counted",IF(L317=0,"Match",IF(L317&gt;0,"Overage","Shortage")))))</f>
        <v/>
      </c>
      <c r="N317" s="24" t="str">
        <f aca="false">IF($B317="","",IF(AND(N317&lt;&gt;"",N317&lt;&gt;0),N317,$B$4))</f>
        <v/>
      </c>
      <c r="O317" s="21"/>
      <c r="P317" s="21"/>
      <c r="Q317" s="21"/>
    </row>
    <row r="318" customFormat="false" ht="15" hidden="false" customHeight="false" outlineLevel="0" collapsed="false">
      <c r="A318" s="19" t="str">
        <f aca="true">IF($B318="","",IF(AND(A318&lt;&gt;"",A318&lt;&gt;0),A318,TODAY()))</f>
        <v/>
      </c>
      <c r="B318" s="20"/>
      <c r="C318" s="21"/>
      <c r="D318" s="21"/>
      <c r="E318" s="21"/>
      <c r="F318" s="21"/>
      <c r="G318" s="21"/>
      <c r="H318" s="22"/>
      <c r="I318" s="22"/>
      <c r="J318" s="22"/>
      <c r="K318" s="23" t="str">
        <f aca="false">IF($B318="","",IF(AND(I318="",J318=""),"",I318+J318))</f>
        <v/>
      </c>
      <c r="L318" s="23" t="str">
        <f aca="false">IF(OR($B318="",K318=""),"",K318-H318)</f>
        <v/>
      </c>
      <c r="M318" s="24" t="str">
        <f aca="false">IF($B318="","",IF(AND(I318="",J318=""),"Not Counted",IF(OR(I318="",J318=""),"Partially Counted",IF(L318=0,"Match",IF(L318&gt;0,"Overage","Shortage")))))</f>
        <v/>
      </c>
      <c r="N318" s="24" t="str">
        <f aca="false">IF($B318="","",IF(AND(N318&lt;&gt;"",N318&lt;&gt;0),N318,$B$4))</f>
        <v/>
      </c>
      <c r="O318" s="21"/>
      <c r="P318" s="21"/>
      <c r="Q318" s="21"/>
    </row>
    <row r="319" customFormat="false" ht="15" hidden="false" customHeight="false" outlineLevel="0" collapsed="false">
      <c r="A319" s="19" t="str">
        <f aca="true">IF($B319="","",IF(AND(A319&lt;&gt;"",A319&lt;&gt;0),A319,TODAY()))</f>
        <v/>
      </c>
      <c r="B319" s="20"/>
      <c r="C319" s="21"/>
      <c r="D319" s="21"/>
      <c r="E319" s="21"/>
      <c r="F319" s="21"/>
      <c r="G319" s="21"/>
      <c r="H319" s="22"/>
      <c r="I319" s="22"/>
      <c r="J319" s="22"/>
      <c r="K319" s="23" t="str">
        <f aca="false">IF($B319="","",IF(AND(I319="",J319=""),"",I319+J319))</f>
        <v/>
      </c>
      <c r="L319" s="23" t="str">
        <f aca="false">IF(OR($B319="",K319=""),"",K319-H319)</f>
        <v/>
      </c>
      <c r="M319" s="24" t="str">
        <f aca="false">IF($B319="","",IF(AND(I319="",J319=""),"Not Counted",IF(OR(I319="",J319=""),"Partially Counted",IF(L319=0,"Match",IF(L319&gt;0,"Overage","Shortage")))))</f>
        <v/>
      </c>
      <c r="N319" s="24" t="str">
        <f aca="false">IF($B319="","",IF(AND(N319&lt;&gt;"",N319&lt;&gt;0),N319,$B$4))</f>
        <v/>
      </c>
      <c r="O319" s="21"/>
      <c r="P319" s="21"/>
      <c r="Q319" s="21"/>
    </row>
    <row r="320" customFormat="false" ht="15" hidden="false" customHeight="false" outlineLevel="0" collapsed="false">
      <c r="A320" s="19" t="str">
        <f aca="true">IF($B320="","",IF(AND(A320&lt;&gt;"",A320&lt;&gt;0),A320,TODAY()))</f>
        <v/>
      </c>
      <c r="B320" s="20"/>
      <c r="C320" s="21"/>
      <c r="D320" s="21"/>
      <c r="E320" s="21"/>
      <c r="F320" s="21"/>
      <c r="G320" s="21"/>
      <c r="H320" s="22"/>
      <c r="I320" s="22"/>
      <c r="J320" s="22"/>
      <c r="K320" s="23" t="str">
        <f aca="false">IF($B320="","",IF(AND(I320="",J320=""),"",I320+J320))</f>
        <v/>
      </c>
      <c r="L320" s="23" t="str">
        <f aca="false">IF(OR($B320="",K320=""),"",K320-H320)</f>
        <v/>
      </c>
      <c r="M320" s="24" t="str">
        <f aca="false">IF($B320="","",IF(AND(I320="",J320=""),"Not Counted",IF(OR(I320="",J320=""),"Partially Counted",IF(L320=0,"Match",IF(L320&gt;0,"Overage","Shortage")))))</f>
        <v/>
      </c>
      <c r="N320" s="24" t="str">
        <f aca="false">IF($B320="","",IF(AND(N320&lt;&gt;"",N320&lt;&gt;0),N320,$B$4))</f>
        <v/>
      </c>
      <c r="O320" s="21"/>
      <c r="P320" s="21"/>
      <c r="Q320" s="21"/>
    </row>
    <row r="321" customFormat="false" ht="15" hidden="false" customHeight="false" outlineLevel="0" collapsed="false">
      <c r="A321" s="19" t="str">
        <f aca="true">IF($B321="","",IF(AND(A321&lt;&gt;"",A321&lt;&gt;0),A321,TODAY()))</f>
        <v/>
      </c>
      <c r="B321" s="20"/>
      <c r="C321" s="21"/>
      <c r="D321" s="21"/>
      <c r="E321" s="21"/>
      <c r="F321" s="21"/>
      <c r="G321" s="21"/>
      <c r="H321" s="22"/>
      <c r="I321" s="22"/>
      <c r="J321" s="22"/>
      <c r="K321" s="23" t="str">
        <f aca="false">IF($B321="","",IF(AND(I321="",J321=""),"",I321+J321))</f>
        <v/>
      </c>
      <c r="L321" s="23" t="str">
        <f aca="false">IF(OR($B321="",K321=""),"",K321-H321)</f>
        <v/>
      </c>
      <c r="M321" s="24" t="str">
        <f aca="false">IF($B321="","",IF(AND(I321="",J321=""),"Not Counted",IF(OR(I321="",J321=""),"Partially Counted",IF(L321=0,"Match",IF(L321&gt;0,"Overage","Shortage")))))</f>
        <v/>
      </c>
      <c r="N321" s="24" t="str">
        <f aca="false">IF($B321="","",IF(AND(N321&lt;&gt;"",N321&lt;&gt;0),N321,$B$4))</f>
        <v/>
      </c>
      <c r="O321" s="21"/>
      <c r="P321" s="21"/>
      <c r="Q321" s="21"/>
    </row>
    <row r="322" customFormat="false" ht="15" hidden="false" customHeight="false" outlineLevel="0" collapsed="false">
      <c r="A322" s="19" t="str">
        <f aca="true">IF($B322="","",IF(AND(A322&lt;&gt;"",A322&lt;&gt;0),A322,TODAY()))</f>
        <v/>
      </c>
      <c r="B322" s="20"/>
      <c r="C322" s="21"/>
      <c r="D322" s="21"/>
      <c r="E322" s="21"/>
      <c r="F322" s="21"/>
      <c r="G322" s="21"/>
      <c r="H322" s="22"/>
      <c r="I322" s="22"/>
      <c r="J322" s="22"/>
      <c r="K322" s="23" t="str">
        <f aca="false">IF($B322="","",IF(AND(I322="",J322=""),"",I322+J322))</f>
        <v/>
      </c>
      <c r="L322" s="23" t="str">
        <f aca="false">IF(OR($B322="",K322=""),"",K322-H322)</f>
        <v/>
      </c>
      <c r="M322" s="24" t="str">
        <f aca="false">IF($B322="","",IF(AND(I322="",J322=""),"Not Counted",IF(OR(I322="",J322=""),"Partially Counted",IF(L322=0,"Match",IF(L322&gt;0,"Overage","Shortage")))))</f>
        <v/>
      </c>
      <c r="N322" s="24" t="str">
        <f aca="false">IF($B322="","",IF(AND(N322&lt;&gt;"",N322&lt;&gt;0),N322,$B$4))</f>
        <v/>
      </c>
      <c r="O322" s="21"/>
      <c r="P322" s="21"/>
      <c r="Q322" s="21"/>
    </row>
    <row r="323" customFormat="false" ht="15" hidden="false" customHeight="false" outlineLevel="0" collapsed="false">
      <c r="A323" s="19" t="str">
        <f aca="true">IF($B323="","",IF(AND(A323&lt;&gt;"",A323&lt;&gt;0),A323,TODAY()))</f>
        <v/>
      </c>
      <c r="B323" s="20"/>
      <c r="C323" s="21"/>
      <c r="D323" s="21"/>
      <c r="E323" s="21"/>
      <c r="F323" s="21"/>
      <c r="G323" s="21"/>
      <c r="H323" s="22"/>
      <c r="I323" s="22"/>
      <c r="J323" s="22"/>
      <c r="K323" s="23" t="str">
        <f aca="false">IF($B323="","",IF(AND(I323="",J323=""),"",I323+J323))</f>
        <v/>
      </c>
      <c r="L323" s="23" t="str">
        <f aca="false">IF(OR($B323="",K323=""),"",K323-H323)</f>
        <v/>
      </c>
      <c r="M323" s="24" t="str">
        <f aca="false">IF($B323="","",IF(AND(I323="",J323=""),"Not Counted",IF(OR(I323="",J323=""),"Partially Counted",IF(L323=0,"Match",IF(L323&gt;0,"Overage","Shortage")))))</f>
        <v/>
      </c>
      <c r="N323" s="24" t="str">
        <f aca="false">IF($B323="","",IF(AND(N323&lt;&gt;"",N323&lt;&gt;0),N323,$B$4))</f>
        <v/>
      </c>
      <c r="O323" s="21"/>
      <c r="P323" s="21"/>
      <c r="Q323" s="21"/>
    </row>
    <row r="324" customFormat="false" ht="15" hidden="false" customHeight="false" outlineLevel="0" collapsed="false">
      <c r="A324" s="19" t="str">
        <f aca="true">IF($B324="","",IF(AND(A324&lt;&gt;"",A324&lt;&gt;0),A324,TODAY()))</f>
        <v/>
      </c>
      <c r="B324" s="20"/>
      <c r="C324" s="21"/>
      <c r="D324" s="21"/>
      <c r="E324" s="21"/>
      <c r="F324" s="21"/>
      <c r="G324" s="21"/>
      <c r="H324" s="22"/>
      <c r="I324" s="22"/>
      <c r="J324" s="22"/>
      <c r="K324" s="23" t="str">
        <f aca="false">IF($B324="","",IF(AND(I324="",J324=""),"",I324+J324))</f>
        <v/>
      </c>
      <c r="L324" s="23" t="str">
        <f aca="false">IF(OR($B324="",K324=""),"",K324-H324)</f>
        <v/>
      </c>
      <c r="M324" s="24" t="str">
        <f aca="false">IF($B324="","",IF(AND(I324="",J324=""),"Not Counted",IF(OR(I324="",J324=""),"Partially Counted",IF(L324=0,"Match",IF(L324&gt;0,"Overage","Shortage")))))</f>
        <v/>
      </c>
      <c r="N324" s="24" t="str">
        <f aca="false">IF($B324="","",IF(AND(N324&lt;&gt;"",N324&lt;&gt;0),N324,$B$4))</f>
        <v/>
      </c>
      <c r="O324" s="21"/>
      <c r="P324" s="21"/>
      <c r="Q324" s="21"/>
    </row>
    <row r="325" customFormat="false" ht="15" hidden="false" customHeight="false" outlineLevel="0" collapsed="false">
      <c r="A325" s="19" t="str">
        <f aca="true">IF($B325="","",IF(AND(A325&lt;&gt;"",A325&lt;&gt;0),A325,TODAY()))</f>
        <v/>
      </c>
      <c r="B325" s="20"/>
      <c r="C325" s="21"/>
      <c r="D325" s="21"/>
      <c r="E325" s="21"/>
      <c r="F325" s="21"/>
      <c r="G325" s="21"/>
      <c r="H325" s="22"/>
      <c r="I325" s="22"/>
      <c r="J325" s="22"/>
      <c r="K325" s="23" t="str">
        <f aca="false">IF($B325="","",IF(AND(I325="",J325=""),"",I325+J325))</f>
        <v/>
      </c>
      <c r="L325" s="23" t="str">
        <f aca="false">IF(OR($B325="",K325=""),"",K325-H325)</f>
        <v/>
      </c>
      <c r="M325" s="24" t="str">
        <f aca="false">IF($B325="","",IF(AND(I325="",J325=""),"Not Counted",IF(OR(I325="",J325=""),"Partially Counted",IF(L325=0,"Match",IF(L325&gt;0,"Overage","Shortage")))))</f>
        <v/>
      </c>
      <c r="N325" s="24" t="str">
        <f aca="false">IF($B325="","",IF(AND(N325&lt;&gt;"",N325&lt;&gt;0),N325,$B$4))</f>
        <v/>
      </c>
      <c r="O325" s="21"/>
      <c r="P325" s="21"/>
      <c r="Q325" s="21"/>
    </row>
    <row r="326" customFormat="false" ht="15" hidden="false" customHeight="false" outlineLevel="0" collapsed="false">
      <c r="A326" s="19" t="str">
        <f aca="true">IF($B326="","",IF(AND(A326&lt;&gt;"",A326&lt;&gt;0),A326,TODAY()))</f>
        <v/>
      </c>
      <c r="B326" s="20"/>
      <c r="C326" s="21"/>
      <c r="D326" s="21"/>
      <c r="E326" s="21"/>
      <c r="F326" s="21"/>
      <c r="G326" s="21"/>
      <c r="H326" s="22"/>
      <c r="I326" s="22"/>
      <c r="J326" s="22"/>
      <c r="K326" s="23" t="str">
        <f aca="false">IF($B326="","",IF(AND(I326="",J326=""),"",I326+J326))</f>
        <v/>
      </c>
      <c r="L326" s="23" t="str">
        <f aca="false">IF(OR($B326="",K326=""),"",K326-H326)</f>
        <v/>
      </c>
      <c r="M326" s="24" t="str">
        <f aca="false">IF($B326="","",IF(AND(I326="",J326=""),"Not Counted",IF(OR(I326="",J326=""),"Partially Counted",IF(L326=0,"Match",IF(L326&gt;0,"Overage","Shortage")))))</f>
        <v/>
      </c>
      <c r="N326" s="24" t="str">
        <f aca="false">IF($B326="","",IF(AND(N326&lt;&gt;"",N326&lt;&gt;0),N326,$B$4))</f>
        <v/>
      </c>
      <c r="O326" s="21"/>
      <c r="P326" s="21"/>
      <c r="Q326" s="21"/>
    </row>
    <row r="327" customFormat="false" ht="15" hidden="false" customHeight="false" outlineLevel="0" collapsed="false">
      <c r="A327" s="19" t="str">
        <f aca="true">IF($B327="","",IF(AND(A327&lt;&gt;"",A327&lt;&gt;0),A327,TODAY()))</f>
        <v/>
      </c>
      <c r="B327" s="20"/>
      <c r="C327" s="21"/>
      <c r="D327" s="21"/>
      <c r="E327" s="21"/>
      <c r="F327" s="21"/>
      <c r="G327" s="21"/>
      <c r="H327" s="22"/>
      <c r="I327" s="22"/>
      <c r="J327" s="22"/>
      <c r="K327" s="23" t="str">
        <f aca="false">IF($B327="","",IF(AND(I327="",J327=""),"",I327+J327))</f>
        <v/>
      </c>
      <c r="L327" s="23" t="str">
        <f aca="false">IF(OR($B327="",K327=""),"",K327-H327)</f>
        <v/>
      </c>
      <c r="M327" s="24" t="str">
        <f aca="false">IF($B327="","",IF(AND(I327="",J327=""),"Not Counted",IF(OR(I327="",J327=""),"Partially Counted",IF(L327=0,"Match",IF(L327&gt;0,"Overage","Shortage")))))</f>
        <v/>
      </c>
      <c r="N327" s="24" t="str">
        <f aca="false">IF($B327="","",IF(AND(N327&lt;&gt;"",N327&lt;&gt;0),N327,$B$4))</f>
        <v/>
      </c>
      <c r="O327" s="21"/>
      <c r="P327" s="21"/>
      <c r="Q327" s="21"/>
    </row>
    <row r="328" customFormat="false" ht="15" hidden="false" customHeight="false" outlineLevel="0" collapsed="false">
      <c r="A328" s="19" t="str">
        <f aca="true">IF($B328="","",IF(AND(A328&lt;&gt;"",A328&lt;&gt;0),A328,TODAY()))</f>
        <v/>
      </c>
      <c r="B328" s="20"/>
      <c r="C328" s="21"/>
      <c r="D328" s="21"/>
      <c r="E328" s="21"/>
      <c r="F328" s="21"/>
      <c r="G328" s="21"/>
      <c r="H328" s="22"/>
      <c r="I328" s="22"/>
      <c r="J328" s="22"/>
      <c r="K328" s="23" t="str">
        <f aca="false">IF($B328="","",IF(AND(I328="",J328=""),"",I328+J328))</f>
        <v/>
      </c>
      <c r="L328" s="23" t="str">
        <f aca="false">IF(OR($B328="",K328=""),"",K328-H328)</f>
        <v/>
      </c>
      <c r="M328" s="24" t="str">
        <f aca="false">IF($B328="","",IF(AND(I328="",J328=""),"Not Counted",IF(OR(I328="",J328=""),"Partially Counted",IF(L328=0,"Match",IF(L328&gt;0,"Overage","Shortage")))))</f>
        <v/>
      </c>
      <c r="N328" s="24" t="str">
        <f aca="false">IF($B328="","",IF(AND(N328&lt;&gt;"",N328&lt;&gt;0),N328,$B$4))</f>
        <v/>
      </c>
      <c r="O328" s="21"/>
      <c r="P328" s="21"/>
      <c r="Q328" s="21"/>
    </row>
    <row r="329" customFormat="false" ht="15" hidden="false" customHeight="false" outlineLevel="0" collapsed="false">
      <c r="A329" s="19" t="str">
        <f aca="true">IF($B329="","",IF(AND(A329&lt;&gt;"",A329&lt;&gt;0),A329,TODAY()))</f>
        <v/>
      </c>
      <c r="B329" s="20"/>
      <c r="C329" s="21"/>
      <c r="D329" s="21"/>
      <c r="E329" s="21"/>
      <c r="F329" s="21"/>
      <c r="G329" s="21"/>
      <c r="H329" s="22"/>
      <c r="I329" s="22"/>
      <c r="J329" s="22"/>
      <c r="K329" s="23" t="str">
        <f aca="false">IF($B329="","",IF(AND(I329="",J329=""),"",I329+J329))</f>
        <v/>
      </c>
      <c r="L329" s="23" t="str">
        <f aca="false">IF(OR($B329="",K329=""),"",K329-H329)</f>
        <v/>
      </c>
      <c r="M329" s="24" t="str">
        <f aca="false">IF($B329="","",IF(AND(I329="",J329=""),"Not Counted",IF(OR(I329="",J329=""),"Partially Counted",IF(L329=0,"Match",IF(L329&gt;0,"Overage","Shortage")))))</f>
        <v/>
      </c>
      <c r="N329" s="24" t="str">
        <f aca="false">IF($B329="","",IF(AND(N329&lt;&gt;"",N329&lt;&gt;0),N329,$B$4))</f>
        <v/>
      </c>
      <c r="O329" s="21"/>
      <c r="P329" s="21"/>
      <c r="Q329" s="21"/>
    </row>
    <row r="330" customFormat="false" ht="15" hidden="false" customHeight="false" outlineLevel="0" collapsed="false">
      <c r="A330" s="19" t="str">
        <f aca="true">IF($B330="","",IF(AND(A330&lt;&gt;"",A330&lt;&gt;0),A330,TODAY()))</f>
        <v/>
      </c>
      <c r="B330" s="20"/>
      <c r="C330" s="21"/>
      <c r="D330" s="21"/>
      <c r="E330" s="21"/>
      <c r="F330" s="21"/>
      <c r="G330" s="21"/>
      <c r="H330" s="22"/>
      <c r="I330" s="22"/>
      <c r="J330" s="22"/>
      <c r="K330" s="23" t="str">
        <f aca="false">IF($B330="","",IF(AND(I330="",J330=""),"",I330+J330))</f>
        <v/>
      </c>
      <c r="L330" s="23" t="str">
        <f aca="false">IF(OR($B330="",K330=""),"",K330-H330)</f>
        <v/>
      </c>
      <c r="M330" s="24" t="str">
        <f aca="false">IF($B330="","",IF(AND(I330="",J330=""),"Not Counted",IF(OR(I330="",J330=""),"Partially Counted",IF(L330=0,"Match",IF(L330&gt;0,"Overage","Shortage")))))</f>
        <v/>
      </c>
      <c r="N330" s="24" t="str">
        <f aca="false">IF($B330="","",IF(AND(N330&lt;&gt;"",N330&lt;&gt;0),N330,$B$4))</f>
        <v/>
      </c>
      <c r="O330" s="21"/>
      <c r="P330" s="21"/>
      <c r="Q330" s="21"/>
    </row>
    <row r="331" customFormat="false" ht="15" hidden="false" customHeight="false" outlineLevel="0" collapsed="false">
      <c r="A331" s="19" t="str">
        <f aca="true">IF($B331="","",IF(AND(A331&lt;&gt;"",A331&lt;&gt;0),A331,TODAY()))</f>
        <v/>
      </c>
      <c r="B331" s="20"/>
      <c r="C331" s="21"/>
      <c r="D331" s="21"/>
      <c r="E331" s="21"/>
      <c r="F331" s="21"/>
      <c r="G331" s="21"/>
      <c r="H331" s="22"/>
      <c r="I331" s="22"/>
      <c r="J331" s="22"/>
      <c r="K331" s="23" t="str">
        <f aca="false">IF($B331="","",IF(AND(I331="",J331=""),"",I331+J331))</f>
        <v/>
      </c>
      <c r="L331" s="23" t="str">
        <f aca="false">IF(OR($B331="",K331=""),"",K331-H331)</f>
        <v/>
      </c>
      <c r="M331" s="24" t="str">
        <f aca="false">IF($B331="","",IF(AND(I331="",J331=""),"Not Counted",IF(OR(I331="",J331=""),"Partially Counted",IF(L331=0,"Match",IF(L331&gt;0,"Overage","Shortage")))))</f>
        <v/>
      </c>
      <c r="N331" s="24" t="str">
        <f aca="false">IF($B331="","",IF(AND(N331&lt;&gt;"",N331&lt;&gt;0),N331,$B$4))</f>
        <v/>
      </c>
      <c r="O331" s="21"/>
      <c r="P331" s="21"/>
      <c r="Q331" s="21"/>
    </row>
    <row r="332" customFormat="false" ht="15" hidden="false" customHeight="false" outlineLevel="0" collapsed="false">
      <c r="A332" s="19" t="str">
        <f aca="true">IF($B332="","",IF(AND(A332&lt;&gt;"",A332&lt;&gt;0),A332,TODAY()))</f>
        <v/>
      </c>
      <c r="B332" s="20"/>
      <c r="C332" s="21"/>
      <c r="D332" s="21"/>
      <c r="E332" s="21"/>
      <c r="F332" s="21"/>
      <c r="G332" s="21"/>
      <c r="H332" s="22"/>
      <c r="I332" s="22"/>
      <c r="J332" s="22"/>
      <c r="K332" s="23" t="str">
        <f aca="false">IF($B332="","",IF(AND(I332="",J332=""),"",I332+J332))</f>
        <v/>
      </c>
      <c r="L332" s="23" t="str">
        <f aca="false">IF(OR($B332="",K332=""),"",K332-H332)</f>
        <v/>
      </c>
      <c r="M332" s="24" t="str">
        <f aca="false">IF($B332="","",IF(AND(I332="",J332=""),"Not Counted",IF(OR(I332="",J332=""),"Partially Counted",IF(L332=0,"Match",IF(L332&gt;0,"Overage","Shortage")))))</f>
        <v/>
      </c>
      <c r="N332" s="24" t="str">
        <f aca="false">IF($B332="","",IF(AND(N332&lt;&gt;"",N332&lt;&gt;0),N332,$B$4))</f>
        <v/>
      </c>
      <c r="O332" s="21"/>
      <c r="P332" s="21"/>
      <c r="Q332" s="21"/>
    </row>
    <row r="333" customFormat="false" ht="15" hidden="false" customHeight="false" outlineLevel="0" collapsed="false">
      <c r="A333" s="19" t="str">
        <f aca="true">IF($B333="","",IF(AND(A333&lt;&gt;"",A333&lt;&gt;0),A333,TODAY()))</f>
        <v/>
      </c>
      <c r="B333" s="20"/>
      <c r="C333" s="21"/>
      <c r="D333" s="21"/>
      <c r="E333" s="21"/>
      <c r="F333" s="21"/>
      <c r="G333" s="21"/>
      <c r="H333" s="22"/>
      <c r="I333" s="22"/>
      <c r="J333" s="22"/>
      <c r="K333" s="23" t="str">
        <f aca="false">IF($B333="","",IF(AND(I333="",J333=""),"",I333+J333))</f>
        <v/>
      </c>
      <c r="L333" s="23" t="str">
        <f aca="false">IF(OR($B333="",K333=""),"",K333-H333)</f>
        <v/>
      </c>
      <c r="M333" s="24" t="str">
        <f aca="false">IF($B333="","",IF(AND(I333="",J333=""),"Not Counted",IF(OR(I333="",J333=""),"Partially Counted",IF(L333=0,"Match",IF(L333&gt;0,"Overage","Shortage")))))</f>
        <v/>
      </c>
      <c r="N333" s="24" t="str">
        <f aca="false">IF($B333="","",IF(AND(N333&lt;&gt;"",N333&lt;&gt;0),N333,$B$4))</f>
        <v/>
      </c>
      <c r="O333" s="21"/>
      <c r="P333" s="21"/>
      <c r="Q333" s="21"/>
    </row>
    <row r="334" customFormat="false" ht="15" hidden="false" customHeight="false" outlineLevel="0" collapsed="false">
      <c r="A334" s="19" t="str">
        <f aca="true">IF($B334="","",IF(AND(A334&lt;&gt;"",A334&lt;&gt;0),A334,TODAY()))</f>
        <v/>
      </c>
      <c r="B334" s="20"/>
      <c r="C334" s="21"/>
      <c r="D334" s="21"/>
      <c r="E334" s="21"/>
      <c r="F334" s="21"/>
      <c r="G334" s="21"/>
      <c r="H334" s="22"/>
      <c r="I334" s="22"/>
      <c r="J334" s="22"/>
      <c r="K334" s="23" t="str">
        <f aca="false">IF($B334="","",IF(AND(I334="",J334=""),"",I334+J334))</f>
        <v/>
      </c>
      <c r="L334" s="23" t="str">
        <f aca="false">IF(OR($B334="",K334=""),"",K334-H334)</f>
        <v/>
      </c>
      <c r="M334" s="24" t="str">
        <f aca="false">IF($B334="","",IF(AND(I334="",J334=""),"Not Counted",IF(OR(I334="",J334=""),"Partially Counted",IF(L334=0,"Match",IF(L334&gt;0,"Overage","Shortage")))))</f>
        <v/>
      </c>
      <c r="N334" s="24" t="str">
        <f aca="false">IF($B334="","",IF(AND(N334&lt;&gt;"",N334&lt;&gt;0),N334,$B$4))</f>
        <v/>
      </c>
      <c r="O334" s="21"/>
      <c r="P334" s="21"/>
      <c r="Q334" s="21"/>
    </row>
    <row r="335" customFormat="false" ht="15" hidden="false" customHeight="false" outlineLevel="0" collapsed="false">
      <c r="A335" s="19" t="str">
        <f aca="true">IF($B335="","",IF(AND(A335&lt;&gt;"",A335&lt;&gt;0),A335,TODAY()))</f>
        <v/>
      </c>
      <c r="B335" s="20"/>
      <c r="C335" s="21"/>
      <c r="D335" s="21"/>
      <c r="E335" s="21"/>
      <c r="F335" s="21"/>
      <c r="G335" s="21"/>
      <c r="H335" s="22"/>
      <c r="I335" s="22"/>
      <c r="J335" s="22"/>
      <c r="K335" s="23" t="str">
        <f aca="false">IF($B335="","",IF(AND(I335="",J335=""),"",I335+J335))</f>
        <v/>
      </c>
      <c r="L335" s="23" t="str">
        <f aca="false">IF(OR($B335="",K335=""),"",K335-H335)</f>
        <v/>
      </c>
      <c r="M335" s="24" t="str">
        <f aca="false">IF($B335="","",IF(AND(I335="",J335=""),"Not Counted",IF(OR(I335="",J335=""),"Partially Counted",IF(L335=0,"Match",IF(L335&gt;0,"Overage","Shortage")))))</f>
        <v/>
      </c>
      <c r="N335" s="24" t="str">
        <f aca="false">IF($B335="","",IF(AND(N335&lt;&gt;"",N335&lt;&gt;0),N335,$B$4))</f>
        <v/>
      </c>
      <c r="O335" s="21"/>
      <c r="P335" s="21"/>
      <c r="Q335" s="21"/>
    </row>
    <row r="336" customFormat="false" ht="15" hidden="false" customHeight="false" outlineLevel="0" collapsed="false">
      <c r="A336" s="19" t="str">
        <f aca="true">IF($B336="","",IF(AND(A336&lt;&gt;"",A336&lt;&gt;0),A336,TODAY()))</f>
        <v/>
      </c>
      <c r="B336" s="20"/>
      <c r="C336" s="21"/>
      <c r="D336" s="21"/>
      <c r="E336" s="21"/>
      <c r="F336" s="21"/>
      <c r="G336" s="21"/>
      <c r="H336" s="22"/>
      <c r="I336" s="22"/>
      <c r="J336" s="22"/>
      <c r="K336" s="23" t="str">
        <f aca="false">IF($B336="","",IF(AND(I336="",J336=""),"",I336+J336))</f>
        <v/>
      </c>
      <c r="L336" s="23" t="str">
        <f aca="false">IF(OR($B336="",K336=""),"",K336-H336)</f>
        <v/>
      </c>
      <c r="M336" s="24" t="str">
        <f aca="false">IF($B336="","",IF(AND(I336="",J336=""),"Not Counted",IF(OR(I336="",J336=""),"Partially Counted",IF(L336=0,"Match",IF(L336&gt;0,"Overage","Shortage")))))</f>
        <v/>
      </c>
      <c r="N336" s="24" t="str">
        <f aca="false">IF($B336="","",IF(AND(N336&lt;&gt;"",N336&lt;&gt;0),N336,$B$4))</f>
        <v/>
      </c>
      <c r="O336" s="21"/>
      <c r="P336" s="21"/>
      <c r="Q336" s="21"/>
    </row>
    <row r="337" customFormat="false" ht="15" hidden="false" customHeight="false" outlineLevel="0" collapsed="false">
      <c r="A337" s="19" t="str">
        <f aca="true">IF($B337="","",IF(AND(A337&lt;&gt;"",A337&lt;&gt;0),A337,TODAY()))</f>
        <v/>
      </c>
      <c r="B337" s="20"/>
      <c r="C337" s="21"/>
      <c r="D337" s="21"/>
      <c r="E337" s="21"/>
      <c r="F337" s="21"/>
      <c r="G337" s="21"/>
      <c r="H337" s="22"/>
      <c r="I337" s="22"/>
      <c r="J337" s="22"/>
      <c r="K337" s="23" t="str">
        <f aca="false">IF($B337="","",IF(AND(I337="",J337=""),"",I337+J337))</f>
        <v/>
      </c>
      <c r="L337" s="23" t="str">
        <f aca="false">IF(OR($B337="",K337=""),"",K337-H337)</f>
        <v/>
      </c>
      <c r="M337" s="24" t="str">
        <f aca="false">IF($B337="","",IF(AND(I337="",J337=""),"Not Counted",IF(OR(I337="",J337=""),"Partially Counted",IF(L337=0,"Match",IF(L337&gt;0,"Overage","Shortage")))))</f>
        <v/>
      </c>
      <c r="N337" s="24" t="str">
        <f aca="false">IF($B337="","",IF(AND(N337&lt;&gt;"",N337&lt;&gt;0),N337,$B$4))</f>
        <v/>
      </c>
      <c r="O337" s="21"/>
      <c r="P337" s="21"/>
      <c r="Q337" s="21"/>
    </row>
    <row r="338" customFormat="false" ht="15" hidden="false" customHeight="false" outlineLevel="0" collapsed="false">
      <c r="A338" s="19" t="str">
        <f aca="true">IF($B338="","",IF(AND(A338&lt;&gt;"",A338&lt;&gt;0),A338,TODAY()))</f>
        <v/>
      </c>
      <c r="B338" s="20"/>
      <c r="C338" s="21"/>
      <c r="D338" s="21"/>
      <c r="E338" s="21"/>
      <c r="F338" s="21"/>
      <c r="G338" s="21"/>
      <c r="H338" s="22"/>
      <c r="I338" s="22"/>
      <c r="J338" s="22"/>
      <c r="K338" s="23" t="str">
        <f aca="false">IF($B338="","",IF(AND(I338="",J338=""),"",I338+J338))</f>
        <v/>
      </c>
      <c r="L338" s="23" t="str">
        <f aca="false">IF(OR($B338="",K338=""),"",K338-H338)</f>
        <v/>
      </c>
      <c r="M338" s="24" t="str">
        <f aca="false">IF($B338="","",IF(AND(I338="",J338=""),"Not Counted",IF(OR(I338="",J338=""),"Partially Counted",IF(L338=0,"Match",IF(L338&gt;0,"Overage","Shortage")))))</f>
        <v/>
      </c>
      <c r="N338" s="24" t="str">
        <f aca="false">IF($B338="","",IF(AND(N338&lt;&gt;"",N338&lt;&gt;0),N338,$B$4))</f>
        <v/>
      </c>
      <c r="O338" s="21"/>
      <c r="P338" s="21"/>
      <c r="Q338" s="21"/>
    </row>
    <row r="339" customFormat="false" ht="15" hidden="false" customHeight="false" outlineLevel="0" collapsed="false">
      <c r="A339" s="19" t="str">
        <f aca="true">IF($B339="","",IF(AND(A339&lt;&gt;"",A339&lt;&gt;0),A339,TODAY()))</f>
        <v/>
      </c>
      <c r="B339" s="20"/>
      <c r="C339" s="21"/>
      <c r="D339" s="21"/>
      <c r="E339" s="21"/>
      <c r="F339" s="21"/>
      <c r="G339" s="21"/>
      <c r="H339" s="22"/>
      <c r="I339" s="22"/>
      <c r="J339" s="22"/>
      <c r="K339" s="23" t="str">
        <f aca="false">IF($B339="","",IF(AND(I339="",J339=""),"",I339+J339))</f>
        <v/>
      </c>
      <c r="L339" s="23" t="str">
        <f aca="false">IF(OR($B339="",K339=""),"",K339-H339)</f>
        <v/>
      </c>
      <c r="M339" s="24" t="str">
        <f aca="false">IF($B339="","",IF(AND(I339="",J339=""),"Not Counted",IF(OR(I339="",J339=""),"Partially Counted",IF(L339=0,"Match",IF(L339&gt;0,"Overage","Shortage")))))</f>
        <v/>
      </c>
      <c r="N339" s="24" t="str">
        <f aca="false">IF($B339="","",IF(AND(N339&lt;&gt;"",N339&lt;&gt;0),N339,$B$4))</f>
        <v/>
      </c>
      <c r="O339" s="21"/>
      <c r="P339" s="21"/>
      <c r="Q339" s="21"/>
    </row>
    <row r="340" customFormat="false" ht="15" hidden="false" customHeight="false" outlineLevel="0" collapsed="false">
      <c r="A340" s="19" t="str">
        <f aca="true">IF($B340="","",IF(AND(A340&lt;&gt;"",A340&lt;&gt;0),A340,TODAY()))</f>
        <v/>
      </c>
      <c r="B340" s="20"/>
      <c r="C340" s="21"/>
      <c r="D340" s="21"/>
      <c r="E340" s="21"/>
      <c r="F340" s="21"/>
      <c r="G340" s="21"/>
      <c r="H340" s="22"/>
      <c r="I340" s="22"/>
      <c r="J340" s="22"/>
      <c r="K340" s="23" t="str">
        <f aca="false">IF($B340="","",IF(AND(I340="",J340=""),"",I340+J340))</f>
        <v/>
      </c>
      <c r="L340" s="23" t="str">
        <f aca="false">IF(OR($B340="",K340=""),"",K340-H340)</f>
        <v/>
      </c>
      <c r="M340" s="24" t="str">
        <f aca="false">IF($B340="","",IF(AND(I340="",J340=""),"Not Counted",IF(OR(I340="",J340=""),"Partially Counted",IF(L340=0,"Match",IF(L340&gt;0,"Overage","Shortage")))))</f>
        <v/>
      </c>
      <c r="N340" s="24" t="str">
        <f aca="false">IF($B340="","",IF(AND(N340&lt;&gt;"",N340&lt;&gt;0),N340,$B$4))</f>
        <v/>
      </c>
      <c r="O340" s="21"/>
      <c r="P340" s="21"/>
      <c r="Q340" s="21"/>
    </row>
    <row r="341" customFormat="false" ht="15" hidden="false" customHeight="false" outlineLevel="0" collapsed="false">
      <c r="A341" s="19" t="str">
        <f aca="true">IF($B341="","",IF(AND(A341&lt;&gt;"",A341&lt;&gt;0),A341,TODAY()))</f>
        <v/>
      </c>
      <c r="B341" s="20"/>
      <c r="C341" s="21"/>
      <c r="D341" s="21"/>
      <c r="E341" s="21"/>
      <c r="F341" s="21"/>
      <c r="G341" s="21"/>
      <c r="H341" s="22"/>
      <c r="I341" s="22"/>
      <c r="J341" s="22"/>
      <c r="K341" s="23" t="str">
        <f aca="false">IF($B341="","",IF(AND(I341="",J341=""),"",I341+J341))</f>
        <v/>
      </c>
      <c r="L341" s="23" t="str">
        <f aca="false">IF(OR($B341="",K341=""),"",K341-H341)</f>
        <v/>
      </c>
      <c r="M341" s="24" t="str">
        <f aca="false">IF($B341="","",IF(AND(I341="",J341=""),"Not Counted",IF(OR(I341="",J341=""),"Partially Counted",IF(L341=0,"Match",IF(L341&gt;0,"Overage","Shortage")))))</f>
        <v/>
      </c>
      <c r="N341" s="24" t="str">
        <f aca="false">IF($B341="","",IF(AND(N341&lt;&gt;"",N341&lt;&gt;0),N341,$B$4))</f>
        <v/>
      </c>
      <c r="O341" s="21"/>
      <c r="P341" s="21"/>
      <c r="Q341" s="21"/>
    </row>
    <row r="342" customFormat="false" ht="15" hidden="false" customHeight="false" outlineLevel="0" collapsed="false">
      <c r="A342" s="19" t="str">
        <f aca="true">IF($B342="","",IF(AND(A342&lt;&gt;"",A342&lt;&gt;0),A342,TODAY()))</f>
        <v/>
      </c>
      <c r="B342" s="20"/>
      <c r="C342" s="21"/>
      <c r="D342" s="21"/>
      <c r="E342" s="21"/>
      <c r="F342" s="21"/>
      <c r="G342" s="21"/>
      <c r="H342" s="22"/>
      <c r="I342" s="22"/>
      <c r="J342" s="22"/>
      <c r="K342" s="23" t="str">
        <f aca="false">IF($B342="","",IF(AND(I342="",J342=""),"",I342+J342))</f>
        <v/>
      </c>
      <c r="L342" s="23" t="str">
        <f aca="false">IF(OR($B342="",K342=""),"",K342-H342)</f>
        <v/>
      </c>
      <c r="M342" s="24" t="str">
        <f aca="false">IF($B342="","",IF(AND(I342="",J342=""),"Not Counted",IF(OR(I342="",J342=""),"Partially Counted",IF(L342=0,"Match",IF(L342&gt;0,"Overage","Shortage")))))</f>
        <v/>
      </c>
      <c r="N342" s="24" t="str">
        <f aca="false">IF($B342="","",IF(AND(N342&lt;&gt;"",N342&lt;&gt;0),N342,$B$4))</f>
        <v/>
      </c>
      <c r="O342" s="21"/>
      <c r="P342" s="21"/>
      <c r="Q342" s="21"/>
    </row>
    <row r="343" customFormat="false" ht="15" hidden="false" customHeight="false" outlineLevel="0" collapsed="false">
      <c r="A343" s="19" t="str">
        <f aca="true">IF($B343="","",IF(AND(A343&lt;&gt;"",A343&lt;&gt;0),A343,TODAY()))</f>
        <v/>
      </c>
      <c r="B343" s="20"/>
      <c r="C343" s="21"/>
      <c r="D343" s="21"/>
      <c r="E343" s="21"/>
      <c r="F343" s="21"/>
      <c r="G343" s="21"/>
      <c r="H343" s="22"/>
      <c r="I343" s="22"/>
      <c r="J343" s="22"/>
      <c r="K343" s="23" t="str">
        <f aca="false">IF($B343="","",IF(AND(I343="",J343=""),"",I343+J343))</f>
        <v/>
      </c>
      <c r="L343" s="23" t="str">
        <f aca="false">IF(OR($B343="",K343=""),"",K343-H343)</f>
        <v/>
      </c>
      <c r="M343" s="24" t="str">
        <f aca="false">IF($B343="","",IF(AND(I343="",J343=""),"Not Counted",IF(OR(I343="",J343=""),"Partially Counted",IF(L343=0,"Match",IF(L343&gt;0,"Overage","Shortage")))))</f>
        <v/>
      </c>
      <c r="N343" s="24" t="str">
        <f aca="false">IF($B343="","",IF(AND(N343&lt;&gt;"",N343&lt;&gt;0),N343,$B$4))</f>
        <v/>
      </c>
      <c r="O343" s="21"/>
      <c r="P343" s="21"/>
      <c r="Q343" s="21"/>
    </row>
    <row r="344" customFormat="false" ht="15" hidden="false" customHeight="false" outlineLevel="0" collapsed="false">
      <c r="A344" s="19" t="str">
        <f aca="true">IF($B344="","",IF(AND(A344&lt;&gt;"",A344&lt;&gt;0),A344,TODAY()))</f>
        <v/>
      </c>
      <c r="B344" s="20"/>
      <c r="C344" s="21"/>
      <c r="D344" s="21"/>
      <c r="E344" s="21"/>
      <c r="F344" s="21"/>
      <c r="G344" s="21"/>
      <c r="H344" s="22"/>
      <c r="I344" s="22"/>
      <c r="J344" s="22"/>
      <c r="K344" s="23" t="str">
        <f aca="false">IF($B344="","",IF(AND(I344="",J344=""),"",I344+J344))</f>
        <v/>
      </c>
      <c r="L344" s="23" t="str">
        <f aca="false">IF(OR($B344="",K344=""),"",K344-H344)</f>
        <v/>
      </c>
      <c r="M344" s="24" t="str">
        <f aca="false">IF($B344="","",IF(AND(I344="",J344=""),"Not Counted",IF(OR(I344="",J344=""),"Partially Counted",IF(L344=0,"Match",IF(L344&gt;0,"Overage","Shortage")))))</f>
        <v/>
      </c>
      <c r="N344" s="24" t="str">
        <f aca="false">IF($B344="","",IF(AND(N344&lt;&gt;"",N344&lt;&gt;0),N344,$B$4))</f>
        <v/>
      </c>
      <c r="O344" s="21"/>
      <c r="P344" s="21"/>
      <c r="Q344" s="21"/>
    </row>
    <row r="345" customFormat="false" ht="15" hidden="false" customHeight="false" outlineLevel="0" collapsed="false">
      <c r="A345" s="19" t="str">
        <f aca="true">IF($B345="","",IF(AND(A345&lt;&gt;"",A345&lt;&gt;0),A345,TODAY()))</f>
        <v/>
      </c>
      <c r="B345" s="20"/>
      <c r="C345" s="21"/>
      <c r="D345" s="21"/>
      <c r="E345" s="21"/>
      <c r="F345" s="21"/>
      <c r="G345" s="21"/>
      <c r="H345" s="22"/>
      <c r="I345" s="22"/>
      <c r="J345" s="22"/>
      <c r="K345" s="23" t="str">
        <f aca="false">IF($B345="","",IF(AND(I345="",J345=""),"",I345+J345))</f>
        <v/>
      </c>
      <c r="L345" s="23" t="str">
        <f aca="false">IF(OR($B345="",K345=""),"",K345-H345)</f>
        <v/>
      </c>
      <c r="M345" s="24" t="str">
        <f aca="false">IF($B345="","",IF(AND(I345="",J345=""),"Not Counted",IF(OR(I345="",J345=""),"Partially Counted",IF(L345=0,"Match",IF(L345&gt;0,"Overage","Shortage")))))</f>
        <v/>
      </c>
      <c r="N345" s="24" t="str">
        <f aca="false">IF($B345="","",IF(AND(N345&lt;&gt;"",N345&lt;&gt;0),N345,$B$4))</f>
        <v/>
      </c>
      <c r="O345" s="21"/>
      <c r="P345" s="21"/>
      <c r="Q345" s="21"/>
    </row>
    <row r="346" customFormat="false" ht="15" hidden="false" customHeight="false" outlineLevel="0" collapsed="false">
      <c r="A346" s="19" t="str">
        <f aca="true">IF($B346="","",IF(AND(A346&lt;&gt;"",A346&lt;&gt;0),A346,TODAY()))</f>
        <v/>
      </c>
      <c r="B346" s="20"/>
      <c r="C346" s="21"/>
      <c r="D346" s="21"/>
      <c r="E346" s="21"/>
      <c r="F346" s="21"/>
      <c r="G346" s="21"/>
      <c r="H346" s="22"/>
      <c r="I346" s="22"/>
      <c r="J346" s="22"/>
      <c r="K346" s="23" t="str">
        <f aca="false">IF($B346="","",IF(AND(I346="",J346=""),"",I346+J346))</f>
        <v/>
      </c>
      <c r="L346" s="23" t="str">
        <f aca="false">IF(OR($B346="",K346=""),"",K346-H346)</f>
        <v/>
      </c>
      <c r="M346" s="24" t="str">
        <f aca="false">IF($B346="","",IF(AND(I346="",J346=""),"Not Counted",IF(OR(I346="",J346=""),"Partially Counted",IF(L346=0,"Match",IF(L346&gt;0,"Overage","Shortage")))))</f>
        <v/>
      </c>
      <c r="N346" s="24" t="str">
        <f aca="false">IF($B346="","",IF(AND(N346&lt;&gt;"",N346&lt;&gt;0),N346,$B$4))</f>
        <v/>
      </c>
      <c r="O346" s="21"/>
      <c r="P346" s="21"/>
      <c r="Q346" s="21"/>
    </row>
    <row r="347" customFormat="false" ht="15" hidden="false" customHeight="false" outlineLevel="0" collapsed="false">
      <c r="A347" s="19" t="str">
        <f aca="true">IF($B347="","",IF(AND(A347&lt;&gt;"",A347&lt;&gt;0),A347,TODAY()))</f>
        <v/>
      </c>
      <c r="B347" s="20"/>
      <c r="C347" s="21"/>
      <c r="D347" s="21"/>
      <c r="E347" s="21"/>
      <c r="F347" s="21"/>
      <c r="G347" s="21"/>
      <c r="H347" s="22"/>
      <c r="I347" s="22"/>
      <c r="J347" s="22"/>
      <c r="K347" s="23" t="str">
        <f aca="false">IF($B347="","",IF(AND(I347="",J347=""),"",I347+J347))</f>
        <v/>
      </c>
      <c r="L347" s="23" t="str">
        <f aca="false">IF(OR($B347="",K347=""),"",K347-H347)</f>
        <v/>
      </c>
      <c r="M347" s="24" t="str">
        <f aca="false">IF($B347="","",IF(AND(I347="",J347=""),"Not Counted",IF(OR(I347="",J347=""),"Partially Counted",IF(L347=0,"Match",IF(L347&gt;0,"Overage","Shortage")))))</f>
        <v/>
      </c>
      <c r="N347" s="24" t="str">
        <f aca="false">IF($B347="","",IF(AND(N347&lt;&gt;"",N347&lt;&gt;0),N347,$B$4))</f>
        <v/>
      </c>
      <c r="O347" s="21"/>
      <c r="P347" s="21"/>
      <c r="Q347" s="21"/>
    </row>
    <row r="348" customFormat="false" ht="15" hidden="false" customHeight="false" outlineLevel="0" collapsed="false">
      <c r="A348" s="19" t="str">
        <f aca="true">IF($B348="","",IF(AND(A348&lt;&gt;"",A348&lt;&gt;0),A348,TODAY()))</f>
        <v/>
      </c>
      <c r="B348" s="20"/>
      <c r="C348" s="21"/>
      <c r="D348" s="21"/>
      <c r="E348" s="21"/>
      <c r="F348" s="21"/>
      <c r="G348" s="21"/>
      <c r="H348" s="22"/>
      <c r="I348" s="22"/>
      <c r="J348" s="22"/>
      <c r="K348" s="23" t="str">
        <f aca="false">IF($B348="","",IF(AND(I348="",J348=""),"",I348+J348))</f>
        <v/>
      </c>
      <c r="L348" s="23" t="str">
        <f aca="false">IF(OR($B348="",K348=""),"",K348-H348)</f>
        <v/>
      </c>
      <c r="M348" s="24" t="str">
        <f aca="false">IF($B348="","",IF(AND(I348="",J348=""),"Not Counted",IF(OR(I348="",J348=""),"Partially Counted",IF(L348=0,"Match",IF(L348&gt;0,"Overage","Shortage")))))</f>
        <v/>
      </c>
      <c r="N348" s="24" t="str">
        <f aca="false">IF($B348="","",IF(AND(N348&lt;&gt;"",N348&lt;&gt;0),N348,$B$4))</f>
        <v/>
      </c>
      <c r="O348" s="21"/>
      <c r="P348" s="21"/>
      <c r="Q348" s="21"/>
    </row>
    <row r="349" customFormat="false" ht="15" hidden="false" customHeight="false" outlineLevel="0" collapsed="false">
      <c r="A349" s="19" t="str">
        <f aca="true">IF($B349="","",IF(AND(A349&lt;&gt;"",A349&lt;&gt;0),A349,TODAY()))</f>
        <v/>
      </c>
      <c r="B349" s="20"/>
      <c r="C349" s="21"/>
      <c r="D349" s="21"/>
      <c r="E349" s="21"/>
      <c r="F349" s="21"/>
      <c r="G349" s="21"/>
      <c r="H349" s="22"/>
      <c r="I349" s="22"/>
      <c r="J349" s="22"/>
      <c r="K349" s="23" t="str">
        <f aca="false">IF($B349="","",IF(AND(I349="",J349=""),"",I349+J349))</f>
        <v/>
      </c>
      <c r="L349" s="23" t="str">
        <f aca="false">IF(OR($B349="",K349=""),"",K349-H349)</f>
        <v/>
      </c>
      <c r="M349" s="24" t="str">
        <f aca="false">IF($B349="","",IF(AND(I349="",J349=""),"Not Counted",IF(OR(I349="",J349=""),"Partially Counted",IF(L349=0,"Match",IF(L349&gt;0,"Overage","Shortage")))))</f>
        <v/>
      </c>
      <c r="N349" s="24" t="str">
        <f aca="false">IF($B349="","",IF(AND(N349&lt;&gt;"",N349&lt;&gt;0),N349,$B$4))</f>
        <v/>
      </c>
      <c r="O349" s="21"/>
      <c r="P349" s="21"/>
      <c r="Q349" s="21"/>
    </row>
    <row r="350" customFormat="false" ht="15" hidden="false" customHeight="false" outlineLevel="0" collapsed="false">
      <c r="A350" s="19" t="str">
        <f aca="true">IF($B350="","",IF(AND(A350&lt;&gt;"",A350&lt;&gt;0),A350,TODAY()))</f>
        <v/>
      </c>
      <c r="B350" s="20"/>
      <c r="C350" s="21"/>
      <c r="D350" s="21"/>
      <c r="E350" s="21"/>
      <c r="F350" s="21"/>
      <c r="G350" s="21"/>
      <c r="H350" s="22"/>
      <c r="I350" s="22"/>
      <c r="J350" s="22"/>
      <c r="K350" s="23" t="str">
        <f aca="false">IF($B350="","",IF(AND(I350="",J350=""),"",I350+J350))</f>
        <v/>
      </c>
      <c r="L350" s="23" t="str">
        <f aca="false">IF(OR($B350="",K350=""),"",K350-H350)</f>
        <v/>
      </c>
      <c r="M350" s="24" t="str">
        <f aca="false">IF($B350="","",IF(AND(I350="",J350=""),"Not Counted",IF(OR(I350="",J350=""),"Partially Counted",IF(L350=0,"Match",IF(L350&gt;0,"Overage","Shortage")))))</f>
        <v/>
      </c>
      <c r="N350" s="24" t="str">
        <f aca="false">IF($B350="","",IF(AND(N350&lt;&gt;"",N350&lt;&gt;0),N350,$B$4))</f>
        <v/>
      </c>
      <c r="O350" s="21"/>
      <c r="P350" s="21"/>
      <c r="Q350" s="21"/>
    </row>
    <row r="351" customFormat="false" ht="15" hidden="false" customHeight="false" outlineLevel="0" collapsed="false">
      <c r="A351" s="19" t="str">
        <f aca="true">IF($B351="","",IF(AND(A351&lt;&gt;"",A351&lt;&gt;0),A351,TODAY()))</f>
        <v/>
      </c>
      <c r="B351" s="20"/>
      <c r="C351" s="21"/>
      <c r="D351" s="21"/>
      <c r="E351" s="21"/>
      <c r="F351" s="21"/>
      <c r="G351" s="21"/>
      <c r="H351" s="22"/>
      <c r="I351" s="22"/>
      <c r="J351" s="22"/>
      <c r="K351" s="23" t="str">
        <f aca="false">IF($B351="","",IF(AND(I351="",J351=""),"",I351+J351))</f>
        <v/>
      </c>
      <c r="L351" s="23" t="str">
        <f aca="false">IF(OR($B351="",K351=""),"",K351-H351)</f>
        <v/>
      </c>
      <c r="M351" s="24" t="str">
        <f aca="false">IF($B351="","",IF(AND(I351="",J351=""),"Not Counted",IF(OR(I351="",J351=""),"Partially Counted",IF(L351=0,"Match",IF(L351&gt;0,"Overage","Shortage")))))</f>
        <v/>
      </c>
      <c r="N351" s="24" t="str">
        <f aca="false">IF($B351="","",IF(AND(N351&lt;&gt;"",N351&lt;&gt;0),N351,$B$4))</f>
        <v/>
      </c>
      <c r="O351" s="21"/>
      <c r="P351" s="21"/>
      <c r="Q351" s="21"/>
    </row>
    <row r="352" customFormat="false" ht="15" hidden="false" customHeight="false" outlineLevel="0" collapsed="false">
      <c r="A352" s="19" t="str">
        <f aca="true">IF($B352="","",IF(AND(A352&lt;&gt;"",A352&lt;&gt;0),A352,TODAY()))</f>
        <v/>
      </c>
      <c r="B352" s="20"/>
      <c r="C352" s="21"/>
      <c r="D352" s="21"/>
      <c r="E352" s="21"/>
      <c r="F352" s="21"/>
      <c r="G352" s="21"/>
      <c r="H352" s="22"/>
      <c r="I352" s="22"/>
      <c r="J352" s="22"/>
      <c r="K352" s="23" t="str">
        <f aca="false">IF($B352="","",IF(AND(I352="",J352=""),"",I352+J352))</f>
        <v/>
      </c>
      <c r="L352" s="23" t="str">
        <f aca="false">IF(OR($B352="",K352=""),"",K352-H352)</f>
        <v/>
      </c>
      <c r="M352" s="24" t="str">
        <f aca="false">IF($B352="","",IF(AND(I352="",J352=""),"Not Counted",IF(OR(I352="",J352=""),"Partially Counted",IF(L352=0,"Match",IF(L352&gt;0,"Overage","Shortage")))))</f>
        <v/>
      </c>
      <c r="N352" s="24" t="str">
        <f aca="false">IF($B352="","",IF(AND(N352&lt;&gt;"",N352&lt;&gt;0),N352,$B$4))</f>
        <v/>
      </c>
      <c r="O352" s="21"/>
      <c r="P352" s="21"/>
      <c r="Q352" s="21"/>
    </row>
    <row r="353" customFormat="false" ht="15" hidden="false" customHeight="false" outlineLevel="0" collapsed="false">
      <c r="A353" s="19" t="str">
        <f aca="true">IF($B353="","",IF(AND(A353&lt;&gt;"",A353&lt;&gt;0),A353,TODAY()))</f>
        <v/>
      </c>
      <c r="B353" s="20"/>
      <c r="C353" s="21"/>
      <c r="D353" s="21"/>
      <c r="E353" s="21"/>
      <c r="F353" s="21"/>
      <c r="G353" s="21"/>
      <c r="H353" s="22"/>
      <c r="I353" s="22"/>
      <c r="J353" s="22"/>
      <c r="K353" s="23" t="str">
        <f aca="false">IF($B353="","",IF(AND(I353="",J353=""),"",I353+J353))</f>
        <v/>
      </c>
      <c r="L353" s="23" t="str">
        <f aca="false">IF(OR($B353="",K353=""),"",K353-H353)</f>
        <v/>
      </c>
      <c r="M353" s="24" t="str">
        <f aca="false">IF($B353="","",IF(AND(I353="",J353=""),"Not Counted",IF(OR(I353="",J353=""),"Partially Counted",IF(L353=0,"Match",IF(L353&gt;0,"Overage","Shortage")))))</f>
        <v/>
      </c>
      <c r="N353" s="24" t="str">
        <f aca="false">IF($B353="","",IF(AND(N353&lt;&gt;"",N353&lt;&gt;0),N353,$B$4))</f>
        <v/>
      </c>
      <c r="O353" s="21"/>
      <c r="P353" s="21"/>
      <c r="Q353" s="21"/>
    </row>
    <row r="354" customFormat="false" ht="15" hidden="false" customHeight="false" outlineLevel="0" collapsed="false">
      <c r="A354" s="19" t="str">
        <f aca="true">IF($B354="","",IF(AND(A354&lt;&gt;"",A354&lt;&gt;0),A354,TODAY()))</f>
        <v/>
      </c>
      <c r="B354" s="20"/>
      <c r="C354" s="21"/>
      <c r="D354" s="21"/>
      <c r="E354" s="21"/>
      <c r="F354" s="21"/>
      <c r="G354" s="21"/>
      <c r="H354" s="22"/>
      <c r="I354" s="22"/>
      <c r="J354" s="22"/>
      <c r="K354" s="23" t="str">
        <f aca="false">IF($B354="","",IF(AND(I354="",J354=""),"",I354+J354))</f>
        <v/>
      </c>
      <c r="L354" s="23" t="str">
        <f aca="false">IF(OR($B354="",K354=""),"",K354-H354)</f>
        <v/>
      </c>
      <c r="M354" s="24" t="str">
        <f aca="false">IF($B354="","",IF(AND(I354="",J354=""),"Not Counted",IF(OR(I354="",J354=""),"Partially Counted",IF(L354=0,"Match",IF(L354&gt;0,"Overage","Shortage")))))</f>
        <v/>
      </c>
      <c r="N354" s="24" t="str">
        <f aca="false">IF($B354="","",IF(AND(N354&lt;&gt;"",N354&lt;&gt;0),N354,$B$4))</f>
        <v/>
      </c>
      <c r="O354" s="21"/>
      <c r="P354" s="21"/>
      <c r="Q354" s="21"/>
    </row>
    <row r="355" customFormat="false" ht="15" hidden="false" customHeight="false" outlineLevel="0" collapsed="false">
      <c r="A355" s="19" t="str">
        <f aca="true">IF($B355="","",IF(AND(A355&lt;&gt;"",A355&lt;&gt;0),A355,TODAY()))</f>
        <v/>
      </c>
      <c r="B355" s="20"/>
      <c r="C355" s="21"/>
      <c r="D355" s="21"/>
      <c r="E355" s="21"/>
      <c r="F355" s="21"/>
      <c r="G355" s="21"/>
      <c r="H355" s="22"/>
      <c r="I355" s="22"/>
      <c r="J355" s="22"/>
      <c r="K355" s="23" t="str">
        <f aca="false">IF($B355="","",IF(AND(I355="",J355=""),"",I355+J355))</f>
        <v/>
      </c>
      <c r="L355" s="23" t="str">
        <f aca="false">IF(OR($B355="",K355=""),"",K355-H355)</f>
        <v/>
      </c>
      <c r="M355" s="24" t="str">
        <f aca="false">IF($B355="","",IF(AND(I355="",J355=""),"Not Counted",IF(OR(I355="",J355=""),"Partially Counted",IF(L355=0,"Match",IF(L355&gt;0,"Overage","Shortage")))))</f>
        <v/>
      </c>
      <c r="N355" s="24" t="str">
        <f aca="false">IF($B355="","",IF(AND(N355&lt;&gt;"",N355&lt;&gt;0),N355,$B$4))</f>
        <v/>
      </c>
      <c r="O355" s="21"/>
      <c r="P355" s="21"/>
      <c r="Q355" s="21"/>
    </row>
    <row r="356" customFormat="false" ht="15" hidden="false" customHeight="false" outlineLevel="0" collapsed="false">
      <c r="A356" s="19" t="str">
        <f aca="true">IF($B356="","",IF(AND(A356&lt;&gt;"",A356&lt;&gt;0),A356,TODAY()))</f>
        <v/>
      </c>
      <c r="B356" s="20"/>
      <c r="C356" s="21"/>
      <c r="D356" s="21"/>
      <c r="E356" s="21"/>
      <c r="F356" s="21"/>
      <c r="G356" s="21"/>
      <c r="H356" s="22"/>
      <c r="I356" s="22"/>
      <c r="J356" s="22"/>
      <c r="K356" s="23" t="str">
        <f aca="false">IF($B356="","",IF(AND(I356="",J356=""),"",I356+J356))</f>
        <v/>
      </c>
      <c r="L356" s="23" t="str">
        <f aca="false">IF(OR($B356="",K356=""),"",K356-H356)</f>
        <v/>
      </c>
      <c r="M356" s="24" t="str">
        <f aca="false">IF($B356="","",IF(AND(I356="",J356=""),"Not Counted",IF(OR(I356="",J356=""),"Partially Counted",IF(L356=0,"Match",IF(L356&gt;0,"Overage","Shortage")))))</f>
        <v/>
      </c>
      <c r="N356" s="24" t="str">
        <f aca="false">IF($B356="","",IF(AND(N356&lt;&gt;"",N356&lt;&gt;0),N356,$B$4))</f>
        <v/>
      </c>
      <c r="O356" s="21"/>
      <c r="P356" s="21"/>
      <c r="Q356" s="21"/>
    </row>
    <row r="357" customFormat="false" ht="15" hidden="false" customHeight="false" outlineLevel="0" collapsed="false">
      <c r="A357" s="19" t="str">
        <f aca="true">IF($B357="","",IF(AND(A357&lt;&gt;"",A357&lt;&gt;0),A357,TODAY()))</f>
        <v/>
      </c>
      <c r="B357" s="20"/>
      <c r="C357" s="21"/>
      <c r="D357" s="21"/>
      <c r="E357" s="21"/>
      <c r="F357" s="21"/>
      <c r="G357" s="21"/>
      <c r="H357" s="22"/>
      <c r="I357" s="22"/>
      <c r="J357" s="22"/>
      <c r="K357" s="23" t="str">
        <f aca="false">IF($B357="","",IF(AND(I357="",J357=""),"",I357+J357))</f>
        <v/>
      </c>
      <c r="L357" s="23" t="str">
        <f aca="false">IF(OR($B357="",K357=""),"",K357-H357)</f>
        <v/>
      </c>
      <c r="M357" s="24" t="str">
        <f aca="false">IF($B357="","",IF(AND(I357="",J357=""),"Not Counted",IF(OR(I357="",J357=""),"Partially Counted",IF(L357=0,"Match",IF(L357&gt;0,"Overage","Shortage")))))</f>
        <v/>
      </c>
      <c r="N357" s="24" t="str">
        <f aca="false">IF($B357="","",IF(AND(N357&lt;&gt;"",N357&lt;&gt;0),N357,$B$4))</f>
        <v/>
      </c>
      <c r="O357" s="21"/>
      <c r="P357" s="21"/>
      <c r="Q357" s="21"/>
    </row>
    <row r="358" customFormat="false" ht="15" hidden="false" customHeight="false" outlineLevel="0" collapsed="false">
      <c r="A358" s="19" t="str">
        <f aca="true">IF($B358="","",IF(AND(A358&lt;&gt;"",A358&lt;&gt;0),A358,TODAY()))</f>
        <v/>
      </c>
      <c r="B358" s="20"/>
      <c r="C358" s="21"/>
      <c r="D358" s="21"/>
      <c r="E358" s="21"/>
      <c r="F358" s="21"/>
      <c r="G358" s="21"/>
      <c r="H358" s="22"/>
      <c r="I358" s="22"/>
      <c r="J358" s="22"/>
      <c r="K358" s="23" t="str">
        <f aca="false">IF($B358="","",IF(AND(I358="",J358=""),"",I358+J358))</f>
        <v/>
      </c>
      <c r="L358" s="23" t="str">
        <f aca="false">IF(OR($B358="",K358=""),"",K358-H358)</f>
        <v/>
      </c>
      <c r="M358" s="24" t="str">
        <f aca="false">IF($B358="","",IF(AND(I358="",J358=""),"Not Counted",IF(OR(I358="",J358=""),"Partially Counted",IF(L358=0,"Match",IF(L358&gt;0,"Overage","Shortage")))))</f>
        <v/>
      </c>
      <c r="N358" s="24" t="str">
        <f aca="false">IF($B358="","",IF(AND(N358&lt;&gt;"",N358&lt;&gt;0),N358,$B$4))</f>
        <v/>
      </c>
      <c r="O358" s="21"/>
      <c r="P358" s="21"/>
      <c r="Q358" s="21"/>
    </row>
    <row r="359" customFormat="false" ht="15" hidden="false" customHeight="false" outlineLevel="0" collapsed="false">
      <c r="A359" s="19" t="str">
        <f aca="true">IF($B359="","",IF(AND(A359&lt;&gt;"",A359&lt;&gt;0),A359,TODAY()))</f>
        <v/>
      </c>
      <c r="B359" s="20"/>
      <c r="C359" s="21"/>
      <c r="D359" s="21"/>
      <c r="E359" s="21"/>
      <c r="F359" s="21"/>
      <c r="G359" s="21"/>
      <c r="H359" s="22"/>
      <c r="I359" s="22"/>
      <c r="J359" s="22"/>
      <c r="K359" s="23" t="str">
        <f aca="false">IF($B359="","",IF(AND(I359="",J359=""),"",I359+J359))</f>
        <v/>
      </c>
      <c r="L359" s="23" t="str">
        <f aca="false">IF(OR($B359="",K359=""),"",K359-H359)</f>
        <v/>
      </c>
      <c r="M359" s="24" t="str">
        <f aca="false">IF($B359="","",IF(AND(I359="",J359=""),"Not Counted",IF(OR(I359="",J359=""),"Partially Counted",IF(L359=0,"Match",IF(L359&gt;0,"Overage","Shortage")))))</f>
        <v/>
      </c>
      <c r="N359" s="24" t="str">
        <f aca="false">IF($B359="","",IF(AND(N359&lt;&gt;"",N359&lt;&gt;0),N359,$B$4))</f>
        <v/>
      </c>
      <c r="O359" s="21"/>
      <c r="P359" s="21"/>
      <c r="Q359" s="21"/>
    </row>
    <row r="360" customFormat="false" ht="15" hidden="false" customHeight="false" outlineLevel="0" collapsed="false">
      <c r="A360" s="19" t="str">
        <f aca="true">IF($B360="","",IF(AND(A360&lt;&gt;"",A360&lt;&gt;0),A360,TODAY()))</f>
        <v/>
      </c>
      <c r="B360" s="20"/>
      <c r="C360" s="21"/>
      <c r="D360" s="21"/>
      <c r="E360" s="21"/>
      <c r="F360" s="21"/>
      <c r="G360" s="21"/>
      <c r="H360" s="22"/>
      <c r="I360" s="22"/>
      <c r="J360" s="22"/>
      <c r="K360" s="23" t="str">
        <f aca="false">IF($B360="","",IF(AND(I360="",J360=""),"",I360+J360))</f>
        <v/>
      </c>
      <c r="L360" s="23" t="str">
        <f aca="false">IF(OR($B360="",K360=""),"",K360-H360)</f>
        <v/>
      </c>
      <c r="M360" s="24" t="str">
        <f aca="false">IF($B360="","",IF(AND(I360="",J360=""),"Not Counted",IF(OR(I360="",J360=""),"Partially Counted",IF(L360=0,"Match",IF(L360&gt;0,"Overage","Shortage")))))</f>
        <v/>
      </c>
      <c r="N360" s="24" t="str">
        <f aca="false">IF($B360="","",IF(AND(N360&lt;&gt;"",N360&lt;&gt;0),N360,$B$4))</f>
        <v/>
      </c>
      <c r="O360" s="21"/>
      <c r="P360" s="21"/>
      <c r="Q360" s="21"/>
    </row>
    <row r="361" customFormat="false" ht="15" hidden="false" customHeight="false" outlineLevel="0" collapsed="false">
      <c r="A361" s="19" t="str">
        <f aca="true">IF($B361="","",IF(AND(A361&lt;&gt;"",A361&lt;&gt;0),A361,TODAY()))</f>
        <v/>
      </c>
      <c r="B361" s="20"/>
      <c r="C361" s="21"/>
      <c r="D361" s="21"/>
      <c r="E361" s="21"/>
      <c r="F361" s="21"/>
      <c r="G361" s="21"/>
      <c r="H361" s="22"/>
      <c r="I361" s="22"/>
      <c r="J361" s="22"/>
      <c r="K361" s="23" t="str">
        <f aca="false">IF($B361="","",IF(AND(I361="",J361=""),"",I361+J361))</f>
        <v/>
      </c>
      <c r="L361" s="23" t="str">
        <f aca="false">IF(OR($B361="",K361=""),"",K361-H361)</f>
        <v/>
      </c>
      <c r="M361" s="24" t="str">
        <f aca="false">IF($B361="","",IF(AND(I361="",J361=""),"Not Counted",IF(OR(I361="",J361=""),"Partially Counted",IF(L361=0,"Match",IF(L361&gt;0,"Overage","Shortage")))))</f>
        <v/>
      </c>
      <c r="N361" s="24" t="str">
        <f aca="false">IF($B361="","",IF(AND(N361&lt;&gt;"",N361&lt;&gt;0),N361,$B$4))</f>
        <v/>
      </c>
      <c r="O361" s="21"/>
      <c r="P361" s="21"/>
      <c r="Q361" s="21"/>
    </row>
    <row r="362" customFormat="false" ht="15" hidden="false" customHeight="false" outlineLevel="0" collapsed="false">
      <c r="A362" s="19" t="str">
        <f aca="true">IF($B362="","",IF(AND(A362&lt;&gt;"",A362&lt;&gt;0),A362,TODAY()))</f>
        <v/>
      </c>
      <c r="B362" s="20"/>
      <c r="C362" s="21"/>
      <c r="D362" s="21"/>
      <c r="E362" s="21"/>
      <c r="F362" s="21"/>
      <c r="G362" s="21"/>
      <c r="H362" s="22"/>
      <c r="I362" s="22"/>
      <c r="J362" s="22"/>
      <c r="K362" s="23" t="str">
        <f aca="false">IF($B362="","",IF(AND(I362="",J362=""),"",I362+J362))</f>
        <v/>
      </c>
      <c r="L362" s="23" t="str">
        <f aca="false">IF(OR($B362="",K362=""),"",K362-H362)</f>
        <v/>
      </c>
      <c r="M362" s="24" t="str">
        <f aca="false">IF($B362="","",IF(AND(I362="",J362=""),"Not Counted",IF(OR(I362="",J362=""),"Partially Counted",IF(L362=0,"Match",IF(L362&gt;0,"Overage","Shortage")))))</f>
        <v/>
      </c>
      <c r="N362" s="24" t="str">
        <f aca="false">IF($B362="","",IF(AND(N362&lt;&gt;"",N362&lt;&gt;0),N362,$B$4))</f>
        <v/>
      </c>
      <c r="O362" s="21"/>
      <c r="P362" s="21"/>
      <c r="Q362" s="21"/>
    </row>
    <row r="363" customFormat="false" ht="15" hidden="false" customHeight="false" outlineLevel="0" collapsed="false">
      <c r="A363" s="19" t="str">
        <f aca="true">IF($B363="","",IF(AND(A363&lt;&gt;"",A363&lt;&gt;0),A363,TODAY()))</f>
        <v/>
      </c>
      <c r="B363" s="20"/>
      <c r="C363" s="21"/>
      <c r="D363" s="21"/>
      <c r="E363" s="21"/>
      <c r="F363" s="21"/>
      <c r="G363" s="21"/>
      <c r="H363" s="22"/>
      <c r="I363" s="22"/>
      <c r="J363" s="22"/>
      <c r="K363" s="23" t="str">
        <f aca="false">IF($B363="","",IF(AND(I363="",J363=""),"",I363+J363))</f>
        <v/>
      </c>
      <c r="L363" s="23" t="str">
        <f aca="false">IF(OR($B363="",K363=""),"",K363-H363)</f>
        <v/>
      </c>
      <c r="M363" s="24" t="str">
        <f aca="false">IF($B363="","",IF(AND(I363="",J363=""),"Not Counted",IF(OR(I363="",J363=""),"Partially Counted",IF(L363=0,"Match",IF(L363&gt;0,"Overage","Shortage")))))</f>
        <v/>
      </c>
      <c r="N363" s="24" t="str">
        <f aca="false">IF($B363="","",IF(AND(N363&lt;&gt;"",N363&lt;&gt;0),N363,$B$4))</f>
        <v/>
      </c>
      <c r="O363" s="21"/>
      <c r="P363" s="21"/>
      <c r="Q363" s="21"/>
    </row>
    <row r="364" customFormat="false" ht="15" hidden="false" customHeight="false" outlineLevel="0" collapsed="false">
      <c r="A364" s="19" t="str">
        <f aca="true">IF($B364="","",IF(AND(A364&lt;&gt;"",A364&lt;&gt;0),A364,TODAY()))</f>
        <v/>
      </c>
      <c r="B364" s="20"/>
      <c r="C364" s="21"/>
      <c r="D364" s="21"/>
      <c r="E364" s="21"/>
      <c r="F364" s="21"/>
      <c r="G364" s="21"/>
      <c r="H364" s="22"/>
      <c r="I364" s="22"/>
      <c r="J364" s="22"/>
      <c r="K364" s="23" t="str">
        <f aca="false">IF($B364="","",IF(AND(I364="",J364=""),"",I364+J364))</f>
        <v/>
      </c>
      <c r="L364" s="23" t="str">
        <f aca="false">IF(OR($B364="",K364=""),"",K364-H364)</f>
        <v/>
      </c>
      <c r="M364" s="24" t="str">
        <f aca="false">IF($B364="","",IF(AND(I364="",J364=""),"Not Counted",IF(OR(I364="",J364=""),"Partially Counted",IF(L364=0,"Match",IF(L364&gt;0,"Overage","Shortage")))))</f>
        <v/>
      </c>
      <c r="N364" s="24" t="str">
        <f aca="false">IF($B364="","",IF(AND(N364&lt;&gt;"",N364&lt;&gt;0),N364,$B$4))</f>
        <v/>
      </c>
      <c r="O364" s="21"/>
      <c r="P364" s="21"/>
      <c r="Q364" s="21"/>
    </row>
    <row r="365" customFormat="false" ht="15" hidden="false" customHeight="false" outlineLevel="0" collapsed="false">
      <c r="A365" s="19" t="str">
        <f aca="true">IF($B365="","",IF(AND(A365&lt;&gt;"",A365&lt;&gt;0),A365,TODAY()))</f>
        <v/>
      </c>
      <c r="B365" s="20"/>
      <c r="C365" s="21"/>
      <c r="D365" s="21"/>
      <c r="E365" s="21"/>
      <c r="F365" s="21"/>
      <c r="G365" s="21"/>
      <c r="H365" s="22"/>
      <c r="I365" s="22"/>
      <c r="J365" s="22"/>
      <c r="K365" s="23" t="str">
        <f aca="false">IF($B365="","",IF(AND(I365="",J365=""),"",I365+J365))</f>
        <v/>
      </c>
      <c r="L365" s="23" t="str">
        <f aca="false">IF(OR($B365="",K365=""),"",K365-H365)</f>
        <v/>
      </c>
      <c r="M365" s="24" t="str">
        <f aca="false">IF($B365="","",IF(AND(I365="",J365=""),"Not Counted",IF(OR(I365="",J365=""),"Partially Counted",IF(L365=0,"Match",IF(L365&gt;0,"Overage","Shortage")))))</f>
        <v/>
      </c>
      <c r="N365" s="24" t="str">
        <f aca="false">IF($B365="","",IF(AND(N365&lt;&gt;"",N365&lt;&gt;0),N365,$B$4))</f>
        <v/>
      </c>
      <c r="O365" s="21"/>
      <c r="P365" s="21"/>
      <c r="Q365" s="21"/>
    </row>
    <row r="366" customFormat="false" ht="15" hidden="false" customHeight="false" outlineLevel="0" collapsed="false">
      <c r="A366" s="19" t="str">
        <f aca="true">IF($B366="","",IF(AND(A366&lt;&gt;"",A366&lt;&gt;0),A366,TODAY()))</f>
        <v/>
      </c>
      <c r="B366" s="20"/>
      <c r="C366" s="21"/>
      <c r="D366" s="21"/>
      <c r="E366" s="21"/>
      <c r="F366" s="21"/>
      <c r="G366" s="21"/>
      <c r="H366" s="22"/>
      <c r="I366" s="22"/>
      <c r="J366" s="22"/>
      <c r="K366" s="23" t="str">
        <f aca="false">IF($B366="","",IF(AND(I366="",J366=""),"",I366+J366))</f>
        <v/>
      </c>
      <c r="L366" s="23" t="str">
        <f aca="false">IF(OR($B366="",K366=""),"",K366-H366)</f>
        <v/>
      </c>
      <c r="M366" s="24" t="str">
        <f aca="false">IF($B366="","",IF(AND(I366="",J366=""),"Not Counted",IF(OR(I366="",J366=""),"Partially Counted",IF(L366=0,"Match",IF(L366&gt;0,"Overage","Shortage")))))</f>
        <v/>
      </c>
      <c r="N366" s="24" t="str">
        <f aca="false">IF($B366="","",IF(AND(N366&lt;&gt;"",N366&lt;&gt;0),N366,$B$4))</f>
        <v/>
      </c>
      <c r="O366" s="21"/>
      <c r="P366" s="21"/>
      <c r="Q366" s="21"/>
    </row>
    <row r="367" customFormat="false" ht="15" hidden="false" customHeight="false" outlineLevel="0" collapsed="false">
      <c r="A367" s="19" t="str">
        <f aca="true">IF($B367="","",IF(AND(A367&lt;&gt;"",A367&lt;&gt;0),A367,TODAY()))</f>
        <v/>
      </c>
      <c r="B367" s="20"/>
      <c r="C367" s="21"/>
      <c r="D367" s="21"/>
      <c r="E367" s="21"/>
      <c r="F367" s="21"/>
      <c r="G367" s="21"/>
      <c r="H367" s="22"/>
      <c r="I367" s="22"/>
      <c r="J367" s="22"/>
      <c r="K367" s="23" t="str">
        <f aca="false">IF($B367="","",IF(AND(I367="",J367=""),"",I367+J367))</f>
        <v/>
      </c>
      <c r="L367" s="23" t="str">
        <f aca="false">IF(OR($B367="",K367=""),"",K367-H367)</f>
        <v/>
      </c>
      <c r="M367" s="24" t="str">
        <f aca="false">IF($B367="","",IF(AND(I367="",J367=""),"Not Counted",IF(OR(I367="",J367=""),"Partially Counted",IF(L367=0,"Match",IF(L367&gt;0,"Overage","Shortage")))))</f>
        <v/>
      </c>
      <c r="N367" s="24" t="str">
        <f aca="false">IF($B367="","",IF(AND(N367&lt;&gt;"",N367&lt;&gt;0),N367,$B$4))</f>
        <v/>
      </c>
      <c r="O367" s="21"/>
      <c r="P367" s="21"/>
      <c r="Q367" s="21"/>
    </row>
    <row r="368" customFormat="false" ht="15" hidden="false" customHeight="false" outlineLevel="0" collapsed="false">
      <c r="A368" s="19" t="str">
        <f aca="true">IF($B368="","",IF(AND(A368&lt;&gt;"",A368&lt;&gt;0),A368,TODAY()))</f>
        <v/>
      </c>
      <c r="B368" s="20"/>
      <c r="C368" s="21"/>
      <c r="D368" s="21"/>
      <c r="E368" s="21"/>
      <c r="F368" s="21"/>
      <c r="G368" s="21"/>
      <c r="H368" s="22"/>
      <c r="I368" s="22"/>
      <c r="J368" s="22"/>
      <c r="K368" s="23" t="str">
        <f aca="false">IF($B368="","",IF(AND(I368="",J368=""),"",I368+J368))</f>
        <v/>
      </c>
      <c r="L368" s="23" t="str">
        <f aca="false">IF(OR($B368="",K368=""),"",K368-H368)</f>
        <v/>
      </c>
      <c r="M368" s="24" t="str">
        <f aca="false">IF($B368="","",IF(AND(I368="",J368=""),"Not Counted",IF(OR(I368="",J368=""),"Partially Counted",IF(L368=0,"Match",IF(L368&gt;0,"Overage","Shortage")))))</f>
        <v/>
      </c>
      <c r="N368" s="24" t="str">
        <f aca="false">IF($B368="","",IF(AND(N368&lt;&gt;"",N368&lt;&gt;0),N368,$B$4))</f>
        <v/>
      </c>
      <c r="O368" s="21"/>
      <c r="P368" s="21"/>
      <c r="Q368" s="21"/>
    </row>
    <row r="369" customFormat="false" ht="15" hidden="false" customHeight="false" outlineLevel="0" collapsed="false">
      <c r="A369" s="19" t="str">
        <f aca="true">IF($B369="","",IF(AND(A369&lt;&gt;"",A369&lt;&gt;0),A369,TODAY()))</f>
        <v/>
      </c>
      <c r="B369" s="20"/>
      <c r="C369" s="21"/>
      <c r="D369" s="21"/>
      <c r="E369" s="21"/>
      <c r="F369" s="21"/>
      <c r="G369" s="21"/>
      <c r="H369" s="22"/>
      <c r="I369" s="22"/>
      <c r="J369" s="22"/>
      <c r="K369" s="23" t="str">
        <f aca="false">IF($B369="","",IF(AND(I369="",J369=""),"",I369+J369))</f>
        <v/>
      </c>
      <c r="L369" s="23" t="str">
        <f aca="false">IF(OR($B369="",K369=""),"",K369-H369)</f>
        <v/>
      </c>
      <c r="M369" s="24" t="str">
        <f aca="false">IF($B369="","",IF(AND(I369="",J369=""),"Not Counted",IF(OR(I369="",J369=""),"Partially Counted",IF(L369=0,"Match",IF(L369&gt;0,"Overage","Shortage")))))</f>
        <v/>
      </c>
      <c r="N369" s="24" t="str">
        <f aca="false">IF($B369="","",IF(AND(N369&lt;&gt;"",N369&lt;&gt;0),N369,$B$4))</f>
        <v/>
      </c>
      <c r="O369" s="21"/>
      <c r="P369" s="21"/>
      <c r="Q369" s="21"/>
    </row>
    <row r="370" customFormat="false" ht="15" hidden="false" customHeight="false" outlineLevel="0" collapsed="false">
      <c r="A370" s="19" t="str">
        <f aca="true">IF($B370="","",IF(AND(A370&lt;&gt;"",A370&lt;&gt;0),A370,TODAY()))</f>
        <v/>
      </c>
      <c r="B370" s="20"/>
      <c r="C370" s="21"/>
      <c r="D370" s="21"/>
      <c r="E370" s="21"/>
      <c r="F370" s="21"/>
      <c r="G370" s="21"/>
      <c r="H370" s="22"/>
      <c r="I370" s="22"/>
      <c r="J370" s="22"/>
      <c r="K370" s="23" t="str">
        <f aca="false">IF($B370="","",IF(AND(I370="",J370=""),"",I370+J370))</f>
        <v/>
      </c>
      <c r="L370" s="23" t="str">
        <f aca="false">IF(OR($B370="",K370=""),"",K370-H370)</f>
        <v/>
      </c>
      <c r="M370" s="24" t="str">
        <f aca="false">IF($B370="","",IF(AND(I370="",J370=""),"Not Counted",IF(OR(I370="",J370=""),"Partially Counted",IF(L370=0,"Match",IF(L370&gt;0,"Overage","Shortage")))))</f>
        <v/>
      </c>
      <c r="N370" s="24" t="str">
        <f aca="false">IF($B370="","",IF(AND(N370&lt;&gt;"",N370&lt;&gt;0),N370,$B$4))</f>
        <v/>
      </c>
      <c r="O370" s="21"/>
      <c r="P370" s="21"/>
      <c r="Q370" s="21"/>
    </row>
    <row r="371" customFormat="false" ht="15" hidden="false" customHeight="false" outlineLevel="0" collapsed="false">
      <c r="A371" s="19" t="str">
        <f aca="true">IF($B371="","",IF(AND(A371&lt;&gt;"",A371&lt;&gt;0),A371,TODAY()))</f>
        <v/>
      </c>
      <c r="B371" s="20"/>
      <c r="C371" s="21"/>
      <c r="D371" s="21"/>
      <c r="E371" s="21"/>
      <c r="F371" s="21"/>
      <c r="G371" s="21"/>
      <c r="H371" s="22"/>
      <c r="I371" s="22"/>
      <c r="J371" s="22"/>
      <c r="K371" s="23" t="str">
        <f aca="false">IF($B371="","",IF(AND(I371="",J371=""),"",I371+J371))</f>
        <v/>
      </c>
      <c r="L371" s="23" t="str">
        <f aca="false">IF(OR($B371="",K371=""),"",K371-H371)</f>
        <v/>
      </c>
      <c r="M371" s="24" t="str">
        <f aca="false">IF($B371="","",IF(AND(I371="",J371=""),"Not Counted",IF(OR(I371="",J371=""),"Partially Counted",IF(L371=0,"Match",IF(L371&gt;0,"Overage","Shortage")))))</f>
        <v/>
      </c>
      <c r="N371" s="24" t="str">
        <f aca="false">IF($B371="","",IF(AND(N371&lt;&gt;"",N371&lt;&gt;0),N371,$B$4))</f>
        <v/>
      </c>
      <c r="O371" s="21"/>
      <c r="P371" s="21"/>
      <c r="Q371" s="21"/>
    </row>
    <row r="372" customFormat="false" ht="15" hidden="false" customHeight="false" outlineLevel="0" collapsed="false">
      <c r="A372" s="19" t="str">
        <f aca="true">IF($B372="","",IF(AND(A372&lt;&gt;"",A372&lt;&gt;0),A372,TODAY()))</f>
        <v/>
      </c>
      <c r="B372" s="20"/>
      <c r="C372" s="21"/>
      <c r="D372" s="21"/>
      <c r="E372" s="21"/>
      <c r="F372" s="21"/>
      <c r="G372" s="21"/>
      <c r="H372" s="22"/>
      <c r="I372" s="22"/>
      <c r="J372" s="22"/>
      <c r="K372" s="23" t="str">
        <f aca="false">IF($B372="","",IF(AND(I372="",J372=""),"",I372+J372))</f>
        <v/>
      </c>
      <c r="L372" s="23" t="str">
        <f aca="false">IF(OR($B372="",K372=""),"",K372-H372)</f>
        <v/>
      </c>
      <c r="M372" s="24" t="str">
        <f aca="false">IF($B372="","",IF(AND(I372="",J372=""),"Not Counted",IF(OR(I372="",J372=""),"Partially Counted",IF(L372=0,"Match",IF(L372&gt;0,"Overage","Shortage")))))</f>
        <v/>
      </c>
      <c r="N372" s="24" t="str">
        <f aca="false">IF($B372="","",IF(AND(N372&lt;&gt;"",N372&lt;&gt;0),N372,$B$4))</f>
        <v/>
      </c>
      <c r="O372" s="21"/>
      <c r="P372" s="21"/>
      <c r="Q372" s="21"/>
    </row>
    <row r="373" customFormat="false" ht="15" hidden="false" customHeight="false" outlineLevel="0" collapsed="false">
      <c r="A373" s="19" t="str">
        <f aca="true">IF($B373="","",IF(AND(A373&lt;&gt;"",A373&lt;&gt;0),A373,TODAY()))</f>
        <v/>
      </c>
      <c r="B373" s="20"/>
      <c r="C373" s="21"/>
      <c r="D373" s="21"/>
      <c r="E373" s="21"/>
      <c r="F373" s="21"/>
      <c r="G373" s="21"/>
      <c r="H373" s="22"/>
      <c r="I373" s="22"/>
      <c r="J373" s="22"/>
      <c r="K373" s="23" t="str">
        <f aca="false">IF($B373="","",IF(AND(I373="",J373=""),"",I373+J373))</f>
        <v/>
      </c>
      <c r="L373" s="23" t="str">
        <f aca="false">IF(OR($B373="",K373=""),"",K373-H373)</f>
        <v/>
      </c>
      <c r="M373" s="24" t="str">
        <f aca="false">IF($B373="","",IF(AND(I373="",J373=""),"Not Counted",IF(OR(I373="",J373=""),"Partially Counted",IF(L373=0,"Match",IF(L373&gt;0,"Overage","Shortage")))))</f>
        <v/>
      </c>
      <c r="N373" s="24" t="str">
        <f aca="false">IF($B373="","",IF(AND(N373&lt;&gt;"",N373&lt;&gt;0),N373,$B$4))</f>
        <v/>
      </c>
      <c r="O373" s="21"/>
      <c r="P373" s="21"/>
      <c r="Q373" s="21"/>
    </row>
    <row r="374" customFormat="false" ht="15" hidden="false" customHeight="false" outlineLevel="0" collapsed="false">
      <c r="A374" s="19" t="str">
        <f aca="true">IF($B374="","",IF(AND(A374&lt;&gt;"",A374&lt;&gt;0),A374,TODAY()))</f>
        <v/>
      </c>
      <c r="B374" s="20"/>
      <c r="C374" s="21"/>
      <c r="D374" s="21"/>
      <c r="E374" s="21"/>
      <c r="F374" s="21"/>
      <c r="G374" s="21"/>
      <c r="H374" s="22"/>
      <c r="I374" s="22"/>
      <c r="J374" s="22"/>
      <c r="K374" s="23" t="str">
        <f aca="false">IF($B374="","",IF(AND(I374="",J374=""),"",I374+J374))</f>
        <v/>
      </c>
      <c r="L374" s="23" t="str">
        <f aca="false">IF(OR($B374="",K374=""),"",K374-H374)</f>
        <v/>
      </c>
      <c r="M374" s="24" t="str">
        <f aca="false">IF($B374="","",IF(AND(I374="",J374=""),"Not Counted",IF(OR(I374="",J374=""),"Partially Counted",IF(L374=0,"Match",IF(L374&gt;0,"Overage","Shortage")))))</f>
        <v/>
      </c>
      <c r="N374" s="24" t="str">
        <f aca="false">IF($B374="","",IF(AND(N374&lt;&gt;"",N374&lt;&gt;0),N374,$B$4))</f>
        <v/>
      </c>
      <c r="O374" s="21"/>
      <c r="P374" s="21"/>
      <c r="Q374" s="21"/>
    </row>
    <row r="375" customFormat="false" ht="15" hidden="false" customHeight="false" outlineLevel="0" collapsed="false">
      <c r="A375" s="19" t="str">
        <f aca="true">IF($B375="","",IF(AND(A375&lt;&gt;"",A375&lt;&gt;0),A375,TODAY()))</f>
        <v/>
      </c>
      <c r="B375" s="20"/>
      <c r="C375" s="21"/>
      <c r="D375" s="21"/>
      <c r="E375" s="21"/>
      <c r="F375" s="21"/>
      <c r="G375" s="21"/>
      <c r="H375" s="22"/>
      <c r="I375" s="22"/>
      <c r="J375" s="22"/>
      <c r="K375" s="23" t="str">
        <f aca="false">IF($B375="","",IF(AND(I375="",J375=""),"",I375+J375))</f>
        <v/>
      </c>
      <c r="L375" s="23" t="str">
        <f aca="false">IF(OR($B375="",K375=""),"",K375-H375)</f>
        <v/>
      </c>
      <c r="M375" s="24" t="str">
        <f aca="false">IF($B375="","",IF(AND(I375="",J375=""),"Not Counted",IF(OR(I375="",J375=""),"Partially Counted",IF(L375=0,"Match",IF(L375&gt;0,"Overage","Shortage")))))</f>
        <v/>
      </c>
      <c r="N375" s="24" t="str">
        <f aca="false">IF($B375="","",IF(AND(N375&lt;&gt;"",N375&lt;&gt;0),N375,$B$4))</f>
        <v/>
      </c>
      <c r="O375" s="21"/>
      <c r="P375" s="21"/>
      <c r="Q375" s="21"/>
    </row>
    <row r="376" customFormat="false" ht="15" hidden="false" customHeight="false" outlineLevel="0" collapsed="false">
      <c r="A376" s="19" t="str">
        <f aca="true">IF($B376="","",IF(AND(A376&lt;&gt;"",A376&lt;&gt;0),A376,TODAY()))</f>
        <v/>
      </c>
      <c r="B376" s="20"/>
      <c r="C376" s="21"/>
      <c r="D376" s="21"/>
      <c r="E376" s="21"/>
      <c r="F376" s="21"/>
      <c r="G376" s="21"/>
      <c r="H376" s="22"/>
      <c r="I376" s="22"/>
      <c r="J376" s="22"/>
      <c r="K376" s="23" t="str">
        <f aca="false">IF($B376="","",IF(AND(I376="",J376=""),"",I376+J376))</f>
        <v/>
      </c>
      <c r="L376" s="23" t="str">
        <f aca="false">IF(OR($B376="",K376=""),"",K376-H376)</f>
        <v/>
      </c>
      <c r="M376" s="24" t="str">
        <f aca="false">IF($B376="","",IF(AND(I376="",J376=""),"Not Counted",IF(OR(I376="",J376=""),"Partially Counted",IF(L376=0,"Match",IF(L376&gt;0,"Overage","Shortage")))))</f>
        <v/>
      </c>
      <c r="N376" s="24" t="str">
        <f aca="false">IF($B376="","",IF(AND(N376&lt;&gt;"",N376&lt;&gt;0),N376,$B$4))</f>
        <v/>
      </c>
      <c r="O376" s="21"/>
      <c r="P376" s="21"/>
      <c r="Q376" s="21"/>
    </row>
    <row r="377" customFormat="false" ht="15" hidden="false" customHeight="false" outlineLevel="0" collapsed="false">
      <c r="A377" s="19" t="str">
        <f aca="true">IF($B377="","",IF(AND(A377&lt;&gt;"",A377&lt;&gt;0),A377,TODAY()))</f>
        <v/>
      </c>
      <c r="B377" s="20"/>
      <c r="C377" s="21"/>
      <c r="D377" s="21"/>
      <c r="E377" s="21"/>
      <c r="F377" s="21"/>
      <c r="G377" s="21"/>
      <c r="H377" s="22"/>
      <c r="I377" s="22"/>
      <c r="J377" s="22"/>
      <c r="K377" s="23" t="str">
        <f aca="false">IF($B377="","",IF(AND(I377="",J377=""),"",I377+J377))</f>
        <v/>
      </c>
      <c r="L377" s="23" t="str">
        <f aca="false">IF(OR($B377="",K377=""),"",K377-H377)</f>
        <v/>
      </c>
      <c r="M377" s="24" t="str">
        <f aca="false">IF($B377="","",IF(AND(I377="",J377=""),"Not Counted",IF(OR(I377="",J377=""),"Partially Counted",IF(L377=0,"Match",IF(L377&gt;0,"Overage","Shortage")))))</f>
        <v/>
      </c>
      <c r="N377" s="24" t="str">
        <f aca="false">IF($B377="","",IF(AND(N377&lt;&gt;"",N377&lt;&gt;0),N377,$B$4))</f>
        <v/>
      </c>
      <c r="O377" s="21"/>
      <c r="P377" s="21"/>
      <c r="Q377" s="21"/>
    </row>
    <row r="378" customFormat="false" ht="15" hidden="false" customHeight="false" outlineLevel="0" collapsed="false">
      <c r="A378" s="19" t="str">
        <f aca="true">IF($B378="","",IF(AND(A378&lt;&gt;"",A378&lt;&gt;0),A378,TODAY()))</f>
        <v/>
      </c>
      <c r="B378" s="20"/>
      <c r="C378" s="21"/>
      <c r="D378" s="21"/>
      <c r="E378" s="21"/>
      <c r="F378" s="21"/>
      <c r="G378" s="21"/>
      <c r="H378" s="22"/>
      <c r="I378" s="22"/>
      <c r="J378" s="22"/>
      <c r="K378" s="23" t="str">
        <f aca="false">IF($B378="","",IF(AND(I378="",J378=""),"",I378+J378))</f>
        <v/>
      </c>
      <c r="L378" s="23" t="str">
        <f aca="false">IF(OR($B378="",K378=""),"",K378-H378)</f>
        <v/>
      </c>
      <c r="M378" s="24" t="str">
        <f aca="false">IF($B378="","",IF(AND(I378="",J378=""),"Not Counted",IF(OR(I378="",J378=""),"Partially Counted",IF(L378=0,"Match",IF(L378&gt;0,"Overage","Shortage")))))</f>
        <v/>
      </c>
      <c r="N378" s="24" t="str">
        <f aca="false">IF($B378="","",IF(AND(N378&lt;&gt;"",N378&lt;&gt;0),N378,$B$4))</f>
        <v/>
      </c>
      <c r="O378" s="21"/>
      <c r="P378" s="21"/>
      <c r="Q378" s="21"/>
    </row>
    <row r="379" customFormat="false" ht="15" hidden="false" customHeight="false" outlineLevel="0" collapsed="false">
      <c r="A379" s="19" t="str">
        <f aca="true">IF($B379="","",IF(AND(A379&lt;&gt;"",A379&lt;&gt;0),A379,TODAY()))</f>
        <v/>
      </c>
      <c r="B379" s="20"/>
      <c r="C379" s="21"/>
      <c r="D379" s="21"/>
      <c r="E379" s="21"/>
      <c r="F379" s="21"/>
      <c r="G379" s="21"/>
      <c r="H379" s="22"/>
      <c r="I379" s="22"/>
      <c r="J379" s="22"/>
      <c r="K379" s="23" t="str">
        <f aca="false">IF($B379="","",IF(AND(I379="",J379=""),"",I379+J379))</f>
        <v/>
      </c>
      <c r="L379" s="23" t="str">
        <f aca="false">IF(OR($B379="",K379=""),"",K379-H379)</f>
        <v/>
      </c>
      <c r="M379" s="24" t="str">
        <f aca="false">IF($B379="","",IF(AND(I379="",J379=""),"Not Counted",IF(OR(I379="",J379=""),"Partially Counted",IF(L379=0,"Match",IF(L379&gt;0,"Overage","Shortage")))))</f>
        <v/>
      </c>
      <c r="N379" s="24" t="str">
        <f aca="false">IF($B379="","",IF(AND(N379&lt;&gt;"",N379&lt;&gt;0),N379,$B$4))</f>
        <v/>
      </c>
      <c r="O379" s="21"/>
      <c r="P379" s="21"/>
      <c r="Q379" s="21"/>
    </row>
    <row r="380" customFormat="false" ht="15" hidden="false" customHeight="false" outlineLevel="0" collapsed="false">
      <c r="A380" s="19" t="str">
        <f aca="true">IF($B380="","",IF(AND(A380&lt;&gt;"",A380&lt;&gt;0),A380,TODAY()))</f>
        <v/>
      </c>
      <c r="B380" s="20"/>
      <c r="C380" s="21"/>
      <c r="D380" s="21"/>
      <c r="E380" s="21"/>
      <c r="F380" s="21"/>
      <c r="G380" s="21"/>
      <c r="H380" s="22"/>
      <c r="I380" s="22"/>
      <c r="J380" s="22"/>
      <c r="K380" s="23" t="str">
        <f aca="false">IF($B380="","",IF(AND(I380="",J380=""),"",I380+J380))</f>
        <v/>
      </c>
      <c r="L380" s="23" t="str">
        <f aca="false">IF(OR($B380="",K380=""),"",K380-H380)</f>
        <v/>
      </c>
      <c r="M380" s="24" t="str">
        <f aca="false">IF($B380="","",IF(AND(I380="",J380=""),"Not Counted",IF(OR(I380="",J380=""),"Partially Counted",IF(L380=0,"Match",IF(L380&gt;0,"Overage","Shortage")))))</f>
        <v/>
      </c>
      <c r="N380" s="24" t="str">
        <f aca="false">IF($B380="","",IF(AND(N380&lt;&gt;"",N380&lt;&gt;0),N380,$B$4))</f>
        <v/>
      </c>
      <c r="O380" s="21"/>
      <c r="P380" s="21"/>
      <c r="Q380" s="21"/>
    </row>
    <row r="381" customFormat="false" ht="15" hidden="false" customHeight="false" outlineLevel="0" collapsed="false">
      <c r="A381" s="19" t="str">
        <f aca="true">IF($B381="","",IF(AND(A381&lt;&gt;"",A381&lt;&gt;0),A381,TODAY()))</f>
        <v/>
      </c>
      <c r="B381" s="20"/>
      <c r="C381" s="21"/>
      <c r="D381" s="21"/>
      <c r="E381" s="21"/>
      <c r="F381" s="21"/>
      <c r="G381" s="21"/>
      <c r="H381" s="22"/>
      <c r="I381" s="22"/>
      <c r="J381" s="22"/>
      <c r="K381" s="23" t="str">
        <f aca="false">IF($B381="","",IF(AND(I381="",J381=""),"",I381+J381))</f>
        <v/>
      </c>
      <c r="L381" s="23" t="str">
        <f aca="false">IF(OR($B381="",K381=""),"",K381-H381)</f>
        <v/>
      </c>
      <c r="M381" s="24" t="str">
        <f aca="false">IF($B381="","",IF(AND(I381="",J381=""),"Not Counted",IF(OR(I381="",J381=""),"Partially Counted",IF(L381=0,"Match",IF(L381&gt;0,"Overage","Shortage")))))</f>
        <v/>
      </c>
      <c r="N381" s="24" t="str">
        <f aca="false">IF($B381="","",IF(AND(N381&lt;&gt;"",N381&lt;&gt;0),N381,$B$4))</f>
        <v/>
      </c>
      <c r="O381" s="21"/>
      <c r="P381" s="21"/>
      <c r="Q381" s="21"/>
    </row>
    <row r="382" customFormat="false" ht="15" hidden="false" customHeight="false" outlineLevel="0" collapsed="false">
      <c r="A382" s="19" t="str">
        <f aca="true">IF($B382="","",IF(AND(A382&lt;&gt;"",A382&lt;&gt;0),A382,TODAY()))</f>
        <v/>
      </c>
      <c r="B382" s="20"/>
      <c r="C382" s="21"/>
      <c r="D382" s="21"/>
      <c r="E382" s="21"/>
      <c r="F382" s="21"/>
      <c r="G382" s="21"/>
      <c r="H382" s="22"/>
      <c r="I382" s="22"/>
      <c r="J382" s="22"/>
      <c r="K382" s="23" t="str">
        <f aca="false">IF($B382="","",IF(AND(I382="",J382=""),"",I382+J382))</f>
        <v/>
      </c>
      <c r="L382" s="23" t="str">
        <f aca="false">IF(OR($B382="",K382=""),"",K382-H382)</f>
        <v/>
      </c>
      <c r="M382" s="24" t="str">
        <f aca="false">IF($B382="","",IF(AND(I382="",J382=""),"Not Counted",IF(OR(I382="",J382=""),"Partially Counted",IF(L382=0,"Match",IF(L382&gt;0,"Overage","Shortage")))))</f>
        <v/>
      </c>
      <c r="N382" s="24" t="str">
        <f aca="false">IF($B382="","",IF(AND(N382&lt;&gt;"",N382&lt;&gt;0),N382,$B$4))</f>
        <v/>
      </c>
      <c r="O382" s="21"/>
      <c r="P382" s="21"/>
      <c r="Q382" s="21"/>
    </row>
    <row r="383" customFormat="false" ht="15" hidden="false" customHeight="false" outlineLevel="0" collapsed="false">
      <c r="A383" s="19" t="str">
        <f aca="true">IF($B383="","",IF(AND(A383&lt;&gt;"",A383&lt;&gt;0),A383,TODAY()))</f>
        <v/>
      </c>
      <c r="B383" s="20"/>
      <c r="C383" s="21"/>
      <c r="D383" s="21"/>
      <c r="E383" s="21"/>
      <c r="F383" s="21"/>
      <c r="G383" s="21"/>
      <c r="H383" s="22"/>
      <c r="I383" s="22"/>
      <c r="J383" s="22"/>
      <c r="K383" s="23" t="str">
        <f aca="false">IF($B383="","",IF(AND(I383="",J383=""),"",I383+J383))</f>
        <v/>
      </c>
      <c r="L383" s="23" t="str">
        <f aca="false">IF(OR($B383="",K383=""),"",K383-H383)</f>
        <v/>
      </c>
      <c r="M383" s="24" t="str">
        <f aca="false">IF($B383="","",IF(AND(I383="",J383=""),"Not Counted",IF(OR(I383="",J383=""),"Partially Counted",IF(L383=0,"Match",IF(L383&gt;0,"Overage","Shortage")))))</f>
        <v/>
      </c>
      <c r="N383" s="24" t="str">
        <f aca="false">IF($B383="","",IF(AND(N383&lt;&gt;"",N383&lt;&gt;0),N383,$B$4))</f>
        <v/>
      </c>
      <c r="O383" s="21"/>
      <c r="P383" s="21"/>
      <c r="Q383" s="21"/>
    </row>
    <row r="384" customFormat="false" ht="15" hidden="false" customHeight="false" outlineLevel="0" collapsed="false">
      <c r="A384" s="19" t="str">
        <f aca="true">IF($B384="","",IF(AND(A384&lt;&gt;"",A384&lt;&gt;0),A384,TODAY()))</f>
        <v/>
      </c>
      <c r="B384" s="20"/>
      <c r="C384" s="21"/>
      <c r="D384" s="21"/>
      <c r="E384" s="21"/>
      <c r="F384" s="21"/>
      <c r="G384" s="21"/>
      <c r="H384" s="22"/>
      <c r="I384" s="22"/>
      <c r="J384" s="22"/>
      <c r="K384" s="23" t="str">
        <f aca="false">IF($B384="","",IF(AND(I384="",J384=""),"",I384+J384))</f>
        <v/>
      </c>
      <c r="L384" s="23" t="str">
        <f aca="false">IF(OR($B384="",K384=""),"",K384-H384)</f>
        <v/>
      </c>
      <c r="M384" s="24" t="str">
        <f aca="false">IF($B384="","",IF(AND(I384="",J384=""),"Not Counted",IF(OR(I384="",J384=""),"Partially Counted",IF(L384=0,"Match",IF(L384&gt;0,"Overage","Shortage")))))</f>
        <v/>
      </c>
      <c r="N384" s="24" t="str">
        <f aca="false">IF($B384="","",IF(AND(N384&lt;&gt;"",N384&lt;&gt;0),N384,$B$4))</f>
        <v/>
      </c>
      <c r="O384" s="21"/>
      <c r="P384" s="21"/>
      <c r="Q384" s="21"/>
    </row>
    <row r="385" customFormat="false" ht="15" hidden="false" customHeight="false" outlineLevel="0" collapsed="false">
      <c r="A385" s="19" t="str">
        <f aca="true">IF($B385="","",IF(AND(A385&lt;&gt;"",A385&lt;&gt;0),A385,TODAY()))</f>
        <v/>
      </c>
      <c r="B385" s="20"/>
      <c r="C385" s="21"/>
      <c r="D385" s="21"/>
      <c r="E385" s="21"/>
      <c r="F385" s="21"/>
      <c r="G385" s="21"/>
      <c r="H385" s="22"/>
      <c r="I385" s="22"/>
      <c r="J385" s="22"/>
      <c r="K385" s="23" t="str">
        <f aca="false">IF($B385="","",IF(AND(I385="",J385=""),"",I385+J385))</f>
        <v/>
      </c>
      <c r="L385" s="23" t="str">
        <f aca="false">IF(OR($B385="",K385=""),"",K385-H385)</f>
        <v/>
      </c>
      <c r="M385" s="24" t="str">
        <f aca="false">IF($B385="","",IF(AND(I385="",J385=""),"Not Counted",IF(OR(I385="",J385=""),"Partially Counted",IF(L385=0,"Match",IF(L385&gt;0,"Overage","Shortage")))))</f>
        <v/>
      </c>
      <c r="N385" s="24" t="str">
        <f aca="false">IF($B385="","",IF(AND(N385&lt;&gt;"",N385&lt;&gt;0),N385,$B$4))</f>
        <v/>
      </c>
      <c r="O385" s="21"/>
      <c r="P385" s="21"/>
      <c r="Q385" s="21"/>
    </row>
    <row r="386" customFormat="false" ht="15" hidden="false" customHeight="false" outlineLevel="0" collapsed="false">
      <c r="A386" s="19" t="str">
        <f aca="true">IF($B386="","",IF(AND(A386&lt;&gt;"",A386&lt;&gt;0),A386,TODAY()))</f>
        <v/>
      </c>
      <c r="B386" s="20"/>
      <c r="C386" s="21"/>
      <c r="D386" s="21"/>
      <c r="E386" s="21"/>
      <c r="F386" s="21"/>
      <c r="G386" s="21"/>
      <c r="H386" s="22"/>
      <c r="I386" s="22"/>
      <c r="J386" s="22"/>
      <c r="K386" s="23" t="str">
        <f aca="false">IF($B386="","",IF(AND(I386="",J386=""),"",I386+J386))</f>
        <v/>
      </c>
      <c r="L386" s="23" t="str">
        <f aca="false">IF(OR($B386="",K386=""),"",K386-H386)</f>
        <v/>
      </c>
      <c r="M386" s="24" t="str">
        <f aca="false">IF($B386="","",IF(AND(I386="",J386=""),"Not Counted",IF(OR(I386="",J386=""),"Partially Counted",IF(L386=0,"Match",IF(L386&gt;0,"Overage","Shortage")))))</f>
        <v/>
      </c>
      <c r="N386" s="24" t="str">
        <f aca="false">IF($B386="","",IF(AND(N386&lt;&gt;"",N386&lt;&gt;0),N386,$B$4))</f>
        <v/>
      </c>
      <c r="O386" s="21"/>
      <c r="P386" s="21"/>
      <c r="Q386" s="21"/>
    </row>
    <row r="387" customFormat="false" ht="15" hidden="false" customHeight="false" outlineLevel="0" collapsed="false">
      <c r="A387" s="19" t="str">
        <f aca="true">IF($B387="","",IF(AND(A387&lt;&gt;"",A387&lt;&gt;0),A387,TODAY()))</f>
        <v/>
      </c>
      <c r="B387" s="20"/>
      <c r="C387" s="21"/>
      <c r="D387" s="21"/>
      <c r="E387" s="21"/>
      <c r="F387" s="21"/>
      <c r="G387" s="21"/>
      <c r="H387" s="22"/>
      <c r="I387" s="22"/>
      <c r="J387" s="22"/>
      <c r="K387" s="23" t="str">
        <f aca="false">IF($B387="","",IF(AND(I387="",J387=""),"",I387+J387))</f>
        <v/>
      </c>
      <c r="L387" s="23" t="str">
        <f aca="false">IF(OR($B387="",K387=""),"",K387-H387)</f>
        <v/>
      </c>
      <c r="M387" s="24" t="str">
        <f aca="false">IF($B387="","",IF(AND(I387="",J387=""),"Not Counted",IF(OR(I387="",J387=""),"Partially Counted",IF(L387=0,"Match",IF(L387&gt;0,"Overage","Shortage")))))</f>
        <v/>
      </c>
      <c r="N387" s="24" t="str">
        <f aca="false">IF($B387="","",IF(AND(N387&lt;&gt;"",N387&lt;&gt;0),N387,$B$4))</f>
        <v/>
      </c>
      <c r="O387" s="21"/>
      <c r="P387" s="21"/>
      <c r="Q387" s="21"/>
    </row>
    <row r="388" customFormat="false" ht="15" hidden="false" customHeight="false" outlineLevel="0" collapsed="false">
      <c r="A388" s="19" t="str">
        <f aca="true">IF($B388="","",IF(AND(A388&lt;&gt;"",A388&lt;&gt;0),A388,TODAY()))</f>
        <v/>
      </c>
      <c r="B388" s="20"/>
      <c r="C388" s="21"/>
      <c r="D388" s="21"/>
      <c r="E388" s="21"/>
      <c r="F388" s="21"/>
      <c r="G388" s="21"/>
      <c r="H388" s="22"/>
      <c r="I388" s="22"/>
      <c r="J388" s="22"/>
      <c r="K388" s="23" t="str">
        <f aca="false">IF($B388="","",IF(AND(I388="",J388=""),"",I388+J388))</f>
        <v/>
      </c>
      <c r="L388" s="23" t="str">
        <f aca="false">IF(OR($B388="",K388=""),"",K388-H388)</f>
        <v/>
      </c>
      <c r="M388" s="24" t="str">
        <f aca="false">IF($B388="","",IF(AND(I388="",J388=""),"Not Counted",IF(OR(I388="",J388=""),"Partially Counted",IF(L388=0,"Match",IF(L388&gt;0,"Overage","Shortage")))))</f>
        <v/>
      </c>
      <c r="N388" s="24" t="str">
        <f aca="false">IF($B388="","",IF(AND(N388&lt;&gt;"",N388&lt;&gt;0),N388,$B$4))</f>
        <v/>
      </c>
      <c r="O388" s="21"/>
      <c r="P388" s="21"/>
      <c r="Q388" s="21"/>
    </row>
    <row r="389" customFormat="false" ht="15" hidden="false" customHeight="false" outlineLevel="0" collapsed="false">
      <c r="A389" s="19" t="str">
        <f aca="true">IF($B389="","",IF(AND(A389&lt;&gt;"",A389&lt;&gt;0),A389,TODAY()))</f>
        <v/>
      </c>
      <c r="B389" s="20"/>
      <c r="C389" s="21"/>
      <c r="D389" s="21"/>
      <c r="E389" s="21"/>
      <c r="F389" s="21"/>
      <c r="G389" s="21"/>
      <c r="H389" s="22"/>
      <c r="I389" s="22"/>
      <c r="J389" s="22"/>
      <c r="K389" s="23" t="str">
        <f aca="false">IF($B389="","",IF(AND(I389="",J389=""),"",I389+J389))</f>
        <v/>
      </c>
      <c r="L389" s="23" t="str">
        <f aca="false">IF(OR($B389="",K389=""),"",K389-H389)</f>
        <v/>
      </c>
      <c r="M389" s="24" t="str">
        <f aca="false">IF($B389="","",IF(AND(I389="",J389=""),"Not Counted",IF(OR(I389="",J389=""),"Partially Counted",IF(L389=0,"Match",IF(L389&gt;0,"Overage","Shortage")))))</f>
        <v/>
      </c>
      <c r="N389" s="24" t="str">
        <f aca="false">IF($B389="","",IF(AND(N389&lt;&gt;"",N389&lt;&gt;0),N389,$B$4))</f>
        <v/>
      </c>
      <c r="O389" s="21"/>
      <c r="P389" s="21"/>
      <c r="Q389" s="21"/>
    </row>
    <row r="390" customFormat="false" ht="15" hidden="false" customHeight="false" outlineLevel="0" collapsed="false">
      <c r="A390" s="19" t="str">
        <f aca="true">IF($B390="","",IF(AND(A390&lt;&gt;"",A390&lt;&gt;0),A390,TODAY()))</f>
        <v/>
      </c>
      <c r="B390" s="20"/>
      <c r="C390" s="21"/>
      <c r="D390" s="21"/>
      <c r="E390" s="21"/>
      <c r="F390" s="21"/>
      <c r="G390" s="21"/>
      <c r="H390" s="22"/>
      <c r="I390" s="22"/>
      <c r="J390" s="22"/>
      <c r="K390" s="23" t="str">
        <f aca="false">IF($B390="","",IF(AND(I390="",J390=""),"",I390+J390))</f>
        <v/>
      </c>
      <c r="L390" s="23" t="str">
        <f aca="false">IF(OR($B390="",K390=""),"",K390-H390)</f>
        <v/>
      </c>
      <c r="M390" s="24" t="str">
        <f aca="false">IF($B390="","",IF(AND(I390="",J390=""),"Not Counted",IF(OR(I390="",J390=""),"Partially Counted",IF(L390=0,"Match",IF(L390&gt;0,"Overage","Shortage")))))</f>
        <v/>
      </c>
      <c r="N390" s="24" t="str">
        <f aca="false">IF($B390="","",IF(AND(N390&lt;&gt;"",N390&lt;&gt;0),N390,$B$4))</f>
        <v/>
      </c>
      <c r="O390" s="21"/>
      <c r="P390" s="21"/>
      <c r="Q390" s="21"/>
    </row>
    <row r="391" customFormat="false" ht="15" hidden="false" customHeight="false" outlineLevel="0" collapsed="false">
      <c r="A391" s="19" t="str">
        <f aca="true">IF($B391="","",IF(AND(A391&lt;&gt;"",A391&lt;&gt;0),A391,TODAY()))</f>
        <v/>
      </c>
      <c r="B391" s="20"/>
      <c r="C391" s="21"/>
      <c r="D391" s="21"/>
      <c r="E391" s="21"/>
      <c r="F391" s="21"/>
      <c r="G391" s="21"/>
      <c r="H391" s="22"/>
      <c r="I391" s="22"/>
      <c r="J391" s="22"/>
      <c r="K391" s="23" t="str">
        <f aca="false">IF($B391="","",IF(AND(I391="",J391=""),"",I391+J391))</f>
        <v/>
      </c>
      <c r="L391" s="23" t="str">
        <f aca="false">IF(OR($B391="",K391=""),"",K391-H391)</f>
        <v/>
      </c>
      <c r="M391" s="24" t="str">
        <f aca="false">IF($B391="","",IF(AND(I391="",J391=""),"Not Counted",IF(OR(I391="",J391=""),"Partially Counted",IF(L391=0,"Match",IF(L391&gt;0,"Overage","Shortage")))))</f>
        <v/>
      </c>
      <c r="N391" s="24" t="str">
        <f aca="false">IF($B391="","",IF(AND(N391&lt;&gt;"",N391&lt;&gt;0),N391,$B$4))</f>
        <v/>
      </c>
      <c r="O391" s="21"/>
      <c r="P391" s="21"/>
      <c r="Q391" s="21"/>
    </row>
    <row r="392" customFormat="false" ht="15" hidden="false" customHeight="false" outlineLevel="0" collapsed="false">
      <c r="A392" s="19" t="str">
        <f aca="true">IF($B392="","",IF(AND(A392&lt;&gt;"",A392&lt;&gt;0),A392,TODAY()))</f>
        <v/>
      </c>
      <c r="B392" s="20"/>
      <c r="C392" s="21"/>
      <c r="D392" s="21"/>
      <c r="E392" s="21"/>
      <c r="F392" s="21"/>
      <c r="G392" s="21"/>
      <c r="H392" s="22"/>
      <c r="I392" s="22"/>
      <c r="J392" s="22"/>
      <c r="K392" s="23" t="str">
        <f aca="false">IF($B392="","",IF(AND(I392="",J392=""),"",I392+J392))</f>
        <v/>
      </c>
      <c r="L392" s="23" t="str">
        <f aca="false">IF(OR($B392="",K392=""),"",K392-H392)</f>
        <v/>
      </c>
      <c r="M392" s="24" t="str">
        <f aca="false">IF($B392="","",IF(AND(I392="",J392=""),"Not Counted",IF(OR(I392="",J392=""),"Partially Counted",IF(L392=0,"Match",IF(L392&gt;0,"Overage","Shortage")))))</f>
        <v/>
      </c>
      <c r="N392" s="24" t="str">
        <f aca="false">IF($B392="","",IF(AND(N392&lt;&gt;"",N392&lt;&gt;0),N392,$B$4))</f>
        <v/>
      </c>
      <c r="O392" s="21"/>
      <c r="P392" s="21"/>
      <c r="Q392" s="21"/>
    </row>
    <row r="393" customFormat="false" ht="15" hidden="false" customHeight="false" outlineLevel="0" collapsed="false">
      <c r="A393" s="19" t="str">
        <f aca="true">IF($B393="","",IF(AND(A393&lt;&gt;"",A393&lt;&gt;0),A393,TODAY()))</f>
        <v/>
      </c>
      <c r="B393" s="20"/>
      <c r="C393" s="21"/>
      <c r="D393" s="21"/>
      <c r="E393" s="21"/>
      <c r="F393" s="21"/>
      <c r="G393" s="21"/>
      <c r="H393" s="22"/>
      <c r="I393" s="22"/>
      <c r="J393" s="22"/>
      <c r="K393" s="23" t="str">
        <f aca="false">IF($B393="","",IF(AND(I393="",J393=""),"",I393+J393))</f>
        <v/>
      </c>
      <c r="L393" s="23" t="str">
        <f aca="false">IF(OR($B393="",K393=""),"",K393-H393)</f>
        <v/>
      </c>
      <c r="M393" s="24" t="str">
        <f aca="false">IF($B393="","",IF(AND(I393="",J393=""),"Not Counted",IF(OR(I393="",J393=""),"Partially Counted",IF(L393=0,"Match",IF(L393&gt;0,"Overage","Shortage")))))</f>
        <v/>
      </c>
      <c r="N393" s="24" t="str">
        <f aca="false">IF($B393="","",IF(AND(N393&lt;&gt;"",N393&lt;&gt;0),N393,$B$4))</f>
        <v/>
      </c>
      <c r="O393" s="21"/>
      <c r="P393" s="21"/>
      <c r="Q393" s="21"/>
    </row>
    <row r="394" customFormat="false" ht="15" hidden="false" customHeight="false" outlineLevel="0" collapsed="false">
      <c r="A394" s="19" t="str">
        <f aca="true">IF($B394="","",IF(AND(A394&lt;&gt;"",A394&lt;&gt;0),A394,TODAY()))</f>
        <v/>
      </c>
      <c r="B394" s="20"/>
      <c r="C394" s="21"/>
      <c r="D394" s="21"/>
      <c r="E394" s="21"/>
      <c r="F394" s="21"/>
      <c r="G394" s="21"/>
      <c r="H394" s="22"/>
      <c r="I394" s="22"/>
      <c r="J394" s="22"/>
      <c r="K394" s="23" t="str">
        <f aca="false">IF($B394="","",IF(AND(I394="",J394=""),"",I394+J394))</f>
        <v/>
      </c>
      <c r="L394" s="23" t="str">
        <f aca="false">IF(OR($B394="",K394=""),"",K394-H394)</f>
        <v/>
      </c>
      <c r="M394" s="24" t="str">
        <f aca="false">IF($B394="","",IF(AND(I394="",J394=""),"Not Counted",IF(OR(I394="",J394=""),"Partially Counted",IF(L394=0,"Match",IF(L394&gt;0,"Overage","Shortage")))))</f>
        <v/>
      </c>
      <c r="N394" s="24" t="str">
        <f aca="false">IF($B394="","",IF(AND(N394&lt;&gt;"",N394&lt;&gt;0),N394,$B$4))</f>
        <v/>
      </c>
      <c r="O394" s="21"/>
      <c r="P394" s="21"/>
      <c r="Q394" s="21"/>
    </row>
    <row r="395" customFormat="false" ht="15" hidden="false" customHeight="false" outlineLevel="0" collapsed="false">
      <c r="A395" s="19" t="str">
        <f aca="true">IF($B395="","",IF(AND(A395&lt;&gt;"",A395&lt;&gt;0),A395,TODAY()))</f>
        <v/>
      </c>
      <c r="B395" s="20"/>
      <c r="C395" s="21"/>
      <c r="D395" s="21"/>
      <c r="E395" s="21"/>
      <c r="F395" s="21"/>
      <c r="G395" s="21"/>
      <c r="H395" s="22"/>
      <c r="I395" s="22"/>
      <c r="J395" s="22"/>
      <c r="K395" s="23" t="str">
        <f aca="false">IF($B395="","",IF(AND(I395="",J395=""),"",I395+J395))</f>
        <v/>
      </c>
      <c r="L395" s="23" t="str">
        <f aca="false">IF(OR($B395="",K395=""),"",K395-H395)</f>
        <v/>
      </c>
      <c r="M395" s="24" t="str">
        <f aca="false">IF($B395="","",IF(AND(I395="",J395=""),"Not Counted",IF(OR(I395="",J395=""),"Partially Counted",IF(L395=0,"Match",IF(L395&gt;0,"Overage","Shortage")))))</f>
        <v/>
      </c>
      <c r="N395" s="24" t="str">
        <f aca="false">IF($B395="","",IF(AND(N395&lt;&gt;"",N395&lt;&gt;0),N395,$B$4))</f>
        <v/>
      </c>
      <c r="O395" s="21"/>
      <c r="P395" s="21"/>
      <c r="Q395" s="21"/>
    </row>
    <row r="396" customFormat="false" ht="15" hidden="false" customHeight="false" outlineLevel="0" collapsed="false">
      <c r="A396" s="19" t="str">
        <f aca="true">IF($B396="","",IF(AND(A396&lt;&gt;"",A396&lt;&gt;0),A396,TODAY()))</f>
        <v/>
      </c>
      <c r="B396" s="20"/>
      <c r="C396" s="21"/>
      <c r="D396" s="21"/>
      <c r="E396" s="21"/>
      <c r="F396" s="21"/>
      <c r="G396" s="21"/>
      <c r="H396" s="22"/>
      <c r="I396" s="22"/>
      <c r="J396" s="22"/>
      <c r="K396" s="23" t="str">
        <f aca="false">IF($B396="","",IF(AND(I396="",J396=""),"",I396+J396))</f>
        <v/>
      </c>
      <c r="L396" s="23" t="str">
        <f aca="false">IF(OR($B396="",K396=""),"",K396-H396)</f>
        <v/>
      </c>
      <c r="M396" s="24" t="str">
        <f aca="false">IF($B396="","",IF(AND(I396="",J396=""),"Not Counted",IF(OR(I396="",J396=""),"Partially Counted",IF(L396=0,"Match",IF(L396&gt;0,"Overage","Shortage")))))</f>
        <v/>
      </c>
      <c r="N396" s="24" t="str">
        <f aca="false">IF($B396="","",IF(AND(N396&lt;&gt;"",N396&lt;&gt;0),N396,$B$4))</f>
        <v/>
      </c>
      <c r="O396" s="21"/>
      <c r="P396" s="21"/>
      <c r="Q396" s="21"/>
    </row>
    <row r="397" customFormat="false" ht="15" hidden="false" customHeight="false" outlineLevel="0" collapsed="false">
      <c r="A397" s="19" t="str">
        <f aca="true">IF($B397="","",IF(AND(A397&lt;&gt;"",A397&lt;&gt;0),A397,TODAY()))</f>
        <v/>
      </c>
      <c r="B397" s="20"/>
      <c r="C397" s="21"/>
      <c r="D397" s="21"/>
      <c r="E397" s="21"/>
      <c r="F397" s="21"/>
      <c r="G397" s="21"/>
      <c r="H397" s="22"/>
      <c r="I397" s="22"/>
      <c r="J397" s="22"/>
      <c r="K397" s="23" t="str">
        <f aca="false">IF($B397="","",IF(AND(I397="",J397=""),"",I397+J397))</f>
        <v/>
      </c>
      <c r="L397" s="23" t="str">
        <f aca="false">IF(OR($B397="",K397=""),"",K397-H397)</f>
        <v/>
      </c>
      <c r="M397" s="24" t="str">
        <f aca="false">IF($B397="","",IF(AND(I397="",J397=""),"Not Counted",IF(OR(I397="",J397=""),"Partially Counted",IF(L397=0,"Match",IF(L397&gt;0,"Overage","Shortage")))))</f>
        <v/>
      </c>
      <c r="N397" s="24" t="str">
        <f aca="false">IF($B397="","",IF(AND(N397&lt;&gt;"",N397&lt;&gt;0),N397,$B$4))</f>
        <v/>
      </c>
      <c r="O397" s="21"/>
      <c r="P397" s="21"/>
      <c r="Q397" s="21"/>
    </row>
    <row r="398" customFormat="false" ht="15" hidden="false" customHeight="false" outlineLevel="0" collapsed="false">
      <c r="A398" s="19" t="str">
        <f aca="true">IF($B398="","",IF(AND(A398&lt;&gt;"",A398&lt;&gt;0),A398,TODAY()))</f>
        <v/>
      </c>
      <c r="B398" s="20"/>
      <c r="C398" s="21"/>
      <c r="D398" s="21"/>
      <c r="E398" s="21"/>
      <c r="F398" s="21"/>
      <c r="G398" s="21"/>
      <c r="H398" s="22"/>
      <c r="I398" s="22"/>
      <c r="J398" s="22"/>
      <c r="K398" s="23" t="str">
        <f aca="false">IF($B398="","",IF(AND(I398="",J398=""),"",I398+J398))</f>
        <v/>
      </c>
      <c r="L398" s="23" t="str">
        <f aca="false">IF(OR($B398="",K398=""),"",K398-H398)</f>
        <v/>
      </c>
      <c r="M398" s="24" t="str">
        <f aca="false">IF($B398="","",IF(AND(I398="",J398=""),"Not Counted",IF(OR(I398="",J398=""),"Partially Counted",IF(L398=0,"Match",IF(L398&gt;0,"Overage","Shortage")))))</f>
        <v/>
      </c>
      <c r="N398" s="24" t="str">
        <f aca="false">IF($B398="","",IF(AND(N398&lt;&gt;"",N398&lt;&gt;0),N398,$B$4))</f>
        <v/>
      </c>
      <c r="O398" s="21"/>
      <c r="P398" s="21"/>
      <c r="Q398" s="21"/>
    </row>
    <row r="399" customFormat="false" ht="15" hidden="false" customHeight="false" outlineLevel="0" collapsed="false">
      <c r="A399" s="19" t="str">
        <f aca="true">IF($B399="","",IF(AND(A399&lt;&gt;"",A399&lt;&gt;0),A399,TODAY()))</f>
        <v/>
      </c>
      <c r="B399" s="20"/>
      <c r="C399" s="21"/>
      <c r="D399" s="21"/>
      <c r="E399" s="21"/>
      <c r="F399" s="21"/>
      <c r="G399" s="21"/>
      <c r="H399" s="22"/>
      <c r="I399" s="22"/>
      <c r="J399" s="22"/>
      <c r="K399" s="23" t="str">
        <f aca="false">IF($B399="","",IF(AND(I399="",J399=""),"",I399+J399))</f>
        <v/>
      </c>
      <c r="L399" s="23" t="str">
        <f aca="false">IF(OR($B399="",K399=""),"",K399-H399)</f>
        <v/>
      </c>
      <c r="M399" s="24" t="str">
        <f aca="false">IF($B399="","",IF(AND(I399="",J399=""),"Not Counted",IF(OR(I399="",J399=""),"Partially Counted",IF(L399=0,"Match",IF(L399&gt;0,"Overage","Shortage")))))</f>
        <v/>
      </c>
      <c r="N399" s="24" t="str">
        <f aca="false">IF($B399="","",IF(AND(N399&lt;&gt;"",N399&lt;&gt;0),N399,$B$4))</f>
        <v/>
      </c>
      <c r="O399" s="21"/>
      <c r="P399" s="21"/>
      <c r="Q399" s="21"/>
    </row>
    <row r="400" customFormat="false" ht="15" hidden="false" customHeight="false" outlineLevel="0" collapsed="false">
      <c r="A400" s="19" t="str">
        <f aca="true">IF($B400="","",IF(AND(A400&lt;&gt;"",A400&lt;&gt;0),A400,TODAY()))</f>
        <v/>
      </c>
      <c r="B400" s="20"/>
      <c r="C400" s="21"/>
      <c r="D400" s="21"/>
      <c r="E400" s="21"/>
      <c r="F400" s="21"/>
      <c r="G400" s="21"/>
      <c r="H400" s="22"/>
      <c r="I400" s="22"/>
      <c r="J400" s="22"/>
      <c r="K400" s="23" t="str">
        <f aca="false">IF($B400="","",IF(AND(I400="",J400=""),"",I400+J400))</f>
        <v/>
      </c>
      <c r="L400" s="23" t="str">
        <f aca="false">IF(OR($B400="",K400=""),"",K400-H400)</f>
        <v/>
      </c>
      <c r="M400" s="24" t="str">
        <f aca="false">IF($B400="","",IF(AND(I400="",J400=""),"Not Counted",IF(OR(I400="",J400=""),"Partially Counted",IF(L400=0,"Match",IF(L400&gt;0,"Overage","Shortage")))))</f>
        <v/>
      </c>
      <c r="N400" s="24" t="str">
        <f aca="false">IF($B400="","",IF(AND(N400&lt;&gt;"",N400&lt;&gt;0),N400,$B$4))</f>
        <v/>
      </c>
      <c r="O400" s="21"/>
      <c r="P400" s="21"/>
      <c r="Q400" s="21"/>
    </row>
    <row r="401" customFormat="false" ht="15" hidden="false" customHeight="false" outlineLevel="0" collapsed="false">
      <c r="A401" s="19" t="str">
        <f aca="true">IF($B401="","",IF(AND(A401&lt;&gt;"",A401&lt;&gt;0),A401,TODAY()))</f>
        <v/>
      </c>
      <c r="B401" s="20"/>
      <c r="C401" s="21"/>
      <c r="D401" s="21"/>
      <c r="E401" s="21"/>
      <c r="F401" s="21"/>
      <c r="G401" s="21"/>
      <c r="H401" s="22"/>
      <c r="I401" s="22"/>
      <c r="J401" s="22"/>
      <c r="K401" s="23" t="str">
        <f aca="false">IF($B401="","",IF(AND(I401="",J401=""),"",I401+J401))</f>
        <v/>
      </c>
      <c r="L401" s="23" t="str">
        <f aca="false">IF(OR($B401="",K401=""),"",K401-H401)</f>
        <v/>
      </c>
      <c r="M401" s="24" t="str">
        <f aca="false">IF($B401="","",IF(AND(I401="",J401=""),"Not Counted",IF(OR(I401="",J401=""),"Partially Counted",IF(L401=0,"Match",IF(L401&gt;0,"Overage","Shortage")))))</f>
        <v/>
      </c>
      <c r="N401" s="24" t="str">
        <f aca="false">IF($B401="","",IF(AND(N401&lt;&gt;"",N401&lt;&gt;0),N401,$B$4))</f>
        <v/>
      </c>
      <c r="O401" s="21"/>
      <c r="P401" s="21"/>
      <c r="Q401" s="21"/>
    </row>
    <row r="402" customFormat="false" ht="15" hidden="false" customHeight="false" outlineLevel="0" collapsed="false">
      <c r="A402" s="19" t="str">
        <f aca="true">IF($B402="","",IF(AND(A402&lt;&gt;"",A402&lt;&gt;0),A402,TODAY()))</f>
        <v/>
      </c>
      <c r="B402" s="20"/>
      <c r="C402" s="21"/>
      <c r="D402" s="21"/>
      <c r="E402" s="21"/>
      <c r="F402" s="21"/>
      <c r="G402" s="21"/>
      <c r="H402" s="22"/>
      <c r="I402" s="22"/>
      <c r="J402" s="22"/>
      <c r="K402" s="23" t="str">
        <f aca="false">IF($B402="","",IF(AND(I402="",J402=""),"",I402+J402))</f>
        <v/>
      </c>
      <c r="L402" s="23" t="str">
        <f aca="false">IF(OR($B402="",K402=""),"",K402-H402)</f>
        <v/>
      </c>
      <c r="M402" s="24" t="str">
        <f aca="false">IF($B402="","",IF(AND(I402="",J402=""),"Not Counted",IF(OR(I402="",J402=""),"Partially Counted",IF(L402=0,"Match",IF(L402&gt;0,"Overage","Shortage")))))</f>
        <v/>
      </c>
      <c r="N402" s="24" t="str">
        <f aca="false">IF($B402="","",IF(AND(N402&lt;&gt;"",N402&lt;&gt;0),N402,$B$4))</f>
        <v/>
      </c>
      <c r="O402" s="21"/>
      <c r="P402" s="21"/>
      <c r="Q402" s="21"/>
    </row>
    <row r="403" customFormat="false" ht="15" hidden="false" customHeight="false" outlineLevel="0" collapsed="false">
      <c r="A403" s="19" t="str">
        <f aca="true">IF($B403="","",IF(AND(A403&lt;&gt;"",A403&lt;&gt;0),A403,TODAY()))</f>
        <v/>
      </c>
      <c r="B403" s="20"/>
      <c r="C403" s="21"/>
      <c r="D403" s="21"/>
      <c r="E403" s="21"/>
      <c r="F403" s="21"/>
      <c r="G403" s="21"/>
      <c r="H403" s="22"/>
      <c r="I403" s="22"/>
      <c r="J403" s="22"/>
      <c r="K403" s="23" t="str">
        <f aca="false">IF($B403="","",IF(AND(I403="",J403=""),"",I403+J403))</f>
        <v/>
      </c>
      <c r="L403" s="23" t="str">
        <f aca="false">IF(OR($B403="",K403=""),"",K403-H403)</f>
        <v/>
      </c>
      <c r="M403" s="24" t="str">
        <f aca="false">IF($B403="","",IF(AND(I403="",J403=""),"Not Counted",IF(OR(I403="",J403=""),"Partially Counted",IF(L403=0,"Match",IF(L403&gt;0,"Overage","Shortage")))))</f>
        <v/>
      </c>
      <c r="N403" s="24" t="str">
        <f aca="false">IF($B403="","",IF(AND(N403&lt;&gt;"",N403&lt;&gt;0),N403,$B$4))</f>
        <v/>
      </c>
      <c r="O403" s="21"/>
      <c r="P403" s="21"/>
      <c r="Q403" s="21"/>
    </row>
    <row r="404" customFormat="false" ht="15" hidden="false" customHeight="false" outlineLevel="0" collapsed="false">
      <c r="A404" s="19" t="str">
        <f aca="true">IF($B404="","",IF(AND(A404&lt;&gt;"",A404&lt;&gt;0),A404,TODAY()))</f>
        <v/>
      </c>
      <c r="B404" s="20"/>
      <c r="C404" s="21"/>
      <c r="D404" s="21"/>
      <c r="E404" s="21"/>
      <c r="F404" s="21"/>
      <c r="G404" s="21"/>
      <c r="H404" s="22"/>
      <c r="I404" s="22"/>
      <c r="J404" s="22"/>
      <c r="K404" s="23" t="str">
        <f aca="false">IF($B404="","",IF(AND(I404="",J404=""),"",I404+J404))</f>
        <v/>
      </c>
      <c r="L404" s="23" t="str">
        <f aca="false">IF(OR($B404="",K404=""),"",K404-H404)</f>
        <v/>
      </c>
      <c r="M404" s="24" t="str">
        <f aca="false">IF($B404="","",IF(AND(I404="",J404=""),"Not Counted",IF(OR(I404="",J404=""),"Partially Counted",IF(L404=0,"Match",IF(L404&gt;0,"Overage","Shortage")))))</f>
        <v/>
      </c>
      <c r="N404" s="24" t="str">
        <f aca="false">IF($B404="","",IF(AND(N404&lt;&gt;"",N404&lt;&gt;0),N404,$B$4))</f>
        <v/>
      </c>
      <c r="O404" s="21"/>
      <c r="P404" s="21"/>
      <c r="Q404" s="21"/>
    </row>
    <row r="405" customFormat="false" ht="15" hidden="false" customHeight="false" outlineLevel="0" collapsed="false">
      <c r="A405" s="19" t="str">
        <f aca="true">IF($B405="","",IF(AND(A405&lt;&gt;"",A405&lt;&gt;0),A405,TODAY()))</f>
        <v/>
      </c>
      <c r="B405" s="20"/>
      <c r="C405" s="21"/>
      <c r="D405" s="21"/>
      <c r="E405" s="21"/>
      <c r="F405" s="21"/>
      <c r="G405" s="21"/>
      <c r="H405" s="22"/>
      <c r="I405" s="22"/>
      <c r="J405" s="22"/>
      <c r="K405" s="23" t="str">
        <f aca="false">IF($B405="","",IF(AND(I405="",J405=""),"",I405+J405))</f>
        <v/>
      </c>
      <c r="L405" s="23" t="str">
        <f aca="false">IF(OR($B405="",K405=""),"",K405-H405)</f>
        <v/>
      </c>
      <c r="M405" s="24" t="str">
        <f aca="false">IF($B405="","",IF(AND(I405="",J405=""),"Not Counted",IF(OR(I405="",J405=""),"Partially Counted",IF(L405=0,"Match",IF(L405&gt;0,"Overage","Shortage")))))</f>
        <v/>
      </c>
      <c r="N405" s="24" t="str">
        <f aca="false">IF($B405="","",IF(AND(N405&lt;&gt;"",N405&lt;&gt;0),N405,$B$4))</f>
        <v/>
      </c>
      <c r="O405" s="21"/>
      <c r="P405" s="21"/>
      <c r="Q405" s="21"/>
    </row>
    <row r="406" customFormat="false" ht="15" hidden="false" customHeight="false" outlineLevel="0" collapsed="false">
      <c r="A406" s="19" t="str">
        <f aca="true">IF($B406="","",IF(AND(A406&lt;&gt;"",A406&lt;&gt;0),A406,TODAY()))</f>
        <v/>
      </c>
      <c r="B406" s="20"/>
      <c r="C406" s="21"/>
      <c r="D406" s="21"/>
      <c r="E406" s="21"/>
      <c r="F406" s="21"/>
      <c r="G406" s="21"/>
      <c r="H406" s="22"/>
      <c r="I406" s="22"/>
      <c r="J406" s="22"/>
      <c r="K406" s="23" t="str">
        <f aca="false">IF($B406="","",IF(AND(I406="",J406=""),"",I406+J406))</f>
        <v/>
      </c>
      <c r="L406" s="23" t="str">
        <f aca="false">IF(OR($B406="",K406=""),"",K406-H406)</f>
        <v/>
      </c>
      <c r="M406" s="24" t="str">
        <f aca="false">IF($B406="","",IF(AND(I406="",J406=""),"Not Counted",IF(OR(I406="",J406=""),"Partially Counted",IF(L406=0,"Match",IF(L406&gt;0,"Overage","Shortage")))))</f>
        <v/>
      </c>
      <c r="N406" s="24" t="str">
        <f aca="false">IF($B406="","",IF(AND(N406&lt;&gt;"",N406&lt;&gt;0),N406,$B$4))</f>
        <v/>
      </c>
      <c r="O406" s="21"/>
      <c r="P406" s="21"/>
      <c r="Q406" s="21"/>
    </row>
    <row r="407" customFormat="false" ht="15" hidden="false" customHeight="false" outlineLevel="0" collapsed="false">
      <c r="A407" s="19" t="str">
        <f aca="true">IF($B407="","",IF(AND(A407&lt;&gt;"",A407&lt;&gt;0),A407,TODAY()))</f>
        <v/>
      </c>
      <c r="B407" s="20"/>
      <c r="C407" s="21"/>
      <c r="D407" s="21"/>
      <c r="E407" s="21"/>
      <c r="F407" s="21"/>
      <c r="G407" s="21"/>
      <c r="H407" s="22"/>
      <c r="I407" s="22"/>
      <c r="J407" s="22"/>
      <c r="K407" s="23" t="str">
        <f aca="false">IF($B407="","",IF(AND(I407="",J407=""),"",I407+J407))</f>
        <v/>
      </c>
      <c r="L407" s="23" t="str">
        <f aca="false">IF(OR($B407="",K407=""),"",K407-H407)</f>
        <v/>
      </c>
      <c r="M407" s="24" t="str">
        <f aca="false">IF($B407="","",IF(AND(I407="",J407=""),"Not Counted",IF(OR(I407="",J407=""),"Partially Counted",IF(L407=0,"Match",IF(L407&gt;0,"Overage","Shortage")))))</f>
        <v/>
      </c>
      <c r="N407" s="24" t="str">
        <f aca="false">IF($B407="","",IF(AND(N407&lt;&gt;"",N407&lt;&gt;0),N407,$B$4))</f>
        <v/>
      </c>
      <c r="O407" s="21"/>
      <c r="P407" s="21"/>
      <c r="Q407" s="21"/>
    </row>
    <row r="408" customFormat="false" ht="15" hidden="false" customHeight="false" outlineLevel="0" collapsed="false">
      <c r="A408" s="19" t="str">
        <f aca="true">IF($B408="","",IF(AND(A408&lt;&gt;"",A408&lt;&gt;0),A408,TODAY()))</f>
        <v/>
      </c>
      <c r="B408" s="20"/>
      <c r="C408" s="21"/>
      <c r="D408" s="21"/>
      <c r="E408" s="21"/>
      <c r="F408" s="21"/>
      <c r="G408" s="21"/>
      <c r="H408" s="22"/>
      <c r="I408" s="22"/>
      <c r="J408" s="22"/>
      <c r="K408" s="23" t="str">
        <f aca="false">IF($B408="","",IF(AND(I408="",J408=""),"",I408+J408))</f>
        <v/>
      </c>
      <c r="L408" s="23" t="str">
        <f aca="false">IF(OR($B408="",K408=""),"",K408-H408)</f>
        <v/>
      </c>
      <c r="M408" s="24" t="str">
        <f aca="false">IF($B408="","",IF(AND(I408="",J408=""),"Not Counted",IF(OR(I408="",J408=""),"Partially Counted",IF(L408=0,"Match",IF(L408&gt;0,"Overage","Shortage")))))</f>
        <v/>
      </c>
      <c r="N408" s="24" t="str">
        <f aca="false">IF($B408="","",IF(AND(N408&lt;&gt;"",N408&lt;&gt;0),N408,$B$4))</f>
        <v/>
      </c>
      <c r="O408" s="21"/>
      <c r="P408" s="21"/>
      <c r="Q408" s="21"/>
    </row>
    <row r="409" customFormat="false" ht="15" hidden="false" customHeight="false" outlineLevel="0" collapsed="false">
      <c r="A409" s="19" t="str">
        <f aca="true">IF($B409="","",IF(AND(A409&lt;&gt;"",A409&lt;&gt;0),A409,TODAY()))</f>
        <v/>
      </c>
      <c r="B409" s="20"/>
      <c r="C409" s="21"/>
      <c r="D409" s="21"/>
      <c r="E409" s="21"/>
      <c r="F409" s="21"/>
      <c r="G409" s="21"/>
      <c r="H409" s="22"/>
      <c r="I409" s="22"/>
      <c r="J409" s="22"/>
      <c r="K409" s="23" t="str">
        <f aca="false">IF($B409="","",IF(AND(I409="",J409=""),"",I409+J409))</f>
        <v/>
      </c>
      <c r="L409" s="23" t="str">
        <f aca="false">IF(OR($B409="",K409=""),"",K409-H409)</f>
        <v/>
      </c>
      <c r="M409" s="24" t="str">
        <f aca="false">IF($B409="","",IF(AND(I409="",J409=""),"Not Counted",IF(OR(I409="",J409=""),"Partially Counted",IF(L409=0,"Match",IF(L409&gt;0,"Overage","Shortage")))))</f>
        <v/>
      </c>
      <c r="N409" s="24" t="str">
        <f aca="false">IF($B409="","",IF(AND(N409&lt;&gt;"",N409&lt;&gt;0),N409,$B$4))</f>
        <v/>
      </c>
      <c r="O409" s="21"/>
      <c r="P409" s="21"/>
      <c r="Q409" s="21"/>
    </row>
    <row r="410" customFormat="false" ht="15" hidden="false" customHeight="false" outlineLevel="0" collapsed="false">
      <c r="A410" s="19" t="str">
        <f aca="true">IF($B410="","",IF(AND(A410&lt;&gt;"",A410&lt;&gt;0),A410,TODAY()))</f>
        <v/>
      </c>
      <c r="B410" s="20"/>
      <c r="C410" s="21"/>
      <c r="D410" s="21"/>
      <c r="E410" s="21"/>
      <c r="F410" s="21"/>
      <c r="G410" s="21"/>
      <c r="H410" s="22"/>
      <c r="I410" s="22"/>
      <c r="J410" s="22"/>
      <c r="K410" s="23" t="str">
        <f aca="false">IF($B410="","",IF(AND(I410="",J410=""),"",I410+J410))</f>
        <v/>
      </c>
      <c r="L410" s="23" t="str">
        <f aca="false">IF(OR($B410="",K410=""),"",K410-H410)</f>
        <v/>
      </c>
      <c r="M410" s="24" t="str">
        <f aca="false">IF($B410="","",IF(AND(I410="",J410=""),"Not Counted",IF(OR(I410="",J410=""),"Partially Counted",IF(L410=0,"Match",IF(L410&gt;0,"Overage","Shortage")))))</f>
        <v/>
      </c>
      <c r="N410" s="24" t="str">
        <f aca="false">IF($B410="","",IF(AND(N410&lt;&gt;"",N410&lt;&gt;0),N410,$B$4))</f>
        <v/>
      </c>
      <c r="O410" s="21"/>
      <c r="P410" s="21"/>
      <c r="Q410" s="21"/>
    </row>
    <row r="411" customFormat="false" ht="15" hidden="false" customHeight="false" outlineLevel="0" collapsed="false">
      <c r="A411" s="19" t="str">
        <f aca="true">IF($B411="","",IF(AND(A411&lt;&gt;"",A411&lt;&gt;0),A411,TODAY()))</f>
        <v/>
      </c>
      <c r="B411" s="20"/>
      <c r="C411" s="21"/>
      <c r="D411" s="21"/>
      <c r="E411" s="21"/>
      <c r="F411" s="21"/>
      <c r="G411" s="21"/>
      <c r="H411" s="22"/>
      <c r="I411" s="22"/>
      <c r="J411" s="22"/>
      <c r="K411" s="23" t="str">
        <f aca="false">IF($B411="","",IF(AND(I411="",J411=""),"",I411+J411))</f>
        <v/>
      </c>
      <c r="L411" s="23" t="str">
        <f aca="false">IF(OR($B411="",K411=""),"",K411-H411)</f>
        <v/>
      </c>
      <c r="M411" s="24" t="str">
        <f aca="false">IF($B411="","",IF(AND(I411="",J411=""),"Not Counted",IF(OR(I411="",J411=""),"Partially Counted",IF(L411=0,"Match",IF(L411&gt;0,"Overage","Shortage")))))</f>
        <v/>
      </c>
      <c r="N411" s="24" t="str">
        <f aca="false">IF($B411="","",IF(AND(N411&lt;&gt;"",N411&lt;&gt;0),N411,$B$4))</f>
        <v/>
      </c>
      <c r="O411" s="21"/>
      <c r="P411" s="21"/>
      <c r="Q411" s="21"/>
    </row>
    <row r="412" customFormat="false" ht="15" hidden="false" customHeight="false" outlineLevel="0" collapsed="false">
      <c r="A412" s="19" t="str">
        <f aca="true">IF($B412="","",IF(AND(A412&lt;&gt;"",A412&lt;&gt;0),A412,TODAY()))</f>
        <v/>
      </c>
      <c r="B412" s="20"/>
      <c r="C412" s="21"/>
      <c r="D412" s="21"/>
      <c r="E412" s="21"/>
      <c r="F412" s="21"/>
      <c r="G412" s="21"/>
      <c r="H412" s="22"/>
      <c r="I412" s="22"/>
      <c r="J412" s="22"/>
      <c r="K412" s="23" t="str">
        <f aca="false">IF($B412="","",IF(AND(I412="",J412=""),"",I412+J412))</f>
        <v/>
      </c>
      <c r="L412" s="23" t="str">
        <f aca="false">IF(OR($B412="",K412=""),"",K412-H412)</f>
        <v/>
      </c>
      <c r="M412" s="24" t="str">
        <f aca="false">IF($B412="","",IF(AND(I412="",J412=""),"Not Counted",IF(OR(I412="",J412=""),"Partially Counted",IF(L412=0,"Match",IF(L412&gt;0,"Overage","Shortage")))))</f>
        <v/>
      </c>
      <c r="N412" s="24" t="str">
        <f aca="false">IF($B412="","",IF(AND(N412&lt;&gt;"",N412&lt;&gt;0),N412,$B$4))</f>
        <v/>
      </c>
      <c r="O412" s="21"/>
      <c r="P412" s="21"/>
      <c r="Q412" s="21"/>
    </row>
    <row r="413" customFormat="false" ht="15" hidden="false" customHeight="false" outlineLevel="0" collapsed="false">
      <c r="A413" s="19" t="str">
        <f aca="true">IF($B413="","",IF(AND(A413&lt;&gt;"",A413&lt;&gt;0),A413,TODAY()))</f>
        <v/>
      </c>
      <c r="B413" s="20"/>
      <c r="C413" s="21"/>
      <c r="D413" s="21"/>
      <c r="E413" s="21"/>
      <c r="F413" s="21"/>
      <c r="G413" s="21"/>
      <c r="H413" s="22"/>
      <c r="I413" s="22"/>
      <c r="J413" s="22"/>
      <c r="K413" s="23" t="str">
        <f aca="false">IF($B413="","",IF(AND(I413="",J413=""),"",I413+J413))</f>
        <v/>
      </c>
      <c r="L413" s="23" t="str">
        <f aca="false">IF(OR($B413="",K413=""),"",K413-H413)</f>
        <v/>
      </c>
      <c r="M413" s="24" t="str">
        <f aca="false">IF($B413="","",IF(AND(I413="",J413=""),"Not Counted",IF(OR(I413="",J413=""),"Partially Counted",IF(L413=0,"Match",IF(L413&gt;0,"Overage","Shortage")))))</f>
        <v/>
      </c>
      <c r="N413" s="24" t="str">
        <f aca="false">IF($B413="","",IF(AND(N413&lt;&gt;"",N413&lt;&gt;0),N413,$B$4))</f>
        <v/>
      </c>
      <c r="O413" s="21"/>
      <c r="P413" s="21"/>
      <c r="Q413" s="21"/>
    </row>
    <row r="414" customFormat="false" ht="15" hidden="false" customHeight="false" outlineLevel="0" collapsed="false">
      <c r="A414" s="19" t="str">
        <f aca="true">IF($B414="","",IF(AND(A414&lt;&gt;"",A414&lt;&gt;0),A414,TODAY()))</f>
        <v/>
      </c>
      <c r="B414" s="20"/>
      <c r="C414" s="21"/>
      <c r="D414" s="21"/>
      <c r="E414" s="21"/>
      <c r="F414" s="21"/>
      <c r="G414" s="21"/>
      <c r="H414" s="22"/>
      <c r="I414" s="22"/>
      <c r="J414" s="22"/>
      <c r="K414" s="23" t="str">
        <f aca="false">IF($B414="","",IF(AND(I414="",J414=""),"",I414+J414))</f>
        <v/>
      </c>
      <c r="L414" s="23" t="str">
        <f aca="false">IF(OR($B414="",K414=""),"",K414-H414)</f>
        <v/>
      </c>
      <c r="M414" s="24" t="str">
        <f aca="false">IF($B414="","",IF(AND(I414="",J414=""),"Not Counted",IF(OR(I414="",J414=""),"Partially Counted",IF(L414=0,"Match",IF(L414&gt;0,"Overage","Shortage")))))</f>
        <v/>
      </c>
      <c r="N414" s="24" t="str">
        <f aca="false">IF($B414="","",IF(AND(N414&lt;&gt;"",N414&lt;&gt;0),N414,$B$4))</f>
        <v/>
      </c>
      <c r="O414" s="21"/>
      <c r="P414" s="21"/>
      <c r="Q414" s="21"/>
    </row>
    <row r="415" customFormat="false" ht="15" hidden="false" customHeight="false" outlineLevel="0" collapsed="false">
      <c r="A415" s="19" t="str">
        <f aca="true">IF($B415="","",IF(AND(A415&lt;&gt;"",A415&lt;&gt;0),A415,TODAY()))</f>
        <v/>
      </c>
      <c r="B415" s="20"/>
      <c r="C415" s="21"/>
      <c r="D415" s="21"/>
      <c r="E415" s="21"/>
      <c r="F415" s="21"/>
      <c r="G415" s="21"/>
      <c r="H415" s="22"/>
      <c r="I415" s="22"/>
      <c r="J415" s="22"/>
      <c r="K415" s="23" t="str">
        <f aca="false">IF($B415="","",IF(AND(I415="",J415=""),"",I415+J415))</f>
        <v/>
      </c>
      <c r="L415" s="23" t="str">
        <f aca="false">IF(OR($B415="",K415=""),"",K415-H415)</f>
        <v/>
      </c>
      <c r="M415" s="24" t="str">
        <f aca="false">IF($B415="","",IF(AND(I415="",J415=""),"Not Counted",IF(OR(I415="",J415=""),"Partially Counted",IF(L415=0,"Match",IF(L415&gt;0,"Overage","Shortage")))))</f>
        <v/>
      </c>
      <c r="N415" s="24" t="str">
        <f aca="false">IF($B415="","",IF(AND(N415&lt;&gt;"",N415&lt;&gt;0),N415,$B$4))</f>
        <v/>
      </c>
      <c r="O415" s="21"/>
      <c r="P415" s="21"/>
      <c r="Q415" s="21"/>
    </row>
    <row r="416" customFormat="false" ht="15" hidden="false" customHeight="false" outlineLevel="0" collapsed="false">
      <c r="A416" s="19" t="str">
        <f aca="true">IF($B416="","",IF(AND(A416&lt;&gt;"",A416&lt;&gt;0),A416,TODAY()))</f>
        <v/>
      </c>
      <c r="B416" s="20"/>
      <c r="C416" s="21"/>
      <c r="D416" s="21"/>
      <c r="E416" s="21"/>
      <c r="F416" s="21"/>
      <c r="G416" s="21"/>
      <c r="H416" s="22"/>
      <c r="I416" s="22"/>
      <c r="J416" s="22"/>
      <c r="K416" s="23" t="str">
        <f aca="false">IF($B416="","",IF(AND(I416="",J416=""),"",I416+J416))</f>
        <v/>
      </c>
      <c r="L416" s="23" t="str">
        <f aca="false">IF(OR($B416="",K416=""),"",K416-H416)</f>
        <v/>
      </c>
      <c r="M416" s="24" t="str">
        <f aca="false">IF($B416="","",IF(AND(I416="",J416=""),"Not Counted",IF(OR(I416="",J416=""),"Partially Counted",IF(L416=0,"Match",IF(L416&gt;0,"Overage","Shortage")))))</f>
        <v/>
      </c>
      <c r="N416" s="24" t="str">
        <f aca="false">IF($B416="","",IF(AND(N416&lt;&gt;"",N416&lt;&gt;0),N416,$B$4))</f>
        <v/>
      </c>
      <c r="O416" s="21"/>
      <c r="P416" s="21"/>
      <c r="Q416" s="21"/>
    </row>
    <row r="417" customFormat="false" ht="15" hidden="false" customHeight="false" outlineLevel="0" collapsed="false">
      <c r="A417" s="19" t="str">
        <f aca="true">IF($B417="","",IF(AND(A417&lt;&gt;"",A417&lt;&gt;0),A417,TODAY()))</f>
        <v/>
      </c>
      <c r="B417" s="20"/>
      <c r="C417" s="21"/>
      <c r="D417" s="21"/>
      <c r="E417" s="21"/>
      <c r="F417" s="21"/>
      <c r="G417" s="21"/>
      <c r="H417" s="22"/>
      <c r="I417" s="22"/>
      <c r="J417" s="22"/>
      <c r="K417" s="23" t="str">
        <f aca="false">IF($B417="","",IF(AND(I417="",J417=""),"",I417+J417))</f>
        <v/>
      </c>
      <c r="L417" s="23" t="str">
        <f aca="false">IF(OR($B417="",K417=""),"",K417-H417)</f>
        <v/>
      </c>
      <c r="M417" s="24" t="str">
        <f aca="false">IF($B417="","",IF(AND(I417="",J417=""),"Not Counted",IF(OR(I417="",J417=""),"Partially Counted",IF(L417=0,"Match",IF(L417&gt;0,"Overage","Shortage")))))</f>
        <v/>
      </c>
      <c r="N417" s="24" t="str">
        <f aca="false">IF($B417="","",IF(AND(N417&lt;&gt;"",N417&lt;&gt;0),N417,$B$4))</f>
        <v/>
      </c>
      <c r="O417" s="21"/>
      <c r="P417" s="21"/>
      <c r="Q417" s="21"/>
    </row>
    <row r="418" customFormat="false" ht="15" hidden="false" customHeight="false" outlineLevel="0" collapsed="false">
      <c r="A418" s="19" t="str">
        <f aca="true">IF($B418="","",IF(AND(A418&lt;&gt;"",A418&lt;&gt;0),A418,TODAY()))</f>
        <v/>
      </c>
      <c r="B418" s="20"/>
      <c r="C418" s="21"/>
      <c r="D418" s="21"/>
      <c r="E418" s="21"/>
      <c r="F418" s="21"/>
      <c r="G418" s="21"/>
      <c r="H418" s="22"/>
      <c r="I418" s="22"/>
      <c r="J418" s="22"/>
      <c r="K418" s="23" t="str">
        <f aca="false">IF($B418="","",IF(AND(I418="",J418=""),"",I418+J418))</f>
        <v/>
      </c>
      <c r="L418" s="23" t="str">
        <f aca="false">IF(OR($B418="",K418=""),"",K418-H418)</f>
        <v/>
      </c>
      <c r="M418" s="24" t="str">
        <f aca="false">IF($B418="","",IF(AND(I418="",J418=""),"Not Counted",IF(OR(I418="",J418=""),"Partially Counted",IF(L418=0,"Match",IF(L418&gt;0,"Overage","Shortage")))))</f>
        <v/>
      </c>
      <c r="N418" s="24" t="str">
        <f aca="false">IF($B418="","",IF(AND(N418&lt;&gt;"",N418&lt;&gt;0),N418,$B$4))</f>
        <v/>
      </c>
      <c r="O418" s="21"/>
      <c r="P418" s="21"/>
      <c r="Q418" s="21"/>
    </row>
    <row r="419" customFormat="false" ht="15" hidden="false" customHeight="false" outlineLevel="0" collapsed="false">
      <c r="A419" s="19" t="str">
        <f aca="true">IF($B419="","",IF(AND(A419&lt;&gt;"",A419&lt;&gt;0),A419,TODAY()))</f>
        <v/>
      </c>
      <c r="B419" s="20"/>
      <c r="C419" s="21"/>
      <c r="D419" s="21"/>
      <c r="E419" s="21"/>
      <c r="F419" s="21"/>
      <c r="G419" s="21"/>
      <c r="H419" s="22"/>
      <c r="I419" s="22"/>
      <c r="J419" s="22"/>
      <c r="K419" s="23" t="str">
        <f aca="false">IF($B419="","",IF(AND(I419="",J419=""),"",I419+J419))</f>
        <v/>
      </c>
      <c r="L419" s="23" t="str">
        <f aca="false">IF(OR($B419="",K419=""),"",K419-H419)</f>
        <v/>
      </c>
      <c r="M419" s="24" t="str">
        <f aca="false">IF($B419="","",IF(AND(I419="",J419=""),"Not Counted",IF(OR(I419="",J419=""),"Partially Counted",IF(L419=0,"Match",IF(L419&gt;0,"Overage","Shortage")))))</f>
        <v/>
      </c>
      <c r="N419" s="24" t="str">
        <f aca="false">IF($B419="","",IF(AND(N419&lt;&gt;"",N419&lt;&gt;0),N419,$B$4))</f>
        <v/>
      </c>
      <c r="O419" s="21"/>
      <c r="P419" s="21"/>
      <c r="Q419" s="21"/>
    </row>
    <row r="420" customFormat="false" ht="15" hidden="false" customHeight="false" outlineLevel="0" collapsed="false">
      <c r="A420" s="19" t="str">
        <f aca="true">IF($B420="","",IF(AND(A420&lt;&gt;"",A420&lt;&gt;0),A420,TODAY()))</f>
        <v/>
      </c>
      <c r="B420" s="20"/>
      <c r="C420" s="21"/>
      <c r="D420" s="21"/>
      <c r="E420" s="21"/>
      <c r="F420" s="21"/>
      <c r="G420" s="21"/>
      <c r="H420" s="22"/>
      <c r="I420" s="22"/>
      <c r="J420" s="22"/>
      <c r="K420" s="23" t="str">
        <f aca="false">IF($B420="","",IF(AND(I420="",J420=""),"",I420+J420))</f>
        <v/>
      </c>
      <c r="L420" s="23" t="str">
        <f aca="false">IF(OR($B420="",K420=""),"",K420-H420)</f>
        <v/>
      </c>
      <c r="M420" s="24" t="str">
        <f aca="false">IF($B420="","",IF(AND(I420="",J420=""),"Not Counted",IF(OR(I420="",J420=""),"Partially Counted",IF(L420=0,"Match",IF(L420&gt;0,"Overage","Shortage")))))</f>
        <v/>
      </c>
      <c r="N420" s="24" t="str">
        <f aca="false">IF($B420="","",IF(AND(N420&lt;&gt;"",N420&lt;&gt;0),N420,$B$4))</f>
        <v/>
      </c>
      <c r="O420" s="21"/>
      <c r="P420" s="21"/>
      <c r="Q420" s="21"/>
    </row>
    <row r="421" customFormat="false" ht="15" hidden="false" customHeight="false" outlineLevel="0" collapsed="false">
      <c r="A421" s="19" t="str">
        <f aca="true">IF($B421="","",IF(AND(A421&lt;&gt;"",A421&lt;&gt;0),A421,TODAY()))</f>
        <v/>
      </c>
      <c r="B421" s="20"/>
      <c r="C421" s="21"/>
      <c r="D421" s="21"/>
      <c r="E421" s="21"/>
      <c r="F421" s="21"/>
      <c r="G421" s="21"/>
      <c r="H421" s="22"/>
      <c r="I421" s="22"/>
      <c r="J421" s="22"/>
      <c r="K421" s="23" t="str">
        <f aca="false">IF($B421="","",IF(AND(I421="",J421=""),"",I421+J421))</f>
        <v/>
      </c>
      <c r="L421" s="23" t="str">
        <f aca="false">IF(OR($B421="",K421=""),"",K421-H421)</f>
        <v/>
      </c>
      <c r="M421" s="24" t="str">
        <f aca="false">IF($B421="","",IF(AND(I421="",J421=""),"Not Counted",IF(OR(I421="",J421=""),"Partially Counted",IF(L421=0,"Match",IF(L421&gt;0,"Overage","Shortage")))))</f>
        <v/>
      </c>
      <c r="N421" s="24" t="str">
        <f aca="false">IF($B421="","",IF(AND(N421&lt;&gt;"",N421&lt;&gt;0),N421,$B$4))</f>
        <v/>
      </c>
      <c r="O421" s="21"/>
      <c r="P421" s="21"/>
      <c r="Q421" s="21"/>
    </row>
    <row r="422" customFormat="false" ht="15" hidden="false" customHeight="false" outlineLevel="0" collapsed="false">
      <c r="A422" s="19" t="str">
        <f aca="true">IF($B422="","",IF(AND(A422&lt;&gt;"",A422&lt;&gt;0),A422,TODAY()))</f>
        <v/>
      </c>
      <c r="B422" s="20"/>
      <c r="C422" s="21"/>
      <c r="D422" s="21"/>
      <c r="E422" s="21"/>
      <c r="F422" s="21"/>
      <c r="G422" s="21"/>
      <c r="H422" s="22"/>
      <c r="I422" s="22"/>
      <c r="J422" s="22"/>
      <c r="K422" s="23" t="str">
        <f aca="false">IF($B422="","",IF(AND(I422="",J422=""),"",I422+J422))</f>
        <v/>
      </c>
      <c r="L422" s="23" t="str">
        <f aca="false">IF(OR($B422="",K422=""),"",K422-H422)</f>
        <v/>
      </c>
      <c r="M422" s="24" t="str">
        <f aca="false">IF($B422="","",IF(AND(I422="",J422=""),"Not Counted",IF(OR(I422="",J422=""),"Partially Counted",IF(L422=0,"Match",IF(L422&gt;0,"Overage","Shortage")))))</f>
        <v/>
      </c>
      <c r="N422" s="24" t="str">
        <f aca="false">IF($B422="","",IF(AND(N422&lt;&gt;"",N422&lt;&gt;0),N422,$B$4))</f>
        <v/>
      </c>
      <c r="O422" s="21"/>
      <c r="P422" s="21"/>
      <c r="Q422" s="21"/>
    </row>
    <row r="423" customFormat="false" ht="15" hidden="false" customHeight="false" outlineLevel="0" collapsed="false">
      <c r="A423" s="19" t="str">
        <f aca="true">IF($B423="","",IF(AND(A423&lt;&gt;"",A423&lt;&gt;0),A423,TODAY()))</f>
        <v/>
      </c>
      <c r="B423" s="20"/>
      <c r="C423" s="21"/>
      <c r="D423" s="21"/>
      <c r="E423" s="21"/>
      <c r="F423" s="21"/>
      <c r="G423" s="21"/>
      <c r="H423" s="22"/>
      <c r="I423" s="22"/>
      <c r="J423" s="22"/>
      <c r="K423" s="23" t="str">
        <f aca="false">IF($B423="","",IF(AND(I423="",J423=""),"",I423+J423))</f>
        <v/>
      </c>
      <c r="L423" s="23" t="str">
        <f aca="false">IF(OR($B423="",K423=""),"",K423-H423)</f>
        <v/>
      </c>
      <c r="M423" s="24" t="str">
        <f aca="false">IF($B423="","",IF(AND(I423="",J423=""),"Not Counted",IF(OR(I423="",J423=""),"Partially Counted",IF(L423=0,"Match",IF(L423&gt;0,"Overage","Shortage")))))</f>
        <v/>
      </c>
      <c r="N423" s="24" t="str">
        <f aca="false">IF($B423="","",IF(AND(N423&lt;&gt;"",N423&lt;&gt;0),N423,$B$4))</f>
        <v/>
      </c>
      <c r="O423" s="21"/>
      <c r="P423" s="21"/>
      <c r="Q423" s="21"/>
    </row>
    <row r="424" customFormat="false" ht="15" hidden="false" customHeight="false" outlineLevel="0" collapsed="false">
      <c r="A424" s="19" t="str">
        <f aca="true">IF($B424="","",IF(AND(A424&lt;&gt;"",A424&lt;&gt;0),A424,TODAY()))</f>
        <v/>
      </c>
      <c r="B424" s="20"/>
      <c r="C424" s="21"/>
      <c r="D424" s="21"/>
      <c r="E424" s="21"/>
      <c r="F424" s="21"/>
      <c r="G424" s="21"/>
      <c r="H424" s="22"/>
      <c r="I424" s="22"/>
      <c r="J424" s="22"/>
      <c r="K424" s="23" t="str">
        <f aca="false">IF($B424="","",IF(AND(I424="",J424=""),"",I424+J424))</f>
        <v/>
      </c>
      <c r="L424" s="23" t="str">
        <f aca="false">IF(OR($B424="",K424=""),"",K424-H424)</f>
        <v/>
      </c>
      <c r="M424" s="24" t="str">
        <f aca="false">IF($B424="","",IF(AND(I424="",J424=""),"Not Counted",IF(OR(I424="",J424=""),"Partially Counted",IF(L424=0,"Match",IF(L424&gt;0,"Overage","Shortage")))))</f>
        <v/>
      </c>
      <c r="N424" s="24" t="str">
        <f aca="false">IF($B424="","",IF(AND(N424&lt;&gt;"",N424&lt;&gt;0),N424,$B$4))</f>
        <v/>
      </c>
      <c r="O424" s="21"/>
      <c r="P424" s="21"/>
      <c r="Q424" s="21"/>
    </row>
    <row r="425" customFormat="false" ht="15" hidden="false" customHeight="false" outlineLevel="0" collapsed="false">
      <c r="A425" s="19" t="str">
        <f aca="true">IF($B425="","",IF(AND(A425&lt;&gt;"",A425&lt;&gt;0),A425,TODAY()))</f>
        <v/>
      </c>
      <c r="B425" s="20"/>
      <c r="C425" s="21"/>
      <c r="D425" s="21"/>
      <c r="E425" s="21"/>
      <c r="F425" s="21"/>
      <c r="G425" s="21"/>
      <c r="H425" s="22"/>
      <c r="I425" s="22"/>
      <c r="J425" s="22"/>
      <c r="K425" s="23" t="str">
        <f aca="false">IF($B425="","",IF(AND(I425="",J425=""),"",I425+J425))</f>
        <v/>
      </c>
      <c r="L425" s="23" t="str">
        <f aca="false">IF(OR($B425="",K425=""),"",K425-H425)</f>
        <v/>
      </c>
      <c r="M425" s="24" t="str">
        <f aca="false">IF($B425="","",IF(AND(I425="",J425=""),"Not Counted",IF(OR(I425="",J425=""),"Partially Counted",IF(L425=0,"Match",IF(L425&gt;0,"Overage","Shortage")))))</f>
        <v/>
      </c>
      <c r="N425" s="24" t="str">
        <f aca="false">IF($B425="","",IF(AND(N425&lt;&gt;"",N425&lt;&gt;0),N425,$B$4))</f>
        <v/>
      </c>
      <c r="O425" s="21"/>
      <c r="P425" s="21"/>
      <c r="Q425" s="21"/>
    </row>
    <row r="426" customFormat="false" ht="15" hidden="false" customHeight="false" outlineLevel="0" collapsed="false">
      <c r="A426" s="19" t="str">
        <f aca="true">IF($B426="","",IF(AND(A426&lt;&gt;"",A426&lt;&gt;0),A426,TODAY()))</f>
        <v/>
      </c>
      <c r="B426" s="20"/>
      <c r="C426" s="21"/>
      <c r="D426" s="21"/>
      <c r="E426" s="21"/>
      <c r="F426" s="21"/>
      <c r="G426" s="21"/>
      <c r="H426" s="22"/>
      <c r="I426" s="22"/>
      <c r="J426" s="22"/>
      <c r="K426" s="23" t="str">
        <f aca="false">IF($B426="","",IF(AND(I426="",J426=""),"",I426+J426))</f>
        <v/>
      </c>
      <c r="L426" s="23" t="str">
        <f aca="false">IF(OR($B426="",K426=""),"",K426-H426)</f>
        <v/>
      </c>
      <c r="M426" s="24" t="str">
        <f aca="false">IF($B426="","",IF(AND(I426="",J426=""),"Not Counted",IF(OR(I426="",J426=""),"Partially Counted",IF(L426=0,"Match",IF(L426&gt;0,"Overage","Shortage")))))</f>
        <v/>
      </c>
      <c r="N426" s="24" t="str">
        <f aca="false">IF($B426="","",IF(AND(N426&lt;&gt;"",N426&lt;&gt;0),N426,$B$4))</f>
        <v/>
      </c>
      <c r="O426" s="21"/>
      <c r="P426" s="21"/>
      <c r="Q426" s="21"/>
    </row>
    <row r="427" customFormat="false" ht="15" hidden="false" customHeight="false" outlineLevel="0" collapsed="false">
      <c r="A427" s="19" t="str">
        <f aca="true">IF($B427="","",IF(AND(A427&lt;&gt;"",A427&lt;&gt;0),A427,TODAY()))</f>
        <v/>
      </c>
      <c r="B427" s="20"/>
      <c r="C427" s="21"/>
      <c r="D427" s="21"/>
      <c r="E427" s="21"/>
      <c r="F427" s="21"/>
      <c r="G427" s="21"/>
      <c r="H427" s="22"/>
      <c r="I427" s="22"/>
      <c r="J427" s="22"/>
      <c r="K427" s="23" t="str">
        <f aca="false">IF($B427="","",IF(AND(I427="",J427=""),"",I427+J427))</f>
        <v/>
      </c>
      <c r="L427" s="23" t="str">
        <f aca="false">IF(OR($B427="",K427=""),"",K427-H427)</f>
        <v/>
      </c>
      <c r="M427" s="24" t="str">
        <f aca="false">IF($B427="","",IF(AND(I427="",J427=""),"Not Counted",IF(OR(I427="",J427=""),"Partially Counted",IF(L427=0,"Match",IF(L427&gt;0,"Overage","Shortage")))))</f>
        <v/>
      </c>
      <c r="N427" s="24" t="str">
        <f aca="false">IF($B427="","",IF(AND(N427&lt;&gt;"",N427&lt;&gt;0),N427,$B$4))</f>
        <v/>
      </c>
      <c r="O427" s="21"/>
      <c r="P427" s="21"/>
      <c r="Q427" s="21"/>
    </row>
    <row r="428" customFormat="false" ht="15" hidden="false" customHeight="false" outlineLevel="0" collapsed="false">
      <c r="A428" s="19" t="str">
        <f aca="true">IF($B428="","",IF(AND(A428&lt;&gt;"",A428&lt;&gt;0),A428,TODAY()))</f>
        <v/>
      </c>
      <c r="B428" s="20"/>
      <c r="C428" s="21"/>
      <c r="D428" s="21"/>
      <c r="E428" s="21"/>
      <c r="F428" s="21"/>
      <c r="G428" s="21"/>
      <c r="H428" s="22"/>
      <c r="I428" s="22"/>
      <c r="J428" s="22"/>
      <c r="K428" s="23" t="str">
        <f aca="false">IF($B428="","",IF(AND(I428="",J428=""),"",I428+J428))</f>
        <v/>
      </c>
      <c r="L428" s="23" t="str">
        <f aca="false">IF(OR($B428="",K428=""),"",K428-H428)</f>
        <v/>
      </c>
      <c r="M428" s="24" t="str">
        <f aca="false">IF($B428="","",IF(AND(I428="",J428=""),"Not Counted",IF(OR(I428="",J428=""),"Partially Counted",IF(L428=0,"Match",IF(L428&gt;0,"Overage","Shortage")))))</f>
        <v/>
      </c>
      <c r="N428" s="24" t="str">
        <f aca="false">IF($B428="","",IF(AND(N428&lt;&gt;"",N428&lt;&gt;0),N428,$B$4))</f>
        <v/>
      </c>
      <c r="O428" s="21"/>
      <c r="P428" s="21"/>
      <c r="Q428" s="21"/>
    </row>
    <row r="429" customFormat="false" ht="15" hidden="false" customHeight="false" outlineLevel="0" collapsed="false">
      <c r="A429" s="19" t="str">
        <f aca="true">IF($B429="","",IF(AND(A429&lt;&gt;"",A429&lt;&gt;0),A429,TODAY()))</f>
        <v/>
      </c>
      <c r="B429" s="20"/>
      <c r="C429" s="21"/>
      <c r="D429" s="21"/>
      <c r="E429" s="21"/>
      <c r="F429" s="21"/>
      <c r="G429" s="21"/>
      <c r="H429" s="22"/>
      <c r="I429" s="22"/>
      <c r="J429" s="22"/>
      <c r="K429" s="23" t="str">
        <f aca="false">IF($B429="","",IF(AND(I429="",J429=""),"",I429+J429))</f>
        <v/>
      </c>
      <c r="L429" s="23" t="str">
        <f aca="false">IF(OR($B429="",K429=""),"",K429-H429)</f>
        <v/>
      </c>
      <c r="M429" s="24" t="str">
        <f aca="false">IF($B429="","",IF(AND(I429="",J429=""),"Not Counted",IF(OR(I429="",J429=""),"Partially Counted",IF(L429=0,"Match",IF(L429&gt;0,"Overage","Shortage")))))</f>
        <v/>
      </c>
      <c r="N429" s="24" t="str">
        <f aca="false">IF($B429="","",IF(AND(N429&lt;&gt;"",N429&lt;&gt;0),N429,$B$4))</f>
        <v/>
      </c>
      <c r="O429" s="21"/>
      <c r="P429" s="21"/>
      <c r="Q429" s="21"/>
    </row>
    <row r="430" customFormat="false" ht="15" hidden="false" customHeight="false" outlineLevel="0" collapsed="false">
      <c r="A430" s="19" t="str">
        <f aca="true">IF($B430="","",IF(AND(A430&lt;&gt;"",A430&lt;&gt;0),A430,TODAY()))</f>
        <v/>
      </c>
      <c r="B430" s="20"/>
      <c r="C430" s="21"/>
      <c r="D430" s="21"/>
      <c r="E430" s="21"/>
      <c r="F430" s="21"/>
      <c r="G430" s="21"/>
      <c r="H430" s="22"/>
      <c r="I430" s="22"/>
      <c r="J430" s="22"/>
      <c r="K430" s="23" t="str">
        <f aca="false">IF($B430="","",IF(AND(I430="",J430=""),"",I430+J430))</f>
        <v/>
      </c>
      <c r="L430" s="23" t="str">
        <f aca="false">IF(OR($B430="",K430=""),"",K430-H430)</f>
        <v/>
      </c>
      <c r="M430" s="24" t="str">
        <f aca="false">IF($B430="","",IF(AND(I430="",J430=""),"Not Counted",IF(OR(I430="",J430=""),"Partially Counted",IF(L430=0,"Match",IF(L430&gt;0,"Overage","Shortage")))))</f>
        <v/>
      </c>
      <c r="N430" s="24" t="str">
        <f aca="false">IF($B430="","",IF(AND(N430&lt;&gt;"",N430&lt;&gt;0),N430,$B$4))</f>
        <v/>
      </c>
      <c r="O430" s="21"/>
      <c r="P430" s="21"/>
      <c r="Q430" s="21"/>
    </row>
    <row r="431" customFormat="false" ht="15" hidden="false" customHeight="false" outlineLevel="0" collapsed="false">
      <c r="A431" s="19" t="str">
        <f aca="true">IF($B431="","",IF(AND(A431&lt;&gt;"",A431&lt;&gt;0),A431,TODAY()))</f>
        <v/>
      </c>
      <c r="B431" s="20"/>
      <c r="C431" s="21"/>
      <c r="D431" s="21"/>
      <c r="E431" s="21"/>
      <c r="F431" s="21"/>
      <c r="G431" s="21"/>
      <c r="H431" s="22"/>
      <c r="I431" s="22"/>
      <c r="J431" s="22"/>
      <c r="K431" s="23" t="str">
        <f aca="false">IF($B431="","",IF(AND(I431="",J431=""),"",I431+J431))</f>
        <v/>
      </c>
      <c r="L431" s="23" t="str">
        <f aca="false">IF(OR($B431="",K431=""),"",K431-H431)</f>
        <v/>
      </c>
      <c r="M431" s="24" t="str">
        <f aca="false">IF($B431="","",IF(AND(I431="",J431=""),"Not Counted",IF(OR(I431="",J431=""),"Partially Counted",IF(L431=0,"Match",IF(L431&gt;0,"Overage","Shortage")))))</f>
        <v/>
      </c>
      <c r="N431" s="24" t="str">
        <f aca="false">IF($B431="","",IF(AND(N431&lt;&gt;"",N431&lt;&gt;0),N431,$B$4))</f>
        <v/>
      </c>
      <c r="O431" s="21"/>
      <c r="P431" s="21"/>
      <c r="Q431" s="21"/>
    </row>
    <row r="432" customFormat="false" ht="15" hidden="false" customHeight="false" outlineLevel="0" collapsed="false">
      <c r="A432" s="19" t="str">
        <f aca="true">IF($B432="","",IF(AND(A432&lt;&gt;"",A432&lt;&gt;0),A432,TODAY()))</f>
        <v/>
      </c>
      <c r="B432" s="20"/>
      <c r="C432" s="21"/>
      <c r="D432" s="21"/>
      <c r="E432" s="21"/>
      <c r="F432" s="21"/>
      <c r="G432" s="21"/>
      <c r="H432" s="22"/>
      <c r="I432" s="22"/>
      <c r="J432" s="22"/>
      <c r="K432" s="23" t="str">
        <f aca="false">IF($B432="","",IF(AND(I432="",J432=""),"",I432+J432))</f>
        <v/>
      </c>
      <c r="L432" s="23" t="str">
        <f aca="false">IF(OR($B432="",K432=""),"",K432-H432)</f>
        <v/>
      </c>
      <c r="M432" s="24" t="str">
        <f aca="false">IF($B432="","",IF(AND(I432="",J432=""),"Not Counted",IF(OR(I432="",J432=""),"Partially Counted",IF(L432=0,"Match",IF(L432&gt;0,"Overage","Shortage")))))</f>
        <v/>
      </c>
      <c r="N432" s="24" t="str">
        <f aca="false">IF($B432="","",IF(AND(N432&lt;&gt;"",N432&lt;&gt;0),N432,$B$4))</f>
        <v/>
      </c>
      <c r="O432" s="21"/>
      <c r="P432" s="21"/>
      <c r="Q432" s="21"/>
    </row>
    <row r="433" customFormat="false" ht="15" hidden="false" customHeight="false" outlineLevel="0" collapsed="false">
      <c r="A433" s="19" t="str">
        <f aca="true">IF($B433="","",IF(AND(A433&lt;&gt;"",A433&lt;&gt;0),A433,TODAY()))</f>
        <v/>
      </c>
      <c r="B433" s="20"/>
      <c r="C433" s="21"/>
      <c r="D433" s="21"/>
      <c r="E433" s="21"/>
      <c r="F433" s="21"/>
      <c r="G433" s="21"/>
      <c r="H433" s="22"/>
      <c r="I433" s="22"/>
      <c r="J433" s="22"/>
      <c r="K433" s="23" t="str">
        <f aca="false">IF($B433="","",IF(AND(I433="",J433=""),"",I433+J433))</f>
        <v/>
      </c>
      <c r="L433" s="23" t="str">
        <f aca="false">IF(OR($B433="",K433=""),"",K433-H433)</f>
        <v/>
      </c>
      <c r="M433" s="24" t="str">
        <f aca="false">IF($B433="","",IF(AND(I433="",J433=""),"Not Counted",IF(OR(I433="",J433=""),"Partially Counted",IF(L433=0,"Match",IF(L433&gt;0,"Overage","Shortage")))))</f>
        <v/>
      </c>
      <c r="N433" s="24" t="str">
        <f aca="false">IF($B433="","",IF(AND(N433&lt;&gt;"",N433&lt;&gt;0),N433,$B$4))</f>
        <v/>
      </c>
      <c r="O433" s="21"/>
      <c r="P433" s="21"/>
      <c r="Q433" s="21"/>
    </row>
    <row r="434" customFormat="false" ht="15" hidden="false" customHeight="false" outlineLevel="0" collapsed="false">
      <c r="A434" s="19" t="str">
        <f aca="true">IF($B434="","",IF(AND(A434&lt;&gt;"",A434&lt;&gt;0),A434,TODAY()))</f>
        <v/>
      </c>
      <c r="B434" s="20"/>
      <c r="C434" s="21"/>
      <c r="D434" s="21"/>
      <c r="E434" s="21"/>
      <c r="F434" s="21"/>
      <c r="G434" s="21"/>
      <c r="H434" s="22"/>
      <c r="I434" s="22"/>
      <c r="J434" s="22"/>
      <c r="K434" s="23" t="str">
        <f aca="false">IF($B434="","",IF(AND(I434="",J434=""),"",I434+J434))</f>
        <v/>
      </c>
      <c r="L434" s="23" t="str">
        <f aca="false">IF(OR($B434="",K434=""),"",K434-H434)</f>
        <v/>
      </c>
      <c r="M434" s="24" t="str">
        <f aca="false">IF($B434="","",IF(AND(I434="",J434=""),"Not Counted",IF(OR(I434="",J434=""),"Partially Counted",IF(L434=0,"Match",IF(L434&gt;0,"Overage","Shortage")))))</f>
        <v/>
      </c>
      <c r="N434" s="24" t="str">
        <f aca="false">IF($B434="","",IF(AND(N434&lt;&gt;"",N434&lt;&gt;0),N434,$B$4))</f>
        <v/>
      </c>
      <c r="O434" s="21"/>
      <c r="P434" s="21"/>
      <c r="Q434" s="21"/>
    </row>
    <row r="435" customFormat="false" ht="15" hidden="false" customHeight="false" outlineLevel="0" collapsed="false">
      <c r="A435" s="19" t="str">
        <f aca="true">IF($B435="","",IF(AND(A435&lt;&gt;"",A435&lt;&gt;0),A435,TODAY()))</f>
        <v/>
      </c>
      <c r="B435" s="20"/>
      <c r="C435" s="21"/>
      <c r="D435" s="21"/>
      <c r="E435" s="21"/>
      <c r="F435" s="21"/>
      <c r="G435" s="21"/>
      <c r="H435" s="22"/>
      <c r="I435" s="22"/>
      <c r="J435" s="22"/>
      <c r="K435" s="23" t="str">
        <f aca="false">IF($B435="","",IF(AND(I435="",J435=""),"",I435+J435))</f>
        <v/>
      </c>
      <c r="L435" s="23" t="str">
        <f aca="false">IF(OR($B435="",K435=""),"",K435-H435)</f>
        <v/>
      </c>
      <c r="M435" s="24" t="str">
        <f aca="false">IF($B435="","",IF(AND(I435="",J435=""),"Not Counted",IF(OR(I435="",J435=""),"Partially Counted",IF(L435=0,"Match",IF(L435&gt;0,"Overage","Shortage")))))</f>
        <v/>
      </c>
      <c r="N435" s="24" t="str">
        <f aca="false">IF($B435="","",IF(AND(N435&lt;&gt;"",N435&lt;&gt;0),N435,$B$4))</f>
        <v/>
      </c>
      <c r="O435" s="21"/>
      <c r="P435" s="21"/>
      <c r="Q435" s="21"/>
    </row>
    <row r="436" customFormat="false" ht="15" hidden="false" customHeight="false" outlineLevel="0" collapsed="false">
      <c r="A436" s="19" t="str">
        <f aca="true">IF($B436="","",IF(AND(A436&lt;&gt;"",A436&lt;&gt;0),A436,TODAY()))</f>
        <v/>
      </c>
      <c r="B436" s="20"/>
      <c r="C436" s="21"/>
      <c r="D436" s="21"/>
      <c r="E436" s="21"/>
      <c r="F436" s="21"/>
      <c r="G436" s="21"/>
      <c r="H436" s="22"/>
      <c r="I436" s="22"/>
      <c r="J436" s="22"/>
      <c r="K436" s="23" t="str">
        <f aca="false">IF($B436="","",IF(AND(I436="",J436=""),"",I436+J436))</f>
        <v/>
      </c>
      <c r="L436" s="23" t="str">
        <f aca="false">IF(OR($B436="",K436=""),"",K436-H436)</f>
        <v/>
      </c>
      <c r="M436" s="24" t="str">
        <f aca="false">IF($B436="","",IF(AND(I436="",J436=""),"Not Counted",IF(OR(I436="",J436=""),"Partially Counted",IF(L436=0,"Match",IF(L436&gt;0,"Overage","Shortage")))))</f>
        <v/>
      </c>
      <c r="N436" s="24" t="str">
        <f aca="false">IF($B436="","",IF(AND(N436&lt;&gt;"",N436&lt;&gt;0),N436,$B$4))</f>
        <v/>
      </c>
      <c r="O436" s="21"/>
      <c r="P436" s="21"/>
      <c r="Q436" s="21"/>
    </row>
    <row r="437" customFormat="false" ht="15" hidden="false" customHeight="false" outlineLevel="0" collapsed="false">
      <c r="A437" s="19" t="str">
        <f aca="true">IF($B437="","",IF(AND(A437&lt;&gt;"",A437&lt;&gt;0),A437,TODAY()))</f>
        <v/>
      </c>
      <c r="B437" s="20"/>
      <c r="C437" s="21"/>
      <c r="D437" s="21"/>
      <c r="E437" s="21"/>
      <c r="F437" s="21"/>
      <c r="G437" s="21"/>
      <c r="H437" s="22"/>
      <c r="I437" s="22"/>
      <c r="J437" s="22"/>
      <c r="K437" s="23" t="str">
        <f aca="false">IF($B437="","",IF(AND(I437="",J437=""),"",I437+J437))</f>
        <v/>
      </c>
      <c r="L437" s="23" t="str">
        <f aca="false">IF(OR($B437="",K437=""),"",K437-H437)</f>
        <v/>
      </c>
      <c r="M437" s="24" t="str">
        <f aca="false">IF($B437="","",IF(AND(I437="",J437=""),"Not Counted",IF(OR(I437="",J437=""),"Partially Counted",IF(L437=0,"Match",IF(L437&gt;0,"Overage","Shortage")))))</f>
        <v/>
      </c>
      <c r="N437" s="24" t="str">
        <f aca="false">IF($B437="","",IF(AND(N437&lt;&gt;"",N437&lt;&gt;0),N437,$B$4))</f>
        <v/>
      </c>
      <c r="O437" s="21"/>
      <c r="P437" s="21"/>
      <c r="Q437" s="21"/>
    </row>
    <row r="438" customFormat="false" ht="15" hidden="false" customHeight="false" outlineLevel="0" collapsed="false">
      <c r="A438" s="19" t="str">
        <f aca="true">IF($B438="","",IF(AND(A438&lt;&gt;"",A438&lt;&gt;0),A438,TODAY()))</f>
        <v/>
      </c>
      <c r="B438" s="20"/>
      <c r="C438" s="21"/>
      <c r="D438" s="21"/>
      <c r="E438" s="21"/>
      <c r="F438" s="21"/>
      <c r="G438" s="21"/>
      <c r="H438" s="22"/>
      <c r="I438" s="22"/>
      <c r="J438" s="22"/>
      <c r="K438" s="23" t="str">
        <f aca="false">IF($B438="","",IF(AND(I438="",J438=""),"",I438+J438))</f>
        <v/>
      </c>
      <c r="L438" s="23" t="str">
        <f aca="false">IF(OR($B438="",K438=""),"",K438-H438)</f>
        <v/>
      </c>
      <c r="M438" s="24" t="str">
        <f aca="false">IF($B438="","",IF(AND(I438="",J438=""),"Not Counted",IF(OR(I438="",J438=""),"Partially Counted",IF(L438=0,"Match",IF(L438&gt;0,"Overage","Shortage")))))</f>
        <v/>
      </c>
      <c r="N438" s="24" t="str">
        <f aca="false">IF($B438="","",IF(AND(N438&lt;&gt;"",N438&lt;&gt;0),N438,$B$4))</f>
        <v/>
      </c>
      <c r="O438" s="21"/>
      <c r="P438" s="21"/>
      <c r="Q438" s="21"/>
    </row>
    <row r="439" customFormat="false" ht="15" hidden="false" customHeight="false" outlineLevel="0" collapsed="false">
      <c r="A439" s="19" t="str">
        <f aca="true">IF($B439="","",IF(AND(A439&lt;&gt;"",A439&lt;&gt;0),A439,TODAY()))</f>
        <v/>
      </c>
      <c r="B439" s="20"/>
      <c r="C439" s="21"/>
      <c r="D439" s="21"/>
      <c r="E439" s="21"/>
      <c r="F439" s="21"/>
      <c r="G439" s="21"/>
      <c r="H439" s="22"/>
      <c r="I439" s="22"/>
      <c r="J439" s="22"/>
      <c r="K439" s="23" t="str">
        <f aca="false">IF($B439="","",IF(AND(I439="",J439=""),"",I439+J439))</f>
        <v/>
      </c>
      <c r="L439" s="23" t="str">
        <f aca="false">IF(OR($B439="",K439=""),"",K439-H439)</f>
        <v/>
      </c>
      <c r="M439" s="24" t="str">
        <f aca="false">IF($B439="","",IF(AND(I439="",J439=""),"Not Counted",IF(OR(I439="",J439=""),"Partially Counted",IF(L439=0,"Match",IF(L439&gt;0,"Overage","Shortage")))))</f>
        <v/>
      </c>
      <c r="N439" s="24" t="str">
        <f aca="false">IF($B439="","",IF(AND(N439&lt;&gt;"",N439&lt;&gt;0),N439,$B$4))</f>
        <v/>
      </c>
      <c r="O439" s="21"/>
      <c r="P439" s="21"/>
      <c r="Q439" s="21"/>
    </row>
    <row r="440" customFormat="false" ht="15" hidden="false" customHeight="false" outlineLevel="0" collapsed="false">
      <c r="A440" s="19" t="str">
        <f aca="true">IF($B440="","",IF(AND(A440&lt;&gt;"",A440&lt;&gt;0),A440,TODAY()))</f>
        <v/>
      </c>
      <c r="B440" s="20"/>
      <c r="C440" s="21"/>
      <c r="D440" s="21"/>
      <c r="E440" s="21"/>
      <c r="F440" s="21"/>
      <c r="G440" s="21"/>
      <c r="H440" s="22"/>
      <c r="I440" s="22"/>
      <c r="J440" s="22"/>
      <c r="K440" s="23" t="str">
        <f aca="false">IF($B440="","",IF(AND(I440="",J440=""),"",I440+J440))</f>
        <v/>
      </c>
      <c r="L440" s="23" t="str">
        <f aca="false">IF(OR($B440="",K440=""),"",K440-H440)</f>
        <v/>
      </c>
      <c r="M440" s="24" t="str">
        <f aca="false">IF($B440="","",IF(AND(I440="",J440=""),"Not Counted",IF(OR(I440="",J440=""),"Partially Counted",IF(L440=0,"Match",IF(L440&gt;0,"Overage","Shortage")))))</f>
        <v/>
      </c>
      <c r="N440" s="24" t="str">
        <f aca="false">IF($B440="","",IF(AND(N440&lt;&gt;"",N440&lt;&gt;0),N440,$B$4))</f>
        <v/>
      </c>
      <c r="O440" s="21"/>
      <c r="P440" s="21"/>
      <c r="Q440" s="21"/>
    </row>
    <row r="441" customFormat="false" ht="15" hidden="false" customHeight="false" outlineLevel="0" collapsed="false">
      <c r="A441" s="19" t="str">
        <f aca="true">IF($B441="","",IF(AND(A441&lt;&gt;"",A441&lt;&gt;0),A441,TODAY()))</f>
        <v/>
      </c>
      <c r="B441" s="20"/>
      <c r="C441" s="21"/>
      <c r="D441" s="21"/>
      <c r="E441" s="21"/>
      <c r="F441" s="21"/>
      <c r="G441" s="21"/>
      <c r="H441" s="22"/>
      <c r="I441" s="22"/>
      <c r="J441" s="22"/>
      <c r="K441" s="23" t="str">
        <f aca="false">IF($B441="","",IF(AND(I441="",J441=""),"",I441+J441))</f>
        <v/>
      </c>
      <c r="L441" s="23" t="str">
        <f aca="false">IF(OR($B441="",K441=""),"",K441-H441)</f>
        <v/>
      </c>
      <c r="M441" s="24" t="str">
        <f aca="false">IF($B441="","",IF(AND(I441="",J441=""),"Not Counted",IF(OR(I441="",J441=""),"Partially Counted",IF(L441=0,"Match",IF(L441&gt;0,"Overage","Shortage")))))</f>
        <v/>
      </c>
      <c r="N441" s="24" t="str">
        <f aca="false">IF($B441="","",IF(AND(N441&lt;&gt;"",N441&lt;&gt;0),N441,$B$4))</f>
        <v/>
      </c>
      <c r="O441" s="21"/>
      <c r="P441" s="21"/>
      <c r="Q441" s="21"/>
    </row>
    <row r="442" customFormat="false" ht="15" hidden="false" customHeight="false" outlineLevel="0" collapsed="false">
      <c r="A442" s="19" t="str">
        <f aca="true">IF($B442="","",IF(AND(A442&lt;&gt;"",A442&lt;&gt;0),A442,TODAY()))</f>
        <v/>
      </c>
      <c r="B442" s="20"/>
      <c r="C442" s="21"/>
      <c r="D442" s="21"/>
      <c r="E442" s="21"/>
      <c r="F442" s="21"/>
      <c r="G442" s="21"/>
      <c r="H442" s="22"/>
      <c r="I442" s="22"/>
      <c r="J442" s="22"/>
      <c r="K442" s="23" t="str">
        <f aca="false">IF($B442="","",IF(AND(I442="",J442=""),"",I442+J442))</f>
        <v/>
      </c>
      <c r="L442" s="23" t="str">
        <f aca="false">IF(OR($B442="",K442=""),"",K442-H442)</f>
        <v/>
      </c>
      <c r="M442" s="24" t="str">
        <f aca="false">IF($B442="","",IF(AND(I442="",J442=""),"Not Counted",IF(OR(I442="",J442=""),"Partially Counted",IF(L442=0,"Match",IF(L442&gt;0,"Overage","Shortage")))))</f>
        <v/>
      </c>
      <c r="N442" s="24" t="str">
        <f aca="false">IF($B442="","",IF(AND(N442&lt;&gt;"",N442&lt;&gt;0),N442,$B$4))</f>
        <v/>
      </c>
      <c r="O442" s="21"/>
      <c r="P442" s="21"/>
      <c r="Q442" s="21"/>
    </row>
    <row r="443" customFormat="false" ht="15" hidden="false" customHeight="false" outlineLevel="0" collapsed="false">
      <c r="A443" s="19" t="str">
        <f aca="true">IF($B443="","",IF(AND(A443&lt;&gt;"",A443&lt;&gt;0),A443,TODAY()))</f>
        <v/>
      </c>
      <c r="B443" s="20"/>
      <c r="C443" s="21"/>
      <c r="D443" s="21"/>
      <c r="E443" s="21"/>
      <c r="F443" s="21"/>
      <c r="G443" s="21"/>
      <c r="H443" s="22"/>
      <c r="I443" s="22"/>
      <c r="J443" s="22"/>
      <c r="K443" s="23" t="str">
        <f aca="false">IF($B443="","",IF(AND(I443="",J443=""),"",I443+J443))</f>
        <v/>
      </c>
      <c r="L443" s="23" t="str">
        <f aca="false">IF(OR($B443="",K443=""),"",K443-H443)</f>
        <v/>
      </c>
      <c r="M443" s="24" t="str">
        <f aca="false">IF($B443="","",IF(AND(I443="",J443=""),"Not Counted",IF(OR(I443="",J443=""),"Partially Counted",IF(L443=0,"Match",IF(L443&gt;0,"Overage","Shortage")))))</f>
        <v/>
      </c>
      <c r="N443" s="24" t="str">
        <f aca="false">IF($B443="","",IF(AND(N443&lt;&gt;"",N443&lt;&gt;0),N443,$B$4))</f>
        <v/>
      </c>
      <c r="O443" s="21"/>
      <c r="P443" s="21"/>
      <c r="Q443" s="21"/>
    </row>
    <row r="444" customFormat="false" ht="15" hidden="false" customHeight="false" outlineLevel="0" collapsed="false">
      <c r="A444" s="19" t="str">
        <f aca="true">IF($B444="","",IF(AND(A444&lt;&gt;"",A444&lt;&gt;0),A444,TODAY()))</f>
        <v/>
      </c>
      <c r="B444" s="20"/>
      <c r="C444" s="21"/>
      <c r="D444" s="21"/>
      <c r="E444" s="21"/>
      <c r="F444" s="21"/>
      <c r="G444" s="21"/>
      <c r="H444" s="22"/>
      <c r="I444" s="22"/>
      <c r="J444" s="22"/>
      <c r="K444" s="23" t="str">
        <f aca="false">IF($B444="","",IF(AND(I444="",J444=""),"",I444+J444))</f>
        <v/>
      </c>
      <c r="L444" s="23" t="str">
        <f aca="false">IF(OR($B444="",K444=""),"",K444-H444)</f>
        <v/>
      </c>
      <c r="M444" s="24" t="str">
        <f aca="false">IF($B444="","",IF(AND(I444="",J444=""),"Not Counted",IF(OR(I444="",J444=""),"Partially Counted",IF(L444=0,"Match",IF(L444&gt;0,"Overage","Shortage")))))</f>
        <v/>
      </c>
      <c r="N444" s="24" t="str">
        <f aca="false">IF($B444="","",IF(AND(N444&lt;&gt;"",N444&lt;&gt;0),N444,$B$4))</f>
        <v/>
      </c>
      <c r="O444" s="21"/>
      <c r="P444" s="21"/>
      <c r="Q444" s="21"/>
    </row>
    <row r="445" customFormat="false" ht="15" hidden="false" customHeight="false" outlineLevel="0" collapsed="false">
      <c r="A445" s="19" t="str">
        <f aca="true">IF($B445="","",IF(AND(A445&lt;&gt;"",A445&lt;&gt;0),A445,TODAY()))</f>
        <v/>
      </c>
      <c r="B445" s="20"/>
      <c r="C445" s="21"/>
      <c r="D445" s="21"/>
      <c r="E445" s="21"/>
      <c r="F445" s="21"/>
      <c r="G445" s="21"/>
      <c r="H445" s="22"/>
      <c r="I445" s="22"/>
      <c r="J445" s="22"/>
      <c r="K445" s="23" t="str">
        <f aca="false">IF($B445="","",IF(AND(I445="",J445=""),"",I445+J445))</f>
        <v/>
      </c>
      <c r="L445" s="23" t="str">
        <f aca="false">IF(OR($B445="",K445=""),"",K445-H445)</f>
        <v/>
      </c>
      <c r="M445" s="24" t="str">
        <f aca="false">IF($B445="","",IF(AND(I445="",J445=""),"Not Counted",IF(OR(I445="",J445=""),"Partially Counted",IF(L445=0,"Match",IF(L445&gt;0,"Overage","Shortage")))))</f>
        <v/>
      </c>
      <c r="N445" s="24" t="str">
        <f aca="false">IF($B445="","",IF(AND(N445&lt;&gt;"",N445&lt;&gt;0),N445,$B$4))</f>
        <v/>
      </c>
      <c r="O445" s="21"/>
      <c r="P445" s="21"/>
      <c r="Q445" s="21"/>
    </row>
    <row r="446" customFormat="false" ht="15" hidden="false" customHeight="false" outlineLevel="0" collapsed="false">
      <c r="A446" s="19" t="str">
        <f aca="true">IF($B446="","",IF(AND(A446&lt;&gt;"",A446&lt;&gt;0),A446,TODAY()))</f>
        <v/>
      </c>
      <c r="B446" s="20"/>
      <c r="C446" s="21"/>
      <c r="D446" s="21"/>
      <c r="E446" s="21"/>
      <c r="F446" s="21"/>
      <c r="G446" s="21"/>
      <c r="H446" s="22"/>
      <c r="I446" s="22"/>
      <c r="J446" s="22"/>
      <c r="K446" s="23" t="str">
        <f aca="false">IF($B446="","",IF(AND(I446="",J446=""),"",I446+J446))</f>
        <v/>
      </c>
      <c r="L446" s="23" t="str">
        <f aca="false">IF(OR($B446="",K446=""),"",K446-H446)</f>
        <v/>
      </c>
      <c r="M446" s="24" t="str">
        <f aca="false">IF($B446="","",IF(AND(I446="",J446=""),"Not Counted",IF(OR(I446="",J446=""),"Partially Counted",IF(L446=0,"Match",IF(L446&gt;0,"Overage","Shortage")))))</f>
        <v/>
      </c>
      <c r="N446" s="24" t="str">
        <f aca="false">IF($B446="","",IF(AND(N446&lt;&gt;"",N446&lt;&gt;0),N446,$B$4))</f>
        <v/>
      </c>
      <c r="O446" s="21"/>
      <c r="P446" s="21"/>
      <c r="Q446" s="21"/>
    </row>
    <row r="447" customFormat="false" ht="15" hidden="false" customHeight="false" outlineLevel="0" collapsed="false">
      <c r="A447" s="19" t="str">
        <f aca="true">IF($B447="","",IF(AND(A447&lt;&gt;"",A447&lt;&gt;0),A447,TODAY()))</f>
        <v/>
      </c>
      <c r="B447" s="20"/>
      <c r="C447" s="21"/>
      <c r="D447" s="21"/>
      <c r="E447" s="21"/>
      <c r="F447" s="21"/>
      <c r="G447" s="21"/>
      <c r="H447" s="22"/>
      <c r="I447" s="22"/>
      <c r="J447" s="22"/>
      <c r="K447" s="23" t="str">
        <f aca="false">IF($B447="","",IF(AND(I447="",J447=""),"",I447+J447))</f>
        <v/>
      </c>
      <c r="L447" s="23" t="str">
        <f aca="false">IF(OR($B447="",K447=""),"",K447-H447)</f>
        <v/>
      </c>
      <c r="M447" s="24" t="str">
        <f aca="false">IF($B447="","",IF(AND(I447="",J447=""),"Not Counted",IF(OR(I447="",J447=""),"Partially Counted",IF(L447=0,"Match",IF(L447&gt;0,"Overage","Shortage")))))</f>
        <v/>
      </c>
      <c r="N447" s="24" t="str">
        <f aca="false">IF($B447="","",IF(AND(N447&lt;&gt;"",N447&lt;&gt;0),N447,$B$4))</f>
        <v/>
      </c>
      <c r="O447" s="21"/>
      <c r="P447" s="21"/>
      <c r="Q447" s="21"/>
    </row>
    <row r="448" customFormat="false" ht="15" hidden="false" customHeight="false" outlineLevel="0" collapsed="false">
      <c r="A448" s="19" t="str">
        <f aca="true">IF($B448="","",IF(AND(A448&lt;&gt;"",A448&lt;&gt;0),A448,TODAY()))</f>
        <v/>
      </c>
      <c r="B448" s="20"/>
      <c r="C448" s="21"/>
      <c r="D448" s="21"/>
      <c r="E448" s="21"/>
      <c r="F448" s="21"/>
      <c r="G448" s="21"/>
      <c r="H448" s="22"/>
      <c r="I448" s="22"/>
      <c r="J448" s="22"/>
      <c r="K448" s="23" t="str">
        <f aca="false">IF($B448="","",IF(AND(I448="",J448=""),"",I448+J448))</f>
        <v/>
      </c>
      <c r="L448" s="23" t="str">
        <f aca="false">IF(OR($B448="",K448=""),"",K448-H448)</f>
        <v/>
      </c>
      <c r="M448" s="24" t="str">
        <f aca="false">IF($B448="","",IF(AND(I448="",J448=""),"Not Counted",IF(OR(I448="",J448=""),"Partially Counted",IF(L448=0,"Match",IF(L448&gt;0,"Overage","Shortage")))))</f>
        <v/>
      </c>
      <c r="N448" s="24" t="str">
        <f aca="false">IF($B448="","",IF(AND(N448&lt;&gt;"",N448&lt;&gt;0),N448,$B$4))</f>
        <v/>
      </c>
      <c r="O448" s="21"/>
      <c r="P448" s="21"/>
      <c r="Q448" s="21"/>
    </row>
    <row r="449" customFormat="false" ht="15" hidden="false" customHeight="false" outlineLevel="0" collapsed="false">
      <c r="A449" s="19" t="str">
        <f aca="true">IF($B449="","",IF(AND(A449&lt;&gt;"",A449&lt;&gt;0),A449,TODAY()))</f>
        <v/>
      </c>
      <c r="B449" s="20"/>
      <c r="C449" s="21"/>
      <c r="D449" s="21"/>
      <c r="E449" s="21"/>
      <c r="F449" s="21"/>
      <c r="G449" s="21"/>
      <c r="H449" s="22"/>
      <c r="I449" s="22"/>
      <c r="J449" s="22"/>
      <c r="K449" s="23" t="str">
        <f aca="false">IF($B449="","",IF(AND(I449="",J449=""),"",I449+J449))</f>
        <v/>
      </c>
      <c r="L449" s="23" t="str">
        <f aca="false">IF(OR($B449="",K449=""),"",K449-H449)</f>
        <v/>
      </c>
      <c r="M449" s="24" t="str">
        <f aca="false">IF($B449="","",IF(AND(I449="",J449=""),"Not Counted",IF(OR(I449="",J449=""),"Partially Counted",IF(L449=0,"Match",IF(L449&gt;0,"Overage","Shortage")))))</f>
        <v/>
      </c>
      <c r="N449" s="24" t="str">
        <f aca="false">IF($B449="","",IF(AND(N449&lt;&gt;"",N449&lt;&gt;0),N449,$B$4))</f>
        <v/>
      </c>
      <c r="O449" s="21"/>
      <c r="P449" s="21"/>
      <c r="Q449" s="21"/>
    </row>
    <row r="450" customFormat="false" ht="15" hidden="false" customHeight="false" outlineLevel="0" collapsed="false">
      <c r="A450" s="19" t="str">
        <f aca="true">IF($B450="","",IF(AND(A450&lt;&gt;"",A450&lt;&gt;0),A450,TODAY()))</f>
        <v/>
      </c>
      <c r="B450" s="20"/>
      <c r="C450" s="21"/>
      <c r="D450" s="21"/>
      <c r="E450" s="21"/>
      <c r="F450" s="21"/>
      <c r="G450" s="21"/>
      <c r="H450" s="22"/>
      <c r="I450" s="22"/>
      <c r="J450" s="22"/>
      <c r="K450" s="23" t="str">
        <f aca="false">IF($B450="","",IF(AND(I450="",J450=""),"",I450+J450))</f>
        <v/>
      </c>
      <c r="L450" s="23" t="str">
        <f aca="false">IF(OR($B450="",K450=""),"",K450-H450)</f>
        <v/>
      </c>
      <c r="M450" s="24" t="str">
        <f aca="false">IF($B450="","",IF(AND(I450="",J450=""),"Not Counted",IF(OR(I450="",J450=""),"Partially Counted",IF(L450=0,"Match",IF(L450&gt;0,"Overage","Shortage")))))</f>
        <v/>
      </c>
      <c r="N450" s="24" t="str">
        <f aca="false">IF($B450="","",IF(AND(N450&lt;&gt;"",N450&lt;&gt;0),N450,$B$4))</f>
        <v/>
      </c>
      <c r="O450" s="21"/>
      <c r="P450" s="21"/>
      <c r="Q450" s="21"/>
    </row>
    <row r="451" customFormat="false" ht="15" hidden="false" customHeight="false" outlineLevel="0" collapsed="false">
      <c r="A451" s="19" t="str">
        <f aca="true">IF($B451="","",IF(AND(A451&lt;&gt;"",A451&lt;&gt;0),A451,TODAY()))</f>
        <v/>
      </c>
      <c r="B451" s="20"/>
      <c r="C451" s="21"/>
      <c r="D451" s="21"/>
      <c r="E451" s="21"/>
      <c r="F451" s="21"/>
      <c r="G451" s="21"/>
      <c r="H451" s="22"/>
      <c r="I451" s="22"/>
      <c r="J451" s="22"/>
      <c r="K451" s="23" t="str">
        <f aca="false">IF($B451="","",IF(AND(I451="",J451=""),"",I451+J451))</f>
        <v/>
      </c>
      <c r="L451" s="23" t="str">
        <f aca="false">IF(OR($B451="",K451=""),"",K451-H451)</f>
        <v/>
      </c>
      <c r="M451" s="24" t="str">
        <f aca="false">IF($B451="","",IF(AND(I451="",J451=""),"Not Counted",IF(OR(I451="",J451=""),"Partially Counted",IF(L451=0,"Match",IF(L451&gt;0,"Overage","Shortage")))))</f>
        <v/>
      </c>
      <c r="N451" s="24" t="str">
        <f aca="false">IF($B451="","",IF(AND(N451&lt;&gt;"",N451&lt;&gt;0),N451,$B$4))</f>
        <v/>
      </c>
      <c r="O451" s="21"/>
      <c r="P451" s="21"/>
      <c r="Q451" s="21"/>
    </row>
    <row r="452" customFormat="false" ht="15" hidden="false" customHeight="false" outlineLevel="0" collapsed="false">
      <c r="A452" s="19" t="str">
        <f aca="true">IF($B452="","",IF(AND(A452&lt;&gt;"",A452&lt;&gt;0),A452,TODAY()))</f>
        <v/>
      </c>
      <c r="B452" s="20"/>
      <c r="C452" s="21"/>
      <c r="D452" s="21"/>
      <c r="E452" s="21"/>
      <c r="F452" s="21"/>
      <c r="G452" s="21"/>
      <c r="H452" s="22"/>
      <c r="I452" s="22"/>
      <c r="J452" s="22"/>
      <c r="K452" s="23" t="str">
        <f aca="false">IF($B452="","",IF(AND(I452="",J452=""),"",I452+J452))</f>
        <v/>
      </c>
      <c r="L452" s="23" t="str">
        <f aca="false">IF(OR($B452="",K452=""),"",K452-H452)</f>
        <v/>
      </c>
      <c r="M452" s="24" t="str">
        <f aca="false">IF($B452="","",IF(AND(I452="",J452=""),"Not Counted",IF(OR(I452="",J452=""),"Partially Counted",IF(L452=0,"Match",IF(L452&gt;0,"Overage","Shortage")))))</f>
        <v/>
      </c>
      <c r="N452" s="24" t="str">
        <f aca="false">IF($B452="","",IF(AND(N452&lt;&gt;"",N452&lt;&gt;0),N452,$B$4))</f>
        <v/>
      </c>
      <c r="O452" s="21"/>
      <c r="P452" s="21"/>
      <c r="Q452" s="21"/>
    </row>
    <row r="453" customFormat="false" ht="15" hidden="false" customHeight="false" outlineLevel="0" collapsed="false">
      <c r="A453" s="19" t="str">
        <f aca="true">IF($B453="","",IF(AND(A453&lt;&gt;"",A453&lt;&gt;0),A453,TODAY()))</f>
        <v/>
      </c>
      <c r="B453" s="20"/>
      <c r="C453" s="21"/>
      <c r="D453" s="21"/>
      <c r="E453" s="21"/>
      <c r="F453" s="21"/>
      <c r="G453" s="21"/>
      <c r="H453" s="22"/>
      <c r="I453" s="22"/>
      <c r="J453" s="22"/>
      <c r="K453" s="23" t="str">
        <f aca="false">IF($B453="","",IF(AND(I453="",J453=""),"",I453+J453))</f>
        <v/>
      </c>
      <c r="L453" s="23" t="str">
        <f aca="false">IF(OR($B453="",K453=""),"",K453-H453)</f>
        <v/>
      </c>
      <c r="M453" s="24" t="str">
        <f aca="false">IF($B453="","",IF(AND(I453="",J453=""),"Not Counted",IF(OR(I453="",J453=""),"Partially Counted",IF(L453=0,"Match",IF(L453&gt;0,"Overage","Shortage")))))</f>
        <v/>
      </c>
      <c r="N453" s="24" t="str">
        <f aca="false">IF($B453="","",IF(AND(N453&lt;&gt;"",N453&lt;&gt;0),N453,$B$4))</f>
        <v/>
      </c>
      <c r="O453" s="21"/>
      <c r="P453" s="21"/>
      <c r="Q453" s="21"/>
    </row>
    <row r="454" customFormat="false" ht="15" hidden="false" customHeight="false" outlineLevel="0" collapsed="false">
      <c r="A454" s="19" t="str">
        <f aca="true">IF($B454="","",IF(AND(A454&lt;&gt;"",A454&lt;&gt;0),A454,TODAY()))</f>
        <v/>
      </c>
      <c r="B454" s="20"/>
      <c r="C454" s="21"/>
      <c r="D454" s="21"/>
      <c r="E454" s="21"/>
      <c r="F454" s="21"/>
      <c r="G454" s="21"/>
      <c r="H454" s="22"/>
      <c r="I454" s="22"/>
      <c r="J454" s="22"/>
      <c r="K454" s="23" t="str">
        <f aca="false">IF($B454="","",IF(AND(I454="",J454=""),"",I454+J454))</f>
        <v/>
      </c>
      <c r="L454" s="23" t="str">
        <f aca="false">IF(OR($B454="",K454=""),"",K454-H454)</f>
        <v/>
      </c>
      <c r="M454" s="24" t="str">
        <f aca="false">IF($B454="","",IF(AND(I454="",J454=""),"Not Counted",IF(OR(I454="",J454=""),"Partially Counted",IF(L454=0,"Match",IF(L454&gt;0,"Overage","Shortage")))))</f>
        <v/>
      </c>
      <c r="N454" s="24" t="str">
        <f aca="false">IF($B454="","",IF(AND(N454&lt;&gt;"",N454&lt;&gt;0),N454,$B$4))</f>
        <v/>
      </c>
      <c r="O454" s="21"/>
      <c r="P454" s="21"/>
      <c r="Q454" s="21"/>
    </row>
    <row r="455" customFormat="false" ht="15" hidden="false" customHeight="false" outlineLevel="0" collapsed="false">
      <c r="A455" s="19" t="str">
        <f aca="true">IF($B455="","",IF(AND(A455&lt;&gt;"",A455&lt;&gt;0),A455,TODAY()))</f>
        <v/>
      </c>
      <c r="B455" s="20"/>
      <c r="C455" s="21"/>
      <c r="D455" s="21"/>
      <c r="E455" s="21"/>
      <c r="F455" s="21"/>
      <c r="G455" s="21"/>
      <c r="H455" s="22"/>
      <c r="I455" s="22"/>
      <c r="J455" s="22"/>
      <c r="K455" s="23" t="str">
        <f aca="false">IF($B455="","",IF(AND(I455="",J455=""),"",I455+J455))</f>
        <v/>
      </c>
      <c r="L455" s="23" t="str">
        <f aca="false">IF(OR($B455="",K455=""),"",K455-H455)</f>
        <v/>
      </c>
      <c r="M455" s="24" t="str">
        <f aca="false">IF($B455="","",IF(AND(I455="",J455=""),"Not Counted",IF(OR(I455="",J455=""),"Partially Counted",IF(L455=0,"Match",IF(L455&gt;0,"Overage","Shortage")))))</f>
        <v/>
      </c>
      <c r="N455" s="24" t="str">
        <f aca="false">IF($B455="","",IF(AND(N455&lt;&gt;"",N455&lt;&gt;0),N455,$B$4))</f>
        <v/>
      </c>
      <c r="O455" s="21"/>
      <c r="P455" s="21"/>
      <c r="Q455" s="21"/>
    </row>
    <row r="456" customFormat="false" ht="15" hidden="false" customHeight="false" outlineLevel="0" collapsed="false">
      <c r="A456" s="19" t="str">
        <f aca="true">IF($B456="","",IF(AND(A456&lt;&gt;"",A456&lt;&gt;0),A456,TODAY()))</f>
        <v/>
      </c>
      <c r="B456" s="20"/>
      <c r="C456" s="21"/>
      <c r="D456" s="21"/>
      <c r="E456" s="21"/>
      <c r="F456" s="21"/>
      <c r="G456" s="21"/>
      <c r="H456" s="22"/>
      <c r="I456" s="22"/>
      <c r="J456" s="22"/>
      <c r="K456" s="23" t="str">
        <f aca="false">IF($B456="","",IF(AND(I456="",J456=""),"",I456+J456))</f>
        <v/>
      </c>
      <c r="L456" s="23" t="str">
        <f aca="false">IF(OR($B456="",K456=""),"",K456-H456)</f>
        <v/>
      </c>
      <c r="M456" s="24" t="str">
        <f aca="false">IF($B456="","",IF(AND(I456="",J456=""),"Not Counted",IF(OR(I456="",J456=""),"Partially Counted",IF(L456=0,"Match",IF(L456&gt;0,"Overage","Shortage")))))</f>
        <v/>
      </c>
      <c r="N456" s="24" t="str">
        <f aca="false">IF($B456="","",IF(AND(N456&lt;&gt;"",N456&lt;&gt;0),N456,$B$4))</f>
        <v/>
      </c>
      <c r="O456" s="21"/>
      <c r="P456" s="21"/>
      <c r="Q456" s="21"/>
    </row>
    <row r="457" customFormat="false" ht="15" hidden="false" customHeight="false" outlineLevel="0" collapsed="false">
      <c r="A457" s="19" t="str">
        <f aca="true">IF($B457="","",IF(AND(A457&lt;&gt;"",A457&lt;&gt;0),A457,TODAY()))</f>
        <v/>
      </c>
      <c r="B457" s="20"/>
      <c r="C457" s="21"/>
      <c r="D457" s="21"/>
      <c r="E457" s="21"/>
      <c r="F457" s="21"/>
      <c r="G457" s="21"/>
      <c r="H457" s="22"/>
      <c r="I457" s="22"/>
      <c r="J457" s="22"/>
      <c r="K457" s="23" t="str">
        <f aca="false">IF($B457="","",IF(AND(I457="",J457=""),"",I457+J457))</f>
        <v/>
      </c>
      <c r="L457" s="23" t="str">
        <f aca="false">IF(OR($B457="",K457=""),"",K457-H457)</f>
        <v/>
      </c>
      <c r="M457" s="24" t="str">
        <f aca="false">IF($B457="","",IF(AND(I457="",J457=""),"Not Counted",IF(OR(I457="",J457=""),"Partially Counted",IF(L457=0,"Match",IF(L457&gt;0,"Overage","Shortage")))))</f>
        <v/>
      </c>
      <c r="N457" s="24" t="str">
        <f aca="false">IF($B457="","",IF(AND(N457&lt;&gt;"",N457&lt;&gt;0),N457,$B$4))</f>
        <v/>
      </c>
      <c r="O457" s="21"/>
      <c r="P457" s="21"/>
      <c r="Q457" s="21"/>
    </row>
    <row r="458" customFormat="false" ht="15" hidden="false" customHeight="false" outlineLevel="0" collapsed="false">
      <c r="A458" s="19" t="str">
        <f aca="true">IF($B458="","",IF(AND(A458&lt;&gt;"",A458&lt;&gt;0),A458,TODAY()))</f>
        <v/>
      </c>
      <c r="B458" s="20"/>
      <c r="C458" s="21"/>
      <c r="D458" s="21"/>
      <c r="E458" s="21"/>
      <c r="F458" s="21"/>
      <c r="G458" s="21"/>
      <c r="H458" s="22"/>
      <c r="I458" s="22"/>
      <c r="J458" s="22"/>
      <c r="K458" s="23" t="str">
        <f aca="false">IF($B458="","",IF(AND(I458="",J458=""),"",I458+J458))</f>
        <v/>
      </c>
      <c r="L458" s="23" t="str">
        <f aca="false">IF(OR($B458="",K458=""),"",K458-H458)</f>
        <v/>
      </c>
      <c r="M458" s="24" t="str">
        <f aca="false">IF($B458="","",IF(AND(I458="",J458=""),"Not Counted",IF(OR(I458="",J458=""),"Partially Counted",IF(L458=0,"Match",IF(L458&gt;0,"Overage","Shortage")))))</f>
        <v/>
      </c>
      <c r="N458" s="24" t="str">
        <f aca="false">IF($B458="","",IF(AND(N458&lt;&gt;"",N458&lt;&gt;0),N458,$B$4))</f>
        <v/>
      </c>
      <c r="O458" s="21"/>
      <c r="P458" s="21"/>
      <c r="Q458" s="21"/>
    </row>
    <row r="459" customFormat="false" ht="15" hidden="false" customHeight="false" outlineLevel="0" collapsed="false">
      <c r="A459" s="19" t="str">
        <f aca="true">IF($B459="","",IF(AND(A459&lt;&gt;"",A459&lt;&gt;0),A459,TODAY()))</f>
        <v/>
      </c>
      <c r="B459" s="20"/>
      <c r="C459" s="21"/>
      <c r="D459" s="21"/>
      <c r="E459" s="21"/>
      <c r="F459" s="21"/>
      <c r="G459" s="21"/>
      <c r="H459" s="22"/>
      <c r="I459" s="22"/>
      <c r="J459" s="22"/>
      <c r="K459" s="23" t="str">
        <f aca="false">IF($B459="","",IF(AND(I459="",J459=""),"",I459+J459))</f>
        <v/>
      </c>
      <c r="L459" s="23" t="str">
        <f aca="false">IF(OR($B459="",K459=""),"",K459-H459)</f>
        <v/>
      </c>
      <c r="M459" s="24" t="str">
        <f aca="false">IF($B459="","",IF(AND(I459="",J459=""),"Not Counted",IF(OR(I459="",J459=""),"Partially Counted",IF(L459=0,"Match",IF(L459&gt;0,"Overage","Shortage")))))</f>
        <v/>
      </c>
      <c r="N459" s="24" t="str">
        <f aca="false">IF($B459="","",IF(AND(N459&lt;&gt;"",N459&lt;&gt;0),N459,$B$4))</f>
        <v/>
      </c>
      <c r="O459" s="21"/>
      <c r="P459" s="21"/>
      <c r="Q459" s="21"/>
    </row>
    <row r="460" customFormat="false" ht="15" hidden="false" customHeight="false" outlineLevel="0" collapsed="false">
      <c r="A460" s="19" t="str">
        <f aca="true">IF($B460="","",IF(AND(A460&lt;&gt;"",A460&lt;&gt;0),A460,TODAY()))</f>
        <v/>
      </c>
      <c r="B460" s="20"/>
      <c r="C460" s="21"/>
      <c r="D460" s="21"/>
      <c r="E460" s="21"/>
      <c r="F460" s="21"/>
      <c r="G460" s="21"/>
      <c r="H460" s="22"/>
      <c r="I460" s="22"/>
      <c r="J460" s="22"/>
      <c r="K460" s="23" t="str">
        <f aca="false">IF($B460="","",IF(AND(I460="",J460=""),"",I460+J460))</f>
        <v/>
      </c>
      <c r="L460" s="23" t="str">
        <f aca="false">IF(OR($B460="",K460=""),"",K460-H460)</f>
        <v/>
      </c>
      <c r="M460" s="24" t="str">
        <f aca="false">IF($B460="","",IF(AND(I460="",J460=""),"Not Counted",IF(OR(I460="",J460=""),"Partially Counted",IF(L460=0,"Match",IF(L460&gt;0,"Overage","Shortage")))))</f>
        <v/>
      </c>
      <c r="N460" s="24" t="str">
        <f aca="false">IF($B460="","",IF(AND(N460&lt;&gt;"",N460&lt;&gt;0),N460,$B$4))</f>
        <v/>
      </c>
      <c r="O460" s="21"/>
      <c r="P460" s="21"/>
      <c r="Q460" s="21"/>
    </row>
    <row r="461" customFormat="false" ht="15" hidden="false" customHeight="false" outlineLevel="0" collapsed="false">
      <c r="A461" s="19" t="str">
        <f aca="true">IF($B461="","",IF(AND(A461&lt;&gt;"",A461&lt;&gt;0),A461,TODAY()))</f>
        <v/>
      </c>
      <c r="B461" s="20"/>
      <c r="C461" s="21"/>
      <c r="D461" s="21"/>
      <c r="E461" s="21"/>
      <c r="F461" s="21"/>
      <c r="G461" s="21"/>
      <c r="H461" s="22"/>
      <c r="I461" s="22"/>
      <c r="J461" s="22"/>
      <c r="K461" s="23" t="str">
        <f aca="false">IF($B461="","",IF(AND(I461="",J461=""),"",I461+J461))</f>
        <v/>
      </c>
      <c r="L461" s="23" t="str">
        <f aca="false">IF(OR($B461="",K461=""),"",K461-H461)</f>
        <v/>
      </c>
      <c r="M461" s="24" t="str">
        <f aca="false">IF($B461="","",IF(AND(I461="",J461=""),"Not Counted",IF(OR(I461="",J461=""),"Partially Counted",IF(L461=0,"Match",IF(L461&gt;0,"Overage","Shortage")))))</f>
        <v/>
      </c>
      <c r="N461" s="24" t="str">
        <f aca="false">IF($B461="","",IF(AND(N461&lt;&gt;"",N461&lt;&gt;0),N461,$B$4))</f>
        <v/>
      </c>
      <c r="O461" s="21"/>
      <c r="P461" s="21"/>
      <c r="Q461" s="21"/>
    </row>
    <row r="462" customFormat="false" ht="15" hidden="false" customHeight="false" outlineLevel="0" collapsed="false">
      <c r="A462" s="19" t="str">
        <f aca="true">IF($B462="","",IF(AND(A462&lt;&gt;"",A462&lt;&gt;0),A462,TODAY()))</f>
        <v/>
      </c>
      <c r="B462" s="20"/>
      <c r="C462" s="21"/>
      <c r="D462" s="21"/>
      <c r="E462" s="21"/>
      <c r="F462" s="21"/>
      <c r="G462" s="21"/>
      <c r="H462" s="22"/>
      <c r="I462" s="22"/>
      <c r="J462" s="22"/>
      <c r="K462" s="23" t="str">
        <f aca="false">IF($B462="","",IF(AND(I462="",J462=""),"",I462+J462))</f>
        <v/>
      </c>
      <c r="L462" s="23" t="str">
        <f aca="false">IF(OR($B462="",K462=""),"",K462-H462)</f>
        <v/>
      </c>
      <c r="M462" s="24" t="str">
        <f aca="false">IF($B462="","",IF(AND(I462="",J462=""),"Not Counted",IF(OR(I462="",J462=""),"Partially Counted",IF(L462=0,"Match",IF(L462&gt;0,"Overage","Shortage")))))</f>
        <v/>
      </c>
      <c r="N462" s="24" t="str">
        <f aca="false">IF($B462="","",IF(AND(N462&lt;&gt;"",N462&lt;&gt;0),N462,$B$4))</f>
        <v/>
      </c>
      <c r="O462" s="21"/>
      <c r="P462" s="21"/>
      <c r="Q462" s="21"/>
    </row>
    <row r="463" customFormat="false" ht="15" hidden="false" customHeight="false" outlineLevel="0" collapsed="false">
      <c r="A463" s="19" t="str">
        <f aca="true">IF($B463="","",IF(AND(A463&lt;&gt;"",A463&lt;&gt;0),A463,TODAY()))</f>
        <v/>
      </c>
      <c r="B463" s="20"/>
      <c r="C463" s="21"/>
      <c r="D463" s="21"/>
      <c r="E463" s="21"/>
      <c r="F463" s="21"/>
      <c r="G463" s="21"/>
      <c r="H463" s="22"/>
      <c r="I463" s="22"/>
      <c r="J463" s="22"/>
      <c r="K463" s="23" t="str">
        <f aca="false">IF($B463="","",IF(AND(I463="",J463=""),"",I463+J463))</f>
        <v/>
      </c>
      <c r="L463" s="23" t="str">
        <f aca="false">IF(OR($B463="",K463=""),"",K463-H463)</f>
        <v/>
      </c>
      <c r="M463" s="24" t="str">
        <f aca="false">IF($B463="","",IF(AND(I463="",J463=""),"Not Counted",IF(OR(I463="",J463=""),"Partially Counted",IF(L463=0,"Match",IF(L463&gt;0,"Overage","Shortage")))))</f>
        <v/>
      </c>
      <c r="N463" s="24" t="str">
        <f aca="false">IF($B463="","",IF(AND(N463&lt;&gt;"",N463&lt;&gt;0),N463,$B$4))</f>
        <v/>
      </c>
      <c r="O463" s="21"/>
      <c r="P463" s="21"/>
      <c r="Q463" s="21"/>
    </row>
    <row r="464" customFormat="false" ht="15" hidden="false" customHeight="false" outlineLevel="0" collapsed="false">
      <c r="A464" s="19" t="str">
        <f aca="true">IF($B464="","",IF(AND(A464&lt;&gt;"",A464&lt;&gt;0),A464,TODAY()))</f>
        <v/>
      </c>
      <c r="B464" s="20"/>
      <c r="C464" s="21"/>
      <c r="D464" s="21"/>
      <c r="E464" s="21"/>
      <c r="F464" s="21"/>
      <c r="G464" s="21"/>
      <c r="H464" s="22"/>
      <c r="I464" s="22"/>
      <c r="J464" s="22"/>
      <c r="K464" s="23" t="str">
        <f aca="false">IF($B464="","",IF(AND(I464="",J464=""),"",I464+J464))</f>
        <v/>
      </c>
      <c r="L464" s="23" t="str">
        <f aca="false">IF(OR($B464="",K464=""),"",K464-H464)</f>
        <v/>
      </c>
      <c r="M464" s="24" t="str">
        <f aca="false">IF($B464="","",IF(AND(I464="",J464=""),"Not Counted",IF(OR(I464="",J464=""),"Partially Counted",IF(L464=0,"Match",IF(L464&gt;0,"Overage","Shortage")))))</f>
        <v/>
      </c>
      <c r="N464" s="24" t="str">
        <f aca="false">IF($B464="","",IF(AND(N464&lt;&gt;"",N464&lt;&gt;0),N464,$B$4))</f>
        <v/>
      </c>
      <c r="O464" s="21"/>
      <c r="P464" s="21"/>
      <c r="Q464" s="21"/>
    </row>
    <row r="465" customFormat="false" ht="15" hidden="false" customHeight="false" outlineLevel="0" collapsed="false">
      <c r="A465" s="19" t="str">
        <f aca="true">IF($B465="","",IF(AND(A465&lt;&gt;"",A465&lt;&gt;0),A465,TODAY()))</f>
        <v/>
      </c>
      <c r="B465" s="20"/>
      <c r="C465" s="21"/>
      <c r="D465" s="21"/>
      <c r="E465" s="21"/>
      <c r="F465" s="21"/>
      <c r="G465" s="21"/>
      <c r="H465" s="22"/>
      <c r="I465" s="22"/>
      <c r="J465" s="22"/>
      <c r="K465" s="23" t="str">
        <f aca="false">IF($B465="","",IF(AND(I465="",J465=""),"",I465+J465))</f>
        <v/>
      </c>
      <c r="L465" s="23" t="str">
        <f aca="false">IF(OR($B465="",K465=""),"",K465-H465)</f>
        <v/>
      </c>
      <c r="M465" s="24" t="str">
        <f aca="false">IF($B465="","",IF(AND(I465="",J465=""),"Not Counted",IF(OR(I465="",J465=""),"Partially Counted",IF(L465=0,"Match",IF(L465&gt;0,"Overage","Shortage")))))</f>
        <v/>
      </c>
      <c r="N465" s="24" t="str">
        <f aca="false">IF($B465="","",IF(AND(N465&lt;&gt;"",N465&lt;&gt;0),N465,$B$4))</f>
        <v/>
      </c>
      <c r="O465" s="21"/>
      <c r="P465" s="21"/>
      <c r="Q465" s="21"/>
    </row>
    <row r="466" customFormat="false" ht="15" hidden="false" customHeight="false" outlineLevel="0" collapsed="false">
      <c r="A466" s="19" t="str">
        <f aca="true">IF($B466="","",IF(AND(A466&lt;&gt;"",A466&lt;&gt;0),A466,TODAY()))</f>
        <v/>
      </c>
      <c r="B466" s="20"/>
      <c r="C466" s="21"/>
      <c r="D466" s="21"/>
      <c r="E466" s="21"/>
      <c r="F466" s="21"/>
      <c r="G466" s="21"/>
      <c r="H466" s="22"/>
      <c r="I466" s="22"/>
      <c r="J466" s="22"/>
      <c r="K466" s="23" t="str">
        <f aca="false">IF($B466="","",IF(AND(I466="",J466=""),"",I466+J466))</f>
        <v/>
      </c>
      <c r="L466" s="23" t="str">
        <f aca="false">IF(OR($B466="",K466=""),"",K466-H466)</f>
        <v/>
      </c>
      <c r="M466" s="24" t="str">
        <f aca="false">IF($B466="","",IF(AND(I466="",J466=""),"Not Counted",IF(OR(I466="",J466=""),"Partially Counted",IF(L466=0,"Match",IF(L466&gt;0,"Overage","Shortage")))))</f>
        <v/>
      </c>
      <c r="N466" s="24" t="str">
        <f aca="false">IF($B466="","",IF(AND(N466&lt;&gt;"",N466&lt;&gt;0),N466,$B$4))</f>
        <v/>
      </c>
      <c r="O466" s="21"/>
      <c r="P466" s="21"/>
      <c r="Q466" s="21"/>
    </row>
    <row r="467" customFormat="false" ht="15" hidden="false" customHeight="false" outlineLevel="0" collapsed="false">
      <c r="A467" s="19" t="str">
        <f aca="true">IF($B467="","",IF(AND(A467&lt;&gt;"",A467&lt;&gt;0),A467,TODAY()))</f>
        <v/>
      </c>
      <c r="B467" s="20"/>
      <c r="C467" s="21"/>
      <c r="D467" s="21"/>
      <c r="E467" s="21"/>
      <c r="F467" s="21"/>
      <c r="G467" s="21"/>
      <c r="H467" s="22"/>
      <c r="I467" s="22"/>
      <c r="J467" s="22"/>
      <c r="K467" s="23" t="str">
        <f aca="false">IF($B467="","",IF(AND(I467="",J467=""),"",I467+J467))</f>
        <v/>
      </c>
      <c r="L467" s="23" t="str">
        <f aca="false">IF(OR($B467="",K467=""),"",K467-H467)</f>
        <v/>
      </c>
      <c r="M467" s="24" t="str">
        <f aca="false">IF($B467="","",IF(AND(I467="",J467=""),"Not Counted",IF(OR(I467="",J467=""),"Partially Counted",IF(L467=0,"Match",IF(L467&gt;0,"Overage","Shortage")))))</f>
        <v/>
      </c>
      <c r="N467" s="24" t="str">
        <f aca="false">IF($B467="","",IF(AND(N467&lt;&gt;"",N467&lt;&gt;0),N467,$B$4))</f>
        <v/>
      </c>
      <c r="O467" s="21"/>
      <c r="P467" s="21"/>
      <c r="Q467" s="21"/>
    </row>
    <row r="468" customFormat="false" ht="15" hidden="false" customHeight="false" outlineLevel="0" collapsed="false">
      <c r="A468" s="19" t="str">
        <f aca="true">IF($B468="","",IF(AND(A468&lt;&gt;"",A468&lt;&gt;0),A468,TODAY()))</f>
        <v/>
      </c>
      <c r="B468" s="20"/>
      <c r="C468" s="21"/>
      <c r="D468" s="21"/>
      <c r="E468" s="21"/>
      <c r="F468" s="21"/>
      <c r="G468" s="21"/>
      <c r="H468" s="22"/>
      <c r="I468" s="22"/>
      <c r="J468" s="22"/>
      <c r="K468" s="23" t="str">
        <f aca="false">IF($B468="","",IF(AND(I468="",J468=""),"",I468+J468))</f>
        <v/>
      </c>
      <c r="L468" s="23" t="str">
        <f aca="false">IF(OR($B468="",K468=""),"",K468-H468)</f>
        <v/>
      </c>
      <c r="M468" s="24" t="str">
        <f aca="false">IF($B468="","",IF(AND(I468="",J468=""),"Not Counted",IF(OR(I468="",J468=""),"Partially Counted",IF(L468=0,"Match",IF(L468&gt;0,"Overage","Shortage")))))</f>
        <v/>
      </c>
      <c r="N468" s="24" t="str">
        <f aca="false">IF($B468="","",IF(AND(N468&lt;&gt;"",N468&lt;&gt;0),N468,$B$4))</f>
        <v/>
      </c>
      <c r="O468" s="21"/>
      <c r="P468" s="21"/>
      <c r="Q468" s="21"/>
    </row>
    <row r="469" customFormat="false" ht="15" hidden="false" customHeight="false" outlineLevel="0" collapsed="false">
      <c r="A469" s="19" t="str">
        <f aca="true">IF($B469="","",IF(AND(A469&lt;&gt;"",A469&lt;&gt;0),A469,TODAY()))</f>
        <v/>
      </c>
      <c r="B469" s="20"/>
      <c r="C469" s="21"/>
      <c r="D469" s="21"/>
      <c r="E469" s="21"/>
      <c r="F469" s="21"/>
      <c r="G469" s="21"/>
      <c r="H469" s="22"/>
      <c r="I469" s="22"/>
      <c r="J469" s="22"/>
      <c r="K469" s="23" t="str">
        <f aca="false">IF($B469="","",IF(AND(I469="",J469=""),"",I469+J469))</f>
        <v/>
      </c>
      <c r="L469" s="23" t="str">
        <f aca="false">IF(OR($B469="",K469=""),"",K469-H469)</f>
        <v/>
      </c>
      <c r="M469" s="24" t="str">
        <f aca="false">IF($B469="","",IF(AND(I469="",J469=""),"Not Counted",IF(OR(I469="",J469=""),"Partially Counted",IF(L469=0,"Match",IF(L469&gt;0,"Overage","Shortage")))))</f>
        <v/>
      </c>
      <c r="N469" s="24" t="str">
        <f aca="false">IF($B469="","",IF(AND(N469&lt;&gt;"",N469&lt;&gt;0),N469,$B$4))</f>
        <v/>
      </c>
      <c r="O469" s="21"/>
      <c r="P469" s="21"/>
      <c r="Q469" s="21"/>
    </row>
    <row r="470" customFormat="false" ht="15" hidden="false" customHeight="false" outlineLevel="0" collapsed="false">
      <c r="A470" s="19" t="str">
        <f aca="true">IF($B470="","",IF(AND(A470&lt;&gt;"",A470&lt;&gt;0),A470,TODAY()))</f>
        <v/>
      </c>
      <c r="B470" s="20"/>
      <c r="C470" s="21"/>
      <c r="D470" s="21"/>
      <c r="E470" s="21"/>
      <c r="F470" s="21"/>
      <c r="G470" s="21"/>
      <c r="H470" s="22"/>
      <c r="I470" s="22"/>
      <c r="J470" s="22"/>
      <c r="K470" s="23" t="str">
        <f aca="false">IF($B470="","",IF(AND(I470="",J470=""),"",I470+J470))</f>
        <v/>
      </c>
      <c r="L470" s="23" t="str">
        <f aca="false">IF(OR($B470="",K470=""),"",K470-H470)</f>
        <v/>
      </c>
      <c r="M470" s="24" t="str">
        <f aca="false">IF($B470="","",IF(AND(I470="",J470=""),"Not Counted",IF(OR(I470="",J470=""),"Partially Counted",IF(L470=0,"Match",IF(L470&gt;0,"Overage","Shortage")))))</f>
        <v/>
      </c>
      <c r="N470" s="24" t="str">
        <f aca="false">IF($B470="","",IF(AND(N470&lt;&gt;"",N470&lt;&gt;0),N470,$B$4))</f>
        <v/>
      </c>
      <c r="O470" s="21"/>
      <c r="P470" s="21"/>
      <c r="Q470" s="21"/>
    </row>
    <row r="471" customFormat="false" ht="15" hidden="false" customHeight="false" outlineLevel="0" collapsed="false">
      <c r="A471" s="19" t="str">
        <f aca="true">IF($B471="","",IF(AND(A471&lt;&gt;"",A471&lt;&gt;0),A471,TODAY()))</f>
        <v/>
      </c>
      <c r="B471" s="20"/>
      <c r="C471" s="21"/>
      <c r="D471" s="21"/>
      <c r="E471" s="21"/>
      <c r="F471" s="21"/>
      <c r="G471" s="21"/>
      <c r="H471" s="22"/>
      <c r="I471" s="22"/>
      <c r="J471" s="22"/>
      <c r="K471" s="23" t="str">
        <f aca="false">IF($B471="","",IF(AND(I471="",J471=""),"",I471+J471))</f>
        <v/>
      </c>
      <c r="L471" s="23" t="str">
        <f aca="false">IF(OR($B471="",K471=""),"",K471-H471)</f>
        <v/>
      </c>
      <c r="M471" s="24" t="str">
        <f aca="false">IF($B471="","",IF(AND(I471="",J471=""),"Not Counted",IF(OR(I471="",J471=""),"Partially Counted",IF(L471=0,"Match",IF(L471&gt;0,"Overage","Shortage")))))</f>
        <v/>
      </c>
      <c r="N471" s="24" t="str">
        <f aca="false">IF($B471="","",IF(AND(N471&lt;&gt;"",N471&lt;&gt;0),N471,$B$4))</f>
        <v/>
      </c>
      <c r="O471" s="21"/>
      <c r="P471" s="21"/>
      <c r="Q471" s="21"/>
    </row>
    <row r="472" customFormat="false" ht="15" hidden="false" customHeight="false" outlineLevel="0" collapsed="false">
      <c r="A472" s="19" t="str">
        <f aca="true">IF($B472="","",IF(AND(A472&lt;&gt;"",A472&lt;&gt;0),A472,TODAY()))</f>
        <v/>
      </c>
      <c r="B472" s="20"/>
      <c r="C472" s="21"/>
      <c r="D472" s="21"/>
      <c r="E472" s="21"/>
      <c r="F472" s="21"/>
      <c r="G472" s="21"/>
      <c r="H472" s="22"/>
      <c r="I472" s="22"/>
      <c r="J472" s="22"/>
      <c r="K472" s="23" t="str">
        <f aca="false">IF($B472="","",IF(AND(I472="",J472=""),"",I472+J472))</f>
        <v/>
      </c>
      <c r="L472" s="23" t="str">
        <f aca="false">IF(OR($B472="",K472=""),"",K472-H472)</f>
        <v/>
      </c>
      <c r="M472" s="24" t="str">
        <f aca="false">IF($B472="","",IF(AND(I472="",J472=""),"Not Counted",IF(OR(I472="",J472=""),"Partially Counted",IF(L472=0,"Match",IF(L472&gt;0,"Overage","Shortage")))))</f>
        <v/>
      </c>
      <c r="N472" s="24" t="str">
        <f aca="false">IF($B472="","",IF(AND(N472&lt;&gt;"",N472&lt;&gt;0),N472,$B$4))</f>
        <v/>
      </c>
      <c r="O472" s="21"/>
      <c r="P472" s="21"/>
      <c r="Q472" s="21"/>
    </row>
    <row r="473" customFormat="false" ht="15" hidden="false" customHeight="false" outlineLevel="0" collapsed="false">
      <c r="A473" s="19" t="str">
        <f aca="true">IF($B473="","",IF(AND(A473&lt;&gt;"",A473&lt;&gt;0),A473,TODAY()))</f>
        <v/>
      </c>
      <c r="B473" s="20"/>
      <c r="C473" s="21"/>
      <c r="D473" s="21"/>
      <c r="E473" s="21"/>
      <c r="F473" s="21"/>
      <c r="G473" s="21"/>
      <c r="H473" s="22"/>
      <c r="I473" s="22"/>
      <c r="J473" s="22"/>
      <c r="K473" s="23" t="str">
        <f aca="false">IF($B473="","",IF(AND(I473="",J473=""),"",I473+J473))</f>
        <v/>
      </c>
      <c r="L473" s="23" t="str">
        <f aca="false">IF(OR($B473="",K473=""),"",K473-H473)</f>
        <v/>
      </c>
      <c r="M473" s="24" t="str">
        <f aca="false">IF($B473="","",IF(AND(I473="",J473=""),"Not Counted",IF(OR(I473="",J473=""),"Partially Counted",IF(L473=0,"Match",IF(L473&gt;0,"Overage","Shortage")))))</f>
        <v/>
      </c>
      <c r="N473" s="24" t="str">
        <f aca="false">IF($B473="","",IF(AND(N473&lt;&gt;"",N473&lt;&gt;0),N473,$B$4))</f>
        <v/>
      </c>
      <c r="O473" s="21"/>
      <c r="P473" s="21"/>
      <c r="Q473" s="21"/>
    </row>
    <row r="474" customFormat="false" ht="15" hidden="false" customHeight="false" outlineLevel="0" collapsed="false">
      <c r="A474" s="19" t="str">
        <f aca="true">IF($B474="","",IF(AND(A474&lt;&gt;"",A474&lt;&gt;0),A474,TODAY()))</f>
        <v/>
      </c>
      <c r="B474" s="20"/>
      <c r="C474" s="21"/>
      <c r="D474" s="21"/>
      <c r="E474" s="21"/>
      <c r="F474" s="21"/>
      <c r="G474" s="21"/>
      <c r="H474" s="22"/>
      <c r="I474" s="22"/>
      <c r="J474" s="22"/>
      <c r="K474" s="23" t="str">
        <f aca="false">IF($B474="","",IF(AND(I474="",J474=""),"",I474+J474))</f>
        <v/>
      </c>
      <c r="L474" s="23" t="str">
        <f aca="false">IF(OR($B474="",K474=""),"",K474-H474)</f>
        <v/>
      </c>
      <c r="M474" s="24" t="str">
        <f aca="false">IF($B474="","",IF(AND(I474="",J474=""),"Not Counted",IF(OR(I474="",J474=""),"Partially Counted",IF(L474=0,"Match",IF(L474&gt;0,"Overage","Shortage")))))</f>
        <v/>
      </c>
      <c r="N474" s="24" t="str">
        <f aca="false">IF($B474="","",IF(AND(N474&lt;&gt;"",N474&lt;&gt;0),N474,$B$4))</f>
        <v/>
      </c>
      <c r="O474" s="21"/>
      <c r="P474" s="21"/>
      <c r="Q474" s="21"/>
    </row>
    <row r="475" customFormat="false" ht="15" hidden="false" customHeight="false" outlineLevel="0" collapsed="false">
      <c r="A475" s="19" t="str">
        <f aca="true">IF($B475="","",IF(AND(A475&lt;&gt;"",A475&lt;&gt;0),A475,TODAY()))</f>
        <v/>
      </c>
      <c r="B475" s="20"/>
      <c r="C475" s="21"/>
      <c r="D475" s="21"/>
      <c r="E475" s="21"/>
      <c r="F475" s="21"/>
      <c r="G475" s="21"/>
      <c r="H475" s="22"/>
      <c r="I475" s="22"/>
      <c r="J475" s="22"/>
      <c r="K475" s="23" t="str">
        <f aca="false">IF($B475="","",IF(AND(I475="",J475=""),"",I475+J475))</f>
        <v/>
      </c>
      <c r="L475" s="23" t="str">
        <f aca="false">IF(OR($B475="",K475=""),"",K475-H475)</f>
        <v/>
      </c>
      <c r="M475" s="24" t="str">
        <f aca="false">IF($B475="","",IF(AND(I475="",J475=""),"Not Counted",IF(OR(I475="",J475=""),"Partially Counted",IF(L475=0,"Match",IF(L475&gt;0,"Overage","Shortage")))))</f>
        <v/>
      </c>
      <c r="N475" s="24" t="str">
        <f aca="false">IF($B475="","",IF(AND(N475&lt;&gt;"",N475&lt;&gt;0),N475,$B$4))</f>
        <v/>
      </c>
      <c r="O475" s="21"/>
      <c r="P475" s="21"/>
      <c r="Q475" s="21"/>
    </row>
    <row r="476" customFormat="false" ht="15" hidden="false" customHeight="false" outlineLevel="0" collapsed="false">
      <c r="A476" s="19" t="str">
        <f aca="true">IF($B476="","",IF(AND(A476&lt;&gt;"",A476&lt;&gt;0),A476,TODAY()))</f>
        <v/>
      </c>
      <c r="B476" s="20"/>
      <c r="C476" s="21"/>
      <c r="D476" s="21"/>
      <c r="E476" s="21"/>
      <c r="F476" s="21"/>
      <c r="G476" s="21"/>
      <c r="H476" s="22"/>
      <c r="I476" s="22"/>
      <c r="J476" s="22"/>
      <c r="K476" s="23" t="str">
        <f aca="false">IF($B476="","",IF(AND(I476="",J476=""),"",I476+J476))</f>
        <v/>
      </c>
      <c r="L476" s="23" t="str">
        <f aca="false">IF(OR($B476="",K476=""),"",K476-H476)</f>
        <v/>
      </c>
      <c r="M476" s="24" t="str">
        <f aca="false">IF($B476="","",IF(AND(I476="",J476=""),"Not Counted",IF(OR(I476="",J476=""),"Partially Counted",IF(L476=0,"Match",IF(L476&gt;0,"Overage","Shortage")))))</f>
        <v/>
      </c>
      <c r="N476" s="24" t="str">
        <f aca="false">IF($B476="","",IF(AND(N476&lt;&gt;"",N476&lt;&gt;0),N476,$B$4))</f>
        <v/>
      </c>
      <c r="O476" s="21"/>
      <c r="P476" s="21"/>
      <c r="Q476" s="21"/>
    </row>
    <row r="477" customFormat="false" ht="15" hidden="false" customHeight="false" outlineLevel="0" collapsed="false">
      <c r="A477" s="19" t="str">
        <f aca="true">IF($B477="","",IF(AND(A477&lt;&gt;"",A477&lt;&gt;0),A477,TODAY()))</f>
        <v/>
      </c>
      <c r="B477" s="20"/>
      <c r="C477" s="21"/>
      <c r="D477" s="21"/>
      <c r="E477" s="21"/>
      <c r="F477" s="21"/>
      <c r="G477" s="21"/>
      <c r="H477" s="22"/>
      <c r="I477" s="22"/>
      <c r="J477" s="22"/>
      <c r="K477" s="23" t="str">
        <f aca="false">IF($B477="","",IF(AND(I477="",J477=""),"",I477+J477))</f>
        <v/>
      </c>
      <c r="L477" s="23" t="str">
        <f aca="false">IF(OR($B477="",K477=""),"",K477-H477)</f>
        <v/>
      </c>
      <c r="M477" s="24" t="str">
        <f aca="false">IF($B477="","",IF(AND(I477="",J477=""),"Not Counted",IF(OR(I477="",J477=""),"Partially Counted",IF(L477=0,"Match",IF(L477&gt;0,"Overage","Shortage")))))</f>
        <v/>
      </c>
      <c r="N477" s="24" t="str">
        <f aca="false">IF($B477="","",IF(AND(N477&lt;&gt;"",N477&lt;&gt;0),N477,$B$4))</f>
        <v/>
      </c>
      <c r="O477" s="21"/>
      <c r="P477" s="21"/>
      <c r="Q477" s="21"/>
    </row>
    <row r="478" customFormat="false" ht="15" hidden="false" customHeight="false" outlineLevel="0" collapsed="false">
      <c r="A478" s="19" t="str">
        <f aca="true">IF($B478="","",IF(AND(A478&lt;&gt;"",A478&lt;&gt;0),A478,TODAY()))</f>
        <v/>
      </c>
      <c r="B478" s="20"/>
      <c r="C478" s="21"/>
      <c r="D478" s="21"/>
      <c r="E478" s="21"/>
      <c r="F478" s="21"/>
      <c r="G478" s="21"/>
      <c r="H478" s="22"/>
      <c r="I478" s="22"/>
      <c r="J478" s="22"/>
      <c r="K478" s="23" t="str">
        <f aca="false">IF($B478="","",IF(AND(I478="",J478=""),"",I478+J478))</f>
        <v/>
      </c>
      <c r="L478" s="23" t="str">
        <f aca="false">IF(OR($B478="",K478=""),"",K478-H478)</f>
        <v/>
      </c>
      <c r="M478" s="24" t="str">
        <f aca="false">IF($B478="","",IF(AND(I478="",J478=""),"Not Counted",IF(OR(I478="",J478=""),"Partially Counted",IF(L478=0,"Match",IF(L478&gt;0,"Overage","Shortage")))))</f>
        <v/>
      </c>
      <c r="N478" s="24" t="str">
        <f aca="false">IF($B478="","",IF(AND(N478&lt;&gt;"",N478&lt;&gt;0),N478,$B$4))</f>
        <v/>
      </c>
      <c r="O478" s="21"/>
      <c r="P478" s="21"/>
      <c r="Q478" s="21"/>
    </row>
    <row r="479" customFormat="false" ht="15" hidden="false" customHeight="false" outlineLevel="0" collapsed="false">
      <c r="A479" s="19" t="str">
        <f aca="true">IF($B479="","",IF(AND(A479&lt;&gt;"",A479&lt;&gt;0),A479,TODAY()))</f>
        <v/>
      </c>
      <c r="B479" s="20"/>
      <c r="C479" s="21"/>
      <c r="D479" s="21"/>
      <c r="E479" s="21"/>
      <c r="F479" s="21"/>
      <c r="G479" s="21"/>
      <c r="H479" s="22"/>
      <c r="I479" s="22"/>
      <c r="J479" s="22"/>
      <c r="K479" s="23" t="str">
        <f aca="false">IF($B479="","",IF(AND(I479="",J479=""),"",I479+J479))</f>
        <v/>
      </c>
      <c r="L479" s="23" t="str">
        <f aca="false">IF(OR($B479="",K479=""),"",K479-H479)</f>
        <v/>
      </c>
      <c r="M479" s="24" t="str">
        <f aca="false">IF($B479="","",IF(AND(I479="",J479=""),"Not Counted",IF(OR(I479="",J479=""),"Partially Counted",IF(L479=0,"Match",IF(L479&gt;0,"Overage","Shortage")))))</f>
        <v/>
      </c>
      <c r="N479" s="24" t="str">
        <f aca="false">IF($B479="","",IF(AND(N479&lt;&gt;"",N479&lt;&gt;0),N479,$B$4))</f>
        <v/>
      </c>
      <c r="O479" s="21"/>
      <c r="P479" s="21"/>
      <c r="Q479" s="21"/>
    </row>
    <row r="480" customFormat="false" ht="15" hidden="false" customHeight="false" outlineLevel="0" collapsed="false">
      <c r="A480" s="19" t="str">
        <f aca="true">IF($B480="","",IF(AND(A480&lt;&gt;"",A480&lt;&gt;0),A480,TODAY()))</f>
        <v/>
      </c>
      <c r="B480" s="20"/>
      <c r="C480" s="21"/>
      <c r="D480" s="21"/>
      <c r="E480" s="21"/>
      <c r="F480" s="21"/>
      <c r="G480" s="21"/>
      <c r="H480" s="22"/>
      <c r="I480" s="22"/>
      <c r="J480" s="22"/>
      <c r="K480" s="23" t="str">
        <f aca="false">IF($B480="","",IF(AND(I480="",J480=""),"",I480+J480))</f>
        <v/>
      </c>
      <c r="L480" s="23" t="str">
        <f aca="false">IF(OR($B480="",K480=""),"",K480-H480)</f>
        <v/>
      </c>
      <c r="M480" s="24" t="str">
        <f aca="false">IF($B480="","",IF(AND(I480="",J480=""),"Not Counted",IF(OR(I480="",J480=""),"Partially Counted",IF(L480=0,"Match",IF(L480&gt;0,"Overage","Shortage")))))</f>
        <v/>
      </c>
      <c r="N480" s="24" t="str">
        <f aca="false">IF($B480="","",IF(AND(N480&lt;&gt;"",N480&lt;&gt;0),N480,$B$4))</f>
        <v/>
      </c>
      <c r="O480" s="21"/>
      <c r="P480" s="21"/>
      <c r="Q480" s="21"/>
    </row>
    <row r="481" customFormat="false" ht="15" hidden="false" customHeight="false" outlineLevel="0" collapsed="false">
      <c r="A481" s="19" t="str">
        <f aca="true">IF($B481="","",IF(AND(A481&lt;&gt;"",A481&lt;&gt;0),A481,TODAY()))</f>
        <v/>
      </c>
      <c r="B481" s="20"/>
      <c r="C481" s="21"/>
      <c r="D481" s="21"/>
      <c r="E481" s="21"/>
      <c r="F481" s="21"/>
      <c r="G481" s="21"/>
      <c r="H481" s="22"/>
      <c r="I481" s="22"/>
      <c r="J481" s="22"/>
      <c r="K481" s="23" t="str">
        <f aca="false">IF($B481="","",IF(AND(I481="",J481=""),"",I481+J481))</f>
        <v/>
      </c>
      <c r="L481" s="23" t="str">
        <f aca="false">IF(OR($B481="",K481=""),"",K481-H481)</f>
        <v/>
      </c>
      <c r="M481" s="24" t="str">
        <f aca="false">IF($B481="","",IF(AND(I481="",J481=""),"Not Counted",IF(OR(I481="",J481=""),"Partially Counted",IF(L481=0,"Match",IF(L481&gt;0,"Overage","Shortage")))))</f>
        <v/>
      </c>
      <c r="N481" s="24" t="str">
        <f aca="false">IF($B481="","",IF(AND(N481&lt;&gt;"",N481&lt;&gt;0),N481,$B$4))</f>
        <v/>
      </c>
      <c r="O481" s="21"/>
      <c r="P481" s="21"/>
      <c r="Q481" s="21"/>
    </row>
    <row r="482" customFormat="false" ht="15" hidden="false" customHeight="false" outlineLevel="0" collapsed="false">
      <c r="A482" s="19" t="str">
        <f aca="true">IF($B482="","",IF(AND(A482&lt;&gt;"",A482&lt;&gt;0),A482,TODAY()))</f>
        <v/>
      </c>
      <c r="B482" s="20"/>
      <c r="C482" s="21"/>
      <c r="D482" s="21"/>
      <c r="E482" s="21"/>
      <c r="F482" s="21"/>
      <c r="G482" s="21"/>
      <c r="H482" s="22"/>
      <c r="I482" s="22"/>
      <c r="J482" s="22"/>
      <c r="K482" s="23" t="str">
        <f aca="false">IF($B482="","",IF(AND(I482="",J482=""),"",I482+J482))</f>
        <v/>
      </c>
      <c r="L482" s="23" t="str">
        <f aca="false">IF(OR($B482="",K482=""),"",K482-H482)</f>
        <v/>
      </c>
      <c r="M482" s="24" t="str">
        <f aca="false">IF($B482="","",IF(AND(I482="",J482=""),"Not Counted",IF(OR(I482="",J482=""),"Partially Counted",IF(L482=0,"Match",IF(L482&gt;0,"Overage","Shortage")))))</f>
        <v/>
      </c>
      <c r="N482" s="24" t="str">
        <f aca="false">IF($B482="","",IF(AND(N482&lt;&gt;"",N482&lt;&gt;0),N482,$B$4))</f>
        <v/>
      </c>
      <c r="O482" s="21"/>
      <c r="P482" s="21"/>
      <c r="Q482" s="21"/>
    </row>
    <row r="483" customFormat="false" ht="15" hidden="false" customHeight="false" outlineLevel="0" collapsed="false">
      <c r="A483" s="19" t="str">
        <f aca="true">IF($B483="","",IF(AND(A483&lt;&gt;"",A483&lt;&gt;0),A483,TODAY()))</f>
        <v/>
      </c>
      <c r="B483" s="20"/>
      <c r="C483" s="21"/>
      <c r="D483" s="21"/>
      <c r="E483" s="21"/>
      <c r="F483" s="21"/>
      <c r="G483" s="21"/>
      <c r="H483" s="22"/>
      <c r="I483" s="22"/>
      <c r="J483" s="22"/>
      <c r="K483" s="23" t="str">
        <f aca="false">IF($B483="","",IF(AND(I483="",J483=""),"",I483+J483))</f>
        <v/>
      </c>
      <c r="L483" s="23" t="str">
        <f aca="false">IF(OR($B483="",K483=""),"",K483-H483)</f>
        <v/>
      </c>
      <c r="M483" s="24" t="str">
        <f aca="false">IF($B483="","",IF(AND(I483="",J483=""),"Not Counted",IF(OR(I483="",J483=""),"Partially Counted",IF(L483=0,"Match",IF(L483&gt;0,"Overage","Shortage")))))</f>
        <v/>
      </c>
      <c r="N483" s="24" t="str">
        <f aca="false">IF($B483="","",IF(AND(N483&lt;&gt;"",N483&lt;&gt;0),N483,$B$4))</f>
        <v/>
      </c>
      <c r="O483" s="21"/>
      <c r="P483" s="21"/>
      <c r="Q483" s="21"/>
    </row>
    <row r="484" customFormat="false" ht="15" hidden="false" customHeight="false" outlineLevel="0" collapsed="false">
      <c r="A484" s="19" t="str">
        <f aca="true">IF($B484="","",IF(AND(A484&lt;&gt;"",A484&lt;&gt;0),A484,TODAY()))</f>
        <v/>
      </c>
      <c r="B484" s="20"/>
      <c r="C484" s="21"/>
      <c r="D484" s="21"/>
      <c r="E484" s="21"/>
      <c r="F484" s="21"/>
      <c r="G484" s="21"/>
      <c r="H484" s="22"/>
      <c r="I484" s="22"/>
      <c r="J484" s="22"/>
      <c r="K484" s="23" t="str">
        <f aca="false">IF($B484="","",IF(AND(I484="",J484=""),"",I484+J484))</f>
        <v/>
      </c>
      <c r="L484" s="23" t="str">
        <f aca="false">IF(OR($B484="",K484=""),"",K484-H484)</f>
        <v/>
      </c>
      <c r="M484" s="24" t="str">
        <f aca="false">IF($B484="","",IF(AND(I484="",J484=""),"Not Counted",IF(OR(I484="",J484=""),"Partially Counted",IF(L484=0,"Match",IF(L484&gt;0,"Overage","Shortage")))))</f>
        <v/>
      </c>
      <c r="N484" s="24" t="str">
        <f aca="false">IF($B484="","",IF(AND(N484&lt;&gt;"",N484&lt;&gt;0),N484,$B$4))</f>
        <v/>
      </c>
      <c r="O484" s="21"/>
      <c r="P484" s="21"/>
      <c r="Q484" s="21"/>
    </row>
    <row r="485" customFormat="false" ht="15" hidden="false" customHeight="false" outlineLevel="0" collapsed="false">
      <c r="A485" s="19" t="str">
        <f aca="true">IF($B485="","",IF(AND(A485&lt;&gt;"",A485&lt;&gt;0),A485,TODAY()))</f>
        <v/>
      </c>
      <c r="B485" s="20"/>
      <c r="C485" s="21"/>
      <c r="D485" s="21"/>
      <c r="E485" s="21"/>
      <c r="F485" s="21"/>
      <c r="G485" s="21"/>
      <c r="H485" s="22"/>
      <c r="I485" s="22"/>
      <c r="J485" s="22"/>
      <c r="K485" s="23" t="str">
        <f aca="false">IF($B485="","",IF(AND(I485="",J485=""),"",I485+J485))</f>
        <v/>
      </c>
      <c r="L485" s="23" t="str">
        <f aca="false">IF(OR($B485="",K485=""),"",K485-H485)</f>
        <v/>
      </c>
      <c r="M485" s="24" t="str">
        <f aca="false">IF($B485="","",IF(AND(I485="",J485=""),"Not Counted",IF(OR(I485="",J485=""),"Partially Counted",IF(L485=0,"Match",IF(L485&gt;0,"Overage","Shortage")))))</f>
        <v/>
      </c>
      <c r="N485" s="24" t="str">
        <f aca="false">IF($B485="","",IF(AND(N485&lt;&gt;"",N485&lt;&gt;0),N485,$B$4))</f>
        <v/>
      </c>
      <c r="O485" s="21"/>
      <c r="P485" s="21"/>
      <c r="Q485" s="21"/>
    </row>
    <row r="486" customFormat="false" ht="15" hidden="false" customHeight="false" outlineLevel="0" collapsed="false">
      <c r="A486" s="19" t="str">
        <f aca="true">IF($B486="","",IF(AND(A486&lt;&gt;"",A486&lt;&gt;0),A486,TODAY()))</f>
        <v/>
      </c>
      <c r="B486" s="20"/>
      <c r="C486" s="21"/>
      <c r="D486" s="21"/>
      <c r="E486" s="21"/>
      <c r="F486" s="21"/>
      <c r="G486" s="21"/>
      <c r="H486" s="22"/>
      <c r="I486" s="22"/>
      <c r="J486" s="22"/>
      <c r="K486" s="23" t="str">
        <f aca="false">IF($B486="","",IF(AND(I486="",J486=""),"",I486+J486))</f>
        <v/>
      </c>
      <c r="L486" s="23" t="str">
        <f aca="false">IF(OR($B486="",K486=""),"",K486-H486)</f>
        <v/>
      </c>
      <c r="M486" s="24" t="str">
        <f aca="false">IF($B486="","",IF(AND(I486="",J486=""),"Not Counted",IF(OR(I486="",J486=""),"Partially Counted",IF(L486=0,"Match",IF(L486&gt;0,"Overage","Shortage")))))</f>
        <v/>
      </c>
      <c r="N486" s="24" t="str">
        <f aca="false">IF($B486="","",IF(AND(N486&lt;&gt;"",N486&lt;&gt;0),N486,$B$4))</f>
        <v/>
      </c>
      <c r="O486" s="21"/>
      <c r="P486" s="21"/>
      <c r="Q486" s="21"/>
    </row>
    <row r="487" customFormat="false" ht="15" hidden="false" customHeight="false" outlineLevel="0" collapsed="false">
      <c r="A487" s="19" t="str">
        <f aca="true">IF($B487="","",IF(AND(A487&lt;&gt;"",A487&lt;&gt;0),A487,TODAY()))</f>
        <v/>
      </c>
      <c r="B487" s="20"/>
      <c r="C487" s="21"/>
      <c r="D487" s="21"/>
      <c r="E487" s="21"/>
      <c r="F487" s="21"/>
      <c r="G487" s="21"/>
      <c r="H487" s="22"/>
      <c r="I487" s="22"/>
      <c r="J487" s="22"/>
      <c r="K487" s="23" t="str">
        <f aca="false">IF($B487="","",IF(AND(I487="",J487=""),"",I487+J487))</f>
        <v/>
      </c>
      <c r="L487" s="23" t="str">
        <f aca="false">IF(OR($B487="",K487=""),"",K487-H487)</f>
        <v/>
      </c>
      <c r="M487" s="24" t="str">
        <f aca="false">IF($B487="","",IF(AND(I487="",J487=""),"Not Counted",IF(OR(I487="",J487=""),"Partially Counted",IF(L487=0,"Match",IF(L487&gt;0,"Overage","Shortage")))))</f>
        <v/>
      </c>
      <c r="N487" s="24" t="str">
        <f aca="false">IF($B487="","",IF(AND(N487&lt;&gt;"",N487&lt;&gt;0),N487,$B$4))</f>
        <v/>
      </c>
      <c r="O487" s="21"/>
      <c r="P487" s="21"/>
      <c r="Q487" s="21"/>
    </row>
    <row r="488" customFormat="false" ht="15" hidden="false" customHeight="false" outlineLevel="0" collapsed="false">
      <c r="A488" s="19" t="str">
        <f aca="true">IF($B488="","",IF(AND(A488&lt;&gt;"",A488&lt;&gt;0),A488,TODAY()))</f>
        <v/>
      </c>
      <c r="B488" s="20"/>
      <c r="C488" s="21"/>
      <c r="D488" s="21"/>
      <c r="E488" s="21"/>
      <c r="F488" s="21"/>
      <c r="G488" s="21"/>
      <c r="H488" s="22"/>
      <c r="I488" s="22"/>
      <c r="J488" s="22"/>
      <c r="K488" s="23" t="str">
        <f aca="false">IF($B488="","",IF(AND(I488="",J488=""),"",I488+J488))</f>
        <v/>
      </c>
      <c r="L488" s="23" t="str">
        <f aca="false">IF(OR($B488="",K488=""),"",K488-H488)</f>
        <v/>
      </c>
      <c r="M488" s="24" t="str">
        <f aca="false">IF($B488="","",IF(AND(I488="",J488=""),"Not Counted",IF(OR(I488="",J488=""),"Partially Counted",IF(L488=0,"Match",IF(L488&gt;0,"Overage","Shortage")))))</f>
        <v/>
      </c>
      <c r="N488" s="24" t="str">
        <f aca="false">IF($B488="","",IF(AND(N488&lt;&gt;"",N488&lt;&gt;0),N488,$B$4))</f>
        <v/>
      </c>
      <c r="O488" s="21"/>
      <c r="P488" s="21"/>
      <c r="Q488" s="21"/>
    </row>
    <row r="489" customFormat="false" ht="15" hidden="false" customHeight="false" outlineLevel="0" collapsed="false">
      <c r="A489" s="19" t="str">
        <f aca="true">IF($B489="","",IF(AND(A489&lt;&gt;"",A489&lt;&gt;0),A489,TODAY()))</f>
        <v/>
      </c>
      <c r="B489" s="20"/>
      <c r="C489" s="21"/>
      <c r="D489" s="21"/>
      <c r="E489" s="21"/>
      <c r="F489" s="21"/>
      <c r="G489" s="21"/>
      <c r="H489" s="22"/>
      <c r="I489" s="22"/>
      <c r="J489" s="22"/>
      <c r="K489" s="23" t="str">
        <f aca="false">IF($B489="","",IF(AND(I489="",J489=""),"",I489+J489))</f>
        <v/>
      </c>
      <c r="L489" s="23" t="str">
        <f aca="false">IF(OR($B489="",K489=""),"",K489-H489)</f>
        <v/>
      </c>
      <c r="M489" s="24" t="str">
        <f aca="false">IF($B489="","",IF(AND(I489="",J489=""),"Not Counted",IF(OR(I489="",J489=""),"Partially Counted",IF(L489=0,"Match",IF(L489&gt;0,"Overage","Shortage")))))</f>
        <v/>
      </c>
      <c r="N489" s="24" t="str">
        <f aca="false">IF($B489="","",IF(AND(N489&lt;&gt;"",N489&lt;&gt;0),N489,$B$4))</f>
        <v/>
      </c>
      <c r="O489" s="21"/>
      <c r="P489" s="21"/>
      <c r="Q489" s="21"/>
    </row>
    <row r="490" customFormat="false" ht="15" hidden="false" customHeight="false" outlineLevel="0" collapsed="false">
      <c r="A490" s="19" t="str">
        <f aca="true">IF($B490="","",IF(AND(A490&lt;&gt;"",A490&lt;&gt;0),A490,TODAY()))</f>
        <v/>
      </c>
      <c r="B490" s="20"/>
      <c r="C490" s="21"/>
      <c r="D490" s="21"/>
      <c r="E490" s="21"/>
      <c r="F490" s="21"/>
      <c r="G490" s="21"/>
      <c r="H490" s="22"/>
      <c r="I490" s="22"/>
      <c r="J490" s="22"/>
      <c r="K490" s="23" t="str">
        <f aca="false">IF($B490="","",IF(AND(I490="",J490=""),"",I490+J490))</f>
        <v/>
      </c>
      <c r="L490" s="23" t="str">
        <f aca="false">IF(OR($B490="",K490=""),"",K490-H490)</f>
        <v/>
      </c>
      <c r="M490" s="24" t="str">
        <f aca="false">IF($B490="","",IF(AND(I490="",J490=""),"Not Counted",IF(OR(I490="",J490=""),"Partially Counted",IF(L490=0,"Match",IF(L490&gt;0,"Overage","Shortage")))))</f>
        <v/>
      </c>
      <c r="N490" s="24" t="str">
        <f aca="false">IF($B490="","",IF(AND(N490&lt;&gt;"",N490&lt;&gt;0),N490,$B$4))</f>
        <v/>
      </c>
      <c r="O490" s="21"/>
      <c r="P490" s="21"/>
      <c r="Q490" s="21"/>
    </row>
    <row r="491" customFormat="false" ht="15" hidden="false" customHeight="false" outlineLevel="0" collapsed="false">
      <c r="A491" s="19" t="str">
        <f aca="true">IF($B491="","",IF(AND(A491&lt;&gt;"",A491&lt;&gt;0),A491,TODAY()))</f>
        <v/>
      </c>
      <c r="B491" s="20"/>
      <c r="C491" s="21"/>
      <c r="D491" s="21"/>
      <c r="E491" s="21"/>
      <c r="F491" s="21"/>
      <c r="G491" s="21"/>
      <c r="H491" s="22"/>
      <c r="I491" s="22"/>
      <c r="J491" s="22"/>
      <c r="K491" s="23" t="str">
        <f aca="false">IF($B491="","",IF(AND(I491="",J491=""),"",I491+J491))</f>
        <v/>
      </c>
      <c r="L491" s="23" t="str">
        <f aca="false">IF(OR($B491="",K491=""),"",K491-H491)</f>
        <v/>
      </c>
      <c r="M491" s="24" t="str">
        <f aca="false">IF($B491="","",IF(AND(I491="",J491=""),"Not Counted",IF(OR(I491="",J491=""),"Partially Counted",IF(L491=0,"Match",IF(L491&gt;0,"Overage","Shortage")))))</f>
        <v/>
      </c>
      <c r="N491" s="24" t="str">
        <f aca="false">IF($B491="","",IF(AND(N491&lt;&gt;"",N491&lt;&gt;0),N491,$B$4))</f>
        <v/>
      </c>
      <c r="O491" s="21"/>
      <c r="P491" s="21"/>
      <c r="Q491" s="21"/>
    </row>
    <row r="492" customFormat="false" ht="15" hidden="false" customHeight="false" outlineLevel="0" collapsed="false">
      <c r="A492" s="19" t="str">
        <f aca="true">IF($B492="","",IF(AND(A492&lt;&gt;"",A492&lt;&gt;0),A492,TODAY()))</f>
        <v/>
      </c>
      <c r="B492" s="20"/>
      <c r="C492" s="21"/>
      <c r="D492" s="21"/>
      <c r="E492" s="21"/>
      <c r="F492" s="21"/>
      <c r="G492" s="21"/>
      <c r="H492" s="22"/>
      <c r="I492" s="22"/>
      <c r="J492" s="22"/>
      <c r="K492" s="23" t="str">
        <f aca="false">IF($B492="","",IF(AND(I492="",J492=""),"",I492+J492))</f>
        <v/>
      </c>
      <c r="L492" s="23" t="str">
        <f aca="false">IF(OR($B492="",K492=""),"",K492-H492)</f>
        <v/>
      </c>
      <c r="M492" s="24" t="str">
        <f aca="false">IF($B492="","",IF(AND(I492="",J492=""),"Not Counted",IF(OR(I492="",J492=""),"Partially Counted",IF(L492=0,"Match",IF(L492&gt;0,"Overage","Shortage")))))</f>
        <v/>
      </c>
      <c r="N492" s="24" t="str">
        <f aca="false">IF($B492="","",IF(AND(N492&lt;&gt;"",N492&lt;&gt;0),N492,$B$4))</f>
        <v/>
      </c>
      <c r="O492" s="21"/>
      <c r="P492" s="21"/>
      <c r="Q492" s="21"/>
    </row>
    <row r="493" customFormat="false" ht="15" hidden="false" customHeight="false" outlineLevel="0" collapsed="false">
      <c r="A493" s="19" t="str">
        <f aca="true">IF($B493="","",IF(AND(A493&lt;&gt;"",A493&lt;&gt;0),A493,TODAY()))</f>
        <v/>
      </c>
      <c r="B493" s="20"/>
      <c r="C493" s="21"/>
      <c r="D493" s="21"/>
      <c r="E493" s="21"/>
      <c r="F493" s="21"/>
      <c r="G493" s="21"/>
      <c r="H493" s="22"/>
      <c r="I493" s="22"/>
      <c r="J493" s="22"/>
      <c r="K493" s="23" t="str">
        <f aca="false">IF($B493="","",IF(AND(I493="",J493=""),"",I493+J493))</f>
        <v/>
      </c>
      <c r="L493" s="23" t="str">
        <f aca="false">IF(OR($B493="",K493=""),"",K493-H493)</f>
        <v/>
      </c>
      <c r="M493" s="24" t="str">
        <f aca="false">IF($B493="","",IF(AND(I493="",J493=""),"Not Counted",IF(OR(I493="",J493=""),"Partially Counted",IF(L493=0,"Match",IF(L493&gt;0,"Overage","Shortage")))))</f>
        <v/>
      </c>
      <c r="N493" s="24" t="str">
        <f aca="false">IF($B493="","",IF(AND(N493&lt;&gt;"",N493&lt;&gt;0),N493,$B$4))</f>
        <v/>
      </c>
      <c r="O493" s="21"/>
      <c r="P493" s="21"/>
      <c r="Q493" s="21"/>
    </row>
    <row r="494" customFormat="false" ht="15" hidden="false" customHeight="false" outlineLevel="0" collapsed="false">
      <c r="A494" s="19" t="str">
        <f aca="true">IF($B494="","",IF(AND(A494&lt;&gt;"",A494&lt;&gt;0),A494,TODAY()))</f>
        <v/>
      </c>
      <c r="B494" s="20"/>
      <c r="C494" s="21"/>
      <c r="D494" s="21"/>
      <c r="E494" s="21"/>
      <c r="F494" s="21"/>
      <c r="G494" s="21"/>
      <c r="H494" s="22"/>
      <c r="I494" s="22"/>
      <c r="J494" s="22"/>
      <c r="K494" s="23" t="str">
        <f aca="false">IF($B494="","",IF(AND(I494="",J494=""),"",I494+J494))</f>
        <v/>
      </c>
      <c r="L494" s="23" t="str">
        <f aca="false">IF(OR($B494="",K494=""),"",K494-H494)</f>
        <v/>
      </c>
      <c r="M494" s="24" t="str">
        <f aca="false">IF($B494="","",IF(AND(I494="",J494=""),"Not Counted",IF(OR(I494="",J494=""),"Partially Counted",IF(L494=0,"Match",IF(L494&gt;0,"Overage","Shortage")))))</f>
        <v/>
      </c>
      <c r="N494" s="24" t="str">
        <f aca="false">IF($B494="","",IF(AND(N494&lt;&gt;"",N494&lt;&gt;0),N494,$B$4))</f>
        <v/>
      </c>
      <c r="O494" s="21"/>
      <c r="P494" s="21"/>
      <c r="Q494" s="21"/>
    </row>
    <row r="495" customFormat="false" ht="15" hidden="false" customHeight="false" outlineLevel="0" collapsed="false">
      <c r="A495" s="19" t="str">
        <f aca="true">IF($B495="","",IF(AND(A495&lt;&gt;"",A495&lt;&gt;0),A495,TODAY()))</f>
        <v/>
      </c>
      <c r="B495" s="20"/>
      <c r="C495" s="21"/>
      <c r="D495" s="21"/>
      <c r="E495" s="21"/>
      <c r="F495" s="21"/>
      <c r="G495" s="21"/>
      <c r="H495" s="22"/>
      <c r="I495" s="22"/>
      <c r="J495" s="22"/>
      <c r="K495" s="23" t="str">
        <f aca="false">IF($B495="","",IF(AND(I495="",J495=""),"",I495+J495))</f>
        <v/>
      </c>
      <c r="L495" s="23" t="str">
        <f aca="false">IF(OR($B495="",K495=""),"",K495-H495)</f>
        <v/>
      </c>
      <c r="M495" s="24" t="str">
        <f aca="false">IF($B495="","",IF(AND(I495="",J495=""),"Not Counted",IF(OR(I495="",J495=""),"Partially Counted",IF(L495=0,"Match",IF(L495&gt;0,"Overage","Shortage")))))</f>
        <v/>
      </c>
      <c r="N495" s="24" t="str">
        <f aca="false">IF($B495="","",IF(AND(N495&lt;&gt;"",N495&lt;&gt;0),N495,$B$4))</f>
        <v/>
      </c>
      <c r="O495" s="21"/>
      <c r="P495" s="21"/>
      <c r="Q495" s="21"/>
    </row>
    <row r="496" customFormat="false" ht="15" hidden="false" customHeight="false" outlineLevel="0" collapsed="false">
      <c r="A496" s="19" t="str">
        <f aca="true">IF($B496="","",IF(AND(A496&lt;&gt;"",A496&lt;&gt;0),A496,TODAY()))</f>
        <v/>
      </c>
      <c r="B496" s="20"/>
      <c r="C496" s="21"/>
      <c r="D496" s="21"/>
      <c r="E496" s="21"/>
      <c r="F496" s="21"/>
      <c r="G496" s="21"/>
      <c r="H496" s="22"/>
      <c r="I496" s="22"/>
      <c r="J496" s="22"/>
      <c r="K496" s="23" t="str">
        <f aca="false">IF($B496="","",IF(AND(I496="",J496=""),"",I496+J496))</f>
        <v/>
      </c>
      <c r="L496" s="23" t="str">
        <f aca="false">IF(OR($B496="",K496=""),"",K496-H496)</f>
        <v/>
      </c>
      <c r="M496" s="24" t="str">
        <f aca="false">IF($B496="","",IF(AND(I496="",J496=""),"Not Counted",IF(OR(I496="",J496=""),"Partially Counted",IF(L496=0,"Match",IF(L496&gt;0,"Overage","Shortage")))))</f>
        <v/>
      </c>
      <c r="N496" s="24" t="str">
        <f aca="false">IF($B496="","",IF(AND(N496&lt;&gt;"",N496&lt;&gt;0),N496,$B$4))</f>
        <v/>
      </c>
      <c r="O496" s="21"/>
      <c r="P496" s="21"/>
      <c r="Q496" s="21"/>
    </row>
    <row r="497" customFormat="false" ht="15" hidden="false" customHeight="false" outlineLevel="0" collapsed="false">
      <c r="A497" s="19" t="str">
        <f aca="true">IF($B497="","",IF(AND(A497&lt;&gt;"",A497&lt;&gt;0),A497,TODAY()))</f>
        <v/>
      </c>
      <c r="B497" s="20"/>
      <c r="C497" s="21"/>
      <c r="D497" s="21"/>
      <c r="E497" s="21"/>
      <c r="F497" s="21"/>
      <c r="G497" s="21"/>
      <c r="H497" s="22"/>
      <c r="I497" s="22"/>
      <c r="J497" s="22"/>
      <c r="K497" s="23" t="str">
        <f aca="false">IF($B497="","",IF(AND(I497="",J497=""),"",I497+J497))</f>
        <v/>
      </c>
      <c r="L497" s="23" t="str">
        <f aca="false">IF(OR($B497="",K497=""),"",K497-H497)</f>
        <v/>
      </c>
      <c r="M497" s="24" t="str">
        <f aca="false">IF($B497="","",IF(AND(I497="",J497=""),"Not Counted",IF(OR(I497="",J497=""),"Partially Counted",IF(L497=0,"Match",IF(L497&gt;0,"Overage","Shortage")))))</f>
        <v/>
      </c>
      <c r="N497" s="24" t="str">
        <f aca="false">IF($B497="","",IF(AND(N497&lt;&gt;"",N497&lt;&gt;0),N497,$B$4))</f>
        <v/>
      </c>
      <c r="O497" s="21"/>
      <c r="P497" s="21"/>
      <c r="Q497" s="21"/>
    </row>
    <row r="498" customFormat="false" ht="15" hidden="false" customHeight="false" outlineLevel="0" collapsed="false">
      <c r="A498" s="19" t="str">
        <f aca="true">IF($B498="","",IF(AND(A498&lt;&gt;"",A498&lt;&gt;0),A498,TODAY()))</f>
        <v/>
      </c>
      <c r="B498" s="20"/>
      <c r="C498" s="21"/>
      <c r="D498" s="21"/>
      <c r="E498" s="21"/>
      <c r="F498" s="21"/>
      <c r="G498" s="21"/>
      <c r="H498" s="22"/>
      <c r="I498" s="22"/>
      <c r="J498" s="22"/>
      <c r="K498" s="23" t="str">
        <f aca="false">IF($B498="","",IF(AND(I498="",J498=""),"",I498+J498))</f>
        <v/>
      </c>
      <c r="L498" s="23" t="str">
        <f aca="false">IF(OR($B498="",K498=""),"",K498-H498)</f>
        <v/>
      </c>
      <c r="M498" s="24" t="str">
        <f aca="false">IF($B498="","",IF(AND(I498="",J498=""),"Not Counted",IF(OR(I498="",J498=""),"Partially Counted",IF(L498=0,"Match",IF(L498&gt;0,"Overage","Shortage")))))</f>
        <v/>
      </c>
      <c r="N498" s="24" t="str">
        <f aca="false">IF($B498="","",IF(AND(N498&lt;&gt;"",N498&lt;&gt;0),N498,$B$4))</f>
        <v/>
      </c>
      <c r="O498" s="21"/>
      <c r="P498" s="21"/>
      <c r="Q498" s="21"/>
    </row>
    <row r="499" customFormat="false" ht="15" hidden="false" customHeight="false" outlineLevel="0" collapsed="false">
      <c r="A499" s="19" t="str">
        <f aca="true">IF($B499="","",IF(AND(A499&lt;&gt;"",A499&lt;&gt;0),A499,TODAY()))</f>
        <v/>
      </c>
      <c r="B499" s="20"/>
      <c r="C499" s="21"/>
      <c r="D499" s="21"/>
      <c r="E499" s="21"/>
      <c r="F499" s="21"/>
      <c r="G499" s="21"/>
      <c r="H499" s="22"/>
      <c r="I499" s="22"/>
      <c r="J499" s="22"/>
      <c r="K499" s="23" t="str">
        <f aca="false">IF($B499="","",IF(AND(I499="",J499=""),"",I499+J499))</f>
        <v/>
      </c>
      <c r="L499" s="23" t="str">
        <f aca="false">IF(OR($B499="",K499=""),"",K499-H499)</f>
        <v/>
      </c>
      <c r="M499" s="24" t="str">
        <f aca="false">IF($B499="","",IF(AND(I499="",J499=""),"Not Counted",IF(OR(I499="",J499=""),"Partially Counted",IF(L499=0,"Match",IF(L499&gt;0,"Overage","Shortage")))))</f>
        <v/>
      </c>
      <c r="N499" s="24" t="str">
        <f aca="false">IF($B499="","",IF(AND(N499&lt;&gt;"",N499&lt;&gt;0),N499,$B$4))</f>
        <v/>
      </c>
      <c r="O499" s="21"/>
      <c r="P499" s="21"/>
      <c r="Q499" s="21"/>
    </row>
    <row r="500" customFormat="false" ht="15" hidden="false" customHeight="false" outlineLevel="0" collapsed="false">
      <c r="A500" s="19" t="str">
        <f aca="true">IF($B500="","",IF(AND(A500&lt;&gt;"",A500&lt;&gt;0),A500,TODAY()))</f>
        <v/>
      </c>
      <c r="B500" s="20"/>
      <c r="C500" s="21"/>
      <c r="D500" s="21"/>
      <c r="E500" s="21"/>
      <c r="F500" s="21"/>
      <c r="G500" s="21"/>
      <c r="H500" s="22"/>
      <c r="I500" s="22"/>
      <c r="J500" s="22"/>
      <c r="K500" s="23" t="str">
        <f aca="false">IF($B500="","",IF(AND(I500="",J500=""),"",I500+J500))</f>
        <v/>
      </c>
      <c r="L500" s="23" t="str">
        <f aca="false">IF(OR($B500="",K500=""),"",K500-H500)</f>
        <v/>
      </c>
      <c r="M500" s="24" t="str">
        <f aca="false">IF($B500="","",IF(AND(I500="",J500=""),"Not Counted",IF(OR(I500="",J500=""),"Partially Counted",IF(L500=0,"Match",IF(L500&gt;0,"Overage","Shortage")))))</f>
        <v/>
      </c>
      <c r="N500" s="24" t="str">
        <f aca="false">IF($B500="","",IF(AND(N500&lt;&gt;"",N500&lt;&gt;0),N500,$B$4))</f>
        <v/>
      </c>
      <c r="O500" s="21"/>
      <c r="P500" s="21"/>
      <c r="Q500" s="21"/>
    </row>
    <row r="501" customFormat="false" ht="15" hidden="false" customHeight="false" outlineLevel="0" collapsed="false">
      <c r="A501" s="19" t="str">
        <f aca="true">IF($B501="","",IF(AND(A501&lt;&gt;"",A501&lt;&gt;0),A501,TODAY()))</f>
        <v/>
      </c>
      <c r="B501" s="20"/>
      <c r="C501" s="21"/>
      <c r="D501" s="21"/>
      <c r="E501" s="21"/>
      <c r="F501" s="21"/>
      <c r="G501" s="21"/>
      <c r="H501" s="22"/>
      <c r="I501" s="22"/>
      <c r="J501" s="22"/>
      <c r="K501" s="23" t="str">
        <f aca="false">IF($B501="","",IF(AND(I501="",J501=""),"",I501+J501))</f>
        <v/>
      </c>
      <c r="L501" s="23" t="str">
        <f aca="false">IF(OR($B501="",K501=""),"",K501-H501)</f>
        <v/>
      </c>
      <c r="M501" s="24" t="str">
        <f aca="false">IF($B501="","",IF(AND(I501="",J501=""),"Not Counted",IF(OR(I501="",J501=""),"Partially Counted",IF(L501=0,"Match",IF(L501&gt;0,"Overage","Shortage")))))</f>
        <v/>
      </c>
      <c r="N501" s="24" t="str">
        <f aca="false">IF($B501="","",IF(AND(N501&lt;&gt;"",N501&lt;&gt;0),N501,$B$4))</f>
        <v/>
      </c>
      <c r="O501" s="21"/>
      <c r="P501" s="21"/>
      <c r="Q501" s="21"/>
    </row>
    <row r="502" customFormat="false" ht="15" hidden="false" customHeight="false" outlineLevel="0" collapsed="false">
      <c r="A502" s="19" t="str">
        <f aca="true">IF($B502="","",IF(AND(A502&lt;&gt;"",A502&lt;&gt;0),A502,TODAY()))</f>
        <v/>
      </c>
      <c r="B502" s="20"/>
      <c r="C502" s="21"/>
      <c r="D502" s="21"/>
      <c r="E502" s="21"/>
      <c r="F502" s="21"/>
      <c r="G502" s="21"/>
      <c r="H502" s="22"/>
      <c r="I502" s="22"/>
      <c r="J502" s="22"/>
      <c r="K502" s="23" t="str">
        <f aca="false">IF($B502="","",IF(AND(I502="",J502=""),"",I502+J502))</f>
        <v/>
      </c>
      <c r="L502" s="23" t="str">
        <f aca="false">IF(OR($B502="",K502=""),"",K502-H502)</f>
        <v/>
      </c>
      <c r="M502" s="24" t="str">
        <f aca="false">IF($B502="","",IF(AND(I502="",J502=""),"Not Counted",IF(OR(I502="",J502=""),"Partially Counted",IF(L502=0,"Match",IF(L502&gt;0,"Overage","Shortage")))))</f>
        <v/>
      </c>
      <c r="N502" s="24" t="str">
        <f aca="false">IF($B502="","",IF(AND(N502&lt;&gt;"",N502&lt;&gt;0),N502,$B$4))</f>
        <v/>
      </c>
      <c r="O502" s="21"/>
      <c r="P502" s="21"/>
      <c r="Q502" s="21"/>
    </row>
    <row r="503" customFormat="false" ht="15" hidden="false" customHeight="false" outlineLevel="0" collapsed="false">
      <c r="A503" s="19" t="str">
        <f aca="true">IF($B503="","",IF(AND(A503&lt;&gt;"",A503&lt;&gt;0),A503,TODAY()))</f>
        <v/>
      </c>
      <c r="B503" s="20"/>
      <c r="C503" s="21"/>
      <c r="D503" s="21"/>
      <c r="E503" s="21"/>
      <c r="F503" s="21"/>
      <c r="G503" s="21"/>
      <c r="H503" s="22"/>
      <c r="I503" s="22"/>
      <c r="J503" s="22"/>
      <c r="K503" s="23" t="str">
        <f aca="false">IF($B503="","",IF(AND(I503="",J503=""),"",I503+J503))</f>
        <v/>
      </c>
      <c r="L503" s="23" t="str">
        <f aca="false">IF(OR($B503="",K503=""),"",K503-H503)</f>
        <v/>
      </c>
      <c r="M503" s="24" t="str">
        <f aca="false">IF($B503="","",IF(AND(I503="",J503=""),"Not Counted",IF(OR(I503="",J503=""),"Partially Counted",IF(L503=0,"Match",IF(L503&gt;0,"Overage","Shortage")))))</f>
        <v/>
      </c>
      <c r="N503" s="24" t="str">
        <f aca="false">IF($B503="","",IF(AND(N503&lt;&gt;"",N503&lt;&gt;0),N503,$B$4))</f>
        <v/>
      </c>
      <c r="O503" s="21"/>
      <c r="P503" s="21"/>
      <c r="Q503" s="21"/>
    </row>
    <row r="504" customFormat="false" ht="15" hidden="false" customHeight="false" outlineLevel="0" collapsed="false">
      <c r="A504" s="19" t="str">
        <f aca="true">IF($B504="","",IF(AND(A504&lt;&gt;"",A504&lt;&gt;0),A504,TODAY()))</f>
        <v/>
      </c>
      <c r="B504" s="20"/>
      <c r="C504" s="21"/>
      <c r="D504" s="21"/>
      <c r="E504" s="21"/>
      <c r="F504" s="21"/>
      <c r="G504" s="21"/>
      <c r="H504" s="22"/>
      <c r="I504" s="22"/>
      <c r="J504" s="22"/>
      <c r="K504" s="23" t="str">
        <f aca="false">IF($B504="","",IF(AND(I504="",J504=""),"",I504+J504))</f>
        <v/>
      </c>
      <c r="L504" s="23" t="str">
        <f aca="false">IF(OR($B504="",K504=""),"",K504-H504)</f>
        <v/>
      </c>
      <c r="M504" s="24" t="str">
        <f aca="false">IF($B504="","",IF(AND(I504="",J504=""),"Not Counted",IF(OR(I504="",J504=""),"Partially Counted",IF(L504=0,"Match",IF(L504&gt;0,"Overage","Shortage")))))</f>
        <v/>
      </c>
      <c r="N504" s="24" t="str">
        <f aca="false">IF($B504="","",IF(AND(N504&lt;&gt;"",N504&lt;&gt;0),N504,$B$4))</f>
        <v/>
      </c>
      <c r="O504" s="21"/>
      <c r="P504" s="21"/>
      <c r="Q504" s="21"/>
    </row>
    <row r="505" customFormat="false" ht="15" hidden="false" customHeight="false" outlineLevel="0" collapsed="false">
      <c r="A505" s="19" t="str">
        <f aca="true">IF($B505="","",IF(AND(A505&lt;&gt;"",A505&lt;&gt;0),A505,TODAY()))</f>
        <v/>
      </c>
      <c r="B505" s="20"/>
      <c r="C505" s="21"/>
      <c r="D505" s="21"/>
      <c r="E505" s="21"/>
      <c r="F505" s="21"/>
      <c r="G505" s="21"/>
      <c r="H505" s="22"/>
      <c r="I505" s="22"/>
      <c r="J505" s="22"/>
      <c r="K505" s="23" t="str">
        <f aca="false">IF($B505="","",IF(AND(I505="",J505=""),"",I505+J505))</f>
        <v/>
      </c>
      <c r="L505" s="23" t="str">
        <f aca="false">IF(OR($B505="",K505=""),"",K505-H505)</f>
        <v/>
      </c>
      <c r="M505" s="24" t="str">
        <f aca="false">IF($B505="","",IF(AND(I505="",J505=""),"Not Counted",IF(OR(I505="",J505=""),"Partially Counted",IF(L505=0,"Match",IF(L505&gt;0,"Overage","Shortage")))))</f>
        <v/>
      </c>
      <c r="N505" s="24" t="str">
        <f aca="false">IF($B505="","",IF(AND(N505&lt;&gt;"",N505&lt;&gt;0),N505,$B$4))</f>
        <v/>
      </c>
      <c r="O505" s="21"/>
      <c r="P505" s="21"/>
      <c r="Q505" s="21"/>
    </row>
    <row r="506" customFormat="false" ht="15" hidden="false" customHeight="false" outlineLevel="0" collapsed="false">
      <c r="A506" s="19" t="str">
        <f aca="true">IF($B506="","",IF(AND(A506&lt;&gt;"",A506&lt;&gt;0),A506,TODAY()))</f>
        <v/>
      </c>
      <c r="B506" s="20"/>
      <c r="C506" s="21"/>
      <c r="D506" s="21"/>
      <c r="E506" s="21"/>
      <c r="F506" s="21"/>
      <c r="G506" s="21"/>
      <c r="H506" s="22"/>
      <c r="I506" s="22"/>
      <c r="J506" s="22"/>
      <c r="K506" s="23" t="str">
        <f aca="false">IF($B506="","",IF(AND(I506="",J506=""),"",I506+J506))</f>
        <v/>
      </c>
      <c r="L506" s="23" t="str">
        <f aca="false">IF(OR($B506="",K506=""),"",K506-H506)</f>
        <v/>
      </c>
      <c r="M506" s="24" t="str">
        <f aca="false">IF($B506="","",IF(AND(I506="",J506=""),"Not Counted",IF(OR(I506="",J506=""),"Partially Counted",IF(L506=0,"Match",IF(L506&gt;0,"Overage","Shortage")))))</f>
        <v/>
      </c>
      <c r="N506" s="24" t="str">
        <f aca="false">IF($B506="","",IF(AND(N506&lt;&gt;"",N506&lt;&gt;0),N506,$B$4))</f>
        <v/>
      </c>
      <c r="O506" s="21"/>
      <c r="P506" s="21"/>
      <c r="Q506" s="21"/>
    </row>
  </sheetData>
  <mergeCells count="13">
    <mergeCell ref="A1:Q1"/>
    <mergeCell ref="S1:T1"/>
    <mergeCell ref="V1:AA1"/>
    <mergeCell ref="AC1:AH1"/>
    <mergeCell ref="AJ1:AN1"/>
    <mergeCell ref="A2:Q2"/>
    <mergeCell ref="S2:T2"/>
    <mergeCell ref="V2:AA2"/>
    <mergeCell ref="AC2:AH2"/>
    <mergeCell ref="AJ2:AN2"/>
    <mergeCell ref="V3:AA3"/>
    <mergeCell ref="AC3:AH3"/>
    <mergeCell ref="AJ3:AL3"/>
  </mergeCells>
  <conditionalFormatting sqref="A7:Q506">
    <cfRule type="expression" priority="2" aboveAverage="0" equalAverage="0" bottom="0" percent="0" rank="0" text="" dxfId="8">
      <formula>AND($A7&lt;&gt;"",(TODAY()-$A7)&lt;=14)</formula>
    </cfRule>
    <cfRule type="expression" priority="3" aboveAverage="0" equalAverage="0" bottom="0" percent="0" rank="0" text="" dxfId="9">
      <formula>AND($A7&lt;&gt;"",(TODAY()-$A7)&gt;=15,(TODAY()-$A7)&lt;=28)</formula>
    </cfRule>
    <cfRule type="expression" priority="4" aboveAverage="0" equalAverage="0" bottom="0" percent="0" rank="0" text="" dxfId="10">
      <formula>AND($A7&lt;&gt;"",(TODAY()-$A7)&gt;=29)</formula>
    </cfRule>
  </conditionalFormatting>
  <dataValidations count="6">
    <dataValidation allowBlank="true" errorStyle="stop" operator="between" showDropDown="false" showErrorMessage="false" showInputMessage="false" sqref="B4" type="list">
      <formula1>Lists!$A$2:$A$31</formula1>
      <formula2>0</formula2>
    </dataValidation>
    <dataValidation allowBlank="true" errorStyle="stop" operator="between" showDropDown="false" showErrorMessage="false" showInputMessage="false" sqref="N7:N506" type="list">
      <formula1>Lists!$A$2:$A$31</formula1>
      <formula2>0</formula2>
    </dataValidation>
    <dataValidation allowBlank="true" errorStyle="stop" operator="between" showDropDown="false" showErrorMessage="false" showInputMessage="false" sqref="O7:O506" type="list">
      <formula1>Lists!$C$2:$C$31</formula1>
      <formula2>0</formula2>
    </dataValidation>
    <dataValidation allowBlank="true" errorStyle="stop" operator="between" showDropDown="false" showErrorMessage="false" showInputMessage="false" sqref="P7:P506" type="list">
      <formula1>Lists!$C$2:$C$31</formula1>
      <formula2>0</formula2>
    </dataValidation>
    <dataValidation allowBlank="true" errorStyle="stop" operator="between" showDropDown="false" showErrorMessage="false" showInputMessage="false" sqref="Y5:Y254" type="list">
      <formula1>Lists!$A$2:$A$31</formula1>
      <formula2>0</formula2>
    </dataValidation>
    <dataValidation allowBlank="true" errorStyle="stop" operator="between" showDropDown="false" showErrorMessage="false" showInputMessage="false" sqref="AF5:AF254" type="list">
      <formula1>Lists!$A$2:$A$31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3" min="2" style="0" width="20"/>
  </cols>
  <sheetData>
    <row r="1" customFormat="false" ht="15" hidden="false" customHeight="false" outlineLevel="0" collapsed="false">
      <c r="A1" s="18" t="s">
        <v>32</v>
      </c>
      <c r="B1" s="18" t="s">
        <v>56</v>
      </c>
      <c r="C1" s="18" t="s">
        <v>56</v>
      </c>
    </row>
    <row r="2" customFormat="false" ht="15" hidden="false" customHeight="false" outlineLevel="0" collapsed="false">
      <c r="A2" s="25" t="s">
        <v>11</v>
      </c>
      <c r="B2" s="25" t="s">
        <v>48</v>
      </c>
      <c r="C2" s="25" t="s">
        <v>48</v>
      </c>
    </row>
    <row r="3" customFormat="false" ht="15" hidden="false" customHeight="false" outlineLevel="0" collapsed="false">
      <c r="A3" s="25" t="s">
        <v>57</v>
      </c>
      <c r="B3" s="25" t="s">
        <v>42</v>
      </c>
      <c r="C3" s="25" t="s">
        <v>42</v>
      </c>
    </row>
    <row r="4" customFormat="false" ht="15" hidden="false" customHeight="false" outlineLevel="0" collapsed="false">
      <c r="A4" s="25" t="s">
        <v>58</v>
      </c>
      <c r="B4" s="25" t="s">
        <v>54</v>
      </c>
      <c r="C4" s="25" t="s">
        <v>54</v>
      </c>
    </row>
    <row r="5" customFormat="false" ht="15" hidden="false" customHeight="false" outlineLevel="0" collapsed="false">
      <c r="A5" s="25"/>
      <c r="B5" s="25"/>
      <c r="C5" s="25"/>
    </row>
    <row r="6" customFormat="false" ht="15" hidden="false" customHeight="false" outlineLevel="0" collapsed="false">
      <c r="A6" s="25"/>
      <c r="B6" s="25"/>
      <c r="C6" s="25"/>
    </row>
    <row r="7" customFormat="false" ht="15" hidden="false" customHeight="false" outlineLevel="0" collapsed="false">
      <c r="A7" s="25"/>
      <c r="B7" s="25"/>
      <c r="C7" s="25"/>
    </row>
    <row r="8" customFormat="false" ht="15" hidden="false" customHeight="false" outlineLevel="0" collapsed="false">
      <c r="A8" s="25"/>
      <c r="B8" s="25"/>
      <c r="C8" s="25"/>
    </row>
    <row r="9" customFormat="false" ht="15" hidden="false" customHeight="false" outlineLevel="0" collapsed="false">
      <c r="A9" s="25"/>
      <c r="B9" s="25"/>
      <c r="C9" s="25"/>
    </row>
    <row r="10" customFormat="false" ht="15" hidden="false" customHeight="false" outlineLevel="0" collapsed="false">
      <c r="A10" s="25"/>
      <c r="B10" s="25"/>
      <c r="C10" s="25"/>
    </row>
    <row r="11" customFormat="false" ht="15" hidden="false" customHeight="false" outlineLevel="0" collapsed="false">
      <c r="A11" s="25"/>
      <c r="B11" s="25"/>
      <c r="C11" s="25"/>
    </row>
    <row r="12" customFormat="false" ht="15" hidden="false" customHeight="false" outlineLevel="0" collapsed="false">
      <c r="A12" s="25"/>
      <c r="B12" s="25"/>
      <c r="C12" s="25"/>
    </row>
    <row r="13" customFormat="false" ht="15" hidden="false" customHeight="false" outlineLevel="0" collapsed="false">
      <c r="A13" s="25"/>
      <c r="B13" s="25"/>
      <c r="C13" s="25"/>
    </row>
    <row r="14" customFormat="false" ht="15" hidden="false" customHeight="false" outlineLevel="0" collapsed="false">
      <c r="A14" s="25"/>
      <c r="B14" s="25"/>
      <c r="C14" s="25"/>
    </row>
    <row r="15" customFormat="false" ht="15" hidden="false" customHeight="false" outlineLevel="0" collapsed="false">
      <c r="A15" s="25"/>
      <c r="B15" s="25"/>
      <c r="C15" s="25"/>
    </row>
    <row r="16" customFormat="false" ht="15" hidden="false" customHeight="false" outlineLevel="0" collapsed="false">
      <c r="A16" s="25"/>
      <c r="B16" s="25"/>
      <c r="C16" s="25"/>
    </row>
    <row r="17" customFormat="false" ht="15" hidden="false" customHeight="false" outlineLevel="0" collapsed="false">
      <c r="A17" s="25"/>
      <c r="B17" s="25"/>
      <c r="C17" s="25"/>
    </row>
    <row r="18" customFormat="false" ht="15" hidden="false" customHeight="false" outlineLevel="0" collapsed="false">
      <c r="A18" s="25"/>
      <c r="B18" s="25"/>
      <c r="C18" s="25"/>
    </row>
    <row r="19" customFormat="false" ht="15" hidden="false" customHeight="false" outlineLevel="0" collapsed="false">
      <c r="A19" s="25"/>
      <c r="B19" s="25"/>
      <c r="C19" s="25"/>
    </row>
    <row r="20" customFormat="false" ht="15" hidden="false" customHeight="false" outlineLevel="0" collapsed="false">
      <c r="A20" s="25"/>
      <c r="B20" s="25"/>
      <c r="C20" s="25"/>
    </row>
    <row r="21" customFormat="false" ht="15" hidden="false" customHeight="false" outlineLevel="0" collapsed="false">
      <c r="A21" s="25"/>
      <c r="B21" s="25"/>
      <c r="C21" s="25"/>
    </row>
    <row r="22" customFormat="false" ht="15" hidden="false" customHeight="false" outlineLevel="0" collapsed="false">
      <c r="A22" s="25"/>
      <c r="B22" s="25"/>
      <c r="C22" s="25"/>
    </row>
    <row r="23" customFormat="false" ht="15" hidden="false" customHeight="false" outlineLevel="0" collapsed="false">
      <c r="A23" s="25"/>
      <c r="B23" s="25"/>
      <c r="C23" s="25"/>
    </row>
    <row r="24" customFormat="false" ht="15" hidden="false" customHeight="false" outlineLevel="0" collapsed="false">
      <c r="A24" s="25"/>
      <c r="B24" s="25"/>
      <c r="C24" s="25"/>
    </row>
    <row r="25" customFormat="false" ht="15" hidden="false" customHeight="false" outlineLevel="0" collapsed="false">
      <c r="A25" s="25"/>
      <c r="B25" s="25"/>
      <c r="C25" s="25"/>
    </row>
    <row r="26" customFormat="false" ht="15" hidden="false" customHeight="false" outlineLevel="0" collapsed="false">
      <c r="A26" s="25"/>
      <c r="B26" s="25"/>
      <c r="C26" s="25"/>
    </row>
    <row r="27" customFormat="false" ht="15" hidden="false" customHeight="false" outlineLevel="0" collapsed="false">
      <c r="A27" s="25"/>
      <c r="B27" s="25"/>
      <c r="C27" s="25"/>
    </row>
    <row r="28" customFormat="false" ht="15" hidden="false" customHeight="false" outlineLevel="0" collapsed="false">
      <c r="A28" s="25"/>
      <c r="B28" s="25"/>
      <c r="C28" s="25"/>
    </row>
    <row r="29" customFormat="false" ht="15" hidden="false" customHeight="false" outlineLevel="0" collapsed="false">
      <c r="A29" s="25"/>
      <c r="B29" s="25"/>
      <c r="C29" s="25"/>
    </row>
    <row r="30" customFormat="false" ht="15" hidden="false" customHeight="false" outlineLevel="0" collapsed="false">
      <c r="A30" s="25"/>
      <c r="B30" s="25"/>
      <c r="C30" s="25"/>
    </row>
    <row r="31" customFormat="false" ht="15" hidden="false" customHeight="false" outlineLevel="0" collapsed="false">
      <c r="A31" s="25"/>
      <c r="B31" s="25"/>
      <c r="C31" s="25"/>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05"/>
  </cols>
  <sheetData>
    <row r="1" customFormat="false" ht="17.35" hidden="false" customHeight="false" outlineLevel="0" collapsed="false">
      <c r="A1" s="26" t="s">
        <v>59</v>
      </c>
    </row>
    <row r="2" customFormat="false" ht="15" hidden="false" customHeight="false" outlineLevel="0" collapsed="false">
      <c r="A2" s="24"/>
    </row>
    <row r="3" customFormat="false" ht="15" hidden="false" customHeight="false" outlineLevel="0" collapsed="false">
      <c r="A3" s="27" t="s">
        <v>60</v>
      </c>
    </row>
    <row r="4" customFormat="false" ht="15" hidden="false" customHeight="false" outlineLevel="0" collapsed="false">
      <c r="A4" s="24" t="s">
        <v>61</v>
      </c>
    </row>
    <row r="5" customFormat="false" ht="15" hidden="false" customHeight="false" outlineLevel="0" collapsed="false">
      <c r="A5" s="24" t="s">
        <v>62</v>
      </c>
    </row>
    <row r="6" customFormat="false" ht="15" hidden="false" customHeight="false" outlineLevel="0" collapsed="false">
      <c r="A6" s="24" t="s">
        <v>63</v>
      </c>
    </row>
    <row r="7" customFormat="false" ht="15" hidden="false" customHeight="false" outlineLevel="0" collapsed="false">
      <c r="A7" s="24" t="s">
        <v>64</v>
      </c>
    </row>
    <row r="8" customFormat="false" ht="15" hidden="false" customHeight="false" outlineLevel="0" collapsed="false">
      <c r="A8" s="24" t="s">
        <v>65</v>
      </c>
    </row>
    <row r="9" customFormat="false" ht="15" hidden="false" customHeight="false" outlineLevel="0" collapsed="false">
      <c r="A9" s="24" t="s">
        <v>66</v>
      </c>
    </row>
    <row r="10" customFormat="false" ht="15" hidden="false" customHeight="false" outlineLevel="0" collapsed="false">
      <c r="A10" s="24" t="s">
        <v>67</v>
      </c>
    </row>
    <row r="11" customFormat="false" ht="15" hidden="false" customHeight="false" outlineLevel="0" collapsed="false">
      <c r="A11" s="24" t="s">
        <v>68</v>
      </c>
    </row>
    <row r="12" customFormat="false" ht="15" hidden="false" customHeight="false" outlineLevel="0" collapsed="false">
      <c r="A12" s="24" t="s">
        <v>69</v>
      </c>
    </row>
    <row r="13" customFormat="false" ht="15" hidden="false" customHeight="false" outlineLevel="0" collapsed="false">
      <c r="A13" s="24" t="s">
        <v>70</v>
      </c>
    </row>
    <row r="14" customFormat="false" ht="15" hidden="false" customHeight="false" outlineLevel="0" collapsed="false">
      <c r="A14" s="24" t="s">
        <v>71</v>
      </c>
    </row>
    <row r="15" customFormat="false" ht="15" hidden="false" customHeight="false" outlineLevel="0" collapsed="false">
      <c r="A15" s="24" t="s">
        <v>72</v>
      </c>
    </row>
    <row r="16" customFormat="false" ht="15" hidden="false" customHeight="false" outlineLevel="0" collapsed="false">
      <c r="A16" s="24" t="s">
        <v>73</v>
      </c>
    </row>
    <row r="17" customFormat="false" ht="15" hidden="false" customHeight="false" outlineLevel="0" collapsed="false">
      <c r="A17" s="24" t="s">
        <v>74</v>
      </c>
    </row>
    <row r="18" customFormat="false" ht="15" hidden="false" customHeight="false" outlineLevel="0" collapsed="false">
      <c r="A18" s="24" t="s">
        <v>75</v>
      </c>
    </row>
    <row r="19" customFormat="false" ht="15" hidden="false" customHeight="false" outlineLevel="0" collapsed="false">
      <c r="A19" s="24" t="s">
        <v>76</v>
      </c>
    </row>
    <row r="20" customFormat="false" ht="15" hidden="false" customHeight="false" outlineLevel="0" collapsed="false">
      <c r="A20" s="24" t="s">
        <v>77</v>
      </c>
    </row>
    <row r="21" customFormat="false" ht="15" hidden="false" customHeight="false" outlineLevel="0" collapsed="false">
      <c r="A21" s="24" t="s">
        <v>78</v>
      </c>
    </row>
    <row r="22" customFormat="false" ht="15" hidden="false" customHeight="false" outlineLevel="0" collapsed="false">
      <c r="A22" s="24" t="s">
        <v>79</v>
      </c>
    </row>
    <row r="23" customFormat="false" ht="15" hidden="false" customHeight="false" outlineLevel="0" collapsed="false">
      <c r="A23" s="24" t="s">
        <v>80</v>
      </c>
    </row>
    <row r="24" customFormat="false" ht="15" hidden="false" customHeight="false" outlineLevel="0" collapsed="false">
      <c r="A24" s="24" t="s">
        <v>81</v>
      </c>
    </row>
    <row r="25" customFormat="false" ht="15" hidden="false" customHeight="false" outlineLevel="0" collapsed="false">
      <c r="A25" s="24" t="s">
        <v>82</v>
      </c>
    </row>
    <row r="26" customFormat="false" ht="15" hidden="false" customHeight="false" outlineLevel="0" collapsed="false">
      <c r="A26" s="24"/>
    </row>
    <row r="27" customFormat="false" ht="15" hidden="false" customHeight="false" outlineLevel="0" collapsed="false">
      <c r="A27" s="27" t="s">
        <v>83</v>
      </c>
    </row>
    <row r="28" customFormat="false" ht="15" hidden="false" customHeight="false" outlineLevel="0" collapsed="false">
      <c r="A28" s="24" t="s">
        <v>84</v>
      </c>
    </row>
    <row r="29" customFormat="false" ht="15" hidden="false" customHeight="false" outlineLevel="0" collapsed="false">
      <c r="A29" s="24" t="s">
        <v>85</v>
      </c>
    </row>
    <row r="30" customFormat="false" ht="15" hidden="false" customHeight="false" outlineLevel="0" collapsed="false">
      <c r="A30" s="24" t="s">
        <v>86</v>
      </c>
    </row>
    <row r="31" customFormat="false" ht="15" hidden="false" customHeight="false" outlineLevel="0" collapsed="false">
      <c r="A31" s="24" t="s">
        <v>87</v>
      </c>
    </row>
    <row r="32" customFormat="false" ht="15" hidden="false" customHeight="false" outlineLevel="0" collapsed="false">
      <c r="A32" s="24" t="s">
        <v>88</v>
      </c>
    </row>
    <row r="33" customFormat="false" ht="15" hidden="false" customHeight="false" outlineLevel="0" collapsed="false">
      <c r="A33" s="24" t="s">
        <v>89</v>
      </c>
    </row>
    <row r="34" customFormat="false" ht="15" hidden="false" customHeight="false" outlineLevel="0" collapsed="false">
      <c r="A34" s="24" t="s">
        <v>90</v>
      </c>
    </row>
    <row r="35" customFormat="false" ht="15" hidden="false" customHeight="false" outlineLevel="0" collapsed="false">
      <c r="A35" s="24" t="s">
        <v>91</v>
      </c>
    </row>
    <row r="36" customFormat="false" ht="15" hidden="false" customHeight="false" outlineLevel="0" collapsed="false">
      <c r="A36" s="24" t="s">
        <v>92</v>
      </c>
    </row>
    <row r="37" customFormat="false" ht="15" hidden="false" customHeight="false" outlineLevel="0" collapsed="false">
      <c r="A37" s="24"/>
    </row>
    <row r="38" customFormat="false" ht="15" hidden="false" customHeight="false" outlineLevel="0" collapsed="false">
      <c r="A38" s="27" t="s">
        <v>93</v>
      </c>
    </row>
    <row r="39" customFormat="false" ht="15" hidden="false" customHeight="false" outlineLevel="0" collapsed="false">
      <c r="A39" s="24" t="s">
        <v>94</v>
      </c>
    </row>
    <row r="40" customFormat="false" ht="15" hidden="false" customHeight="false" outlineLevel="0" collapsed="false">
      <c r="A40" s="24" t="s">
        <v>95</v>
      </c>
    </row>
    <row r="41" customFormat="false" ht="15" hidden="false" customHeight="false" outlineLevel="0" collapsed="false">
      <c r="A41" s="24" t="s">
        <v>96</v>
      </c>
    </row>
    <row r="42" customFormat="false" ht="15" hidden="false" customHeight="false" outlineLevel="0" collapsed="false">
      <c r="A42" s="24" t="s">
        <v>97</v>
      </c>
    </row>
    <row r="43" customFormat="false" ht="15" hidden="false" customHeight="false" outlineLevel="0" collapsed="false">
      <c r="A43" s="24" t="s">
        <v>98</v>
      </c>
    </row>
    <row r="44" customFormat="false" ht="15" hidden="false" customHeight="false" outlineLevel="0" collapsed="false">
      <c r="A44" s="24" t="s">
        <v>99</v>
      </c>
    </row>
    <row r="45" customFormat="false" ht="15" hidden="false" customHeight="false" outlineLevel="0" collapsed="false">
      <c r="A45" s="24"/>
    </row>
    <row r="46" customFormat="false" ht="15" hidden="false" customHeight="false" outlineLevel="0" collapsed="false">
      <c r="A46" s="27" t="s">
        <v>100</v>
      </c>
    </row>
    <row r="47" customFormat="false" ht="15" hidden="false" customHeight="false" outlineLevel="0" collapsed="false">
      <c r="A47" s="24" t="s">
        <v>101</v>
      </c>
    </row>
    <row r="48" customFormat="false" ht="15" hidden="false" customHeight="false" outlineLevel="0" collapsed="false">
      <c r="A48" s="24" t="s">
        <v>102</v>
      </c>
    </row>
    <row r="49" customFormat="false" ht="15" hidden="false" customHeight="false" outlineLevel="0" collapsed="false">
      <c r="A49" s="24" t="s">
        <v>103</v>
      </c>
    </row>
    <row r="50" customFormat="false" ht="15" hidden="false" customHeight="false" outlineLevel="0" collapsed="false">
      <c r="A50" s="24"/>
    </row>
    <row r="51" customFormat="false" ht="15" hidden="false" customHeight="false" outlineLevel="0" collapsed="false">
      <c r="A51" s="27" t="s">
        <v>104</v>
      </c>
    </row>
    <row r="52" customFormat="false" ht="15" hidden="false" customHeight="false" outlineLevel="0" collapsed="false">
      <c r="A52" s="24" t="s">
        <v>105</v>
      </c>
    </row>
    <row r="53" customFormat="false" ht="15" hidden="false" customHeight="false" outlineLevel="0" collapsed="false">
      <c r="A53" s="24" t="s">
        <v>106</v>
      </c>
    </row>
    <row r="54" customFormat="false" ht="15" hidden="false" customHeight="false" outlineLevel="0" collapsed="false">
      <c r="A54" s="24" t="s">
        <v>107</v>
      </c>
    </row>
    <row r="55" customFormat="false" ht="15" hidden="false" customHeight="false" outlineLevel="0" collapsed="false">
      <c r="A55" s="24" t="s">
        <v>108</v>
      </c>
    </row>
    <row r="56" customFormat="false" ht="15" hidden="false" customHeight="false" outlineLevel="0" collapsed="false">
      <c r="A56" s="24" t="s">
        <v>109</v>
      </c>
    </row>
    <row r="57" customFormat="false" ht="15" hidden="false" customHeight="false" outlineLevel="0" collapsed="false">
      <c r="A57" s="24"/>
    </row>
    <row r="58" customFormat="false" ht="15" hidden="false" customHeight="false" outlineLevel="0" collapsed="false">
      <c r="A58" s="24" t="s">
        <v>110</v>
      </c>
    </row>
    <row r="59" customFormat="false" ht="15" hidden="false" customHeight="false" outlineLevel="0" collapsed="false">
      <c r="A59" s="24" t="s">
        <v>111</v>
      </c>
    </row>
    <row r="60" customFormat="false" ht="15" hidden="false" customHeight="false" outlineLevel="0" collapsed="false">
      <c r="A60" s="24" t="s">
        <v>112</v>
      </c>
    </row>
    <row r="61" customFormat="false" ht="15" hidden="false" customHeight="false" outlineLevel="0" collapsed="false">
      <c r="A61" s="24" t="s">
        <v>113</v>
      </c>
    </row>
    <row r="62" customFormat="false" ht="15" hidden="false" customHeight="false" outlineLevel="0" collapsed="false">
      <c r="A62" s="24"/>
    </row>
    <row r="63" customFormat="false" ht="15" hidden="false" customHeight="false" outlineLevel="0" collapsed="false">
      <c r="A63" s="27" t="s">
        <v>114</v>
      </c>
    </row>
    <row r="64" customFormat="false" ht="15" hidden="false" customHeight="false" outlineLevel="0" collapsed="false">
      <c r="A64" s="24" t="s">
        <v>115</v>
      </c>
    </row>
    <row r="65" customFormat="false" ht="15" hidden="false" customHeight="false" outlineLevel="0" collapsed="false">
      <c r="A65" s="24" t="s">
        <v>116</v>
      </c>
    </row>
    <row r="66" customFormat="false" ht="15" hidden="false" customHeight="false" outlineLevel="0" collapsed="false">
      <c r="A66" s="24" t="s">
        <v>117</v>
      </c>
    </row>
    <row r="67" customFormat="false" ht="15" hidden="false" customHeight="false" outlineLevel="0" collapsed="false">
      <c r="A67" s="24"/>
    </row>
    <row r="68" customFormat="false" ht="15" hidden="false" customHeight="false" outlineLevel="0" collapsed="false">
      <c r="A68" s="27" t="s">
        <v>118</v>
      </c>
    </row>
    <row r="69" customFormat="false" ht="15" hidden="false" customHeight="false" outlineLevel="0" collapsed="false">
      <c r="A69" s="24" t="s">
        <v>119</v>
      </c>
    </row>
    <row r="70" customFormat="false" ht="15" hidden="false" customHeight="false" outlineLevel="0" collapsed="false">
      <c r="A70" s="24" t="s">
        <v>120</v>
      </c>
    </row>
    <row r="71" customFormat="false" ht="15" hidden="false" customHeight="false" outlineLevel="0" collapsed="false">
      <c r="A71" s="24" t="s">
        <v>121</v>
      </c>
    </row>
    <row r="72" customFormat="false" ht="15" hidden="false" customHeight="false" outlineLevel="0" collapsed="false">
      <c r="A72" s="24" t="s">
        <v>122</v>
      </c>
    </row>
    <row r="73" customFormat="false" ht="15" hidden="false" customHeight="false" outlineLevel="0" collapsed="false">
      <c r="A73" s="24"/>
    </row>
    <row r="74" customFormat="false" ht="15" hidden="false" customHeight="false" outlineLevel="0" collapsed="false">
      <c r="A74" s="27" t="s">
        <v>123</v>
      </c>
    </row>
    <row r="75" customFormat="false" ht="15" hidden="false" customHeight="false" outlineLevel="0" collapsed="false">
      <c r="A75" s="24" t="s">
        <v>124</v>
      </c>
    </row>
    <row r="76" customFormat="false" ht="15" hidden="false" customHeight="false" outlineLevel="0" collapsed="false">
      <c r="A76" s="24" t="s">
        <v>125</v>
      </c>
    </row>
    <row r="77" customFormat="false" ht="15" hidden="false" customHeight="false" outlineLevel="0" collapsed="false">
      <c r="A77" s="24"/>
    </row>
    <row r="78" customFormat="false" ht="15" hidden="false" customHeight="false" outlineLevel="0" collapsed="false">
      <c r="A78" s="24" t="s">
        <v>126</v>
      </c>
    </row>
    <row r="79" customFormat="false" ht="15" hidden="false" customHeight="false" outlineLevel="0" collapsed="false">
      <c r="A79" s="24" t="s">
        <v>127</v>
      </c>
    </row>
    <row r="80" customFormat="false" ht="15" hidden="false" customHeight="false" outlineLevel="0" collapsed="false">
      <c r="A80" s="24" t="s">
        <v>128</v>
      </c>
    </row>
    <row r="81" customFormat="false" ht="15" hidden="false" customHeight="false" outlineLevel="0" collapsed="false">
      <c r="A81" s="24" t="s">
        <v>129</v>
      </c>
    </row>
    <row r="82" customFormat="false" ht="15" hidden="false" customHeight="false" outlineLevel="0" collapsed="false">
      <c r="A82" s="24" t="s">
        <v>130</v>
      </c>
    </row>
    <row r="83" customFormat="false" ht="15" hidden="false" customHeight="false" outlineLevel="0" collapsed="false">
      <c r="A83" s="24" t="s">
        <v>131</v>
      </c>
    </row>
    <row r="84" customFormat="false" ht="15" hidden="false" customHeight="false" outlineLevel="0" collapsed="false">
      <c r="A84" s="24" t="s">
        <v>132</v>
      </c>
    </row>
    <row r="85" customFormat="false" ht="15" hidden="false" customHeight="false" outlineLevel="0" collapsed="false">
      <c r="A85" s="24" t="s">
        <v>133</v>
      </c>
    </row>
    <row r="86" customFormat="false" ht="15" hidden="false" customHeight="false" outlineLevel="0" collapsed="false">
      <c r="A86" s="24" t="s">
        <v>134</v>
      </c>
    </row>
    <row r="87" customFormat="false" ht="15" hidden="false" customHeight="false" outlineLevel="0" collapsed="false">
      <c r="A87" s="24" t="s">
        <v>135</v>
      </c>
    </row>
    <row r="88" customFormat="false" ht="15" hidden="false" customHeight="false" outlineLevel="0" collapsed="false">
      <c r="A88" s="24" t="s">
        <v>136</v>
      </c>
    </row>
    <row r="89" customFormat="false" ht="15" hidden="false" customHeight="false" outlineLevel="0" collapsed="false">
      <c r="A89" s="24" t="s">
        <v>137</v>
      </c>
    </row>
    <row r="90" customFormat="false" ht="15" hidden="false" customHeight="false" outlineLevel="0" collapsed="false">
      <c r="A90" s="24" t="s">
        <v>138</v>
      </c>
    </row>
    <row r="91" customFormat="false" ht="15" hidden="false" customHeight="false" outlineLevel="0" collapsed="false">
      <c r="A91" s="24" t="s">
        <v>139</v>
      </c>
    </row>
    <row r="92" customFormat="false" ht="15" hidden="false" customHeight="false" outlineLevel="0" collapsed="false">
      <c r="A92" s="24" t="s">
        <v>140</v>
      </c>
    </row>
    <row r="93" customFormat="false" ht="15" hidden="false" customHeight="false" outlineLevel="0" collapsed="false">
      <c r="A93" s="24" t="s">
        <v>141</v>
      </c>
    </row>
    <row r="94" customFormat="false" ht="15" hidden="false" customHeight="false" outlineLevel="0" collapsed="false">
      <c r="A94" s="24" t="s">
        <v>142</v>
      </c>
    </row>
    <row r="95" customFormat="false" ht="15" hidden="false" customHeight="false" outlineLevel="0" collapsed="false">
      <c r="A95" s="24" t="s">
        <v>143</v>
      </c>
    </row>
    <row r="96" customFormat="false" ht="15" hidden="false" customHeight="false" outlineLevel="0" collapsed="false">
      <c r="A96" s="24" t="s">
        <v>144</v>
      </c>
    </row>
    <row r="97" customFormat="false" ht="15" hidden="false" customHeight="false" outlineLevel="0" collapsed="false">
      <c r="A97" s="24" t="s">
        <v>145</v>
      </c>
    </row>
    <row r="98" customFormat="false" ht="15" hidden="false" customHeight="false" outlineLevel="0" collapsed="false">
      <c r="A98" s="24" t="s">
        <v>146</v>
      </c>
    </row>
    <row r="99" customFormat="false" ht="15" hidden="false" customHeight="false" outlineLevel="0" collapsed="false">
      <c r="A99" s="24" t="s">
        <v>147</v>
      </c>
    </row>
    <row r="100" customFormat="false" ht="15" hidden="false" customHeight="false" outlineLevel="0" collapsed="false">
      <c r="A100" s="24" t="s">
        <v>148</v>
      </c>
    </row>
    <row r="101" customFormat="false" ht="15" hidden="false" customHeight="false" outlineLevel="0" collapsed="false">
      <c r="A101" s="24" t="s">
        <v>149</v>
      </c>
    </row>
    <row r="102" customFormat="false" ht="15" hidden="false" customHeight="false" outlineLevel="0" collapsed="false">
      <c r="A102" s="24" t="s">
        <v>150</v>
      </c>
    </row>
    <row r="103" customFormat="false" ht="15" hidden="false" customHeight="false" outlineLevel="0" collapsed="false">
      <c r="A103" s="24" t="s">
        <v>151</v>
      </c>
    </row>
    <row r="104" customFormat="false" ht="15" hidden="false" customHeight="false" outlineLevel="0" collapsed="false">
      <c r="A104" s="24" t="s">
        <v>152</v>
      </c>
    </row>
    <row r="105" customFormat="false" ht="15" hidden="false" customHeight="false" outlineLevel="0" collapsed="false">
      <c r="A105" s="24" t="s">
        <v>153</v>
      </c>
    </row>
    <row r="106" customFormat="false" ht="15" hidden="false" customHeight="false" outlineLevel="0" collapsed="false">
      <c r="A106" s="24" t="s">
        <v>154</v>
      </c>
    </row>
    <row r="107" customFormat="false" ht="15" hidden="false" customHeight="false" outlineLevel="0" collapsed="false">
      <c r="A107" s="24" t="s">
        <v>155</v>
      </c>
    </row>
    <row r="108" customFormat="false" ht="15" hidden="false" customHeight="false" outlineLevel="0" collapsed="false">
      <c r="A108" s="24"/>
    </row>
    <row r="109" customFormat="false" ht="15" hidden="false" customHeight="false" outlineLevel="0" collapsed="false">
      <c r="A109" s="27" t="s">
        <v>156</v>
      </c>
    </row>
    <row r="110" customFormat="false" ht="15" hidden="false" customHeight="false" outlineLevel="0" collapsed="false">
      <c r="A110" s="24" t="s">
        <v>157</v>
      </c>
    </row>
    <row r="111" customFormat="false" ht="15" hidden="false" customHeight="false" outlineLevel="0" collapsed="false">
      <c r="A111" s="24" t="s">
        <v>158</v>
      </c>
    </row>
    <row r="112" customFormat="false" ht="15" hidden="false" customHeight="false" outlineLevel="0" collapsed="false">
      <c r="A112" s="24"/>
    </row>
    <row r="113" customFormat="false" ht="15" hidden="false" customHeight="false" outlineLevel="0" collapsed="false">
      <c r="A113" s="24" t="s">
        <v>159</v>
      </c>
    </row>
    <row r="114" customFormat="false" ht="15" hidden="false" customHeight="false" outlineLevel="0" collapsed="false">
      <c r="A114" s="24" t="s">
        <v>160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0"/>
  </cols>
  <sheetData>
    <row r="1" customFormat="false" ht="15" hidden="false" customHeight="false" outlineLevel="0" collapsed="false">
      <c r="A1" s="28" t="s">
        <v>161</v>
      </c>
    </row>
    <row r="3" customFormat="false" ht="15" hidden="false" customHeight="false" outlineLevel="0" collapsed="false">
      <c r="A3" s="29" t="s">
        <v>162</v>
      </c>
    </row>
    <row r="4" customFormat="false" ht="15" hidden="false" customHeight="false" outlineLevel="0" collapsed="false">
      <c r="A4" s="29" t="s">
        <v>163</v>
      </c>
    </row>
    <row r="5" customFormat="false" ht="15" hidden="false" customHeight="false" outlineLevel="0" collapsed="false">
      <c r="A5" s="29" t="s">
        <v>164</v>
      </c>
    </row>
    <row r="6" customFormat="false" ht="15" hidden="false" customHeight="false" outlineLevel="0" collapsed="false">
      <c r="A6" s="29" t="s">
        <v>165</v>
      </c>
    </row>
    <row r="7" customFormat="false" ht="15" hidden="false" customHeight="false" outlineLevel="0" collapsed="false">
      <c r="A7" s="29"/>
    </row>
    <row r="8" customFormat="false" ht="15" hidden="false" customHeight="false" outlineLevel="0" collapsed="false">
      <c r="A8" s="29" t="s">
        <v>166</v>
      </c>
    </row>
    <row r="9" customFormat="false" ht="15" hidden="false" customHeight="false" outlineLevel="0" collapsed="false">
      <c r="A9" s="29" t="s">
        <v>167</v>
      </c>
    </row>
    <row r="10" customFormat="false" ht="15" hidden="false" customHeight="false" outlineLevel="0" collapsed="false">
      <c r="A10" s="29"/>
    </row>
    <row r="11" customFormat="false" ht="15" hidden="false" customHeight="false" outlineLevel="0" collapsed="false">
      <c r="A11" s="29" t="s">
        <v>168</v>
      </c>
    </row>
    <row r="12" customFormat="false" ht="15" hidden="false" customHeight="false" outlineLevel="0" collapsed="false">
      <c r="A12" s="29" t="s">
        <v>169</v>
      </c>
    </row>
    <row r="13" customFormat="false" ht="15" hidden="false" customHeight="false" outlineLevel="0" collapsed="false">
      <c r="A13" s="29" t="s">
        <v>170</v>
      </c>
    </row>
    <row r="14" customFormat="false" ht="15" hidden="false" customHeight="false" outlineLevel="0" collapsed="false">
      <c r="A14" s="29" t="s">
        <v>171</v>
      </c>
    </row>
    <row r="15" customFormat="false" ht="15" hidden="false" customHeight="false" outlineLevel="0" collapsed="false">
      <c r="A15" s="29" t="s">
        <v>172</v>
      </c>
    </row>
    <row r="16" customFormat="false" ht="15" hidden="false" customHeight="false" outlineLevel="0" collapsed="false">
      <c r="A16" s="29" t="s">
        <v>173</v>
      </c>
    </row>
    <row r="17" customFormat="false" ht="15" hidden="false" customHeight="false" outlineLevel="0" collapsed="false">
      <c r="A17" s="29"/>
    </row>
    <row r="18" customFormat="false" ht="15" hidden="false" customHeight="false" outlineLevel="0" collapsed="false">
      <c r="A18" s="29" t="s">
        <v>174</v>
      </c>
    </row>
    <row r="19" customFormat="false" ht="15" hidden="false" customHeight="false" outlineLevel="0" collapsed="false">
      <c r="A19" s="29" t="s">
        <v>175</v>
      </c>
    </row>
    <row r="20" customFormat="false" ht="15" hidden="false" customHeight="false" outlineLevel="0" collapsed="false">
      <c r="A20" s="29" t="s">
        <v>176</v>
      </c>
    </row>
    <row r="21" customFormat="false" ht="15" hidden="false" customHeight="false" outlineLevel="0" collapsed="false">
      <c r="A21" s="29" t="s">
        <v>177</v>
      </c>
    </row>
    <row r="22" customFormat="false" ht="15" hidden="false" customHeight="false" outlineLevel="0" collapsed="false">
      <c r="A22" s="29" t="s">
        <v>178</v>
      </c>
    </row>
    <row r="23" customFormat="false" ht="15" hidden="false" customHeight="false" outlineLevel="0" collapsed="false">
      <c r="A23" s="29" t="s">
        <v>179</v>
      </c>
    </row>
    <row r="24" customFormat="false" ht="15" hidden="false" customHeight="false" outlineLevel="0" collapsed="false">
      <c r="A24" s="29"/>
    </row>
    <row r="25" customFormat="false" ht="15" hidden="false" customHeight="false" outlineLevel="0" collapsed="false">
      <c r="A25" s="29"/>
    </row>
    <row r="26" customFormat="false" ht="15" hidden="false" customHeight="false" outlineLevel="0" collapsed="false">
      <c r="A26" s="29" t="s">
        <v>180</v>
      </c>
    </row>
    <row r="27" customFormat="false" ht="15" hidden="false" customHeight="false" outlineLevel="0" collapsed="false">
      <c r="A27" s="29"/>
    </row>
    <row r="28" customFormat="false" ht="15" hidden="false" customHeight="false" outlineLevel="0" collapsed="false">
      <c r="A28" s="29" t="s">
        <v>181</v>
      </c>
    </row>
    <row r="29" customFormat="false" ht="15" hidden="false" customHeight="false" outlineLevel="0" collapsed="false">
      <c r="A29" s="29" t="s">
        <v>182</v>
      </c>
    </row>
    <row r="30" customFormat="false" ht="15" hidden="false" customHeight="false" outlineLevel="0" collapsed="false">
      <c r="A30" s="29" t="s">
        <v>183</v>
      </c>
    </row>
    <row r="31" customFormat="false" ht="15" hidden="false" customHeight="false" outlineLevel="0" collapsed="false">
      <c r="A31" s="29" t="s">
        <v>184</v>
      </c>
    </row>
    <row r="32" customFormat="false" ht="15" hidden="false" customHeight="false" outlineLevel="0" collapsed="false">
      <c r="A32" s="29" t="s">
        <v>185</v>
      </c>
    </row>
    <row r="33" customFormat="false" ht="15" hidden="false" customHeight="false" outlineLevel="0" collapsed="false">
      <c r="A33" s="29" t="s">
        <v>186</v>
      </c>
    </row>
    <row r="34" customFormat="false" ht="15" hidden="false" customHeight="false" outlineLevel="0" collapsed="false">
      <c r="A34" s="29" t="s">
        <v>187</v>
      </c>
    </row>
    <row r="35" customFormat="false" ht="15" hidden="false" customHeight="false" outlineLevel="0" collapsed="false">
      <c r="A35" s="29"/>
    </row>
    <row r="36" customFormat="false" ht="15" hidden="false" customHeight="false" outlineLevel="0" collapsed="false">
      <c r="A36" s="29" t="s">
        <v>188</v>
      </c>
    </row>
    <row r="37" customFormat="false" ht="15" hidden="false" customHeight="false" outlineLevel="0" collapsed="false">
      <c r="A37" s="29" t="s">
        <v>189</v>
      </c>
    </row>
    <row r="38" customFormat="false" ht="15" hidden="false" customHeight="false" outlineLevel="0" collapsed="false">
      <c r="A38" s="29"/>
    </row>
    <row r="39" customFormat="false" ht="15" hidden="false" customHeight="false" outlineLevel="0" collapsed="false">
      <c r="A39" s="29" t="s">
        <v>190</v>
      </c>
    </row>
    <row r="40" customFormat="false" ht="15" hidden="false" customHeight="false" outlineLevel="0" collapsed="false">
      <c r="A40" s="29" t="s">
        <v>191</v>
      </c>
    </row>
    <row r="41" customFormat="false" ht="15" hidden="false" customHeight="false" outlineLevel="0" collapsed="false">
      <c r="A41" s="29" t="s">
        <v>192</v>
      </c>
    </row>
    <row r="42" customFormat="false" ht="15" hidden="false" customHeight="false" outlineLevel="0" collapsed="false">
      <c r="A42" s="29" t="s">
        <v>193</v>
      </c>
    </row>
    <row r="43" customFormat="false" ht="15" hidden="false" customHeight="false" outlineLevel="0" collapsed="false">
      <c r="A43" s="29"/>
    </row>
    <row r="44" customFormat="false" ht="15" hidden="false" customHeight="false" outlineLevel="0" collapsed="false">
      <c r="A44" s="29" t="s">
        <v>194</v>
      </c>
    </row>
    <row r="45" customFormat="false" ht="15" hidden="false" customHeight="false" outlineLevel="0" collapsed="false">
      <c r="A45" s="29" t="s">
        <v>195</v>
      </c>
    </row>
    <row r="46" customFormat="false" ht="15" hidden="false" customHeight="false" outlineLevel="0" collapsed="false">
      <c r="A46" s="29" t="s">
        <v>196</v>
      </c>
    </row>
    <row r="47" customFormat="false" ht="15" hidden="false" customHeight="false" outlineLevel="0" collapsed="false">
      <c r="A47" s="29" t="s">
        <v>197</v>
      </c>
    </row>
    <row r="48" customFormat="false" ht="15" hidden="false" customHeight="false" outlineLevel="0" collapsed="false">
      <c r="A48" s="29" t="s">
        <v>198</v>
      </c>
    </row>
    <row r="49" customFormat="false" ht="15" hidden="false" customHeight="false" outlineLevel="0" collapsed="false">
      <c r="A49" s="29" t="s">
        <v>199</v>
      </c>
    </row>
    <row r="50" customFormat="false" ht="15" hidden="false" customHeight="false" outlineLevel="0" collapsed="false">
      <c r="A50" s="29" t="s">
        <v>200</v>
      </c>
    </row>
    <row r="51" customFormat="false" ht="15" hidden="false" customHeight="false" outlineLevel="0" collapsed="false">
      <c r="A51" s="29" t="s">
        <v>201</v>
      </c>
    </row>
    <row r="52" customFormat="false" ht="15" hidden="false" customHeight="false" outlineLevel="0" collapsed="false">
      <c r="A52" s="29" t="s">
        <v>202</v>
      </c>
    </row>
    <row r="53" customFormat="false" ht="15" hidden="false" customHeight="false" outlineLevel="0" collapsed="false">
      <c r="A53" s="29" t="s">
        <v>203</v>
      </c>
    </row>
    <row r="54" customFormat="false" ht="15" hidden="false" customHeight="false" outlineLevel="0" collapsed="false">
      <c r="A54" s="29" t="s">
        <v>204</v>
      </c>
    </row>
    <row r="55" customFormat="false" ht="15" hidden="false" customHeight="false" outlineLevel="0" collapsed="false">
      <c r="A55" s="29" t="s">
        <v>205</v>
      </c>
    </row>
    <row r="56" customFormat="false" ht="15" hidden="false" customHeight="false" outlineLevel="0" collapsed="false">
      <c r="A56" s="29" t="s">
        <v>206</v>
      </c>
    </row>
    <row r="57" customFormat="false" ht="15" hidden="false" customHeight="false" outlineLevel="0" collapsed="false">
      <c r="A57" s="29" t="s">
        <v>197</v>
      </c>
    </row>
    <row r="58" customFormat="false" ht="15" hidden="false" customHeight="false" outlineLevel="0" collapsed="false">
      <c r="A58" s="29" t="s">
        <v>207</v>
      </c>
    </row>
    <row r="59" customFormat="false" ht="15" hidden="false" customHeight="false" outlineLevel="0" collapsed="false">
      <c r="A59" s="29" t="s">
        <v>205</v>
      </c>
    </row>
    <row r="60" customFormat="false" ht="15" hidden="false" customHeight="false" outlineLevel="0" collapsed="false">
      <c r="A60" s="29" t="s">
        <v>208</v>
      </c>
    </row>
    <row r="61" customFormat="false" ht="15" hidden="false" customHeight="false" outlineLevel="0" collapsed="false">
      <c r="A61" s="29" t="s">
        <v>197</v>
      </c>
    </row>
    <row r="62" customFormat="false" ht="15" hidden="false" customHeight="false" outlineLevel="0" collapsed="false">
      <c r="A62" s="29" t="s">
        <v>209</v>
      </c>
    </row>
    <row r="63" customFormat="false" ht="15" hidden="false" customHeight="false" outlineLevel="0" collapsed="false">
      <c r="A63" s="29" t="s">
        <v>205</v>
      </c>
    </row>
    <row r="64" customFormat="false" ht="15" hidden="false" customHeight="false" outlineLevel="0" collapsed="false">
      <c r="A64" s="29" t="s">
        <v>210</v>
      </c>
    </row>
    <row r="65" customFormat="false" ht="15" hidden="false" customHeight="false" outlineLevel="0" collapsed="false">
      <c r="A65" s="29"/>
    </row>
    <row r="66" customFormat="false" ht="15" hidden="false" customHeight="false" outlineLevel="0" collapsed="false">
      <c r="A66" s="29" t="s">
        <v>211</v>
      </c>
    </row>
    <row r="67" customFormat="false" ht="15" hidden="false" customHeight="false" outlineLevel="0" collapsed="false">
      <c r="A67" s="29"/>
    </row>
    <row r="68" customFormat="false" ht="15" hidden="false" customHeight="false" outlineLevel="0" collapsed="false">
      <c r="A68" s="29"/>
    </row>
    <row r="69" customFormat="false" ht="15" hidden="false" customHeight="false" outlineLevel="0" collapsed="false">
      <c r="A69" s="29" t="s">
        <v>212</v>
      </c>
    </row>
    <row r="70" customFormat="false" ht="15" hidden="false" customHeight="false" outlineLevel="0" collapsed="false">
      <c r="A70" s="29"/>
    </row>
    <row r="71" customFormat="false" ht="15" hidden="false" customHeight="false" outlineLevel="0" collapsed="false">
      <c r="A71" s="29" t="s">
        <v>213</v>
      </c>
    </row>
    <row r="72" customFormat="false" ht="15" hidden="false" customHeight="false" outlineLevel="0" collapsed="false">
      <c r="A72" s="29" t="s">
        <v>214</v>
      </c>
    </row>
    <row r="73" customFormat="false" ht="15" hidden="false" customHeight="false" outlineLevel="0" collapsed="false">
      <c r="A73" s="29" t="s">
        <v>215</v>
      </c>
    </row>
    <row r="74" customFormat="false" ht="15" hidden="false" customHeight="false" outlineLevel="0" collapsed="false">
      <c r="A74" s="29"/>
    </row>
    <row r="75" customFormat="false" ht="15" hidden="false" customHeight="false" outlineLevel="0" collapsed="false">
      <c r="A75" s="29" t="s">
        <v>216</v>
      </c>
    </row>
    <row r="76" customFormat="false" ht="15" hidden="false" customHeight="false" outlineLevel="0" collapsed="false">
      <c r="A76" s="29" t="s">
        <v>217</v>
      </c>
    </row>
    <row r="77" customFormat="false" ht="15" hidden="false" customHeight="false" outlineLevel="0" collapsed="false">
      <c r="A77" s="29"/>
    </row>
    <row r="78" customFormat="false" ht="15" hidden="false" customHeight="false" outlineLevel="0" collapsed="false">
      <c r="A78" s="29" t="s">
        <v>218</v>
      </c>
    </row>
    <row r="79" customFormat="false" ht="15" hidden="false" customHeight="false" outlineLevel="0" collapsed="false">
      <c r="A79" s="29" t="s">
        <v>219</v>
      </c>
    </row>
    <row r="80" customFormat="false" ht="15" hidden="false" customHeight="false" outlineLevel="0" collapsed="false">
      <c r="A80" s="29" t="s">
        <v>220</v>
      </c>
    </row>
    <row r="81" customFormat="false" ht="15" hidden="false" customHeight="false" outlineLevel="0" collapsed="false">
      <c r="A81" s="29" t="s">
        <v>221</v>
      </c>
    </row>
    <row r="82" customFormat="false" ht="15" hidden="false" customHeight="false" outlineLevel="0" collapsed="false">
      <c r="A82" s="29" t="s">
        <v>222</v>
      </c>
    </row>
    <row r="83" customFormat="false" ht="15" hidden="false" customHeight="false" outlineLevel="0" collapsed="false">
      <c r="A83" s="29"/>
    </row>
    <row r="84" customFormat="false" ht="15" hidden="false" customHeight="false" outlineLevel="0" collapsed="false">
      <c r="A84" s="29" t="s">
        <v>223</v>
      </c>
    </row>
    <row r="85" customFormat="false" ht="15" hidden="false" customHeight="false" outlineLevel="0" collapsed="false">
      <c r="A85" s="29" t="s">
        <v>224</v>
      </c>
    </row>
    <row r="86" customFormat="false" ht="15" hidden="false" customHeight="false" outlineLevel="0" collapsed="false">
      <c r="A86" s="29" t="s">
        <v>225</v>
      </c>
    </row>
    <row r="87" customFormat="false" ht="15" hidden="false" customHeight="false" outlineLevel="0" collapsed="false">
      <c r="A87" s="29" t="s">
        <v>226</v>
      </c>
    </row>
    <row r="88" customFormat="false" ht="15" hidden="false" customHeight="false" outlineLevel="0" collapsed="false">
      <c r="A88" s="29" t="s">
        <v>227</v>
      </c>
    </row>
    <row r="89" customFormat="false" ht="15" hidden="false" customHeight="false" outlineLevel="0" collapsed="false">
      <c r="A89" s="29" t="s">
        <v>228</v>
      </c>
    </row>
    <row r="90" customFormat="false" ht="15" hidden="false" customHeight="false" outlineLevel="0" collapsed="false">
      <c r="A90" s="29" t="s">
        <v>229</v>
      </c>
    </row>
    <row r="91" customFormat="false" ht="15" hidden="false" customHeight="false" outlineLevel="0" collapsed="false">
      <c r="A91" s="29" t="s">
        <v>230</v>
      </c>
    </row>
    <row r="92" customFormat="false" ht="15" hidden="false" customHeight="false" outlineLevel="0" collapsed="false">
      <c r="A92" s="29" t="s">
        <v>231</v>
      </c>
    </row>
    <row r="93" customFormat="false" ht="15" hidden="false" customHeight="false" outlineLevel="0" collapsed="false">
      <c r="A93" s="29" t="s">
        <v>232</v>
      </c>
    </row>
    <row r="94" customFormat="false" ht="15" hidden="false" customHeight="false" outlineLevel="0" collapsed="false">
      <c r="A94" s="29" t="s">
        <v>233</v>
      </c>
    </row>
    <row r="95" customFormat="false" ht="15" hidden="false" customHeight="false" outlineLevel="0" collapsed="false">
      <c r="A95" s="29" t="s">
        <v>234</v>
      </c>
    </row>
    <row r="96" customFormat="false" ht="15" hidden="false" customHeight="false" outlineLevel="0" collapsed="false">
      <c r="A96" s="29" t="s">
        <v>235</v>
      </c>
    </row>
    <row r="97" customFormat="false" ht="15" hidden="false" customHeight="false" outlineLevel="0" collapsed="false">
      <c r="A97" s="29" t="s">
        <v>236</v>
      </c>
    </row>
    <row r="98" customFormat="false" ht="15" hidden="false" customHeight="false" outlineLevel="0" collapsed="false">
      <c r="A98" s="29" t="s">
        <v>237</v>
      </c>
    </row>
    <row r="99" customFormat="false" ht="15" hidden="false" customHeight="false" outlineLevel="0" collapsed="false">
      <c r="A99" s="29" t="s">
        <v>238</v>
      </c>
    </row>
    <row r="100" customFormat="false" ht="15" hidden="false" customHeight="false" outlineLevel="0" collapsed="false">
      <c r="A100" s="29" t="s">
        <v>239</v>
      </c>
    </row>
    <row r="101" customFormat="false" ht="15" hidden="false" customHeight="false" outlineLevel="0" collapsed="false">
      <c r="A101" s="29" t="s">
        <v>240</v>
      </c>
    </row>
    <row r="102" customFormat="false" ht="15" hidden="false" customHeight="false" outlineLevel="0" collapsed="false">
      <c r="A102" s="29" t="s">
        <v>241</v>
      </c>
    </row>
    <row r="103" customFormat="false" ht="15" hidden="false" customHeight="false" outlineLevel="0" collapsed="false">
      <c r="A103" s="29" t="s">
        <v>242</v>
      </c>
    </row>
    <row r="104" customFormat="false" ht="15" hidden="false" customHeight="false" outlineLevel="0" collapsed="false">
      <c r="A104" s="29" t="s">
        <v>243</v>
      </c>
    </row>
    <row r="105" customFormat="false" ht="15" hidden="false" customHeight="false" outlineLevel="0" collapsed="false">
      <c r="A105" s="29" t="s">
        <v>244</v>
      </c>
    </row>
    <row r="106" customFormat="false" ht="15" hidden="false" customHeight="false" outlineLevel="0" collapsed="false">
      <c r="A106" s="29" t="s">
        <v>245</v>
      </c>
    </row>
    <row r="107" customFormat="false" ht="15" hidden="false" customHeight="false" outlineLevel="0" collapsed="false">
      <c r="A107" s="29" t="s">
        <v>246</v>
      </c>
    </row>
    <row r="108" customFormat="false" ht="15" hidden="false" customHeight="false" outlineLevel="0" collapsed="false">
      <c r="A108" s="29" t="s">
        <v>247</v>
      </c>
    </row>
    <row r="109" customFormat="false" ht="15" hidden="false" customHeight="false" outlineLevel="0" collapsed="false">
      <c r="A109" s="29"/>
    </row>
    <row r="110" customFormat="false" ht="15" hidden="false" customHeight="false" outlineLevel="0" collapsed="false">
      <c r="A110" s="29" t="s">
        <v>248</v>
      </c>
    </row>
    <row r="111" customFormat="false" ht="15" hidden="false" customHeight="false" outlineLevel="0" collapsed="false">
      <c r="A111" s="29" t="s">
        <v>249</v>
      </c>
    </row>
    <row r="112" customFormat="false" ht="15" hidden="false" customHeight="false" outlineLevel="0" collapsed="false">
      <c r="A112" s="29" t="s">
        <v>250</v>
      </c>
    </row>
    <row r="113" customFormat="false" ht="15" hidden="false" customHeight="false" outlineLevel="0" collapsed="false">
      <c r="A113" s="29" t="s">
        <v>251</v>
      </c>
    </row>
    <row r="114" customFormat="false" ht="15" hidden="false" customHeight="false" outlineLevel="0" collapsed="false">
      <c r="A114" s="29" t="s">
        <v>252</v>
      </c>
    </row>
    <row r="115" customFormat="false" ht="15" hidden="false" customHeight="false" outlineLevel="0" collapsed="false">
      <c r="A115" s="29" t="s">
        <v>253</v>
      </c>
    </row>
    <row r="116" customFormat="false" ht="15" hidden="false" customHeight="false" outlineLevel="0" collapsed="false">
      <c r="A116" s="29" t="s">
        <v>254</v>
      </c>
    </row>
    <row r="117" customFormat="false" ht="15" hidden="false" customHeight="false" outlineLevel="0" collapsed="false">
      <c r="A117" s="29" t="s">
        <v>255</v>
      </c>
    </row>
    <row r="118" customFormat="false" ht="15" hidden="false" customHeight="false" outlineLevel="0" collapsed="false">
      <c r="A118" s="29" t="s">
        <v>256</v>
      </c>
    </row>
    <row r="119" customFormat="false" ht="15" hidden="false" customHeight="false" outlineLevel="0" collapsed="false">
      <c r="A119" s="29" t="s">
        <v>257</v>
      </c>
    </row>
    <row r="120" customFormat="false" ht="15" hidden="false" customHeight="false" outlineLevel="0" collapsed="false">
      <c r="A120" s="29" t="s">
        <v>258</v>
      </c>
    </row>
    <row r="121" customFormat="false" ht="15" hidden="false" customHeight="false" outlineLevel="0" collapsed="false">
      <c r="A121" s="29" t="s">
        <v>259</v>
      </c>
    </row>
    <row r="122" customFormat="false" ht="15" hidden="false" customHeight="false" outlineLevel="0" collapsed="false">
      <c r="A122" s="29" t="s">
        <v>260</v>
      </c>
    </row>
    <row r="123" customFormat="false" ht="15" hidden="false" customHeight="false" outlineLevel="0" collapsed="false">
      <c r="A123" s="29" t="s">
        <v>261</v>
      </c>
    </row>
    <row r="124" customFormat="false" ht="15" hidden="false" customHeight="false" outlineLevel="0" collapsed="false">
      <c r="A124" s="29"/>
    </row>
    <row r="125" customFormat="false" ht="15" hidden="false" customHeight="false" outlineLevel="0" collapsed="false">
      <c r="A125" s="29" t="s">
        <v>262</v>
      </c>
    </row>
    <row r="126" customFormat="false" ht="15" hidden="false" customHeight="false" outlineLevel="0" collapsed="false">
      <c r="A126" s="29" t="s">
        <v>263</v>
      </c>
    </row>
    <row r="127" customFormat="false" ht="15" hidden="false" customHeight="false" outlineLevel="0" collapsed="false">
      <c r="A127" s="29" t="s">
        <v>264</v>
      </c>
    </row>
    <row r="128" customFormat="false" ht="15" hidden="false" customHeight="false" outlineLevel="0" collapsed="false">
      <c r="A128" s="29"/>
    </row>
    <row r="129" customFormat="false" ht="15" hidden="false" customHeight="false" outlineLevel="0" collapsed="false">
      <c r="A129" s="29" t="s">
        <v>265</v>
      </c>
    </row>
    <row r="130" customFormat="false" ht="15" hidden="false" customHeight="false" outlineLevel="0" collapsed="false">
      <c r="A130" s="29" t="s">
        <v>266</v>
      </c>
    </row>
    <row r="131" customFormat="false" ht="15" hidden="false" customHeight="false" outlineLevel="0" collapsed="false">
      <c r="A131" s="29" t="s">
        <v>267</v>
      </c>
    </row>
    <row r="132" customFormat="false" ht="15" hidden="false" customHeight="false" outlineLevel="0" collapsed="false">
      <c r="A132" s="29" t="s">
        <v>268</v>
      </c>
    </row>
    <row r="133" customFormat="false" ht="15" hidden="false" customHeight="false" outlineLevel="0" collapsed="false">
      <c r="A133" s="29" t="s">
        <v>269</v>
      </c>
    </row>
    <row r="134" customFormat="false" ht="15" hidden="false" customHeight="false" outlineLevel="0" collapsed="false">
      <c r="A134" s="29"/>
    </row>
    <row r="135" customFormat="false" ht="15" hidden="false" customHeight="false" outlineLevel="0" collapsed="false">
      <c r="A135" s="29" t="s">
        <v>270</v>
      </c>
    </row>
    <row r="136" customFormat="false" ht="15" hidden="false" customHeight="false" outlineLevel="0" collapsed="false">
      <c r="A136" s="29" t="s">
        <v>271</v>
      </c>
    </row>
    <row r="137" customFormat="false" ht="15" hidden="false" customHeight="false" outlineLevel="0" collapsed="false">
      <c r="A137" s="29" t="s">
        <v>272</v>
      </c>
    </row>
    <row r="138" customFormat="false" ht="15" hidden="false" customHeight="false" outlineLevel="0" collapsed="false">
      <c r="A138" s="29" t="s">
        <v>273</v>
      </c>
    </row>
    <row r="139" customFormat="false" ht="15" hidden="false" customHeight="false" outlineLevel="0" collapsed="false">
      <c r="A139" s="29" t="s">
        <v>274</v>
      </c>
    </row>
    <row r="140" customFormat="false" ht="15" hidden="false" customHeight="false" outlineLevel="0" collapsed="false">
      <c r="A140" s="29"/>
    </row>
    <row r="141" customFormat="false" ht="15" hidden="false" customHeight="false" outlineLevel="0" collapsed="false">
      <c r="A141" s="29" t="s">
        <v>275</v>
      </c>
    </row>
    <row r="142" customFormat="false" ht="15" hidden="false" customHeight="false" outlineLevel="0" collapsed="false">
      <c r="A142" s="29"/>
    </row>
    <row r="143" customFormat="false" ht="15" hidden="false" customHeight="false" outlineLevel="0" collapsed="false">
      <c r="A143" s="29" t="s">
        <v>276</v>
      </c>
    </row>
    <row r="144" customFormat="false" ht="15" hidden="false" customHeight="false" outlineLevel="0" collapsed="false">
      <c r="A144" s="29" t="s">
        <v>277</v>
      </c>
    </row>
    <row r="145" customFormat="false" ht="15" hidden="false" customHeight="false" outlineLevel="0" collapsed="false">
      <c r="A145" s="29" t="s">
        <v>278</v>
      </c>
    </row>
    <row r="146" customFormat="false" ht="15" hidden="false" customHeight="false" outlineLevel="0" collapsed="false">
      <c r="A146" s="29"/>
    </row>
    <row r="147" customFormat="false" ht="15" hidden="false" customHeight="false" outlineLevel="0" collapsed="false">
      <c r="A147" s="29" t="s">
        <v>251</v>
      </c>
    </row>
    <row r="148" customFormat="false" ht="15" hidden="false" customHeight="false" outlineLevel="0" collapsed="false">
      <c r="A148" s="29" t="s">
        <v>279</v>
      </c>
    </row>
    <row r="149" customFormat="false" ht="15" hidden="false" customHeight="false" outlineLevel="0" collapsed="false">
      <c r="A149" s="29" t="s">
        <v>247</v>
      </c>
    </row>
    <row r="150" customFormat="false" ht="15" hidden="false" customHeight="false" outlineLevel="0" collapsed="false">
      <c r="A150" s="29"/>
    </row>
    <row r="151" customFormat="false" ht="15" hidden="false" customHeight="false" outlineLevel="0" collapsed="false">
      <c r="A151" s="29" t="s">
        <v>280</v>
      </c>
    </row>
    <row r="152" customFormat="false" ht="15" hidden="false" customHeight="false" outlineLevel="0" collapsed="false">
      <c r="A152" s="29" t="s">
        <v>281</v>
      </c>
    </row>
    <row r="153" customFormat="false" ht="15" hidden="false" customHeight="false" outlineLevel="0" collapsed="false">
      <c r="A153" s="29" t="s">
        <v>282</v>
      </c>
    </row>
    <row r="154" customFormat="false" ht="15" hidden="false" customHeight="false" outlineLevel="0" collapsed="false">
      <c r="A154" s="29" t="s">
        <v>283</v>
      </c>
    </row>
    <row r="155" customFormat="false" ht="15" hidden="false" customHeight="false" outlineLevel="0" collapsed="false">
      <c r="A155" s="29" t="s">
        <v>284</v>
      </c>
    </row>
    <row r="156" customFormat="false" ht="15" hidden="false" customHeight="false" outlineLevel="0" collapsed="false">
      <c r="A156" s="29" t="s">
        <v>285</v>
      </c>
    </row>
    <row r="157" customFormat="false" ht="15" hidden="false" customHeight="false" outlineLevel="0" collapsed="false">
      <c r="A157" s="29" t="s">
        <v>286</v>
      </c>
    </row>
    <row r="158" customFormat="false" ht="15" hidden="false" customHeight="false" outlineLevel="0" collapsed="false">
      <c r="A158" s="29"/>
    </row>
    <row r="159" customFormat="false" ht="15" hidden="false" customHeight="false" outlineLevel="0" collapsed="false">
      <c r="A159" s="29" t="s">
        <v>287</v>
      </c>
    </row>
    <row r="160" customFormat="false" ht="15" hidden="false" customHeight="false" outlineLevel="0" collapsed="false">
      <c r="A160" s="29" t="s">
        <v>288</v>
      </c>
    </row>
    <row r="161" customFormat="false" ht="15" hidden="false" customHeight="false" outlineLevel="0" collapsed="false">
      <c r="A161" s="29" t="s">
        <v>289</v>
      </c>
    </row>
    <row r="162" customFormat="false" ht="15" hidden="false" customHeight="false" outlineLevel="0" collapsed="false">
      <c r="A162" s="29" t="s">
        <v>290</v>
      </c>
    </row>
    <row r="163" customFormat="false" ht="15" hidden="false" customHeight="false" outlineLevel="0" collapsed="false">
      <c r="A163" s="29" t="s">
        <v>291</v>
      </c>
    </row>
    <row r="164" customFormat="false" ht="15" hidden="false" customHeight="false" outlineLevel="0" collapsed="false">
      <c r="A164" s="29" t="s">
        <v>292</v>
      </c>
    </row>
    <row r="165" customFormat="false" ht="15" hidden="false" customHeight="false" outlineLevel="0" collapsed="false">
      <c r="A165" s="29" t="s">
        <v>293</v>
      </c>
    </row>
    <row r="166" customFormat="false" ht="15" hidden="false" customHeight="false" outlineLevel="0" collapsed="false">
      <c r="A166" s="29" t="s">
        <v>294</v>
      </c>
    </row>
    <row r="167" customFormat="false" ht="15" hidden="false" customHeight="false" outlineLevel="0" collapsed="false">
      <c r="A167" s="29"/>
    </row>
    <row r="168" customFormat="false" ht="15" hidden="false" customHeight="false" outlineLevel="0" collapsed="false">
      <c r="A168" s="29" t="s">
        <v>295</v>
      </c>
    </row>
    <row r="169" customFormat="false" ht="15" hidden="false" customHeight="false" outlineLevel="0" collapsed="false">
      <c r="A169" s="29" t="s">
        <v>296</v>
      </c>
    </row>
    <row r="170" customFormat="false" ht="15" hidden="false" customHeight="false" outlineLevel="0" collapsed="false">
      <c r="A170" s="29" t="s">
        <v>297</v>
      </c>
    </row>
    <row r="171" customFormat="false" ht="15" hidden="false" customHeight="false" outlineLevel="0" collapsed="false">
      <c r="A171" s="29" t="s">
        <v>298</v>
      </c>
    </row>
    <row r="172" customFormat="false" ht="15" hidden="false" customHeight="false" outlineLevel="0" collapsed="false">
      <c r="A172" s="29" t="s">
        <v>299</v>
      </c>
    </row>
    <row r="173" customFormat="false" ht="15" hidden="false" customHeight="false" outlineLevel="0" collapsed="false">
      <c r="A173" s="29" t="s">
        <v>300</v>
      </c>
    </row>
    <row r="174" customFormat="false" ht="15" hidden="false" customHeight="false" outlineLevel="0" collapsed="false">
      <c r="A174" s="29" t="s">
        <v>210</v>
      </c>
    </row>
    <row r="175" customFormat="false" ht="15" hidden="false" customHeight="false" outlineLevel="0" collapsed="false">
      <c r="A175" s="29"/>
    </row>
    <row r="176" customFormat="false" ht="15" hidden="false" customHeight="false" outlineLevel="0" collapsed="false">
      <c r="A176" s="29" t="s">
        <v>211</v>
      </c>
    </row>
    <row r="177" customFormat="false" ht="15" hidden="false" customHeight="false" outlineLevel="0" collapsed="false">
      <c r="A177" s="29"/>
    </row>
    <row r="178" customFormat="false" ht="15" hidden="false" customHeight="false" outlineLevel="0" collapsed="false">
      <c r="A178" s="29"/>
    </row>
    <row r="179" customFormat="false" ht="15" hidden="false" customHeight="false" outlineLevel="0" collapsed="false">
      <c r="A179" s="29" t="s">
        <v>301</v>
      </c>
    </row>
    <row r="180" customFormat="false" ht="15" hidden="false" customHeight="false" outlineLevel="0" collapsed="false">
      <c r="A180" s="29" t="s">
        <v>302</v>
      </c>
    </row>
    <row r="181" customFormat="false" ht="15" hidden="false" customHeight="false" outlineLevel="0" collapsed="false">
      <c r="A181" s="29" t="s">
        <v>303</v>
      </c>
    </row>
    <row r="182" customFormat="false" ht="15" hidden="false" customHeight="false" outlineLevel="0" collapsed="false">
      <c r="A182" s="29" t="s">
        <v>304</v>
      </c>
    </row>
    <row r="183" customFormat="false" ht="15" hidden="false" customHeight="false" outlineLevel="0" collapsed="false">
      <c r="A183" s="29" t="s">
        <v>305</v>
      </c>
    </row>
    <row r="184" customFormat="false" ht="15" hidden="false" customHeight="false" outlineLevel="0" collapsed="false">
      <c r="A184" s="29"/>
    </row>
    <row r="185" customFormat="false" ht="15" hidden="false" customHeight="false" outlineLevel="0" collapsed="false">
      <c r="A185" s="29" t="s">
        <v>306</v>
      </c>
    </row>
    <row r="186" customFormat="false" ht="15" hidden="false" customHeight="false" outlineLevel="0" collapsed="false">
      <c r="A186" s="29"/>
    </row>
    <row r="187" customFormat="false" ht="15" hidden="false" customHeight="false" outlineLevel="0" collapsed="false">
      <c r="A187" s="29" t="s">
        <v>307</v>
      </c>
    </row>
    <row r="188" customFormat="false" ht="15" hidden="false" customHeight="false" outlineLevel="0" collapsed="false">
      <c r="A188" s="29" t="s">
        <v>308</v>
      </c>
    </row>
    <row r="189" customFormat="false" ht="15" hidden="false" customHeight="false" outlineLevel="0" collapsed="false">
      <c r="A189" s="29" t="s">
        <v>309</v>
      </c>
    </row>
    <row r="190" customFormat="false" ht="15" hidden="false" customHeight="false" outlineLevel="0" collapsed="false">
      <c r="A190" s="29"/>
    </row>
    <row r="191" customFormat="false" ht="15" hidden="false" customHeight="false" outlineLevel="0" collapsed="false">
      <c r="A191" s="29" t="s">
        <v>310</v>
      </c>
    </row>
    <row r="192" customFormat="false" ht="15" hidden="false" customHeight="false" outlineLevel="0" collapsed="false">
      <c r="A192" s="29" t="s">
        <v>311</v>
      </c>
    </row>
    <row r="193" customFormat="false" ht="15" hidden="false" customHeight="false" outlineLevel="0" collapsed="false">
      <c r="A193" s="29"/>
    </row>
    <row r="194" customFormat="false" ht="15" hidden="false" customHeight="false" outlineLevel="0" collapsed="false">
      <c r="A194" s="29" t="s">
        <v>312</v>
      </c>
    </row>
    <row r="195" customFormat="false" ht="15" hidden="false" customHeight="false" outlineLevel="0" collapsed="false">
      <c r="A195" s="29"/>
    </row>
    <row r="196" customFormat="false" ht="15" hidden="false" customHeight="false" outlineLevel="0" collapsed="false">
      <c r="A196" s="29" t="s">
        <v>313</v>
      </c>
    </row>
    <row r="197" customFormat="false" ht="15" hidden="false" customHeight="false" outlineLevel="0" collapsed="false">
      <c r="A197" s="29" t="s">
        <v>314</v>
      </c>
    </row>
    <row r="198" customFormat="false" ht="15" hidden="false" customHeight="false" outlineLevel="0" collapsed="false">
      <c r="A198" s="29" t="s">
        <v>315</v>
      </c>
    </row>
    <row r="199" customFormat="false" ht="15" hidden="false" customHeight="false" outlineLevel="0" collapsed="false">
      <c r="A199" s="29" t="s">
        <v>316</v>
      </c>
    </row>
    <row r="200" customFormat="false" ht="15" hidden="false" customHeight="false" outlineLevel="0" collapsed="false">
      <c r="A200" s="29" t="s">
        <v>210</v>
      </c>
    </row>
    <row r="201" customFormat="false" ht="15" hidden="false" customHeight="false" outlineLevel="0" collapsed="false">
      <c r="A201" s="29"/>
    </row>
    <row r="202" customFormat="false" ht="15" hidden="false" customHeight="false" outlineLevel="0" collapsed="false">
      <c r="A202" s="29" t="s">
        <v>317</v>
      </c>
    </row>
    <row r="203" customFormat="false" ht="15" hidden="false" customHeight="false" outlineLevel="0" collapsed="false">
      <c r="A203" s="29" t="s">
        <v>318</v>
      </c>
    </row>
    <row r="204" customFormat="false" ht="15" hidden="false" customHeight="false" outlineLevel="0" collapsed="false">
      <c r="A204" s="29" t="s">
        <v>319</v>
      </c>
    </row>
    <row r="205" customFormat="false" ht="15" hidden="false" customHeight="false" outlineLevel="0" collapsed="false">
      <c r="A205" s="29" t="s">
        <v>320</v>
      </c>
    </row>
    <row r="206" customFormat="false" ht="15" hidden="false" customHeight="false" outlineLevel="0" collapsed="false">
      <c r="A206" s="29"/>
    </row>
    <row r="207" customFormat="false" ht="15" hidden="false" customHeight="false" outlineLevel="0" collapsed="false">
      <c r="A207" s="29" t="s">
        <v>321</v>
      </c>
    </row>
    <row r="208" customFormat="false" ht="15" hidden="false" customHeight="false" outlineLevel="0" collapsed="false">
      <c r="A208" s="29" t="s">
        <v>322</v>
      </c>
    </row>
    <row r="209" customFormat="false" ht="15" hidden="false" customHeight="false" outlineLevel="0" collapsed="false">
      <c r="A209" s="29" t="s">
        <v>323</v>
      </c>
    </row>
    <row r="210" customFormat="false" ht="15" hidden="false" customHeight="false" outlineLevel="0" collapsed="false">
      <c r="A210" s="29" t="s">
        <v>324</v>
      </c>
    </row>
    <row r="211" customFormat="false" ht="15" hidden="false" customHeight="false" outlineLevel="0" collapsed="false">
      <c r="A211" s="29" t="s">
        <v>210</v>
      </c>
    </row>
    <row r="212" customFormat="false" ht="15" hidden="false" customHeight="false" outlineLevel="0" collapsed="false">
      <c r="A212" s="29"/>
    </row>
    <row r="213" customFormat="false" ht="15" hidden="false" customHeight="false" outlineLevel="0" collapsed="false">
      <c r="A213" s="29" t="s">
        <v>325</v>
      </c>
    </row>
    <row r="214" customFormat="false" ht="15" hidden="false" customHeight="false" outlineLevel="0" collapsed="false">
      <c r="A214" s="29" t="s">
        <v>326</v>
      </c>
    </row>
    <row r="215" customFormat="false" ht="15" hidden="false" customHeight="false" outlineLevel="0" collapsed="false">
      <c r="A215" s="29" t="s">
        <v>323</v>
      </c>
    </row>
    <row r="216" customFormat="false" ht="15" hidden="false" customHeight="false" outlineLevel="0" collapsed="false">
      <c r="A216" s="29" t="s">
        <v>327</v>
      </c>
    </row>
    <row r="217" customFormat="false" ht="15" hidden="false" customHeight="false" outlineLevel="0" collapsed="false">
      <c r="A217" s="29" t="s">
        <v>210</v>
      </c>
    </row>
    <row r="218" customFormat="false" ht="15" hidden="false" customHeight="false" outlineLevel="0" collapsed="false">
      <c r="A218" s="29"/>
    </row>
    <row r="219" customFormat="false" ht="15" hidden="false" customHeight="false" outlineLevel="0" collapsed="false">
      <c r="A219" s="29" t="s">
        <v>211</v>
      </c>
    </row>
    <row r="220" customFormat="false" ht="15" hidden="false" customHeight="false" outlineLevel="0" collapsed="false">
      <c r="A220" s="29"/>
    </row>
    <row r="221" customFormat="false" ht="15" hidden="false" customHeight="false" outlineLevel="0" collapsed="false">
      <c r="A221" s="29"/>
    </row>
    <row r="222" customFormat="false" ht="15" hidden="false" customHeight="false" outlineLevel="0" collapsed="false">
      <c r="A222" s="29" t="s">
        <v>328</v>
      </c>
    </row>
    <row r="223" customFormat="false" ht="15" hidden="false" customHeight="false" outlineLevel="0" collapsed="false">
      <c r="A223" s="29" t="s">
        <v>329</v>
      </c>
    </row>
    <row r="224" customFormat="false" ht="15" hidden="false" customHeight="false" outlineLevel="0" collapsed="false">
      <c r="A224" s="29"/>
    </row>
    <row r="225" customFormat="false" ht="15" hidden="false" customHeight="false" outlineLevel="0" collapsed="false">
      <c r="A225" s="29" t="s">
        <v>330</v>
      </c>
    </row>
    <row r="226" customFormat="false" ht="15" hidden="false" customHeight="false" outlineLevel="0" collapsed="false">
      <c r="A226" s="29" t="s">
        <v>331</v>
      </c>
    </row>
    <row r="227" customFormat="false" ht="15" hidden="false" customHeight="false" outlineLevel="0" collapsed="false">
      <c r="A227" s="29" t="s">
        <v>332</v>
      </c>
    </row>
    <row r="228" customFormat="false" ht="15" hidden="false" customHeight="false" outlineLevel="0" collapsed="false">
      <c r="A228" s="29" t="s">
        <v>333</v>
      </c>
    </row>
    <row r="229" customFormat="false" ht="15" hidden="false" customHeight="false" outlineLevel="0" collapsed="false">
      <c r="A229" s="29" t="s">
        <v>286</v>
      </c>
    </row>
    <row r="230" customFormat="false" ht="15" hidden="false" customHeight="false" outlineLevel="0" collapsed="false">
      <c r="A230" s="29" t="s">
        <v>334</v>
      </c>
    </row>
    <row r="231" customFormat="false" ht="15" hidden="false" customHeight="false" outlineLevel="0" collapsed="false">
      <c r="A231" s="29" t="s">
        <v>335</v>
      </c>
    </row>
    <row r="232" customFormat="false" ht="15" hidden="false" customHeight="false" outlineLevel="0" collapsed="false">
      <c r="A232" s="29" t="s">
        <v>336</v>
      </c>
    </row>
    <row r="233" customFormat="false" ht="15" hidden="false" customHeight="false" outlineLevel="0" collapsed="false">
      <c r="A233" s="29" t="s">
        <v>337</v>
      </c>
    </row>
    <row r="234" customFormat="false" ht="15" hidden="false" customHeight="false" outlineLevel="0" collapsed="false">
      <c r="A234" s="29" t="s">
        <v>210</v>
      </c>
    </row>
    <row r="235" customFormat="false" ht="15" hidden="false" customHeight="false" outlineLevel="0" collapsed="false">
      <c r="A235" s="29"/>
    </row>
    <row r="236" customFormat="false" ht="15" hidden="false" customHeight="false" outlineLevel="0" collapsed="false">
      <c r="A236" s="29" t="s">
        <v>338</v>
      </c>
    </row>
    <row r="237" customFormat="false" ht="15" hidden="false" customHeight="false" outlineLevel="0" collapsed="false">
      <c r="A237" s="29" t="s">
        <v>339</v>
      </c>
    </row>
    <row r="238" customFormat="false" ht="15" hidden="false" customHeight="false" outlineLevel="0" collapsed="false">
      <c r="A238" s="29" t="s">
        <v>340</v>
      </c>
    </row>
    <row r="239" customFormat="false" ht="15" hidden="false" customHeight="false" outlineLevel="0" collapsed="false">
      <c r="A239" s="29" t="s">
        <v>341</v>
      </c>
    </row>
    <row r="240" customFormat="false" ht="15" hidden="false" customHeight="false" outlineLevel="0" collapsed="false">
      <c r="A240" s="29"/>
    </row>
    <row r="241" customFormat="false" ht="15" hidden="false" customHeight="false" outlineLevel="0" collapsed="false">
      <c r="A241" s="29" t="s">
        <v>342</v>
      </c>
    </row>
    <row r="242" customFormat="false" ht="15" hidden="false" customHeight="false" outlineLevel="0" collapsed="false">
      <c r="A242" s="29" t="s">
        <v>343</v>
      </c>
    </row>
    <row r="243" customFormat="false" ht="15" hidden="false" customHeight="false" outlineLevel="0" collapsed="false">
      <c r="A243" s="29" t="s">
        <v>344</v>
      </c>
    </row>
    <row r="244" customFormat="false" ht="15" hidden="false" customHeight="false" outlineLevel="0" collapsed="false">
      <c r="A244" s="29" t="s">
        <v>345</v>
      </c>
    </row>
    <row r="245" customFormat="false" ht="15" hidden="false" customHeight="false" outlineLevel="0" collapsed="false">
      <c r="A245" s="29" t="s">
        <v>346</v>
      </c>
    </row>
    <row r="246" customFormat="false" ht="15" hidden="false" customHeight="false" outlineLevel="0" collapsed="false">
      <c r="A246" s="29" t="s">
        <v>347</v>
      </c>
    </row>
    <row r="247" customFormat="false" ht="15" hidden="false" customHeight="false" outlineLevel="0" collapsed="false">
      <c r="A247" s="29" t="s">
        <v>348</v>
      </c>
    </row>
    <row r="248" customFormat="false" ht="15" hidden="false" customHeight="false" outlineLevel="0" collapsed="false">
      <c r="A248" s="29" t="s">
        <v>349</v>
      </c>
    </row>
    <row r="249" customFormat="false" ht="15" hidden="false" customHeight="false" outlineLevel="0" collapsed="false">
      <c r="A249" s="29" t="s">
        <v>350</v>
      </c>
    </row>
    <row r="250" customFormat="false" ht="15" hidden="false" customHeight="false" outlineLevel="0" collapsed="false">
      <c r="A250" s="29" t="s">
        <v>351</v>
      </c>
    </row>
    <row r="251" customFormat="false" ht="15" hidden="false" customHeight="false" outlineLevel="0" collapsed="false">
      <c r="A251" s="29"/>
    </row>
    <row r="252" customFormat="false" ht="15" hidden="false" customHeight="false" outlineLevel="0" collapsed="false">
      <c r="A252" s="29" t="s">
        <v>211</v>
      </c>
    </row>
    <row r="253" customFormat="false" ht="15" hidden="false" customHeight="false" outlineLevel="0" collapsed="false">
      <c r="A253" s="29"/>
    </row>
    <row r="254" customFormat="false" ht="15" hidden="false" customHeight="false" outlineLevel="0" collapsed="false">
      <c r="A254" s="29"/>
    </row>
    <row r="255" customFormat="false" ht="15" hidden="false" customHeight="false" outlineLevel="0" collapsed="false">
      <c r="A255" s="29" t="s">
        <v>352</v>
      </c>
    </row>
    <row r="256" customFormat="false" ht="15" hidden="false" customHeight="false" outlineLevel="0" collapsed="false">
      <c r="A256" s="29" t="s">
        <v>353</v>
      </c>
    </row>
    <row r="257" customFormat="false" ht="15" hidden="false" customHeight="false" outlineLevel="0" collapsed="false">
      <c r="A257" s="29" t="s">
        <v>354</v>
      </c>
    </row>
    <row r="258" customFormat="false" ht="15" hidden="false" customHeight="false" outlineLevel="0" collapsed="false">
      <c r="A258" s="29" t="s">
        <v>355</v>
      </c>
    </row>
    <row r="259" customFormat="false" ht="15" hidden="false" customHeight="false" outlineLevel="0" collapsed="false">
      <c r="A259" s="29" t="s">
        <v>356</v>
      </c>
    </row>
    <row r="260" customFormat="false" ht="15" hidden="false" customHeight="false" outlineLevel="0" collapsed="false">
      <c r="A260" s="29"/>
    </row>
    <row r="261" customFormat="false" ht="15" hidden="false" customHeight="false" outlineLevel="0" collapsed="false">
      <c r="A261" s="29" t="s">
        <v>330</v>
      </c>
    </row>
    <row r="262" customFormat="false" ht="15" hidden="false" customHeight="false" outlineLevel="0" collapsed="false">
      <c r="A262" s="29" t="s">
        <v>331</v>
      </c>
    </row>
    <row r="263" customFormat="false" ht="15" hidden="false" customHeight="false" outlineLevel="0" collapsed="false">
      <c r="A263" s="29" t="s">
        <v>357</v>
      </c>
    </row>
    <row r="264" customFormat="false" ht="15" hidden="false" customHeight="false" outlineLevel="0" collapsed="false">
      <c r="A264" s="29" t="s">
        <v>358</v>
      </c>
    </row>
    <row r="265" customFormat="false" ht="15" hidden="false" customHeight="false" outlineLevel="0" collapsed="false">
      <c r="A265" s="29" t="s">
        <v>359</v>
      </c>
    </row>
    <row r="266" customFormat="false" ht="15" hidden="false" customHeight="false" outlineLevel="0" collapsed="false">
      <c r="A266" s="29" t="s">
        <v>360</v>
      </c>
    </row>
    <row r="267" customFormat="false" ht="15" hidden="false" customHeight="false" outlineLevel="0" collapsed="false">
      <c r="A267" s="29" t="s">
        <v>361</v>
      </c>
    </row>
    <row r="268" customFormat="false" ht="15" hidden="false" customHeight="false" outlineLevel="0" collapsed="false">
      <c r="A268" s="29" t="s">
        <v>362</v>
      </c>
    </row>
    <row r="269" customFormat="false" ht="15" hidden="false" customHeight="false" outlineLevel="0" collapsed="false">
      <c r="A269" s="29"/>
    </row>
    <row r="270" customFormat="false" ht="15" hidden="false" customHeight="false" outlineLevel="0" collapsed="false">
      <c r="A270" s="29" t="s">
        <v>363</v>
      </c>
    </row>
    <row r="271" customFormat="false" ht="15" hidden="false" customHeight="false" outlineLevel="0" collapsed="false">
      <c r="A271" s="29" t="s">
        <v>364</v>
      </c>
    </row>
    <row r="272" customFormat="false" ht="15" hidden="false" customHeight="false" outlineLevel="0" collapsed="false">
      <c r="A272" s="29" t="s">
        <v>365</v>
      </c>
    </row>
    <row r="273" customFormat="false" ht="15" hidden="false" customHeight="false" outlineLevel="0" collapsed="false">
      <c r="A273" s="29" t="s">
        <v>366</v>
      </c>
    </row>
    <row r="274" customFormat="false" ht="15" hidden="false" customHeight="false" outlineLevel="0" collapsed="false">
      <c r="A274" s="29" t="s">
        <v>367</v>
      </c>
    </row>
    <row r="275" customFormat="false" ht="15" hidden="false" customHeight="false" outlineLevel="0" collapsed="false">
      <c r="A275" s="29" t="s">
        <v>368</v>
      </c>
    </row>
    <row r="276" customFormat="false" ht="15" hidden="false" customHeight="false" outlineLevel="0" collapsed="false">
      <c r="A276" s="29"/>
    </row>
    <row r="277" customFormat="false" ht="15" hidden="false" customHeight="false" outlineLevel="0" collapsed="false">
      <c r="A277" s="29" t="s">
        <v>369</v>
      </c>
    </row>
    <row r="278" customFormat="false" ht="15" hidden="false" customHeight="false" outlineLevel="0" collapsed="false">
      <c r="A278" s="29" t="s">
        <v>370</v>
      </c>
    </row>
    <row r="279" customFormat="false" ht="15" hidden="false" customHeight="false" outlineLevel="0" collapsed="false">
      <c r="A279" s="29" t="s">
        <v>371</v>
      </c>
    </row>
    <row r="280" customFormat="false" ht="15" hidden="false" customHeight="false" outlineLevel="0" collapsed="false">
      <c r="A280" s="29" t="s">
        <v>372</v>
      </c>
    </row>
    <row r="281" customFormat="false" ht="15" hidden="false" customHeight="false" outlineLevel="0" collapsed="false">
      <c r="A281" s="29" t="s">
        <v>373</v>
      </c>
    </row>
    <row r="282" customFormat="false" ht="15" hidden="false" customHeight="false" outlineLevel="0" collapsed="false">
      <c r="A282" s="29" t="s">
        <v>374</v>
      </c>
    </row>
    <row r="283" customFormat="false" ht="15" hidden="false" customHeight="false" outlineLevel="0" collapsed="false">
      <c r="A283" s="29" t="s">
        <v>375</v>
      </c>
    </row>
    <row r="284" customFormat="false" ht="15" hidden="false" customHeight="false" outlineLevel="0" collapsed="false">
      <c r="A284" s="29" t="s">
        <v>247</v>
      </c>
    </row>
    <row r="285" customFormat="false" ht="15" hidden="false" customHeight="false" outlineLevel="0" collapsed="false">
      <c r="A285" s="29" t="s">
        <v>284</v>
      </c>
    </row>
    <row r="286" customFormat="false" ht="15" hidden="false" customHeight="false" outlineLevel="0" collapsed="false">
      <c r="A286" s="29" t="s">
        <v>285</v>
      </c>
    </row>
    <row r="287" customFormat="false" ht="15" hidden="false" customHeight="false" outlineLevel="0" collapsed="false">
      <c r="A287" s="29" t="s">
        <v>286</v>
      </c>
    </row>
    <row r="288" customFormat="false" ht="15" hidden="false" customHeight="false" outlineLevel="0" collapsed="false">
      <c r="A288" s="29"/>
    </row>
    <row r="289" customFormat="false" ht="15" hidden="false" customHeight="false" outlineLevel="0" collapsed="false">
      <c r="A289" s="29" t="s">
        <v>211</v>
      </c>
    </row>
    <row r="290" customFormat="false" ht="15" hidden="false" customHeight="false" outlineLevel="0" collapsed="false">
      <c r="A290" s="29"/>
    </row>
    <row r="291" customFormat="false" ht="15" hidden="false" customHeight="false" outlineLevel="0" collapsed="false">
      <c r="A291" s="29"/>
    </row>
    <row r="292" customFormat="false" ht="15" hidden="false" customHeight="false" outlineLevel="0" collapsed="false">
      <c r="A292" s="29" t="s">
        <v>376</v>
      </c>
    </row>
    <row r="293" customFormat="false" ht="15" hidden="false" customHeight="false" outlineLevel="0" collapsed="false">
      <c r="A293" s="29" t="s">
        <v>377</v>
      </c>
    </row>
    <row r="294" customFormat="false" ht="15" hidden="false" customHeight="false" outlineLevel="0" collapsed="false">
      <c r="A294" s="29" t="s">
        <v>378</v>
      </c>
    </row>
    <row r="295" customFormat="false" ht="15" hidden="false" customHeight="false" outlineLevel="0" collapsed="false">
      <c r="A295" s="29"/>
    </row>
    <row r="296" customFormat="false" ht="15" hidden="false" customHeight="false" outlineLevel="0" collapsed="false">
      <c r="A296" s="29" t="s">
        <v>379</v>
      </c>
    </row>
    <row r="297" customFormat="false" ht="15" hidden="false" customHeight="false" outlineLevel="0" collapsed="false">
      <c r="A297" s="29" t="s">
        <v>380</v>
      </c>
    </row>
    <row r="298" customFormat="false" ht="15" hidden="false" customHeight="false" outlineLevel="0" collapsed="false">
      <c r="A298" s="29" t="s">
        <v>381</v>
      </c>
    </row>
    <row r="299" customFormat="false" ht="15" hidden="false" customHeight="false" outlineLevel="0" collapsed="false">
      <c r="A299" s="29" t="s">
        <v>382</v>
      </c>
    </row>
    <row r="300" customFormat="false" ht="15" hidden="false" customHeight="false" outlineLevel="0" collapsed="false">
      <c r="A300" s="29" t="s">
        <v>383</v>
      </c>
    </row>
    <row r="301" customFormat="false" ht="15" hidden="false" customHeight="false" outlineLevel="0" collapsed="false">
      <c r="A301" s="29" t="s">
        <v>384</v>
      </c>
    </row>
    <row r="302" customFormat="false" ht="15" hidden="false" customHeight="false" outlineLevel="0" collapsed="false">
      <c r="A302" s="29" t="s">
        <v>385</v>
      </c>
    </row>
    <row r="303" customFormat="false" ht="15" hidden="false" customHeight="false" outlineLevel="0" collapsed="false">
      <c r="A303" s="29" t="s">
        <v>285</v>
      </c>
    </row>
    <row r="304" customFormat="false" ht="15" hidden="false" customHeight="false" outlineLevel="0" collapsed="false">
      <c r="A304" s="29" t="s">
        <v>386</v>
      </c>
    </row>
    <row r="305" customFormat="false" ht="15" hidden="false" customHeight="false" outlineLevel="0" collapsed="false">
      <c r="A305" s="29"/>
    </row>
    <row r="306" customFormat="false" ht="15" hidden="false" customHeight="false" outlineLevel="0" collapsed="false">
      <c r="A306" s="29" t="s">
        <v>211</v>
      </c>
    </row>
    <row r="307" customFormat="false" ht="15" hidden="false" customHeight="false" outlineLevel="0" collapsed="false">
      <c r="A307" s="29"/>
    </row>
    <row r="308" customFormat="false" ht="15" hidden="false" customHeight="false" outlineLevel="0" collapsed="false">
      <c r="A308" s="29"/>
    </row>
    <row r="309" customFormat="false" ht="15" hidden="false" customHeight="false" outlineLevel="0" collapsed="false">
      <c r="A309" s="29" t="s">
        <v>387</v>
      </c>
    </row>
    <row r="310" customFormat="false" ht="15" hidden="false" customHeight="false" outlineLevel="0" collapsed="false">
      <c r="A310" s="29" t="s">
        <v>388</v>
      </c>
    </row>
    <row r="311" customFormat="false" ht="15" hidden="false" customHeight="false" outlineLevel="0" collapsed="false">
      <c r="A311" s="29" t="s">
        <v>389</v>
      </c>
    </row>
    <row r="312" customFormat="false" ht="15" hidden="false" customHeight="false" outlineLevel="0" collapsed="false">
      <c r="A312" s="29" t="s">
        <v>390</v>
      </c>
    </row>
    <row r="313" customFormat="false" ht="15" hidden="false" customHeight="false" outlineLevel="0" collapsed="false">
      <c r="A313" s="29" t="s">
        <v>391</v>
      </c>
    </row>
    <row r="314" customFormat="false" ht="15" hidden="false" customHeight="false" outlineLevel="0" collapsed="false">
      <c r="A314" s="29" t="s">
        <v>392</v>
      </c>
    </row>
    <row r="315" customFormat="false" ht="15" hidden="false" customHeight="false" outlineLevel="0" collapsed="false">
      <c r="A315" s="29"/>
    </row>
    <row r="316" customFormat="false" ht="15" hidden="false" customHeight="false" outlineLevel="0" collapsed="false">
      <c r="A316" s="29" t="s">
        <v>393</v>
      </c>
    </row>
    <row r="317" customFormat="false" ht="15" hidden="false" customHeight="false" outlineLevel="0" collapsed="false">
      <c r="A317" s="29"/>
    </row>
    <row r="318" customFormat="false" ht="15" hidden="false" customHeight="false" outlineLevel="0" collapsed="false">
      <c r="A318" s="29" t="s">
        <v>394</v>
      </c>
    </row>
    <row r="319" customFormat="false" ht="15" hidden="false" customHeight="false" outlineLevel="0" collapsed="false">
      <c r="A319" s="29" t="s">
        <v>395</v>
      </c>
    </row>
    <row r="320" customFormat="false" ht="15" hidden="false" customHeight="false" outlineLevel="0" collapsed="false">
      <c r="A320" s="29"/>
    </row>
    <row r="321" customFormat="false" ht="15" hidden="false" customHeight="false" outlineLevel="0" collapsed="false">
      <c r="A321" s="29" t="s">
        <v>396</v>
      </c>
    </row>
    <row r="322" customFormat="false" ht="15" hidden="false" customHeight="false" outlineLevel="0" collapsed="false">
      <c r="A322" s="29" t="s">
        <v>397</v>
      </c>
    </row>
    <row r="323" customFormat="false" ht="15" hidden="false" customHeight="false" outlineLevel="0" collapsed="false">
      <c r="A323" s="29" t="s">
        <v>398</v>
      </c>
    </row>
    <row r="324" customFormat="false" ht="15" hidden="false" customHeight="false" outlineLevel="0" collapsed="false">
      <c r="A324" s="29" t="s">
        <v>399</v>
      </c>
    </row>
    <row r="325" customFormat="false" ht="15" hidden="false" customHeight="false" outlineLevel="0" collapsed="false">
      <c r="A325" s="29" t="s">
        <v>400</v>
      </c>
    </row>
    <row r="326" customFormat="false" ht="15" hidden="false" customHeight="false" outlineLevel="0" collapsed="false">
      <c r="A326" s="29" t="s">
        <v>401</v>
      </c>
    </row>
    <row r="327" customFormat="false" ht="15" hidden="false" customHeight="false" outlineLevel="0" collapsed="false">
      <c r="A327" s="29" t="s">
        <v>402</v>
      </c>
    </row>
    <row r="328" customFormat="false" ht="15" hidden="false" customHeight="false" outlineLevel="0" collapsed="false">
      <c r="A328" s="29" t="s">
        <v>403</v>
      </c>
    </row>
    <row r="329" customFormat="false" ht="15" hidden="false" customHeight="false" outlineLevel="0" collapsed="false">
      <c r="A329" s="29" t="s">
        <v>404</v>
      </c>
    </row>
    <row r="330" customFormat="false" ht="15" hidden="false" customHeight="false" outlineLevel="0" collapsed="false">
      <c r="A330" s="29" t="s">
        <v>245</v>
      </c>
    </row>
    <row r="331" customFormat="false" ht="15" hidden="false" customHeight="false" outlineLevel="0" collapsed="false">
      <c r="A331" s="29" t="s">
        <v>405</v>
      </c>
    </row>
    <row r="332" customFormat="false" ht="15" hidden="false" customHeight="false" outlineLevel="0" collapsed="false">
      <c r="A332" s="29" t="s">
        <v>247</v>
      </c>
    </row>
    <row r="333" customFormat="false" ht="15" hidden="false" customHeight="false" outlineLevel="0" collapsed="false">
      <c r="A333" s="29" t="s">
        <v>284</v>
      </c>
    </row>
    <row r="334" customFormat="false" ht="15" hidden="false" customHeight="false" outlineLevel="0" collapsed="false">
      <c r="A334" s="29" t="s">
        <v>285</v>
      </c>
    </row>
    <row r="335" customFormat="false" ht="15" hidden="false" customHeight="false" outlineLevel="0" collapsed="false">
      <c r="A335" s="29" t="s">
        <v>286</v>
      </c>
    </row>
    <row r="336" customFormat="false" ht="15" hidden="false" customHeight="false" outlineLevel="0" collapsed="false">
      <c r="A336" s="29"/>
    </row>
    <row r="337" customFormat="false" ht="15" hidden="false" customHeight="false" outlineLevel="0" collapsed="false">
      <c r="A337" s="29" t="s">
        <v>406</v>
      </c>
    </row>
    <row r="338" customFormat="false" ht="15" hidden="false" customHeight="false" outlineLevel="0" collapsed="false">
      <c r="A338" s="29"/>
    </row>
    <row r="339" customFormat="false" ht="15" hidden="false" customHeight="false" outlineLevel="0" collapsed="false">
      <c r="A339" s="29" t="s">
        <v>407</v>
      </c>
    </row>
    <row r="340" customFormat="false" ht="15" hidden="false" customHeight="false" outlineLevel="0" collapsed="false">
      <c r="A340" s="29" t="s">
        <v>408</v>
      </c>
    </row>
    <row r="341" customFormat="false" ht="15" hidden="false" customHeight="false" outlineLevel="0" collapsed="false">
      <c r="A341" s="29" t="s">
        <v>409</v>
      </c>
    </row>
    <row r="342" customFormat="false" ht="15" hidden="false" customHeight="false" outlineLevel="0" collapsed="false">
      <c r="A342" s="29" t="s">
        <v>410</v>
      </c>
    </row>
    <row r="343" customFormat="false" ht="15" hidden="false" customHeight="false" outlineLevel="0" collapsed="false">
      <c r="A343" s="29" t="s">
        <v>411</v>
      </c>
    </row>
    <row r="344" customFormat="false" ht="15" hidden="false" customHeight="false" outlineLevel="0" collapsed="false">
      <c r="A344" s="29" t="s">
        <v>412</v>
      </c>
    </row>
    <row r="345" customFormat="false" ht="15" hidden="false" customHeight="false" outlineLevel="0" collapsed="false">
      <c r="A345" s="29" t="s">
        <v>413</v>
      </c>
    </row>
    <row r="346" customFormat="false" ht="15" hidden="false" customHeight="false" outlineLevel="0" collapsed="false">
      <c r="A346" s="29" t="s">
        <v>414</v>
      </c>
    </row>
    <row r="347" customFormat="false" ht="15" hidden="false" customHeight="false" outlineLevel="0" collapsed="false">
      <c r="A347" s="29" t="s">
        <v>415</v>
      </c>
    </row>
    <row r="348" customFormat="false" ht="15" hidden="false" customHeight="false" outlineLevel="0" collapsed="false">
      <c r="A348" s="29" t="s">
        <v>416</v>
      </c>
    </row>
    <row r="349" customFormat="false" ht="15" hidden="false" customHeight="false" outlineLevel="0" collapsed="false">
      <c r="A349" s="29" t="s">
        <v>417</v>
      </c>
    </row>
    <row r="350" customFormat="false" ht="15" hidden="false" customHeight="false" outlineLevel="0" collapsed="false">
      <c r="A350" s="29" t="s">
        <v>418</v>
      </c>
    </row>
    <row r="351" customFormat="false" ht="15" hidden="false" customHeight="false" outlineLevel="0" collapsed="false">
      <c r="A351" s="29" t="s">
        <v>419</v>
      </c>
    </row>
    <row r="352" customFormat="false" ht="15" hidden="false" customHeight="false" outlineLevel="0" collapsed="false">
      <c r="A352" s="29" t="s">
        <v>420</v>
      </c>
    </row>
    <row r="353" customFormat="false" ht="15" hidden="false" customHeight="false" outlineLevel="0" collapsed="false">
      <c r="A353" s="29" t="s">
        <v>421</v>
      </c>
    </row>
    <row r="354" customFormat="false" ht="15" hidden="false" customHeight="false" outlineLevel="0" collapsed="false">
      <c r="A354" s="29" t="s">
        <v>422</v>
      </c>
    </row>
    <row r="355" customFormat="false" ht="15" hidden="false" customHeight="false" outlineLevel="0" collapsed="false">
      <c r="A355" s="29" t="s">
        <v>423</v>
      </c>
    </row>
    <row r="356" customFormat="false" ht="15" hidden="false" customHeight="false" outlineLevel="0" collapsed="false">
      <c r="A356" s="29" t="s">
        <v>424</v>
      </c>
    </row>
    <row r="357" customFormat="false" ht="15" hidden="false" customHeight="false" outlineLevel="0" collapsed="false">
      <c r="A357" s="29" t="s">
        <v>425</v>
      </c>
    </row>
    <row r="358" customFormat="false" ht="15" hidden="false" customHeight="false" outlineLevel="0" collapsed="false">
      <c r="A358" s="29" t="s">
        <v>284</v>
      </c>
    </row>
    <row r="359" customFormat="false" ht="15" hidden="false" customHeight="false" outlineLevel="0" collapsed="false">
      <c r="A359" s="29" t="s">
        <v>285</v>
      </c>
    </row>
    <row r="360" customFormat="false" ht="15" hidden="false" customHeight="false" outlineLevel="0" collapsed="false">
      <c r="A360" s="29" t="s">
        <v>426</v>
      </c>
    </row>
    <row r="361" customFormat="false" ht="15" hidden="false" customHeight="false" outlineLevel="0" collapsed="false">
      <c r="A361" s="29"/>
    </row>
    <row r="362" customFormat="false" ht="15" hidden="false" customHeight="false" outlineLevel="0" collapsed="false">
      <c r="A362" s="29" t="s">
        <v>292</v>
      </c>
    </row>
    <row r="363" customFormat="false" ht="15" hidden="false" customHeight="false" outlineLevel="0" collapsed="false">
      <c r="A363" s="29"/>
    </row>
    <row r="364" customFormat="false" ht="15" hidden="false" customHeight="false" outlineLevel="0" collapsed="false">
      <c r="A364" s="29" t="s">
        <v>211</v>
      </c>
    </row>
    <row r="365" customFormat="false" ht="15" hidden="false" customHeight="false" outlineLevel="0" collapsed="false">
      <c r="A365" s="29"/>
    </row>
    <row r="366" customFormat="false" ht="15" hidden="false" customHeight="false" outlineLevel="0" collapsed="false">
      <c r="A366" s="29"/>
    </row>
    <row r="367" customFormat="false" ht="15" hidden="false" customHeight="false" outlineLevel="0" collapsed="false">
      <c r="A367" s="29" t="s">
        <v>427</v>
      </c>
    </row>
    <row r="368" customFormat="false" ht="15" hidden="false" customHeight="false" outlineLevel="0" collapsed="false">
      <c r="A368" s="29"/>
    </row>
    <row r="369" customFormat="false" ht="15" hidden="false" customHeight="false" outlineLevel="0" collapsed="false">
      <c r="A369" s="29" t="s">
        <v>428</v>
      </c>
    </row>
    <row r="370" customFormat="false" ht="15" hidden="false" customHeight="false" outlineLevel="0" collapsed="false">
      <c r="A370" s="29" t="s">
        <v>429</v>
      </c>
    </row>
    <row r="371" customFormat="false" ht="15" hidden="false" customHeight="false" outlineLevel="0" collapsed="false">
      <c r="A371" s="29" t="s">
        <v>430</v>
      </c>
    </row>
    <row r="372" customFormat="false" ht="15" hidden="false" customHeight="false" outlineLevel="0" collapsed="false">
      <c r="A372" s="29" t="s">
        <v>431</v>
      </c>
    </row>
    <row r="373" customFormat="false" ht="15" hidden="false" customHeight="false" outlineLevel="0" collapsed="false">
      <c r="A373" s="29"/>
    </row>
    <row r="374" customFormat="false" ht="15" hidden="false" customHeight="false" outlineLevel="0" collapsed="false">
      <c r="A374" s="29" t="s">
        <v>345</v>
      </c>
    </row>
    <row r="375" customFormat="false" ht="15" hidden="false" customHeight="false" outlineLevel="0" collapsed="false">
      <c r="A375" s="29" t="s">
        <v>432</v>
      </c>
    </row>
    <row r="376" customFormat="false" ht="15" hidden="false" customHeight="false" outlineLevel="0" collapsed="false">
      <c r="A376" s="29" t="s">
        <v>433</v>
      </c>
    </row>
    <row r="377" customFormat="false" ht="15" hidden="false" customHeight="false" outlineLevel="0" collapsed="false">
      <c r="A377" s="29" t="s">
        <v>434</v>
      </c>
    </row>
    <row r="378" customFormat="false" ht="15" hidden="false" customHeight="false" outlineLevel="0" collapsed="false">
      <c r="A378" s="29" t="s">
        <v>435</v>
      </c>
    </row>
    <row r="379" customFormat="false" ht="15" hidden="false" customHeight="false" outlineLevel="0" collapsed="false">
      <c r="A379" s="29" t="s">
        <v>436</v>
      </c>
    </row>
    <row r="380" customFormat="false" ht="15" hidden="false" customHeight="false" outlineLevel="0" collapsed="false">
      <c r="A380" s="29" t="s">
        <v>437</v>
      </c>
    </row>
    <row r="381" customFormat="false" ht="15" hidden="false" customHeight="false" outlineLevel="0" collapsed="false">
      <c r="A381" s="29" t="s">
        <v>438</v>
      </c>
    </row>
    <row r="382" customFormat="false" ht="15" hidden="false" customHeight="false" outlineLevel="0" collapsed="false">
      <c r="A382" s="29" t="s">
        <v>439</v>
      </c>
    </row>
    <row r="383" customFormat="false" ht="15" hidden="false" customHeight="false" outlineLevel="0" collapsed="false">
      <c r="A383" s="29"/>
    </row>
    <row r="384" customFormat="false" ht="15" hidden="false" customHeight="false" outlineLevel="0" collapsed="false">
      <c r="A384" s="29" t="s">
        <v>211</v>
      </c>
    </row>
    <row r="385" customFormat="false" ht="15" hidden="false" customHeight="false" outlineLevel="0" collapsed="false">
      <c r="A385" s="2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2026-08-30T21:58:15Z</dcterms:created>
  <dc:creator>openpyxl</dc:creator>
  <dc:description/>
  <dc:language>en-US</dc:language>
  <cp:lastModifiedBy/>
  <dcterms:modified xsi:type="dcterms:W3CDTF">2026-08-30T21:58:15Z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